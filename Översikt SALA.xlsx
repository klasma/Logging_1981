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45586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45586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45586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45586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45586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45586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45586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45586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45586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45586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45586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45586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45586</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45586</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45586</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45586</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45586</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26774-2021</t>
        </is>
      </c>
      <c r="B19" s="1" t="n">
        <v>44349</v>
      </c>
      <c r="C19" s="1" t="n">
        <v>45586</v>
      </c>
      <c r="D19" t="inlineStr">
        <is>
          <t>VÄSTMANLANDS LÄN</t>
        </is>
      </c>
      <c r="E19" t="inlineStr">
        <is>
          <t>SALA</t>
        </is>
      </c>
      <c r="F19" t="inlineStr">
        <is>
          <t>Sveaskog</t>
        </is>
      </c>
      <c r="G19" t="n">
        <v>1.3</v>
      </c>
      <c r="H19" t="n">
        <v>2</v>
      </c>
      <c r="I19" t="n">
        <v>0</v>
      </c>
      <c r="J19" t="n">
        <v>2</v>
      </c>
      <c r="K19" t="n">
        <v>0</v>
      </c>
      <c r="L19" t="n">
        <v>0</v>
      </c>
      <c r="M19" t="n">
        <v>0</v>
      </c>
      <c r="N19" t="n">
        <v>0</v>
      </c>
      <c r="O19" t="n">
        <v>2</v>
      </c>
      <c r="P19" t="n">
        <v>0</v>
      </c>
      <c r="Q19" t="n">
        <v>4</v>
      </c>
      <c r="R19" s="2" t="inlineStr">
        <is>
          <t>Mindre bastardsvärmare
Skogshare
Åkergroda
Vanlig padda</t>
        </is>
      </c>
      <c r="S19">
        <f>HYPERLINK("https://klasma.github.io/Logging_1981/artfynd/A 26774-2021 artfynd.xlsx", "A 26774-2021")</f>
        <v/>
      </c>
      <c r="T19">
        <f>HYPERLINK("https://klasma.github.io/Logging_1981/kartor/A 26774-2021 karta.png", "A 26774-2021")</f>
        <v/>
      </c>
      <c r="V19">
        <f>HYPERLINK("https://klasma.github.io/Logging_1981/klagomål/A 26774-2021 FSC-klagomål.docx", "A 26774-2021")</f>
        <v/>
      </c>
      <c r="W19">
        <f>HYPERLINK("https://klasma.github.io/Logging_1981/klagomålsmail/A 26774-2021 FSC-klagomål mail.docx", "A 26774-2021")</f>
        <v/>
      </c>
      <c r="X19">
        <f>HYPERLINK("https://klasma.github.io/Logging_1981/tillsyn/A 26774-2021 tillsynsbegäran.docx", "A 26774-2021")</f>
        <v/>
      </c>
      <c r="Y19">
        <f>HYPERLINK("https://klasma.github.io/Logging_1981/tillsynsmail/A 26774-2021 tillsynsbegäran mail.docx", "A 26774-2021")</f>
        <v/>
      </c>
    </row>
    <row r="20" ht="15" customHeight="1">
      <c r="A20" t="inlineStr">
        <is>
          <t>A 27488-2023</t>
        </is>
      </c>
      <c r="B20" s="1" t="n">
        <v>45097</v>
      </c>
      <c r="C20" s="1" t="n">
        <v>45586</v>
      </c>
      <c r="D20" t="inlineStr">
        <is>
          <t>VÄSTMANLANDS LÄN</t>
        </is>
      </c>
      <c r="E20" t="inlineStr">
        <is>
          <t>SALA</t>
        </is>
      </c>
      <c r="G20" t="n">
        <v>9.300000000000001</v>
      </c>
      <c r="H20" t="n">
        <v>1</v>
      </c>
      <c r="I20" t="n">
        <v>3</v>
      </c>
      <c r="J20" t="n">
        <v>1</v>
      </c>
      <c r="K20" t="n">
        <v>0</v>
      </c>
      <c r="L20" t="n">
        <v>0</v>
      </c>
      <c r="M20" t="n">
        <v>0</v>
      </c>
      <c r="N20" t="n">
        <v>0</v>
      </c>
      <c r="O20" t="n">
        <v>1</v>
      </c>
      <c r="P20" t="n">
        <v>0</v>
      </c>
      <c r="Q20" t="n">
        <v>4</v>
      </c>
      <c r="R20" s="2" t="inlineStr">
        <is>
          <t>Motaggsvamp
Dropptaggsvamp
Plattlummer
Tallfingersvamp</t>
        </is>
      </c>
      <c r="S20">
        <f>HYPERLINK("https://klasma.github.io/Logging_1981/artfynd/A 27488-2023 artfynd.xlsx", "A 27488-2023")</f>
        <v/>
      </c>
      <c r="T20">
        <f>HYPERLINK("https://klasma.github.io/Logging_1981/kartor/A 27488-2023 karta.png", "A 27488-2023")</f>
        <v/>
      </c>
      <c r="V20">
        <f>HYPERLINK("https://klasma.github.io/Logging_1981/klagomål/A 27488-2023 FSC-klagomål.docx", "A 27488-2023")</f>
        <v/>
      </c>
      <c r="W20">
        <f>HYPERLINK("https://klasma.github.io/Logging_1981/klagomålsmail/A 27488-2023 FSC-klagomål mail.docx", "A 27488-2023")</f>
        <v/>
      </c>
      <c r="X20">
        <f>HYPERLINK("https://klasma.github.io/Logging_1981/tillsyn/A 27488-2023 tillsynsbegäran.docx", "A 27488-2023")</f>
        <v/>
      </c>
      <c r="Y20">
        <f>HYPERLINK("https://klasma.github.io/Logging_1981/tillsynsmail/A 27488-2023 tillsynsbegäran mail.docx", "A 27488-2023")</f>
        <v/>
      </c>
    </row>
    <row r="21" ht="15" customHeight="1">
      <c r="A21" t="inlineStr">
        <is>
          <t>A 56092-2023</t>
        </is>
      </c>
      <c r="B21" s="1" t="n">
        <v>45240</v>
      </c>
      <c r="C21" s="1" t="n">
        <v>45586</v>
      </c>
      <c r="D21" t="inlineStr">
        <is>
          <t>VÄSTMANLANDS LÄN</t>
        </is>
      </c>
      <c r="E21" t="inlineStr">
        <is>
          <t>SALA</t>
        </is>
      </c>
      <c r="G21" t="n">
        <v>11.6</v>
      </c>
      <c r="H21" t="n">
        <v>2</v>
      </c>
      <c r="I21" t="n">
        <v>1</v>
      </c>
      <c r="J21" t="n">
        <v>2</v>
      </c>
      <c r="K21" t="n">
        <v>1</v>
      </c>
      <c r="L21" t="n">
        <v>0</v>
      </c>
      <c r="M21" t="n">
        <v>0</v>
      </c>
      <c r="N21" t="n">
        <v>0</v>
      </c>
      <c r="O21" t="n">
        <v>3</v>
      </c>
      <c r="P21" t="n">
        <v>1</v>
      </c>
      <c r="Q21" t="n">
        <v>4</v>
      </c>
      <c r="R21" s="2" t="inlineStr">
        <is>
          <t>Knärot
Havsörn
Motaggsvamp
Vedticka</t>
        </is>
      </c>
      <c r="S21">
        <f>HYPERLINK("https://klasma.github.io/Logging_1981/artfynd/A 56092-2023 artfynd.xlsx", "A 56092-2023")</f>
        <v/>
      </c>
      <c r="T21">
        <f>HYPERLINK("https://klasma.github.io/Logging_1981/kartor/A 56092-2023 karta.png", "A 56092-2023")</f>
        <v/>
      </c>
      <c r="U21">
        <f>HYPERLINK("https://klasma.github.io/Logging_1981/knärot/A 56092-2023 karta knärot.png", "A 56092-2023")</f>
        <v/>
      </c>
      <c r="V21">
        <f>HYPERLINK("https://klasma.github.io/Logging_1981/klagomål/A 56092-2023 FSC-klagomål.docx", "A 56092-2023")</f>
        <v/>
      </c>
      <c r="W21">
        <f>HYPERLINK("https://klasma.github.io/Logging_1981/klagomålsmail/A 56092-2023 FSC-klagomål mail.docx", "A 56092-2023")</f>
        <v/>
      </c>
      <c r="X21">
        <f>HYPERLINK("https://klasma.github.io/Logging_1981/tillsyn/A 56092-2023 tillsynsbegäran.docx", "A 56092-2023")</f>
        <v/>
      </c>
      <c r="Y21">
        <f>HYPERLINK("https://klasma.github.io/Logging_1981/tillsynsmail/A 56092-2023 tillsynsbegäran mail.docx", "A 56092-2023")</f>
        <v/>
      </c>
      <c r="Z21">
        <f>HYPERLINK("https://klasma.github.io/Logging_1981/fåglar/A 56092-2023 prioriterade fågelarter.docx", "A 56092-2023")</f>
        <v/>
      </c>
    </row>
    <row r="22" ht="15" customHeight="1">
      <c r="A22" t="inlineStr">
        <is>
          <t>A 41202-2024</t>
        </is>
      </c>
      <c r="B22" s="1" t="n">
        <v>45559</v>
      </c>
      <c r="C22" s="1" t="n">
        <v>45586</v>
      </c>
      <c r="D22" t="inlineStr">
        <is>
          <t>VÄSTMANLANDS LÄN</t>
        </is>
      </c>
      <c r="E22" t="inlineStr">
        <is>
          <t>SALA</t>
        </is>
      </c>
      <c r="G22" t="n">
        <v>9.300000000000001</v>
      </c>
      <c r="H22" t="n">
        <v>2</v>
      </c>
      <c r="I22" t="n">
        <v>0</v>
      </c>
      <c r="J22" t="n">
        <v>2</v>
      </c>
      <c r="K22" t="n">
        <v>1</v>
      </c>
      <c r="L22" t="n">
        <v>0</v>
      </c>
      <c r="M22" t="n">
        <v>0</v>
      </c>
      <c r="N22" t="n">
        <v>0</v>
      </c>
      <c r="O22" t="n">
        <v>3</v>
      </c>
      <c r="P22" t="n">
        <v>1</v>
      </c>
      <c r="Q22" t="n">
        <v>4</v>
      </c>
      <c r="R22" s="2" t="inlineStr">
        <is>
          <t>Knärot
Brunklöver
Violettgrå tagellav
Revlummer</t>
        </is>
      </c>
      <c r="S22">
        <f>HYPERLINK("https://klasma.github.io/Logging_1981/artfynd/A 41202-2024 artfynd.xlsx", "A 41202-2024")</f>
        <v/>
      </c>
      <c r="T22">
        <f>HYPERLINK("https://klasma.github.io/Logging_1981/kartor/A 41202-2024 karta.png", "A 41202-2024")</f>
        <v/>
      </c>
      <c r="U22">
        <f>HYPERLINK("https://klasma.github.io/Logging_1981/knärot/A 41202-2024 karta knärot.png", "A 41202-2024")</f>
        <v/>
      </c>
      <c r="V22">
        <f>HYPERLINK("https://klasma.github.io/Logging_1981/klagomål/A 41202-2024 FSC-klagomål.docx", "A 41202-2024")</f>
        <v/>
      </c>
      <c r="W22">
        <f>HYPERLINK("https://klasma.github.io/Logging_1981/klagomålsmail/A 41202-2024 FSC-klagomål mail.docx", "A 41202-2024")</f>
        <v/>
      </c>
      <c r="X22">
        <f>HYPERLINK("https://klasma.github.io/Logging_1981/tillsyn/A 41202-2024 tillsynsbegäran.docx", "A 41202-2024")</f>
        <v/>
      </c>
      <c r="Y22">
        <f>HYPERLINK("https://klasma.github.io/Logging_1981/tillsynsmail/A 41202-2024 tillsynsbegäran mail.docx", "A 41202-2024")</f>
        <v/>
      </c>
    </row>
    <row r="23" ht="15" customHeight="1">
      <c r="A23" t="inlineStr">
        <is>
          <t>A 66088-2019</t>
        </is>
      </c>
      <c r="B23" s="1" t="n">
        <v>43807</v>
      </c>
      <c r="C23" s="1" t="n">
        <v>45586</v>
      </c>
      <c r="D23" t="inlineStr">
        <is>
          <t>VÄSTMANLANDS LÄN</t>
        </is>
      </c>
      <c r="E23" t="inlineStr">
        <is>
          <t>SALA</t>
        </is>
      </c>
      <c r="G23" t="n">
        <v>6.4</v>
      </c>
      <c r="H23" t="n">
        <v>0</v>
      </c>
      <c r="I23" t="n">
        <v>1</v>
      </c>
      <c r="J23" t="n">
        <v>2</v>
      </c>
      <c r="K23" t="n">
        <v>0</v>
      </c>
      <c r="L23" t="n">
        <v>0</v>
      </c>
      <c r="M23" t="n">
        <v>0</v>
      </c>
      <c r="N23" t="n">
        <v>0</v>
      </c>
      <c r="O23" t="n">
        <v>2</v>
      </c>
      <c r="P23" t="n">
        <v>0</v>
      </c>
      <c r="Q23" t="n">
        <v>3</v>
      </c>
      <c r="R23" s="2" t="inlineStr">
        <is>
          <t>Ullticka
Vedtrappmossa
Flagellkvastmossa</t>
        </is>
      </c>
      <c r="S23">
        <f>HYPERLINK("https://klasma.github.io/Logging_1981/artfynd/A 66088-2019 artfynd.xlsx", "A 66088-2019")</f>
        <v/>
      </c>
      <c r="T23">
        <f>HYPERLINK("https://klasma.github.io/Logging_1981/kartor/A 66088-2019 karta.png", "A 66088-2019")</f>
        <v/>
      </c>
      <c r="V23">
        <f>HYPERLINK("https://klasma.github.io/Logging_1981/klagomål/A 66088-2019 FSC-klagomål.docx", "A 66088-2019")</f>
        <v/>
      </c>
      <c r="W23">
        <f>HYPERLINK("https://klasma.github.io/Logging_1981/klagomålsmail/A 66088-2019 FSC-klagomål mail.docx", "A 66088-2019")</f>
        <v/>
      </c>
      <c r="X23">
        <f>HYPERLINK("https://klasma.github.io/Logging_1981/tillsyn/A 66088-2019 tillsynsbegäran.docx", "A 66088-2019")</f>
        <v/>
      </c>
      <c r="Y23">
        <f>HYPERLINK("https://klasma.github.io/Logging_1981/tillsynsmail/A 66088-2019 tillsynsbegäran mail.docx", "A 66088-2019")</f>
        <v/>
      </c>
    </row>
    <row r="24" ht="15" customHeight="1">
      <c r="A24" t="inlineStr">
        <is>
          <t>A 26571-2021</t>
        </is>
      </c>
      <c r="B24" s="1" t="n">
        <v>44348</v>
      </c>
      <c r="C24" s="1" t="n">
        <v>45586</v>
      </c>
      <c r="D24" t="inlineStr">
        <is>
          <t>VÄSTMANLANDS LÄN</t>
        </is>
      </c>
      <c r="E24" t="inlineStr">
        <is>
          <t>SALA</t>
        </is>
      </c>
      <c r="G24" t="n">
        <v>2.1</v>
      </c>
      <c r="H24" t="n">
        <v>0</v>
      </c>
      <c r="I24" t="n">
        <v>1</v>
      </c>
      <c r="J24" t="n">
        <v>2</v>
      </c>
      <c r="K24" t="n">
        <v>0</v>
      </c>
      <c r="L24" t="n">
        <v>0</v>
      </c>
      <c r="M24" t="n">
        <v>0</v>
      </c>
      <c r="N24" t="n">
        <v>0</v>
      </c>
      <c r="O24" t="n">
        <v>2</v>
      </c>
      <c r="P24" t="n">
        <v>0</v>
      </c>
      <c r="Q24" t="n">
        <v>3</v>
      </c>
      <c r="R24" s="2" t="inlineStr">
        <is>
          <t>Skrovlig taggsvamp
Ullticka
Flagellkvastmossa</t>
        </is>
      </c>
      <c r="S24">
        <f>HYPERLINK("https://klasma.github.io/Logging_1981/artfynd/A 26571-2021 artfynd.xlsx", "A 26571-2021")</f>
        <v/>
      </c>
      <c r="T24">
        <f>HYPERLINK("https://klasma.github.io/Logging_1981/kartor/A 26571-2021 karta.png", "A 26571-2021")</f>
        <v/>
      </c>
      <c r="V24">
        <f>HYPERLINK("https://klasma.github.io/Logging_1981/klagomål/A 26571-2021 FSC-klagomål.docx", "A 26571-2021")</f>
        <v/>
      </c>
      <c r="W24">
        <f>HYPERLINK("https://klasma.github.io/Logging_1981/klagomålsmail/A 26571-2021 FSC-klagomål mail.docx", "A 26571-2021")</f>
        <v/>
      </c>
      <c r="X24">
        <f>HYPERLINK("https://klasma.github.io/Logging_1981/tillsyn/A 26571-2021 tillsynsbegäran.docx", "A 26571-2021")</f>
        <v/>
      </c>
      <c r="Y24">
        <f>HYPERLINK("https://klasma.github.io/Logging_1981/tillsynsmail/A 26571-2021 tillsynsbegäran mail.docx", "A 26571-2021")</f>
        <v/>
      </c>
    </row>
    <row r="25" ht="15" customHeight="1">
      <c r="A25" t="inlineStr">
        <is>
          <t>A 62768-2021</t>
        </is>
      </c>
      <c r="B25" s="1" t="n">
        <v>44504</v>
      </c>
      <c r="C25" s="1" t="n">
        <v>45586</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15991-2022</t>
        </is>
      </c>
      <c r="B26" s="1" t="n">
        <v>44664</v>
      </c>
      <c r="C26" s="1" t="n">
        <v>45586</v>
      </c>
      <c r="D26" t="inlineStr">
        <is>
          <t>VÄSTMANLANDS LÄN</t>
        </is>
      </c>
      <c r="E26" t="inlineStr">
        <is>
          <t>SALA</t>
        </is>
      </c>
      <c r="G26" t="n">
        <v>4.5</v>
      </c>
      <c r="H26" t="n">
        <v>2</v>
      </c>
      <c r="I26" t="n">
        <v>1</v>
      </c>
      <c r="J26" t="n">
        <v>0</v>
      </c>
      <c r="K26" t="n">
        <v>1</v>
      </c>
      <c r="L26" t="n">
        <v>0</v>
      </c>
      <c r="M26" t="n">
        <v>0</v>
      </c>
      <c r="N26" t="n">
        <v>0</v>
      </c>
      <c r="O26" t="n">
        <v>1</v>
      </c>
      <c r="P26" t="n">
        <v>1</v>
      </c>
      <c r="Q26" t="n">
        <v>3</v>
      </c>
      <c r="R26" s="2" t="inlineStr">
        <is>
          <t>Knärot
Blåmossa
Revlummer</t>
        </is>
      </c>
      <c r="S26">
        <f>HYPERLINK("https://klasma.github.io/Logging_1981/artfynd/A 15991-2022 artfynd.xlsx", "A 15991-2022")</f>
        <v/>
      </c>
      <c r="T26">
        <f>HYPERLINK("https://klasma.github.io/Logging_1981/kartor/A 15991-2022 karta.png", "A 15991-2022")</f>
        <v/>
      </c>
      <c r="U26">
        <f>HYPERLINK("https://klasma.github.io/Logging_1981/knärot/A 15991-2022 karta knärot.png", "A 15991-2022")</f>
        <v/>
      </c>
      <c r="V26">
        <f>HYPERLINK("https://klasma.github.io/Logging_1981/klagomål/A 15991-2022 FSC-klagomål.docx", "A 15991-2022")</f>
        <v/>
      </c>
      <c r="W26">
        <f>HYPERLINK("https://klasma.github.io/Logging_1981/klagomålsmail/A 15991-2022 FSC-klagomål mail.docx", "A 15991-2022")</f>
        <v/>
      </c>
      <c r="X26">
        <f>HYPERLINK("https://klasma.github.io/Logging_1981/tillsyn/A 15991-2022 tillsynsbegäran.docx", "A 15991-2022")</f>
        <v/>
      </c>
      <c r="Y26">
        <f>HYPERLINK("https://klasma.github.io/Logging_1981/tillsynsmail/A 15991-2022 tillsynsbegäran mail.docx", "A 15991-2022")</f>
        <v/>
      </c>
    </row>
    <row r="27" ht="15" customHeight="1">
      <c r="A27" t="inlineStr">
        <is>
          <t>A 3567-2024</t>
        </is>
      </c>
      <c r="B27" s="1" t="n">
        <v>45320</v>
      </c>
      <c r="C27" s="1" t="n">
        <v>45586</v>
      </c>
      <c r="D27" t="inlineStr">
        <is>
          <t>VÄSTMANLANDS LÄN</t>
        </is>
      </c>
      <c r="E27" t="inlineStr">
        <is>
          <t>SALA</t>
        </is>
      </c>
      <c r="F27" t="inlineStr">
        <is>
          <t>Kommuner</t>
        </is>
      </c>
      <c r="G27" t="n">
        <v>4.1</v>
      </c>
      <c r="H27" t="n">
        <v>1</v>
      </c>
      <c r="I27" t="n">
        <v>2</v>
      </c>
      <c r="J27" t="n">
        <v>0</v>
      </c>
      <c r="K27" t="n">
        <v>1</v>
      </c>
      <c r="L27" t="n">
        <v>0</v>
      </c>
      <c r="M27" t="n">
        <v>0</v>
      </c>
      <c r="N27" t="n">
        <v>0</v>
      </c>
      <c r="O27" t="n">
        <v>1</v>
      </c>
      <c r="P27" t="n">
        <v>1</v>
      </c>
      <c r="Q27" t="n">
        <v>3</v>
      </c>
      <c r="R27" s="2" t="inlineStr">
        <is>
          <t>Knärot
Guldlockmossa
Vedticka</t>
        </is>
      </c>
      <c r="S27">
        <f>HYPERLINK("https://klasma.github.io/Logging_1981/artfynd/A 3567-2024 artfynd.xlsx", "A 3567-2024")</f>
        <v/>
      </c>
      <c r="T27">
        <f>HYPERLINK("https://klasma.github.io/Logging_1981/kartor/A 3567-2024 karta.png", "A 3567-2024")</f>
        <v/>
      </c>
      <c r="U27">
        <f>HYPERLINK("https://klasma.github.io/Logging_1981/knärot/A 3567-2024 karta knärot.png", "A 3567-2024")</f>
        <v/>
      </c>
      <c r="V27">
        <f>HYPERLINK("https://klasma.github.io/Logging_1981/klagomål/A 3567-2024 FSC-klagomål.docx", "A 3567-2024")</f>
        <v/>
      </c>
      <c r="W27">
        <f>HYPERLINK("https://klasma.github.io/Logging_1981/klagomålsmail/A 3567-2024 FSC-klagomål mail.docx", "A 3567-2024")</f>
        <v/>
      </c>
      <c r="X27">
        <f>HYPERLINK("https://klasma.github.io/Logging_1981/tillsyn/A 3567-2024 tillsynsbegäran.docx", "A 3567-2024")</f>
        <v/>
      </c>
      <c r="Y27">
        <f>HYPERLINK("https://klasma.github.io/Logging_1981/tillsynsmail/A 3567-2024 tillsynsbegäran mail.docx", "A 3567-2024")</f>
        <v/>
      </c>
    </row>
    <row r="28" ht="15" customHeight="1">
      <c r="A28" t="inlineStr">
        <is>
          <t>A 4264-2024</t>
        </is>
      </c>
      <c r="B28" s="1" t="n">
        <v>45324</v>
      </c>
      <c r="C28" s="1" t="n">
        <v>45586</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11504-2024</t>
        </is>
      </c>
      <c r="B29" s="1" t="n">
        <v>45372</v>
      </c>
      <c r="C29" s="1" t="n">
        <v>45586</v>
      </c>
      <c r="D29" t="inlineStr">
        <is>
          <t>VÄSTMANLANDS LÄN</t>
        </is>
      </c>
      <c r="E29" t="inlineStr">
        <is>
          <t>SALA</t>
        </is>
      </c>
      <c r="G29" t="n">
        <v>3.3</v>
      </c>
      <c r="H29" t="n">
        <v>0</v>
      </c>
      <c r="I29" t="n">
        <v>0</v>
      </c>
      <c r="J29" t="n">
        <v>2</v>
      </c>
      <c r="K29" t="n">
        <v>1</v>
      </c>
      <c r="L29" t="n">
        <v>0</v>
      </c>
      <c r="M29" t="n">
        <v>0</v>
      </c>
      <c r="N29" t="n">
        <v>0</v>
      </c>
      <c r="O29" t="n">
        <v>3</v>
      </c>
      <c r="P29" t="n">
        <v>1</v>
      </c>
      <c r="Q29" t="n">
        <v>3</v>
      </c>
      <c r="R29" s="2" t="inlineStr">
        <is>
          <t>Rynkskinn
Stjärntagging
Ullticka</t>
        </is>
      </c>
      <c r="S29">
        <f>HYPERLINK("https://klasma.github.io/Logging_1981/artfynd/A 11504-2024 artfynd.xlsx", "A 11504-2024")</f>
        <v/>
      </c>
      <c r="T29">
        <f>HYPERLINK("https://klasma.github.io/Logging_1981/kartor/A 11504-2024 karta.png", "A 11504-2024")</f>
        <v/>
      </c>
      <c r="V29">
        <f>HYPERLINK("https://klasma.github.io/Logging_1981/klagomål/A 11504-2024 FSC-klagomål.docx", "A 11504-2024")</f>
        <v/>
      </c>
      <c r="W29">
        <f>HYPERLINK("https://klasma.github.io/Logging_1981/klagomålsmail/A 11504-2024 FSC-klagomål mail.docx", "A 11504-2024")</f>
        <v/>
      </c>
      <c r="X29">
        <f>HYPERLINK("https://klasma.github.io/Logging_1981/tillsyn/A 11504-2024 tillsynsbegäran.docx", "A 11504-2024")</f>
        <v/>
      </c>
      <c r="Y29">
        <f>HYPERLINK("https://klasma.github.io/Logging_1981/tillsynsmail/A 11504-2024 tillsynsbegäran mail.docx", "A 11504-2024")</f>
        <v/>
      </c>
    </row>
    <row r="30" ht="15" customHeight="1">
      <c r="A30" t="inlineStr">
        <is>
          <t>A 18744-2024</t>
        </is>
      </c>
      <c r="B30" s="1" t="n">
        <v>45426</v>
      </c>
      <c r="C30" s="1" t="n">
        <v>45586</v>
      </c>
      <c r="D30" t="inlineStr">
        <is>
          <t>VÄSTMANLANDS LÄN</t>
        </is>
      </c>
      <c r="E30" t="inlineStr">
        <is>
          <t>SALA</t>
        </is>
      </c>
      <c r="G30" t="n">
        <v>19.1</v>
      </c>
      <c r="H30" t="n">
        <v>2</v>
      </c>
      <c r="I30" t="n">
        <v>1</v>
      </c>
      <c r="J30" t="n">
        <v>0</v>
      </c>
      <c r="K30" t="n">
        <v>1</v>
      </c>
      <c r="L30" t="n">
        <v>0</v>
      </c>
      <c r="M30" t="n">
        <v>0</v>
      </c>
      <c r="N30" t="n">
        <v>0</v>
      </c>
      <c r="O30" t="n">
        <v>1</v>
      </c>
      <c r="P30" t="n">
        <v>1</v>
      </c>
      <c r="Q30" t="n">
        <v>3</v>
      </c>
      <c r="R30" s="2" t="inlineStr">
        <is>
          <t>Knärot
Kattfotslav
Revlummer</t>
        </is>
      </c>
      <c r="S30">
        <f>HYPERLINK("https://klasma.github.io/Logging_1981/artfynd/A 18744-2024 artfynd.xlsx", "A 18744-2024")</f>
        <v/>
      </c>
      <c r="T30">
        <f>HYPERLINK("https://klasma.github.io/Logging_1981/kartor/A 18744-2024 karta.png", "A 18744-2024")</f>
        <v/>
      </c>
      <c r="U30">
        <f>HYPERLINK("https://klasma.github.io/Logging_1981/knärot/A 18744-2024 karta knärot.png", "A 18744-2024")</f>
        <v/>
      </c>
      <c r="V30">
        <f>HYPERLINK("https://klasma.github.io/Logging_1981/klagomål/A 18744-2024 FSC-klagomål.docx", "A 18744-2024")</f>
        <v/>
      </c>
      <c r="W30">
        <f>HYPERLINK("https://klasma.github.io/Logging_1981/klagomålsmail/A 18744-2024 FSC-klagomål mail.docx", "A 18744-2024")</f>
        <v/>
      </c>
      <c r="X30">
        <f>HYPERLINK("https://klasma.github.io/Logging_1981/tillsyn/A 18744-2024 tillsynsbegäran.docx", "A 18744-2024")</f>
        <v/>
      </c>
      <c r="Y30">
        <f>HYPERLINK("https://klasma.github.io/Logging_1981/tillsynsmail/A 18744-2024 tillsynsbegäran mail.docx", "A 18744-2024")</f>
        <v/>
      </c>
    </row>
    <row r="31" ht="15" customHeight="1">
      <c r="A31" t="inlineStr">
        <is>
          <t>A 35461-2024</t>
        </is>
      </c>
      <c r="B31" s="1" t="n">
        <v>45531</v>
      </c>
      <c r="C31" s="1" t="n">
        <v>45586</v>
      </c>
      <c r="D31" t="inlineStr">
        <is>
          <t>VÄSTMANLANDS LÄN</t>
        </is>
      </c>
      <c r="E31" t="inlineStr">
        <is>
          <t>SALA</t>
        </is>
      </c>
      <c r="G31" t="n">
        <v>4.4</v>
      </c>
      <c r="H31" t="n">
        <v>2</v>
      </c>
      <c r="I31" t="n">
        <v>1</v>
      </c>
      <c r="J31" t="n">
        <v>2</v>
      </c>
      <c r="K31" t="n">
        <v>0</v>
      </c>
      <c r="L31" t="n">
        <v>0</v>
      </c>
      <c r="M31" t="n">
        <v>0</v>
      </c>
      <c r="N31" t="n">
        <v>0</v>
      </c>
      <c r="O31" t="n">
        <v>2</v>
      </c>
      <c r="P31" t="n">
        <v>0</v>
      </c>
      <c r="Q31" t="n">
        <v>3</v>
      </c>
      <c r="R31" s="2" t="inlineStr">
        <is>
          <t>Duvhök
Talltita
Grönpyrola</t>
        </is>
      </c>
      <c r="S31">
        <f>HYPERLINK("https://klasma.github.io/Logging_1981/artfynd/A 35461-2024 artfynd.xlsx", "A 35461-2024")</f>
        <v/>
      </c>
      <c r="T31">
        <f>HYPERLINK("https://klasma.github.io/Logging_1981/kartor/A 35461-2024 karta.png", "A 35461-2024")</f>
        <v/>
      </c>
      <c r="V31">
        <f>HYPERLINK("https://klasma.github.io/Logging_1981/klagomål/A 35461-2024 FSC-klagomål.docx", "A 35461-2024")</f>
        <v/>
      </c>
      <c r="W31">
        <f>HYPERLINK("https://klasma.github.io/Logging_1981/klagomålsmail/A 35461-2024 FSC-klagomål mail.docx", "A 35461-2024")</f>
        <v/>
      </c>
      <c r="X31">
        <f>HYPERLINK("https://klasma.github.io/Logging_1981/tillsyn/A 35461-2024 tillsynsbegäran.docx", "A 35461-2024")</f>
        <v/>
      </c>
      <c r="Y31">
        <f>HYPERLINK("https://klasma.github.io/Logging_1981/tillsynsmail/A 35461-2024 tillsynsbegäran mail.docx", "A 35461-2024")</f>
        <v/>
      </c>
      <c r="Z31">
        <f>HYPERLINK("https://klasma.github.io/Logging_1981/fåglar/A 35461-2024 prioriterade fågelarter.docx", "A 35461-2024")</f>
        <v/>
      </c>
    </row>
    <row r="32" ht="15" customHeight="1">
      <c r="A32" t="inlineStr">
        <is>
          <t>A 35213-2019</t>
        </is>
      </c>
      <c r="B32" s="1" t="n">
        <v>43662</v>
      </c>
      <c r="C32" s="1" t="n">
        <v>45586</v>
      </c>
      <c r="D32" t="inlineStr">
        <is>
          <t>VÄSTMANLANDS LÄN</t>
        </is>
      </c>
      <c r="E32" t="inlineStr">
        <is>
          <t>SALA</t>
        </is>
      </c>
      <c r="G32" t="n">
        <v>44.3</v>
      </c>
      <c r="H32" t="n">
        <v>1</v>
      </c>
      <c r="I32" t="n">
        <v>1</v>
      </c>
      <c r="J32" t="n">
        <v>1</v>
      </c>
      <c r="K32" t="n">
        <v>0</v>
      </c>
      <c r="L32" t="n">
        <v>0</v>
      </c>
      <c r="M32" t="n">
        <v>0</v>
      </c>
      <c r="N32" t="n">
        <v>0</v>
      </c>
      <c r="O32" t="n">
        <v>1</v>
      </c>
      <c r="P32" t="n">
        <v>0</v>
      </c>
      <c r="Q32" t="n">
        <v>2</v>
      </c>
      <c r="R32" s="2" t="inlineStr">
        <is>
          <t>Järpe
Mörk husmossa</t>
        </is>
      </c>
      <c r="S32">
        <f>HYPERLINK("https://klasma.github.io/Logging_1981/artfynd/A 35213-2019 artfynd.xlsx", "A 35213-2019")</f>
        <v/>
      </c>
      <c r="T32">
        <f>HYPERLINK("https://klasma.github.io/Logging_1981/kartor/A 35213-2019 karta.png", "A 35213-2019")</f>
        <v/>
      </c>
      <c r="U32">
        <f>HYPERLINK("https://klasma.github.io/Logging_1981/knärot/A 35213-2019 karta knärot.png", "A 35213-2019")</f>
        <v/>
      </c>
      <c r="V32">
        <f>HYPERLINK("https://klasma.github.io/Logging_1981/klagomål/A 35213-2019 FSC-klagomål.docx", "A 35213-2019")</f>
        <v/>
      </c>
      <c r="W32">
        <f>HYPERLINK("https://klasma.github.io/Logging_1981/klagomålsmail/A 35213-2019 FSC-klagomål mail.docx", "A 35213-2019")</f>
        <v/>
      </c>
      <c r="X32">
        <f>HYPERLINK("https://klasma.github.io/Logging_1981/tillsyn/A 35213-2019 tillsynsbegäran.docx", "A 35213-2019")</f>
        <v/>
      </c>
      <c r="Y32">
        <f>HYPERLINK("https://klasma.github.io/Logging_1981/tillsynsmail/A 35213-2019 tillsynsbegäran mail.docx", "A 35213-2019")</f>
        <v/>
      </c>
      <c r="Z32">
        <f>HYPERLINK("https://klasma.github.io/Logging_1981/fåglar/A 35213-2019 prioriterade fågelarter.docx", "A 35213-2019")</f>
        <v/>
      </c>
    </row>
    <row r="33" ht="15" customHeight="1">
      <c r="A33" t="inlineStr">
        <is>
          <t>A 59152-2019</t>
        </is>
      </c>
      <c r="B33" s="1" t="n">
        <v>43775</v>
      </c>
      <c r="C33" s="1" t="n">
        <v>45586</v>
      </c>
      <c r="D33" t="inlineStr">
        <is>
          <t>VÄSTMANLANDS LÄN</t>
        </is>
      </c>
      <c r="E33" t="inlineStr">
        <is>
          <t>SALA</t>
        </is>
      </c>
      <c r="F33" t="inlineStr">
        <is>
          <t>Övriga Aktiebolag</t>
        </is>
      </c>
      <c r="G33" t="n">
        <v>4.6</v>
      </c>
      <c r="H33" t="n">
        <v>0</v>
      </c>
      <c r="I33" t="n">
        <v>1</v>
      </c>
      <c r="J33" t="n">
        <v>1</v>
      </c>
      <c r="K33" t="n">
        <v>0</v>
      </c>
      <c r="L33" t="n">
        <v>0</v>
      </c>
      <c r="M33" t="n">
        <v>0</v>
      </c>
      <c r="N33" t="n">
        <v>0</v>
      </c>
      <c r="O33" t="n">
        <v>1</v>
      </c>
      <c r="P33" t="n">
        <v>0</v>
      </c>
      <c r="Q33" t="n">
        <v>2</v>
      </c>
      <c r="R33" s="2" t="inlineStr">
        <is>
          <t>Svart taggsvamp
Vedticka</t>
        </is>
      </c>
      <c r="S33">
        <f>HYPERLINK("https://klasma.github.io/Logging_1981/artfynd/A 59152-2019 artfynd.xlsx", "A 59152-2019")</f>
        <v/>
      </c>
      <c r="T33">
        <f>HYPERLINK("https://klasma.github.io/Logging_1981/kartor/A 59152-2019 karta.png", "A 59152-2019")</f>
        <v/>
      </c>
      <c r="V33">
        <f>HYPERLINK("https://klasma.github.io/Logging_1981/klagomål/A 59152-2019 FSC-klagomål.docx", "A 59152-2019")</f>
        <v/>
      </c>
      <c r="W33">
        <f>HYPERLINK("https://klasma.github.io/Logging_1981/klagomålsmail/A 59152-2019 FSC-klagomål mail.docx", "A 59152-2019")</f>
        <v/>
      </c>
      <c r="X33">
        <f>HYPERLINK("https://klasma.github.io/Logging_1981/tillsyn/A 59152-2019 tillsynsbegäran.docx", "A 59152-2019")</f>
        <v/>
      </c>
      <c r="Y33">
        <f>HYPERLINK("https://klasma.github.io/Logging_1981/tillsynsmail/A 59152-2019 tillsynsbegäran mail.docx", "A 59152-2019")</f>
        <v/>
      </c>
    </row>
    <row r="34" ht="15" customHeight="1">
      <c r="A34" t="inlineStr">
        <is>
          <t>A 32975-2020</t>
        </is>
      </c>
      <c r="B34" s="1" t="n">
        <v>44020</v>
      </c>
      <c r="C34" s="1" t="n">
        <v>45586</v>
      </c>
      <c r="D34" t="inlineStr">
        <is>
          <t>VÄSTMANLANDS LÄN</t>
        </is>
      </c>
      <c r="E34" t="inlineStr">
        <is>
          <t>SALA</t>
        </is>
      </c>
      <c r="G34" t="n">
        <v>10.1</v>
      </c>
      <c r="H34" t="n">
        <v>2</v>
      </c>
      <c r="I34" t="n">
        <v>0</v>
      </c>
      <c r="J34" t="n">
        <v>0</v>
      </c>
      <c r="K34" t="n">
        <v>1</v>
      </c>
      <c r="L34" t="n">
        <v>0</v>
      </c>
      <c r="M34" t="n">
        <v>0</v>
      </c>
      <c r="N34" t="n">
        <v>0</v>
      </c>
      <c r="O34" t="n">
        <v>1</v>
      </c>
      <c r="P34" t="n">
        <v>1</v>
      </c>
      <c r="Q34" t="n">
        <v>2</v>
      </c>
      <c r="R34" s="2" t="inlineStr">
        <is>
          <t>Knärot
Revlummer</t>
        </is>
      </c>
      <c r="S34">
        <f>HYPERLINK("https://klasma.github.io/Logging_1981/artfynd/A 32975-2020 artfynd.xlsx", "A 32975-2020")</f>
        <v/>
      </c>
      <c r="T34">
        <f>HYPERLINK("https://klasma.github.io/Logging_1981/kartor/A 32975-2020 karta.png", "A 32975-2020")</f>
        <v/>
      </c>
      <c r="U34">
        <f>HYPERLINK("https://klasma.github.io/Logging_1981/knärot/A 32975-2020 karta knärot.png", "A 32975-2020")</f>
        <v/>
      </c>
      <c r="V34">
        <f>HYPERLINK("https://klasma.github.io/Logging_1981/klagomål/A 32975-2020 FSC-klagomål.docx", "A 32975-2020")</f>
        <v/>
      </c>
      <c r="W34">
        <f>HYPERLINK("https://klasma.github.io/Logging_1981/klagomålsmail/A 32975-2020 FSC-klagomål mail.docx", "A 32975-2020")</f>
        <v/>
      </c>
      <c r="X34">
        <f>HYPERLINK("https://klasma.github.io/Logging_1981/tillsyn/A 32975-2020 tillsynsbegäran.docx", "A 32975-2020")</f>
        <v/>
      </c>
      <c r="Y34">
        <f>HYPERLINK("https://klasma.github.io/Logging_1981/tillsynsmail/A 32975-2020 tillsynsbegäran mail.docx", "A 32975-2020")</f>
        <v/>
      </c>
    </row>
    <row r="35" ht="15" customHeight="1">
      <c r="A35" t="inlineStr">
        <is>
          <t>A 54555-2021</t>
        </is>
      </c>
      <c r="B35" s="1" t="n">
        <v>44473</v>
      </c>
      <c r="C35" s="1" t="n">
        <v>45586</v>
      </c>
      <c r="D35" t="inlineStr">
        <is>
          <t>VÄSTMANLANDS LÄN</t>
        </is>
      </c>
      <c r="E35" t="inlineStr">
        <is>
          <t>SALA</t>
        </is>
      </c>
      <c r="G35" t="n">
        <v>13</v>
      </c>
      <c r="H35" t="n">
        <v>0</v>
      </c>
      <c r="I35" t="n">
        <v>1</v>
      </c>
      <c r="J35" t="n">
        <v>1</v>
      </c>
      <c r="K35" t="n">
        <v>0</v>
      </c>
      <c r="L35" t="n">
        <v>0</v>
      </c>
      <c r="M35" t="n">
        <v>0</v>
      </c>
      <c r="N35" t="n">
        <v>0</v>
      </c>
      <c r="O35" t="n">
        <v>1</v>
      </c>
      <c r="P35" t="n">
        <v>0</v>
      </c>
      <c r="Q35" t="n">
        <v>2</v>
      </c>
      <c r="R35" s="2" t="inlineStr">
        <is>
          <t>Storgröe
Stubbspretmossa</t>
        </is>
      </c>
      <c r="S35">
        <f>HYPERLINK("https://klasma.github.io/Logging_1981/artfynd/A 54555-2021 artfynd.xlsx", "A 54555-2021")</f>
        <v/>
      </c>
      <c r="T35">
        <f>HYPERLINK("https://klasma.github.io/Logging_1981/kartor/A 54555-2021 karta.png", "A 54555-2021")</f>
        <v/>
      </c>
      <c r="V35">
        <f>HYPERLINK("https://klasma.github.io/Logging_1981/klagomål/A 54555-2021 FSC-klagomål.docx", "A 54555-2021")</f>
        <v/>
      </c>
      <c r="W35">
        <f>HYPERLINK("https://klasma.github.io/Logging_1981/klagomålsmail/A 54555-2021 FSC-klagomål mail.docx", "A 54555-2021")</f>
        <v/>
      </c>
      <c r="X35">
        <f>HYPERLINK("https://klasma.github.io/Logging_1981/tillsyn/A 54555-2021 tillsynsbegäran.docx", "A 54555-2021")</f>
        <v/>
      </c>
      <c r="Y35">
        <f>HYPERLINK("https://klasma.github.io/Logging_1981/tillsynsmail/A 54555-2021 tillsynsbegäran mail.docx", "A 54555-2021")</f>
        <v/>
      </c>
    </row>
    <row r="36" ht="15" customHeight="1">
      <c r="A36" t="inlineStr">
        <is>
          <t>A 73598-2021</t>
        </is>
      </c>
      <c r="B36" s="1" t="n">
        <v>44552</v>
      </c>
      <c r="C36" s="1" t="n">
        <v>45586</v>
      </c>
      <c r="D36" t="inlineStr">
        <is>
          <t>VÄSTMANLANDS LÄN</t>
        </is>
      </c>
      <c r="E36" t="inlineStr">
        <is>
          <t>SALA</t>
        </is>
      </c>
      <c r="G36" t="n">
        <v>1.3</v>
      </c>
      <c r="H36" t="n">
        <v>1</v>
      </c>
      <c r="I36" t="n">
        <v>1</v>
      </c>
      <c r="J36" t="n">
        <v>0</v>
      </c>
      <c r="K36" t="n">
        <v>0</v>
      </c>
      <c r="L36" t="n">
        <v>0</v>
      </c>
      <c r="M36" t="n">
        <v>0</v>
      </c>
      <c r="N36" t="n">
        <v>0</v>
      </c>
      <c r="O36" t="n">
        <v>0</v>
      </c>
      <c r="P36" t="n">
        <v>0</v>
      </c>
      <c r="Q36" t="n">
        <v>2</v>
      </c>
      <c r="R36" s="2" t="inlineStr">
        <is>
          <t>Kryddspindling
Blåsippa</t>
        </is>
      </c>
      <c r="S36">
        <f>HYPERLINK("https://klasma.github.io/Logging_1981/artfynd/A 73598-2021 artfynd.xlsx", "A 73598-2021")</f>
        <v/>
      </c>
      <c r="T36">
        <f>HYPERLINK("https://klasma.github.io/Logging_1981/kartor/A 73598-2021 karta.png", "A 73598-2021")</f>
        <v/>
      </c>
      <c r="V36">
        <f>HYPERLINK("https://klasma.github.io/Logging_1981/klagomål/A 73598-2021 FSC-klagomål.docx", "A 73598-2021")</f>
        <v/>
      </c>
      <c r="W36">
        <f>HYPERLINK("https://klasma.github.io/Logging_1981/klagomålsmail/A 73598-2021 FSC-klagomål mail.docx", "A 73598-2021")</f>
        <v/>
      </c>
      <c r="X36">
        <f>HYPERLINK("https://klasma.github.io/Logging_1981/tillsyn/A 73598-2021 tillsynsbegäran.docx", "A 73598-2021")</f>
        <v/>
      </c>
      <c r="Y36">
        <f>HYPERLINK("https://klasma.github.io/Logging_1981/tillsynsmail/A 73598-2021 tillsynsbegäran mail.docx", "A 73598-2021")</f>
        <v/>
      </c>
    </row>
    <row r="37" ht="15" customHeight="1">
      <c r="A37" t="inlineStr">
        <is>
          <t>A 1500-2022</t>
        </is>
      </c>
      <c r="B37" s="1" t="n">
        <v>44573</v>
      </c>
      <c r="C37" s="1" t="n">
        <v>45586</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40042-2022</t>
        </is>
      </c>
      <c r="B38" s="1" t="n">
        <v>44819</v>
      </c>
      <c r="C38" s="1" t="n">
        <v>45586</v>
      </c>
      <c r="D38" t="inlineStr">
        <is>
          <t>VÄSTMANLANDS LÄN</t>
        </is>
      </c>
      <c r="E38" t="inlineStr">
        <is>
          <t>SALA</t>
        </is>
      </c>
      <c r="G38" t="n">
        <v>1.7</v>
      </c>
      <c r="H38" t="n">
        <v>2</v>
      </c>
      <c r="I38" t="n">
        <v>0</v>
      </c>
      <c r="J38" t="n">
        <v>0</v>
      </c>
      <c r="K38" t="n">
        <v>1</v>
      </c>
      <c r="L38" t="n">
        <v>0</v>
      </c>
      <c r="M38" t="n">
        <v>0</v>
      </c>
      <c r="N38" t="n">
        <v>0</v>
      </c>
      <c r="O38" t="n">
        <v>1</v>
      </c>
      <c r="P38" t="n">
        <v>1</v>
      </c>
      <c r="Q38" t="n">
        <v>2</v>
      </c>
      <c r="R38" s="2" t="inlineStr">
        <is>
          <t>Knärot
Revlummer</t>
        </is>
      </c>
      <c r="S38">
        <f>HYPERLINK("https://klasma.github.io/Logging_1981/artfynd/A 40042-2022 artfynd.xlsx", "A 40042-2022")</f>
        <v/>
      </c>
      <c r="T38">
        <f>HYPERLINK("https://klasma.github.io/Logging_1981/kartor/A 40042-2022 karta.png", "A 40042-2022")</f>
        <v/>
      </c>
      <c r="U38">
        <f>HYPERLINK("https://klasma.github.io/Logging_1981/knärot/A 40042-2022 karta knärot.png", "A 40042-2022")</f>
        <v/>
      </c>
      <c r="V38">
        <f>HYPERLINK("https://klasma.github.io/Logging_1981/klagomål/A 40042-2022 FSC-klagomål.docx", "A 40042-2022")</f>
        <v/>
      </c>
      <c r="W38">
        <f>HYPERLINK("https://klasma.github.io/Logging_1981/klagomålsmail/A 40042-2022 FSC-klagomål mail.docx", "A 40042-2022")</f>
        <v/>
      </c>
      <c r="X38">
        <f>HYPERLINK("https://klasma.github.io/Logging_1981/tillsyn/A 40042-2022 tillsynsbegäran.docx", "A 40042-2022")</f>
        <v/>
      </c>
      <c r="Y38">
        <f>HYPERLINK("https://klasma.github.io/Logging_1981/tillsynsmail/A 40042-2022 tillsynsbegäran mail.docx", "A 40042-2022")</f>
        <v/>
      </c>
    </row>
    <row r="39" ht="15" customHeight="1">
      <c r="A39" t="inlineStr">
        <is>
          <t>A 52909-2022</t>
        </is>
      </c>
      <c r="B39" s="1" t="n">
        <v>44875</v>
      </c>
      <c r="C39" s="1" t="n">
        <v>45586</v>
      </c>
      <c r="D39" t="inlineStr">
        <is>
          <t>VÄSTMANLANDS LÄN</t>
        </is>
      </c>
      <c r="E39" t="inlineStr">
        <is>
          <t>SALA</t>
        </is>
      </c>
      <c r="G39" t="n">
        <v>0.5</v>
      </c>
      <c r="H39" t="n">
        <v>1</v>
      </c>
      <c r="I39" t="n">
        <v>0</v>
      </c>
      <c r="J39" t="n">
        <v>1</v>
      </c>
      <c r="K39" t="n">
        <v>0</v>
      </c>
      <c r="L39" t="n">
        <v>0</v>
      </c>
      <c r="M39" t="n">
        <v>0</v>
      </c>
      <c r="N39" t="n">
        <v>0</v>
      </c>
      <c r="O39" t="n">
        <v>1</v>
      </c>
      <c r="P39" t="n">
        <v>0</v>
      </c>
      <c r="Q39" t="n">
        <v>2</v>
      </c>
      <c r="R39" s="2" t="inlineStr">
        <is>
          <t>Svinrot
Nattviol</t>
        </is>
      </c>
      <c r="S39">
        <f>HYPERLINK("https://klasma.github.io/Logging_1981/artfynd/A 52909-2022 artfynd.xlsx", "A 52909-2022")</f>
        <v/>
      </c>
      <c r="T39">
        <f>HYPERLINK("https://klasma.github.io/Logging_1981/kartor/A 52909-2022 karta.png", "A 52909-2022")</f>
        <v/>
      </c>
      <c r="V39">
        <f>HYPERLINK("https://klasma.github.io/Logging_1981/klagomål/A 52909-2022 FSC-klagomål.docx", "A 52909-2022")</f>
        <v/>
      </c>
      <c r="W39">
        <f>HYPERLINK("https://klasma.github.io/Logging_1981/klagomålsmail/A 52909-2022 FSC-klagomål mail.docx", "A 52909-2022")</f>
        <v/>
      </c>
      <c r="X39">
        <f>HYPERLINK("https://klasma.github.io/Logging_1981/tillsyn/A 52909-2022 tillsynsbegäran.docx", "A 52909-2022")</f>
        <v/>
      </c>
      <c r="Y39">
        <f>HYPERLINK("https://klasma.github.io/Logging_1981/tillsynsmail/A 52909-2022 tillsynsbegäran mail.docx", "A 52909-2022")</f>
        <v/>
      </c>
    </row>
    <row r="40" ht="15" customHeight="1">
      <c r="A40" t="inlineStr">
        <is>
          <t>A 7747-2023</t>
        </is>
      </c>
      <c r="B40" s="1" t="n">
        <v>44973</v>
      </c>
      <c r="C40" s="1" t="n">
        <v>45586</v>
      </c>
      <c r="D40" t="inlineStr">
        <is>
          <t>VÄSTMANLANDS LÄN</t>
        </is>
      </c>
      <c r="E40" t="inlineStr">
        <is>
          <t>SALA</t>
        </is>
      </c>
      <c r="F40" t="inlineStr">
        <is>
          <t>Övriga Aktiebolag</t>
        </is>
      </c>
      <c r="G40" t="n">
        <v>3.1</v>
      </c>
      <c r="H40" t="n">
        <v>1</v>
      </c>
      <c r="I40" t="n">
        <v>0</v>
      </c>
      <c r="J40" t="n">
        <v>2</v>
      </c>
      <c r="K40" t="n">
        <v>0</v>
      </c>
      <c r="L40" t="n">
        <v>0</v>
      </c>
      <c r="M40" t="n">
        <v>0</v>
      </c>
      <c r="N40" t="n">
        <v>0</v>
      </c>
      <c r="O40" t="n">
        <v>2</v>
      </c>
      <c r="P40" t="n">
        <v>0</v>
      </c>
      <c r="Q40" t="n">
        <v>2</v>
      </c>
      <c r="R40" s="2" t="inlineStr">
        <is>
          <t>Mindre timmerman
Talltita</t>
        </is>
      </c>
      <c r="S40">
        <f>HYPERLINK("https://klasma.github.io/Logging_1981/artfynd/A 7747-2023 artfynd.xlsx", "A 7747-2023")</f>
        <v/>
      </c>
      <c r="T40">
        <f>HYPERLINK("https://klasma.github.io/Logging_1981/kartor/A 7747-2023 karta.png", "A 7747-2023")</f>
        <v/>
      </c>
      <c r="V40">
        <f>HYPERLINK("https://klasma.github.io/Logging_1981/klagomål/A 7747-2023 FSC-klagomål.docx", "A 7747-2023")</f>
        <v/>
      </c>
      <c r="W40">
        <f>HYPERLINK("https://klasma.github.io/Logging_1981/klagomålsmail/A 7747-2023 FSC-klagomål mail.docx", "A 7747-2023")</f>
        <v/>
      </c>
      <c r="X40">
        <f>HYPERLINK("https://klasma.github.io/Logging_1981/tillsyn/A 7747-2023 tillsynsbegäran.docx", "A 7747-2023")</f>
        <v/>
      </c>
      <c r="Y40">
        <f>HYPERLINK("https://klasma.github.io/Logging_1981/tillsynsmail/A 7747-2023 tillsynsbegäran mail.docx", "A 7747-2023")</f>
        <v/>
      </c>
      <c r="Z40">
        <f>HYPERLINK("https://klasma.github.io/Logging_1981/fåglar/A 7747-2023 prioriterade fågelarter.docx", "A 7747-2023")</f>
        <v/>
      </c>
    </row>
    <row r="41" ht="15" customHeight="1">
      <c r="A41" t="inlineStr">
        <is>
          <t>A 13029-2023</t>
        </is>
      </c>
      <c r="B41" s="1" t="n">
        <v>45001</v>
      </c>
      <c r="C41" s="1" t="n">
        <v>45586</v>
      </c>
      <c r="D41" t="inlineStr">
        <is>
          <t>VÄSTMANLANDS LÄN</t>
        </is>
      </c>
      <c r="E41" t="inlineStr">
        <is>
          <t>SALA</t>
        </is>
      </c>
      <c r="G41" t="n">
        <v>2</v>
      </c>
      <c r="H41" t="n">
        <v>0</v>
      </c>
      <c r="I41" t="n">
        <v>0</v>
      </c>
      <c r="J41" t="n">
        <v>2</v>
      </c>
      <c r="K41" t="n">
        <v>0</v>
      </c>
      <c r="L41" t="n">
        <v>0</v>
      </c>
      <c r="M41" t="n">
        <v>0</v>
      </c>
      <c r="N41" t="n">
        <v>0</v>
      </c>
      <c r="O41" t="n">
        <v>2</v>
      </c>
      <c r="P41" t="n">
        <v>0</v>
      </c>
      <c r="Q41" t="n">
        <v>2</v>
      </c>
      <c r="R41" s="2" t="inlineStr">
        <is>
          <t>Krusfrö
Linmåra/småsnärjmåra</t>
        </is>
      </c>
      <c r="S41">
        <f>HYPERLINK("https://klasma.github.io/Logging_1981/artfynd/A 13029-2023 artfynd.xlsx", "A 13029-2023")</f>
        <v/>
      </c>
      <c r="T41">
        <f>HYPERLINK("https://klasma.github.io/Logging_1981/kartor/A 13029-2023 karta.png", "A 13029-2023")</f>
        <v/>
      </c>
      <c r="V41">
        <f>HYPERLINK("https://klasma.github.io/Logging_1981/klagomål/A 13029-2023 FSC-klagomål.docx", "A 13029-2023")</f>
        <v/>
      </c>
      <c r="W41">
        <f>HYPERLINK("https://klasma.github.io/Logging_1981/klagomålsmail/A 13029-2023 FSC-klagomål mail.docx", "A 13029-2023")</f>
        <v/>
      </c>
      <c r="X41">
        <f>HYPERLINK("https://klasma.github.io/Logging_1981/tillsyn/A 13029-2023 tillsynsbegäran.docx", "A 13029-2023")</f>
        <v/>
      </c>
      <c r="Y41">
        <f>HYPERLINK("https://klasma.github.io/Logging_1981/tillsynsmail/A 13029-2023 tillsynsbegäran mail.docx", "A 13029-2023")</f>
        <v/>
      </c>
    </row>
    <row r="42" ht="15" customHeight="1">
      <c r="A42" t="inlineStr">
        <is>
          <t>A 27499-2023</t>
        </is>
      </c>
      <c r="B42" s="1" t="n">
        <v>45097</v>
      </c>
      <c r="C42" s="1" t="n">
        <v>45586</v>
      </c>
      <c r="D42" t="inlineStr">
        <is>
          <t>VÄSTMANLANDS LÄN</t>
        </is>
      </c>
      <c r="E42" t="inlineStr">
        <is>
          <t>SALA</t>
        </is>
      </c>
      <c r="G42" t="n">
        <v>9.5</v>
      </c>
      <c r="H42" t="n">
        <v>0</v>
      </c>
      <c r="I42" t="n">
        <v>1</v>
      </c>
      <c r="J42" t="n">
        <v>1</v>
      </c>
      <c r="K42" t="n">
        <v>0</v>
      </c>
      <c r="L42" t="n">
        <v>0</v>
      </c>
      <c r="M42" t="n">
        <v>0</v>
      </c>
      <c r="N42" t="n">
        <v>0</v>
      </c>
      <c r="O42" t="n">
        <v>1</v>
      </c>
      <c r="P42" t="n">
        <v>0</v>
      </c>
      <c r="Q42" t="n">
        <v>2</v>
      </c>
      <c r="R42" s="2" t="inlineStr">
        <is>
          <t>Motaggsvamp
Dropptaggsvamp</t>
        </is>
      </c>
      <c r="S42">
        <f>HYPERLINK("https://klasma.github.io/Logging_1981/artfynd/A 27499-2023 artfynd.xlsx", "A 27499-2023")</f>
        <v/>
      </c>
      <c r="T42">
        <f>HYPERLINK("https://klasma.github.io/Logging_1981/kartor/A 27499-2023 karta.png", "A 27499-2023")</f>
        <v/>
      </c>
      <c r="V42">
        <f>HYPERLINK("https://klasma.github.io/Logging_1981/klagomål/A 27499-2023 FSC-klagomål.docx", "A 27499-2023")</f>
        <v/>
      </c>
      <c r="W42">
        <f>HYPERLINK("https://klasma.github.io/Logging_1981/klagomålsmail/A 27499-2023 FSC-klagomål mail.docx", "A 27499-2023")</f>
        <v/>
      </c>
      <c r="X42">
        <f>HYPERLINK("https://klasma.github.io/Logging_1981/tillsyn/A 27499-2023 tillsynsbegäran.docx", "A 27499-2023")</f>
        <v/>
      </c>
      <c r="Y42">
        <f>HYPERLINK("https://klasma.github.io/Logging_1981/tillsynsmail/A 27499-2023 tillsynsbegäran mail.docx", "A 27499-2023")</f>
        <v/>
      </c>
    </row>
    <row r="43" ht="15" customHeight="1">
      <c r="A43" t="inlineStr">
        <is>
          <t>A 34752-2023</t>
        </is>
      </c>
      <c r="B43" s="1" t="n">
        <v>45141</v>
      </c>
      <c r="C43" s="1" t="n">
        <v>45586</v>
      </c>
      <c r="D43" t="inlineStr">
        <is>
          <t>VÄSTMANLANDS LÄN</t>
        </is>
      </c>
      <c r="E43" t="inlineStr">
        <is>
          <t>SALA</t>
        </is>
      </c>
      <c r="G43" t="n">
        <v>4.9</v>
      </c>
      <c r="H43" t="n">
        <v>1</v>
      </c>
      <c r="I43" t="n">
        <v>0</v>
      </c>
      <c r="J43" t="n">
        <v>0</v>
      </c>
      <c r="K43" t="n">
        <v>2</v>
      </c>
      <c r="L43" t="n">
        <v>0</v>
      </c>
      <c r="M43" t="n">
        <v>0</v>
      </c>
      <c r="N43" t="n">
        <v>0</v>
      </c>
      <c r="O43" t="n">
        <v>2</v>
      </c>
      <c r="P43" t="n">
        <v>2</v>
      </c>
      <c r="Q43" t="n">
        <v>2</v>
      </c>
      <c r="R43" s="2" t="inlineStr">
        <is>
          <t>Knärot
Sprickporing</t>
        </is>
      </c>
      <c r="S43">
        <f>HYPERLINK("https://klasma.github.io/Logging_1981/artfynd/A 34752-2023 artfynd.xlsx", "A 34752-2023")</f>
        <v/>
      </c>
      <c r="T43">
        <f>HYPERLINK("https://klasma.github.io/Logging_1981/kartor/A 34752-2023 karta.png", "A 34752-2023")</f>
        <v/>
      </c>
      <c r="U43">
        <f>HYPERLINK("https://klasma.github.io/Logging_1981/knärot/A 34752-2023 karta knärot.png", "A 34752-2023")</f>
        <v/>
      </c>
      <c r="V43">
        <f>HYPERLINK("https://klasma.github.io/Logging_1981/klagomål/A 34752-2023 FSC-klagomål.docx", "A 34752-2023")</f>
        <v/>
      </c>
      <c r="W43">
        <f>HYPERLINK("https://klasma.github.io/Logging_1981/klagomålsmail/A 34752-2023 FSC-klagomål mail.docx", "A 34752-2023")</f>
        <v/>
      </c>
      <c r="X43">
        <f>HYPERLINK("https://klasma.github.io/Logging_1981/tillsyn/A 34752-2023 tillsynsbegäran.docx", "A 34752-2023")</f>
        <v/>
      </c>
      <c r="Y43">
        <f>HYPERLINK("https://klasma.github.io/Logging_1981/tillsynsmail/A 34752-2023 tillsynsbegäran mail.docx", "A 34752-2023")</f>
        <v/>
      </c>
    </row>
    <row r="44" ht="15" customHeight="1">
      <c r="A44" t="inlineStr">
        <is>
          <t>A 59780-2023</t>
        </is>
      </c>
      <c r="B44" s="1" t="n">
        <v>45257</v>
      </c>
      <c r="C44" s="1" t="n">
        <v>45586</v>
      </c>
      <c r="D44" t="inlineStr">
        <is>
          <t>VÄSTMANLANDS LÄN</t>
        </is>
      </c>
      <c r="E44" t="inlineStr">
        <is>
          <t>SALA</t>
        </is>
      </c>
      <c r="G44" t="n">
        <v>5.9</v>
      </c>
      <c r="H44" t="n">
        <v>1</v>
      </c>
      <c r="I44" t="n">
        <v>0</v>
      </c>
      <c r="J44" t="n">
        <v>1</v>
      </c>
      <c r="K44" t="n">
        <v>1</v>
      </c>
      <c r="L44" t="n">
        <v>0</v>
      </c>
      <c r="M44" t="n">
        <v>0</v>
      </c>
      <c r="N44" t="n">
        <v>0</v>
      </c>
      <c r="O44" t="n">
        <v>2</v>
      </c>
      <c r="P44" t="n">
        <v>1</v>
      </c>
      <c r="Q44" t="n">
        <v>2</v>
      </c>
      <c r="R44" s="2" t="inlineStr">
        <is>
          <t>Knärot
Vedtrappmossa</t>
        </is>
      </c>
      <c r="S44">
        <f>HYPERLINK("https://klasma.github.io/Logging_1981/artfynd/A 59780-2023 artfynd.xlsx", "A 59780-2023")</f>
        <v/>
      </c>
      <c r="T44">
        <f>HYPERLINK("https://klasma.github.io/Logging_1981/kartor/A 59780-2023 karta.png", "A 59780-2023")</f>
        <v/>
      </c>
      <c r="U44">
        <f>HYPERLINK("https://klasma.github.io/Logging_1981/knärot/A 59780-2023 karta knärot.png", "A 59780-2023")</f>
        <v/>
      </c>
      <c r="V44">
        <f>HYPERLINK("https://klasma.github.io/Logging_1981/klagomål/A 59780-2023 FSC-klagomål.docx", "A 59780-2023")</f>
        <v/>
      </c>
      <c r="W44">
        <f>HYPERLINK("https://klasma.github.io/Logging_1981/klagomålsmail/A 59780-2023 FSC-klagomål mail.docx", "A 59780-2023")</f>
        <v/>
      </c>
      <c r="X44">
        <f>HYPERLINK("https://klasma.github.io/Logging_1981/tillsyn/A 59780-2023 tillsynsbegäran.docx", "A 59780-2023")</f>
        <v/>
      </c>
      <c r="Y44">
        <f>HYPERLINK("https://klasma.github.io/Logging_1981/tillsynsmail/A 59780-2023 tillsynsbegäran mail.docx", "A 59780-2023")</f>
        <v/>
      </c>
    </row>
    <row r="45" ht="15" customHeight="1">
      <c r="A45" t="inlineStr">
        <is>
          <t>A 4261-2024</t>
        </is>
      </c>
      <c r="B45" s="1" t="n">
        <v>45324</v>
      </c>
      <c r="C45" s="1" t="n">
        <v>45586</v>
      </c>
      <c r="D45" t="inlineStr">
        <is>
          <t>VÄSTMANLANDS LÄN</t>
        </is>
      </c>
      <c r="E45" t="inlineStr">
        <is>
          <t>SALA</t>
        </is>
      </c>
      <c r="G45" t="n">
        <v>5.7</v>
      </c>
      <c r="H45" t="n">
        <v>0</v>
      </c>
      <c r="I45" t="n">
        <v>1</v>
      </c>
      <c r="J45" t="n">
        <v>1</v>
      </c>
      <c r="K45" t="n">
        <v>0</v>
      </c>
      <c r="L45" t="n">
        <v>0</v>
      </c>
      <c r="M45" t="n">
        <v>0</v>
      </c>
      <c r="N45" t="n">
        <v>0</v>
      </c>
      <c r="O45" t="n">
        <v>1</v>
      </c>
      <c r="P45" t="n">
        <v>0</v>
      </c>
      <c r="Q45" t="n">
        <v>2</v>
      </c>
      <c r="R45" s="2" t="inlineStr">
        <is>
          <t>Ullticka
Västlig hakmossa</t>
        </is>
      </c>
      <c r="S45">
        <f>HYPERLINK("https://klasma.github.io/Logging_1981/artfynd/A 4261-2024 artfynd.xlsx", "A 4261-2024")</f>
        <v/>
      </c>
      <c r="T45">
        <f>HYPERLINK("https://klasma.github.io/Logging_1981/kartor/A 4261-2024 karta.png", "A 4261-2024")</f>
        <v/>
      </c>
      <c r="V45">
        <f>HYPERLINK("https://klasma.github.io/Logging_1981/klagomål/A 4261-2024 FSC-klagomål.docx", "A 4261-2024")</f>
        <v/>
      </c>
      <c r="W45">
        <f>HYPERLINK("https://klasma.github.io/Logging_1981/klagomålsmail/A 4261-2024 FSC-klagomål mail.docx", "A 4261-2024")</f>
        <v/>
      </c>
      <c r="X45">
        <f>HYPERLINK("https://klasma.github.io/Logging_1981/tillsyn/A 4261-2024 tillsynsbegäran.docx", "A 4261-2024")</f>
        <v/>
      </c>
      <c r="Y45">
        <f>HYPERLINK("https://klasma.github.io/Logging_1981/tillsynsmail/A 4261-2024 tillsynsbegäran mail.docx", "A 4261-2024")</f>
        <v/>
      </c>
    </row>
    <row r="46" ht="15" customHeight="1">
      <c r="A46" t="inlineStr">
        <is>
          <t>A 9921-2024</t>
        </is>
      </c>
      <c r="B46" s="1" t="n">
        <v>45363</v>
      </c>
      <c r="C46" s="1" t="n">
        <v>45586</v>
      </c>
      <c r="D46" t="inlineStr">
        <is>
          <t>VÄSTMANLANDS LÄN</t>
        </is>
      </c>
      <c r="E46" t="inlineStr">
        <is>
          <t>SALA</t>
        </is>
      </c>
      <c r="G46" t="n">
        <v>5.6</v>
      </c>
      <c r="H46" t="n">
        <v>0</v>
      </c>
      <c r="I46" t="n">
        <v>1</v>
      </c>
      <c r="J46" t="n">
        <v>1</v>
      </c>
      <c r="K46" t="n">
        <v>0</v>
      </c>
      <c r="L46" t="n">
        <v>0</v>
      </c>
      <c r="M46" t="n">
        <v>0</v>
      </c>
      <c r="N46" t="n">
        <v>0</v>
      </c>
      <c r="O46" t="n">
        <v>1</v>
      </c>
      <c r="P46" t="n">
        <v>0</v>
      </c>
      <c r="Q46" t="n">
        <v>2</v>
      </c>
      <c r="R46" s="2" t="inlineStr">
        <is>
          <t>Leptoporus erubescens
Vedticka</t>
        </is>
      </c>
      <c r="S46">
        <f>HYPERLINK("https://klasma.github.io/Logging_1981/artfynd/A 9921-2024 artfynd.xlsx", "A 9921-2024")</f>
        <v/>
      </c>
      <c r="T46">
        <f>HYPERLINK("https://klasma.github.io/Logging_1981/kartor/A 9921-2024 karta.png", "A 9921-2024")</f>
        <v/>
      </c>
      <c r="U46">
        <f>HYPERLINK("https://klasma.github.io/Logging_1981/knärot/A 9921-2024 karta knärot.png", "A 9921-2024")</f>
        <v/>
      </c>
      <c r="V46">
        <f>HYPERLINK("https://klasma.github.io/Logging_1981/klagomål/A 9921-2024 FSC-klagomål.docx", "A 9921-2024")</f>
        <v/>
      </c>
      <c r="W46">
        <f>HYPERLINK("https://klasma.github.io/Logging_1981/klagomålsmail/A 9921-2024 FSC-klagomål mail.docx", "A 9921-2024")</f>
        <v/>
      </c>
      <c r="X46">
        <f>HYPERLINK("https://klasma.github.io/Logging_1981/tillsyn/A 9921-2024 tillsynsbegäran.docx", "A 9921-2024")</f>
        <v/>
      </c>
      <c r="Y46">
        <f>HYPERLINK("https://klasma.github.io/Logging_1981/tillsynsmail/A 9921-2024 tillsynsbegäran mail.docx", "A 9921-2024")</f>
        <v/>
      </c>
    </row>
    <row r="47" ht="15" customHeight="1">
      <c r="A47" t="inlineStr">
        <is>
          <t>A 10552-2024</t>
        </is>
      </c>
      <c r="B47" s="1" t="n">
        <v>45366</v>
      </c>
      <c r="C47" s="1" t="n">
        <v>45586</v>
      </c>
      <c r="D47" t="inlineStr">
        <is>
          <t>VÄSTMANLANDS LÄN</t>
        </is>
      </c>
      <c r="E47" t="inlineStr">
        <is>
          <t>SALA</t>
        </is>
      </c>
      <c r="G47" t="n">
        <v>6.5</v>
      </c>
      <c r="H47" t="n">
        <v>2</v>
      </c>
      <c r="I47" t="n">
        <v>1</v>
      </c>
      <c r="J47" t="n">
        <v>0</v>
      </c>
      <c r="K47" t="n">
        <v>0</v>
      </c>
      <c r="L47" t="n">
        <v>0</v>
      </c>
      <c r="M47" t="n">
        <v>0</v>
      </c>
      <c r="N47" t="n">
        <v>0</v>
      </c>
      <c r="O47" t="n">
        <v>0</v>
      </c>
      <c r="P47" t="n">
        <v>0</v>
      </c>
      <c r="Q47" t="n">
        <v>2</v>
      </c>
      <c r="R47" s="2" t="inlineStr">
        <is>
          <t>Plattlummer
Fläcknycklar</t>
        </is>
      </c>
      <c r="S47">
        <f>HYPERLINK("https://klasma.github.io/Logging_1981/artfynd/A 10552-2024 artfynd.xlsx", "A 10552-2024")</f>
        <v/>
      </c>
      <c r="T47">
        <f>HYPERLINK("https://klasma.github.io/Logging_1981/kartor/A 10552-2024 karta.png", "A 10552-2024")</f>
        <v/>
      </c>
      <c r="V47">
        <f>HYPERLINK("https://klasma.github.io/Logging_1981/klagomål/A 10552-2024 FSC-klagomål.docx", "A 10552-2024")</f>
        <v/>
      </c>
      <c r="W47">
        <f>HYPERLINK("https://klasma.github.io/Logging_1981/klagomålsmail/A 10552-2024 FSC-klagomål mail.docx", "A 10552-2024")</f>
        <v/>
      </c>
      <c r="X47">
        <f>HYPERLINK("https://klasma.github.io/Logging_1981/tillsyn/A 10552-2024 tillsynsbegäran.docx", "A 10552-2024")</f>
        <v/>
      </c>
      <c r="Y47">
        <f>HYPERLINK("https://klasma.github.io/Logging_1981/tillsynsmail/A 10552-2024 tillsynsbegäran mail.docx", "A 10552-2024")</f>
        <v/>
      </c>
    </row>
    <row r="48" ht="15" customHeight="1">
      <c r="A48" t="inlineStr">
        <is>
          <t>A 12444-2024</t>
        </is>
      </c>
      <c r="B48" s="1" t="n">
        <v>45379</v>
      </c>
      <c r="C48" s="1" t="n">
        <v>45586</v>
      </c>
      <c r="D48" t="inlineStr">
        <is>
          <t>VÄSTMANLANDS LÄN</t>
        </is>
      </c>
      <c r="E48" t="inlineStr">
        <is>
          <t>SALA</t>
        </is>
      </c>
      <c r="G48" t="n">
        <v>5.5</v>
      </c>
      <c r="H48" t="n">
        <v>0</v>
      </c>
      <c r="I48" t="n">
        <v>1</v>
      </c>
      <c r="J48" t="n">
        <v>1</v>
      </c>
      <c r="K48" t="n">
        <v>0</v>
      </c>
      <c r="L48" t="n">
        <v>0</v>
      </c>
      <c r="M48" t="n">
        <v>0</v>
      </c>
      <c r="N48" t="n">
        <v>0</v>
      </c>
      <c r="O48" t="n">
        <v>1</v>
      </c>
      <c r="P48" t="n">
        <v>0</v>
      </c>
      <c r="Q48" t="n">
        <v>2</v>
      </c>
      <c r="R48" s="2" t="inlineStr">
        <is>
          <t>Ullticka
Stuplav</t>
        </is>
      </c>
      <c r="S48">
        <f>HYPERLINK("https://klasma.github.io/Logging_1981/artfynd/A 12444-2024 artfynd.xlsx", "A 12444-2024")</f>
        <v/>
      </c>
      <c r="T48">
        <f>HYPERLINK("https://klasma.github.io/Logging_1981/kartor/A 12444-2024 karta.png", "A 12444-2024")</f>
        <v/>
      </c>
      <c r="U48">
        <f>HYPERLINK("https://klasma.github.io/Logging_1981/knärot/A 12444-2024 karta knärot.png", "A 12444-2024")</f>
        <v/>
      </c>
      <c r="V48">
        <f>HYPERLINK("https://klasma.github.io/Logging_1981/klagomål/A 12444-2024 FSC-klagomål.docx", "A 12444-2024")</f>
        <v/>
      </c>
      <c r="W48">
        <f>HYPERLINK("https://klasma.github.io/Logging_1981/klagomålsmail/A 12444-2024 FSC-klagomål mail.docx", "A 12444-2024")</f>
        <v/>
      </c>
      <c r="X48">
        <f>HYPERLINK("https://klasma.github.io/Logging_1981/tillsyn/A 12444-2024 tillsynsbegäran.docx", "A 12444-2024")</f>
        <v/>
      </c>
      <c r="Y48">
        <f>HYPERLINK("https://klasma.github.io/Logging_1981/tillsynsmail/A 12444-2024 tillsynsbegäran mail.docx", "A 12444-2024")</f>
        <v/>
      </c>
    </row>
    <row r="49" ht="15" customHeight="1">
      <c r="A49" t="inlineStr">
        <is>
          <t>A 40493-2024</t>
        </is>
      </c>
      <c r="B49" s="1" t="n">
        <v>45555</v>
      </c>
      <c r="C49" s="1" t="n">
        <v>45586</v>
      </c>
      <c r="D49" t="inlineStr">
        <is>
          <t>VÄSTMANLANDS LÄN</t>
        </is>
      </c>
      <c r="E49" t="inlineStr">
        <is>
          <t>SALA</t>
        </is>
      </c>
      <c r="G49" t="n">
        <v>3.8</v>
      </c>
      <c r="H49" t="n">
        <v>0</v>
      </c>
      <c r="I49" t="n">
        <v>1</v>
      </c>
      <c r="J49" t="n">
        <v>1</v>
      </c>
      <c r="K49" t="n">
        <v>0</v>
      </c>
      <c r="L49" t="n">
        <v>0</v>
      </c>
      <c r="M49" t="n">
        <v>0</v>
      </c>
      <c r="N49" t="n">
        <v>0</v>
      </c>
      <c r="O49" t="n">
        <v>1</v>
      </c>
      <c r="P49" t="n">
        <v>0</v>
      </c>
      <c r="Q49" t="n">
        <v>2</v>
      </c>
      <c r="R49" s="2" t="inlineStr">
        <is>
          <t>Vedskivlav
Dropptaggsvamp</t>
        </is>
      </c>
      <c r="S49">
        <f>HYPERLINK("https://klasma.github.io/Logging_1981/artfynd/A 40493-2024 artfynd.xlsx", "A 40493-2024")</f>
        <v/>
      </c>
      <c r="T49">
        <f>HYPERLINK("https://klasma.github.io/Logging_1981/kartor/A 40493-2024 karta.png", "A 40493-2024")</f>
        <v/>
      </c>
      <c r="V49">
        <f>HYPERLINK("https://klasma.github.io/Logging_1981/klagomål/A 40493-2024 FSC-klagomål.docx", "A 40493-2024")</f>
        <v/>
      </c>
      <c r="W49">
        <f>HYPERLINK("https://klasma.github.io/Logging_1981/klagomålsmail/A 40493-2024 FSC-klagomål mail.docx", "A 40493-2024")</f>
        <v/>
      </c>
      <c r="X49">
        <f>HYPERLINK("https://klasma.github.io/Logging_1981/tillsyn/A 40493-2024 tillsynsbegäran.docx", "A 40493-2024")</f>
        <v/>
      </c>
      <c r="Y49">
        <f>HYPERLINK("https://klasma.github.io/Logging_1981/tillsynsmail/A 40493-2024 tillsynsbegäran mail.docx", "A 40493-2024")</f>
        <v/>
      </c>
    </row>
    <row r="50" ht="15" customHeight="1">
      <c r="A50" t="inlineStr">
        <is>
          <t>A 47716-2019</t>
        </is>
      </c>
      <c r="B50" s="1" t="n">
        <v>43724</v>
      </c>
      <c r="C50" s="1" t="n">
        <v>45586</v>
      </c>
      <c r="D50" t="inlineStr">
        <is>
          <t>VÄSTMANLANDS LÄN</t>
        </is>
      </c>
      <c r="E50" t="inlineStr">
        <is>
          <t>SALA</t>
        </is>
      </c>
      <c r="G50" t="n">
        <v>5</v>
      </c>
      <c r="H50" t="n">
        <v>0</v>
      </c>
      <c r="I50" t="n">
        <v>0</v>
      </c>
      <c r="J50" t="n">
        <v>0</v>
      </c>
      <c r="K50" t="n">
        <v>0</v>
      </c>
      <c r="L50" t="n">
        <v>0</v>
      </c>
      <c r="M50" t="n">
        <v>1</v>
      </c>
      <c r="N50" t="n">
        <v>0</v>
      </c>
      <c r="O50" t="n">
        <v>1</v>
      </c>
      <c r="P50" t="n">
        <v>1</v>
      </c>
      <c r="Q50" t="n">
        <v>1</v>
      </c>
      <c r="R50" s="2" t="inlineStr">
        <is>
          <t>Skogsalm</t>
        </is>
      </c>
      <c r="S50">
        <f>HYPERLINK("https://klasma.github.io/Logging_1981/artfynd/A 47716-2019 artfynd.xlsx", "A 47716-2019")</f>
        <v/>
      </c>
      <c r="T50">
        <f>HYPERLINK("https://klasma.github.io/Logging_1981/kartor/A 47716-2019 karta.png", "A 47716-2019")</f>
        <v/>
      </c>
      <c r="V50">
        <f>HYPERLINK("https://klasma.github.io/Logging_1981/klagomål/A 47716-2019 FSC-klagomål.docx", "A 47716-2019")</f>
        <v/>
      </c>
      <c r="W50">
        <f>HYPERLINK("https://klasma.github.io/Logging_1981/klagomålsmail/A 47716-2019 FSC-klagomål mail.docx", "A 47716-2019")</f>
        <v/>
      </c>
      <c r="X50">
        <f>HYPERLINK("https://klasma.github.io/Logging_1981/tillsyn/A 47716-2019 tillsynsbegäran.docx", "A 47716-2019")</f>
        <v/>
      </c>
      <c r="Y50">
        <f>HYPERLINK("https://klasma.github.io/Logging_1981/tillsynsmail/A 47716-2019 tillsynsbegäran mail.docx", "A 47716-2019")</f>
        <v/>
      </c>
    </row>
    <row r="51" ht="15" customHeight="1">
      <c r="A51" t="inlineStr">
        <is>
          <t>A 52753-2019</t>
        </is>
      </c>
      <c r="B51" s="1" t="n">
        <v>43739</v>
      </c>
      <c r="C51" s="1" t="n">
        <v>45586</v>
      </c>
      <c r="D51" t="inlineStr">
        <is>
          <t>VÄSTMANLANDS LÄN</t>
        </is>
      </c>
      <c r="E51" t="inlineStr">
        <is>
          <t>SALA</t>
        </is>
      </c>
      <c r="G51" t="n">
        <v>4.9</v>
      </c>
      <c r="H51" t="n">
        <v>1</v>
      </c>
      <c r="I51" t="n">
        <v>0</v>
      </c>
      <c r="J51" t="n">
        <v>0</v>
      </c>
      <c r="K51" t="n">
        <v>1</v>
      </c>
      <c r="L51" t="n">
        <v>0</v>
      </c>
      <c r="M51" t="n">
        <v>0</v>
      </c>
      <c r="N51" t="n">
        <v>0</v>
      </c>
      <c r="O51" t="n">
        <v>1</v>
      </c>
      <c r="P51" t="n">
        <v>1</v>
      </c>
      <c r="Q51" t="n">
        <v>1</v>
      </c>
      <c r="R51" s="2" t="inlineStr">
        <is>
          <t>Knärot</t>
        </is>
      </c>
      <c r="S51">
        <f>HYPERLINK("https://klasma.github.io/Logging_1981/artfynd/A 52753-2019 artfynd.xlsx", "A 52753-2019")</f>
        <v/>
      </c>
      <c r="T51">
        <f>HYPERLINK("https://klasma.github.io/Logging_1981/kartor/A 52753-2019 karta.png", "A 52753-2019")</f>
        <v/>
      </c>
      <c r="U51">
        <f>HYPERLINK("https://klasma.github.io/Logging_1981/knärot/A 52753-2019 karta knärot.png", "A 52753-2019")</f>
        <v/>
      </c>
      <c r="V51">
        <f>HYPERLINK("https://klasma.github.io/Logging_1981/klagomål/A 52753-2019 FSC-klagomål.docx", "A 52753-2019")</f>
        <v/>
      </c>
      <c r="W51">
        <f>HYPERLINK("https://klasma.github.io/Logging_1981/klagomålsmail/A 52753-2019 FSC-klagomål mail.docx", "A 52753-2019")</f>
        <v/>
      </c>
      <c r="X51">
        <f>HYPERLINK("https://klasma.github.io/Logging_1981/tillsyn/A 52753-2019 tillsynsbegäran.docx", "A 52753-2019")</f>
        <v/>
      </c>
      <c r="Y51">
        <f>HYPERLINK("https://klasma.github.io/Logging_1981/tillsynsmail/A 52753-2019 tillsynsbegäran mail.docx", "A 52753-2019")</f>
        <v/>
      </c>
    </row>
    <row r="52" ht="15" customHeight="1">
      <c r="A52" t="inlineStr">
        <is>
          <t>A 8432-2020</t>
        </is>
      </c>
      <c r="B52" s="1" t="n">
        <v>43875</v>
      </c>
      <c r="C52" s="1" t="n">
        <v>45586</v>
      </c>
      <c r="D52" t="inlineStr">
        <is>
          <t>VÄSTMANLANDS LÄN</t>
        </is>
      </c>
      <c r="E52" t="inlineStr">
        <is>
          <t>SALA</t>
        </is>
      </c>
      <c r="G52" t="n">
        <v>2</v>
      </c>
      <c r="H52" t="n">
        <v>1</v>
      </c>
      <c r="I52" t="n">
        <v>0</v>
      </c>
      <c r="J52" t="n">
        <v>0</v>
      </c>
      <c r="K52" t="n">
        <v>1</v>
      </c>
      <c r="L52" t="n">
        <v>0</v>
      </c>
      <c r="M52" t="n">
        <v>0</v>
      </c>
      <c r="N52" t="n">
        <v>0</v>
      </c>
      <c r="O52" t="n">
        <v>1</v>
      </c>
      <c r="P52" t="n">
        <v>1</v>
      </c>
      <c r="Q52" t="n">
        <v>1</v>
      </c>
      <c r="R52" s="2" t="inlineStr">
        <is>
          <t>Bombmurkla</t>
        </is>
      </c>
      <c r="S52">
        <f>HYPERLINK("https://klasma.github.io/Logging_1981/artfynd/A 8432-2020 artfynd.xlsx", "A 8432-2020")</f>
        <v/>
      </c>
      <c r="T52">
        <f>HYPERLINK("https://klasma.github.io/Logging_1981/kartor/A 8432-2020 karta.png", "A 8432-2020")</f>
        <v/>
      </c>
      <c r="V52">
        <f>HYPERLINK("https://klasma.github.io/Logging_1981/klagomål/A 8432-2020 FSC-klagomål.docx", "A 8432-2020")</f>
        <v/>
      </c>
      <c r="W52">
        <f>HYPERLINK("https://klasma.github.io/Logging_1981/klagomålsmail/A 8432-2020 FSC-klagomål mail.docx", "A 8432-2020")</f>
        <v/>
      </c>
      <c r="X52">
        <f>HYPERLINK("https://klasma.github.io/Logging_1981/tillsyn/A 8432-2020 tillsynsbegäran.docx", "A 8432-2020")</f>
        <v/>
      </c>
      <c r="Y52">
        <f>HYPERLINK("https://klasma.github.io/Logging_1981/tillsynsmail/A 8432-2020 tillsynsbegäran mail.docx", "A 8432-2020")</f>
        <v/>
      </c>
    </row>
    <row r="53" ht="15" customHeight="1">
      <c r="A53" t="inlineStr">
        <is>
          <t>A 13671-2020</t>
        </is>
      </c>
      <c r="B53" s="1" t="n">
        <v>43903</v>
      </c>
      <c r="C53" s="1" t="n">
        <v>45586</v>
      </c>
      <c r="D53" t="inlineStr">
        <is>
          <t>VÄSTMANLANDS LÄN</t>
        </is>
      </c>
      <c r="E53" t="inlineStr">
        <is>
          <t>SALA</t>
        </is>
      </c>
      <c r="G53" t="n">
        <v>2.5</v>
      </c>
      <c r="H53" t="n">
        <v>1</v>
      </c>
      <c r="I53" t="n">
        <v>0</v>
      </c>
      <c r="J53" t="n">
        <v>0</v>
      </c>
      <c r="K53" t="n">
        <v>0</v>
      </c>
      <c r="L53" t="n">
        <v>0</v>
      </c>
      <c r="M53" t="n">
        <v>0</v>
      </c>
      <c r="N53" t="n">
        <v>0</v>
      </c>
      <c r="O53" t="n">
        <v>0</v>
      </c>
      <c r="P53" t="n">
        <v>0</v>
      </c>
      <c r="Q53" t="n">
        <v>1</v>
      </c>
      <c r="R53" s="2" t="inlineStr">
        <is>
          <t>Revlummer</t>
        </is>
      </c>
      <c r="S53">
        <f>HYPERLINK("https://klasma.github.io/Logging_1981/artfynd/A 13671-2020 artfynd.xlsx", "A 13671-2020")</f>
        <v/>
      </c>
      <c r="T53">
        <f>HYPERLINK("https://klasma.github.io/Logging_1981/kartor/A 13671-2020 karta.png", "A 13671-2020")</f>
        <v/>
      </c>
      <c r="V53">
        <f>HYPERLINK("https://klasma.github.io/Logging_1981/klagomål/A 13671-2020 FSC-klagomål.docx", "A 13671-2020")</f>
        <v/>
      </c>
      <c r="W53">
        <f>HYPERLINK("https://klasma.github.io/Logging_1981/klagomålsmail/A 13671-2020 FSC-klagomål mail.docx", "A 13671-2020")</f>
        <v/>
      </c>
      <c r="X53">
        <f>HYPERLINK("https://klasma.github.io/Logging_1981/tillsyn/A 13671-2020 tillsynsbegäran.docx", "A 13671-2020")</f>
        <v/>
      </c>
      <c r="Y53">
        <f>HYPERLINK("https://klasma.github.io/Logging_1981/tillsynsmail/A 13671-2020 tillsynsbegäran mail.docx", "A 13671-2020")</f>
        <v/>
      </c>
    </row>
    <row r="54" ht="15" customHeight="1">
      <c r="A54" t="inlineStr">
        <is>
          <t>A 39800-2020</t>
        </is>
      </c>
      <c r="B54" s="1" t="n">
        <v>44067</v>
      </c>
      <c r="C54" s="1" t="n">
        <v>45586</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39800-2020 artfynd.xlsx", "A 39800-2020")</f>
        <v/>
      </c>
      <c r="T54">
        <f>HYPERLINK("https://klasma.github.io/Logging_1981/kartor/A 39800-2020 karta.png", "A 39800-2020")</f>
        <v/>
      </c>
      <c r="V54">
        <f>HYPERLINK("https://klasma.github.io/Logging_1981/klagomål/A 39800-2020 FSC-klagomål.docx", "A 39800-2020")</f>
        <v/>
      </c>
      <c r="W54">
        <f>HYPERLINK("https://klasma.github.io/Logging_1981/klagomålsmail/A 39800-2020 FSC-klagomål mail.docx", "A 39800-2020")</f>
        <v/>
      </c>
      <c r="X54">
        <f>HYPERLINK("https://klasma.github.io/Logging_1981/tillsyn/A 39800-2020 tillsynsbegäran.docx", "A 39800-2020")</f>
        <v/>
      </c>
      <c r="Y54">
        <f>HYPERLINK("https://klasma.github.io/Logging_1981/tillsynsmail/A 39800-2020 tillsynsbegäran mail.docx", "A 39800-2020")</f>
        <v/>
      </c>
    </row>
    <row r="55" ht="15" customHeight="1">
      <c r="A55" t="inlineStr">
        <is>
          <t>A 39807-2020</t>
        </is>
      </c>
      <c r="B55" s="1" t="n">
        <v>44067</v>
      </c>
      <c r="C55" s="1" t="n">
        <v>45586</v>
      </c>
      <c r="D55" t="inlineStr">
        <is>
          <t>VÄSTMANLANDS LÄN</t>
        </is>
      </c>
      <c r="E55" t="inlineStr">
        <is>
          <t>SALA</t>
        </is>
      </c>
      <c r="F55" t="inlineStr">
        <is>
          <t>Sveaskog</t>
        </is>
      </c>
      <c r="G55" t="n">
        <v>1.8</v>
      </c>
      <c r="H55" t="n">
        <v>1</v>
      </c>
      <c r="I55" t="n">
        <v>0</v>
      </c>
      <c r="J55" t="n">
        <v>0</v>
      </c>
      <c r="K55" t="n">
        <v>1</v>
      </c>
      <c r="L55" t="n">
        <v>0</v>
      </c>
      <c r="M55" t="n">
        <v>0</v>
      </c>
      <c r="N55" t="n">
        <v>0</v>
      </c>
      <c r="O55" t="n">
        <v>1</v>
      </c>
      <c r="P55" t="n">
        <v>1</v>
      </c>
      <c r="Q55" t="n">
        <v>1</v>
      </c>
      <c r="R55" s="2" t="inlineStr">
        <is>
          <t>Bombmurkla</t>
        </is>
      </c>
      <c r="S55">
        <f>HYPERLINK("https://klasma.github.io/Logging_1981/artfynd/A 39807-2020 artfynd.xlsx", "A 39807-2020")</f>
        <v/>
      </c>
      <c r="T55">
        <f>HYPERLINK("https://klasma.github.io/Logging_1981/kartor/A 39807-2020 karta.png", "A 39807-2020")</f>
        <v/>
      </c>
      <c r="V55">
        <f>HYPERLINK("https://klasma.github.io/Logging_1981/klagomål/A 39807-2020 FSC-klagomål.docx", "A 39807-2020")</f>
        <v/>
      </c>
      <c r="W55">
        <f>HYPERLINK("https://klasma.github.io/Logging_1981/klagomålsmail/A 39807-2020 FSC-klagomål mail.docx", "A 39807-2020")</f>
        <v/>
      </c>
      <c r="X55">
        <f>HYPERLINK("https://klasma.github.io/Logging_1981/tillsyn/A 39807-2020 tillsynsbegäran.docx", "A 39807-2020")</f>
        <v/>
      </c>
      <c r="Y55">
        <f>HYPERLINK("https://klasma.github.io/Logging_1981/tillsynsmail/A 39807-2020 tillsynsbegäran mail.docx", "A 39807-2020")</f>
        <v/>
      </c>
    </row>
    <row r="56" ht="15" customHeight="1">
      <c r="A56" t="inlineStr">
        <is>
          <t>A 42352-2020</t>
        </is>
      </c>
      <c r="B56" s="1" t="n">
        <v>44076</v>
      </c>
      <c r="C56" s="1" t="n">
        <v>45586</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56014-2020</t>
        </is>
      </c>
      <c r="B57" s="1" t="n">
        <v>44132</v>
      </c>
      <c r="C57" s="1" t="n">
        <v>45586</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13973-2021</t>
        </is>
      </c>
      <c r="B58" s="1" t="n">
        <v>44277</v>
      </c>
      <c r="C58" s="1" t="n">
        <v>45586</v>
      </c>
      <c r="D58" t="inlineStr">
        <is>
          <t>VÄSTMANLANDS LÄN</t>
        </is>
      </c>
      <c r="E58" t="inlineStr">
        <is>
          <t>SALA</t>
        </is>
      </c>
      <c r="G58" t="n">
        <v>2</v>
      </c>
      <c r="H58" t="n">
        <v>1</v>
      </c>
      <c r="I58" t="n">
        <v>0</v>
      </c>
      <c r="J58" t="n">
        <v>0</v>
      </c>
      <c r="K58" t="n">
        <v>0</v>
      </c>
      <c r="L58" t="n">
        <v>0</v>
      </c>
      <c r="M58" t="n">
        <v>0</v>
      </c>
      <c r="N58" t="n">
        <v>0</v>
      </c>
      <c r="O58" t="n">
        <v>0</v>
      </c>
      <c r="P58" t="n">
        <v>0</v>
      </c>
      <c r="Q58" t="n">
        <v>1</v>
      </c>
      <c r="R58" s="2" t="inlineStr">
        <is>
          <t>Blåsippa</t>
        </is>
      </c>
      <c r="S58">
        <f>HYPERLINK("https://klasma.github.io/Logging_1981/artfynd/A 13973-2021 artfynd.xlsx", "A 13973-2021")</f>
        <v/>
      </c>
      <c r="T58">
        <f>HYPERLINK("https://klasma.github.io/Logging_1981/kartor/A 13973-2021 karta.png", "A 13973-2021")</f>
        <v/>
      </c>
      <c r="V58">
        <f>HYPERLINK("https://klasma.github.io/Logging_1981/klagomål/A 13973-2021 FSC-klagomål.docx", "A 13973-2021")</f>
        <v/>
      </c>
      <c r="W58">
        <f>HYPERLINK("https://klasma.github.io/Logging_1981/klagomålsmail/A 13973-2021 FSC-klagomål mail.docx", "A 13973-2021")</f>
        <v/>
      </c>
      <c r="X58">
        <f>HYPERLINK("https://klasma.github.io/Logging_1981/tillsyn/A 13973-2021 tillsynsbegäran.docx", "A 13973-2021")</f>
        <v/>
      </c>
      <c r="Y58">
        <f>HYPERLINK("https://klasma.github.io/Logging_1981/tillsynsmail/A 13973-2021 tillsynsbegäran mail.docx", "A 13973-2021")</f>
        <v/>
      </c>
    </row>
    <row r="59" ht="15" customHeight="1">
      <c r="A59" t="inlineStr">
        <is>
          <t>A 44970-2021</t>
        </is>
      </c>
      <c r="B59" s="1" t="n">
        <v>44438</v>
      </c>
      <c r="C59" s="1" t="n">
        <v>45586</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Revlummer</t>
        </is>
      </c>
      <c r="S59">
        <f>HYPERLINK("https://klasma.github.io/Logging_1981/artfynd/A 44970-2021 artfynd.xlsx", "A 44970-2021")</f>
        <v/>
      </c>
      <c r="T59">
        <f>HYPERLINK("https://klasma.github.io/Logging_1981/kartor/A 44970-2021 karta.png", "A 44970-2021")</f>
        <v/>
      </c>
      <c r="V59">
        <f>HYPERLINK("https://klasma.github.io/Logging_1981/klagomål/A 44970-2021 FSC-klagomål.docx", "A 44970-2021")</f>
        <v/>
      </c>
      <c r="W59">
        <f>HYPERLINK("https://klasma.github.io/Logging_1981/klagomålsmail/A 44970-2021 FSC-klagomål mail.docx", "A 44970-2021")</f>
        <v/>
      </c>
      <c r="X59">
        <f>HYPERLINK("https://klasma.github.io/Logging_1981/tillsyn/A 44970-2021 tillsynsbegäran.docx", "A 44970-2021")</f>
        <v/>
      </c>
      <c r="Y59">
        <f>HYPERLINK("https://klasma.github.io/Logging_1981/tillsynsmail/A 44970-2021 tillsynsbegäran mail.docx", "A 44970-2021")</f>
        <v/>
      </c>
    </row>
    <row r="60" ht="15" customHeight="1">
      <c r="A60" t="inlineStr">
        <is>
          <t>A 7919-2022</t>
        </is>
      </c>
      <c r="B60" s="1" t="n">
        <v>44608</v>
      </c>
      <c r="C60" s="1" t="n">
        <v>45586</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15988-2022</t>
        </is>
      </c>
      <c r="B61" s="1" t="n">
        <v>44664</v>
      </c>
      <c r="C61" s="1" t="n">
        <v>45586</v>
      </c>
      <c r="D61" t="inlineStr">
        <is>
          <t>VÄSTMANLANDS LÄN</t>
        </is>
      </c>
      <c r="E61" t="inlineStr">
        <is>
          <t>SALA</t>
        </is>
      </c>
      <c r="G61" t="n">
        <v>5</v>
      </c>
      <c r="H61" t="n">
        <v>1</v>
      </c>
      <c r="I61" t="n">
        <v>0</v>
      </c>
      <c r="J61" t="n">
        <v>0</v>
      </c>
      <c r="K61" t="n">
        <v>1</v>
      </c>
      <c r="L61" t="n">
        <v>0</v>
      </c>
      <c r="M61" t="n">
        <v>0</v>
      </c>
      <c r="N61" t="n">
        <v>0</v>
      </c>
      <c r="O61" t="n">
        <v>1</v>
      </c>
      <c r="P61" t="n">
        <v>1</v>
      </c>
      <c r="Q61" t="n">
        <v>1</v>
      </c>
      <c r="R61" s="2" t="inlineStr">
        <is>
          <t>Knärot</t>
        </is>
      </c>
      <c r="S61">
        <f>HYPERLINK("https://klasma.github.io/Logging_1981/artfynd/A 15988-2022 artfynd.xlsx", "A 15988-2022")</f>
        <v/>
      </c>
      <c r="T61">
        <f>HYPERLINK("https://klasma.github.io/Logging_1981/kartor/A 15988-2022 karta.png", "A 15988-2022")</f>
        <v/>
      </c>
      <c r="U61">
        <f>HYPERLINK("https://klasma.github.io/Logging_1981/knärot/A 15988-2022 karta knärot.png", "A 15988-2022")</f>
        <v/>
      </c>
      <c r="V61">
        <f>HYPERLINK("https://klasma.github.io/Logging_1981/klagomål/A 15988-2022 FSC-klagomål.docx", "A 15988-2022")</f>
        <v/>
      </c>
      <c r="W61">
        <f>HYPERLINK("https://klasma.github.io/Logging_1981/klagomålsmail/A 15988-2022 FSC-klagomål mail.docx", "A 15988-2022")</f>
        <v/>
      </c>
      <c r="X61">
        <f>HYPERLINK("https://klasma.github.io/Logging_1981/tillsyn/A 15988-2022 tillsynsbegäran.docx", "A 15988-2022")</f>
        <v/>
      </c>
      <c r="Y61">
        <f>HYPERLINK("https://klasma.github.io/Logging_1981/tillsynsmail/A 15988-2022 tillsynsbegäran mail.docx", "A 15988-2022")</f>
        <v/>
      </c>
    </row>
    <row r="62" ht="15" customHeight="1">
      <c r="A62" t="inlineStr">
        <is>
          <t>A 29985-2022</t>
        </is>
      </c>
      <c r="B62" s="1" t="n">
        <v>44756</v>
      </c>
      <c r="C62" s="1" t="n">
        <v>45586</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43705-2022</t>
        </is>
      </c>
      <c r="B63" s="1" t="n">
        <v>44837</v>
      </c>
      <c r="C63" s="1" t="n">
        <v>45586</v>
      </c>
      <c r="D63" t="inlineStr">
        <is>
          <t>VÄSTMANLANDS LÄN</t>
        </is>
      </c>
      <c r="E63" t="inlineStr">
        <is>
          <t>SALA</t>
        </is>
      </c>
      <c r="G63" t="n">
        <v>2.9</v>
      </c>
      <c r="H63" t="n">
        <v>1</v>
      </c>
      <c r="I63" t="n">
        <v>0</v>
      </c>
      <c r="J63" t="n">
        <v>0</v>
      </c>
      <c r="K63" t="n">
        <v>1</v>
      </c>
      <c r="L63" t="n">
        <v>0</v>
      </c>
      <c r="M63" t="n">
        <v>0</v>
      </c>
      <c r="N63" t="n">
        <v>0</v>
      </c>
      <c r="O63" t="n">
        <v>1</v>
      </c>
      <c r="P63" t="n">
        <v>1</v>
      </c>
      <c r="Q63" t="n">
        <v>1</v>
      </c>
      <c r="R63" s="2" t="inlineStr">
        <is>
          <t>Knärot</t>
        </is>
      </c>
      <c r="S63">
        <f>HYPERLINK("https://klasma.github.io/Logging_1981/artfynd/A 43705-2022 artfynd.xlsx", "A 43705-2022")</f>
        <v/>
      </c>
      <c r="T63">
        <f>HYPERLINK("https://klasma.github.io/Logging_1981/kartor/A 43705-2022 karta.png", "A 43705-2022")</f>
        <v/>
      </c>
      <c r="U63">
        <f>HYPERLINK("https://klasma.github.io/Logging_1981/knärot/A 43705-2022 karta knärot.png", "A 43705-2022")</f>
        <v/>
      </c>
      <c r="V63">
        <f>HYPERLINK("https://klasma.github.io/Logging_1981/klagomål/A 43705-2022 FSC-klagomål.docx", "A 43705-2022")</f>
        <v/>
      </c>
      <c r="W63">
        <f>HYPERLINK("https://klasma.github.io/Logging_1981/klagomålsmail/A 43705-2022 FSC-klagomål mail.docx", "A 43705-2022")</f>
        <v/>
      </c>
      <c r="X63">
        <f>HYPERLINK("https://klasma.github.io/Logging_1981/tillsyn/A 43705-2022 tillsynsbegäran.docx", "A 43705-2022")</f>
        <v/>
      </c>
      <c r="Y63">
        <f>HYPERLINK("https://klasma.github.io/Logging_1981/tillsynsmail/A 43705-2022 tillsynsbegäran mail.docx", "A 43705-2022")</f>
        <v/>
      </c>
    </row>
    <row r="64" ht="15" customHeight="1">
      <c r="A64" t="inlineStr">
        <is>
          <t>A 56704-2022</t>
        </is>
      </c>
      <c r="B64" s="1" t="n">
        <v>44893</v>
      </c>
      <c r="C64" s="1" t="n">
        <v>45586</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7731-2023</t>
        </is>
      </c>
      <c r="B65" s="1" t="n">
        <v>44973</v>
      </c>
      <c r="C65" s="1" t="n">
        <v>45586</v>
      </c>
      <c r="D65" t="inlineStr">
        <is>
          <t>VÄSTMANLANDS LÄN</t>
        </is>
      </c>
      <c r="E65" t="inlineStr">
        <is>
          <t>SALA</t>
        </is>
      </c>
      <c r="F65" t="inlineStr">
        <is>
          <t>Bergvik skog öst AB</t>
        </is>
      </c>
      <c r="G65" t="n">
        <v>1.7</v>
      </c>
      <c r="H65" t="n">
        <v>1</v>
      </c>
      <c r="I65" t="n">
        <v>0</v>
      </c>
      <c r="J65" t="n">
        <v>1</v>
      </c>
      <c r="K65" t="n">
        <v>0</v>
      </c>
      <c r="L65" t="n">
        <v>0</v>
      </c>
      <c r="M65" t="n">
        <v>0</v>
      </c>
      <c r="N65" t="n">
        <v>0</v>
      </c>
      <c r="O65" t="n">
        <v>1</v>
      </c>
      <c r="P65" t="n">
        <v>0</v>
      </c>
      <c r="Q65" t="n">
        <v>1</v>
      </c>
      <c r="R65" s="2" t="inlineStr">
        <is>
          <t>Ävjepilört</t>
        </is>
      </c>
      <c r="S65">
        <f>HYPERLINK("https://klasma.github.io/Logging_1981/artfynd/A 7731-2023 artfynd.xlsx", "A 7731-2023")</f>
        <v/>
      </c>
      <c r="T65">
        <f>HYPERLINK("https://klasma.github.io/Logging_1981/kartor/A 7731-2023 karta.png", "A 7731-2023")</f>
        <v/>
      </c>
      <c r="V65">
        <f>HYPERLINK("https://klasma.github.io/Logging_1981/klagomål/A 7731-2023 FSC-klagomål.docx", "A 7731-2023")</f>
        <v/>
      </c>
      <c r="W65">
        <f>HYPERLINK("https://klasma.github.io/Logging_1981/klagomålsmail/A 7731-2023 FSC-klagomål mail.docx", "A 7731-2023")</f>
        <v/>
      </c>
      <c r="X65">
        <f>HYPERLINK("https://klasma.github.io/Logging_1981/tillsyn/A 7731-2023 tillsynsbegäran.docx", "A 7731-2023")</f>
        <v/>
      </c>
      <c r="Y65">
        <f>HYPERLINK("https://klasma.github.io/Logging_1981/tillsynsmail/A 7731-2023 tillsynsbegäran mail.docx", "A 7731-2023")</f>
        <v/>
      </c>
    </row>
    <row r="66" ht="15" customHeight="1">
      <c r="A66" t="inlineStr">
        <is>
          <t>A 14775-2023</t>
        </is>
      </c>
      <c r="B66" s="1" t="n">
        <v>45014</v>
      </c>
      <c r="C66" s="1" t="n">
        <v>45586</v>
      </c>
      <c r="D66" t="inlineStr">
        <is>
          <t>VÄSTMANLANDS LÄN</t>
        </is>
      </c>
      <c r="E66" t="inlineStr">
        <is>
          <t>SALA</t>
        </is>
      </c>
      <c r="G66" t="n">
        <v>1.3</v>
      </c>
      <c r="H66" t="n">
        <v>1</v>
      </c>
      <c r="I66" t="n">
        <v>0</v>
      </c>
      <c r="J66" t="n">
        <v>0</v>
      </c>
      <c r="K66" t="n">
        <v>1</v>
      </c>
      <c r="L66" t="n">
        <v>0</v>
      </c>
      <c r="M66" t="n">
        <v>0</v>
      </c>
      <c r="N66" t="n">
        <v>0</v>
      </c>
      <c r="O66" t="n">
        <v>1</v>
      </c>
      <c r="P66" t="n">
        <v>1</v>
      </c>
      <c r="Q66" t="n">
        <v>1</v>
      </c>
      <c r="R66" s="2" t="inlineStr">
        <is>
          <t>Knärot</t>
        </is>
      </c>
      <c r="S66">
        <f>HYPERLINK("https://klasma.github.io/Logging_1981/artfynd/A 14775-2023 artfynd.xlsx", "A 14775-2023")</f>
        <v/>
      </c>
      <c r="T66">
        <f>HYPERLINK("https://klasma.github.io/Logging_1981/kartor/A 14775-2023 karta.png", "A 14775-2023")</f>
        <v/>
      </c>
      <c r="U66">
        <f>HYPERLINK("https://klasma.github.io/Logging_1981/knärot/A 14775-2023 karta knärot.png", "A 14775-2023")</f>
        <v/>
      </c>
      <c r="V66">
        <f>HYPERLINK("https://klasma.github.io/Logging_1981/klagomål/A 14775-2023 FSC-klagomål.docx", "A 14775-2023")</f>
        <v/>
      </c>
      <c r="W66">
        <f>HYPERLINK("https://klasma.github.io/Logging_1981/klagomålsmail/A 14775-2023 FSC-klagomål mail.docx", "A 14775-2023")</f>
        <v/>
      </c>
      <c r="X66">
        <f>HYPERLINK("https://klasma.github.io/Logging_1981/tillsyn/A 14775-2023 tillsynsbegäran.docx", "A 14775-2023")</f>
        <v/>
      </c>
      <c r="Y66">
        <f>HYPERLINK("https://klasma.github.io/Logging_1981/tillsynsmail/A 14775-2023 tillsynsbegäran mail.docx", "A 14775-2023")</f>
        <v/>
      </c>
    </row>
    <row r="67" ht="15" customHeight="1">
      <c r="A67" t="inlineStr">
        <is>
          <t>A 29727-2023</t>
        </is>
      </c>
      <c r="B67" s="1" t="n">
        <v>45107</v>
      </c>
      <c r="C67" s="1" t="n">
        <v>45586</v>
      </c>
      <c r="D67" t="inlineStr">
        <is>
          <t>VÄSTMANLANDS LÄN</t>
        </is>
      </c>
      <c r="E67" t="inlineStr">
        <is>
          <t>SALA</t>
        </is>
      </c>
      <c r="G67" t="n">
        <v>1.9</v>
      </c>
      <c r="H67" t="n">
        <v>0</v>
      </c>
      <c r="I67" t="n">
        <v>0</v>
      </c>
      <c r="J67" t="n">
        <v>1</v>
      </c>
      <c r="K67" t="n">
        <v>0</v>
      </c>
      <c r="L67" t="n">
        <v>0</v>
      </c>
      <c r="M67" t="n">
        <v>0</v>
      </c>
      <c r="N67" t="n">
        <v>0</v>
      </c>
      <c r="O67" t="n">
        <v>1</v>
      </c>
      <c r="P67" t="n">
        <v>0</v>
      </c>
      <c r="Q67" t="n">
        <v>1</v>
      </c>
      <c r="R67" s="2" t="inlineStr">
        <is>
          <t>Vedtrappmossa</t>
        </is>
      </c>
      <c r="S67">
        <f>HYPERLINK("https://klasma.github.io/Logging_1981/artfynd/A 29727-2023 artfynd.xlsx", "A 29727-2023")</f>
        <v/>
      </c>
      <c r="T67">
        <f>HYPERLINK("https://klasma.github.io/Logging_1981/kartor/A 29727-2023 karta.png", "A 29727-2023")</f>
        <v/>
      </c>
      <c r="V67">
        <f>HYPERLINK("https://klasma.github.io/Logging_1981/klagomål/A 29727-2023 FSC-klagomål.docx", "A 29727-2023")</f>
        <v/>
      </c>
      <c r="W67">
        <f>HYPERLINK("https://klasma.github.io/Logging_1981/klagomålsmail/A 29727-2023 FSC-klagomål mail.docx", "A 29727-2023")</f>
        <v/>
      </c>
      <c r="X67">
        <f>HYPERLINK("https://klasma.github.io/Logging_1981/tillsyn/A 29727-2023 tillsynsbegäran.docx", "A 29727-2023")</f>
        <v/>
      </c>
      <c r="Y67">
        <f>HYPERLINK("https://klasma.github.io/Logging_1981/tillsynsmail/A 29727-2023 tillsynsbegäran mail.docx", "A 29727-2023")</f>
        <v/>
      </c>
    </row>
    <row r="68" ht="15" customHeight="1">
      <c r="A68" t="inlineStr">
        <is>
          <t>A 31535-2023</t>
        </is>
      </c>
      <c r="B68" s="1" t="n">
        <v>45116</v>
      </c>
      <c r="C68" s="1" t="n">
        <v>45586</v>
      </c>
      <c r="D68" t="inlineStr">
        <is>
          <t>VÄSTMANLANDS LÄN</t>
        </is>
      </c>
      <c r="E68" t="inlineStr">
        <is>
          <t>SALA</t>
        </is>
      </c>
      <c r="G68" t="n">
        <v>0.9</v>
      </c>
      <c r="H68" t="n">
        <v>0</v>
      </c>
      <c r="I68" t="n">
        <v>0</v>
      </c>
      <c r="J68" t="n">
        <v>1</v>
      </c>
      <c r="K68" t="n">
        <v>0</v>
      </c>
      <c r="L68" t="n">
        <v>0</v>
      </c>
      <c r="M68" t="n">
        <v>0</v>
      </c>
      <c r="N68" t="n">
        <v>0</v>
      </c>
      <c r="O68" t="n">
        <v>1</v>
      </c>
      <c r="P68" t="n">
        <v>0</v>
      </c>
      <c r="Q68" t="n">
        <v>1</v>
      </c>
      <c r="R68" s="2" t="inlineStr">
        <is>
          <t>Orange taggsvamp</t>
        </is>
      </c>
      <c r="S68">
        <f>HYPERLINK("https://klasma.github.io/Logging_1981/artfynd/A 31535-2023 artfynd.xlsx", "A 31535-2023")</f>
        <v/>
      </c>
      <c r="T68">
        <f>HYPERLINK("https://klasma.github.io/Logging_1981/kartor/A 31535-2023 karta.png", "A 31535-2023")</f>
        <v/>
      </c>
      <c r="V68">
        <f>HYPERLINK("https://klasma.github.io/Logging_1981/klagomål/A 31535-2023 FSC-klagomål.docx", "A 31535-2023")</f>
        <v/>
      </c>
      <c r="W68">
        <f>HYPERLINK("https://klasma.github.io/Logging_1981/klagomålsmail/A 31535-2023 FSC-klagomål mail.docx", "A 31535-2023")</f>
        <v/>
      </c>
      <c r="X68">
        <f>HYPERLINK("https://klasma.github.io/Logging_1981/tillsyn/A 31535-2023 tillsynsbegäran.docx", "A 31535-2023")</f>
        <v/>
      </c>
      <c r="Y68">
        <f>HYPERLINK("https://klasma.github.io/Logging_1981/tillsynsmail/A 31535-2023 tillsynsbegäran mail.docx", "A 31535-2023")</f>
        <v/>
      </c>
    </row>
    <row r="69" ht="15" customHeight="1">
      <c r="A69" t="inlineStr">
        <is>
          <t>A 43175-2023</t>
        </is>
      </c>
      <c r="B69" s="1" t="n">
        <v>45183</v>
      </c>
      <c r="C69" s="1" t="n">
        <v>45586</v>
      </c>
      <c r="D69" t="inlineStr">
        <is>
          <t>VÄSTMANLANDS LÄN</t>
        </is>
      </c>
      <c r="E69" t="inlineStr">
        <is>
          <t>SALA</t>
        </is>
      </c>
      <c r="G69" t="n">
        <v>5.6</v>
      </c>
      <c r="H69" t="n">
        <v>0</v>
      </c>
      <c r="I69" t="n">
        <v>1</v>
      </c>
      <c r="J69" t="n">
        <v>0</v>
      </c>
      <c r="K69" t="n">
        <v>0</v>
      </c>
      <c r="L69" t="n">
        <v>0</v>
      </c>
      <c r="M69" t="n">
        <v>0</v>
      </c>
      <c r="N69" t="n">
        <v>0</v>
      </c>
      <c r="O69" t="n">
        <v>0</v>
      </c>
      <c r="P69" t="n">
        <v>0</v>
      </c>
      <c r="Q69" t="n">
        <v>1</v>
      </c>
      <c r="R69" s="2" t="inlineStr">
        <is>
          <t>Grönpyrola</t>
        </is>
      </c>
      <c r="S69">
        <f>HYPERLINK("https://klasma.github.io/Logging_1981/artfynd/A 43175-2023 artfynd.xlsx", "A 43175-2023")</f>
        <v/>
      </c>
      <c r="T69">
        <f>HYPERLINK("https://klasma.github.io/Logging_1981/kartor/A 43175-2023 karta.png", "A 43175-2023")</f>
        <v/>
      </c>
      <c r="V69">
        <f>HYPERLINK("https://klasma.github.io/Logging_1981/klagomål/A 43175-2023 FSC-klagomål.docx", "A 43175-2023")</f>
        <v/>
      </c>
      <c r="W69">
        <f>HYPERLINK("https://klasma.github.io/Logging_1981/klagomålsmail/A 43175-2023 FSC-klagomål mail.docx", "A 43175-2023")</f>
        <v/>
      </c>
      <c r="X69">
        <f>HYPERLINK("https://klasma.github.io/Logging_1981/tillsyn/A 43175-2023 tillsynsbegäran.docx", "A 43175-2023")</f>
        <v/>
      </c>
      <c r="Y69">
        <f>HYPERLINK("https://klasma.github.io/Logging_1981/tillsynsmail/A 43175-2023 tillsynsbegäran mail.docx", "A 43175-2023")</f>
        <v/>
      </c>
    </row>
    <row r="70" ht="15" customHeight="1">
      <c r="A70" t="inlineStr">
        <is>
          <t>A 55550-2023</t>
        </is>
      </c>
      <c r="B70" s="1" t="n">
        <v>45232</v>
      </c>
      <c r="C70" s="1" t="n">
        <v>45586</v>
      </c>
      <c r="D70" t="inlineStr">
        <is>
          <t>VÄSTMANLANDS LÄN</t>
        </is>
      </c>
      <c r="E70" t="inlineStr">
        <is>
          <t>SALA</t>
        </is>
      </c>
      <c r="G70" t="n">
        <v>9.9</v>
      </c>
      <c r="H70" t="n">
        <v>1</v>
      </c>
      <c r="I70" t="n">
        <v>0</v>
      </c>
      <c r="J70" t="n">
        <v>0</v>
      </c>
      <c r="K70" t="n">
        <v>1</v>
      </c>
      <c r="L70" t="n">
        <v>0</v>
      </c>
      <c r="M70" t="n">
        <v>0</v>
      </c>
      <c r="N70" t="n">
        <v>0</v>
      </c>
      <c r="O70" t="n">
        <v>1</v>
      </c>
      <c r="P70" t="n">
        <v>1</v>
      </c>
      <c r="Q70" t="n">
        <v>1</v>
      </c>
      <c r="R70" s="2" t="inlineStr">
        <is>
          <t>Knärot</t>
        </is>
      </c>
      <c r="S70">
        <f>HYPERLINK("https://klasma.github.io/Logging_1981/artfynd/A 55550-2023 artfynd.xlsx", "A 55550-2023")</f>
        <v/>
      </c>
      <c r="T70">
        <f>HYPERLINK("https://klasma.github.io/Logging_1981/kartor/A 55550-2023 karta.png", "A 55550-2023")</f>
        <v/>
      </c>
      <c r="U70">
        <f>HYPERLINK("https://klasma.github.io/Logging_1981/knärot/A 55550-2023 karta knärot.png", "A 55550-2023")</f>
        <v/>
      </c>
      <c r="V70">
        <f>HYPERLINK("https://klasma.github.io/Logging_1981/klagomål/A 55550-2023 FSC-klagomål.docx", "A 55550-2023")</f>
        <v/>
      </c>
      <c r="W70">
        <f>HYPERLINK("https://klasma.github.io/Logging_1981/klagomålsmail/A 55550-2023 FSC-klagomål mail.docx", "A 55550-2023")</f>
        <v/>
      </c>
      <c r="X70">
        <f>HYPERLINK("https://klasma.github.io/Logging_1981/tillsyn/A 55550-2023 tillsynsbegäran.docx", "A 55550-2023")</f>
        <v/>
      </c>
      <c r="Y70">
        <f>HYPERLINK("https://klasma.github.io/Logging_1981/tillsynsmail/A 55550-2023 tillsynsbegäran mail.docx", "A 55550-2023")</f>
        <v/>
      </c>
    </row>
    <row r="71" ht="15" customHeight="1">
      <c r="A71" t="inlineStr">
        <is>
          <t>A 3534-2024</t>
        </is>
      </c>
      <c r="B71" s="1" t="n">
        <v>45320</v>
      </c>
      <c r="C71" s="1" t="n">
        <v>45586</v>
      </c>
      <c r="D71" t="inlineStr">
        <is>
          <t>VÄSTMANLANDS LÄN</t>
        </is>
      </c>
      <c r="E71" t="inlineStr">
        <is>
          <t>SALA</t>
        </is>
      </c>
      <c r="G71" t="n">
        <v>1.9</v>
      </c>
      <c r="H71" t="n">
        <v>1</v>
      </c>
      <c r="I71" t="n">
        <v>0</v>
      </c>
      <c r="J71" t="n">
        <v>0</v>
      </c>
      <c r="K71" t="n">
        <v>0</v>
      </c>
      <c r="L71" t="n">
        <v>1</v>
      </c>
      <c r="M71" t="n">
        <v>0</v>
      </c>
      <c r="N71" t="n">
        <v>0</v>
      </c>
      <c r="O71" t="n">
        <v>1</v>
      </c>
      <c r="P71" t="n">
        <v>1</v>
      </c>
      <c r="Q71" t="n">
        <v>1</v>
      </c>
      <c r="R71" s="2" t="inlineStr">
        <is>
          <t>Mosippa</t>
        </is>
      </c>
      <c r="S71">
        <f>HYPERLINK("https://klasma.github.io/Logging_1981/artfynd/A 3534-2024 artfynd.xlsx", "A 3534-2024")</f>
        <v/>
      </c>
      <c r="T71">
        <f>HYPERLINK("https://klasma.github.io/Logging_1981/kartor/A 3534-2024 karta.png", "A 3534-2024")</f>
        <v/>
      </c>
      <c r="V71">
        <f>HYPERLINK("https://klasma.github.io/Logging_1981/klagomål/A 3534-2024 FSC-klagomål.docx", "A 3534-2024")</f>
        <v/>
      </c>
      <c r="W71">
        <f>HYPERLINK("https://klasma.github.io/Logging_1981/klagomålsmail/A 3534-2024 FSC-klagomål mail.docx", "A 3534-2024")</f>
        <v/>
      </c>
      <c r="X71">
        <f>HYPERLINK("https://klasma.github.io/Logging_1981/tillsyn/A 3534-2024 tillsynsbegäran.docx", "A 3534-2024")</f>
        <v/>
      </c>
      <c r="Y71">
        <f>HYPERLINK("https://klasma.github.io/Logging_1981/tillsynsmail/A 3534-2024 tillsynsbegäran mail.docx", "A 3534-2024")</f>
        <v/>
      </c>
    </row>
    <row r="72" ht="15" customHeight="1">
      <c r="A72" t="inlineStr">
        <is>
          <t>A 12434-2024</t>
        </is>
      </c>
      <c r="B72" s="1" t="n">
        <v>45379</v>
      </c>
      <c r="C72" s="1" t="n">
        <v>45586</v>
      </c>
      <c r="D72" t="inlineStr">
        <is>
          <t>VÄSTMANLANDS LÄN</t>
        </is>
      </c>
      <c r="E72" t="inlineStr">
        <is>
          <t>SALA</t>
        </is>
      </c>
      <c r="G72" t="n">
        <v>7.8</v>
      </c>
      <c r="H72" t="n">
        <v>1</v>
      </c>
      <c r="I72" t="n">
        <v>0</v>
      </c>
      <c r="J72" t="n">
        <v>0</v>
      </c>
      <c r="K72" t="n">
        <v>1</v>
      </c>
      <c r="L72" t="n">
        <v>0</v>
      </c>
      <c r="M72" t="n">
        <v>0</v>
      </c>
      <c r="N72" t="n">
        <v>0</v>
      </c>
      <c r="O72" t="n">
        <v>1</v>
      </c>
      <c r="P72" t="n">
        <v>1</v>
      </c>
      <c r="Q72" t="n">
        <v>1</v>
      </c>
      <c r="R72" s="2" t="inlineStr">
        <is>
          <t>Knärot</t>
        </is>
      </c>
      <c r="S72">
        <f>HYPERLINK("https://klasma.github.io/Logging_1981/artfynd/A 12434-2024 artfynd.xlsx", "A 12434-2024")</f>
        <v/>
      </c>
      <c r="T72">
        <f>HYPERLINK("https://klasma.github.io/Logging_1981/kartor/A 12434-2024 karta.png", "A 12434-2024")</f>
        <v/>
      </c>
      <c r="U72">
        <f>HYPERLINK("https://klasma.github.io/Logging_1981/knärot/A 12434-2024 karta knärot.png", "A 12434-2024")</f>
        <v/>
      </c>
      <c r="V72">
        <f>HYPERLINK("https://klasma.github.io/Logging_1981/klagomål/A 12434-2024 FSC-klagomål.docx", "A 12434-2024")</f>
        <v/>
      </c>
      <c r="W72">
        <f>HYPERLINK("https://klasma.github.io/Logging_1981/klagomålsmail/A 12434-2024 FSC-klagomål mail.docx", "A 12434-2024")</f>
        <v/>
      </c>
      <c r="X72">
        <f>HYPERLINK("https://klasma.github.io/Logging_1981/tillsyn/A 12434-2024 tillsynsbegäran.docx", "A 12434-2024")</f>
        <v/>
      </c>
      <c r="Y72">
        <f>HYPERLINK("https://klasma.github.io/Logging_1981/tillsynsmail/A 12434-2024 tillsynsbegäran mail.docx", "A 12434-2024")</f>
        <v/>
      </c>
    </row>
    <row r="73" ht="15" customHeight="1">
      <c r="A73" t="inlineStr">
        <is>
          <t>A 19716-2024</t>
        </is>
      </c>
      <c r="B73" s="1" t="n">
        <v>45432</v>
      </c>
      <c r="C73" s="1" t="n">
        <v>45586</v>
      </c>
      <c r="D73" t="inlineStr">
        <is>
          <t>VÄSTMANLANDS LÄN</t>
        </is>
      </c>
      <c r="E73" t="inlineStr">
        <is>
          <t>SALA</t>
        </is>
      </c>
      <c r="G73" t="n">
        <v>5.5</v>
      </c>
      <c r="H73" t="n">
        <v>1</v>
      </c>
      <c r="I73" t="n">
        <v>0</v>
      </c>
      <c r="J73" t="n">
        <v>0</v>
      </c>
      <c r="K73" t="n">
        <v>0</v>
      </c>
      <c r="L73" t="n">
        <v>0</v>
      </c>
      <c r="M73" t="n">
        <v>0</v>
      </c>
      <c r="N73" t="n">
        <v>0</v>
      </c>
      <c r="O73" t="n">
        <v>0</v>
      </c>
      <c r="P73" t="n">
        <v>0</v>
      </c>
      <c r="Q73" t="n">
        <v>1</v>
      </c>
      <c r="R73" s="2" t="inlineStr">
        <is>
          <t>Fläcknycklar</t>
        </is>
      </c>
      <c r="S73">
        <f>HYPERLINK("https://klasma.github.io/Logging_1981/artfynd/A 19716-2024 artfynd.xlsx", "A 19716-2024")</f>
        <v/>
      </c>
      <c r="T73">
        <f>HYPERLINK("https://klasma.github.io/Logging_1981/kartor/A 19716-2024 karta.png", "A 19716-2024")</f>
        <v/>
      </c>
      <c r="V73">
        <f>HYPERLINK("https://klasma.github.io/Logging_1981/klagomål/A 19716-2024 FSC-klagomål.docx", "A 19716-2024")</f>
        <v/>
      </c>
      <c r="W73">
        <f>HYPERLINK("https://klasma.github.io/Logging_1981/klagomålsmail/A 19716-2024 FSC-klagomål mail.docx", "A 19716-2024")</f>
        <v/>
      </c>
      <c r="X73">
        <f>HYPERLINK("https://klasma.github.io/Logging_1981/tillsyn/A 19716-2024 tillsynsbegäran.docx", "A 19716-2024")</f>
        <v/>
      </c>
      <c r="Y73">
        <f>HYPERLINK("https://klasma.github.io/Logging_1981/tillsynsmail/A 19716-2024 tillsynsbegäran mail.docx", "A 19716-2024")</f>
        <v/>
      </c>
    </row>
    <row r="74" ht="15" customHeight="1">
      <c r="A74" t="inlineStr">
        <is>
          <t>A 22350-2024</t>
        </is>
      </c>
      <c r="B74" s="1" t="n">
        <v>45446</v>
      </c>
      <c r="C74" s="1" t="n">
        <v>45586</v>
      </c>
      <c r="D74" t="inlineStr">
        <is>
          <t>VÄSTMANLANDS LÄN</t>
        </is>
      </c>
      <c r="E74" t="inlineStr">
        <is>
          <t>SALA</t>
        </is>
      </c>
      <c r="G74" t="n">
        <v>1.2</v>
      </c>
      <c r="H74" t="n">
        <v>1</v>
      </c>
      <c r="I74" t="n">
        <v>0</v>
      </c>
      <c r="J74" t="n">
        <v>0</v>
      </c>
      <c r="K74" t="n">
        <v>0</v>
      </c>
      <c r="L74" t="n">
        <v>0</v>
      </c>
      <c r="M74" t="n">
        <v>0</v>
      </c>
      <c r="N74" t="n">
        <v>0</v>
      </c>
      <c r="O74" t="n">
        <v>0</v>
      </c>
      <c r="P74" t="n">
        <v>0</v>
      </c>
      <c r="Q74" t="n">
        <v>1</v>
      </c>
      <c r="R74" s="2" t="inlineStr">
        <is>
          <t>Blåsippa</t>
        </is>
      </c>
      <c r="S74">
        <f>HYPERLINK("https://klasma.github.io/Logging_1981/artfynd/A 22350-2024 artfynd.xlsx", "A 22350-2024")</f>
        <v/>
      </c>
      <c r="T74">
        <f>HYPERLINK("https://klasma.github.io/Logging_1981/kartor/A 22350-2024 karta.png", "A 22350-2024")</f>
        <v/>
      </c>
      <c r="V74">
        <f>HYPERLINK("https://klasma.github.io/Logging_1981/klagomål/A 22350-2024 FSC-klagomål.docx", "A 22350-2024")</f>
        <v/>
      </c>
      <c r="W74">
        <f>HYPERLINK("https://klasma.github.io/Logging_1981/klagomålsmail/A 22350-2024 FSC-klagomål mail.docx", "A 22350-2024")</f>
        <v/>
      </c>
      <c r="X74">
        <f>HYPERLINK("https://klasma.github.io/Logging_1981/tillsyn/A 22350-2024 tillsynsbegäran.docx", "A 22350-2024")</f>
        <v/>
      </c>
      <c r="Y74">
        <f>HYPERLINK("https://klasma.github.io/Logging_1981/tillsynsmail/A 22350-2024 tillsynsbegäran mail.docx", "A 22350-2024")</f>
        <v/>
      </c>
    </row>
    <row r="75" ht="15" customHeight="1">
      <c r="A75" t="inlineStr">
        <is>
          <t>A 27591-2024</t>
        </is>
      </c>
      <c r="B75" s="1" t="n">
        <v>45474</v>
      </c>
      <c r="C75" s="1" t="n">
        <v>45586</v>
      </c>
      <c r="D75" t="inlineStr">
        <is>
          <t>VÄSTMANLANDS LÄN</t>
        </is>
      </c>
      <c r="E75" t="inlineStr">
        <is>
          <t>SALA</t>
        </is>
      </c>
      <c r="G75" t="n">
        <v>5.1</v>
      </c>
      <c r="H75" t="n">
        <v>1</v>
      </c>
      <c r="I75" t="n">
        <v>0</v>
      </c>
      <c r="J75" t="n">
        <v>1</v>
      </c>
      <c r="K75" t="n">
        <v>0</v>
      </c>
      <c r="L75" t="n">
        <v>0</v>
      </c>
      <c r="M75" t="n">
        <v>0</v>
      </c>
      <c r="N75" t="n">
        <v>0</v>
      </c>
      <c r="O75" t="n">
        <v>1</v>
      </c>
      <c r="P75" t="n">
        <v>0</v>
      </c>
      <c r="Q75" t="n">
        <v>1</v>
      </c>
      <c r="R75" s="2" t="inlineStr">
        <is>
          <t>Spillkråka</t>
        </is>
      </c>
      <c r="S75">
        <f>HYPERLINK("https://klasma.github.io/Logging_1981/artfynd/A 27591-2024 artfynd.xlsx", "A 27591-2024")</f>
        <v/>
      </c>
      <c r="T75">
        <f>HYPERLINK("https://klasma.github.io/Logging_1981/kartor/A 27591-2024 karta.png", "A 27591-2024")</f>
        <v/>
      </c>
      <c r="V75">
        <f>HYPERLINK("https://klasma.github.io/Logging_1981/klagomål/A 27591-2024 FSC-klagomål.docx", "A 27591-2024")</f>
        <v/>
      </c>
      <c r="W75">
        <f>HYPERLINK("https://klasma.github.io/Logging_1981/klagomålsmail/A 27591-2024 FSC-klagomål mail.docx", "A 27591-2024")</f>
        <v/>
      </c>
      <c r="X75">
        <f>HYPERLINK("https://klasma.github.io/Logging_1981/tillsyn/A 27591-2024 tillsynsbegäran.docx", "A 27591-2024")</f>
        <v/>
      </c>
      <c r="Y75">
        <f>HYPERLINK("https://klasma.github.io/Logging_1981/tillsynsmail/A 27591-2024 tillsynsbegäran mail.docx", "A 27591-2024")</f>
        <v/>
      </c>
      <c r="Z75">
        <f>HYPERLINK("https://klasma.github.io/Logging_1981/fåglar/A 27591-2024 prioriterade fågelarter.docx", "A 27591-2024")</f>
        <v/>
      </c>
    </row>
    <row r="76" ht="15" customHeight="1">
      <c r="A76" t="inlineStr">
        <is>
          <t>A 41270-2024</t>
        </is>
      </c>
      <c r="B76" s="1" t="n">
        <v>45559</v>
      </c>
      <c r="C76" s="1" t="n">
        <v>45586</v>
      </c>
      <c r="D76" t="inlineStr">
        <is>
          <t>VÄSTMANLANDS LÄN</t>
        </is>
      </c>
      <c r="E76" t="inlineStr">
        <is>
          <t>SALA</t>
        </is>
      </c>
      <c r="G76" t="n">
        <v>15.2</v>
      </c>
      <c r="H76" t="n">
        <v>1</v>
      </c>
      <c r="I76" t="n">
        <v>0</v>
      </c>
      <c r="J76" t="n">
        <v>1</v>
      </c>
      <c r="K76" t="n">
        <v>0</v>
      </c>
      <c r="L76" t="n">
        <v>0</v>
      </c>
      <c r="M76" t="n">
        <v>0</v>
      </c>
      <c r="N76" t="n">
        <v>0</v>
      </c>
      <c r="O76" t="n">
        <v>1</v>
      </c>
      <c r="P76" t="n">
        <v>0</v>
      </c>
      <c r="Q76" t="n">
        <v>1</v>
      </c>
      <c r="R76" s="2" t="inlineStr">
        <is>
          <t>Havsörn</t>
        </is>
      </c>
      <c r="S76">
        <f>HYPERLINK("https://klasma.github.io/Logging_1981/artfynd/A 41270-2024 artfynd.xlsx", "A 41270-2024")</f>
        <v/>
      </c>
      <c r="T76">
        <f>HYPERLINK("https://klasma.github.io/Logging_1981/kartor/A 41270-2024 karta.png", "A 41270-2024")</f>
        <v/>
      </c>
      <c r="V76">
        <f>HYPERLINK("https://klasma.github.io/Logging_1981/klagomål/A 41270-2024 FSC-klagomål.docx", "A 41270-2024")</f>
        <v/>
      </c>
      <c r="W76">
        <f>HYPERLINK("https://klasma.github.io/Logging_1981/klagomålsmail/A 41270-2024 FSC-klagomål mail.docx", "A 41270-2024")</f>
        <v/>
      </c>
      <c r="X76">
        <f>HYPERLINK("https://klasma.github.io/Logging_1981/tillsyn/A 41270-2024 tillsynsbegäran.docx", "A 41270-2024")</f>
        <v/>
      </c>
      <c r="Y76">
        <f>HYPERLINK("https://klasma.github.io/Logging_1981/tillsynsmail/A 41270-2024 tillsynsbegäran mail.docx", "A 41270-2024")</f>
        <v/>
      </c>
      <c r="Z76">
        <f>HYPERLINK("https://klasma.github.io/Logging_1981/fåglar/A 41270-2024 prioriterade fågelarter.docx", "A 41270-2024")</f>
        <v/>
      </c>
    </row>
    <row r="77" ht="15" customHeight="1">
      <c r="A77" t="inlineStr">
        <is>
          <t>A 43068-2024</t>
        </is>
      </c>
      <c r="B77" s="1" t="n">
        <v>45567</v>
      </c>
      <c r="C77" s="1" t="n">
        <v>45586</v>
      </c>
      <c r="D77" t="inlineStr">
        <is>
          <t>VÄSTMANLANDS LÄN</t>
        </is>
      </c>
      <c r="E77" t="inlineStr">
        <is>
          <t>SALA</t>
        </is>
      </c>
      <c r="G77" t="n">
        <v>1.1</v>
      </c>
      <c r="H77" t="n">
        <v>0</v>
      </c>
      <c r="I77" t="n">
        <v>1</v>
      </c>
      <c r="J77" t="n">
        <v>0</v>
      </c>
      <c r="K77" t="n">
        <v>0</v>
      </c>
      <c r="L77" t="n">
        <v>0</v>
      </c>
      <c r="M77" t="n">
        <v>0</v>
      </c>
      <c r="N77" t="n">
        <v>0</v>
      </c>
      <c r="O77" t="n">
        <v>0</v>
      </c>
      <c r="P77" t="n">
        <v>0</v>
      </c>
      <c r="Q77" t="n">
        <v>1</v>
      </c>
      <c r="R77" s="2" t="inlineStr">
        <is>
          <t>Vedticka</t>
        </is>
      </c>
      <c r="S77">
        <f>HYPERLINK("https://klasma.github.io/Logging_1981/artfynd/A 43068-2024 artfynd.xlsx", "A 43068-2024")</f>
        <v/>
      </c>
      <c r="T77">
        <f>HYPERLINK("https://klasma.github.io/Logging_1981/kartor/A 43068-2024 karta.png", "A 43068-2024")</f>
        <v/>
      </c>
      <c r="V77">
        <f>HYPERLINK("https://klasma.github.io/Logging_1981/klagomål/A 43068-2024 FSC-klagomål.docx", "A 43068-2024")</f>
        <v/>
      </c>
      <c r="W77">
        <f>HYPERLINK("https://klasma.github.io/Logging_1981/klagomålsmail/A 43068-2024 FSC-klagomål mail.docx", "A 43068-2024")</f>
        <v/>
      </c>
      <c r="X77">
        <f>HYPERLINK("https://klasma.github.io/Logging_1981/tillsyn/A 43068-2024 tillsynsbegäran.docx", "A 43068-2024")</f>
        <v/>
      </c>
      <c r="Y77">
        <f>HYPERLINK("https://klasma.github.io/Logging_1981/tillsynsmail/A 43068-2024 tillsynsbegäran mail.docx", "A 43068-2024")</f>
        <v/>
      </c>
    </row>
    <row r="78" ht="15" customHeight="1">
      <c r="A78" t="inlineStr">
        <is>
          <t>A 18255-2019</t>
        </is>
      </c>
      <c r="B78" s="1" t="n">
        <v>43558</v>
      </c>
      <c r="C78" s="1" t="n">
        <v>45586</v>
      </c>
      <c r="D78" t="inlineStr">
        <is>
          <t>VÄSTMANLANDS LÄN</t>
        </is>
      </c>
      <c r="E78" t="inlineStr">
        <is>
          <t>SALA</t>
        </is>
      </c>
      <c r="F78" t="inlineStr">
        <is>
          <t>Kommuner</t>
        </is>
      </c>
      <c r="G78" t="n">
        <v>2.2</v>
      </c>
      <c r="H78" t="n">
        <v>0</v>
      </c>
      <c r="I78" t="n">
        <v>0</v>
      </c>
      <c r="J78" t="n">
        <v>0</v>
      </c>
      <c r="K78" t="n">
        <v>0</v>
      </c>
      <c r="L78" t="n">
        <v>0</v>
      </c>
      <c r="M78" t="n">
        <v>0</v>
      </c>
      <c r="N78" t="n">
        <v>0</v>
      </c>
      <c r="O78" t="n">
        <v>0</v>
      </c>
      <c r="P78" t="n">
        <v>0</v>
      </c>
      <c r="Q78" t="n">
        <v>0</v>
      </c>
      <c r="R78" s="2" t="inlineStr"/>
    </row>
    <row r="79" ht="15" customHeight="1">
      <c r="A79" t="inlineStr">
        <is>
          <t>A 18352-2019</t>
        </is>
      </c>
      <c r="B79" s="1" t="n">
        <v>43559</v>
      </c>
      <c r="C79" s="1" t="n">
        <v>45586</v>
      </c>
      <c r="D79" t="inlineStr">
        <is>
          <t>VÄSTMANLANDS LÄN</t>
        </is>
      </c>
      <c r="E79" t="inlineStr">
        <is>
          <t>SALA</t>
        </is>
      </c>
      <c r="F79" t="inlineStr">
        <is>
          <t>Kommuner</t>
        </is>
      </c>
      <c r="G79" t="n">
        <v>1.7</v>
      </c>
      <c r="H79" t="n">
        <v>0</v>
      </c>
      <c r="I79" t="n">
        <v>0</v>
      </c>
      <c r="J79" t="n">
        <v>0</v>
      </c>
      <c r="K79" t="n">
        <v>0</v>
      </c>
      <c r="L79" t="n">
        <v>0</v>
      </c>
      <c r="M79" t="n">
        <v>0</v>
      </c>
      <c r="N79" t="n">
        <v>0</v>
      </c>
      <c r="O79" t="n">
        <v>0</v>
      </c>
      <c r="P79" t="n">
        <v>0</v>
      </c>
      <c r="Q79" t="n">
        <v>0</v>
      </c>
      <c r="R79" s="2" t="inlineStr"/>
    </row>
    <row r="80" ht="15" customHeight="1">
      <c r="A80" t="inlineStr">
        <is>
          <t>A 18791-2019</t>
        </is>
      </c>
      <c r="B80" s="1" t="n">
        <v>43562</v>
      </c>
      <c r="C80" s="1" t="n">
        <v>45586</v>
      </c>
      <c r="D80" t="inlineStr">
        <is>
          <t>VÄSTMANLANDS LÄN</t>
        </is>
      </c>
      <c r="E80" t="inlineStr">
        <is>
          <t>SALA</t>
        </is>
      </c>
      <c r="G80" t="n">
        <v>3.4</v>
      </c>
      <c r="H80" t="n">
        <v>0</v>
      </c>
      <c r="I80" t="n">
        <v>0</v>
      </c>
      <c r="J80" t="n">
        <v>0</v>
      </c>
      <c r="K80" t="n">
        <v>0</v>
      </c>
      <c r="L80" t="n">
        <v>0</v>
      </c>
      <c r="M80" t="n">
        <v>0</v>
      </c>
      <c r="N80" t="n">
        <v>0</v>
      </c>
      <c r="O80" t="n">
        <v>0</v>
      </c>
      <c r="P80" t="n">
        <v>0</v>
      </c>
      <c r="Q80" t="n">
        <v>0</v>
      </c>
      <c r="R80" s="2" t="inlineStr"/>
    </row>
    <row r="81" ht="15" customHeight="1">
      <c r="A81" t="inlineStr">
        <is>
          <t>A 18961-2019</t>
        </is>
      </c>
      <c r="B81" s="1" t="n">
        <v>43563</v>
      </c>
      <c r="C81" s="1" t="n">
        <v>45586</v>
      </c>
      <c r="D81" t="inlineStr">
        <is>
          <t>VÄSTMANLANDS LÄN</t>
        </is>
      </c>
      <c r="E81" t="inlineStr">
        <is>
          <t>SALA</t>
        </is>
      </c>
      <c r="F81" t="inlineStr">
        <is>
          <t>Kommuner</t>
        </is>
      </c>
      <c r="G81" t="n">
        <v>1.5</v>
      </c>
      <c r="H81" t="n">
        <v>0</v>
      </c>
      <c r="I81" t="n">
        <v>0</v>
      </c>
      <c r="J81" t="n">
        <v>0</v>
      </c>
      <c r="K81" t="n">
        <v>0</v>
      </c>
      <c r="L81" t="n">
        <v>0</v>
      </c>
      <c r="M81" t="n">
        <v>0</v>
      </c>
      <c r="N81" t="n">
        <v>0</v>
      </c>
      <c r="O81" t="n">
        <v>0</v>
      </c>
      <c r="P81" t="n">
        <v>0</v>
      </c>
      <c r="Q81" t="n">
        <v>0</v>
      </c>
      <c r="R81" s="2" t="inlineStr"/>
    </row>
    <row r="82" ht="15" customHeight="1">
      <c r="A82" t="inlineStr">
        <is>
          <t>A 19869-2019</t>
        </is>
      </c>
      <c r="B82" s="1" t="n">
        <v>43567</v>
      </c>
      <c r="C82" s="1" t="n">
        <v>45586</v>
      </c>
      <c r="D82" t="inlineStr">
        <is>
          <t>VÄSTMANLANDS LÄN</t>
        </is>
      </c>
      <c r="E82" t="inlineStr">
        <is>
          <t>SALA</t>
        </is>
      </c>
      <c r="G82" t="n">
        <v>1.6</v>
      </c>
      <c r="H82" t="n">
        <v>0</v>
      </c>
      <c r="I82" t="n">
        <v>0</v>
      </c>
      <c r="J82" t="n">
        <v>0</v>
      </c>
      <c r="K82" t="n">
        <v>0</v>
      </c>
      <c r="L82" t="n">
        <v>0</v>
      </c>
      <c r="M82" t="n">
        <v>0</v>
      </c>
      <c r="N82" t="n">
        <v>0</v>
      </c>
      <c r="O82" t="n">
        <v>0</v>
      </c>
      <c r="P82" t="n">
        <v>0</v>
      </c>
      <c r="Q82" t="n">
        <v>0</v>
      </c>
      <c r="R82" s="2" t="inlineStr"/>
    </row>
    <row r="83" ht="15" customHeight="1">
      <c r="A83" t="inlineStr">
        <is>
          <t>A 21985-2019</t>
        </is>
      </c>
      <c r="B83" s="1" t="n">
        <v>43584</v>
      </c>
      <c r="C83" s="1" t="n">
        <v>45586</v>
      </c>
      <c r="D83" t="inlineStr">
        <is>
          <t>VÄSTMANLANDS LÄN</t>
        </is>
      </c>
      <c r="E83" t="inlineStr">
        <is>
          <t>SALA</t>
        </is>
      </c>
      <c r="G83" t="n">
        <v>1.7</v>
      </c>
      <c r="H83" t="n">
        <v>0</v>
      </c>
      <c r="I83" t="n">
        <v>0</v>
      </c>
      <c r="J83" t="n">
        <v>0</v>
      </c>
      <c r="K83" t="n">
        <v>0</v>
      </c>
      <c r="L83" t="n">
        <v>0</v>
      </c>
      <c r="M83" t="n">
        <v>0</v>
      </c>
      <c r="N83" t="n">
        <v>0</v>
      </c>
      <c r="O83" t="n">
        <v>0</v>
      </c>
      <c r="P83" t="n">
        <v>0</v>
      </c>
      <c r="Q83" t="n">
        <v>0</v>
      </c>
      <c r="R83" s="2" t="inlineStr"/>
    </row>
    <row r="84" ht="15" customHeight="1">
      <c r="A84" t="inlineStr">
        <is>
          <t>A 22249-2019</t>
        </is>
      </c>
      <c r="B84" s="1" t="n">
        <v>43585</v>
      </c>
      <c r="C84" s="1" t="n">
        <v>45586</v>
      </c>
      <c r="D84" t="inlineStr">
        <is>
          <t>VÄSTMANLANDS LÄN</t>
        </is>
      </c>
      <c r="E84" t="inlineStr">
        <is>
          <t>SALA</t>
        </is>
      </c>
      <c r="F84" t="inlineStr">
        <is>
          <t>Kommuner</t>
        </is>
      </c>
      <c r="G84" t="n">
        <v>0.8</v>
      </c>
      <c r="H84" t="n">
        <v>0</v>
      </c>
      <c r="I84" t="n">
        <v>0</v>
      </c>
      <c r="J84" t="n">
        <v>0</v>
      </c>
      <c r="K84" t="n">
        <v>0</v>
      </c>
      <c r="L84" t="n">
        <v>0</v>
      </c>
      <c r="M84" t="n">
        <v>0</v>
      </c>
      <c r="N84" t="n">
        <v>0</v>
      </c>
      <c r="O84" t="n">
        <v>0</v>
      </c>
      <c r="P84" t="n">
        <v>0</v>
      </c>
      <c r="Q84" t="n">
        <v>0</v>
      </c>
      <c r="R84" s="2" t="inlineStr"/>
    </row>
    <row r="85" ht="15" customHeight="1">
      <c r="A85" t="inlineStr">
        <is>
          <t>A 22833-2019</t>
        </is>
      </c>
      <c r="B85" s="1" t="n">
        <v>43591</v>
      </c>
      <c r="C85" s="1" t="n">
        <v>45586</v>
      </c>
      <c r="D85" t="inlineStr">
        <is>
          <t>VÄSTMANLANDS LÄN</t>
        </is>
      </c>
      <c r="E85" t="inlineStr">
        <is>
          <t>SALA</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25005-2019</t>
        </is>
      </c>
      <c r="B86" s="1" t="n">
        <v>43602</v>
      </c>
      <c r="C86" s="1" t="n">
        <v>45586</v>
      </c>
      <c r="D86" t="inlineStr">
        <is>
          <t>VÄSTMANLANDS LÄN</t>
        </is>
      </c>
      <c r="E86" t="inlineStr">
        <is>
          <t>SALA</t>
        </is>
      </c>
      <c r="F86" t="inlineStr">
        <is>
          <t>Kommuner</t>
        </is>
      </c>
      <c r="G86" t="n">
        <v>4.3</v>
      </c>
      <c r="H86" t="n">
        <v>0</v>
      </c>
      <c r="I86" t="n">
        <v>0</v>
      </c>
      <c r="J86" t="n">
        <v>0</v>
      </c>
      <c r="K86" t="n">
        <v>0</v>
      </c>
      <c r="L86" t="n">
        <v>0</v>
      </c>
      <c r="M86" t="n">
        <v>0</v>
      </c>
      <c r="N86" t="n">
        <v>0</v>
      </c>
      <c r="O86" t="n">
        <v>0</v>
      </c>
      <c r="P86" t="n">
        <v>0</v>
      </c>
      <c r="Q86" t="n">
        <v>0</v>
      </c>
      <c r="R86" s="2" t="inlineStr"/>
    </row>
    <row r="87" ht="15" customHeight="1">
      <c r="A87" t="inlineStr">
        <is>
          <t>A 25814-2019</t>
        </is>
      </c>
      <c r="B87" s="1" t="n">
        <v>43608</v>
      </c>
      <c r="C87" s="1" t="n">
        <v>45586</v>
      </c>
      <c r="D87" t="inlineStr">
        <is>
          <t>VÄSTMANLANDS LÄN</t>
        </is>
      </c>
      <c r="E87" t="inlineStr">
        <is>
          <t>SALA</t>
        </is>
      </c>
      <c r="G87" t="n">
        <v>2.1</v>
      </c>
      <c r="H87" t="n">
        <v>0</v>
      </c>
      <c r="I87" t="n">
        <v>0</v>
      </c>
      <c r="J87" t="n">
        <v>0</v>
      </c>
      <c r="K87" t="n">
        <v>0</v>
      </c>
      <c r="L87" t="n">
        <v>0</v>
      </c>
      <c r="M87" t="n">
        <v>0</v>
      </c>
      <c r="N87" t="n">
        <v>0</v>
      </c>
      <c r="O87" t="n">
        <v>0</v>
      </c>
      <c r="P87" t="n">
        <v>0</v>
      </c>
      <c r="Q87" t="n">
        <v>0</v>
      </c>
      <c r="R87" s="2" t="inlineStr"/>
    </row>
    <row r="88" ht="15" customHeight="1">
      <c r="A88" t="inlineStr">
        <is>
          <t>A 26861-2019</t>
        </is>
      </c>
      <c r="B88" s="1" t="n">
        <v>43613</v>
      </c>
      <c r="C88" s="1" t="n">
        <v>45586</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27164-2019</t>
        </is>
      </c>
      <c r="B89" s="1" t="n">
        <v>43614</v>
      </c>
      <c r="C89" s="1" t="n">
        <v>45586</v>
      </c>
      <c r="D89" t="inlineStr">
        <is>
          <t>VÄSTMANLANDS LÄN</t>
        </is>
      </c>
      <c r="E89" t="inlineStr">
        <is>
          <t>SALA</t>
        </is>
      </c>
      <c r="G89" t="n">
        <v>1.9</v>
      </c>
      <c r="H89" t="n">
        <v>0</v>
      </c>
      <c r="I89" t="n">
        <v>0</v>
      </c>
      <c r="J89" t="n">
        <v>0</v>
      </c>
      <c r="K89" t="n">
        <v>0</v>
      </c>
      <c r="L89" t="n">
        <v>0</v>
      </c>
      <c r="M89" t="n">
        <v>0</v>
      </c>
      <c r="N89" t="n">
        <v>0</v>
      </c>
      <c r="O89" t="n">
        <v>0</v>
      </c>
      <c r="P89" t="n">
        <v>0</v>
      </c>
      <c r="Q89" t="n">
        <v>0</v>
      </c>
      <c r="R89" s="2" t="inlineStr"/>
    </row>
    <row r="90" ht="15" customHeight="1">
      <c r="A90" t="inlineStr">
        <is>
          <t>A 27040-2019</t>
        </is>
      </c>
      <c r="B90" s="1" t="n">
        <v>43614</v>
      </c>
      <c r="C90" s="1" t="n">
        <v>45586</v>
      </c>
      <c r="D90" t="inlineStr">
        <is>
          <t>VÄSTMANLANDS LÄN</t>
        </is>
      </c>
      <c r="E90" t="inlineStr">
        <is>
          <t>SALA</t>
        </is>
      </c>
      <c r="G90" t="n">
        <v>1.4</v>
      </c>
      <c r="H90" t="n">
        <v>0</v>
      </c>
      <c r="I90" t="n">
        <v>0</v>
      </c>
      <c r="J90" t="n">
        <v>0</v>
      </c>
      <c r="K90" t="n">
        <v>0</v>
      </c>
      <c r="L90" t="n">
        <v>0</v>
      </c>
      <c r="M90" t="n">
        <v>0</v>
      </c>
      <c r="N90" t="n">
        <v>0</v>
      </c>
      <c r="O90" t="n">
        <v>0</v>
      </c>
      <c r="P90" t="n">
        <v>0</v>
      </c>
      <c r="Q90" t="n">
        <v>0</v>
      </c>
      <c r="R90" s="2" t="inlineStr"/>
    </row>
    <row r="91" ht="15" customHeight="1">
      <c r="A91" t="inlineStr">
        <is>
          <t>A 28132-2019</t>
        </is>
      </c>
      <c r="B91" s="1" t="n">
        <v>43621</v>
      </c>
      <c r="C91" s="1" t="n">
        <v>45586</v>
      </c>
      <c r="D91" t="inlineStr">
        <is>
          <t>VÄSTMANLANDS LÄN</t>
        </is>
      </c>
      <c r="E91" t="inlineStr">
        <is>
          <t>SALA</t>
        </is>
      </c>
      <c r="G91" t="n">
        <v>2.4</v>
      </c>
      <c r="H91" t="n">
        <v>0</v>
      </c>
      <c r="I91" t="n">
        <v>0</v>
      </c>
      <c r="J91" t="n">
        <v>0</v>
      </c>
      <c r="K91" t="n">
        <v>0</v>
      </c>
      <c r="L91" t="n">
        <v>0</v>
      </c>
      <c r="M91" t="n">
        <v>0</v>
      </c>
      <c r="N91" t="n">
        <v>0</v>
      </c>
      <c r="O91" t="n">
        <v>0</v>
      </c>
      <c r="P91" t="n">
        <v>0</v>
      </c>
      <c r="Q91" t="n">
        <v>0</v>
      </c>
      <c r="R91" s="2" t="inlineStr"/>
    </row>
    <row r="92" ht="15" customHeight="1">
      <c r="A92" t="inlineStr">
        <is>
          <t>A 28143-2019</t>
        </is>
      </c>
      <c r="B92" s="1" t="n">
        <v>43621</v>
      </c>
      <c r="C92" s="1" t="n">
        <v>45586</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28162-2019</t>
        </is>
      </c>
      <c r="B93" s="1" t="n">
        <v>43621</v>
      </c>
      <c r="C93" s="1" t="n">
        <v>45586</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29023-2019</t>
        </is>
      </c>
      <c r="B94" s="1" t="n">
        <v>43628</v>
      </c>
      <c r="C94" s="1" t="n">
        <v>45586</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29331-2019</t>
        </is>
      </c>
      <c r="B95" s="1" t="n">
        <v>43629</v>
      </c>
      <c r="C95" s="1" t="n">
        <v>45586</v>
      </c>
      <c r="D95" t="inlineStr">
        <is>
          <t>VÄSTMANLANDS LÄN</t>
        </is>
      </c>
      <c r="E95" t="inlineStr">
        <is>
          <t>SALA</t>
        </is>
      </c>
      <c r="G95" t="n">
        <v>5</v>
      </c>
      <c r="H95" t="n">
        <v>0</v>
      </c>
      <c r="I95" t="n">
        <v>0</v>
      </c>
      <c r="J95" t="n">
        <v>0</v>
      </c>
      <c r="K95" t="n">
        <v>0</v>
      </c>
      <c r="L95" t="n">
        <v>0</v>
      </c>
      <c r="M95" t="n">
        <v>0</v>
      </c>
      <c r="N95" t="n">
        <v>0</v>
      </c>
      <c r="O95" t="n">
        <v>0</v>
      </c>
      <c r="P95" t="n">
        <v>0</v>
      </c>
      <c r="Q95" t="n">
        <v>0</v>
      </c>
      <c r="R95" s="2" t="inlineStr"/>
    </row>
    <row r="96" ht="15" customHeight="1">
      <c r="A96" t="inlineStr">
        <is>
          <t>A 31225-2019</t>
        </is>
      </c>
      <c r="B96" s="1" t="n">
        <v>43635</v>
      </c>
      <c r="C96" s="1" t="n">
        <v>45586</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30974-2019</t>
        </is>
      </c>
      <c r="B97" s="1" t="n">
        <v>43639</v>
      </c>
      <c r="C97" s="1" t="n">
        <v>45586</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34709-2019</t>
        </is>
      </c>
      <c r="B98" s="1" t="n">
        <v>43648</v>
      </c>
      <c r="C98" s="1" t="n">
        <v>45586</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35690-2019</t>
        </is>
      </c>
      <c r="B99" s="1" t="n">
        <v>43664</v>
      </c>
      <c r="C99" s="1" t="n">
        <v>45586</v>
      </c>
      <c r="D99" t="inlineStr">
        <is>
          <t>VÄSTMANLANDS LÄN</t>
        </is>
      </c>
      <c r="E99" t="inlineStr">
        <is>
          <t>SALA</t>
        </is>
      </c>
      <c r="G99" t="n">
        <v>3.1</v>
      </c>
      <c r="H99" t="n">
        <v>0</v>
      </c>
      <c r="I99" t="n">
        <v>0</v>
      </c>
      <c r="J99" t="n">
        <v>0</v>
      </c>
      <c r="K99" t="n">
        <v>0</v>
      </c>
      <c r="L99" t="n">
        <v>0</v>
      </c>
      <c r="M99" t="n">
        <v>0</v>
      </c>
      <c r="N99" t="n">
        <v>0</v>
      </c>
      <c r="O99" t="n">
        <v>0</v>
      </c>
      <c r="P99" t="n">
        <v>0</v>
      </c>
      <c r="Q99" t="n">
        <v>0</v>
      </c>
      <c r="R99" s="2" t="inlineStr"/>
    </row>
    <row r="100" ht="15" customHeight="1">
      <c r="A100" t="inlineStr">
        <is>
          <t>A 36142-2019</t>
        </is>
      </c>
      <c r="B100" s="1" t="n">
        <v>43668</v>
      </c>
      <c r="C100" s="1" t="n">
        <v>45586</v>
      </c>
      <c r="D100" t="inlineStr">
        <is>
          <t>VÄSTMANLANDS LÄN</t>
        </is>
      </c>
      <c r="E100" t="inlineStr">
        <is>
          <t>SALA</t>
        </is>
      </c>
      <c r="G100" t="n">
        <v>0.6</v>
      </c>
      <c r="H100" t="n">
        <v>0</v>
      </c>
      <c r="I100" t="n">
        <v>0</v>
      </c>
      <c r="J100" t="n">
        <v>0</v>
      </c>
      <c r="K100" t="n">
        <v>0</v>
      </c>
      <c r="L100" t="n">
        <v>0</v>
      </c>
      <c r="M100" t="n">
        <v>0</v>
      </c>
      <c r="N100" t="n">
        <v>0</v>
      </c>
      <c r="O100" t="n">
        <v>0</v>
      </c>
      <c r="P100" t="n">
        <v>0</v>
      </c>
      <c r="Q100" t="n">
        <v>0</v>
      </c>
      <c r="R100" s="2" t="inlineStr"/>
    </row>
    <row r="101" ht="15" customHeight="1">
      <c r="A101" t="inlineStr">
        <is>
          <t>A 36429-2019</t>
        </is>
      </c>
      <c r="B101" s="1" t="n">
        <v>43670</v>
      </c>
      <c r="C101" s="1" t="n">
        <v>45586</v>
      </c>
      <c r="D101" t="inlineStr">
        <is>
          <t>VÄSTMANLANDS LÄN</t>
        </is>
      </c>
      <c r="E101" t="inlineStr">
        <is>
          <t>SALA</t>
        </is>
      </c>
      <c r="G101" t="n">
        <v>2</v>
      </c>
      <c r="H101" t="n">
        <v>0</v>
      </c>
      <c r="I101" t="n">
        <v>0</v>
      </c>
      <c r="J101" t="n">
        <v>0</v>
      </c>
      <c r="K101" t="n">
        <v>0</v>
      </c>
      <c r="L101" t="n">
        <v>0</v>
      </c>
      <c r="M101" t="n">
        <v>0</v>
      </c>
      <c r="N101" t="n">
        <v>0</v>
      </c>
      <c r="O101" t="n">
        <v>0</v>
      </c>
      <c r="P101" t="n">
        <v>0</v>
      </c>
      <c r="Q101" t="n">
        <v>0</v>
      </c>
      <c r="R101" s="2" t="inlineStr"/>
    </row>
    <row r="102" ht="15" customHeight="1">
      <c r="A102" t="inlineStr">
        <is>
          <t>A 36600-2019</t>
        </is>
      </c>
      <c r="B102" s="1" t="n">
        <v>43671</v>
      </c>
      <c r="C102" s="1" t="n">
        <v>45586</v>
      </c>
      <c r="D102" t="inlineStr">
        <is>
          <t>VÄSTMANLANDS LÄN</t>
        </is>
      </c>
      <c r="E102" t="inlineStr">
        <is>
          <t>SALA</t>
        </is>
      </c>
      <c r="F102" t="inlineStr">
        <is>
          <t>Kyrkan</t>
        </is>
      </c>
      <c r="G102" t="n">
        <v>4.3</v>
      </c>
      <c r="H102" t="n">
        <v>0</v>
      </c>
      <c r="I102" t="n">
        <v>0</v>
      </c>
      <c r="J102" t="n">
        <v>0</v>
      </c>
      <c r="K102" t="n">
        <v>0</v>
      </c>
      <c r="L102" t="n">
        <v>0</v>
      </c>
      <c r="M102" t="n">
        <v>0</v>
      </c>
      <c r="N102" t="n">
        <v>0</v>
      </c>
      <c r="O102" t="n">
        <v>0</v>
      </c>
      <c r="P102" t="n">
        <v>0</v>
      </c>
      <c r="Q102" t="n">
        <v>0</v>
      </c>
      <c r="R102" s="2" t="inlineStr"/>
    </row>
    <row r="103" ht="15" customHeight="1">
      <c r="A103" t="inlineStr">
        <is>
          <t>A 37186-2019</t>
        </is>
      </c>
      <c r="B103" s="1" t="n">
        <v>43677</v>
      </c>
      <c r="C103" s="1" t="n">
        <v>45586</v>
      </c>
      <c r="D103" t="inlineStr">
        <is>
          <t>VÄSTMANLANDS LÄN</t>
        </is>
      </c>
      <c r="E103" t="inlineStr">
        <is>
          <t>SALA</t>
        </is>
      </c>
      <c r="G103" t="n">
        <v>1.8</v>
      </c>
      <c r="H103" t="n">
        <v>0</v>
      </c>
      <c r="I103" t="n">
        <v>0</v>
      </c>
      <c r="J103" t="n">
        <v>0</v>
      </c>
      <c r="K103" t="n">
        <v>0</v>
      </c>
      <c r="L103" t="n">
        <v>0</v>
      </c>
      <c r="M103" t="n">
        <v>0</v>
      </c>
      <c r="N103" t="n">
        <v>0</v>
      </c>
      <c r="O103" t="n">
        <v>0</v>
      </c>
      <c r="P103" t="n">
        <v>0</v>
      </c>
      <c r="Q103" t="n">
        <v>0</v>
      </c>
      <c r="R103" s="2" t="inlineStr"/>
    </row>
    <row r="104" ht="15" customHeight="1">
      <c r="A104" t="inlineStr">
        <is>
          <t>A 37533-2019</t>
        </is>
      </c>
      <c r="B104" s="1" t="n">
        <v>43679</v>
      </c>
      <c r="C104" s="1" t="n">
        <v>45586</v>
      </c>
      <c r="D104" t="inlineStr">
        <is>
          <t>VÄSTMANLANDS LÄN</t>
        </is>
      </c>
      <c r="E104" t="inlineStr">
        <is>
          <t>SALA</t>
        </is>
      </c>
      <c r="G104" t="n">
        <v>7.9</v>
      </c>
      <c r="H104" t="n">
        <v>0</v>
      </c>
      <c r="I104" t="n">
        <v>0</v>
      </c>
      <c r="J104" t="n">
        <v>0</v>
      </c>
      <c r="K104" t="n">
        <v>0</v>
      </c>
      <c r="L104" t="n">
        <v>0</v>
      </c>
      <c r="M104" t="n">
        <v>0</v>
      </c>
      <c r="N104" t="n">
        <v>0</v>
      </c>
      <c r="O104" t="n">
        <v>0</v>
      </c>
      <c r="P104" t="n">
        <v>0</v>
      </c>
      <c r="Q104" t="n">
        <v>0</v>
      </c>
      <c r="R104" s="2" t="inlineStr"/>
    </row>
    <row r="105" ht="15" customHeight="1">
      <c r="A105" t="inlineStr">
        <is>
          <t>A 38645-2019</t>
        </is>
      </c>
      <c r="B105" s="1" t="n">
        <v>43686</v>
      </c>
      <c r="C105" s="1" t="n">
        <v>45586</v>
      </c>
      <c r="D105" t="inlineStr">
        <is>
          <t>VÄSTMANLANDS LÄN</t>
        </is>
      </c>
      <c r="E105" t="inlineStr">
        <is>
          <t>SALA</t>
        </is>
      </c>
      <c r="G105" t="n">
        <v>1.5</v>
      </c>
      <c r="H105" t="n">
        <v>0</v>
      </c>
      <c r="I105" t="n">
        <v>0</v>
      </c>
      <c r="J105" t="n">
        <v>0</v>
      </c>
      <c r="K105" t="n">
        <v>0</v>
      </c>
      <c r="L105" t="n">
        <v>0</v>
      </c>
      <c r="M105" t="n">
        <v>0</v>
      </c>
      <c r="N105" t="n">
        <v>0</v>
      </c>
      <c r="O105" t="n">
        <v>0</v>
      </c>
      <c r="P105" t="n">
        <v>0</v>
      </c>
      <c r="Q105" t="n">
        <v>0</v>
      </c>
      <c r="R105" s="2" t="inlineStr"/>
    </row>
    <row r="106" ht="15" customHeight="1">
      <c r="A106" t="inlineStr">
        <is>
          <t>A 39483-2019</t>
        </is>
      </c>
      <c r="B106" s="1" t="n">
        <v>43691</v>
      </c>
      <c r="C106" s="1" t="n">
        <v>45586</v>
      </c>
      <c r="D106" t="inlineStr">
        <is>
          <t>VÄSTMANLANDS LÄN</t>
        </is>
      </c>
      <c r="E106" t="inlineStr">
        <is>
          <t>SALA</t>
        </is>
      </c>
      <c r="G106" t="n">
        <v>4.6</v>
      </c>
      <c r="H106" t="n">
        <v>0</v>
      </c>
      <c r="I106" t="n">
        <v>0</v>
      </c>
      <c r="J106" t="n">
        <v>0</v>
      </c>
      <c r="K106" t="n">
        <v>0</v>
      </c>
      <c r="L106" t="n">
        <v>0</v>
      </c>
      <c r="M106" t="n">
        <v>0</v>
      </c>
      <c r="N106" t="n">
        <v>0</v>
      </c>
      <c r="O106" t="n">
        <v>0</v>
      </c>
      <c r="P106" t="n">
        <v>0</v>
      </c>
      <c r="Q106" t="n">
        <v>0</v>
      </c>
      <c r="R106" s="2" t="inlineStr"/>
    </row>
    <row r="107" ht="15" customHeight="1">
      <c r="A107" t="inlineStr">
        <is>
          <t>A 41259-2019</t>
        </is>
      </c>
      <c r="B107" s="1" t="n">
        <v>43698</v>
      </c>
      <c r="C107" s="1" t="n">
        <v>45586</v>
      </c>
      <c r="D107" t="inlineStr">
        <is>
          <t>VÄSTMANLANDS LÄN</t>
        </is>
      </c>
      <c r="E107" t="inlineStr">
        <is>
          <t>SALA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45302-2019</t>
        </is>
      </c>
      <c r="B108" s="1" t="n">
        <v>43707</v>
      </c>
      <c r="C108" s="1" t="n">
        <v>45586</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46936-2019</t>
        </is>
      </c>
      <c r="B109" s="1" t="n">
        <v>43719</v>
      </c>
      <c r="C109" s="1" t="n">
        <v>45586</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48617-2019</t>
        </is>
      </c>
      <c r="B110" s="1" t="n">
        <v>43727</v>
      </c>
      <c r="C110" s="1" t="n">
        <v>45586</v>
      </c>
      <c r="D110" t="inlineStr">
        <is>
          <t>VÄSTMANLANDS LÄN</t>
        </is>
      </c>
      <c r="E110" t="inlineStr">
        <is>
          <t>SALA</t>
        </is>
      </c>
      <c r="G110" t="n">
        <v>0.9</v>
      </c>
      <c r="H110" t="n">
        <v>0</v>
      </c>
      <c r="I110" t="n">
        <v>0</v>
      </c>
      <c r="J110" t="n">
        <v>0</v>
      </c>
      <c r="K110" t="n">
        <v>0</v>
      </c>
      <c r="L110" t="n">
        <v>0</v>
      </c>
      <c r="M110" t="n">
        <v>0</v>
      </c>
      <c r="N110" t="n">
        <v>0</v>
      </c>
      <c r="O110" t="n">
        <v>0</v>
      </c>
      <c r="P110" t="n">
        <v>0</v>
      </c>
      <c r="Q110" t="n">
        <v>0</v>
      </c>
      <c r="R110" s="2" t="inlineStr"/>
    </row>
    <row r="111" ht="15" customHeight="1">
      <c r="A111" t="inlineStr">
        <is>
          <t>A 48681-2019</t>
        </is>
      </c>
      <c r="B111" s="1" t="n">
        <v>43728</v>
      </c>
      <c r="C111" s="1" t="n">
        <v>45586</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52756-2019</t>
        </is>
      </c>
      <c r="B112" s="1" t="n">
        <v>43739</v>
      </c>
      <c r="C112" s="1" t="n">
        <v>45586</v>
      </c>
      <c r="D112" t="inlineStr">
        <is>
          <t>VÄSTMANLANDS LÄN</t>
        </is>
      </c>
      <c r="E112" t="inlineStr">
        <is>
          <t>SALA</t>
        </is>
      </c>
      <c r="G112" t="n">
        <v>4.2</v>
      </c>
      <c r="H112" t="n">
        <v>0</v>
      </c>
      <c r="I112" t="n">
        <v>0</v>
      </c>
      <c r="J112" t="n">
        <v>0</v>
      </c>
      <c r="K112" t="n">
        <v>0</v>
      </c>
      <c r="L112" t="n">
        <v>0</v>
      </c>
      <c r="M112" t="n">
        <v>0</v>
      </c>
      <c r="N112" t="n">
        <v>0</v>
      </c>
      <c r="O112" t="n">
        <v>0</v>
      </c>
      <c r="P112" t="n">
        <v>0</v>
      </c>
      <c r="Q112" t="n">
        <v>0</v>
      </c>
      <c r="R112" s="2" t="inlineStr"/>
    </row>
    <row r="113" ht="15" customHeight="1">
      <c r="A113" t="inlineStr">
        <is>
          <t>A 51854-2019</t>
        </is>
      </c>
      <c r="B113" s="1" t="n">
        <v>43741</v>
      </c>
      <c r="C113" s="1" t="n">
        <v>45586</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54393-2019</t>
        </is>
      </c>
      <c r="B114" s="1" t="n">
        <v>43746</v>
      </c>
      <c r="C114" s="1" t="n">
        <v>45586</v>
      </c>
      <c r="D114" t="inlineStr">
        <is>
          <t>VÄSTMANLANDS LÄN</t>
        </is>
      </c>
      <c r="E114" t="inlineStr">
        <is>
          <t>SALA</t>
        </is>
      </c>
      <c r="G114" t="n">
        <v>3.2</v>
      </c>
      <c r="H114" t="n">
        <v>0</v>
      </c>
      <c r="I114" t="n">
        <v>0</v>
      </c>
      <c r="J114" t="n">
        <v>0</v>
      </c>
      <c r="K114" t="n">
        <v>0</v>
      </c>
      <c r="L114" t="n">
        <v>0</v>
      </c>
      <c r="M114" t="n">
        <v>0</v>
      </c>
      <c r="N114" t="n">
        <v>0</v>
      </c>
      <c r="O114" t="n">
        <v>0</v>
      </c>
      <c r="P114" t="n">
        <v>0</v>
      </c>
      <c r="Q114" t="n">
        <v>0</v>
      </c>
      <c r="R114" s="2" t="inlineStr"/>
    </row>
    <row r="115" ht="15" customHeight="1">
      <c r="A115" t="inlineStr">
        <is>
          <t>A 54069-2019</t>
        </is>
      </c>
      <c r="B115" s="1" t="n">
        <v>43752</v>
      </c>
      <c r="C115" s="1" t="n">
        <v>45586</v>
      </c>
      <c r="D115" t="inlineStr">
        <is>
          <t>VÄSTMANLANDS LÄN</t>
        </is>
      </c>
      <c r="E115" t="inlineStr">
        <is>
          <t>SALA</t>
        </is>
      </c>
      <c r="G115" t="n">
        <v>3.5</v>
      </c>
      <c r="H115" t="n">
        <v>0</v>
      </c>
      <c r="I115" t="n">
        <v>0</v>
      </c>
      <c r="J115" t="n">
        <v>0</v>
      </c>
      <c r="K115" t="n">
        <v>0</v>
      </c>
      <c r="L115" t="n">
        <v>0</v>
      </c>
      <c r="M115" t="n">
        <v>0</v>
      </c>
      <c r="N115" t="n">
        <v>0</v>
      </c>
      <c r="O115" t="n">
        <v>0</v>
      </c>
      <c r="P115" t="n">
        <v>0</v>
      </c>
      <c r="Q115" t="n">
        <v>0</v>
      </c>
      <c r="R115" s="2" t="inlineStr"/>
    </row>
    <row r="116" ht="15" customHeight="1">
      <c r="A116" t="inlineStr">
        <is>
          <t>A 57743-2019</t>
        </is>
      </c>
      <c r="B116" s="1" t="n">
        <v>43768</v>
      </c>
      <c r="C116" s="1" t="n">
        <v>45586</v>
      </c>
      <c r="D116" t="inlineStr">
        <is>
          <t>VÄSTMANLANDS LÄN</t>
        </is>
      </c>
      <c r="E116" t="inlineStr">
        <is>
          <t>SALA</t>
        </is>
      </c>
      <c r="G116" t="n">
        <v>3.8</v>
      </c>
      <c r="H116" t="n">
        <v>0</v>
      </c>
      <c r="I116" t="n">
        <v>0</v>
      </c>
      <c r="J116" t="n">
        <v>0</v>
      </c>
      <c r="K116" t="n">
        <v>0</v>
      </c>
      <c r="L116" t="n">
        <v>0</v>
      </c>
      <c r="M116" t="n">
        <v>0</v>
      </c>
      <c r="N116" t="n">
        <v>0</v>
      </c>
      <c r="O116" t="n">
        <v>0</v>
      </c>
      <c r="P116" t="n">
        <v>0</v>
      </c>
      <c r="Q116" t="n">
        <v>0</v>
      </c>
      <c r="R116" s="2" t="inlineStr"/>
    </row>
    <row r="117" ht="15" customHeight="1">
      <c r="A117" t="inlineStr">
        <is>
          <t>A 58003-2019</t>
        </is>
      </c>
      <c r="B117" s="1" t="n">
        <v>43769</v>
      </c>
      <c r="C117" s="1" t="n">
        <v>45586</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58027-2019</t>
        </is>
      </c>
      <c r="B118" s="1" t="n">
        <v>43769</v>
      </c>
      <c r="C118" s="1" t="n">
        <v>45586</v>
      </c>
      <c r="D118" t="inlineStr">
        <is>
          <t>VÄSTMANLANDS LÄN</t>
        </is>
      </c>
      <c r="E118" t="inlineStr">
        <is>
          <t>SALA</t>
        </is>
      </c>
      <c r="G118" t="n">
        <v>2.4</v>
      </c>
      <c r="H118" t="n">
        <v>0</v>
      </c>
      <c r="I118" t="n">
        <v>0</v>
      </c>
      <c r="J118" t="n">
        <v>0</v>
      </c>
      <c r="K118" t="n">
        <v>0</v>
      </c>
      <c r="L118" t="n">
        <v>0</v>
      </c>
      <c r="M118" t="n">
        <v>0</v>
      </c>
      <c r="N118" t="n">
        <v>0</v>
      </c>
      <c r="O118" t="n">
        <v>0</v>
      </c>
      <c r="P118" t="n">
        <v>0</v>
      </c>
      <c r="Q118" t="n">
        <v>0</v>
      </c>
      <c r="R118" s="2" t="inlineStr"/>
    </row>
    <row r="119" ht="15" customHeight="1">
      <c r="A119" t="inlineStr">
        <is>
          <t>A 58681-2019</t>
        </is>
      </c>
      <c r="B119" s="1" t="n">
        <v>43773</v>
      </c>
      <c r="C119" s="1" t="n">
        <v>45586</v>
      </c>
      <c r="D119" t="inlineStr">
        <is>
          <t>VÄSTMANLANDS LÄN</t>
        </is>
      </c>
      <c r="E119" t="inlineStr">
        <is>
          <t>SALA</t>
        </is>
      </c>
      <c r="G119" t="n">
        <v>3</v>
      </c>
      <c r="H119" t="n">
        <v>0</v>
      </c>
      <c r="I119" t="n">
        <v>0</v>
      </c>
      <c r="J119" t="n">
        <v>0</v>
      </c>
      <c r="K119" t="n">
        <v>0</v>
      </c>
      <c r="L119" t="n">
        <v>0</v>
      </c>
      <c r="M119" t="n">
        <v>0</v>
      </c>
      <c r="N119" t="n">
        <v>0</v>
      </c>
      <c r="O119" t="n">
        <v>0</v>
      </c>
      <c r="P119" t="n">
        <v>0</v>
      </c>
      <c r="Q119" t="n">
        <v>0</v>
      </c>
      <c r="R119" s="2" t="inlineStr"/>
    </row>
    <row r="120" ht="15" customHeight="1">
      <c r="A120" t="inlineStr">
        <is>
          <t>A 58917-2019</t>
        </is>
      </c>
      <c r="B120" s="1" t="n">
        <v>43774</v>
      </c>
      <c r="C120" s="1" t="n">
        <v>45586</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59147-2019</t>
        </is>
      </c>
      <c r="B121" s="1" t="n">
        <v>43775</v>
      </c>
      <c r="C121" s="1" t="n">
        <v>45586</v>
      </c>
      <c r="D121" t="inlineStr">
        <is>
          <t>VÄSTMANLANDS LÄN</t>
        </is>
      </c>
      <c r="E121" t="inlineStr">
        <is>
          <t>SALA</t>
        </is>
      </c>
      <c r="F121" t="inlineStr">
        <is>
          <t>Övriga Aktiebolag</t>
        </is>
      </c>
      <c r="G121" t="n">
        <v>69.8</v>
      </c>
      <c r="H121" t="n">
        <v>0</v>
      </c>
      <c r="I121" t="n">
        <v>0</v>
      </c>
      <c r="J121" t="n">
        <v>0</v>
      </c>
      <c r="K121" t="n">
        <v>0</v>
      </c>
      <c r="L121" t="n">
        <v>0</v>
      </c>
      <c r="M121" t="n">
        <v>0</v>
      </c>
      <c r="N121" t="n">
        <v>0</v>
      </c>
      <c r="O121" t="n">
        <v>0</v>
      </c>
      <c r="P121" t="n">
        <v>0</v>
      </c>
      <c r="Q121" t="n">
        <v>0</v>
      </c>
      <c r="R121" s="2" t="inlineStr"/>
    </row>
    <row r="122" ht="15" customHeight="1">
      <c r="A122" t="inlineStr">
        <is>
          <t>A 60007-2019</t>
        </is>
      </c>
      <c r="B122" s="1" t="n">
        <v>43777</v>
      </c>
      <c r="C122" s="1" t="n">
        <v>45586</v>
      </c>
      <c r="D122" t="inlineStr">
        <is>
          <t>VÄSTMANLANDS LÄN</t>
        </is>
      </c>
      <c r="E122" t="inlineStr">
        <is>
          <t>SALA</t>
        </is>
      </c>
      <c r="F122" t="inlineStr">
        <is>
          <t>Kyrkan</t>
        </is>
      </c>
      <c r="G122" t="n">
        <v>5.1</v>
      </c>
      <c r="H122" t="n">
        <v>0</v>
      </c>
      <c r="I122" t="n">
        <v>0</v>
      </c>
      <c r="J122" t="n">
        <v>0</v>
      </c>
      <c r="K122" t="n">
        <v>0</v>
      </c>
      <c r="L122" t="n">
        <v>0</v>
      </c>
      <c r="M122" t="n">
        <v>0</v>
      </c>
      <c r="N122" t="n">
        <v>0</v>
      </c>
      <c r="O122" t="n">
        <v>0</v>
      </c>
      <c r="P122" t="n">
        <v>0</v>
      </c>
      <c r="Q122" t="n">
        <v>0</v>
      </c>
      <c r="R122" s="2" t="inlineStr"/>
    </row>
    <row r="123" ht="15" customHeight="1">
      <c r="A123" t="inlineStr">
        <is>
          <t>A 60012-2019</t>
        </is>
      </c>
      <c r="B123" s="1" t="n">
        <v>43777</v>
      </c>
      <c r="C123" s="1" t="n">
        <v>45586</v>
      </c>
      <c r="D123" t="inlineStr">
        <is>
          <t>VÄSTMANLANDS LÄN</t>
        </is>
      </c>
      <c r="E123" t="inlineStr">
        <is>
          <t>SALA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61270-2019</t>
        </is>
      </c>
      <c r="B124" s="1" t="n">
        <v>43783</v>
      </c>
      <c r="C124" s="1" t="n">
        <v>45586</v>
      </c>
      <c r="D124" t="inlineStr">
        <is>
          <t>VÄSTMANLANDS LÄN</t>
        </is>
      </c>
      <c r="E124" t="inlineStr">
        <is>
          <t>SALA</t>
        </is>
      </c>
      <c r="G124" t="n">
        <v>3.3</v>
      </c>
      <c r="H124" t="n">
        <v>0</v>
      </c>
      <c r="I124" t="n">
        <v>0</v>
      </c>
      <c r="J124" t="n">
        <v>0</v>
      </c>
      <c r="K124" t="n">
        <v>0</v>
      </c>
      <c r="L124" t="n">
        <v>0</v>
      </c>
      <c r="M124" t="n">
        <v>0</v>
      </c>
      <c r="N124" t="n">
        <v>0</v>
      </c>
      <c r="O124" t="n">
        <v>0</v>
      </c>
      <c r="P124" t="n">
        <v>0</v>
      </c>
      <c r="Q124" t="n">
        <v>0</v>
      </c>
      <c r="R124" s="2" t="inlineStr"/>
    </row>
    <row r="125" ht="15" customHeight="1">
      <c r="A125" t="inlineStr">
        <is>
          <t>A 61394-2019</t>
        </is>
      </c>
      <c r="B125" s="1" t="n">
        <v>43783</v>
      </c>
      <c r="C125" s="1" t="n">
        <v>45586</v>
      </c>
      <c r="D125" t="inlineStr">
        <is>
          <t>VÄSTMANLANDS LÄN</t>
        </is>
      </c>
      <c r="E125" t="inlineStr">
        <is>
          <t>SALA</t>
        </is>
      </c>
      <c r="G125" t="n">
        <v>7.8</v>
      </c>
      <c r="H125" t="n">
        <v>0</v>
      </c>
      <c r="I125" t="n">
        <v>0</v>
      </c>
      <c r="J125" t="n">
        <v>0</v>
      </c>
      <c r="K125" t="n">
        <v>0</v>
      </c>
      <c r="L125" t="n">
        <v>0</v>
      </c>
      <c r="M125" t="n">
        <v>0</v>
      </c>
      <c r="N125" t="n">
        <v>0</v>
      </c>
      <c r="O125" t="n">
        <v>0</v>
      </c>
      <c r="P125" t="n">
        <v>0</v>
      </c>
      <c r="Q125" t="n">
        <v>0</v>
      </c>
      <c r="R125" s="2" t="inlineStr"/>
    </row>
    <row r="126" ht="15" customHeight="1">
      <c r="A126" t="inlineStr">
        <is>
          <t>A 61758-2019</t>
        </is>
      </c>
      <c r="B126" s="1" t="n">
        <v>43784</v>
      </c>
      <c r="C126" s="1" t="n">
        <v>45586</v>
      </c>
      <c r="D126" t="inlineStr">
        <is>
          <t>VÄSTMANLANDS LÄN</t>
        </is>
      </c>
      <c r="E126" t="inlineStr">
        <is>
          <t>SALA</t>
        </is>
      </c>
      <c r="G126" t="n">
        <v>1.3</v>
      </c>
      <c r="H126" t="n">
        <v>0</v>
      </c>
      <c r="I126" t="n">
        <v>0</v>
      </c>
      <c r="J126" t="n">
        <v>0</v>
      </c>
      <c r="K126" t="n">
        <v>0</v>
      </c>
      <c r="L126" t="n">
        <v>0</v>
      </c>
      <c r="M126" t="n">
        <v>0</v>
      </c>
      <c r="N126" t="n">
        <v>0</v>
      </c>
      <c r="O126" t="n">
        <v>0</v>
      </c>
      <c r="P126" t="n">
        <v>0</v>
      </c>
      <c r="Q126" t="n">
        <v>0</v>
      </c>
      <c r="R126" s="2" t="inlineStr"/>
    </row>
    <row r="127" ht="15" customHeight="1">
      <c r="A127" t="inlineStr">
        <is>
          <t>A 62390-2019</t>
        </is>
      </c>
      <c r="B127" s="1" t="n">
        <v>43788</v>
      </c>
      <c r="C127" s="1" t="n">
        <v>45586</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64164-2019</t>
        </is>
      </c>
      <c r="B128" s="1" t="n">
        <v>43791</v>
      </c>
      <c r="C128" s="1" t="n">
        <v>45586</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63369-2019</t>
        </is>
      </c>
      <c r="B129" s="1" t="n">
        <v>43794</v>
      </c>
      <c r="C129" s="1" t="n">
        <v>45586</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63498-2019</t>
        </is>
      </c>
      <c r="B130" s="1" t="n">
        <v>43794</v>
      </c>
      <c r="C130" s="1" t="n">
        <v>45586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64090-2019</t>
        </is>
      </c>
      <c r="B131" s="1" t="n">
        <v>43796</v>
      </c>
      <c r="C131" s="1" t="n">
        <v>45586</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64092-2019</t>
        </is>
      </c>
      <c r="B132" s="1" t="n">
        <v>43796</v>
      </c>
      <c r="C132" s="1" t="n">
        <v>45586</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65021-2019</t>
        </is>
      </c>
      <c r="B133" s="1" t="n">
        <v>43801</v>
      </c>
      <c r="C133" s="1" t="n">
        <v>45586</v>
      </c>
      <c r="D133" t="inlineStr">
        <is>
          <t>VÄSTMANLANDS LÄN</t>
        </is>
      </c>
      <c r="E133" t="inlineStr">
        <is>
          <t>SALA</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66089-2019</t>
        </is>
      </c>
      <c r="B134" s="1" t="n">
        <v>43807</v>
      </c>
      <c r="C134" s="1" t="n">
        <v>45586</v>
      </c>
      <c r="D134" t="inlineStr">
        <is>
          <t>VÄSTMANLANDS LÄN</t>
        </is>
      </c>
      <c r="E134" t="inlineStr">
        <is>
          <t>SALA</t>
        </is>
      </c>
      <c r="G134" t="n">
        <v>17.1</v>
      </c>
      <c r="H134" t="n">
        <v>0</v>
      </c>
      <c r="I134" t="n">
        <v>0</v>
      </c>
      <c r="J134" t="n">
        <v>0</v>
      </c>
      <c r="K134" t="n">
        <v>0</v>
      </c>
      <c r="L134" t="n">
        <v>0</v>
      </c>
      <c r="M134" t="n">
        <v>0</v>
      </c>
      <c r="N134" t="n">
        <v>0</v>
      </c>
      <c r="O134" t="n">
        <v>0</v>
      </c>
      <c r="P134" t="n">
        <v>0</v>
      </c>
      <c r="Q134" t="n">
        <v>0</v>
      </c>
      <c r="R134" s="2" t="inlineStr"/>
    </row>
    <row r="135" ht="15" customHeight="1">
      <c r="A135" t="inlineStr">
        <is>
          <t>A 66216-2019</t>
        </is>
      </c>
      <c r="B135" s="1" t="n">
        <v>43808</v>
      </c>
      <c r="C135" s="1" t="n">
        <v>45586</v>
      </c>
      <c r="D135" t="inlineStr">
        <is>
          <t>VÄSTMANLANDS LÄN</t>
        </is>
      </c>
      <c r="E135" t="inlineStr">
        <is>
          <t>SALA</t>
        </is>
      </c>
      <c r="F135" t="inlineStr">
        <is>
          <t>Kommuner</t>
        </is>
      </c>
      <c r="G135" t="n">
        <v>3.7</v>
      </c>
      <c r="H135" t="n">
        <v>0</v>
      </c>
      <c r="I135" t="n">
        <v>0</v>
      </c>
      <c r="J135" t="n">
        <v>0</v>
      </c>
      <c r="K135" t="n">
        <v>0</v>
      </c>
      <c r="L135" t="n">
        <v>0</v>
      </c>
      <c r="M135" t="n">
        <v>0</v>
      </c>
      <c r="N135" t="n">
        <v>0</v>
      </c>
      <c r="O135" t="n">
        <v>0</v>
      </c>
      <c r="P135" t="n">
        <v>0</v>
      </c>
      <c r="Q135" t="n">
        <v>0</v>
      </c>
      <c r="R135" s="2" t="inlineStr"/>
    </row>
    <row r="136" ht="15" customHeight="1">
      <c r="A136" t="inlineStr">
        <is>
          <t>A 67360-2019</t>
        </is>
      </c>
      <c r="B136" s="1" t="n">
        <v>43812</v>
      </c>
      <c r="C136" s="1" t="n">
        <v>45586</v>
      </c>
      <c r="D136" t="inlineStr">
        <is>
          <t>VÄSTMANLANDS LÄN</t>
        </is>
      </c>
      <c r="E136" t="inlineStr">
        <is>
          <t>SALA</t>
        </is>
      </c>
      <c r="G136" t="n">
        <v>4.9</v>
      </c>
      <c r="H136" t="n">
        <v>0</v>
      </c>
      <c r="I136" t="n">
        <v>0</v>
      </c>
      <c r="J136" t="n">
        <v>0</v>
      </c>
      <c r="K136" t="n">
        <v>0</v>
      </c>
      <c r="L136" t="n">
        <v>0</v>
      </c>
      <c r="M136" t="n">
        <v>0</v>
      </c>
      <c r="N136" t="n">
        <v>0</v>
      </c>
      <c r="O136" t="n">
        <v>0</v>
      </c>
      <c r="P136" t="n">
        <v>0</v>
      </c>
      <c r="Q136" t="n">
        <v>0</v>
      </c>
      <c r="R136" s="2" t="inlineStr"/>
    </row>
    <row r="137" ht="15" customHeight="1">
      <c r="A137" t="inlineStr">
        <is>
          <t>A 68398-2019</t>
        </is>
      </c>
      <c r="B137" s="1" t="n">
        <v>43818</v>
      </c>
      <c r="C137" s="1" t="n">
        <v>45586</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68394-2019</t>
        </is>
      </c>
      <c r="B138" s="1" t="n">
        <v>43818</v>
      </c>
      <c r="C138" s="1" t="n">
        <v>45586</v>
      </c>
      <c r="D138" t="inlineStr">
        <is>
          <t>VÄSTMANLANDS LÄN</t>
        </is>
      </c>
      <c r="E138" t="inlineStr">
        <is>
          <t>SALA</t>
        </is>
      </c>
      <c r="G138" t="n">
        <v>1.6</v>
      </c>
      <c r="H138" t="n">
        <v>0</v>
      </c>
      <c r="I138" t="n">
        <v>0</v>
      </c>
      <c r="J138" t="n">
        <v>0</v>
      </c>
      <c r="K138" t="n">
        <v>0</v>
      </c>
      <c r="L138" t="n">
        <v>0</v>
      </c>
      <c r="M138" t="n">
        <v>0</v>
      </c>
      <c r="N138" t="n">
        <v>0</v>
      </c>
      <c r="O138" t="n">
        <v>0</v>
      </c>
      <c r="P138" t="n">
        <v>0</v>
      </c>
      <c r="Q138" t="n">
        <v>0</v>
      </c>
      <c r="R138" s="2" t="inlineStr"/>
    </row>
    <row r="139" ht="15" customHeight="1">
      <c r="A139" t="inlineStr">
        <is>
          <t>A 1465-2020</t>
        </is>
      </c>
      <c r="B139" s="1" t="n">
        <v>43822</v>
      </c>
      <c r="C139" s="1" t="n">
        <v>45586</v>
      </c>
      <c r="D139" t="inlineStr">
        <is>
          <t>VÄSTMANLANDS LÄN</t>
        </is>
      </c>
      <c r="E139" t="inlineStr">
        <is>
          <t>SALA</t>
        </is>
      </c>
      <c r="G139" t="n">
        <v>4.1</v>
      </c>
      <c r="H139" t="n">
        <v>0</v>
      </c>
      <c r="I139" t="n">
        <v>0</v>
      </c>
      <c r="J139" t="n">
        <v>0</v>
      </c>
      <c r="K139" t="n">
        <v>0</v>
      </c>
      <c r="L139" t="n">
        <v>0</v>
      </c>
      <c r="M139" t="n">
        <v>0</v>
      </c>
      <c r="N139" t="n">
        <v>0</v>
      </c>
      <c r="O139" t="n">
        <v>0</v>
      </c>
      <c r="P139" t="n">
        <v>0</v>
      </c>
      <c r="Q139" t="n">
        <v>0</v>
      </c>
      <c r="R139" s="2" t="inlineStr"/>
    </row>
    <row r="140" ht="15" customHeight="1">
      <c r="A140" t="inlineStr">
        <is>
          <t>A 63-2020</t>
        </is>
      </c>
      <c r="B140" s="1" t="n">
        <v>43832</v>
      </c>
      <c r="C140" s="1" t="n">
        <v>45586</v>
      </c>
      <c r="D140" t="inlineStr">
        <is>
          <t>VÄSTMANLANDS LÄN</t>
        </is>
      </c>
      <c r="E140" t="inlineStr">
        <is>
          <t>SALA</t>
        </is>
      </c>
      <c r="G140" t="n">
        <v>4.6</v>
      </c>
      <c r="H140" t="n">
        <v>0</v>
      </c>
      <c r="I140" t="n">
        <v>0</v>
      </c>
      <c r="J140" t="n">
        <v>0</v>
      </c>
      <c r="K140" t="n">
        <v>0</v>
      </c>
      <c r="L140" t="n">
        <v>0</v>
      </c>
      <c r="M140" t="n">
        <v>0</v>
      </c>
      <c r="N140" t="n">
        <v>0</v>
      </c>
      <c r="O140" t="n">
        <v>0</v>
      </c>
      <c r="P140" t="n">
        <v>0</v>
      </c>
      <c r="Q140" t="n">
        <v>0</v>
      </c>
      <c r="R140" s="2" t="inlineStr"/>
    </row>
    <row r="141" ht="15" customHeight="1">
      <c r="A141" t="inlineStr">
        <is>
          <t>A 151-2020</t>
        </is>
      </c>
      <c r="B141" s="1" t="n">
        <v>43833</v>
      </c>
      <c r="C141" s="1" t="n">
        <v>45586</v>
      </c>
      <c r="D141" t="inlineStr">
        <is>
          <t>VÄSTMANLANDS LÄN</t>
        </is>
      </c>
      <c r="E141" t="inlineStr">
        <is>
          <t>SALA</t>
        </is>
      </c>
      <c r="F141" t="inlineStr">
        <is>
          <t>Kyrkan</t>
        </is>
      </c>
      <c r="G141" t="n">
        <v>6.5</v>
      </c>
      <c r="H141" t="n">
        <v>0</v>
      </c>
      <c r="I141" t="n">
        <v>0</v>
      </c>
      <c r="J141" t="n">
        <v>0</v>
      </c>
      <c r="K141" t="n">
        <v>0</v>
      </c>
      <c r="L141" t="n">
        <v>0</v>
      </c>
      <c r="M141" t="n">
        <v>0</v>
      </c>
      <c r="N141" t="n">
        <v>0</v>
      </c>
      <c r="O141" t="n">
        <v>0</v>
      </c>
      <c r="P141" t="n">
        <v>0</v>
      </c>
      <c r="Q141" t="n">
        <v>0</v>
      </c>
      <c r="R141" s="2" t="inlineStr"/>
    </row>
    <row r="142" ht="15" customHeight="1">
      <c r="A142" t="inlineStr">
        <is>
          <t>A 161-2020</t>
        </is>
      </c>
      <c r="B142" s="1" t="n">
        <v>43833</v>
      </c>
      <c r="C142" s="1" t="n">
        <v>45586</v>
      </c>
      <c r="D142" t="inlineStr">
        <is>
          <t>VÄSTMANLANDS LÄN</t>
        </is>
      </c>
      <c r="E142" t="inlineStr">
        <is>
          <t>SALA</t>
        </is>
      </c>
      <c r="F142" t="inlineStr">
        <is>
          <t>Kyrkan</t>
        </is>
      </c>
      <c r="G142" t="n">
        <v>1.6</v>
      </c>
      <c r="H142" t="n">
        <v>0</v>
      </c>
      <c r="I142" t="n">
        <v>0</v>
      </c>
      <c r="J142" t="n">
        <v>0</v>
      </c>
      <c r="K142" t="n">
        <v>0</v>
      </c>
      <c r="L142" t="n">
        <v>0</v>
      </c>
      <c r="M142" t="n">
        <v>0</v>
      </c>
      <c r="N142" t="n">
        <v>0</v>
      </c>
      <c r="O142" t="n">
        <v>0</v>
      </c>
      <c r="P142" t="n">
        <v>0</v>
      </c>
      <c r="Q142" t="n">
        <v>0</v>
      </c>
      <c r="R142" s="2" t="inlineStr"/>
    </row>
    <row r="143" ht="15" customHeight="1">
      <c r="A143" t="inlineStr">
        <is>
          <t>A 297-2020</t>
        </is>
      </c>
      <c r="B143" s="1" t="n">
        <v>43837</v>
      </c>
      <c r="C143" s="1" t="n">
        <v>45586</v>
      </c>
      <c r="D143" t="inlineStr">
        <is>
          <t>VÄSTMANLANDS LÄN</t>
        </is>
      </c>
      <c r="E143" t="inlineStr">
        <is>
          <t>SALA</t>
        </is>
      </c>
      <c r="F143" t="inlineStr">
        <is>
          <t>Kyrkan</t>
        </is>
      </c>
      <c r="G143" t="n">
        <v>0.3</v>
      </c>
      <c r="H143" t="n">
        <v>0</v>
      </c>
      <c r="I143" t="n">
        <v>0</v>
      </c>
      <c r="J143" t="n">
        <v>0</v>
      </c>
      <c r="K143" t="n">
        <v>0</v>
      </c>
      <c r="L143" t="n">
        <v>0</v>
      </c>
      <c r="M143" t="n">
        <v>0</v>
      </c>
      <c r="N143" t="n">
        <v>0</v>
      </c>
      <c r="O143" t="n">
        <v>0</v>
      </c>
      <c r="P143" t="n">
        <v>0</v>
      </c>
      <c r="Q143" t="n">
        <v>0</v>
      </c>
      <c r="R143" s="2" t="inlineStr"/>
    </row>
    <row r="144" ht="15" customHeight="1">
      <c r="A144" t="inlineStr">
        <is>
          <t>A 496-2020</t>
        </is>
      </c>
      <c r="B144" s="1" t="n">
        <v>43837</v>
      </c>
      <c r="C144" s="1" t="n">
        <v>45586</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1005-2020</t>
        </is>
      </c>
      <c r="B145" s="1" t="n">
        <v>43839</v>
      </c>
      <c r="C145" s="1" t="n">
        <v>45586</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1272-2020</t>
        </is>
      </c>
      <c r="B146" s="1" t="n">
        <v>43841</v>
      </c>
      <c r="C146" s="1" t="n">
        <v>45586</v>
      </c>
      <c r="D146" t="inlineStr">
        <is>
          <t>VÄSTMANLANDS LÄN</t>
        </is>
      </c>
      <c r="E146" t="inlineStr">
        <is>
          <t>SALA</t>
        </is>
      </c>
      <c r="G146" t="n">
        <v>0.9</v>
      </c>
      <c r="H146" t="n">
        <v>0</v>
      </c>
      <c r="I146" t="n">
        <v>0</v>
      </c>
      <c r="J146" t="n">
        <v>0</v>
      </c>
      <c r="K146" t="n">
        <v>0</v>
      </c>
      <c r="L146" t="n">
        <v>0</v>
      </c>
      <c r="M146" t="n">
        <v>0</v>
      </c>
      <c r="N146" t="n">
        <v>0</v>
      </c>
      <c r="O146" t="n">
        <v>0</v>
      </c>
      <c r="P146" t="n">
        <v>0</v>
      </c>
      <c r="Q146" t="n">
        <v>0</v>
      </c>
      <c r="R146" s="2" t="inlineStr"/>
    </row>
    <row r="147" ht="15" customHeight="1">
      <c r="A147" t="inlineStr">
        <is>
          <t>A 1346-2020</t>
        </is>
      </c>
      <c r="B147" s="1" t="n">
        <v>43843</v>
      </c>
      <c r="C147" s="1" t="n">
        <v>45586</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3935-2020</t>
        </is>
      </c>
      <c r="B148" s="1" t="n">
        <v>43846</v>
      </c>
      <c r="C148" s="1" t="n">
        <v>45586</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2588-2020</t>
        </is>
      </c>
      <c r="B149" s="1" t="n">
        <v>43847</v>
      </c>
      <c r="C149" s="1" t="n">
        <v>45586</v>
      </c>
      <c r="D149" t="inlineStr">
        <is>
          <t>VÄSTMANLANDS LÄN</t>
        </is>
      </c>
      <c r="E149" t="inlineStr">
        <is>
          <t>SALA</t>
        </is>
      </c>
      <c r="G149" t="n">
        <v>1.8</v>
      </c>
      <c r="H149" t="n">
        <v>0</v>
      </c>
      <c r="I149" t="n">
        <v>0</v>
      </c>
      <c r="J149" t="n">
        <v>0</v>
      </c>
      <c r="K149" t="n">
        <v>0</v>
      </c>
      <c r="L149" t="n">
        <v>0</v>
      </c>
      <c r="M149" t="n">
        <v>0</v>
      </c>
      <c r="N149" t="n">
        <v>0</v>
      </c>
      <c r="O149" t="n">
        <v>0</v>
      </c>
      <c r="P149" t="n">
        <v>0</v>
      </c>
      <c r="Q149" t="n">
        <v>0</v>
      </c>
      <c r="R149" s="2" t="inlineStr"/>
    </row>
    <row r="150" ht="15" customHeight="1">
      <c r="A150" t="inlineStr">
        <is>
          <t>A 4630-2020</t>
        </is>
      </c>
      <c r="B150" s="1" t="n">
        <v>43851</v>
      </c>
      <c r="C150" s="1" t="n">
        <v>45586</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3590-2020</t>
        </is>
      </c>
      <c r="B151" s="1" t="n">
        <v>43853</v>
      </c>
      <c r="C151" s="1" t="n">
        <v>45586</v>
      </c>
      <c r="D151" t="inlineStr">
        <is>
          <t>VÄSTMANLANDS LÄN</t>
        </is>
      </c>
      <c r="E151" t="inlineStr">
        <is>
          <t>SALA</t>
        </is>
      </c>
      <c r="G151" t="n">
        <v>0.4</v>
      </c>
      <c r="H151" t="n">
        <v>0</v>
      </c>
      <c r="I151" t="n">
        <v>0</v>
      </c>
      <c r="J151" t="n">
        <v>0</v>
      </c>
      <c r="K151" t="n">
        <v>0</v>
      </c>
      <c r="L151" t="n">
        <v>0</v>
      </c>
      <c r="M151" t="n">
        <v>0</v>
      </c>
      <c r="N151" t="n">
        <v>0</v>
      </c>
      <c r="O151" t="n">
        <v>0</v>
      </c>
      <c r="P151" t="n">
        <v>0</v>
      </c>
      <c r="Q151" t="n">
        <v>0</v>
      </c>
      <c r="R151" s="2" t="inlineStr"/>
    </row>
    <row r="152" ht="15" customHeight="1">
      <c r="A152" t="inlineStr">
        <is>
          <t>A 4866-2020</t>
        </is>
      </c>
      <c r="B152" s="1" t="n">
        <v>43859</v>
      </c>
      <c r="C152" s="1" t="n">
        <v>45586</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5201-2020</t>
        </is>
      </c>
      <c r="B153" s="1" t="n">
        <v>43860</v>
      </c>
      <c r="C153" s="1" t="n">
        <v>45586</v>
      </c>
      <c r="D153" t="inlineStr">
        <is>
          <t>VÄSTMANLANDS LÄN</t>
        </is>
      </c>
      <c r="E153" t="inlineStr">
        <is>
          <t>SALA</t>
        </is>
      </c>
      <c r="F153" t="inlineStr">
        <is>
          <t>Kyrkan</t>
        </is>
      </c>
      <c r="G153" t="n">
        <v>5</v>
      </c>
      <c r="H153" t="n">
        <v>0</v>
      </c>
      <c r="I153" t="n">
        <v>0</v>
      </c>
      <c r="J153" t="n">
        <v>0</v>
      </c>
      <c r="K153" t="n">
        <v>0</v>
      </c>
      <c r="L153" t="n">
        <v>0</v>
      </c>
      <c r="M153" t="n">
        <v>0</v>
      </c>
      <c r="N153" t="n">
        <v>0</v>
      </c>
      <c r="O153" t="n">
        <v>0</v>
      </c>
      <c r="P153" t="n">
        <v>0</v>
      </c>
      <c r="Q153" t="n">
        <v>0</v>
      </c>
      <c r="R153" s="2" t="inlineStr"/>
    </row>
    <row r="154" ht="15" customHeight="1">
      <c r="A154" t="inlineStr">
        <is>
          <t>A 5163-2020</t>
        </is>
      </c>
      <c r="B154" s="1" t="n">
        <v>43860</v>
      </c>
      <c r="C154" s="1" t="n">
        <v>45586</v>
      </c>
      <c r="D154" t="inlineStr">
        <is>
          <t>VÄSTMANLANDS LÄN</t>
        </is>
      </c>
      <c r="E154" t="inlineStr">
        <is>
          <t>SALA</t>
        </is>
      </c>
      <c r="G154" t="n">
        <v>1.9</v>
      </c>
      <c r="H154" t="n">
        <v>0</v>
      </c>
      <c r="I154" t="n">
        <v>0</v>
      </c>
      <c r="J154" t="n">
        <v>0</v>
      </c>
      <c r="K154" t="n">
        <v>0</v>
      </c>
      <c r="L154" t="n">
        <v>0</v>
      </c>
      <c r="M154" t="n">
        <v>0</v>
      </c>
      <c r="N154" t="n">
        <v>0</v>
      </c>
      <c r="O154" t="n">
        <v>0</v>
      </c>
      <c r="P154" t="n">
        <v>0</v>
      </c>
      <c r="Q154" t="n">
        <v>0</v>
      </c>
      <c r="R154" s="2" t="inlineStr"/>
    </row>
    <row r="155" ht="15" customHeight="1">
      <c r="A155" t="inlineStr">
        <is>
          <t>A 5191-2020</t>
        </is>
      </c>
      <c r="B155" s="1" t="n">
        <v>43860</v>
      </c>
      <c r="C155" s="1" t="n">
        <v>45586</v>
      </c>
      <c r="D155" t="inlineStr">
        <is>
          <t>VÄSTMANLANDS LÄN</t>
        </is>
      </c>
      <c r="E155" t="inlineStr">
        <is>
          <t>SALA</t>
        </is>
      </c>
      <c r="F155" t="inlineStr">
        <is>
          <t>Kyrkan</t>
        </is>
      </c>
      <c r="G155" t="n">
        <v>10.9</v>
      </c>
      <c r="H155" t="n">
        <v>0</v>
      </c>
      <c r="I155" t="n">
        <v>0</v>
      </c>
      <c r="J155" t="n">
        <v>0</v>
      </c>
      <c r="K155" t="n">
        <v>0</v>
      </c>
      <c r="L155" t="n">
        <v>0</v>
      </c>
      <c r="M155" t="n">
        <v>0</v>
      </c>
      <c r="N155" t="n">
        <v>0</v>
      </c>
      <c r="O155" t="n">
        <v>0</v>
      </c>
      <c r="P155" t="n">
        <v>0</v>
      </c>
      <c r="Q155" t="n">
        <v>0</v>
      </c>
      <c r="R155" s="2" t="inlineStr"/>
    </row>
    <row r="156" ht="15" customHeight="1">
      <c r="A156" t="inlineStr">
        <is>
          <t>A 5320-2020</t>
        </is>
      </c>
      <c r="B156" s="1" t="n">
        <v>43860</v>
      </c>
      <c r="C156" s="1" t="n">
        <v>45586</v>
      </c>
      <c r="D156" t="inlineStr">
        <is>
          <t>VÄSTMANLANDS LÄN</t>
        </is>
      </c>
      <c r="E156" t="inlineStr">
        <is>
          <t>SALA</t>
        </is>
      </c>
      <c r="G156" t="n">
        <v>3.1</v>
      </c>
      <c r="H156" t="n">
        <v>0</v>
      </c>
      <c r="I156" t="n">
        <v>0</v>
      </c>
      <c r="J156" t="n">
        <v>0</v>
      </c>
      <c r="K156" t="n">
        <v>0</v>
      </c>
      <c r="L156" t="n">
        <v>0</v>
      </c>
      <c r="M156" t="n">
        <v>0</v>
      </c>
      <c r="N156" t="n">
        <v>0</v>
      </c>
      <c r="O156" t="n">
        <v>0</v>
      </c>
      <c r="P156" t="n">
        <v>0</v>
      </c>
      <c r="Q156" t="n">
        <v>0</v>
      </c>
      <c r="R156" s="2" t="inlineStr"/>
    </row>
    <row r="157" ht="15" customHeight="1">
      <c r="A157" t="inlineStr">
        <is>
          <t>A 5587-2020</t>
        </is>
      </c>
      <c r="B157" s="1" t="n">
        <v>43861</v>
      </c>
      <c r="C157" s="1" t="n">
        <v>45586</v>
      </c>
      <c r="D157" t="inlineStr">
        <is>
          <t>VÄSTMANLANDS LÄN</t>
        </is>
      </c>
      <c r="E157" t="inlineStr">
        <is>
          <t>SALA</t>
        </is>
      </c>
      <c r="G157" t="n">
        <v>9.6</v>
      </c>
      <c r="H157" t="n">
        <v>0</v>
      </c>
      <c r="I157" t="n">
        <v>0</v>
      </c>
      <c r="J157" t="n">
        <v>0</v>
      </c>
      <c r="K157" t="n">
        <v>0</v>
      </c>
      <c r="L157" t="n">
        <v>0</v>
      </c>
      <c r="M157" t="n">
        <v>0</v>
      </c>
      <c r="N157" t="n">
        <v>0</v>
      </c>
      <c r="O157" t="n">
        <v>0</v>
      </c>
      <c r="P157" t="n">
        <v>0</v>
      </c>
      <c r="Q157" t="n">
        <v>0</v>
      </c>
      <c r="R157" s="2" t="inlineStr"/>
    </row>
    <row r="158" ht="15" customHeight="1">
      <c r="A158" t="inlineStr">
        <is>
          <t>A 5750-2020</t>
        </is>
      </c>
      <c r="B158" s="1" t="n">
        <v>43864</v>
      </c>
      <c r="C158" s="1" t="n">
        <v>45586</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6185-2020</t>
        </is>
      </c>
      <c r="B159" s="1" t="n">
        <v>43865</v>
      </c>
      <c r="C159" s="1" t="n">
        <v>45586</v>
      </c>
      <c r="D159" t="inlineStr">
        <is>
          <t>VÄSTMANLANDS LÄN</t>
        </is>
      </c>
      <c r="E159" t="inlineStr">
        <is>
          <t>SALA</t>
        </is>
      </c>
      <c r="G159" t="n">
        <v>1.4</v>
      </c>
      <c r="H159" t="n">
        <v>0</v>
      </c>
      <c r="I159" t="n">
        <v>0</v>
      </c>
      <c r="J159" t="n">
        <v>0</v>
      </c>
      <c r="K159" t="n">
        <v>0</v>
      </c>
      <c r="L159" t="n">
        <v>0</v>
      </c>
      <c r="M159" t="n">
        <v>0</v>
      </c>
      <c r="N159" t="n">
        <v>0</v>
      </c>
      <c r="O159" t="n">
        <v>0</v>
      </c>
      <c r="P159" t="n">
        <v>0</v>
      </c>
      <c r="Q159" t="n">
        <v>0</v>
      </c>
      <c r="R159" s="2" t="inlineStr"/>
    </row>
    <row r="160" ht="15" customHeight="1">
      <c r="A160" t="inlineStr">
        <is>
          <t>A 7190-2020</t>
        </is>
      </c>
      <c r="B160" s="1" t="n">
        <v>43868</v>
      </c>
      <c r="C160" s="1" t="n">
        <v>45586</v>
      </c>
      <c r="D160" t="inlineStr">
        <is>
          <t>VÄSTMANLANDS LÄN</t>
        </is>
      </c>
      <c r="E160" t="inlineStr">
        <is>
          <t>SALA</t>
        </is>
      </c>
      <c r="G160" t="n">
        <v>4.5</v>
      </c>
      <c r="H160" t="n">
        <v>0</v>
      </c>
      <c r="I160" t="n">
        <v>0</v>
      </c>
      <c r="J160" t="n">
        <v>0</v>
      </c>
      <c r="K160" t="n">
        <v>0</v>
      </c>
      <c r="L160" t="n">
        <v>0</v>
      </c>
      <c r="M160" t="n">
        <v>0</v>
      </c>
      <c r="N160" t="n">
        <v>0</v>
      </c>
      <c r="O160" t="n">
        <v>0</v>
      </c>
      <c r="P160" t="n">
        <v>0</v>
      </c>
      <c r="Q160" t="n">
        <v>0</v>
      </c>
      <c r="R160" s="2" t="inlineStr"/>
    </row>
    <row r="161" ht="15" customHeight="1">
      <c r="A161" t="inlineStr">
        <is>
          <t>A 10010-2020</t>
        </is>
      </c>
      <c r="B161" s="1" t="n">
        <v>43882</v>
      </c>
      <c r="C161" s="1" t="n">
        <v>45586</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10276-2020</t>
        </is>
      </c>
      <c r="B162" s="1" t="n">
        <v>43885</v>
      </c>
      <c r="C162" s="1" t="n">
        <v>45586</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10811-2020</t>
        </is>
      </c>
      <c r="B163" s="1" t="n">
        <v>43888</v>
      </c>
      <c r="C163" s="1" t="n">
        <v>45586</v>
      </c>
      <c r="D163" t="inlineStr">
        <is>
          <t>VÄSTMANLANDS LÄN</t>
        </is>
      </c>
      <c r="E163" t="inlineStr">
        <is>
          <t>SALA</t>
        </is>
      </c>
      <c r="G163" t="n">
        <v>3.9</v>
      </c>
      <c r="H163" t="n">
        <v>0</v>
      </c>
      <c r="I163" t="n">
        <v>0</v>
      </c>
      <c r="J163" t="n">
        <v>0</v>
      </c>
      <c r="K163" t="n">
        <v>0</v>
      </c>
      <c r="L163" t="n">
        <v>0</v>
      </c>
      <c r="M163" t="n">
        <v>0</v>
      </c>
      <c r="N163" t="n">
        <v>0</v>
      </c>
      <c r="O163" t="n">
        <v>0</v>
      </c>
      <c r="P163" t="n">
        <v>0</v>
      </c>
      <c r="Q163" t="n">
        <v>0</v>
      </c>
      <c r="R163" s="2" t="inlineStr"/>
    </row>
    <row r="164" ht="15" customHeight="1">
      <c r="A164" t="inlineStr">
        <is>
          <t>A 14110-2020</t>
        </is>
      </c>
      <c r="B164" s="1" t="n">
        <v>43900</v>
      </c>
      <c r="C164" s="1" t="n">
        <v>45586</v>
      </c>
      <c r="D164" t="inlineStr">
        <is>
          <t>VÄSTMANLANDS LÄN</t>
        </is>
      </c>
      <c r="E164" t="inlineStr">
        <is>
          <t>SALA</t>
        </is>
      </c>
      <c r="G164" t="n">
        <v>2.5</v>
      </c>
      <c r="H164" t="n">
        <v>0</v>
      </c>
      <c r="I164" t="n">
        <v>0</v>
      </c>
      <c r="J164" t="n">
        <v>0</v>
      </c>
      <c r="K164" t="n">
        <v>0</v>
      </c>
      <c r="L164" t="n">
        <v>0</v>
      </c>
      <c r="M164" t="n">
        <v>0</v>
      </c>
      <c r="N164" t="n">
        <v>0</v>
      </c>
      <c r="O164" t="n">
        <v>0</v>
      </c>
      <c r="P164" t="n">
        <v>0</v>
      </c>
      <c r="Q164" t="n">
        <v>0</v>
      </c>
      <c r="R164" s="2" t="inlineStr"/>
    </row>
    <row r="165" ht="15" customHeight="1">
      <c r="A165" t="inlineStr">
        <is>
          <t>A 13643-2020</t>
        </is>
      </c>
      <c r="B165" s="1" t="n">
        <v>43903</v>
      </c>
      <c r="C165" s="1" t="n">
        <v>45586</v>
      </c>
      <c r="D165" t="inlineStr">
        <is>
          <t>VÄSTMANLANDS LÄN</t>
        </is>
      </c>
      <c r="E165" t="inlineStr">
        <is>
          <t>SALA</t>
        </is>
      </c>
      <c r="G165" t="n">
        <v>2.3</v>
      </c>
      <c r="H165" t="n">
        <v>0</v>
      </c>
      <c r="I165" t="n">
        <v>0</v>
      </c>
      <c r="J165" t="n">
        <v>0</v>
      </c>
      <c r="K165" t="n">
        <v>0</v>
      </c>
      <c r="L165" t="n">
        <v>0</v>
      </c>
      <c r="M165" t="n">
        <v>0</v>
      </c>
      <c r="N165" t="n">
        <v>0</v>
      </c>
      <c r="O165" t="n">
        <v>0</v>
      </c>
      <c r="P165" t="n">
        <v>0</v>
      </c>
      <c r="Q165" t="n">
        <v>0</v>
      </c>
      <c r="R165" s="2" t="inlineStr"/>
    </row>
    <row r="166" ht="15" customHeight="1">
      <c r="A166" t="inlineStr">
        <is>
          <t>A 13936-2020</t>
        </is>
      </c>
      <c r="B166" s="1" t="n">
        <v>43903</v>
      </c>
      <c r="C166" s="1" t="n">
        <v>45586</v>
      </c>
      <c r="D166" t="inlineStr">
        <is>
          <t>VÄSTMANLANDS LÄN</t>
        </is>
      </c>
      <c r="E166" t="inlineStr">
        <is>
          <t>SALA</t>
        </is>
      </c>
      <c r="G166" t="n">
        <v>1.7</v>
      </c>
      <c r="H166" t="n">
        <v>0</v>
      </c>
      <c r="I166" t="n">
        <v>0</v>
      </c>
      <c r="J166" t="n">
        <v>0</v>
      </c>
      <c r="K166" t="n">
        <v>0</v>
      </c>
      <c r="L166" t="n">
        <v>0</v>
      </c>
      <c r="M166" t="n">
        <v>0</v>
      </c>
      <c r="N166" t="n">
        <v>0</v>
      </c>
      <c r="O166" t="n">
        <v>0</v>
      </c>
      <c r="P166" t="n">
        <v>0</v>
      </c>
      <c r="Q166" t="n">
        <v>0</v>
      </c>
      <c r="R166" s="2" t="inlineStr"/>
    </row>
    <row r="167" ht="15" customHeight="1">
      <c r="A167" t="inlineStr">
        <is>
          <t>A 14049-2020</t>
        </is>
      </c>
      <c r="B167" s="1" t="n">
        <v>43906</v>
      </c>
      <c r="C167" s="1" t="n">
        <v>45586</v>
      </c>
      <c r="D167" t="inlineStr">
        <is>
          <t>VÄSTMANLANDS LÄN</t>
        </is>
      </c>
      <c r="E167" t="inlineStr">
        <is>
          <t>SALA</t>
        </is>
      </c>
      <c r="G167" t="n">
        <v>4.4</v>
      </c>
      <c r="H167" t="n">
        <v>0</v>
      </c>
      <c r="I167" t="n">
        <v>0</v>
      </c>
      <c r="J167" t="n">
        <v>0</v>
      </c>
      <c r="K167" t="n">
        <v>0</v>
      </c>
      <c r="L167" t="n">
        <v>0</v>
      </c>
      <c r="M167" t="n">
        <v>0</v>
      </c>
      <c r="N167" t="n">
        <v>0</v>
      </c>
      <c r="O167" t="n">
        <v>0</v>
      </c>
      <c r="P167" t="n">
        <v>0</v>
      </c>
      <c r="Q167" t="n">
        <v>0</v>
      </c>
      <c r="R167" s="2" t="inlineStr"/>
    </row>
    <row r="168" ht="15" customHeight="1">
      <c r="A168" t="inlineStr">
        <is>
          <t>A 14542-2020</t>
        </is>
      </c>
      <c r="B168" s="1" t="n">
        <v>43908</v>
      </c>
      <c r="C168" s="1" t="n">
        <v>45586</v>
      </c>
      <c r="D168" t="inlineStr">
        <is>
          <t>VÄSTMANLANDS LÄN</t>
        </is>
      </c>
      <c r="E168" t="inlineStr">
        <is>
          <t>SALA</t>
        </is>
      </c>
      <c r="G168" t="n">
        <v>4.1</v>
      </c>
      <c r="H168" t="n">
        <v>0</v>
      </c>
      <c r="I168" t="n">
        <v>0</v>
      </c>
      <c r="J168" t="n">
        <v>0</v>
      </c>
      <c r="K168" t="n">
        <v>0</v>
      </c>
      <c r="L168" t="n">
        <v>0</v>
      </c>
      <c r="M168" t="n">
        <v>0</v>
      </c>
      <c r="N168" t="n">
        <v>0</v>
      </c>
      <c r="O168" t="n">
        <v>0</v>
      </c>
      <c r="P168" t="n">
        <v>0</v>
      </c>
      <c r="Q168" t="n">
        <v>0</v>
      </c>
      <c r="R168" s="2" t="inlineStr"/>
    </row>
    <row r="169" ht="15" customHeight="1">
      <c r="A169" t="inlineStr">
        <is>
          <t>A 16480-2020</t>
        </is>
      </c>
      <c r="B169" s="1" t="n">
        <v>43914</v>
      </c>
      <c r="C169" s="1" t="n">
        <v>45586</v>
      </c>
      <c r="D169" t="inlineStr">
        <is>
          <t>VÄSTMANLANDS LÄN</t>
        </is>
      </c>
      <c r="E169" t="inlineStr">
        <is>
          <t>SALA</t>
        </is>
      </c>
      <c r="G169" t="n">
        <v>1.4</v>
      </c>
      <c r="H169" t="n">
        <v>0</v>
      </c>
      <c r="I169" t="n">
        <v>0</v>
      </c>
      <c r="J169" t="n">
        <v>0</v>
      </c>
      <c r="K169" t="n">
        <v>0</v>
      </c>
      <c r="L169" t="n">
        <v>0</v>
      </c>
      <c r="M169" t="n">
        <v>0</v>
      </c>
      <c r="N169" t="n">
        <v>0</v>
      </c>
      <c r="O169" t="n">
        <v>0</v>
      </c>
      <c r="P169" t="n">
        <v>0</v>
      </c>
      <c r="Q169" t="n">
        <v>0</v>
      </c>
      <c r="R169" s="2" t="inlineStr"/>
    </row>
    <row r="170" ht="15" customHeight="1">
      <c r="A170" t="inlineStr">
        <is>
          <t>A 15850-2020</t>
        </is>
      </c>
      <c r="B170" s="1" t="n">
        <v>43915</v>
      </c>
      <c r="C170" s="1" t="n">
        <v>45586</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15748-2020</t>
        </is>
      </c>
      <c r="B171" s="1" t="n">
        <v>43915</v>
      </c>
      <c r="C171" s="1" t="n">
        <v>45586</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16093-2020</t>
        </is>
      </c>
      <c r="B172" s="1" t="n">
        <v>43916</v>
      </c>
      <c r="C172" s="1" t="n">
        <v>45586</v>
      </c>
      <c r="D172" t="inlineStr">
        <is>
          <t>VÄSTMANLANDS LÄN</t>
        </is>
      </c>
      <c r="E172" t="inlineStr">
        <is>
          <t>SALA</t>
        </is>
      </c>
      <c r="G172" t="n">
        <v>1.6</v>
      </c>
      <c r="H172" t="n">
        <v>0</v>
      </c>
      <c r="I172" t="n">
        <v>0</v>
      </c>
      <c r="J172" t="n">
        <v>0</v>
      </c>
      <c r="K172" t="n">
        <v>0</v>
      </c>
      <c r="L172" t="n">
        <v>0</v>
      </c>
      <c r="M172" t="n">
        <v>0</v>
      </c>
      <c r="N172" t="n">
        <v>0</v>
      </c>
      <c r="O172" t="n">
        <v>0</v>
      </c>
      <c r="P172" t="n">
        <v>0</v>
      </c>
      <c r="Q172" t="n">
        <v>0</v>
      </c>
      <c r="R172" s="2" t="inlineStr"/>
    </row>
    <row r="173" ht="15" customHeight="1">
      <c r="A173" t="inlineStr">
        <is>
          <t>A 17139-2020</t>
        </is>
      </c>
      <c r="B173" s="1" t="n">
        <v>43922</v>
      </c>
      <c r="C173" s="1" t="n">
        <v>45586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17205-2020</t>
        </is>
      </c>
      <c r="B174" s="1" t="n">
        <v>43922</v>
      </c>
      <c r="C174" s="1" t="n">
        <v>45586</v>
      </c>
      <c r="D174" t="inlineStr">
        <is>
          <t>VÄSTMANLANDS LÄN</t>
        </is>
      </c>
      <c r="E174" t="inlineStr">
        <is>
          <t>SALA</t>
        </is>
      </c>
      <c r="G174" t="n">
        <v>3.2</v>
      </c>
      <c r="H174" t="n">
        <v>0</v>
      </c>
      <c r="I174" t="n">
        <v>0</v>
      </c>
      <c r="J174" t="n">
        <v>0</v>
      </c>
      <c r="K174" t="n">
        <v>0</v>
      </c>
      <c r="L174" t="n">
        <v>0</v>
      </c>
      <c r="M174" t="n">
        <v>0</v>
      </c>
      <c r="N174" t="n">
        <v>0</v>
      </c>
      <c r="O174" t="n">
        <v>0</v>
      </c>
      <c r="P174" t="n">
        <v>0</v>
      </c>
      <c r="Q174" t="n">
        <v>0</v>
      </c>
      <c r="R174" s="2" t="inlineStr"/>
    </row>
    <row r="175" ht="15" customHeight="1">
      <c r="A175" t="inlineStr">
        <is>
          <t>A 17355-2020</t>
        </is>
      </c>
      <c r="B175" s="1" t="n">
        <v>43923</v>
      </c>
      <c r="C175" s="1" t="n">
        <v>45586</v>
      </c>
      <c r="D175" t="inlineStr">
        <is>
          <t>VÄSTMANLANDS LÄN</t>
        </is>
      </c>
      <c r="E175" t="inlineStr">
        <is>
          <t>SALA</t>
        </is>
      </c>
      <c r="G175" t="n">
        <v>0.4</v>
      </c>
      <c r="H175" t="n">
        <v>0</v>
      </c>
      <c r="I175" t="n">
        <v>0</v>
      </c>
      <c r="J175" t="n">
        <v>0</v>
      </c>
      <c r="K175" t="n">
        <v>0</v>
      </c>
      <c r="L175" t="n">
        <v>0</v>
      </c>
      <c r="M175" t="n">
        <v>0</v>
      </c>
      <c r="N175" t="n">
        <v>0</v>
      </c>
      <c r="O175" t="n">
        <v>0</v>
      </c>
      <c r="P175" t="n">
        <v>0</v>
      </c>
      <c r="Q175" t="n">
        <v>0</v>
      </c>
      <c r="R175" s="2" t="inlineStr"/>
    </row>
    <row r="176" ht="15" customHeight="1">
      <c r="A176" t="inlineStr">
        <is>
          <t>A 17492-2020</t>
        </is>
      </c>
      <c r="B176" s="1" t="n">
        <v>43923</v>
      </c>
      <c r="C176" s="1" t="n">
        <v>45586</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17919-2020</t>
        </is>
      </c>
      <c r="B177" s="1" t="n">
        <v>43924</v>
      </c>
      <c r="C177" s="1" t="n">
        <v>45586</v>
      </c>
      <c r="D177" t="inlineStr">
        <is>
          <t>VÄSTMANLANDS LÄN</t>
        </is>
      </c>
      <c r="E177" t="inlineStr">
        <is>
          <t>SALA</t>
        </is>
      </c>
      <c r="G177" t="n">
        <v>2.6</v>
      </c>
      <c r="H177" t="n">
        <v>0</v>
      </c>
      <c r="I177" t="n">
        <v>0</v>
      </c>
      <c r="J177" t="n">
        <v>0</v>
      </c>
      <c r="K177" t="n">
        <v>0</v>
      </c>
      <c r="L177" t="n">
        <v>0</v>
      </c>
      <c r="M177" t="n">
        <v>0</v>
      </c>
      <c r="N177" t="n">
        <v>0</v>
      </c>
      <c r="O177" t="n">
        <v>0</v>
      </c>
      <c r="P177" t="n">
        <v>0</v>
      </c>
      <c r="Q177" t="n">
        <v>0</v>
      </c>
      <c r="R177" s="2" t="inlineStr"/>
    </row>
    <row r="178" ht="15" customHeight="1">
      <c r="A178" t="inlineStr">
        <is>
          <t>A 18772-2020</t>
        </is>
      </c>
      <c r="B178" s="1" t="n">
        <v>43930</v>
      </c>
      <c r="C178" s="1" t="n">
        <v>45586</v>
      </c>
      <c r="D178" t="inlineStr">
        <is>
          <t>VÄSTMANLANDS LÄN</t>
        </is>
      </c>
      <c r="E178" t="inlineStr">
        <is>
          <t>SALA</t>
        </is>
      </c>
      <c r="G178" t="n">
        <v>3.5</v>
      </c>
      <c r="H178" t="n">
        <v>0</v>
      </c>
      <c r="I178" t="n">
        <v>0</v>
      </c>
      <c r="J178" t="n">
        <v>0</v>
      </c>
      <c r="K178" t="n">
        <v>0</v>
      </c>
      <c r="L178" t="n">
        <v>0</v>
      </c>
      <c r="M178" t="n">
        <v>0</v>
      </c>
      <c r="N178" t="n">
        <v>0</v>
      </c>
      <c r="O178" t="n">
        <v>0</v>
      </c>
      <c r="P178" t="n">
        <v>0</v>
      </c>
      <c r="Q178" t="n">
        <v>0</v>
      </c>
      <c r="R178" s="2" t="inlineStr"/>
    </row>
    <row r="179" ht="15" customHeight="1">
      <c r="A179" t="inlineStr">
        <is>
          <t>A 19071-2020</t>
        </is>
      </c>
      <c r="B179" s="1" t="n">
        <v>43936</v>
      </c>
      <c r="C179" s="1" t="n">
        <v>45586</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19480-2020</t>
        </is>
      </c>
      <c r="B180" s="1" t="n">
        <v>43936</v>
      </c>
      <c r="C180" s="1" t="n">
        <v>45586</v>
      </c>
      <c r="D180" t="inlineStr">
        <is>
          <t>VÄSTMANLANDS LÄN</t>
        </is>
      </c>
      <c r="E180" t="inlineStr">
        <is>
          <t>SALA</t>
        </is>
      </c>
      <c r="G180" t="n">
        <v>4.8</v>
      </c>
      <c r="H180" t="n">
        <v>0</v>
      </c>
      <c r="I180" t="n">
        <v>0</v>
      </c>
      <c r="J180" t="n">
        <v>0</v>
      </c>
      <c r="K180" t="n">
        <v>0</v>
      </c>
      <c r="L180" t="n">
        <v>0</v>
      </c>
      <c r="M180" t="n">
        <v>0</v>
      </c>
      <c r="N180" t="n">
        <v>0</v>
      </c>
      <c r="O180" t="n">
        <v>0</v>
      </c>
      <c r="P180" t="n">
        <v>0</v>
      </c>
      <c r="Q180" t="n">
        <v>0</v>
      </c>
      <c r="R180" s="2" t="inlineStr"/>
    </row>
    <row r="181" ht="15" customHeight="1">
      <c r="A181" t="inlineStr">
        <is>
          <t>A 22305-2020</t>
        </is>
      </c>
      <c r="B181" s="1" t="n">
        <v>43957</v>
      </c>
      <c r="C181" s="1" t="n">
        <v>45586</v>
      </c>
      <c r="D181" t="inlineStr">
        <is>
          <t>VÄSTMANLANDS LÄN</t>
        </is>
      </c>
      <c r="E181" t="inlineStr">
        <is>
          <t>SALA</t>
        </is>
      </c>
      <c r="G181" t="n">
        <v>2.9</v>
      </c>
      <c r="H181" t="n">
        <v>0</v>
      </c>
      <c r="I181" t="n">
        <v>0</v>
      </c>
      <c r="J181" t="n">
        <v>0</v>
      </c>
      <c r="K181" t="n">
        <v>0</v>
      </c>
      <c r="L181" t="n">
        <v>0</v>
      </c>
      <c r="M181" t="n">
        <v>0</v>
      </c>
      <c r="N181" t="n">
        <v>0</v>
      </c>
      <c r="O181" t="n">
        <v>0</v>
      </c>
      <c r="P181" t="n">
        <v>0</v>
      </c>
      <c r="Q181" t="n">
        <v>0</v>
      </c>
      <c r="R181" s="2" t="inlineStr"/>
    </row>
    <row r="182" ht="15" customHeight="1">
      <c r="A182" t="inlineStr">
        <is>
          <t>A 22058-2020</t>
        </is>
      </c>
      <c r="B182" s="1" t="n">
        <v>43959</v>
      </c>
      <c r="C182" s="1" t="n">
        <v>45586</v>
      </c>
      <c r="D182" t="inlineStr">
        <is>
          <t>VÄSTMANLANDS LÄN</t>
        </is>
      </c>
      <c r="E182" t="inlineStr">
        <is>
          <t>SALA</t>
        </is>
      </c>
      <c r="G182" t="n">
        <v>3.1</v>
      </c>
      <c r="H182" t="n">
        <v>0</v>
      </c>
      <c r="I182" t="n">
        <v>0</v>
      </c>
      <c r="J182" t="n">
        <v>0</v>
      </c>
      <c r="K182" t="n">
        <v>0</v>
      </c>
      <c r="L182" t="n">
        <v>0</v>
      </c>
      <c r="M182" t="n">
        <v>0</v>
      </c>
      <c r="N182" t="n">
        <v>0</v>
      </c>
      <c r="O182" t="n">
        <v>0</v>
      </c>
      <c r="P182" t="n">
        <v>0</v>
      </c>
      <c r="Q182" t="n">
        <v>0</v>
      </c>
      <c r="R182" s="2" t="inlineStr"/>
    </row>
    <row r="183" ht="15" customHeight="1">
      <c r="A183" t="inlineStr">
        <is>
          <t>A 24235-2020</t>
        </is>
      </c>
      <c r="B183" s="1" t="n">
        <v>43976</v>
      </c>
      <c r="C183" s="1" t="n">
        <v>45586</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24763-2020</t>
        </is>
      </c>
      <c r="B184" s="1" t="n">
        <v>43978</v>
      </c>
      <c r="C184" s="1" t="n">
        <v>45586</v>
      </c>
      <c r="D184" t="inlineStr">
        <is>
          <t>VÄSTMANLANDS LÄN</t>
        </is>
      </c>
      <c r="E184" t="inlineStr">
        <is>
          <t>SALA</t>
        </is>
      </c>
      <c r="G184" t="n">
        <v>3.6</v>
      </c>
      <c r="H184" t="n">
        <v>0</v>
      </c>
      <c r="I184" t="n">
        <v>0</v>
      </c>
      <c r="J184" t="n">
        <v>0</v>
      </c>
      <c r="K184" t="n">
        <v>0</v>
      </c>
      <c r="L184" t="n">
        <v>0</v>
      </c>
      <c r="M184" t="n">
        <v>0</v>
      </c>
      <c r="N184" t="n">
        <v>0</v>
      </c>
      <c r="O184" t="n">
        <v>0</v>
      </c>
      <c r="P184" t="n">
        <v>0</v>
      </c>
      <c r="Q184" t="n">
        <v>0</v>
      </c>
      <c r="R184" s="2" t="inlineStr"/>
    </row>
    <row r="185" ht="15" customHeight="1">
      <c r="A185" t="inlineStr">
        <is>
          <t>A 26098-2020</t>
        </is>
      </c>
      <c r="B185" s="1" t="n">
        <v>43985</v>
      </c>
      <c r="C185" s="1" t="n">
        <v>45586</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26425-2020</t>
        </is>
      </c>
      <c r="B186" s="1" t="n">
        <v>43987</v>
      </c>
      <c r="C186" s="1" t="n">
        <v>45586</v>
      </c>
      <c r="D186" t="inlineStr">
        <is>
          <t>VÄSTMANLANDS LÄN</t>
        </is>
      </c>
      <c r="E186" t="inlineStr">
        <is>
          <t>SALA</t>
        </is>
      </c>
      <c r="G186" t="n">
        <v>6.3</v>
      </c>
      <c r="H186" t="n">
        <v>0</v>
      </c>
      <c r="I186" t="n">
        <v>0</v>
      </c>
      <c r="J186" t="n">
        <v>0</v>
      </c>
      <c r="K186" t="n">
        <v>0</v>
      </c>
      <c r="L186" t="n">
        <v>0</v>
      </c>
      <c r="M186" t="n">
        <v>0</v>
      </c>
      <c r="N186" t="n">
        <v>0</v>
      </c>
      <c r="O186" t="n">
        <v>0</v>
      </c>
      <c r="P186" t="n">
        <v>0</v>
      </c>
      <c r="Q186" t="n">
        <v>0</v>
      </c>
      <c r="R186" s="2" t="inlineStr"/>
    </row>
    <row r="187" ht="15" customHeight="1">
      <c r="A187" t="inlineStr">
        <is>
          <t>A 26937-2020</t>
        </is>
      </c>
      <c r="B187" s="1" t="n">
        <v>43990</v>
      </c>
      <c r="C187" s="1" t="n">
        <v>45586</v>
      </c>
      <c r="D187" t="inlineStr">
        <is>
          <t>VÄSTMANLANDS LÄN</t>
        </is>
      </c>
      <c r="E187" t="inlineStr">
        <is>
          <t>SALA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27730-2020</t>
        </is>
      </c>
      <c r="B188" s="1" t="n">
        <v>43994</v>
      </c>
      <c r="C188" s="1" t="n">
        <v>45586</v>
      </c>
      <c r="D188" t="inlineStr">
        <is>
          <t>VÄSTMANLANDS LÄN</t>
        </is>
      </c>
      <c r="E188" t="inlineStr">
        <is>
          <t>SALA</t>
        </is>
      </c>
      <c r="G188" t="n">
        <v>2.1</v>
      </c>
      <c r="H188" t="n">
        <v>0</v>
      </c>
      <c r="I188" t="n">
        <v>0</v>
      </c>
      <c r="J188" t="n">
        <v>0</v>
      </c>
      <c r="K188" t="n">
        <v>0</v>
      </c>
      <c r="L188" t="n">
        <v>0</v>
      </c>
      <c r="M188" t="n">
        <v>0</v>
      </c>
      <c r="N188" t="n">
        <v>0</v>
      </c>
      <c r="O188" t="n">
        <v>0</v>
      </c>
      <c r="P188" t="n">
        <v>0</v>
      </c>
      <c r="Q188" t="n">
        <v>0</v>
      </c>
      <c r="R188" s="2" t="inlineStr"/>
    </row>
    <row r="189" ht="15" customHeight="1">
      <c r="A189" t="inlineStr">
        <is>
          <t>A 29845-2020</t>
        </is>
      </c>
      <c r="B189" s="1" t="n">
        <v>44005</v>
      </c>
      <c r="C189" s="1" t="n">
        <v>45586</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29821-2020</t>
        </is>
      </c>
      <c r="B190" s="1" t="n">
        <v>44005</v>
      </c>
      <c r="C190" s="1" t="n">
        <v>45586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29925-2020</t>
        </is>
      </c>
      <c r="B191" s="1" t="n">
        <v>44006</v>
      </c>
      <c r="C191" s="1" t="n">
        <v>45586</v>
      </c>
      <c r="D191" t="inlineStr">
        <is>
          <t>VÄSTMANLANDS LÄN</t>
        </is>
      </c>
      <c r="E191" t="inlineStr">
        <is>
          <t>SALA</t>
        </is>
      </c>
      <c r="G191" t="n">
        <v>1</v>
      </c>
      <c r="H191" t="n">
        <v>0</v>
      </c>
      <c r="I191" t="n">
        <v>0</v>
      </c>
      <c r="J191" t="n">
        <v>0</v>
      </c>
      <c r="K191" t="n">
        <v>0</v>
      </c>
      <c r="L191" t="n">
        <v>0</v>
      </c>
      <c r="M191" t="n">
        <v>0</v>
      </c>
      <c r="N191" t="n">
        <v>0</v>
      </c>
      <c r="O191" t="n">
        <v>0</v>
      </c>
      <c r="P191" t="n">
        <v>0</v>
      </c>
      <c r="Q191" t="n">
        <v>0</v>
      </c>
      <c r="R191" s="2" t="inlineStr"/>
    </row>
    <row r="192" ht="15" customHeight="1">
      <c r="A192" t="inlineStr">
        <is>
          <t>A 30327-2020</t>
        </is>
      </c>
      <c r="B192" s="1" t="n">
        <v>44007</v>
      </c>
      <c r="C192" s="1" t="n">
        <v>45586</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32371-2020</t>
        </is>
      </c>
      <c r="B193" s="1" t="n">
        <v>44018</v>
      </c>
      <c r="C193" s="1" t="n">
        <v>45586</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32367-2020</t>
        </is>
      </c>
      <c r="B194" s="1" t="n">
        <v>44018</v>
      </c>
      <c r="C194" s="1" t="n">
        <v>45586</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32368-2020</t>
        </is>
      </c>
      <c r="B195" s="1" t="n">
        <v>44018</v>
      </c>
      <c r="C195" s="1" t="n">
        <v>45586</v>
      </c>
      <c r="D195" t="inlineStr">
        <is>
          <t>VÄSTMANLANDS LÄN</t>
        </is>
      </c>
      <c r="E195" t="inlineStr">
        <is>
          <t>SALA</t>
        </is>
      </c>
      <c r="G195" t="n">
        <v>3.4</v>
      </c>
      <c r="H195" t="n">
        <v>0</v>
      </c>
      <c r="I195" t="n">
        <v>0</v>
      </c>
      <c r="J195" t="n">
        <v>0</v>
      </c>
      <c r="K195" t="n">
        <v>0</v>
      </c>
      <c r="L195" t="n">
        <v>0</v>
      </c>
      <c r="M195" t="n">
        <v>0</v>
      </c>
      <c r="N195" t="n">
        <v>0</v>
      </c>
      <c r="O195" t="n">
        <v>0</v>
      </c>
      <c r="P195" t="n">
        <v>0</v>
      </c>
      <c r="Q195" t="n">
        <v>0</v>
      </c>
      <c r="R195" s="2" t="inlineStr"/>
    </row>
    <row r="196" ht="15" customHeight="1">
      <c r="A196" t="inlineStr">
        <is>
          <t>A 32377-2020</t>
        </is>
      </c>
      <c r="B196" s="1" t="n">
        <v>44018</v>
      </c>
      <c r="C196" s="1" t="n">
        <v>45586</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33181-2020</t>
        </is>
      </c>
      <c r="B197" s="1" t="n">
        <v>44021</v>
      </c>
      <c r="C197" s="1" t="n">
        <v>45586</v>
      </c>
      <c r="D197" t="inlineStr">
        <is>
          <t>VÄSTMANLANDS LÄN</t>
        </is>
      </c>
      <c r="E197" t="inlineStr">
        <is>
          <t>SALA</t>
        </is>
      </c>
      <c r="G197" t="n">
        <v>2.8</v>
      </c>
      <c r="H197" t="n">
        <v>0</v>
      </c>
      <c r="I197" t="n">
        <v>0</v>
      </c>
      <c r="J197" t="n">
        <v>0</v>
      </c>
      <c r="K197" t="n">
        <v>0</v>
      </c>
      <c r="L197" t="n">
        <v>0</v>
      </c>
      <c r="M197" t="n">
        <v>0</v>
      </c>
      <c r="N197" t="n">
        <v>0</v>
      </c>
      <c r="O197" t="n">
        <v>0</v>
      </c>
      <c r="P197" t="n">
        <v>0</v>
      </c>
      <c r="Q197" t="n">
        <v>0</v>
      </c>
      <c r="R197" s="2" t="inlineStr"/>
    </row>
    <row r="198" ht="15" customHeight="1">
      <c r="A198" t="inlineStr">
        <is>
          <t>A 34430-2020</t>
        </is>
      </c>
      <c r="B198" s="1" t="n">
        <v>44032</v>
      </c>
      <c r="C198" s="1" t="n">
        <v>45586</v>
      </c>
      <c r="D198" t="inlineStr">
        <is>
          <t>VÄSTMANLANDS LÄN</t>
        </is>
      </c>
      <c r="E198" t="inlineStr">
        <is>
          <t>SALA</t>
        </is>
      </c>
      <c r="G198" t="n">
        <v>4.7</v>
      </c>
      <c r="H198" t="n">
        <v>0</v>
      </c>
      <c r="I198" t="n">
        <v>0</v>
      </c>
      <c r="J198" t="n">
        <v>0</v>
      </c>
      <c r="K198" t="n">
        <v>0</v>
      </c>
      <c r="L198" t="n">
        <v>0</v>
      </c>
      <c r="M198" t="n">
        <v>0</v>
      </c>
      <c r="N198" t="n">
        <v>0</v>
      </c>
      <c r="O198" t="n">
        <v>0</v>
      </c>
      <c r="P198" t="n">
        <v>0</v>
      </c>
      <c r="Q198" t="n">
        <v>0</v>
      </c>
      <c r="R198" s="2" t="inlineStr"/>
    </row>
    <row r="199" ht="15" customHeight="1">
      <c r="A199" t="inlineStr">
        <is>
          <t>A 34429-2020</t>
        </is>
      </c>
      <c r="B199" s="1" t="n">
        <v>44032</v>
      </c>
      <c r="C199" s="1" t="n">
        <v>45586</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37008-2020</t>
        </is>
      </c>
      <c r="B200" s="1" t="n">
        <v>44054</v>
      </c>
      <c r="C200" s="1" t="n">
        <v>45586</v>
      </c>
      <c r="D200" t="inlineStr">
        <is>
          <t>VÄSTMANLANDS LÄN</t>
        </is>
      </c>
      <c r="E200" t="inlineStr">
        <is>
          <t>SALA</t>
        </is>
      </c>
      <c r="F200" t="inlineStr">
        <is>
          <t>Kommuner</t>
        </is>
      </c>
      <c r="G200" t="n">
        <v>5.5</v>
      </c>
      <c r="H200" t="n">
        <v>0</v>
      </c>
      <c r="I200" t="n">
        <v>0</v>
      </c>
      <c r="J200" t="n">
        <v>0</v>
      </c>
      <c r="K200" t="n">
        <v>0</v>
      </c>
      <c r="L200" t="n">
        <v>0</v>
      </c>
      <c r="M200" t="n">
        <v>0</v>
      </c>
      <c r="N200" t="n">
        <v>0</v>
      </c>
      <c r="O200" t="n">
        <v>0</v>
      </c>
      <c r="P200" t="n">
        <v>0</v>
      </c>
      <c r="Q200" t="n">
        <v>0</v>
      </c>
      <c r="R200" s="2" t="inlineStr"/>
    </row>
    <row r="201" ht="15" customHeight="1">
      <c r="A201" t="inlineStr">
        <is>
          <t>A 37098-2020</t>
        </is>
      </c>
      <c r="B201" s="1" t="n">
        <v>44054</v>
      </c>
      <c r="C201" s="1" t="n">
        <v>45586</v>
      </c>
      <c r="D201" t="inlineStr">
        <is>
          <t>VÄSTMANLANDS LÄN</t>
        </is>
      </c>
      <c r="E201" t="inlineStr">
        <is>
          <t>SALA</t>
        </is>
      </c>
      <c r="F201" t="inlineStr">
        <is>
          <t>Kommuner</t>
        </is>
      </c>
      <c r="G201" t="n">
        <v>3.8</v>
      </c>
      <c r="H201" t="n">
        <v>0</v>
      </c>
      <c r="I201" t="n">
        <v>0</v>
      </c>
      <c r="J201" t="n">
        <v>0</v>
      </c>
      <c r="K201" t="n">
        <v>0</v>
      </c>
      <c r="L201" t="n">
        <v>0</v>
      </c>
      <c r="M201" t="n">
        <v>0</v>
      </c>
      <c r="N201" t="n">
        <v>0</v>
      </c>
      <c r="O201" t="n">
        <v>0</v>
      </c>
      <c r="P201" t="n">
        <v>0</v>
      </c>
      <c r="Q201" t="n">
        <v>0</v>
      </c>
      <c r="R201" s="2" t="inlineStr"/>
    </row>
    <row r="202" ht="15" customHeight="1">
      <c r="A202" t="inlineStr">
        <is>
          <t>A 37150-2020</t>
        </is>
      </c>
      <c r="B202" s="1" t="n">
        <v>44054</v>
      </c>
      <c r="C202" s="1" t="n">
        <v>45586</v>
      </c>
      <c r="D202" t="inlineStr">
        <is>
          <t>VÄSTMANLANDS LÄN</t>
        </is>
      </c>
      <c r="E202" t="inlineStr">
        <is>
          <t>SALA</t>
        </is>
      </c>
      <c r="F202" t="inlineStr">
        <is>
          <t>Kommuner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38579-2020</t>
        </is>
      </c>
      <c r="B203" s="1" t="n">
        <v>44061</v>
      </c>
      <c r="C203" s="1" t="n">
        <v>45586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38713-2020</t>
        </is>
      </c>
      <c r="B204" s="1" t="n">
        <v>44061</v>
      </c>
      <c r="C204" s="1" t="n">
        <v>45586</v>
      </c>
      <c r="D204" t="inlineStr">
        <is>
          <t>VÄSTMANLANDS LÄN</t>
        </is>
      </c>
      <c r="E204" t="inlineStr">
        <is>
          <t>SALA</t>
        </is>
      </c>
      <c r="G204" t="n">
        <v>1.4</v>
      </c>
      <c r="H204" t="n">
        <v>0</v>
      </c>
      <c r="I204" t="n">
        <v>0</v>
      </c>
      <c r="J204" t="n">
        <v>0</v>
      </c>
      <c r="K204" t="n">
        <v>0</v>
      </c>
      <c r="L204" t="n">
        <v>0</v>
      </c>
      <c r="M204" t="n">
        <v>0</v>
      </c>
      <c r="N204" t="n">
        <v>0</v>
      </c>
      <c r="O204" t="n">
        <v>0</v>
      </c>
      <c r="P204" t="n">
        <v>0</v>
      </c>
      <c r="Q204" t="n">
        <v>0</v>
      </c>
      <c r="R204" s="2" t="inlineStr"/>
    </row>
    <row r="205" ht="15" customHeight="1">
      <c r="A205" t="inlineStr">
        <is>
          <t>A 39519-2020</t>
        </is>
      </c>
      <c r="B205" s="1" t="n">
        <v>44064</v>
      </c>
      <c r="C205" s="1" t="n">
        <v>45586</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39818-2020</t>
        </is>
      </c>
      <c r="B206" s="1" t="n">
        <v>44067</v>
      </c>
      <c r="C206" s="1" t="n">
        <v>45586</v>
      </c>
      <c r="D206" t="inlineStr">
        <is>
          <t>VÄSTMANLANDS LÄN</t>
        </is>
      </c>
      <c r="E206" t="inlineStr">
        <is>
          <t>SALA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41493-2020</t>
        </is>
      </c>
      <c r="B207" s="1" t="n">
        <v>44074</v>
      </c>
      <c r="C207" s="1" t="n">
        <v>45586</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41485-2020</t>
        </is>
      </c>
      <c r="B208" s="1" t="n">
        <v>44074</v>
      </c>
      <c r="C208" s="1" t="n">
        <v>45586</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42344-2020</t>
        </is>
      </c>
      <c r="B209" s="1" t="n">
        <v>44076</v>
      </c>
      <c r="C209" s="1" t="n">
        <v>45586</v>
      </c>
      <c r="D209" t="inlineStr">
        <is>
          <t>VÄSTMANLANDS LÄN</t>
        </is>
      </c>
      <c r="E209" t="inlineStr">
        <is>
          <t>SALA</t>
        </is>
      </c>
      <c r="G209" t="n">
        <v>5.1</v>
      </c>
      <c r="H209" t="n">
        <v>0</v>
      </c>
      <c r="I209" t="n">
        <v>0</v>
      </c>
      <c r="J209" t="n">
        <v>0</v>
      </c>
      <c r="K209" t="n">
        <v>0</v>
      </c>
      <c r="L209" t="n">
        <v>0</v>
      </c>
      <c r="M209" t="n">
        <v>0</v>
      </c>
      <c r="N209" t="n">
        <v>0</v>
      </c>
      <c r="O209" t="n">
        <v>0</v>
      </c>
      <c r="P209" t="n">
        <v>0</v>
      </c>
      <c r="Q209" t="n">
        <v>0</v>
      </c>
      <c r="R209" s="2" t="inlineStr"/>
    </row>
    <row r="210" ht="15" customHeight="1">
      <c r="A210" t="inlineStr">
        <is>
          <t>A 42345-2020</t>
        </is>
      </c>
      <c r="B210" s="1" t="n">
        <v>44076</v>
      </c>
      <c r="C210" s="1" t="n">
        <v>45586</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42346-2020</t>
        </is>
      </c>
      <c r="B211" s="1" t="n">
        <v>44076</v>
      </c>
      <c r="C211" s="1" t="n">
        <v>45586</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43349-2020</t>
        </is>
      </c>
      <c r="B212" s="1" t="n">
        <v>44081</v>
      </c>
      <c r="C212" s="1" t="n">
        <v>45586</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44652-2020</t>
        </is>
      </c>
      <c r="B213" s="1" t="n">
        <v>44085</v>
      </c>
      <c r="C213" s="1" t="n">
        <v>45586</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44950-2020</t>
        </is>
      </c>
      <c r="B214" s="1" t="n">
        <v>44088</v>
      </c>
      <c r="C214" s="1" t="n">
        <v>45586</v>
      </c>
      <c r="D214" t="inlineStr">
        <is>
          <t>VÄSTMANLANDS LÄN</t>
        </is>
      </c>
      <c r="E214" t="inlineStr">
        <is>
          <t>SALA</t>
        </is>
      </c>
      <c r="G214" t="n">
        <v>9</v>
      </c>
      <c r="H214" t="n">
        <v>0</v>
      </c>
      <c r="I214" t="n">
        <v>0</v>
      </c>
      <c r="J214" t="n">
        <v>0</v>
      </c>
      <c r="K214" t="n">
        <v>0</v>
      </c>
      <c r="L214" t="n">
        <v>0</v>
      </c>
      <c r="M214" t="n">
        <v>0</v>
      </c>
      <c r="N214" t="n">
        <v>0</v>
      </c>
      <c r="O214" t="n">
        <v>0</v>
      </c>
      <c r="P214" t="n">
        <v>0</v>
      </c>
      <c r="Q214" t="n">
        <v>0</v>
      </c>
      <c r="R214" s="2" t="inlineStr"/>
    </row>
    <row r="215" ht="15" customHeight="1">
      <c r="A215" t="inlineStr">
        <is>
          <t>A 46965-2020</t>
        </is>
      </c>
      <c r="B215" s="1" t="n">
        <v>44096</v>
      </c>
      <c r="C215" s="1" t="n">
        <v>45586</v>
      </c>
      <c r="D215" t="inlineStr">
        <is>
          <t>VÄSTMANLANDS LÄN</t>
        </is>
      </c>
      <c r="E215" t="inlineStr">
        <is>
          <t>SALA</t>
        </is>
      </c>
      <c r="G215" t="n">
        <v>0.4</v>
      </c>
      <c r="H215" t="n">
        <v>0</v>
      </c>
      <c r="I215" t="n">
        <v>0</v>
      </c>
      <c r="J215" t="n">
        <v>0</v>
      </c>
      <c r="K215" t="n">
        <v>0</v>
      </c>
      <c r="L215" t="n">
        <v>0</v>
      </c>
      <c r="M215" t="n">
        <v>0</v>
      </c>
      <c r="N215" t="n">
        <v>0</v>
      </c>
      <c r="O215" t="n">
        <v>0</v>
      </c>
      <c r="P215" t="n">
        <v>0</v>
      </c>
      <c r="Q215" t="n">
        <v>0</v>
      </c>
      <c r="R215" s="2" t="inlineStr"/>
    </row>
    <row r="216" ht="15" customHeight="1">
      <c r="A216" t="inlineStr">
        <is>
          <t>A 47054-2020</t>
        </is>
      </c>
      <c r="B216" s="1" t="n">
        <v>44096</v>
      </c>
      <c r="C216" s="1" t="n">
        <v>45586</v>
      </c>
      <c r="D216" t="inlineStr">
        <is>
          <t>VÄSTMANLANDS LÄN</t>
        </is>
      </c>
      <c r="E216" t="inlineStr">
        <is>
          <t>SALA</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47208-2020</t>
        </is>
      </c>
      <c r="B217" s="1" t="n">
        <v>44097</v>
      </c>
      <c r="C217" s="1" t="n">
        <v>45586</v>
      </c>
      <c r="D217" t="inlineStr">
        <is>
          <t>VÄSTMANLANDS LÄN</t>
        </is>
      </c>
      <c r="E217" t="inlineStr">
        <is>
          <t>SALA</t>
        </is>
      </c>
      <c r="G217" t="n">
        <v>0.5</v>
      </c>
      <c r="H217" t="n">
        <v>0</v>
      </c>
      <c r="I217" t="n">
        <v>0</v>
      </c>
      <c r="J217" t="n">
        <v>0</v>
      </c>
      <c r="K217" t="n">
        <v>0</v>
      </c>
      <c r="L217" t="n">
        <v>0</v>
      </c>
      <c r="M217" t="n">
        <v>0</v>
      </c>
      <c r="N217" t="n">
        <v>0</v>
      </c>
      <c r="O217" t="n">
        <v>0</v>
      </c>
      <c r="P217" t="n">
        <v>0</v>
      </c>
      <c r="Q217" t="n">
        <v>0</v>
      </c>
      <c r="R217" s="2" t="inlineStr"/>
    </row>
    <row r="218" ht="15" customHeight="1">
      <c r="A218" t="inlineStr">
        <is>
          <t>A 50559-2020</t>
        </is>
      </c>
      <c r="B218" s="1" t="n">
        <v>44110</v>
      </c>
      <c r="C218" s="1" t="n">
        <v>45586</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50801-2020</t>
        </is>
      </c>
      <c r="B219" s="1" t="n">
        <v>44111</v>
      </c>
      <c r="C219" s="1" t="n">
        <v>45586</v>
      </c>
      <c r="D219" t="inlineStr">
        <is>
          <t>VÄSTMANLANDS LÄN</t>
        </is>
      </c>
      <c r="E219" t="inlineStr">
        <is>
          <t>SALA</t>
        </is>
      </c>
      <c r="G219" t="n">
        <v>1.1</v>
      </c>
      <c r="H219" t="n">
        <v>0</v>
      </c>
      <c r="I219" t="n">
        <v>0</v>
      </c>
      <c r="J219" t="n">
        <v>0</v>
      </c>
      <c r="K219" t="n">
        <v>0</v>
      </c>
      <c r="L219" t="n">
        <v>0</v>
      </c>
      <c r="M219" t="n">
        <v>0</v>
      </c>
      <c r="N219" t="n">
        <v>0</v>
      </c>
      <c r="O219" t="n">
        <v>0</v>
      </c>
      <c r="P219" t="n">
        <v>0</v>
      </c>
      <c r="Q219" t="n">
        <v>0</v>
      </c>
      <c r="R219" s="2" t="inlineStr"/>
    </row>
    <row r="220" ht="15" customHeight="1">
      <c r="A220" t="inlineStr">
        <is>
          <t>A 50818-2020</t>
        </is>
      </c>
      <c r="B220" s="1" t="n">
        <v>44111</v>
      </c>
      <c r="C220" s="1" t="n">
        <v>45586</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54322-2020</t>
        </is>
      </c>
      <c r="B221" s="1" t="n">
        <v>44126</v>
      </c>
      <c r="C221" s="1" t="n">
        <v>45586</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54923-2020</t>
        </is>
      </c>
      <c r="B222" s="1" t="n">
        <v>44127</v>
      </c>
      <c r="C222" s="1" t="n">
        <v>45586</v>
      </c>
      <c r="D222" t="inlineStr">
        <is>
          <t>VÄSTMANLANDS LÄN</t>
        </is>
      </c>
      <c r="E222" t="inlineStr">
        <is>
          <t>SALA</t>
        </is>
      </c>
      <c r="G222" t="n">
        <v>4.9</v>
      </c>
      <c r="H222" t="n">
        <v>0</v>
      </c>
      <c r="I222" t="n">
        <v>0</v>
      </c>
      <c r="J222" t="n">
        <v>0</v>
      </c>
      <c r="K222" t="n">
        <v>0</v>
      </c>
      <c r="L222" t="n">
        <v>0</v>
      </c>
      <c r="M222" t="n">
        <v>0</v>
      </c>
      <c r="N222" t="n">
        <v>0</v>
      </c>
      <c r="O222" t="n">
        <v>0</v>
      </c>
      <c r="P222" t="n">
        <v>0</v>
      </c>
      <c r="Q222" t="n">
        <v>0</v>
      </c>
      <c r="R222" s="2" t="inlineStr"/>
    </row>
    <row r="223" ht="15" customHeight="1">
      <c r="A223" t="inlineStr">
        <is>
          <t>A 54931-2020</t>
        </is>
      </c>
      <c r="B223" s="1" t="n">
        <v>44127</v>
      </c>
      <c r="C223" s="1" t="n">
        <v>45586</v>
      </c>
      <c r="D223" t="inlineStr">
        <is>
          <t>VÄSTMANLANDS LÄN</t>
        </is>
      </c>
      <c r="E223" t="inlineStr">
        <is>
          <t>SALA</t>
        </is>
      </c>
      <c r="G223" t="n">
        <v>7</v>
      </c>
      <c r="H223" t="n">
        <v>0</v>
      </c>
      <c r="I223" t="n">
        <v>0</v>
      </c>
      <c r="J223" t="n">
        <v>0</v>
      </c>
      <c r="K223" t="n">
        <v>0</v>
      </c>
      <c r="L223" t="n">
        <v>0</v>
      </c>
      <c r="M223" t="n">
        <v>0</v>
      </c>
      <c r="N223" t="n">
        <v>0</v>
      </c>
      <c r="O223" t="n">
        <v>0</v>
      </c>
      <c r="P223" t="n">
        <v>0</v>
      </c>
      <c r="Q223" t="n">
        <v>0</v>
      </c>
      <c r="R223" s="2" t="inlineStr"/>
    </row>
    <row r="224" ht="15" customHeight="1">
      <c r="A224" t="inlineStr">
        <is>
          <t>A 55439-2020</t>
        </is>
      </c>
      <c r="B224" s="1" t="n">
        <v>44130</v>
      </c>
      <c r="C224" s="1" t="n">
        <v>45586</v>
      </c>
      <c r="D224" t="inlineStr">
        <is>
          <t>VÄSTMANLANDS LÄN</t>
        </is>
      </c>
      <c r="E224" t="inlineStr">
        <is>
          <t>SALA</t>
        </is>
      </c>
      <c r="G224" t="n">
        <v>4.3</v>
      </c>
      <c r="H224" t="n">
        <v>0</v>
      </c>
      <c r="I224" t="n">
        <v>0</v>
      </c>
      <c r="J224" t="n">
        <v>0</v>
      </c>
      <c r="K224" t="n">
        <v>0</v>
      </c>
      <c r="L224" t="n">
        <v>0</v>
      </c>
      <c r="M224" t="n">
        <v>0</v>
      </c>
      <c r="N224" t="n">
        <v>0</v>
      </c>
      <c r="O224" t="n">
        <v>0</v>
      </c>
      <c r="P224" t="n">
        <v>0</v>
      </c>
      <c r="Q224" t="n">
        <v>0</v>
      </c>
      <c r="R224" s="2" t="inlineStr"/>
    </row>
    <row r="225" ht="15" customHeight="1">
      <c r="A225" t="inlineStr">
        <is>
          <t>A 55881-2020</t>
        </is>
      </c>
      <c r="B225" s="1" t="n">
        <v>44132</v>
      </c>
      <c r="C225" s="1" t="n">
        <v>45586</v>
      </c>
      <c r="D225" t="inlineStr">
        <is>
          <t>VÄSTMANLANDS LÄN</t>
        </is>
      </c>
      <c r="E225" t="inlineStr">
        <is>
          <t>SALA</t>
        </is>
      </c>
      <c r="G225" t="n">
        <v>3</v>
      </c>
      <c r="H225" t="n">
        <v>0</v>
      </c>
      <c r="I225" t="n">
        <v>0</v>
      </c>
      <c r="J225" t="n">
        <v>0</v>
      </c>
      <c r="K225" t="n">
        <v>0</v>
      </c>
      <c r="L225" t="n">
        <v>0</v>
      </c>
      <c r="M225" t="n">
        <v>0</v>
      </c>
      <c r="N225" t="n">
        <v>0</v>
      </c>
      <c r="O225" t="n">
        <v>0</v>
      </c>
      <c r="P225" t="n">
        <v>0</v>
      </c>
      <c r="Q225" t="n">
        <v>0</v>
      </c>
      <c r="R225" s="2" t="inlineStr"/>
    </row>
    <row r="226" ht="15" customHeight="1">
      <c r="A226" t="inlineStr">
        <is>
          <t>A 56134-2020</t>
        </is>
      </c>
      <c r="B226" s="1" t="n">
        <v>44132</v>
      </c>
      <c r="C226" s="1" t="n">
        <v>45586</v>
      </c>
      <c r="D226" t="inlineStr">
        <is>
          <t>VÄSTMANLANDS LÄN</t>
        </is>
      </c>
      <c r="E226" t="inlineStr">
        <is>
          <t>SALA</t>
        </is>
      </c>
      <c r="G226" t="n">
        <v>4.7</v>
      </c>
      <c r="H226" t="n">
        <v>0</v>
      </c>
      <c r="I226" t="n">
        <v>0</v>
      </c>
      <c r="J226" t="n">
        <v>0</v>
      </c>
      <c r="K226" t="n">
        <v>0</v>
      </c>
      <c r="L226" t="n">
        <v>0</v>
      </c>
      <c r="M226" t="n">
        <v>0</v>
      </c>
      <c r="N226" t="n">
        <v>0</v>
      </c>
      <c r="O226" t="n">
        <v>0</v>
      </c>
      <c r="P226" t="n">
        <v>0</v>
      </c>
      <c r="Q226" t="n">
        <v>0</v>
      </c>
      <c r="R226" s="2" t="inlineStr"/>
    </row>
    <row r="227" ht="15" customHeight="1">
      <c r="A227" t="inlineStr">
        <is>
          <t>A 56098-2020</t>
        </is>
      </c>
      <c r="B227" s="1" t="n">
        <v>44132</v>
      </c>
      <c r="C227" s="1" t="n">
        <v>45586</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57800-2020</t>
        </is>
      </c>
      <c r="B228" s="1" t="n">
        <v>44141</v>
      </c>
      <c r="C228" s="1" t="n">
        <v>45586</v>
      </c>
      <c r="D228" t="inlineStr">
        <is>
          <t>VÄSTMANLANDS LÄN</t>
        </is>
      </c>
      <c r="E228" t="inlineStr">
        <is>
          <t>SALA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58314-2020</t>
        </is>
      </c>
      <c r="B229" s="1" t="n">
        <v>44145</v>
      </c>
      <c r="C229" s="1" t="n">
        <v>45586</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58781-2020</t>
        </is>
      </c>
      <c r="B230" s="1" t="n">
        <v>44146</v>
      </c>
      <c r="C230" s="1" t="n">
        <v>45586</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58912-2020</t>
        </is>
      </c>
      <c r="B231" s="1" t="n">
        <v>44146</v>
      </c>
      <c r="C231" s="1" t="n">
        <v>45586</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61415-2020</t>
        </is>
      </c>
      <c r="B232" s="1" t="n">
        <v>44156</v>
      </c>
      <c r="C232" s="1" t="n">
        <v>45586</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62275-2020</t>
        </is>
      </c>
      <c r="B233" s="1" t="n">
        <v>44158</v>
      </c>
      <c r="C233" s="1" t="n">
        <v>45586</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62680-2020</t>
        </is>
      </c>
      <c r="B234" s="1" t="n">
        <v>44161</v>
      </c>
      <c r="C234" s="1" t="n">
        <v>45586</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64940-2020</t>
        </is>
      </c>
      <c r="B235" s="1" t="n">
        <v>44172</v>
      </c>
      <c r="C235" s="1" t="n">
        <v>45586</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66821-2020</t>
        </is>
      </c>
      <c r="B236" s="1" t="n">
        <v>44179</v>
      </c>
      <c r="C236" s="1" t="n">
        <v>45586</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68113-2020</t>
        </is>
      </c>
      <c r="B237" s="1" t="n">
        <v>44182</v>
      </c>
      <c r="C237" s="1" t="n">
        <v>45586</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69194-2020</t>
        </is>
      </c>
      <c r="B238" s="1" t="n">
        <v>44191</v>
      </c>
      <c r="C238" s="1" t="n">
        <v>45586</v>
      </c>
      <c r="D238" t="inlineStr">
        <is>
          <t>VÄSTMANLANDS LÄN</t>
        </is>
      </c>
      <c r="E238" t="inlineStr">
        <is>
          <t>SALA</t>
        </is>
      </c>
      <c r="G238" t="n">
        <v>0.4</v>
      </c>
      <c r="H238" t="n">
        <v>0</v>
      </c>
      <c r="I238" t="n">
        <v>0</v>
      </c>
      <c r="J238" t="n">
        <v>0</v>
      </c>
      <c r="K238" t="n">
        <v>0</v>
      </c>
      <c r="L238" t="n">
        <v>0</v>
      </c>
      <c r="M238" t="n">
        <v>0</v>
      </c>
      <c r="N238" t="n">
        <v>0</v>
      </c>
      <c r="O238" t="n">
        <v>0</v>
      </c>
      <c r="P238" t="n">
        <v>0</v>
      </c>
      <c r="Q238" t="n">
        <v>0</v>
      </c>
      <c r="R238" s="2" t="inlineStr"/>
    </row>
    <row r="239" ht="15" customHeight="1">
      <c r="A239" t="inlineStr">
        <is>
          <t>A 69192-2020</t>
        </is>
      </c>
      <c r="B239" s="1" t="n">
        <v>44191</v>
      </c>
      <c r="C239" s="1" t="n">
        <v>45586</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69195-2020</t>
        </is>
      </c>
      <c r="B240" s="1" t="n">
        <v>44191</v>
      </c>
      <c r="C240" s="1" t="n">
        <v>45586</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69319-2020</t>
        </is>
      </c>
      <c r="B241" s="1" t="n">
        <v>44193</v>
      </c>
      <c r="C241" s="1" t="n">
        <v>45586</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69318-2020</t>
        </is>
      </c>
      <c r="B242" s="1" t="n">
        <v>44193</v>
      </c>
      <c r="C242" s="1" t="n">
        <v>45586</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69362-2020</t>
        </is>
      </c>
      <c r="B243" s="1" t="n">
        <v>44193</v>
      </c>
      <c r="C243" s="1" t="n">
        <v>45586</v>
      </c>
      <c r="D243" t="inlineStr">
        <is>
          <t>VÄSTMANLANDS LÄN</t>
        </is>
      </c>
      <c r="E243" t="inlineStr">
        <is>
          <t>SALA</t>
        </is>
      </c>
      <c r="G243" t="n">
        <v>13.7</v>
      </c>
      <c r="H243" t="n">
        <v>0</v>
      </c>
      <c r="I243" t="n">
        <v>0</v>
      </c>
      <c r="J243" t="n">
        <v>0</v>
      </c>
      <c r="K243" t="n">
        <v>0</v>
      </c>
      <c r="L243" t="n">
        <v>0</v>
      </c>
      <c r="M243" t="n">
        <v>0</v>
      </c>
      <c r="N243" t="n">
        <v>0</v>
      </c>
      <c r="O243" t="n">
        <v>0</v>
      </c>
      <c r="P243" t="n">
        <v>0</v>
      </c>
      <c r="Q243" t="n">
        <v>0</v>
      </c>
      <c r="R243" s="2" t="inlineStr"/>
    </row>
    <row r="244" ht="15" customHeight="1">
      <c r="A244" t="inlineStr">
        <is>
          <t>A 1599-2021</t>
        </is>
      </c>
      <c r="B244" s="1" t="n">
        <v>44209</v>
      </c>
      <c r="C244" s="1" t="n">
        <v>45586</v>
      </c>
      <c r="D244" t="inlineStr">
        <is>
          <t>VÄSTMANLANDS LÄN</t>
        </is>
      </c>
      <c r="E244" t="inlineStr">
        <is>
          <t>SALA</t>
        </is>
      </c>
      <c r="G244" t="n">
        <v>9.6</v>
      </c>
      <c r="H244" t="n">
        <v>0</v>
      </c>
      <c r="I244" t="n">
        <v>0</v>
      </c>
      <c r="J244" t="n">
        <v>0</v>
      </c>
      <c r="K244" t="n">
        <v>0</v>
      </c>
      <c r="L244" t="n">
        <v>0</v>
      </c>
      <c r="M244" t="n">
        <v>0</v>
      </c>
      <c r="N244" t="n">
        <v>0</v>
      </c>
      <c r="O244" t="n">
        <v>0</v>
      </c>
      <c r="P244" t="n">
        <v>0</v>
      </c>
      <c r="Q244" t="n">
        <v>0</v>
      </c>
      <c r="R244" s="2" t="inlineStr"/>
      <c r="U244">
        <f>HYPERLINK("https://klasma.github.io/Logging_1981/knärot/A 1599-2021 karta knärot.png", "A 1599-2021")</f>
        <v/>
      </c>
      <c r="V244">
        <f>HYPERLINK("https://klasma.github.io/Logging_1981/klagomål/A 1599-2021 FSC-klagomål.docx", "A 1599-2021")</f>
        <v/>
      </c>
      <c r="W244">
        <f>HYPERLINK("https://klasma.github.io/Logging_1981/klagomålsmail/A 1599-2021 FSC-klagomål mail.docx", "A 1599-2021")</f>
        <v/>
      </c>
      <c r="X244">
        <f>HYPERLINK("https://klasma.github.io/Logging_1981/tillsyn/A 1599-2021 tillsynsbegäran.docx", "A 1599-2021")</f>
        <v/>
      </c>
      <c r="Y244">
        <f>HYPERLINK("https://klasma.github.io/Logging_1981/tillsynsmail/A 1599-2021 tillsynsbegäran mail.docx", "A 1599-2021")</f>
        <v/>
      </c>
    </row>
    <row r="245" ht="15" customHeight="1">
      <c r="A245" t="inlineStr">
        <is>
          <t>A 2443-2021</t>
        </is>
      </c>
      <c r="B245" s="1" t="n">
        <v>44214</v>
      </c>
      <c r="C245" s="1" t="n">
        <v>45586</v>
      </c>
      <c r="D245" t="inlineStr">
        <is>
          <t>VÄSTMANLANDS LÄN</t>
        </is>
      </c>
      <c r="E245" t="inlineStr">
        <is>
          <t>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4736-2021</t>
        </is>
      </c>
      <c r="B246" s="1" t="n">
        <v>44225</v>
      </c>
      <c r="C246" s="1" t="n">
        <v>45586</v>
      </c>
      <c r="D246" t="inlineStr">
        <is>
          <t>VÄSTMANLANDS LÄN</t>
        </is>
      </c>
      <c r="E246" t="inlineStr">
        <is>
          <t>SALA</t>
        </is>
      </c>
      <c r="G246" t="n">
        <v>4.2</v>
      </c>
      <c r="H246" t="n">
        <v>0</v>
      </c>
      <c r="I246" t="n">
        <v>0</v>
      </c>
      <c r="J246" t="n">
        <v>0</v>
      </c>
      <c r="K246" t="n">
        <v>0</v>
      </c>
      <c r="L246" t="n">
        <v>0</v>
      </c>
      <c r="M246" t="n">
        <v>0</v>
      </c>
      <c r="N246" t="n">
        <v>0</v>
      </c>
      <c r="O246" t="n">
        <v>0</v>
      </c>
      <c r="P246" t="n">
        <v>0</v>
      </c>
      <c r="Q246" t="n">
        <v>0</v>
      </c>
      <c r="R246" s="2" t="inlineStr"/>
    </row>
    <row r="247" ht="15" customHeight="1">
      <c r="A247" t="inlineStr">
        <is>
          <t>A 6088-2021</t>
        </is>
      </c>
      <c r="B247" s="1" t="n">
        <v>44232</v>
      </c>
      <c r="C247" s="1" t="n">
        <v>45586</v>
      </c>
      <c r="D247" t="inlineStr">
        <is>
          <t>VÄSTMANLANDS LÄN</t>
        </is>
      </c>
      <c r="E247" t="inlineStr">
        <is>
          <t>SALA</t>
        </is>
      </c>
      <c r="G247" t="n">
        <v>0.2</v>
      </c>
      <c r="H247" t="n">
        <v>0</v>
      </c>
      <c r="I247" t="n">
        <v>0</v>
      </c>
      <c r="J247" t="n">
        <v>0</v>
      </c>
      <c r="K247" t="n">
        <v>0</v>
      </c>
      <c r="L247" t="n">
        <v>0</v>
      </c>
      <c r="M247" t="n">
        <v>0</v>
      </c>
      <c r="N247" t="n">
        <v>0</v>
      </c>
      <c r="O247" t="n">
        <v>0</v>
      </c>
      <c r="P247" t="n">
        <v>0</v>
      </c>
      <c r="Q247" t="n">
        <v>0</v>
      </c>
      <c r="R247" s="2" t="inlineStr"/>
    </row>
    <row r="248" ht="15" customHeight="1">
      <c r="A248" t="inlineStr">
        <is>
          <t>A 6308-2021</t>
        </is>
      </c>
      <c r="B248" s="1" t="n">
        <v>44235</v>
      </c>
      <c r="C248" s="1" t="n">
        <v>45586</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7681-2021</t>
        </is>
      </c>
      <c r="B249" s="1" t="n">
        <v>44242</v>
      </c>
      <c r="C249" s="1" t="n">
        <v>45586</v>
      </c>
      <c r="D249" t="inlineStr">
        <is>
          <t>VÄSTMANLANDS LÄN</t>
        </is>
      </c>
      <c r="E249" t="inlineStr">
        <is>
          <t>SALA</t>
        </is>
      </c>
      <c r="F249" t="inlineStr">
        <is>
          <t>Sveaskog</t>
        </is>
      </c>
      <c r="G249" t="n">
        <v>16.1</v>
      </c>
      <c r="H249" t="n">
        <v>0</v>
      </c>
      <c r="I249" t="n">
        <v>0</v>
      </c>
      <c r="J249" t="n">
        <v>0</v>
      </c>
      <c r="K249" t="n">
        <v>0</v>
      </c>
      <c r="L249" t="n">
        <v>0</v>
      </c>
      <c r="M249" t="n">
        <v>0</v>
      </c>
      <c r="N249" t="n">
        <v>0</v>
      </c>
      <c r="O249" t="n">
        <v>0</v>
      </c>
      <c r="P249" t="n">
        <v>0</v>
      </c>
      <c r="Q249" t="n">
        <v>0</v>
      </c>
      <c r="R249" s="2" t="inlineStr"/>
    </row>
    <row r="250" ht="15" customHeight="1">
      <c r="A250" t="inlineStr">
        <is>
          <t>A 7968-2021</t>
        </is>
      </c>
      <c r="B250" s="1" t="n">
        <v>44243</v>
      </c>
      <c r="C250" s="1" t="n">
        <v>45586</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7955-2021</t>
        </is>
      </c>
      <c r="B251" s="1" t="n">
        <v>44243</v>
      </c>
      <c r="C251" s="1" t="n">
        <v>45586</v>
      </c>
      <c r="D251" t="inlineStr">
        <is>
          <t>VÄSTMANLANDS LÄN</t>
        </is>
      </c>
      <c r="E251" t="inlineStr">
        <is>
          <t>SALA</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8513-2021</t>
        </is>
      </c>
      <c r="B252" s="1" t="n">
        <v>44244</v>
      </c>
      <c r="C252" s="1" t="n">
        <v>45586</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10154-2021</t>
        </is>
      </c>
      <c r="B253" s="1" t="n">
        <v>44256</v>
      </c>
      <c r="C253" s="1" t="n">
        <v>45586</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10812-2021</t>
        </is>
      </c>
      <c r="B254" s="1" t="n">
        <v>44259</v>
      </c>
      <c r="C254" s="1" t="n">
        <v>45586</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11017-2021</t>
        </is>
      </c>
      <c r="B255" s="1" t="n">
        <v>44260</v>
      </c>
      <c r="C255" s="1" t="n">
        <v>45586</v>
      </c>
      <c r="D255" t="inlineStr">
        <is>
          <t>VÄSTMANLANDS LÄN</t>
        </is>
      </c>
      <c r="E255" t="inlineStr">
        <is>
          <t>SALA</t>
        </is>
      </c>
      <c r="F255" t="inlineStr">
        <is>
          <t>Kyrkan</t>
        </is>
      </c>
      <c r="G255" t="n">
        <v>1.2</v>
      </c>
      <c r="H255" t="n">
        <v>0</v>
      </c>
      <c r="I255" t="n">
        <v>0</v>
      </c>
      <c r="J255" t="n">
        <v>0</v>
      </c>
      <c r="K255" t="n">
        <v>0</v>
      </c>
      <c r="L255" t="n">
        <v>0</v>
      </c>
      <c r="M255" t="n">
        <v>0</v>
      </c>
      <c r="N255" t="n">
        <v>0</v>
      </c>
      <c r="O255" t="n">
        <v>0</v>
      </c>
      <c r="P255" t="n">
        <v>0</v>
      </c>
      <c r="Q255" t="n">
        <v>0</v>
      </c>
      <c r="R255" s="2" t="inlineStr"/>
    </row>
    <row r="256" ht="15" customHeight="1">
      <c r="A256" t="inlineStr">
        <is>
          <t>A 11007-2021</t>
        </is>
      </c>
      <c r="B256" s="1" t="n">
        <v>44260</v>
      </c>
      <c r="C256" s="1" t="n">
        <v>45586</v>
      </c>
      <c r="D256" t="inlineStr">
        <is>
          <t>VÄSTMANLANDS LÄN</t>
        </is>
      </c>
      <c r="E256" t="inlineStr">
        <is>
          <t>SALA</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11560-2021</t>
        </is>
      </c>
      <c r="B257" s="1" t="n">
        <v>44264</v>
      </c>
      <c r="C257" s="1" t="n">
        <v>45586</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13112-2021</t>
        </is>
      </c>
      <c r="B258" s="1" t="n">
        <v>44272</v>
      </c>
      <c r="C258" s="1" t="n">
        <v>45586</v>
      </c>
      <c r="D258" t="inlineStr">
        <is>
          <t>VÄSTMANLANDS LÄN</t>
        </is>
      </c>
      <c r="E258" t="inlineStr">
        <is>
          <t>SALA</t>
        </is>
      </c>
      <c r="G258" t="n">
        <v>3.7</v>
      </c>
      <c r="H258" t="n">
        <v>0</v>
      </c>
      <c r="I258" t="n">
        <v>0</v>
      </c>
      <c r="J258" t="n">
        <v>0</v>
      </c>
      <c r="K258" t="n">
        <v>0</v>
      </c>
      <c r="L258" t="n">
        <v>0</v>
      </c>
      <c r="M258" t="n">
        <v>0</v>
      </c>
      <c r="N258" t="n">
        <v>0</v>
      </c>
      <c r="O258" t="n">
        <v>0</v>
      </c>
      <c r="P258" t="n">
        <v>0</v>
      </c>
      <c r="Q258" t="n">
        <v>0</v>
      </c>
      <c r="R258" s="2" t="inlineStr"/>
    </row>
    <row r="259" ht="15" customHeight="1">
      <c r="A259" t="inlineStr">
        <is>
          <t>A 13993-2021</t>
        </is>
      </c>
      <c r="B259" s="1" t="n">
        <v>44277</v>
      </c>
      <c r="C259" s="1" t="n">
        <v>45586</v>
      </c>
      <c r="D259" t="inlineStr">
        <is>
          <t>VÄSTMANLANDS LÄN</t>
        </is>
      </c>
      <c r="E259" t="inlineStr">
        <is>
          <t>SALA</t>
        </is>
      </c>
      <c r="G259" t="n">
        <v>27.6</v>
      </c>
      <c r="H259" t="n">
        <v>0</v>
      </c>
      <c r="I259" t="n">
        <v>0</v>
      </c>
      <c r="J259" t="n">
        <v>0</v>
      </c>
      <c r="K259" t="n">
        <v>0</v>
      </c>
      <c r="L259" t="n">
        <v>0</v>
      </c>
      <c r="M259" t="n">
        <v>0</v>
      </c>
      <c r="N259" t="n">
        <v>0</v>
      </c>
      <c r="O259" t="n">
        <v>0</v>
      </c>
      <c r="P259" t="n">
        <v>0</v>
      </c>
      <c r="Q259" t="n">
        <v>0</v>
      </c>
      <c r="R259" s="2" t="inlineStr"/>
    </row>
    <row r="260" ht="15" customHeight="1">
      <c r="A260" t="inlineStr">
        <is>
          <t>A 14010-2021</t>
        </is>
      </c>
      <c r="B260" s="1" t="n">
        <v>44277</v>
      </c>
      <c r="C260" s="1" t="n">
        <v>45586</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15354-2021</t>
        </is>
      </c>
      <c r="B261" s="1" t="n">
        <v>44284</v>
      </c>
      <c r="C261" s="1" t="n">
        <v>45586</v>
      </c>
      <c r="D261" t="inlineStr">
        <is>
          <t>VÄSTMANLANDS LÄN</t>
        </is>
      </c>
      <c r="E261" t="inlineStr">
        <is>
          <t>SALA</t>
        </is>
      </c>
      <c r="F261" t="inlineStr">
        <is>
          <t>Kyrkan</t>
        </is>
      </c>
      <c r="G261" t="n">
        <v>8.5</v>
      </c>
      <c r="H261" t="n">
        <v>0</v>
      </c>
      <c r="I261" t="n">
        <v>0</v>
      </c>
      <c r="J261" t="n">
        <v>0</v>
      </c>
      <c r="K261" t="n">
        <v>0</v>
      </c>
      <c r="L261" t="n">
        <v>0</v>
      </c>
      <c r="M261" t="n">
        <v>0</v>
      </c>
      <c r="N261" t="n">
        <v>0</v>
      </c>
      <c r="O261" t="n">
        <v>0</v>
      </c>
      <c r="P261" t="n">
        <v>0</v>
      </c>
      <c r="Q261" t="n">
        <v>0</v>
      </c>
      <c r="R261" s="2" t="inlineStr"/>
    </row>
    <row r="262" ht="15" customHeight="1">
      <c r="A262" t="inlineStr">
        <is>
          <t>A 15483-2021</t>
        </is>
      </c>
      <c r="B262" s="1" t="n">
        <v>44285</v>
      </c>
      <c r="C262" s="1" t="n">
        <v>45586</v>
      </c>
      <c r="D262" t="inlineStr">
        <is>
          <t>VÄSTMANLANDS LÄN</t>
        </is>
      </c>
      <c r="E262" t="inlineStr">
        <is>
          <t>SALA</t>
        </is>
      </c>
      <c r="G262" t="n">
        <v>1.6</v>
      </c>
      <c r="H262" t="n">
        <v>0</v>
      </c>
      <c r="I262" t="n">
        <v>0</v>
      </c>
      <c r="J262" t="n">
        <v>0</v>
      </c>
      <c r="K262" t="n">
        <v>0</v>
      </c>
      <c r="L262" t="n">
        <v>0</v>
      </c>
      <c r="M262" t="n">
        <v>0</v>
      </c>
      <c r="N262" t="n">
        <v>0</v>
      </c>
      <c r="O262" t="n">
        <v>0</v>
      </c>
      <c r="P262" t="n">
        <v>0</v>
      </c>
      <c r="Q262" t="n">
        <v>0</v>
      </c>
      <c r="R262" s="2" t="inlineStr"/>
    </row>
    <row r="263" ht="15" customHeight="1">
      <c r="A263" t="inlineStr">
        <is>
          <t>A 15584-2021</t>
        </is>
      </c>
      <c r="B263" s="1" t="n">
        <v>44285</v>
      </c>
      <c r="C263" s="1" t="n">
        <v>45586</v>
      </c>
      <c r="D263" t="inlineStr">
        <is>
          <t>VÄSTMANLANDS LÄN</t>
        </is>
      </c>
      <c r="E263" t="inlineStr">
        <is>
          <t>SALA</t>
        </is>
      </c>
      <c r="G263" t="n">
        <v>3.4</v>
      </c>
      <c r="H263" t="n">
        <v>0</v>
      </c>
      <c r="I263" t="n">
        <v>0</v>
      </c>
      <c r="J263" t="n">
        <v>0</v>
      </c>
      <c r="K263" t="n">
        <v>0</v>
      </c>
      <c r="L263" t="n">
        <v>0</v>
      </c>
      <c r="M263" t="n">
        <v>0</v>
      </c>
      <c r="N263" t="n">
        <v>0</v>
      </c>
      <c r="O263" t="n">
        <v>0</v>
      </c>
      <c r="P263" t="n">
        <v>0</v>
      </c>
      <c r="Q263" t="n">
        <v>0</v>
      </c>
      <c r="R263" s="2" t="inlineStr"/>
    </row>
    <row r="264" ht="15" customHeight="1">
      <c r="A264" t="inlineStr">
        <is>
          <t>A 16651-2021</t>
        </is>
      </c>
      <c r="B264" s="1" t="n">
        <v>44294</v>
      </c>
      <c r="C264" s="1" t="n">
        <v>45586</v>
      </c>
      <c r="D264" t="inlineStr">
        <is>
          <t>VÄSTMANLANDS LÄN</t>
        </is>
      </c>
      <c r="E264" t="inlineStr">
        <is>
          <t>SALA</t>
        </is>
      </c>
      <c r="G264" t="n">
        <v>7.7</v>
      </c>
      <c r="H264" t="n">
        <v>0</v>
      </c>
      <c r="I264" t="n">
        <v>0</v>
      </c>
      <c r="J264" t="n">
        <v>0</v>
      </c>
      <c r="K264" t="n">
        <v>0</v>
      </c>
      <c r="L264" t="n">
        <v>0</v>
      </c>
      <c r="M264" t="n">
        <v>0</v>
      </c>
      <c r="N264" t="n">
        <v>0</v>
      </c>
      <c r="O264" t="n">
        <v>0</v>
      </c>
      <c r="P264" t="n">
        <v>0</v>
      </c>
      <c r="Q264" t="n">
        <v>0</v>
      </c>
      <c r="R264" s="2" t="inlineStr"/>
    </row>
    <row r="265" ht="15" customHeight="1">
      <c r="A265" t="inlineStr">
        <is>
          <t>A 18046-2021</t>
        </is>
      </c>
      <c r="B265" s="1" t="n">
        <v>44301</v>
      </c>
      <c r="C265" s="1" t="n">
        <v>45586</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18189-2021</t>
        </is>
      </c>
      <c r="B266" s="1" t="n">
        <v>44302</v>
      </c>
      <c r="C266" s="1" t="n">
        <v>45586</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18259-2021</t>
        </is>
      </c>
      <c r="B267" s="1" t="n">
        <v>44305</v>
      </c>
      <c r="C267" s="1" t="n">
        <v>45586</v>
      </c>
      <c r="D267" t="inlineStr">
        <is>
          <t>VÄSTMANLANDS LÄN</t>
        </is>
      </c>
      <c r="E267" t="inlineStr">
        <is>
          <t>SALA</t>
        </is>
      </c>
      <c r="G267" t="n">
        <v>0</v>
      </c>
      <c r="H267" t="n">
        <v>0</v>
      </c>
      <c r="I267" t="n">
        <v>0</v>
      </c>
      <c r="J267" t="n">
        <v>0</v>
      </c>
      <c r="K267" t="n">
        <v>0</v>
      </c>
      <c r="L267" t="n">
        <v>0</v>
      </c>
      <c r="M267" t="n">
        <v>0</v>
      </c>
      <c r="N267" t="n">
        <v>0</v>
      </c>
      <c r="O267" t="n">
        <v>0</v>
      </c>
      <c r="P267" t="n">
        <v>0</v>
      </c>
      <c r="Q267" t="n">
        <v>0</v>
      </c>
      <c r="R267" s="2" t="inlineStr"/>
    </row>
    <row r="268" ht="15" customHeight="1">
      <c r="A268" t="inlineStr">
        <is>
          <t>A 18378-2021</t>
        </is>
      </c>
      <c r="B268" s="1" t="n">
        <v>44305</v>
      </c>
      <c r="C268" s="1" t="n">
        <v>45586</v>
      </c>
      <c r="D268" t="inlineStr">
        <is>
          <t>VÄSTMANLANDS LÄN</t>
        </is>
      </c>
      <c r="E268" t="inlineStr">
        <is>
          <t>SALA</t>
        </is>
      </c>
      <c r="F268" t="inlineStr">
        <is>
          <t>Kommuner</t>
        </is>
      </c>
      <c r="G268" t="n">
        <v>0.9</v>
      </c>
      <c r="H268" t="n">
        <v>0</v>
      </c>
      <c r="I268" t="n">
        <v>0</v>
      </c>
      <c r="J268" t="n">
        <v>0</v>
      </c>
      <c r="K268" t="n">
        <v>0</v>
      </c>
      <c r="L268" t="n">
        <v>0</v>
      </c>
      <c r="M268" t="n">
        <v>0</v>
      </c>
      <c r="N268" t="n">
        <v>0</v>
      </c>
      <c r="O268" t="n">
        <v>0</v>
      </c>
      <c r="P268" t="n">
        <v>0</v>
      </c>
      <c r="Q268" t="n">
        <v>0</v>
      </c>
      <c r="R268" s="2" t="inlineStr"/>
    </row>
    <row r="269" ht="15" customHeight="1">
      <c r="A269" t="inlineStr">
        <is>
          <t>A 18385-2021</t>
        </is>
      </c>
      <c r="B269" s="1" t="n">
        <v>44305</v>
      </c>
      <c r="C269" s="1" t="n">
        <v>45586</v>
      </c>
      <c r="D269" t="inlineStr">
        <is>
          <t>VÄSTMANLANDS LÄN</t>
        </is>
      </c>
      <c r="E269" t="inlineStr">
        <is>
          <t>SALA</t>
        </is>
      </c>
      <c r="F269" t="inlineStr">
        <is>
          <t>Kommuner</t>
        </is>
      </c>
      <c r="G269" t="n">
        <v>0.6</v>
      </c>
      <c r="H269" t="n">
        <v>0</v>
      </c>
      <c r="I269" t="n">
        <v>0</v>
      </c>
      <c r="J269" t="n">
        <v>0</v>
      </c>
      <c r="K269" t="n">
        <v>0</v>
      </c>
      <c r="L269" t="n">
        <v>0</v>
      </c>
      <c r="M269" t="n">
        <v>0</v>
      </c>
      <c r="N269" t="n">
        <v>0</v>
      </c>
      <c r="O269" t="n">
        <v>0</v>
      </c>
      <c r="P269" t="n">
        <v>0</v>
      </c>
      <c r="Q269" t="n">
        <v>0</v>
      </c>
      <c r="R269" s="2" t="inlineStr"/>
    </row>
    <row r="270" ht="15" customHeight="1">
      <c r="A270" t="inlineStr">
        <is>
          <t>A 18951-2021</t>
        </is>
      </c>
      <c r="B270" s="1" t="n">
        <v>44308</v>
      </c>
      <c r="C270" s="1" t="n">
        <v>45586</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21458-2021</t>
        </is>
      </c>
      <c r="B271" s="1" t="n">
        <v>44321</v>
      </c>
      <c r="C271" s="1" t="n">
        <v>45586</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21478-2021</t>
        </is>
      </c>
      <c r="B272" s="1" t="n">
        <v>44321</v>
      </c>
      <c r="C272" s="1" t="n">
        <v>45586</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22019-2021</t>
        </is>
      </c>
      <c r="B273" s="1" t="n">
        <v>44323</v>
      </c>
      <c r="C273" s="1" t="n">
        <v>45586</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22026-2021</t>
        </is>
      </c>
      <c r="B274" s="1" t="n">
        <v>44323</v>
      </c>
      <c r="C274" s="1" t="n">
        <v>45586</v>
      </c>
      <c r="D274" t="inlineStr">
        <is>
          <t>VÄSTMANLANDS LÄN</t>
        </is>
      </c>
      <c r="E274" t="inlineStr">
        <is>
          <t>SALA</t>
        </is>
      </c>
      <c r="G274" t="n">
        <v>2.9</v>
      </c>
      <c r="H274" t="n">
        <v>0</v>
      </c>
      <c r="I274" t="n">
        <v>0</v>
      </c>
      <c r="J274" t="n">
        <v>0</v>
      </c>
      <c r="K274" t="n">
        <v>0</v>
      </c>
      <c r="L274" t="n">
        <v>0</v>
      </c>
      <c r="M274" t="n">
        <v>0</v>
      </c>
      <c r="N274" t="n">
        <v>0</v>
      </c>
      <c r="O274" t="n">
        <v>0</v>
      </c>
      <c r="P274" t="n">
        <v>0</v>
      </c>
      <c r="Q274" t="n">
        <v>0</v>
      </c>
      <c r="R274" s="2" t="inlineStr"/>
    </row>
    <row r="275" ht="15" customHeight="1">
      <c r="A275" t="inlineStr">
        <is>
          <t>A 22017-2021</t>
        </is>
      </c>
      <c r="B275" s="1" t="n">
        <v>44323</v>
      </c>
      <c r="C275" s="1" t="n">
        <v>45586</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22362-2021</t>
        </is>
      </c>
      <c r="B276" s="1" t="n">
        <v>44326</v>
      </c>
      <c r="C276" s="1" t="n">
        <v>45586</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23696-2021</t>
        </is>
      </c>
      <c r="B277" s="1" t="n">
        <v>44334</v>
      </c>
      <c r="C277" s="1" t="n">
        <v>45586</v>
      </c>
      <c r="D277" t="inlineStr">
        <is>
          <t>VÄSTMANLANDS LÄN</t>
        </is>
      </c>
      <c r="E277" t="inlineStr">
        <is>
          <t>SALA</t>
        </is>
      </c>
      <c r="G277" t="n">
        <v>2.4</v>
      </c>
      <c r="H277" t="n">
        <v>0</v>
      </c>
      <c r="I277" t="n">
        <v>0</v>
      </c>
      <c r="J277" t="n">
        <v>0</v>
      </c>
      <c r="K277" t="n">
        <v>0</v>
      </c>
      <c r="L277" t="n">
        <v>0</v>
      </c>
      <c r="M277" t="n">
        <v>0</v>
      </c>
      <c r="N277" t="n">
        <v>0</v>
      </c>
      <c r="O277" t="n">
        <v>0</v>
      </c>
      <c r="P277" t="n">
        <v>0</v>
      </c>
      <c r="Q277" t="n">
        <v>0</v>
      </c>
      <c r="R277" s="2" t="inlineStr"/>
    </row>
    <row r="278" ht="15" customHeight="1">
      <c r="A278" t="inlineStr">
        <is>
          <t>A 23693-2021</t>
        </is>
      </c>
      <c r="B278" s="1" t="n">
        <v>44334</v>
      </c>
      <c r="C278" s="1" t="n">
        <v>45586</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24740-2021</t>
        </is>
      </c>
      <c r="B279" s="1" t="n">
        <v>44340</v>
      </c>
      <c r="C279" s="1" t="n">
        <v>45586</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24823-2021</t>
        </is>
      </c>
      <c r="B280" s="1" t="n">
        <v>44340</v>
      </c>
      <c r="C280" s="1" t="n">
        <v>45586</v>
      </c>
      <c r="D280" t="inlineStr">
        <is>
          <t>VÄSTMANLANDS LÄN</t>
        </is>
      </c>
      <c r="E280" t="inlineStr">
        <is>
          <t>SALA</t>
        </is>
      </c>
      <c r="G280" t="n">
        <v>4.9</v>
      </c>
      <c r="H280" t="n">
        <v>0</v>
      </c>
      <c r="I280" t="n">
        <v>0</v>
      </c>
      <c r="J280" t="n">
        <v>0</v>
      </c>
      <c r="K280" t="n">
        <v>0</v>
      </c>
      <c r="L280" t="n">
        <v>0</v>
      </c>
      <c r="M280" t="n">
        <v>0</v>
      </c>
      <c r="N280" t="n">
        <v>0</v>
      </c>
      <c r="O280" t="n">
        <v>0</v>
      </c>
      <c r="P280" t="n">
        <v>0</v>
      </c>
      <c r="Q280" t="n">
        <v>0</v>
      </c>
      <c r="R280" s="2" t="inlineStr"/>
    </row>
    <row r="281" ht="15" customHeight="1">
      <c r="A281" t="inlineStr">
        <is>
          <t>A 24755-2021</t>
        </is>
      </c>
      <c r="B281" s="1" t="n">
        <v>44340</v>
      </c>
      <c r="C281" s="1" t="n">
        <v>45586</v>
      </c>
      <c r="D281" t="inlineStr">
        <is>
          <t>VÄSTMANLANDS LÄN</t>
        </is>
      </c>
      <c r="E281" t="inlineStr">
        <is>
          <t>SALA</t>
        </is>
      </c>
      <c r="G281" t="n">
        <v>1.2</v>
      </c>
      <c r="H281" t="n">
        <v>0</v>
      </c>
      <c r="I281" t="n">
        <v>0</v>
      </c>
      <c r="J281" t="n">
        <v>0</v>
      </c>
      <c r="K281" t="n">
        <v>0</v>
      </c>
      <c r="L281" t="n">
        <v>0</v>
      </c>
      <c r="M281" t="n">
        <v>0</v>
      </c>
      <c r="N281" t="n">
        <v>0</v>
      </c>
      <c r="O281" t="n">
        <v>0</v>
      </c>
      <c r="P281" t="n">
        <v>0</v>
      </c>
      <c r="Q281" t="n">
        <v>0</v>
      </c>
      <c r="R281" s="2" t="inlineStr"/>
    </row>
    <row r="282" ht="15" customHeight="1">
      <c r="A282" t="inlineStr">
        <is>
          <t>A 26579-2021</t>
        </is>
      </c>
      <c r="B282" s="1" t="n">
        <v>44348</v>
      </c>
      <c r="C282" s="1" t="n">
        <v>45586</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26570-2021</t>
        </is>
      </c>
      <c r="B283" s="1" t="n">
        <v>44348</v>
      </c>
      <c r="C283" s="1" t="n">
        <v>45586</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26575-2021</t>
        </is>
      </c>
      <c r="B284" s="1" t="n">
        <v>44348</v>
      </c>
      <c r="C284" s="1" t="n">
        <v>45586</v>
      </c>
      <c r="D284" t="inlineStr">
        <is>
          <t>VÄSTMANLANDS LÄN</t>
        </is>
      </c>
      <c r="E284" t="inlineStr">
        <is>
          <t>SALA</t>
        </is>
      </c>
      <c r="G284" t="n">
        <v>2.7</v>
      </c>
      <c r="H284" t="n">
        <v>0</v>
      </c>
      <c r="I284" t="n">
        <v>0</v>
      </c>
      <c r="J284" t="n">
        <v>0</v>
      </c>
      <c r="K284" t="n">
        <v>0</v>
      </c>
      <c r="L284" t="n">
        <v>0</v>
      </c>
      <c r="M284" t="n">
        <v>0</v>
      </c>
      <c r="N284" t="n">
        <v>0</v>
      </c>
      <c r="O284" t="n">
        <v>0</v>
      </c>
      <c r="P284" t="n">
        <v>0</v>
      </c>
      <c r="Q284" t="n">
        <v>0</v>
      </c>
      <c r="R284" s="2" t="inlineStr"/>
    </row>
    <row r="285" ht="15" customHeight="1">
      <c r="A285" t="inlineStr">
        <is>
          <t>A 28425-2021</t>
        </is>
      </c>
      <c r="B285" s="1" t="n">
        <v>44356</v>
      </c>
      <c r="C285" s="1" t="n">
        <v>45586</v>
      </c>
      <c r="D285" t="inlineStr">
        <is>
          <t>VÄSTMANLANDS LÄN</t>
        </is>
      </c>
      <c r="E285" t="inlineStr">
        <is>
          <t>SALA</t>
        </is>
      </c>
      <c r="G285" t="n">
        <v>3.7</v>
      </c>
      <c r="H285" t="n">
        <v>0</v>
      </c>
      <c r="I285" t="n">
        <v>0</v>
      </c>
      <c r="J285" t="n">
        <v>0</v>
      </c>
      <c r="K285" t="n">
        <v>0</v>
      </c>
      <c r="L285" t="n">
        <v>0</v>
      </c>
      <c r="M285" t="n">
        <v>0</v>
      </c>
      <c r="N285" t="n">
        <v>0</v>
      </c>
      <c r="O285" t="n">
        <v>0</v>
      </c>
      <c r="P285" t="n">
        <v>0</v>
      </c>
      <c r="Q285" t="n">
        <v>0</v>
      </c>
      <c r="R285" s="2" t="inlineStr"/>
    </row>
    <row r="286" ht="15" customHeight="1">
      <c r="A286" t="inlineStr">
        <is>
          <t>A 30170-2021</t>
        </is>
      </c>
      <c r="B286" s="1" t="n">
        <v>44363</v>
      </c>
      <c r="C286" s="1" t="n">
        <v>45586</v>
      </c>
      <c r="D286" t="inlineStr">
        <is>
          <t>VÄSTMANLANDS LÄN</t>
        </is>
      </c>
      <c r="E286" t="inlineStr">
        <is>
          <t>SALA</t>
        </is>
      </c>
      <c r="G286" t="n">
        <v>7.2</v>
      </c>
      <c r="H286" t="n">
        <v>0</v>
      </c>
      <c r="I286" t="n">
        <v>0</v>
      </c>
      <c r="J286" t="n">
        <v>0</v>
      </c>
      <c r="K286" t="n">
        <v>0</v>
      </c>
      <c r="L286" t="n">
        <v>0</v>
      </c>
      <c r="M286" t="n">
        <v>0</v>
      </c>
      <c r="N286" t="n">
        <v>0</v>
      </c>
      <c r="O286" t="n">
        <v>0</v>
      </c>
      <c r="P286" t="n">
        <v>0</v>
      </c>
      <c r="Q286" t="n">
        <v>0</v>
      </c>
      <c r="R286" s="2" t="inlineStr"/>
    </row>
    <row r="287" ht="15" customHeight="1">
      <c r="A287" t="inlineStr">
        <is>
          <t>A 30859-2021</t>
        </is>
      </c>
      <c r="B287" s="1" t="n">
        <v>44365</v>
      </c>
      <c r="C287" s="1" t="n">
        <v>45586</v>
      </c>
      <c r="D287" t="inlineStr">
        <is>
          <t>VÄSTMANLANDS LÄN</t>
        </is>
      </c>
      <c r="E287" t="inlineStr">
        <is>
          <t>SALA</t>
        </is>
      </c>
      <c r="G287" t="n">
        <v>3.1</v>
      </c>
      <c r="H287" t="n">
        <v>0</v>
      </c>
      <c r="I287" t="n">
        <v>0</v>
      </c>
      <c r="J287" t="n">
        <v>0</v>
      </c>
      <c r="K287" t="n">
        <v>0</v>
      </c>
      <c r="L287" t="n">
        <v>0</v>
      </c>
      <c r="M287" t="n">
        <v>0</v>
      </c>
      <c r="N287" t="n">
        <v>0</v>
      </c>
      <c r="O287" t="n">
        <v>0</v>
      </c>
      <c r="P287" t="n">
        <v>0</v>
      </c>
      <c r="Q287" t="n">
        <v>0</v>
      </c>
      <c r="R287" s="2" t="inlineStr"/>
    </row>
    <row r="288" ht="15" customHeight="1">
      <c r="A288" t="inlineStr">
        <is>
          <t>A 30904-2021</t>
        </is>
      </c>
      <c r="B288" s="1" t="n">
        <v>44365</v>
      </c>
      <c r="C288" s="1" t="n">
        <v>45586</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30915-2021</t>
        </is>
      </c>
      <c r="B289" s="1" t="n">
        <v>44365</v>
      </c>
      <c r="C289" s="1" t="n">
        <v>45586</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30925-2021</t>
        </is>
      </c>
      <c r="B290" s="1" t="n">
        <v>44365</v>
      </c>
      <c r="C290" s="1" t="n">
        <v>45586</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30918-2021</t>
        </is>
      </c>
      <c r="B291" s="1" t="n">
        <v>44365</v>
      </c>
      <c r="C291" s="1" t="n">
        <v>45586</v>
      </c>
      <c r="D291" t="inlineStr">
        <is>
          <t>VÄSTMANLANDS LÄN</t>
        </is>
      </c>
      <c r="E291" t="inlineStr">
        <is>
          <t>SALA</t>
        </is>
      </c>
      <c r="G291" t="n">
        <v>0.7</v>
      </c>
      <c r="H291" t="n">
        <v>0</v>
      </c>
      <c r="I291" t="n">
        <v>0</v>
      </c>
      <c r="J291" t="n">
        <v>0</v>
      </c>
      <c r="K291" t="n">
        <v>0</v>
      </c>
      <c r="L291" t="n">
        <v>0</v>
      </c>
      <c r="M291" t="n">
        <v>0</v>
      </c>
      <c r="N291" t="n">
        <v>0</v>
      </c>
      <c r="O291" t="n">
        <v>0</v>
      </c>
      <c r="P291" t="n">
        <v>0</v>
      </c>
      <c r="Q291" t="n">
        <v>0</v>
      </c>
      <c r="R291" s="2" t="inlineStr"/>
    </row>
    <row r="292" ht="15" customHeight="1">
      <c r="A292" t="inlineStr">
        <is>
          <t>A 31072-2021</t>
        </is>
      </c>
      <c r="B292" s="1" t="n">
        <v>44368</v>
      </c>
      <c r="C292" s="1" t="n">
        <v>45586</v>
      </c>
      <c r="D292" t="inlineStr">
        <is>
          <t>VÄSTMANLANDS LÄN</t>
        </is>
      </c>
      <c r="E292" t="inlineStr">
        <is>
          <t>SALA</t>
        </is>
      </c>
      <c r="G292" t="n">
        <v>1.1</v>
      </c>
      <c r="H292" t="n">
        <v>0</v>
      </c>
      <c r="I292" t="n">
        <v>0</v>
      </c>
      <c r="J292" t="n">
        <v>0</v>
      </c>
      <c r="K292" t="n">
        <v>0</v>
      </c>
      <c r="L292" t="n">
        <v>0</v>
      </c>
      <c r="M292" t="n">
        <v>0</v>
      </c>
      <c r="N292" t="n">
        <v>0</v>
      </c>
      <c r="O292" t="n">
        <v>0</v>
      </c>
      <c r="P292" t="n">
        <v>0</v>
      </c>
      <c r="Q292" t="n">
        <v>0</v>
      </c>
      <c r="R292" s="2" t="inlineStr"/>
    </row>
    <row r="293" ht="15" customHeight="1">
      <c r="A293" t="inlineStr">
        <is>
          <t>A 31082-2021</t>
        </is>
      </c>
      <c r="B293" s="1" t="n">
        <v>44368</v>
      </c>
      <c r="C293" s="1" t="n">
        <v>45586</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31452-2021</t>
        </is>
      </c>
      <c r="B294" s="1" t="n">
        <v>44369</v>
      </c>
      <c r="C294" s="1" t="n">
        <v>45586</v>
      </c>
      <c r="D294" t="inlineStr">
        <is>
          <t>VÄSTMANLANDS LÄN</t>
        </is>
      </c>
      <c r="E294" t="inlineStr">
        <is>
          <t>SALA</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31470-2021</t>
        </is>
      </c>
      <c r="B295" s="1" t="n">
        <v>44369</v>
      </c>
      <c r="C295" s="1" t="n">
        <v>45586</v>
      </c>
      <c r="D295" t="inlineStr">
        <is>
          <t>VÄSTMANLANDS LÄN</t>
        </is>
      </c>
      <c r="E295" t="inlineStr">
        <is>
          <t>SALA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31904-2021</t>
        </is>
      </c>
      <c r="B296" s="1" t="n">
        <v>44370</v>
      </c>
      <c r="C296" s="1" t="n">
        <v>45586</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32610-2021</t>
        </is>
      </c>
      <c r="B297" s="1" t="n">
        <v>44375</v>
      </c>
      <c r="C297" s="1" t="n">
        <v>45586</v>
      </c>
      <c r="D297" t="inlineStr">
        <is>
          <t>VÄSTMANLANDS LÄN</t>
        </is>
      </c>
      <c r="E297" t="inlineStr">
        <is>
          <t>SALA</t>
        </is>
      </c>
      <c r="F297" t="inlineStr">
        <is>
          <t>Sveaskog</t>
        </is>
      </c>
      <c r="G297" t="n">
        <v>4.1</v>
      </c>
      <c r="H297" t="n">
        <v>0</v>
      </c>
      <c r="I297" t="n">
        <v>0</v>
      </c>
      <c r="J297" t="n">
        <v>0</v>
      </c>
      <c r="K297" t="n">
        <v>0</v>
      </c>
      <c r="L297" t="n">
        <v>0</v>
      </c>
      <c r="M297" t="n">
        <v>0</v>
      </c>
      <c r="N297" t="n">
        <v>0</v>
      </c>
      <c r="O297" t="n">
        <v>0</v>
      </c>
      <c r="P297" t="n">
        <v>0</v>
      </c>
      <c r="Q297" t="n">
        <v>0</v>
      </c>
      <c r="R297" s="2" t="inlineStr"/>
    </row>
    <row r="298" ht="15" customHeight="1">
      <c r="A298" t="inlineStr">
        <is>
          <t>A 33762-2021</t>
        </is>
      </c>
      <c r="B298" s="1" t="n">
        <v>44378</v>
      </c>
      <c r="C298" s="1" t="n">
        <v>45586</v>
      </c>
      <c r="D298" t="inlineStr">
        <is>
          <t>VÄSTMANLANDS LÄN</t>
        </is>
      </c>
      <c r="E298" t="inlineStr">
        <is>
          <t>SALA</t>
        </is>
      </c>
      <c r="G298" t="n">
        <v>3.4</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45586</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35207-2021</t>
        </is>
      </c>
      <c r="B300" s="1" t="n">
        <v>44384</v>
      </c>
      <c r="C300" s="1" t="n">
        <v>45586</v>
      </c>
      <c r="D300" t="inlineStr">
        <is>
          <t>VÄSTMANLANDS LÄN</t>
        </is>
      </c>
      <c r="E300" t="inlineStr">
        <is>
          <t>SALA</t>
        </is>
      </c>
      <c r="G300" t="n">
        <v>2.2</v>
      </c>
      <c r="H300" t="n">
        <v>0</v>
      </c>
      <c r="I300" t="n">
        <v>0</v>
      </c>
      <c r="J300" t="n">
        <v>0</v>
      </c>
      <c r="K300" t="n">
        <v>0</v>
      </c>
      <c r="L300" t="n">
        <v>0</v>
      </c>
      <c r="M300" t="n">
        <v>0</v>
      </c>
      <c r="N300" t="n">
        <v>0</v>
      </c>
      <c r="O300" t="n">
        <v>0</v>
      </c>
      <c r="P300" t="n">
        <v>0</v>
      </c>
      <c r="Q300" t="n">
        <v>0</v>
      </c>
      <c r="R300" s="2" t="inlineStr"/>
    </row>
    <row r="301" ht="15" customHeight="1">
      <c r="A301" t="inlineStr">
        <is>
          <t>A 35211-2021</t>
        </is>
      </c>
      <c r="B301" s="1" t="n">
        <v>44384</v>
      </c>
      <c r="C301" s="1" t="n">
        <v>45586</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35451-2021</t>
        </is>
      </c>
      <c r="B302" s="1" t="n">
        <v>44384</v>
      </c>
      <c r="C302" s="1" t="n">
        <v>45586</v>
      </c>
      <c r="D302" t="inlineStr">
        <is>
          <t>VÄSTMANLANDS LÄN</t>
        </is>
      </c>
      <c r="E302" t="inlineStr">
        <is>
          <t>SALA</t>
        </is>
      </c>
      <c r="G302" t="n">
        <v>2.5</v>
      </c>
      <c r="H302" t="n">
        <v>0</v>
      </c>
      <c r="I302" t="n">
        <v>0</v>
      </c>
      <c r="J302" t="n">
        <v>0</v>
      </c>
      <c r="K302" t="n">
        <v>0</v>
      </c>
      <c r="L302" t="n">
        <v>0</v>
      </c>
      <c r="M302" t="n">
        <v>0</v>
      </c>
      <c r="N302" t="n">
        <v>0</v>
      </c>
      <c r="O302" t="n">
        <v>0</v>
      </c>
      <c r="P302" t="n">
        <v>0</v>
      </c>
      <c r="Q302" t="n">
        <v>0</v>
      </c>
      <c r="R302" s="2" t="inlineStr"/>
    </row>
    <row r="303" ht="15" customHeight="1">
      <c r="A303" t="inlineStr">
        <is>
          <t>A 35487-2021</t>
        </is>
      </c>
      <c r="B303" s="1" t="n">
        <v>44384</v>
      </c>
      <c r="C303" s="1" t="n">
        <v>45586</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35482-2021</t>
        </is>
      </c>
      <c r="B304" s="1" t="n">
        <v>44384</v>
      </c>
      <c r="C304" s="1" t="n">
        <v>45586</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35921-2021</t>
        </is>
      </c>
      <c r="B305" s="1" t="n">
        <v>44388</v>
      </c>
      <c r="C305" s="1" t="n">
        <v>45586</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37703-2021</t>
        </is>
      </c>
      <c r="B306" s="1" t="n">
        <v>44400</v>
      </c>
      <c r="C306" s="1" t="n">
        <v>45586</v>
      </c>
      <c r="D306" t="inlineStr">
        <is>
          <t>VÄSTMANLANDS LÄN</t>
        </is>
      </c>
      <c r="E306" t="inlineStr">
        <is>
          <t>SALA</t>
        </is>
      </c>
      <c r="G306" t="n">
        <v>2.7</v>
      </c>
      <c r="H306" t="n">
        <v>0</v>
      </c>
      <c r="I306" t="n">
        <v>0</v>
      </c>
      <c r="J306" t="n">
        <v>0</v>
      </c>
      <c r="K306" t="n">
        <v>0</v>
      </c>
      <c r="L306" t="n">
        <v>0</v>
      </c>
      <c r="M306" t="n">
        <v>0</v>
      </c>
      <c r="N306" t="n">
        <v>0</v>
      </c>
      <c r="O306" t="n">
        <v>0</v>
      </c>
      <c r="P306" t="n">
        <v>0</v>
      </c>
      <c r="Q306" t="n">
        <v>0</v>
      </c>
      <c r="R306" s="2" t="inlineStr"/>
    </row>
    <row r="307" ht="15" customHeight="1">
      <c r="A307" t="inlineStr">
        <is>
          <t>A 37856-2021</t>
        </is>
      </c>
      <c r="B307" s="1" t="n">
        <v>44403</v>
      </c>
      <c r="C307" s="1" t="n">
        <v>45586</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37872-2021</t>
        </is>
      </c>
      <c r="B308" s="1" t="n">
        <v>44403</v>
      </c>
      <c r="C308" s="1" t="n">
        <v>45586</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37881-2021</t>
        </is>
      </c>
      <c r="B309" s="1" t="n">
        <v>44403</v>
      </c>
      <c r="C309" s="1" t="n">
        <v>45586</v>
      </c>
      <c r="D309" t="inlineStr">
        <is>
          <t>VÄSTMANLANDS LÄN</t>
        </is>
      </c>
      <c r="E309" t="inlineStr">
        <is>
          <t>SALA</t>
        </is>
      </c>
      <c r="G309" t="n">
        <v>4.6</v>
      </c>
      <c r="H309" t="n">
        <v>0</v>
      </c>
      <c r="I309" t="n">
        <v>0</v>
      </c>
      <c r="J309" t="n">
        <v>0</v>
      </c>
      <c r="K309" t="n">
        <v>0</v>
      </c>
      <c r="L309" t="n">
        <v>0</v>
      </c>
      <c r="M309" t="n">
        <v>0</v>
      </c>
      <c r="N309" t="n">
        <v>0</v>
      </c>
      <c r="O309" t="n">
        <v>0</v>
      </c>
      <c r="P309" t="n">
        <v>0</v>
      </c>
      <c r="Q309" t="n">
        <v>0</v>
      </c>
      <c r="R309" s="2" t="inlineStr"/>
    </row>
    <row r="310" ht="15" customHeight="1">
      <c r="A310" t="inlineStr">
        <is>
          <t>A 38195-2021</t>
        </is>
      </c>
      <c r="B310" s="1" t="n">
        <v>44405</v>
      </c>
      <c r="C310" s="1" t="n">
        <v>45586</v>
      </c>
      <c r="D310" t="inlineStr">
        <is>
          <t>VÄSTMANLANDS LÄN</t>
        </is>
      </c>
      <c r="E310" t="inlineStr">
        <is>
          <t>SALA</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38634-2021</t>
        </is>
      </c>
      <c r="B311" s="1" t="n">
        <v>44410</v>
      </c>
      <c r="C311" s="1" t="n">
        <v>45586</v>
      </c>
      <c r="D311" t="inlineStr">
        <is>
          <t>VÄSTMANLANDS LÄN</t>
        </is>
      </c>
      <c r="E311" t="inlineStr">
        <is>
          <t>SALA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39439-2021</t>
        </is>
      </c>
      <c r="B312" s="1" t="n">
        <v>44414</v>
      </c>
      <c r="C312" s="1" t="n">
        <v>45586</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39807-2021</t>
        </is>
      </c>
      <c r="B313" s="1" t="n">
        <v>44417</v>
      </c>
      <c r="C313" s="1" t="n">
        <v>45586</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40157-2021</t>
        </is>
      </c>
      <c r="B314" s="1" t="n">
        <v>44418</v>
      </c>
      <c r="C314" s="1" t="n">
        <v>45586</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40153-2021</t>
        </is>
      </c>
      <c r="B315" s="1" t="n">
        <v>44418</v>
      </c>
      <c r="C315" s="1" t="n">
        <v>45586</v>
      </c>
      <c r="D315" t="inlineStr">
        <is>
          <t>VÄSTMANLANDS LÄN</t>
        </is>
      </c>
      <c r="E315" t="inlineStr">
        <is>
          <t>SALA</t>
        </is>
      </c>
      <c r="G315" t="n">
        <v>2.8</v>
      </c>
      <c r="H315" t="n">
        <v>0</v>
      </c>
      <c r="I315" t="n">
        <v>0</v>
      </c>
      <c r="J315" t="n">
        <v>0</v>
      </c>
      <c r="K315" t="n">
        <v>0</v>
      </c>
      <c r="L315" t="n">
        <v>0</v>
      </c>
      <c r="M315" t="n">
        <v>0</v>
      </c>
      <c r="N315" t="n">
        <v>0</v>
      </c>
      <c r="O315" t="n">
        <v>0</v>
      </c>
      <c r="P315" t="n">
        <v>0</v>
      </c>
      <c r="Q315" t="n">
        <v>0</v>
      </c>
      <c r="R315" s="2" t="inlineStr"/>
    </row>
    <row r="316" ht="15" customHeight="1">
      <c r="A316" t="inlineStr">
        <is>
          <t>A 40398-2021</t>
        </is>
      </c>
      <c r="B316" s="1" t="n">
        <v>44419</v>
      </c>
      <c r="C316" s="1" t="n">
        <v>45586</v>
      </c>
      <c r="D316" t="inlineStr">
        <is>
          <t>VÄSTMANLANDS LÄN</t>
        </is>
      </c>
      <c r="E316" t="inlineStr">
        <is>
          <t>SALA</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40659-2021</t>
        </is>
      </c>
      <c r="B317" s="1" t="n">
        <v>44420</v>
      </c>
      <c r="C317" s="1" t="n">
        <v>45586</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40871-2021</t>
        </is>
      </c>
      <c r="B318" s="1" t="n">
        <v>44421</v>
      </c>
      <c r="C318" s="1" t="n">
        <v>45586</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41292-2021</t>
        </is>
      </c>
      <c r="B319" s="1" t="n">
        <v>44424</v>
      </c>
      <c r="C319" s="1" t="n">
        <v>45586</v>
      </c>
      <c r="D319" t="inlineStr">
        <is>
          <t>VÄSTMANLANDS LÄN</t>
        </is>
      </c>
      <c r="E319" t="inlineStr">
        <is>
          <t>SALA</t>
        </is>
      </c>
      <c r="G319" t="n">
        <v>0.3</v>
      </c>
      <c r="H319" t="n">
        <v>0</v>
      </c>
      <c r="I319" t="n">
        <v>0</v>
      </c>
      <c r="J319" t="n">
        <v>0</v>
      </c>
      <c r="K319" t="n">
        <v>0</v>
      </c>
      <c r="L319" t="n">
        <v>0</v>
      </c>
      <c r="M319" t="n">
        <v>0</v>
      </c>
      <c r="N319" t="n">
        <v>0</v>
      </c>
      <c r="O319" t="n">
        <v>0</v>
      </c>
      <c r="P319" t="n">
        <v>0</v>
      </c>
      <c r="Q319" t="n">
        <v>0</v>
      </c>
      <c r="R319" s="2" t="inlineStr"/>
    </row>
    <row r="320" ht="15" customHeight="1">
      <c r="A320" t="inlineStr">
        <is>
          <t>A 41583-2021</t>
        </is>
      </c>
      <c r="B320" s="1" t="n">
        <v>44425</v>
      </c>
      <c r="C320" s="1" t="n">
        <v>45586</v>
      </c>
      <c r="D320" t="inlineStr">
        <is>
          <t>VÄSTMANLANDS LÄN</t>
        </is>
      </c>
      <c r="E320" t="inlineStr">
        <is>
          <t>SALA</t>
        </is>
      </c>
      <c r="G320" t="n">
        <v>5</v>
      </c>
      <c r="H320" t="n">
        <v>0</v>
      </c>
      <c r="I320" t="n">
        <v>0</v>
      </c>
      <c r="J320" t="n">
        <v>0</v>
      </c>
      <c r="K320" t="n">
        <v>0</v>
      </c>
      <c r="L320" t="n">
        <v>0</v>
      </c>
      <c r="M320" t="n">
        <v>0</v>
      </c>
      <c r="N320" t="n">
        <v>0</v>
      </c>
      <c r="O320" t="n">
        <v>0</v>
      </c>
      <c r="P320" t="n">
        <v>0</v>
      </c>
      <c r="Q320" t="n">
        <v>0</v>
      </c>
      <c r="R320" s="2" t="inlineStr"/>
    </row>
    <row r="321" ht="15" customHeight="1">
      <c r="A321" t="inlineStr">
        <is>
          <t>A 43292-2021</t>
        </is>
      </c>
      <c r="B321" s="1" t="n">
        <v>44432</v>
      </c>
      <c r="C321" s="1" t="n">
        <v>45586</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43509-2021</t>
        </is>
      </c>
      <c r="B322" s="1" t="n">
        <v>44433</v>
      </c>
      <c r="C322" s="1" t="n">
        <v>45586</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46279-2021</t>
        </is>
      </c>
      <c r="B323" s="1" t="n">
        <v>44442</v>
      </c>
      <c r="C323" s="1" t="n">
        <v>45586</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47701-2021</t>
        </is>
      </c>
      <c r="B324" s="1" t="n">
        <v>44448</v>
      </c>
      <c r="C324" s="1" t="n">
        <v>45586</v>
      </c>
      <c r="D324" t="inlineStr">
        <is>
          <t>VÄSTMANLANDS LÄN</t>
        </is>
      </c>
      <c r="E324" t="inlineStr">
        <is>
          <t>SALA</t>
        </is>
      </c>
      <c r="G324" t="n">
        <v>2.3</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45586</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48400-2021</t>
        </is>
      </c>
      <c r="B326" s="1" t="n">
        <v>44449</v>
      </c>
      <c r="C326" s="1" t="n">
        <v>45586</v>
      </c>
      <c r="D326" t="inlineStr">
        <is>
          <t>VÄSTMANLANDS LÄN</t>
        </is>
      </c>
      <c r="E326" t="inlineStr">
        <is>
          <t>SALA</t>
        </is>
      </c>
      <c r="G326" t="n">
        <v>3</v>
      </c>
      <c r="H326" t="n">
        <v>0</v>
      </c>
      <c r="I326" t="n">
        <v>0</v>
      </c>
      <c r="J326" t="n">
        <v>0</v>
      </c>
      <c r="K326" t="n">
        <v>0</v>
      </c>
      <c r="L326" t="n">
        <v>0</v>
      </c>
      <c r="M326" t="n">
        <v>0</v>
      </c>
      <c r="N326" t="n">
        <v>0</v>
      </c>
      <c r="O326" t="n">
        <v>0</v>
      </c>
      <c r="P326" t="n">
        <v>0</v>
      </c>
      <c r="Q326" t="n">
        <v>0</v>
      </c>
      <c r="R326" s="2" t="inlineStr"/>
    </row>
    <row r="327" ht="15" customHeight="1">
      <c r="A327" t="inlineStr">
        <is>
          <t>A 50962-2021</t>
        </is>
      </c>
      <c r="B327" s="1" t="n">
        <v>44460</v>
      </c>
      <c r="C327" s="1" t="n">
        <v>45586</v>
      </c>
      <c r="D327" t="inlineStr">
        <is>
          <t>VÄSTMANLANDS LÄN</t>
        </is>
      </c>
      <c r="E327" t="inlineStr">
        <is>
          <t>SALA</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54030-2021</t>
        </is>
      </c>
      <c r="B328" s="1" t="n">
        <v>44470</v>
      </c>
      <c r="C328" s="1" t="n">
        <v>45586</v>
      </c>
      <c r="D328" t="inlineStr">
        <is>
          <t>VÄSTMANLANDS LÄN</t>
        </is>
      </c>
      <c r="E328" t="inlineStr">
        <is>
          <t>SALA</t>
        </is>
      </c>
      <c r="G328" t="n">
        <v>4.1</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45586</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57049-2021</t>
        </is>
      </c>
      <c r="B330" s="1" t="n">
        <v>44482</v>
      </c>
      <c r="C330" s="1" t="n">
        <v>45586</v>
      </c>
      <c r="D330" t="inlineStr">
        <is>
          <t>VÄSTMANLANDS LÄN</t>
        </is>
      </c>
      <c r="E330" t="inlineStr">
        <is>
          <t>SALA</t>
        </is>
      </c>
      <c r="G330" t="n">
        <v>1.2</v>
      </c>
      <c r="H330" t="n">
        <v>0</v>
      </c>
      <c r="I330" t="n">
        <v>0</v>
      </c>
      <c r="J330" t="n">
        <v>0</v>
      </c>
      <c r="K330" t="n">
        <v>0</v>
      </c>
      <c r="L330" t="n">
        <v>0</v>
      </c>
      <c r="M330" t="n">
        <v>0</v>
      </c>
      <c r="N330" t="n">
        <v>0</v>
      </c>
      <c r="O330" t="n">
        <v>0</v>
      </c>
      <c r="P330" t="n">
        <v>0</v>
      </c>
      <c r="Q330" t="n">
        <v>0</v>
      </c>
      <c r="R330" s="2" t="inlineStr"/>
    </row>
    <row r="331" ht="15" customHeight="1">
      <c r="A331" t="inlineStr">
        <is>
          <t>A 57056-2021</t>
        </is>
      </c>
      <c r="B331" s="1" t="n">
        <v>44482</v>
      </c>
      <c r="C331" s="1" t="n">
        <v>45586</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57000-2021</t>
        </is>
      </c>
      <c r="B332" s="1" t="n">
        <v>44482</v>
      </c>
      <c r="C332" s="1" t="n">
        <v>45586</v>
      </c>
      <c r="D332" t="inlineStr">
        <is>
          <t>VÄSTMANLANDS LÄN</t>
        </is>
      </c>
      <c r="E332" t="inlineStr">
        <is>
          <t>SALA</t>
        </is>
      </c>
      <c r="G332" t="n">
        <v>0.5</v>
      </c>
      <c r="H332" t="n">
        <v>0</v>
      </c>
      <c r="I332" t="n">
        <v>0</v>
      </c>
      <c r="J332" t="n">
        <v>0</v>
      </c>
      <c r="K332" t="n">
        <v>0</v>
      </c>
      <c r="L332" t="n">
        <v>0</v>
      </c>
      <c r="M332" t="n">
        <v>0</v>
      </c>
      <c r="N332" t="n">
        <v>0</v>
      </c>
      <c r="O332" t="n">
        <v>0</v>
      </c>
      <c r="P332" t="n">
        <v>0</v>
      </c>
      <c r="Q332" t="n">
        <v>0</v>
      </c>
      <c r="R332" s="2" t="inlineStr"/>
    </row>
    <row r="333" ht="15" customHeight="1">
      <c r="A333" t="inlineStr">
        <is>
          <t>A 57131-2021</t>
        </is>
      </c>
      <c r="B333" s="1" t="n">
        <v>44482</v>
      </c>
      <c r="C333" s="1" t="n">
        <v>45586</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57517-2021</t>
        </is>
      </c>
      <c r="B334" s="1" t="n">
        <v>44483</v>
      </c>
      <c r="C334" s="1" t="n">
        <v>45586</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57596-2021</t>
        </is>
      </c>
      <c r="B335" s="1" t="n">
        <v>44483</v>
      </c>
      <c r="C335" s="1" t="n">
        <v>45586</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58107-2021</t>
        </is>
      </c>
      <c r="B336" s="1" t="n">
        <v>44487</v>
      </c>
      <c r="C336" s="1" t="n">
        <v>45586</v>
      </c>
      <c r="D336" t="inlineStr">
        <is>
          <t>VÄSTMANLANDS LÄN</t>
        </is>
      </c>
      <c r="E336" t="inlineStr">
        <is>
          <t>SALA</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58106-2021</t>
        </is>
      </c>
      <c r="B337" s="1" t="n">
        <v>44487</v>
      </c>
      <c r="C337" s="1" t="n">
        <v>45586</v>
      </c>
      <c r="D337" t="inlineStr">
        <is>
          <t>VÄSTMANLANDS LÄN</t>
        </is>
      </c>
      <c r="E337" t="inlineStr">
        <is>
          <t>SALA</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58522-2021</t>
        </is>
      </c>
      <c r="B338" s="1" t="n">
        <v>44488</v>
      </c>
      <c r="C338" s="1" t="n">
        <v>45586</v>
      </c>
      <c r="D338" t="inlineStr">
        <is>
          <t>VÄSTMANLANDS LÄN</t>
        </is>
      </c>
      <c r="E338" t="inlineStr">
        <is>
          <t>SALA</t>
        </is>
      </c>
      <c r="G338" t="n">
        <v>0.3</v>
      </c>
      <c r="H338" t="n">
        <v>0</v>
      </c>
      <c r="I338" t="n">
        <v>0</v>
      </c>
      <c r="J338" t="n">
        <v>0</v>
      </c>
      <c r="K338" t="n">
        <v>0</v>
      </c>
      <c r="L338" t="n">
        <v>0</v>
      </c>
      <c r="M338" t="n">
        <v>0</v>
      </c>
      <c r="N338" t="n">
        <v>0</v>
      </c>
      <c r="O338" t="n">
        <v>0</v>
      </c>
      <c r="P338" t="n">
        <v>0</v>
      </c>
      <c r="Q338" t="n">
        <v>0</v>
      </c>
      <c r="R338" s="2" t="inlineStr"/>
    </row>
    <row r="339" ht="15" customHeight="1">
      <c r="A339" t="inlineStr">
        <is>
          <t>A 58701-2021</t>
        </is>
      </c>
      <c r="B339" s="1" t="n">
        <v>44489</v>
      </c>
      <c r="C339" s="1" t="n">
        <v>45586</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60031-2021</t>
        </is>
      </c>
      <c r="B340" s="1" t="n">
        <v>44495</v>
      </c>
      <c r="C340" s="1" t="n">
        <v>45586</v>
      </c>
      <c r="D340" t="inlineStr">
        <is>
          <t>VÄSTMANLANDS LÄN</t>
        </is>
      </c>
      <c r="E340" t="inlineStr">
        <is>
          <t>SALA</t>
        </is>
      </c>
      <c r="G340" t="n">
        <v>4.3</v>
      </c>
      <c r="H340" t="n">
        <v>0</v>
      </c>
      <c r="I340" t="n">
        <v>0</v>
      </c>
      <c r="J340" t="n">
        <v>0</v>
      </c>
      <c r="K340" t="n">
        <v>0</v>
      </c>
      <c r="L340" t="n">
        <v>0</v>
      </c>
      <c r="M340" t="n">
        <v>0</v>
      </c>
      <c r="N340" t="n">
        <v>0</v>
      </c>
      <c r="O340" t="n">
        <v>0</v>
      </c>
      <c r="P340" t="n">
        <v>0</v>
      </c>
      <c r="Q340" t="n">
        <v>0</v>
      </c>
      <c r="R340" s="2" t="inlineStr"/>
    </row>
    <row r="341" ht="15" customHeight="1">
      <c r="A341" t="inlineStr">
        <is>
          <t>A 60951-2021</t>
        </is>
      </c>
      <c r="B341" s="1" t="n">
        <v>44497</v>
      </c>
      <c r="C341" s="1" t="n">
        <v>45586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61892-2021</t>
        </is>
      </c>
      <c r="B342" s="1" t="n">
        <v>44502</v>
      </c>
      <c r="C342" s="1" t="n">
        <v>45586</v>
      </c>
      <c r="D342" t="inlineStr">
        <is>
          <t>VÄSTMANLANDS LÄN</t>
        </is>
      </c>
      <c r="E342" t="inlineStr">
        <is>
          <t>SALA</t>
        </is>
      </c>
      <c r="G342" t="n">
        <v>1.4</v>
      </c>
      <c r="H342" t="n">
        <v>0</v>
      </c>
      <c r="I342" t="n">
        <v>0</v>
      </c>
      <c r="J342" t="n">
        <v>0</v>
      </c>
      <c r="K342" t="n">
        <v>0</v>
      </c>
      <c r="L342" t="n">
        <v>0</v>
      </c>
      <c r="M342" t="n">
        <v>0</v>
      </c>
      <c r="N342" t="n">
        <v>0</v>
      </c>
      <c r="O342" t="n">
        <v>0</v>
      </c>
      <c r="P342" t="n">
        <v>0</v>
      </c>
      <c r="Q342" t="n">
        <v>0</v>
      </c>
      <c r="R342" s="2" t="inlineStr"/>
    </row>
    <row r="343" ht="15" customHeight="1">
      <c r="A343" t="inlineStr">
        <is>
          <t>A 61874-2021</t>
        </is>
      </c>
      <c r="B343" s="1" t="n">
        <v>44502</v>
      </c>
      <c r="C343" s="1" t="n">
        <v>45586</v>
      </c>
      <c r="D343" t="inlineStr">
        <is>
          <t>VÄSTMANLANDS LÄN</t>
        </is>
      </c>
      <c r="E343" t="inlineStr">
        <is>
          <t>SALA</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61897-2021</t>
        </is>
      </c>
      <c r="B344" s="1" t="n">
        <v>44502</v>
      </c>
      <c r="C344" s="1" t="n">
        <v>45586</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v>
      </c>
      <c r="C345" s="1" t="n">
        <v>45586</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62793-2021</t>
        </is>
      </c>
      <c r="B346" s="1" t="n">
        <v>44504</v>
      </c>
      <c r="C346" s="1" t="n">
        <v>45586</v>
      </c>
      <c r="D346" t="inlineStr">
        <is>
          <t>VÄSTMANLANDS LÄN</t>
        </is>
      </c>
      <c r="E346" t="inlineStr">
        <is>
          <t>SALA</t>
        </is>
      </c>
      <c r="G346" t="n">
        <v>5.7</v>
      </c>
      <c r="H346" t="n">
        <v>0</v>
      </c>
      <c r="I346" t="n">
        <v>0</v>
      </c>
      <c r="J346" t="n">
        <v>0</v>
      </c>
      <c r="K346" t="n">
        <v>0</v>
      </c>
      <c r="L346" t="n">
        <v>0</v>
      </c>
      <c r="M346" t="n">
        <v>0</v>
      </c>
      <c r="N346" t="n">
        <v>0</v>
      </c>
      <c r="O346" t="n">
        <v>0</v>
      </c>
      <c r="P346" t="n">
        <v>0</v>
      </c>
      <c r="Q346" t="n">
        <v>0</v>
      </c>
      <c r="R346" s="2" t="inlineStr"/>
    </row>
    <row r="347" ht="15" customHeight="1">
      <c r="A347" t="inlineStr">
        <is>
          <t>A 62833-2021</t>
        </is>
      </c>
      <c r="B347" s="1" t="n">
        <v>44504</v>
      </c>
      <c r="C347" s="1" t="n">
        <v>45586</v>
      </c>
      <c r="D347" t="inlineStr">
        <is>
          <t>VÄSTMANLANDS LÄN</t>
        </is>
      </c>
      <c r="E347" t="inlineStr">
        <is>
          <t>SALA</t>
        </is>
      </c>
      <c r="G347" t="n">
        <v>5</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45586</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62967-2021</t>
        </is>
      </c>
      <c r="B349" s="1" t="n">
        <v>44505</v>
      </c>
      <c r="C349" s="1" t="n">
        <v>45586</v>
      </c>
      <c r="D349" t="inlineStr">
        <is>
          <t>VÄSTMANLANDS LÄN</t>
        </is>
      </c>
      <c r="E349" t="inlineStr">
        <is>
          <t>SALA</t>
        </is>
      </c>
      <c r="G349" t="n">
        <v>6.1</v>
      </c>
      <c r="H349" t="n">
        <v>0</v>
      </c>
      <c r="I349" t="n">
        <v>0</v>
      </c>
      <c r="J349" t="n">
        <v>0</v>
      </c>
      <c r="K349" t="n">
        <v>0</v>
      </c>
      <c r="L349" t="n">
        <v>0</v>
      </c>
      <c r="M349" t="n">
        <v>0</v>
      </c>
      <c r="N349" t="n">
        <v>0</v>
      </c>
      <c r="O349" t="n">
        <v>0</v>
      </c>
      <c r="P349" t="n">
        <v>0</v>
      </c>
      <c r="Q349" t="n">
        <v>0</v>
      </c>
      <c r="R349" s="2" t="inlineStr"/>
    </row>
    <row r="350" ht="15" customHeight="1">
      <c r="A350" t="inlineStr">
        <is>
          <t>A 63290-2021</t>
        </is>
      </c>
      <c r="B350" s="1" t="n">
        <v>44505</v>
      </c>
      <c r="C350" s="1" t="n">
        <v>45586</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64931-2021</t>
        </is>
      </c>
      <c r="B351" s="1" t="n">
        <v>44512</v>
      </c>
      <c r="C351" s="1" t="n">
        <v>45586</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64932-2021</t>
        </is>
      </c>
      <c r="B352" s="1" t="n">
        <v>44512</v>
      </c>
      <c r="C352" s="1" t="n">
        <v>45586</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65213-2021</t>
        </is>
      </c>
      <c r="B353" s="1" t="n">
        <v>44515</v>
      </c>
      <c r="C353" s="1" t="n">
        <v>45586</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65321-2021</t>
        </is>
      </c>
      <c r="B354" s="1" t="n">
        <v>44515</v>
      </c>
      <c r="C354" s="1" t="n">
        <v>45586</v>
      </c>
      <c r="D354" t="inlineStr">
        <is>
          <t>VÄSTMANLANDS LÄN</t>
        </is>
      </c>
      <c r="E354" t="inlineStr">
        <is>
          <t>SALA</t>
        </is>
      </c>
      <c r="G354" t="n">
        <v>1.3</v>
      </c>
      <c r="H354" t="n">
        <v>0</v>
      </c>
      <c r="I354" t="n">
        <v>0</v>
      </c>
      <c r="J354" t="n">
        <v>0</v>
      </c>
      <c r="K354" t="n">
        <v>0</v>
      </c>
      <c r="L354" t="n">
        <v>0</v>
      </c>
      <c r="M354" t="n">
        <v>0</v>
      </c>
      <c r="N354" t="n">
        <v>0</v>
      </c>
      <c r="O354" t="n">
        <v>0</v>
      </c>
      <c r="P354" t="n">
        <v>0</v>
      </c>
      <c r="Q354" t="n">
        <v>0</v>
      </c>
      <c r="R354" s="2" t="inlineStr"/>
    </row>
    <row r="355" ht="15" customHeight="1">
      <c r="A355" t="inlineStr">
        <is>
          <t>A 65338-2021</t>
        </is>
      </c>
      <c r="B355" s="1" t="n">
        <v>44515</v>
      </c>
      <c r="C355" s="1" t="n">
        <v>45586</v>
      </c>
      <c r="D355" t="inlineStr">
        <is>
          <t>VÄSTMANLANDS LÄN</t>
        </is>
      </c>
      <c r="E355" t="inlineStr">
        <is>
          <t>SALA</t>
        </is>
      </c>
      <c r="G355" t="n">
        <v>0.4</v>
      </c>
      <c r="H355" t="n">
        <v>0</v>
      </c>
      <c r="I355" t="n">
        <v>0</v>
      </c>
      <c r="J355" t="n">
        <v>0</v>
      </c>
      <c r="K355" t="n">
        <v>0</v>
      </c>
      <c r="L355" t="n">
        <v>0</v>
      </c>
      <c r="M355" t="n">
        <v>0</v>
      </c>
      <c r="N355" t="n">
        <v>0</v>
      </c>
      <c r="O355" t="n">
        <v>0</v>
      </c>
      <c r="P355" t="n">
        <v>0</v>
      </c>
      <c r="Q355" t="n">
        <v>0</v>
      </c>
      <c r="R355" s="2" t="inlineStr"/>
    </row>
    <row r="356" ht="15" customHeight="1">
      <c r="A356" t="inlineStr">
        <is>
          <t>A 65353-2021</t>
        </is>
      </c>
      <c r="B356" s="1" t="n">
        <v>44515</v>
      </c>
      <c r="C356" s="1" t="n">
        <v>45586</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65490-2021</t>
        </is>
      </c>
      <c r="B357" s="1" t="n">
        <v>44515</v>
      </c>
      <c r="C357" s="1" t="n">
        <v>45586</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65856-2021</t>
        </is>
      </c>
      <c r="B358" s="1" t="n">
        <v>44517</v>
      </c>
      <c r="C358" s="1" t="n">
        <v>45586</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65818-2021</t>
        </is>
      </c>
      <c r="B359" s="1" t="n">
        <v>44517</v>
      </c>
      <c r="C359" s="1" t="n">
        <v>45586</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65835-2021</t>
        </is>
      </c>
      <c r="B360" s="1" t="n">
        <v>44517</v>
      </c>
      <c r="C360" s="1" t="n">
        <v>45586</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65860-2021</t>
        </is>
      </c>
      <c r="B361" s="1" t="n">
        <v>44517</v>
      </c>
      <c r="C361" s="1" t="n">
        <v>45586</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66307-2021</t>
        </is>
      </c>
      <c r="B362" s="1" t="n">
        <v>44518</v>
      </c>
      <c r="C362" s="1" t="n">
        <v>45586</v>
      </c>
      <c r="D362" t="inlineStr">
        <is>
          <t>VÄSTMANLANDS LÄN</t>
        </is>
      </c>
      <c r="E362" t="inlineStr">
        <is>
          <t>SALA</t>
        </is>
      </c>
      <c r="G362" t="n">
        <v>0.7</v>
      </c>
      <c r="H362" t="n">
        <v>0</v>
      </c>
      <c r="I362" t="n">
        <v>0</v>
      </c>
      <c r="J362" t="n">
        <v>0</v>
      </c>
      <c r="K362" t="n">
        <v>0</v>
      </c>
      <c r="L362" t="n">
        <v>0</v>
      </c>
      <c r="M362" t="n">
        <v>0</v>
      </c>
      <c r="N362" t="n">
        <v>0</v>
      </c>
      <c r="O362" t="n">
        <v>0</v>
      </c>
      <c r="P362" t="n">
        <v>0</v>
      </c>
      <c r="Q362" t="n">
        <v>0</v>
      </c>
      <c r="R362" s="2" t="inlineStr"/>
    </row>
    <row r="363" ht="15" customHeight="1">
      <c r="A363" t="inlineStr">
        <is>
          <t>A 66508-2021</t>
        </is>
      </c>
      <c r="B363" s="1" t="n">
        <v>44519</v>
      </c>
      <c r="C363" s="1" t="n">
        <v>45586</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66563-2021</t>
        </is>
      </c>
      <c r="B364" s="1" t="n">
        <v>44519</v>
      </c>
      <c r="C364" s="1" t="n">
        <v>45586</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66561-2021</t>
        </is>
      </c>
      <c r="B365" s="1" t="n">
        <v>44519</v>
      </c>
      <c r="C365" s="1" t="n">
        <v>45586</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45586</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66830-2021</t>
        </is>
      </c>
      <c r="B367" s="1" t="n">
        <v>44522</v>
      </c>
      <c r="C367" s="1" t="n">
        <v>45586</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67037-2021</t>
        </is>
      </c>
      <c r="B368" s="1" t="n">
        <v>44522</v>
      </c>
      <c r="C368" s="1" t="n">
        <v>45586</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c r="U368">
        <f>HYPERLINK("https://klasma.github.io/Logging_1981/knärot/A 67037-2021 karta knärot.png", "A 67037-2021")</f>
        <v/>
      </c>
      <c r="V368">
        <f>HYPERLINK("https://klasma.github.io/Logging_1981/klagomål/A 67037-2021 FSC-klagomål.docx", "A 67037-2021")</f>
        <v/>
      </c>
      <c r="W368">
        <f>HYPERLINK("https://klasma.github.io/Logging_1981/klagomålsmail/A 67037-2021 FSC-klagomål mail.docx", "A 67037-2021")</f>
        <v/>
      </c>
      <c r="X368">
        <f>HYPERLINK("https://klasma.github.io/Logging_1981/tillsyn/A 67037-2021 tillsynsbegäran.docx", "A 67037-2021")</f>
        <v/>
      </c>
      <c r="Y368">
        <f>HYPERLINK("https://klasma.github.io/Logging_1981/tillsynsmail/A 67037-2021 tillsynsbegäran mail.docx", "A 67037-2021")</f>
        <v/>
      </c>
    </row>
    <row r="369" ht="15" customHeight="1">
      <c r="A369" t="inlineStr">
        <is>
          <t>A 67965-2021</t>
        </is>
      </c>
      <c r="B369" s="1" t="n">
        <v>44525</v>
      </c>
      <c r="C369" s="1" t="n">
        <v>45586</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67958-2021</t>
        </is>
      </c>
      <c r="B370" s="1" t="n">
        <v>44525</v>
      </c>
      <c r="C370" s="1" t="n">
        <v>45586</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67962-2021</t>
        </is>
      </c>
      <c r="B371" s="1" t="n">
        <v>44525</v>
      </c>
      <c r="C371" s="1" t="n">
        <v>45586</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68355-2021</t>
        </is>
      </c>
      <c r="B372" s="1" t="n">
        <v>44528</v>
      </c>
      <c r="C372" s="1" t="n">
        <v>45586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68484-2021</t>
        </is>
      </c>
      <c r="B373" s="1" t="n">
        <v>44529</v>
      </c>
      <c r="C373" s="1" t="n">
        <v>45586</v>
      </c>
      <c r="D373" t="inlineStr">
        <is>
          <t>VÄSTMANLANDS LÄN</t>
        </is>
      </c>
      <c r="E373" t="inlineStr">
        <is>
          <t>SALA</t>
        </is>
      </c>
      <c r="G373" t="n">
        <v>1.7</v>
      </c>
      <c r="H373" t="n">
        <v>0</v>
      </c>
      <c r="I373" t="n">
        <v>0</v>
      </c>
      <c r="J373" t="n">
        <v>0</v>
      </c>
      <c r="K373" t="n">
        <v>0</v>
      </c>
      <c r="L373" t="n">
        <v>0</v>
      </c>
      <c r="M373" t="n">
        <v>0</v>
      </c>
      <c r="N373" t="n">
        <v>0</v>
      </c>
      <c r="O373" t="n">
        <v>0</v>
      </c>
      <c r="P373" t="n">
        <v>0</v>
      </c>
      <c r="Q373" t="n">
        <v>0</v>
      </c>
      <c r="R373" s="2" t="inlineStr"/>
    </row>
    <row r="374" ht="15" customHeight="1">
      <c r="A374" t="inlineStr">
        <is>
          <t>A 68980-2021</t>
        </is>
      </c>
      <c r="B374" s="1" t="n">
        <v>44529</v>
      </c>
      <c r="C374" s="1" t="n">
        <v>45586</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68864-2021</t>
        </is>
      </c>
      <c r="B375" s="1" t="n">
        <v>44530</v>
      </c>
      <c r="C375" s="1" t="n">
        <v>45586</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69232-2021</t>
        </is>
      </c>
      <c r="B376" s="1" t="n">
        <v>44531</v>
      </c>
      <c r="C376" s="1" t="n">
        <v>45586</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69236-2021</t>
        </is>
      </c>
      <c r="B377" s="1" t="n">
        <v>44531</v>
      </c>
      <c r="C377" s="1" t="n">
        <v>45586</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70218-2021</t>
        </is>
      </c>
      <c r="B378" s="1" t="n">
        <v>44535</v>
      </c>
      <c r="C378" s="1" t="n">
        <v>45586</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70319-2021</t>
        </is>
      </c>
      <c r="B379" s="1" t="n">
        <v>44536</v>
      </c>
      <c r="C379" s="1" t="n">
        <v>45586</v>
      </c>
      <c r="D379" t="inlineStr">
        <is>
          <t>VÄSTMANLANDS LÄN</t>
        </is>
      </c>
      <c r="E379" t="inlineStr">
        <is>
          <t>SALA</t>
        </is>
      </c>
      <c r="G379" t="n">
        <v>1.6</v>
      </c>
      <c r="H379" t="n">
        <v>0</v>
      </c>
      <c r="I379" t="n">
        <v>0</v>
      </c>
      <c r="J379" t="n">
        <v>0</v>
      </c>
      <c r="K379" t="n">
        <v>0</v>
      </c>
      <c r="L379" t="n">
        <v>0</v>
      </c>
      <c r="M379" t="n">
        <v>0</v>
      </c>
      <c r="N379" t="n">
        <v>0</v>
      </c>
      <c r="O379" t="n">
        <v>0</v>
      </c>
      <c r="P379" t="n">
        <v>0</v>
      </c>
      <c r="Q379" t="n">
        <v>0</v>
      </c>
      <c r="R379" s="2" t="inlineStr"/>
    </row>
    <row r="380" ht="15" customHeight="1">
      <c r="A380" t="inlineStr">
        <is>
          <t>A 70655-2021</t>
        </is>
      </c>
      <c r="B380" s="1" t="n">
        <v>44537</v>
      </c>
      <c r="C380" s="1" t="n">
        <v>45586</v>
      </c>
      <c r="D380" t="inlineStr">
        <is>
          <t>VÄSTMANLANDS LÄN</t>
        </is>
      </c>
      <c r="E380" t="inlineStr">
        <is>
          <t>SALA</t>
        </is>
      </c>
      <c r="G380" t="n">
        <v>4.8</v>
      </c>
      <c r="H380" t="n">
        <v>0</v>
      </c>
      <c r="I380" t="n">
        <v>0</v>
      </c>
      <c r="J380" t="n">
        <v>0</v>
      </c>
      <c r="K380" t="n">
        <v>0</v>
      </c>
      <c r="L380" t="n">
        <v>0</v>
      </c>
      <c r="M380" t="n">
        <v>0</v>
      </c>
      <c r="N380" t="n">
        <v>0</v>
      </c>
      <c r="O380" t="n">
        <v>0</v>
      </c>
      <c r="P380" t="n">
        <v>0</v>
      </c>
      <c r="Q380" t="n">
        <v>0</v>
      </c>
      <c r="R380" s="2" t="inlineStr"/>
    </row>
    <row r="381" ht="15" customHeight="1">
      <c r="A381" t="inlineStr">
        <is>
          <t>A 70958-2021</t>
        </is>
      </c>
      <c r="B381" s="1" t="n">
        <v>44538</v>
      </c>
      <c r="C381" s="1" t="n">
        <v>45586</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71471-2021</t>
        </is>
      </c>
      <c r="B382" s="1" t="n">
        <v>44540</v>
      </c>
      <c r="C382" s="1" t="n">
        <v>45586</v>
      </c>
      <c r="D382" t="inlineStr">
        <is>
          <t>VÄSTMANLANDS LÄN</t>
        </is>
      </c>
      <c r="E382" t="inlineStr">
        <is>
          <t>SALA</t>
        </is>
      </c>
      <c r="G382" t="n">
        <v>13</v>
      </c>
      <c r="H382" t="n">
        <v>0</v>
      </c>
      <c r="I382" t="n">
        <v>0</v>
      </c>
      <c r="J382" t="n">
        <v>0</v>
      </c>
      <c r="K382" t="n">
        <v>0</v>
      </c>
      <c r="L382" t="n">
        <v>0</v>
      </c>
      <c r="M382" t="n">
        <v>0</v>
      </c>
      <c r="N382" t="n">
        <v>0</v>
      </c>
      <c r="O382" t="n">
        <v>0</v>
      </c>
      <c r="P382" t="n">
        <v>0</v>
      </c>
      <c r="Q382" t="n">
        <v>0</v>
      </c>
      <c r="R382" s="2" t="inlineStr"/>
    </row>
    <row r="383" ht="15" customHeight="1">
      <c r="A383" t="inlineStr">
        <is>
          <t>A 71853-2021</t>
        </is>
      </c>
      <c r="B383" s="1" t="n">
        <v>44543</v>
      </c>
      <c r="C383" s="1" t="n">
        <v>45586</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72071-2021</t>
        </is>
      </c>
      <c r="B384" s="1" t="n">
        <v>44544</v>
      </c>
      <c r="C384" s="1" t="n">
        <v>45586</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72405-2021</t>
        </is>
      </c>
      <c r="B385" s="1" t="n">
        <v>44545</v>
      </c>
      <c r="C385" s="1" t="n">
        <v>45586</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72389-2021</t>
        </is>
      </c>
      <c r="B386" s="1" t="n">
        <v>44545</v>
      </c>
      <c r="C386" s="1" t="n">
        <v>45586</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72810-2021</t>
        </is>
      </c>
      <c r="B387" s="1" t="n">
        <v>44546</v>
      </c>
      <c r="C387" s="1" t="n">
        <v>45586</v>
      </c>
      <c r="D387" t="inlineStr">
        <is>
          <t>VÄSTMANLANDS LÄN</t>
        </is>
      </c>
      <c r="E387" t="inlineStr">
        <is>
          <t>SALA</t>
        </is>
      </c>
      <c r="G387" t="n">
        <v>3.3</v>
      </c>
      <c r="H387" t="n">
        <v>0</v>
      </c>
      <c r="I387" t="n">
        <v>0</v>
      </c>
      <c r="J387" t="n">
        <v>0</v>
      </c>
      <c r="K387" t="n">
        <v>0</v>
      </c>
      <c r="L387" t="n">
        <v>0</v>
      </c>
      <c r="M387" t="n">
        <v>0</v>
      </c>
      <c r="N387" t="n">
        <v>0</v>
      </c>
      <c r="O387" t="n">
        <v>0</v>
      </c>
      <c r="P387" t="n">
        <v>0</v>
      </c>
      <c r="Q387" t="n">
        <v>0</v>
      </c>
      <c r="R387" s="2" t="inlineStr"/>
    </row>
    <row r="388" ht="15" customHeight="1">
      <c r="A388" t="inlineStr">
        <is>
          <t>A 72805-2021</t>
        </is>
      </c>
      <c r="B388" s="1" t="n">
        <v>44546</v>
      </c>
      <c r="C388" s="1" t="n">
        <v>45586</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72808-2021</t>
        </is>
      </c>
      <c r="B389" s="1" t="n">
        <v>44546</v>
      </c>
      <c r="C389" s="1" t="n">
        <v>45586</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72776-2021</t>
        </is>
      </c>
      <c r="B390" s="1" t="n">
        <v>44547</v>
      </c>
      <c r="C390" s="1" t="n">
        <v>45586</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73029-2021</t>
        </is>
      </c>
      <c r="B391" s="1" t="n">
        <v>44550</v>
      </c>
      <c r="C391" s="1" t="n">
        <v>45586</v>
      </c>
      <c r="D391" t="inlineStr">
        <is>
          <t>VÄSTMANLANDS LÄN</t>
        </is>
      </c>
      <c r="E391" t="inlineStr">
        <is>
          <t>SALA</t>
        </is>
      </c>
      <c r="G391" t="n">
        <v>1.8</v>
      </c>
      <c r="H391" t="n">
        <v>0</v>
      </c>
      <c r="I391" t="n">
        <v>0</v>
      </c>
      <c r="J391" t="n">
        <v>0</v>
      </c>
      <c r="K391" t="n">
        <v>0</v>
      </c>
      <c r="L391" t="n">
        <v>0</v>
      </c>
      <c r="M391" t="n">
        <v>0</v>
      </c>
      <c r="N391" t="n">
        <v>0</v>
      </c>
      <c r="O391" t="n">
        <v>0</v>
      </c>
      <c r="P391" t="n">
        <v>0</v>
      </c>
      <c r="Q391" t="n">
        <v>0</v>
      </c>
      <c r="R391" s="2" t="inlineStr"/>
    </row>
    <row r="392" ht="15" customHeight="1">
      <c r="A392" t="inlineStr">
        <is>
          <t>A 73124-2021</t>
        </is>
      </c>
      <c r="B392" s="1" t="n">
        <v>44550</v>
      </c>
      <c r="C392" s="1" t="n">
        <v>45586</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73219-2021</t>
        </is>
      </c>
      <c r="B393" s="1" t="n">
        <v>44550</v>
      </c>
      <c r="C393" s="1" t="n">
        <v>45586</v>
      </c>
      <c r="D393" t="inlineStr">
        <is>
          <t>VÄSTMANLANDS LÄN</t>
        </is>
      </c>
      <c r="E393" t="inlineStr">
        <is>
          <t>SALA</t>
        </is>
      </c>
      <c r="G393" t="n">
        <v>7.1</v>
      </c>
      <c r="H393" t="n">
        <v>0</v>
      </c>
      <c r="I393" t="n">
        <v>0</v>
      </c>
      <c r="J393" t="n">
        <v>0</v>
      </c>
      <c r="K393" t="n">
        <v>0</v>
      </c>
      <c r="L393" t="n">
        <v>0</v>
      </c>
      <c r="M393" t="n">
        <v>0</v>
      </c>
      <c r="N393" t="n">
        <v>0</v>
      </c>
      <c r="O393" t="n">
        <v>0</v>
      </c>
      <c r="P393" t="n">
        <v>0</v>
      </c>
      <c r="Q393" t="n">
        <v>0</v>
      </c>
      <c r="R393" s="2" t="inlineStr"/>
    </row>
    <row r="394" ht="15" customHeight="1">
      <c r="A394" t="inlineStr">
        <is>
          <t>A 73423-2021</t>
        </is>
      </c>
      <c r="B394" s="1" t="n">
        <v>44551</v>
      </c>
      <c r="C394" s="1" t="n">
        <v>45586</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73519-2021</t>
        </is>
      </c>
      <c r="B395" s="1" t="n">
        <v>44551</v>
      </c>
      <c r="C395" s="1" t="n">
        <v>45586</v>
      </c>
      <c r="D395" t="inlineStr">
        <is>
          <t>VÄSTMANLANDS LÄN</t>
        </is>
      </c>
      <c r="E395" t="inlineStr">
        <is>
          <t>SALA</t>
        </is>
      </c>
      <c r="G395" t="n">
        <v>0.3</v>
      </c>
      <c r="H395" t="n">
        <v>0</v>
      </c>
      <c r="I395" t="n">
        <v>0</v>
      </c>
      <c r="J395" t="n">
        <v>0</v>
      </c>
      <c r="K395" t="n">
        <v>0</v>
      </c>
      <c r="L395" t="n">
        <v>0</v>
      </c>
      <c r="M395" t="n">
        <v>0</v>
      </c>
      <c r="N395" t="n">
        <v>0</v>
      </c>
      <c r="O395" t="n">
        <v>0</v>
      </c>
      <c r="P395" t="n">
        <v>0</v>
      </c>
      <c r="Q395" t="n">
        <v>0</v>
      </c>
      <c r="R395" s="2" t="inlineStr"/>
    </row>
    <row r="396" ht="15" customHeight="1">
      <c r="A396" t="inlineStr">
        <is>
          <t>A 73683-2021</t>
        </is>
      </c>
      <c r="B396" s="1" t="n">
        <v>44552</v>
      </c>
      <c r="C396" s="1" t="n">
        <v>45586</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v>
      </c>
      <c r="C397" s="1" t="n">
        <v>45586</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73673-2021</t>
        </is>
      </c>
      <c r="B398" s="1" t="n">
        <v>44552</v>
      </c>
      <c r="C398" s="1" t="n">
        <v>45586</v>
      </c>
      <c r="D398" t="inlineStr">
        <is>
          <t>VÄSTMANLANDS LÄN</t>
        </is>
      </c>
      <c r="E398" t="inlineStr">
        <is>
          <t>SALA</t>
        </is>
      </c>
      <c r="G398" t="n">
        <v>11.4</v>
      </c>
      <c r="H398" t="n">
        <v>0</v>
      </c>
      <c r="I398" t="n">
        <v>0</v>
      </c>
      <c r="J398" t="n">
        <v>0</v>
      </c>
      <c r="K398" t="n">
        <v>0</v>
      </c>
      <c r="L398" t="n">
        <v>0</v>
      </c>
      <c r="M398" t="n">
        <v>0</v>
      </c>
      <c r="N398" t="n">
        <v>0</v>
      </c>
      <c r="O398" t="n">
        <v>0</v>
      </c>
      <c r="P398" t="n">
        <v>0</v>
      </c>
      <c r="Q398" t="n">
        <v>0</v>
      </c>
      <c r="R398" s="2" t="inlineStr"/>
    </row>
    <row r="399" ht="15" customHeight="1">
      <c r="A399" t="inlineStr">
        <is>
          <t>A 73606-2021</t>
        </is>
      </c>
      <c r="B399" s="1" t="n">
        <v>44552</v>
      </c>
      <c r="C399" s="1" t="n">
        <v>45586</v>
      </c>
      <c r="D399" t="inlineStr">
        <is>
          <t>VÄSTMANLANDS LÄN</t>
        </is>
      </c>
      <c r="E399" t="inlineStr">
        <is>
          <t>SALA</t>
        </is>
      </c>
      <c r="G399" t="n">
        <v>1.5</v>
      </c>
      <c r="H399" t="n">
        <v>0</v>
      </c>
      <c r="I399" t="n">
        <v>0</v>
      </c>
      <c r="J399" t="n">
        <v>0</v>
      </c>
      <c r="K399" t="n">
        <v>0</v>
      </c>
      <c r="L399" t="n">
        <v>0</v>
      </c>
      <c r="M399" t="n">
        <v>0</v>
      </c>
      <c r="N399" t="n">
        <v>0</v>
      </c>
      <c r="O399" t="n">
        <v>0</v>
      </c>
      <c r="P399" t="n">
        <v>0</v>
      </c>
      <c r="Q399" t="n">
        <v>0</v>
      </c>
      <c r="R399" s="2" t="inlineStr"/>
    </row>
    <row r="400" ht="15" customHeight="1">
      <c r="A400" t="inlineStr">
        <is>
          <t>A 73668-2021</t>
        </is>
      </c>
      <c r="B400" s="1" t="n">
        <v>44552</v>
      </c>
      <c r="C400" s="1" t="n">
        <v>45586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73687-2021</t>
        </is>
      </c>
      <c r="B401" s="1" t="n">
        <v>44552</v>
      </c>
      <c r="C401" s="1" t="n">
        <v>45586</v>
      </c>
      <c r="D401" t="inlineStr">
        <is>
          <t>VÄSTMANLANDS LÄN</t>
        </is>
      </c>
      <c r="E401" t="inlineStr">
        <is>
          <t>SALA</t>
        </is>
      </c>
      <c r="G401" t="n">
        <v>5.6</v>
      </c>
      <c r="H401" t="n">
        <v>0</v>
      </c>
      <c r="I401" t="n">
        <v>0</v>
      </c>
      <c r="J401" t="n">
        <v>0</v>
      </c>
      <c r="K401" t="n">
        <v>0</v>
      </c>
      <c r="L401" t="n">
        <v>0</v>
      </c>
      <c r="M401" t="n">
        <v>0</v>
      </c>
      <c r="N401" t="n">
        <v>0</v>
      </c>
      <c r="O401" t="n">
        <v>0</v>
      </c>
      <c r="P401" t="n">
        <v>0</v>
      </c>
      <c r="Q401" t="n">
        <v>0</v>
      </c>
      <c r="R401" s="2" t="inlineStr"/>
    </row>
    <row r="402" ht="15" customHeight="1">
      <c r="A402" t="inlineStr">
        <is>
          <t>A 73788-2021</t>
        </is>
      </c>
      <c r="B402" s="1" t="n">
        <v>44552</v>
      </c>
      <c r="C402" s="1" t="n">
        <v>45586</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73835-2021</t>
        </is>
      </c>
      <c r="B403" s="1" t="n">
        <v>44552</v>
      </c>
      <c r="C403" s="1" t="n">
        <v>45586</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74123-2021</t>
        </is>
      </c>
      <c r="B404" s="1" t="n">
        <v>44557</v>
      </c>
      <c r="C404" s="1" t="n">
        <v>45586</v>
      </c>
      <c r="D404" t="inlineStr">
        <is>
          <t>VÄSTMANLANDS LÄN</t>
        </is>
      </c>
      <c r="E404" t="inlineStr">
        <is>
          <t>SALA</t>
        </is>
      </c>
      <c r="F404" t="inlineStr">
        <is>
          <t>Kommuner</t>
        </is>
      </c>
      <c r="G404" t="n">
        <v>11.9</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45586</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617-2022</t>
        </is>
      </c>
      <c r="B406" s="1" t="n">
        <v>44567</v>
      </c>
      <c r="C406" s="1" t="n">
        <v>45586</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45586</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1043-2022</t>
        </is>
      </c>
      <c r="B408" s="1" t="n">
        <v>44571</v>
      </c>
      <c r="C408" s="1" t="n">
        <v>45586</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1162-2022</t>
        </is>
      </c>
      <c r="B409" s="1" t="n">
        <v>44572</v>
      </c>
      <c r="C409" s="1" t="n">
        <v>45586</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1985-2022</t>
        </is>
      </c>
      <c r="B410" s="1" t="n">
        <v>44575</v>
      </c>
      <c r="C410" s="1" t="n">
        <v>45586</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1993-2022</t>
        </is>
      </c>
      <c r="B411" s="1" t="n">
        <v>44575</v>
      </c>
      <c r="C411" s="1" t="n">
        <v>45586</v>
      </c>
      <c r="D411" t="inlineStr">
        <is>
          <t>VÄSTMANLANDS LÄN</t>
        </is>
      </c>
      <c r="E411" t="inlineStr">
        <is>
          <t>SALA</t>
        </is>
      </c>
      <c r="G411" t="n">
        <v>1.6</v>
      </c>
      <c r="H411" t="n">
        <v>0</v>
      </c>
      <c r="I411" t="n">
        <v>0</v>
      </c>
      <c r="J411" t="n">
        <v>0</v>
      </c>
      <c r="K411" t="n">
        <v>0</v>
      </c>
      <c r="L411" t="n">
        <v>0</v>
      </c>
      <c r="M411" t="n">
        <v>0</v>
      </c>
      <c r="N411" t="n">
        <v>0</v>
      </c>
      <c r="O411" t="n">
        <v>0</v>
      </c>
      <c r="P411" t="n">
        <v>0</v>
      </c>
      <c r="Q411" t="n">
        <v>0</v>
      </c>
      <c r="R411" s="2" t="inlineStr"/>
    </row>
    <row r="412" ht="15" customHeight="1">
      <c r="A412" t="inlineStr">
        <is>
          <t>A 2529-2022</t>
        </is>
      </c>
      <c r="B412" s="1" t="n">
        <v>44579</v>
      </c>
      <c r="C412" s="1" t="n">
        <v>45586</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3050-2022</t>
        </is>
      </c>
      <c r="B413" s="1" t="n">
        <v>44582</v>
      </c>
      <c r="C413" s="1" t="n">
        <v>45586</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3201-2022</t>
        </is>
      </c>
      <c r="B414" s="1" t="n">
        <v>44582</v>
      </c>
      <c r="C414" s="1" t="n">
        <v>45586</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3204-2022</t>
        </is>
      </c>
      <c r="B415" s="1" t="n">
        <v>44582</v>
      </c>
      <c r="C415" s="1" t="n">
        <v>45586</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3647-2022</t>
        </is>
      </c>
      <c r="B416" s="1" t="n">
        <v>44586</v>
      </c>
      <c r="C416" s="1" t="n">
        <v>45586</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3888-2022</t>
        </is>
      </c>
      <c r="B417" s="1" t="n">
        <v>44587</v>
      </c>
      <c r="C417" s="1" t="n">
        <v>45586</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3920-2022</t>
        </is>
      </c>
      <c r="B418" s="1" t="n">
        <v>44587</v>
      </c>
      <c r="C418" s="1" t="n">
        <v>45586</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v>
      </c>
      <c r="C419" s="1" t="n">
        <v>45586</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4281-2022</t>
        </is>
      </c>
      <c r="B420" s="1" t="n">
        <v>44588</v>
      </c>
      <c r="C420" s="1" t="n">
        <v>45586</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4663-2022</t>
        </is>
      </c>
      <c r="B421" s="1" t="n">
        <v>44592</v>
      </c>
      <c r="C421" s="1" t="n">
        <v>45586</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4779-2022</t>
        </is>
      </c>
      <c r="B422" s="1" t="n">
        <v>44592</v>
      </c>
      <c r="C422" s="1" t="n">
        <v>45586</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5335-2022</t>
        </is>
      </c>
      <c r="B423" s="1" t="n">
        <v>44594</v>
      </c>
      <c r="C423" s="1" t="n">
        <v>45586</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5737-2022</t>
        </is>
      </c>
      <c r="B424" s="1" t="n">
        <v>44596</v>
      </c>
      <c r="C424" s="1" t="n">
        <v>45586</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5728-2022</t>
        </is>
      </c>
      <c r="B425" s="1" t="n">
        <v>44596</v>
      </c>
      <c r="C425" s="1" t="n">
        <v>45586</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6097-2022</t>
        </is>
      </c>
      <c r="B426" s="1" t="n">
        <v>44599</v>
      </c>
      <c r="C426" s="1" t="n">
        <v>45586</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6705-2022</t>
        </is>
      </c>
      <c r="B427" s="1" t="n">
        <v>44602</v>
      </c>
      <c r="C427" s="1" t="n">
        <v>45586</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6665-2022</t>
        </is>
      </c>
      <c r="B428" s="1" t="n">
        <v>44602</v>
      </c>
      <c r="C428" s="1" t="n">
        <v>45586</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6667-2022</t>
        </is>
      </c>
      <c r="B429" s="1" t="n">
        <v>44602</v>
      </c>
      <c r="C429" s="1" t="n">
        <v>45586</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6710-2022</t>
        </is>
      </c>
      <c r="B430" s="1" t="n">
        <v>44602</v>
      </c>
      <c r="C430" s="1" t="n">
        <v>45586</v>
      </c>
      <c r="D430" t="inlineStr">
        <is>
          <t>VÄSTMANLANDS LÄN</t>
        </is>
      </c>
      <c r="E430" t="inlineStr">
        <is>
          <t>SALA</t>
        </is>
      </c>
      <c r="G430" t="n">
        <v>6.4</v>
      </c>
      <c r="H430" t="n">
        <v>0</v>
      </c>
      <c r="I430" t="n">
        <v>0</v>
      </c>
      <c r="J430" t="n">
        <v>0</v>
      </c>
      <c r="K430" t="n">
        <v>0</v>
      </c>
      <c r="L430" t="n">
        <v>0</v>
      </c>
      <c r="M430" t="n">
        <v>0</v>
      </c>
      <c r="N430" t="n">
        <v>0</v>
      </c>
      <c r="O430" t="n">
        <v>0</v>
      </c>
      <c r="P430" t="n">
        <v>0</v>
      </c>
      <c r="Q430" t="n">
        <v>0</v>
      </c>
      <c r="R430" s="2" t="inlineStr"/>
    </row>
    <row r="431" ht="15" customHeight="1">
      <c r="A431" t="inlineStr">
        <is>
          <t>A 6957-2022</t>
        </is>
      </c>
      <c r="B431" s="1" t="n">
        <v>44603</v>
      </c>
      <c r="C431" s="1" t="n">
        <v>45586</v>
      </c>
      <c r="D431" t="inlineStr">
        <is>
          <t>VÄSTMANLANDS LÄN</t>
        </is>
      </c>
      <c r="E431" t="inlineStr">
        <is>
          <t>SALA</t>
        </is>
      </c>
      <c r="G431" t="n">
        <v>4.5</v>
      </c>
      <c r="H431" t="n">
        <v>0</v>
      </c>
      <c r="I431" t="n">
        <v>0</v>
      </c>
      <c r="J431" t="n">
        <v>0</v>
      </c>
      <c r="K431" t="n">
        <v>0</v>
      </c>
      <c r="L431" t="n">
        <v>0</v>
      </c>
      <c r="M431" t="n">
        <v>0</v>
      </c>
      <c r="N431" t="n">
        <v>0</v>
      </c>
      <c r="O431" t="n">
        <v>0</v>
      </c>
      <c r="P431" t="n">
        <v>0</v>
      </c>
      <c r="Q431" t="n">
        <v>0</v>
      </c>
      <c r="R431" s="2" t="inlineStr"/>
    </row>
    <row r="432" ht="15" customHeight="1">
      <c r="A432" t="inlineStr">
        <is>
          <t>A 7169-2022</t>
        </is>
      </c>
      <c r="B432" s="1" t="n">
        <v>44604</v>
      </c>
      <c r="C432" s="1" t="n">
        <v>45586</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8130-2022</t>
        </is>
      </c>
      <c r="B433" s="1" t="n">
        <v>44609</v>
      </c>
      <c r="C433" s="1" t="n">
        <v>45586</v>
      </c>
      <c r="D433" t="inlineStr">
        <is>
          <t>VÄSTMANLANDS LÄN</t>
        </is>
      </c>
      <c r="E433" t="inlineStr">
        <is>
          <t>SALA</t>
        </is>
      </c>
      <c r="G433" t="n">
        <v>3.5</v>
      </c>
      <c r="H433" t="n">
        <v>0</v>
      </c>
      <c r="I433" t="n">
        <v>0</v>
      </c>
      <c r="J433" t="n">
        <v>0</v>
      </c>
      <c r="K433" t="n">
        <v>0</v>
      </c>
      <c r="L433" t="n">
        <v>0</v>
      </c>
      <c r="M433" t="n">
        <v>0</v>
      </c>
      <c r="N433" t="n">
        <v>0</v>
      </c>
      <c r="O433" t="n">
        <v>0</v>
      </c>
      <c r="P433" t="n">
        <v>0</v>
      </c>
      <c r="Q433" t="n">
        <v>0</v>
      </c>
      <c r="R433" s="2" t="inlineStr"/>
    </row>
    <row r="434" ht="15" customHeight="1">
      <c r="A434" t="inlineStr">
        <is>
          <t>A 9048-2022</t>
        </is>
      </c>
      <c r="B434" s="1" t="n">
        <v>44615</v>
      </c>
      <c r="C434" s="1" t="n">
        <v>45586</v>
      </c>
      <c r="D434" t="inlineStr">
        <is>
          <t>VÄSTMANLANDS LÄN</t>
        </is>
      </c>
      <c r="E434" t="inlineStr">
        <is>
          <t>SALA</t>
        </is>
      </c>
      <c r="G434" t="n">
        <v>5.2</v>
      </c>
      <c r="H434" t="n">
        <v>0</v>
      </c>
      <c r="I434" t="n">
        <v>0</v>
      </c>
      <c r="J434" t="n">
        <v>0</v>
      </c>
      <c r="K434" t="n">
        <v>0</v>
      </c>
      <c r="L434" t="n">
        <v>0</v>
      </c>
      <c r="M434" t="n">
        <v>0</v>
      </c>
      <c r="N434" t="n">
        <v>0</v>
      </c>
      <c r="O434" t="n">
        <v>0</v>
      </c>
      <c r="P434" t="n">
        <v>0</v>
      </c>
      <c r="Q434" t="n">
        <v>0</v>
      </c>
      <c r="R434" s="2" t="inlineStr"/>
    </row>
    <row r="435" ht="15" customHeight="1">
      <c r="A435" t="inlineStr">
        <is>
          <t>A 9050-2022</t>
        </is>
      </c>
      <c r="B435" s="1" t="n">
        <v>44615</v>
      </c>
      <c r="C435" s="1" t="n">
        <v>45586</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9075-2022</t>
        </is>
      </c>
      <c r="B436" s="1" t="n">
        <v>44615</v>
      </c>
      <c r="C436" s="1" t="n">
        <v>45586</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9335-2022</t>
        </is>
      </c>
      <c r="B437" s="1" t="n">
        <v>44616</v>
      </c>
      <c r="C437" s="1" t="n">
        <v>45586</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9856-2022</t>
        </is>
      </c>
      <c r="B438" s="1" t="n">
        <v>44620</v>
      </c>
      <c r="C438" s="1" t="n">
        <v>45586</v>
      </c>
      <c r="D438" t="inlineStr">
        <is>
          <t>VÄSTMANLANDS LÄN</t>
        </is>
      </c>
      <c r="E438" t="inlineStr">
        <is>
          <t>SALA</t>
        </is>
      </c>
      <c r="G438" t="n">
        <v>2.4</v>
      </c>
      <c r="H438" t="n">
        <v>0</v>
      </c>
      <c r="I438" t="n">
        <v>0</v>
      </c>
      <c r="J438" t="n">
        <v>0</v>
      </c>
      <c r="K438" t="n">
        <v>0</v>
      </c>
      <c r="L438" t="n">
        <v>0</v>
      </c>
      <c r="M438" t="n">
        <v>0</v>
      </c>
      <c r="N438" t="n">
        <v>0</v>
      </c>
      <c r="O438" t="n">
        <v>0</v>
      </c>
      <c r="P438" t="n">
        <v>0</v>
      </c>
      <c r="Q438" t="n">
        <v>0</v>
      </c>
      <c r="R438" s="2" t="inlineStr"/>
    </row>
    <row r="439" ht="15" customHeight="1">
      <c r="A439" t="inlineStr">
        <is>
          <t>A 10083-2022</t>
        </is>
      </c>
      <c r="B439" s="1" t="n">
        <v>44621</v>
      </c>
      <c r="C439" s="1" t="n">
        <v>45586</v>
      </c>
      <c r="D439" t="inlineStr">
        <is>
          <t>VÄSTMANLANDS LÄN</t>
        </is>
      </c>
      <c r="E439" t="inlineStr">
        <is>
          <t>SALA</t>
        </is>
      </c>
      <c r="G439" t="n">
        <v>7.8</v>
      </c>
      <c r="H439" t="n">
        <v>0</v>
      </c>
      <c r="I439" t="n">
        <v>0</v>
      </c>
      <c r="J439" t="n">
        <v>0</v>
      </c>
      <c r="K439" t="n">
        <v>0</v>
      </c>
      <c r="L439" t="n">
        <v>0</v>
      </c>
      <c r="M439" t="n">
        <v>0</v>
      </c>
      <c r="N439" t="n">
        <v>0</v>
      </c>
      <c r="O439" t="n">
        <v>0</v>
      </c>
      <c r="P439" t="n">
        <v>0</v>
      </c>
      <c r="Q439" t="n">
        <v>0</v>
      </c>
      <c r="R439" s="2" t="inlineStr"/>
    </row>
    <row r="440" ht="15" customHeight="1">
      <c r="A440" t="inlineStr">
        <is>
          <t>A 10168-2022</t>
        </is>
      </c>
      <c r="B440" s="1" t="n">
        <v>44622</v>
      </c>
      <c r="C440" s="1" t="n">
        <v>45586</v>
      </c>
      <c r="D440" t="inlineStr">
        <is>
          <t>VÄSTMANLANDS LÄN</t>
        </is>
      </c>
      <c r="E440" t="inlineStr">
        <is>
          <t>SALA</t>
        </is>
      </c>
      <c r="G440" t="n">
        <v>2.1</v>
      </c>
      <c r="H440" t="n">
        <v>0</v>
      </c>
      <c r="I440" t="n">
        <v>0</v>
      </c>
      <c r="J440" t="n">
        <v>0</v>
      </c>
      <c r="K440" t="n">
        <v>0</v>
      </c>
      <c r="L440" t="n">
        <v>0</v>
      </c>
      <c r="M440" t="n">
        <v>0</v>
      </c>
      <c r="N440" t="n">
        <v>0</v>
      </c>
      <c r="O440" t="n">
        <v>0</v>
      </c>
      <c r="P440" t="n">
        <v>0</v>
      </c>
      <c r="Q440" t="n">
        <v>0</v>
      </c>
      <c r="R440" s="2" t="inlineStr"/>
    </row>
    <row r="441" ht="15" customHeight="1">
      <c r="A441" t="inlineStr">
        <is>
          <t>A 10434-2022</t>
        </is>
      </c>
      <c r="B441" s="1" t="n">
        <v>44623</v>
      </c>
      <c r="C441" s="1" t="n">
        <v>45586</v>
      </c>
      <c r="D441" t="inlineStr">
        <is>
          <t>VÄSTMANLANDS LÄN</t>
        </is>
      </c>
      <c r="E441" t="inlineStr">
        <is>
          <t>SALA</t>
        </is>
      </c>
      <c r="G441" t="n">
        <v>5.5</v>
      </c>
      <c r="H441" t="n">
        <v>0</v>
      </c>
      <c r="I441" t="n">
        <v>0</v>
      </c>
      <c r="J441" t="n">
        <v>0</v>
      </c>
      <c r="K441" t="n">
        <v>0</v>
      </c>
      <c r="L441" t="n">
        <v>0</v>
      </c>
      <c r="M441" t="n">
        <v>0</v>
      </c>
      <c r="N441" t="n">
        <v>0</v>
      </c>
      <c r="O441" t="n">
        <v>0</v>
      </c>
      <c r="P441" t="n">
        <v>0</v>
      </c>
      <c r="Q441" t="n">
        <v>0</v>
      </c>
      <c r="R441" s="2" t="inlineStr"/>
    </row>
    <row r="442" ht="15" customHeight="1">
      <c r="A442" t="inlineStr">
        <is>
          <t>A 10585-2022</t>
        </is>
      </c>
      <c r="B442" s="1" t="n">
        <v>44624</v>
      </c>
      <c r="C442" s="1" t="n">
        <v>45586</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10579-2022</t>
        </is>
      </c>
      <c r="B443" s="1" t="n">
        <v>44624</v>
      </c>
      <c r="C443" s="1" t="n">
        <v>45586</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11370-2022</t>
        </is>
      </c>
      <c r="B444" s="1" t="n">
        <v>44630</v>
      </c>
      <c r="C444" s="1" t="n">
        <v>45586</v>
      </c>
      <c r="D444" t="inlineStr">
        <is>
          <t>VÄSTMANLANDS LÄN</t>
        </is>
      </c>
      <c r="E444" t="inlineStr">
        <is>
          <t>SALA</t>
        </is>
      </c>
      <c r="G444" t="n">
        <v>4.3</v>
      </c>
      <c r="H444" t="n">
        <v>0</v>
      </c>
      <c r="I444" t="n">
        <v>0</v>
      </c>
      <c r="J444" t="n">
        <v>0</v>
      </c>
      <c r="K444" t="n">
        <v>0</v>
      </c>
      <c r="L444" t="n">
        <v>0</v>
      </c>
      <c r="M444" t="n">
        <v>0</v>
      </c>
      <c r="N444" t="n">
        <v>0</v>
      </c>
      <c r="O444" t="n">
        <v>0</v>
      </c>
      <c r="P444" t="n">
        <v>0</v>
      </c>
      <c r="Q444" t="n">
        <v>0</v>
      </c>
      <c r="R444" s="2" t="inlineStr"/>
    </row>
    <row r="445" ht="15" customHeight="1">
      <c r="A445" t="inlineStr">
        <is>
          <t>A 12245-2022</t>
        </is>
      </c>
      <c r="B445" s="1" t="n">
        <v>44637</v>
      </c>
      <c r="C445" s="1" t="n">
        <v>45586</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13608-2022</t>
        </is>
      </c>
      <c r="B446" s="1" t="n">
        <v>44648</v>
      </c>
      <c r="C446" s="1" t="n">
        <v>45586</v>
      </c>
      <c r="D446" t="inlineStr">
        <is>
          <t>VÄSTMANLANDS LÄN</t>
        </is>
      </c>
      <c r="E446" t="inlineStr">
        <is>
          <t>SALA</t>
        </is>
      </c>
      <c r="G446" t="n">
        <v>5.9</v>
      </c>
      <c r="H446" t="n">
        <v>0</v>
      </c>
      <c r="I446" t="n">
        <v>0</v>
      </c>
      <c r="J446" t="n">
        <v>0</v>
      </c>
      <c r="K446" t="n">
        <v>0</v>
      </c>
      <c r="L446" t="n">
        <v>0</v>
      </c>
      <c r="M446" t="n">
        <v>0</v>
      </c>
      <c r="N446" t="n">
        <v>0</v>
      </c>
      <c r="O446" t="n">
        <v>0</v>
      </c>
      <c r="P446" t="n">
        <v>0</v>
      </c>
      <c r="Q446" t="n">
        <v>0</v>
      </c>
      <c r="R446" s="2" t="inlineStr"/>
    </row>
    <row r="447" ht="15" customHeight="1">
      <c r="A447" t="inlineStr">
        <is>
          <t>A 13962-2022</t>
        </is>
      </c>
      <c r="B447" s="1" t="n">
        <v>44650</v>
      </c>
      <c r="C447" s="1" t="n">
        <v>45586</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15850-2022</t>
        </is>
      </c>
      <c r="B448" s="1" t="n">
        <v>44664</v>
      </c>
      <c r="C448" s="1" t="n">
        <v>45586</v>
      </c>
      <c r="D448" t="inlineStr">
        <is>
          <t>VÄSTMANLANDS LÄN</t>
        </is>
      </c>
      <c r="E448" t="inlineStr">
        <is>
          <t>SALA</t>
        </is>
      </c>
      <c r="G448" t="n">
        <v>1</v>
      </c>
      <c r="H448" t="n">
        <v>0</v>
      </c>
      <c r="I448" t="n">
        <v>0</v>
      </c>
      <c r="J448" t="n">
        <v>0</v>
      </c>
      <c r="K448" t="n">
        <v>0</v>
      </c>
      <c r="L448" t="n">
        <v>0</v>
      </c>
      <c r="M448" t="n">
        <v>0</v>
      </c>
      <c r="N448" t="n">
        <v>0</v>
      </c>
      <c r="O448" t="n">
        <v>0</v>
      </c>
      <c r="P448" t="n">
        <v>0</v>
      </c>
      <c r="Q448" t="n">
        <v>0</v>
      </c>
      <c r="R448" s="2" t="inlineStr"/>
    </row>
    <row r="449" ht="15" customHeight="1">
      <c r="A449" t="inlineStr">
        <is>
          <t>A 16255-2022</t>
        </is>
      </c>
      <c r="B449" s="1" t="n">
        <v>44670</v>
      </c>
      <c r="C449" s="1" t="n">
        <v>45586</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16404-2022</t>
        </is>
      </c>
      <c r="B450" s="1" t="n">
        <v>44671</v>
      </c>
      <c r="C450" s="1" t="n">
        <v>45586</v>
      </c>
      <c r="D450" t="inlineStr">
        <is>
          <t>VÄSTMANLANDS LÄN</t>
        </is>
      </c>
      <c r="E450" t="inlineStr">
        <is>
          <t>SALA</t>
        </is>
      </c>
      <c r="G450" t="n">
        <v>0.8</v>
      </c>
      <c r="H450" t="n">
        <v>0</v>
      </c>
      <c r="I450" t="n">
        <v>0</v>
      </c>
      <c r="J450" t="n">
        <v>0</v>
      </c>
      <c r="K450" t="n">
        <v>0</v>
      </c>
      <c r="L450" t="n">
        <v>0</v>
      </c>
      <c r="M450" t="n">
        <v>0</v>
      </c>
      <c r="N450" t="n">
        <v>0</v>
      </c>
      <c r="O450" t="n">
        <v>0</v>
      </c>
      <c r="P450" t="n">
        <v>0</v>
      </c>
      <c r="Q450" t="n">
        <v>0</v>
      </c>
      <c r="R450" s="2" t="inlineStr"/>
    </row>
    <row r="451" ht="15" customHeight="1">
      <c r="A451" t="inlineStr">
        <is>
          <t>A 16768-2022</t>
        </is>
      </c>
      <c r="B451" s="1" t="n">
        <v>44673</v>
      </c>
      <c r="C451" s="1" t="n">
        <v>45586</v>
      </c>
      <c r="D451" t="inlineStr">
        <is>
          <t>VÄSTMANLANDS LÄN</t>
        </is>
      </c>
      <c r="E451" t="inlineStr">
        <is>
          <t>SALA</t>
        </is>
      </c>
      <c r="G451" t="n">
        <v>4.7</v>
      </c>
      <c r="H451" t="n">
        <v>0</v>
      </c>
      <c r="I451" t="n">
        <v>0</v>
      </c>
      <c r="J451" t="n">
        <v>0</v>
      </c>
      <c r="K451" t="n">
        <v>0</v>
      </c>
      <c r="L451" t="n">
        <v>0</v>
      </c>
      <c r="M451" t="n">
        <v>0</v>
      </c>
      <c r="N451" t="n">
        <v>0</v>
      </c>
      <c r="O451" t="n">
        <v>0</v>
      </c>
      <c r="P451" t="n">
        <v>0</v>
      </c>
      <c r="Q451" t="n">
        <v>0</v>
      </c>
      <c r="R451" s="2" t="inlineStr"/>
    </row>
    <row r="452" ht="15" customHeight="1">
      <c r="A452" t="inlineStr">
        <is>
          <t>A 16905-2022</t>
        </is>
      </c>
      <c r="B452" s="1" t="n">
        <v>44676</v>
      </c>
      <c r="C452" s="1" t="n">
        <v>45586</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17897-2022</t>
        </is>
      </c>
      <c r="B453" s="1" t="n">
        <v>44683</v>
      </c>
      <c r="C453" s="1" t="n">
        <v>45586</v>
      </c>
      <c r="D453" t="inlineStr">
        <is>
          <t>VÄSTMANLANDS LÄN</t>
        </is>
      </c>
      <c r="E453" t="inlineStr">
        <is>
          <t>SALA</t>
        </is>
      </c>
      <c r="G453" t="n">
        <v>1.2</v>
      </c>
      <c r="H453" t="n">
        <v>0</v>
      </c>
      <c r="I453" t="n">
        <v>0</v>
      </c>
      <c r="J453" t="n">
        <v>0</v>
      </c>
      <c r="K453" t="n">
        <v>0</v>
      </c>
      <c r="L453" t="n">
        <v>0</v>
      </c>
      <c r="M453" t="n">
        <v>0</v>
      </c>
      <c r="N453" t="n">
        <v>0</v>
      </c>
      <c r="O453" t="n">
        <v>0</v>
      </c>
      <c r="P453" t="n">
        <v>0</v>
      </c>
      <c r="Q453" t="n">
        <v>0</v>
      </c>
      <c r="R453" s="2" t="inlineStr"/>
    </row>
    <row r="454" ht="15" customHeight="1">
      <c r="A454" t="inlineStr">
        <is>
          <t>A 19058-2022</t>
        </is>
      </c>
      <c r="B454" s="1" t="n">
        <v>44691</v>
      </c>
      <c r="C454" s="1" t="n">
        <v>45586</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19065-2022</t>
        </is>
      </c>
      <c r="B455" s="1" t="n">
        <v>44691</v>
      </c>
      <c r="C455" s="1" t="n">
        <v>45586</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19751-2022</t>
        </is>
      </c>
      <c r="B456" s="1" t="n">
        <v>44694</v>
      </c>
      <c r="C456" s="1" t="n">
        <v>45586</v>
      </c>
      <c r="D456" t="inlineStr">
        <is>
          <t>VÄSTMANLANDS LÄN</t>
        </is>
      </c>
      <c r="E456" t="inlineStr">
        <is>
          <t>SALA</t>
        </is>
      </c>
      <c r="G456" t="n">
        <v>2.7</v>
      </c>
      <c r="H456" t="n">
        <v>0</v>
      </c>
      <c r="I456" t="n">
        <v>0</v>
      </c>
      <c r="J456" t="n">
        <v>0</v>
      </c>
      <c r="K456" t="n">
        <v>0</v>
      </c>
      <c r="L456" t="n">
        <v>0</v>
      </c>
      <c r="M456" t="n">
        <v>0</v>
      </c>
      <c r="N456" t="n">
        <v>0</v>
      </c>
      <c r="O456" t="n">
        <v>0</v>
      </c>
      <c r="P456" t="n">
        <v>0</v>
      </c>
      <c r="Q456" t="n">
        <v>0</v>
      </c>
      <c r="R456" s="2" t="inlineStr"/>
    </row>
    <row r="457" ht="15" customHeight="1">
      <c r="A457" t="inlineStr">
        <is>
          <t>A 19760-2022</t>
        </is>
      </c>
      <c r="B457" s="1" t="n">
        <v>44694</v>
      </c>
      <c r="C457" s="1" t="n">
        <v>45586</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20344-2022</t>
        </is>
      </c>
      <c r="B458" s="1" t="n">
        <v>44699</v>
      </c>
      <c r="C458" s="1" t="n">
        <v>45586</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20352-2022</t>
        </is>
      </c>
      <c r="B459" s="1" t="n">
        <v>44699</v>
      </c>
      <c r="C459" s="1" t="n">
        <v>45586</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20875-2022</t>
        </is>
      </c>
      <c r="B460" s="1" t="n">
        <v>44701</v>
      </c>
      <c r="C460" s="1" t="n">
        <v>45586</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21055-2022</t>
        </is>
      </c>
      <c r="B461" s="1" t="n">
        <v>44704</v>
      </c>
      <c r="C461" s="1" t="n">
        <v>45586</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21053-2022</t>
        </is>
      </c>
      <c r="B462" s="1" t="n">
        <v>44704</v>
      </c>
      <c r="C462" s="1" t="n">
        <v>45586</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21159-2022</t>
        </is>
      </c>
      <c r="B463" s="1" t="n">
        <v>44704</v>
      </c>
      <c r="C463" s="1" t="n">
        <v>45586</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21777-2022</t>
        </is>
      </c>
      <c r="B464" s="1" t="n">
        <v>44708</v>
      </c>
      <c r="C464" s="1" t="n">
        <v>45586</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22397-2022</t>
        </is>
      </c>
      <c r="B465" s="1" t="n">
        <v>44713</v>
      </c>
      <c r="C465" s="1" t="n">
        <v>45586</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22575-2022</t>
        </is>
      </c>
      <c r="B466" s="1" t="n">
        <v>44713</v>
      </c>
      <c r="C466" s="1" t="n">
        <v>45586</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22562-2022</t>
        </is>
      </c>
      <c r="B467" s="1" t="n">
        <v>44713</v>
      </c>
      <c r="C467" s="1" t="n">
        <v>45586</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22811-2022</t>
        </is>
      </c>
      <c r="B468" s="1" t="n">
        <v>44715</v>
      </c>
      <c r="C468" s="1" t="n">
        <v>45586</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23119-2022</t>
        </is>
      </c>
      <c r="B469" s="1" t="n">
        <v>44719</v>
      </c>
      <c r="C469" s="1" t="n">
        <v>45586</v>
      </c>
      <c r="D469" t="inlineStr">
        <is>
          <t>VÄSTMANLANDS LÄN</t>
        </is>
      </c>
      <c r="E469" t="inlineStr">
        <is>
          <t>SALA</t>
        </is>
      </c>
      <c r="G469" t="n">
        <v>7</v>
      </c>
      <c r="H469" t="n">
        <v>0</v>
      </c>
      <c r="I469" t="n">
        <v>0</v>
      </c>
      <c r="J469" t="n">
        <v>0</v>
      </c>
      <c r="K469" t="n">
        <v>0</v>
      </c>
      <c r="L469" t="n">
        <v>0</v>
      </c>
      <c r="M469" t="n">
        <v>0</v>
      </c>
      <c r="N469" t="n">
        <v>0</v>
      </c>
      <c r="O469" t="n">
        <v>0</v>
      </c>
      <c r="P469" t="n">
        <v>0</v>
      </c>
      <c r="Q469" t="n">
        <v>0</v>
      </c>
      <c r="R469" s="2" t="inlineStr"/>
    </row>
    <row r="470" ht="15" customHeight="1">
      <c r="A470" t="inlineStr">
        <is>
          <t>A 23181-2022</t>
        </is>
      </c>
      <c r="B470" s="1" t="n">
        <v>44719</v>
      </c>
      <c r="C470" s="1" t="n">
        <v>45586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23180-2022</t>
        </is>
      </c>
      <c r="B471" s="1" t="n">
        <v>44719</v>
      </c>
      <c r="C471" s="1" t="n">
        <v>45586</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23182-2022</t>
        </is>
      </c>
      <c r="B472" s="1" t="n">
        <v>44719</v>
      </c>
      <c r="C472" s="1" t="n">
        <v>45586</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23757-2022</t>
        </is>
      </c>
      <c r="B473" s="1" t="n">
        <v>44722</v>
      </c>
      <c r="C473" s="1" t="n">
        <v>45586</v>
      </c>
      <c r="D473" t="inlineStr">
        <is>
          <t>VÄSTMANLANDS LÄN</t>
        </is>
      </c>
      <c r="E473" t="inlineStr">
        <is>
          <t>SALA</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23847-2022</t>
        </is>
      </c>
      <c r="B474" s="1" t="n">
        <v>44722</v>
      </c>
      <c r="C474" s="1" t="n">
        <v>45586</v>
      </c>
      <c r="D474" t="inlineStr">
        <is>
          <t>VÄSTMANLANDS LÄN</t>
        </is>
      </c>
      <c r="E474" t="inlineStr">
        <is>
          <t>SALA</t>
        </is>
      </c>
      <c r="G474" t="n">
        <v>1</v>
      </c>
      <c r="H474" t="n">
        <v>0</v>
      </c>
      <c r="I474" t="n">
        <v>0</v>
      </c>
      <c r="J474" t="n">
        <v>0</v>
      </c>
      <c r="K474" t="n">
        <v>0</v>
      </c>
      <c r="L474" t="n">
        <v>0</v>
      </c>
      <c r="M474" t="n">
        <v>0</v>
      </c>
      <c r="N474" t="n">
        <v>0</v>
      </c>
      <c r="O474" t="n">
        <v>0</v>
      </c>
      <c r="P474" t="n">
        <v>0</v>
      </c>
      <c r="Q474" t="n">
        <v>0</v>
      </c>
      <c r="R474" s="2" t="inlineStr"/>
    </row>
    <row r="475" ht="15" customHeight="1">
      <c r="A475" t="inlineStr">
        <is>
          <t>A 24818-2022</t>
        </is>
      </c>
      <c r="B475" s="1" t="n">
        <v>44727</v>
      </c>
      <c r="C475" s="1" t="n">
        <v>45586</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24835-2022</t>
        </is>
      </c>
      <c r="B476" s="1" t="n">
        <v>44727</v>
      </c>
      <c r="C476" s="1" t="n">
        <v>45586</v>
      </c>
      <c r="D476" t="inlineStr">
        <is>
          <t>VÄSTMANLANDS LÄN</t>
        </is>
      </c>
      <c r="E476" t="inlineStr">
        <is>
          <t>SALA</t>
        </is>
      </c>
      <c r="G476" t="n">
        <v>5.8</v>
      </c>
      <c r="H476" t="n">
        <v>0</v>
      </c>
      <c r="I476" t="n">
        <v>0</v>
      </c>
      <c r="J476" t="n">
        <v>0</v>
      </c>
      <c r="K476" t="n">
        <v>0</v>
      </c>
      <c r="L476" t="n">
        <v>0</v>
      </c>
      <c r="M476" t="n">
        <v>0</v>
      </c>
      <c r="N476" t="n">
        <v>0</v>
      </c>
      <c r="O476" t="n">
        <v>0</v>
      </c>
      <c r="P476" t="n">
        <v>0</v>
      </c>
      <c r="Q476" t="n">
        <v>0</v>
      </c>
      <c r="R476" s="2" t="inlineStr"/>
    </row>
    <row r="477" ht="15" customHeight="1">
      <c r="A477" t="inlineStr">
        <is>
          <t>A 24882-2022</t>
        </is>
      </c>
      <c r="B477" s="1" t="n">
        <v>44728</v>
      </c>
      <c r="C477" s="1" t="n">
        <v>45586</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45586</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25748-2022</t>
        </is>
      </c>
      <c r="B479" s="1" t="n">
        <v>44732</v>
      </c>
      <c r="C479" s="1" t="n">
        <v>45586</v>
      </c>
      <c r="D479" t="inlineStr">
        <is>
          <t>VÄSTMANLANDS LÄN</t>
        </is>
      </c>
      <c r="E479" t="inlineStr">
        <is>
          <t>SALA</t>
        </is>
      </c>
      <c r="G479" t="n">
        <v>7.7</v>
      </c>
      <c r="H479" t="n">
        <v>0</v>
      </c>
      <c r="I479" t="n">
        <v>0</v>
      </c>
      <c r="J479" t="n">
        <v>0</v>
      </c>
      <c r="K479" t="n">
        <v>0</v>
      </c>
      <c r="L479" t="n">
        <v>0</v>
      </c>
      <c r="M479" t="n">
        <v>0</v>
      </c>
      <c r="N479" t="n">
        <v>0</v>
      </c>
      <c r="O479" t="n">
        <v>0</v>
      </c>
      <c r="P479" t="n">
        <v>0</v>
      </c>
      <c r="Q479" t="n">
        <v>0</v>
      </c>
      <c r="R479" s="2" t="inlineStr"/>
    </row>
    <row r="480" ht="15" customHeight="1">
      <c r="A480" t="inlineStr">
        <is>
          <t>A 27229-2022</t>
        </is>
      </c>
      <c r="B480" s="1" t="n">
        <v>44741</v>
      </c>
      <c r="C480" s="1" t="n">
        <v>45586</v>
      </c>
      <c r="D480" t="inlineStr">
        <is>
          <t>VÄSTMANLANDS LÄN</t>
        </is>
      </c>
      <c r="E480" t="inlineStr">
        <is>
          <t>SALA</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27240-2022</t>
        </is>
      </c>
      <c r="B481" s="1" t="n">
        <v>44741</v>
      </c>
      <c r="C481" s="1" t="n">
        <v>45586</v>
      </c>
      <c r="D481" t="inlineStr">
        <is>
          <t>VÄSTMANLANDS LÄN</t>
        </is>
      </c>
      <c r="E481" t="inlineStr">
        <is>
          <t>SALA</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27446-2022</t>
        </is>
      </c>
      <c r="B482" s="1" t="n">
        <v>44742</v>
      </c>
      <c r="C482" s="1" t="n">
        <v>45586</v>
      </c>
      <c r="D482" t="inlineStr">
        <is>
          <t>VÄSTMANLANDS LÄN</t>
        </is>
      </c>
      <c r="E482" t="inlineStr">
        <is>
          <t>SALA</t>
        </is>
      </c>
      <c r="G482" t="n">
        <v>6.7</v>
      </c>
      <c r="H482" t="n">
        <v>0</v>
      </c>
      <c r="I482" t="n">
        <v>0</v>
      </c>
      <c r="J482" t="n">
        <v>0</v>
      </c>
      <c r="K482" t="n">
        <v>0</v>
      </c>
      <c r="L482" t="n">
        <v>0</v>
      </c>
      <c r="M482" t="n">
        <v>0</v>
      </c>
      <c r="N482" t="n">
        <v>0</v>
      </c>
      <c r="O482" t="n">
        <v>0</v>
      </c>
      <c r="P482" t="n">
        <v>0</v>
      </c>
      <c r="Q482" t="n">
        <v>0</v>
      </c>
      <c r="R482" s="2" t="inlineStr"/>
    </row>
    <row r="483" ht="15" customHeight="1">
      <c r="A483" t="inlineStr">
        <is>
          <t>A 27528-2022</t>
        </is>
      </c>
      <c r="B483" s="1" t="n">
        <v>44742</v>
      </c>
      <c r="C483" s="1" t="n">
        <v>45586</v>
      </c>
      <c r="D483" t="inlineStr">
        <is>
          <t>VÄSTMANLANDS LÄN</t>
        </is>
      </c>
      <c r="E483" t="inlineStr">
        <is>
          <t>SALA</t>
        </is>
      </c>
      <c r="G483" t="n">
        <v>3.2</v>
      </c>
      <c r="H483" t="n">
        <v>0</v>
      </c>
      <c r="I483" t="n">
        <v>0</v>
      </c>
      <c r="J483" t="n">
        <v>0</v>
      </c>
      <c r="K483" t="n">
        <v>0</v>
      </c>
      <c r="L483" t="n">
        <v>0</v>
      </c>
      <c r="M483" t="n">
        <v>0</v>
      </c>
      <c r="N483" t="n">
        <v>0</v>
      </c>
      <c r="O483" t="n">
        <v>0</v>
      </c>
      <c r="P483" t="n">
        <v>0</v>
      </c>
      <c r="Q483" t="n">
        <v>0</v>
      </c>
      <c r="R483" s="2" t="inlineStr"/>
    </row>
    <row r="484" ht="15" customHeight="1">
      <c r="A484" t="inlineStr">
        <is>
          <t>A 27486-2022</t>
        </is>
      </c>
      <c r="B484" s="1" t="n">
        <v>44742</v>
      </c>
      <c r="C484" s="1" t="n">
        <v>45586</v>
      </c>
      <c r="D484" t="inlineStr">
        <is>
          <t>VÄSTMANLANDS LÄN</t>
        </is>
      </c>
      <c r="E484" t="inlineStr">
        <is>
          <t>SALA</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28069-2022</t>
        </is>
      </c>
      <c r="B485" s="1" t="n">
        <v>44746</v>
      </c>
      <c r="C485" s="1" t="n">
        <v>45586</v>
      </c>
      <c r="D485" t="inlineStr">
        <is>
          <t>VÄSTMANLANDS LÄN</t>
        </is>
      </c>
      <c r="E485" t="inlineStr">
        <is>
          <t>SALA</t>
        </is>
      </c>
      <c r="G485" t="n">
        <v>2.8</v>
      </c>
      <c r="H485" t="n">
        <v>0</v>
      </c>
      <c r="I485" t="n">
        <v>0</v>
      </c>
      <c r="J485" t="n">
        <v>0</v>
      </c>
      <c r="K485" t="n">
        <v>0</v>
      </c>
      <c r="L485" t="n">
        <v>0</v>
      </c>
      <c r="M485" t="n">
        <v>0</v>
      </c>
      <c r="N485" t="n">
        <v>0</v>
      </c>
      <c r="O485" t="n">
        <v>0</v>
      </c>
      <c r="P485" t="n">
        <v>0</v>
      </c>
      <c r="Q485" t="n">
        <v>0</v>
      </c>
      <c r="R485" s="2" t="inlineStr"/>
    </row>
    <row r="486" ht="15" customHeight="1">
      <c r="A486" t="inlineStr">
        <is>
          <t>A 28215-2022</t>
        </is>
      </c>
      <c r="B486" s="1" t="n">
        <v>44746</v>
      </c>
      <c r="C486" s="1" t="n">
        <v>45586</v>
      </c>
      <c r="D486" t="inlineStr">
        <is>
          <t>VÄSTMANLANDS LÄN</t>
        </is>
      </c>
      <c r="E486" t="inlineStr">
        <is>
          <t>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28402-2022</t>
        </is>
      </c>
      <c r="B487" s="1" t="n">
        <v>44747</v>
      </c>
      <c r="C487" s="1" t="n">
        <v>45586</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28863-2022</t>
        </is>
      </c>
      <c r="B488" s="1" t="n">
        <v>44749</v>
      </c>
      <c r="C488" s="1" t="n">
        <v>45586</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28875-2022</t>
        </is>
      </c>
      <c r="B489" s="1" t="n">
        <v>44749</v>
      </c>
      <c r="C489" s="1" t="n">
        <v>45586</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28999-2022</t>
        </is>
      </c>
      <c r="B490" s="1" t="n">
        <v>44749</v>
      </c>
      <c r="C490" s="1" t="n">
        <v>45586</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28827-2022</t>
        </is>
      </c>
      <c r="B491" s="1" t="n">
        <v>44749</v>
      </c>
      <c r="C491" s="1" t="n">
        <v>45586</v>
      </c>
      <c r="D491" t="inlineStr">
        <is>
          <t>VÄSTMANLANDS LÄN</t>
        </is>
      </c>
      <c r="E491" t="inlineStr">
        <is>
          <t>SALA</t>
        </is>
      </c>
      <c r="F491" t="inlineStr">
        <is>
          <t>Kommuner</t>
        </is>
      </c>
      <c r="G491" t="n">
        <v>11.9</v>
      </c>
      <c r="H491" t="n">
        <v>0</v>
      </c>
      <c r="I491" t="n">
        <v>0</v>
      </c>
      <c r="J491" t="n">
        <v>0</v>
      </c>
      <c r="K491" t="n">
        <v>0</v>
      </c>
      <c r="L491" t="n">
        <v>0</v>
      </c>
      <c r="M491" t="n">
        <v>0</v>
      </c>
      <c r="N491" t="n">
        <v>0</v>
      </c>
      <c r="O491" t="n">
        <v>0</v>
      </c>
      <c r="P491" t="n">
        <v>0</v>
      </c>
      <c r="Q491" t="n">
        <v>0</v>
      </c>
      <c r="R491" s="2" t="inlineStr"/>
    </row>
    <row r="492" ht="15" customHeight="1">
      <c r="A492" t="inlineStr">
        <is>
          <t>A 28873-2022</t>
        </is>
      </c>
      <c r="B492" s="1" t="n">
        <v>44749</v>
      </c>
      <c r="C492" s="1" t="n">
        <v>45586</v>
      </c>
      <c r="D492" t="inlineStr">
        <is>
          <t>VÄSTMANLANDS LÄN</t>
        </is>
      </c>
      <c r="E492" t="inlineStr">
        <is>
          <t>SALA</t>
        </is>
      </c>
      <c r="G492" t="n">
        <v>2.7</v>
      </c>
      <c r="H492" t="n">
        <v>0</v>
      </c>
      <c r="I492" t="n">
        <v>0</v>
      </c>
      <c r="J492" t="n">
        <v>0</v>
      </c>
      <c r="K492" t="n">
        <v>0</v>
      </c>
      <c r="L492" t="n">
        <v>0</v>
      </c>
      <c r="M492" t="n">
        <v>0</v>
      </c>
      <c r="N492" t="n">
        <v>0</v>
      </c>
      <c r="O492" t="n">
        <v>0</v>
      </c>
      <c r="P492" t="n">
        <v>0</v>
      </c>
      <c r="Q492" t="n">
        <v>0</v>
      </c>
      <c r="R492" s="2" t="inlineStr"/>
    </row>
    <row r="493" ht="15" customHeight="1">
      <c r="A493" t="inlineStr">
        <is>
          <t>A 29002-2022</t>
        </is>
      </c>
      <c r="B493" s="1" t="n">
        <v>44749</v>
      </c>
      <c r="C493" s="1" t="n">
        <v>45586</v>
      </c>
      <c r="D493" t="inlineStr">
        <is>
          <t>VÄSTMANLANDS LÄN</t>
        </is>
      </c>
      <c r="E493" t="inlineStr">
        <is>
          <t>SALA</t>
        </is>
      </c>
      <c r="G493" t="n">
        <v>5.4</v>
      </c>
      <c r="H493" t="n">
        <v>0</v>
      </c>
      <c r="I493" t="n">
        <v>0</v>
      </c>
      <c r="J493" t="n">
        <v>0</v>
      </c>
      <c r="K493" t="n">
        <v>0</v>
      </c>
      <c r="L493" t="n">
        <v>0</v>
      </c>
      <c r="M493" t="n">
        <v>0</v>
      </c>
      <c r="N493" t="n">
        <v>0</v>
      </c>
      <c r="O493" t="n">
        <v>0</v>
      </c>
      <c r="P493" t="n">
        <v>0</v>
      </c>
      <c r="Q493" t="n">
        <v>0</v>
      </c>
      <c r="R493" s="2" t="inlineStr"/>
    </row>
    <row r="494" ht="15" customHeight="1">
      <c r="A494" t="inlineStr">
        <is>
          <t>A 28868-2022</t>
        </is>
      </c>
      <c r="B494" s="1" t="n">
        <v>44749</v>
      </c>
      <c r="C494" s="1" t="n">
        <v>45586</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28874-2022</t>
        </is>
      </c>
      <c r="B495" s="1" t="n">
        <v>44749</v>
      </c>
      <c r="C495" s="1" t="n">
        <v>45586</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28879-2022</t>
        </is>
      </c>
      <c r="B496" s="1" t="n">
        <v>44749</v>
      </c>
      <c r="C496" s="1" t="n">
        <v>45586</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29235-2022</t>
        </is>
      </c>
      <c r="B497" s="1" t="n">
        <v>44750</v>
      </c>
      <c r="C497" s="1" t="n">
        <v>45586</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29228-2022</t>
        </is>
      </c>
      <c r="B498" s="1" t="n">
        <v>44750</v>
      </c>
      <c r="C498" s="1" t="n">
        <v>45586</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29233-2022</t>
        </is>
      </c>
      <c r="B499" s="1" t="n">
        <v>44750</v>
      </c>
      <c r="C499" s="1" t="n">
        <v>45586</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29248-2022</t>
        </is>
      </c>
      <c r="B500" s="1" t="n">
        <v>44750</v>
      </c>
      <c r="C500" s="1" t="n">
        <v>45586</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29230-2022</t>
        </is>
      </c>
      <c r="B501" s="1" t="n">
        <v>44750</v>
      </c>
      <c r="C501" s="1" t="n">
        <v>45586</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29133-2022</t>
        </is>
      </c>
      <c r="B502" s="1" t="n">
        <v>44750</v>
      </c>
      <c r="C502" s="1" t="n">
        <v>45586</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29213-2022</t>
        </is>
      </c>
      <c r="B503" s="1" t="n">
        <v>44750</v>
      </c>
      <c r="C503" s="1" t="n">
        <v>45586</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29963-2022</t>
        </is>
      </c>
      <c r="B504" s="1" t="n">
        <v>44756</v>
      </c>
      <c r="C504" s="1" t="n">
        <v>45586</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29965-2022</t>
        </is>
      </c>
      <c r="B505" s="1" t="n">
        <v>44756</v>
      </c>
      <c r="C505" s="1" t="n">
        <v>45586</v>
      </c>
      <c r="D505" t="inlineStr">
        <is>
          <t>VÄSTMANLANDS LÄN</t>
        </is>
      </c>
      <c r="E505" t="inlineStr">
        <is>
          <t>SALA</t>
        </is>
      </c>
      <c r="G505" t="n">
        <v>1.5</v>
      </c>
      <c r="H505" t="n">
        <v>0</v>
      </c>
      <c r="I505" t="n">
        <v>0</v>
      </c>
      <c r="J505" t="n">
        <v>0</v>
      </c>
      <c r="K505" t="n">
        <v>0</v>
      </c>
      <c r="L505" t="n">
        <v>0</v>
      </c>
      <c r="M505" t="n">
        <v>0</v>
      </c>
      <c r="N505" t="n">
        <v>0</v>
      </c>
      <c r="O505" t="n">
        <v>0</v>
      </c>
      <c r="P505" t="n">
        <v>0</v>
      </c>
      <c r="Q505" t="n">
        <v>0</v>
      </c>
      <c r="R505" s="2" t="inlineStr"/>
    </row>
    <row r="506" ht="15" customHeight="1">
      <c r="A506" t="inlineStr">
        <is>
          <t>A 29982-2022</t>
        </is>
      </c>
      <c r="B506" s="1" t="n">
        <v>44756</v>
      </c>
      <c r="C506" s="1" t="n">
        <v>45586</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30360-2022</t>
        </is>
      </c>
      <c r="B507" s="1" t="n">
        <v>44760</v>
      </c>
      <c r="C507" s="1" t="n">
        <v>45586</v>
      </c>
      <c r="D507" t="inlineStr">
        <is>
          <t>VÄSTMANLANDS LÄN</t>
        </is>
      </c>
      <c r="E507" t="inlineStr">
        <is>
          <t>SALA</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30442-2022</t>
        </is>
      </c>
      <c r="B508" s="1" t="n">
        <v>44761</v>
      </c>
      <c r="C508" s="1" t="n">
        <v>45586</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30971-2022</t>
        </is>
      </c>
      <c r="B509" s="1" t="n">
        <v>44768</v>
      </c>
      <c r="C509" s="1" t="n">
        <v>45586</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31000-2022</t>
        </is>
      </c>
      <c r="B510" s="1" t="n">
        <v>44768</v>
      </c>
      <c r="C510" s="1" t="n">
        <v>45586</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31373-2022</t>
        </is>
      </c>
      <c r="B511" s="1" t="n">
        <v>44774</v>
      </c>
      <c r="C511" s="1" t="n">
        <v>45586</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31380-2022</t>
        </is>
      </c>
      <c r="B512" s="1" t="n">
        <v>44774</v>
      </c>
      <c r="C512" s="1" t="n">
        <v>45586</v>
      </c>
      <c r="D512" t="inlineStr">
        <is>
          <t>VÄSTMANLANDS LÄN</t>
        </is>
      </c>
      <c r="E512" t="inlineStr">
        <is>
          <t>SALA</t>
        </is>
      </c>
      <c r="G512" t="n">
        <v>4.7</v>
      </c>
      <c r="H512" t="n">
        <v>0</v>
      </c>
      <c r="I512" t="n">
        <v>0</v>
      </c>
      <c r="J512" t="n">
        <v>0</v>
      </c>
      <c r="K512" t="n">
        <v>0</v>
      </c>
      <c r="L512" t="n">
        <v>0</v>
      </c>
      <c r="M512" t="n">
        <v>0</v>
      </c>
      <c r="N512" t="n">
        <v>0</v>
      </c>
      <c r="O512" t="n">
        <v>0</v>
      </c>
      <c r="P512" t="n">
        <v>0</v>
      </c>
      <c r="Q512" t="n">
        <v>0</v>
      </c>
      <c r="R512" s="2" t="inlineStr"/>
    </row>
    <row r="513" ht="15" customHeight="1">
      <c r="A513" t="inlineStr">
        <is>
          <t>A 31387-2022</t>
        </is>
      </c>
      <c r="B513" s="1" t="n">
        <v>44774</v>
      </c>
      <c r="C513" s="1" t="n">
        <v>45586</v>
      </c>
      <c r="D513" t="inlineStr">
        <is>
          <t>VÄSTMANLANDS LÄN</t>
        </is>
      </c>
      <c r="E513" t="inlineStr">
        <is>
          <t>SALA</t>
        </is>
      </c>
      <c r="G513" t="n">
        <v>5.8</v>
      </c>
      <c r="H513" t="n">
        <v>0</v>
      </c>
      <c r="I513" t="n">
        <v>0</v>
      </c>
      <c r="J513" t="n">
        <v>0</v>
      </c>
      <c r="K513" t="n">
        <v>0</v>
      </c>
      <c r="L513" t="n">
        <v>0</v>
      </c>
      <c r="M513" t="n">
        <v>0</v>
      </c>
      <c r="N513" t="n">
        <v>0</v>
      </c>
      <c r="O513" t="n">
        <v>0</v>
      </c>
      <c r="P513" t="n">
        <v>0</v>
      </c>
      <c r="Q513" t="n">
        <v>0</v>
      </c>
      <c r="R513" s="2" t="inlineStr"/>
    </row>
    <row r="514" ht="15" customHeight="1">
      <c r="A514" t="inlineStr">
        <is>
          <t>A 31394-2022</t>
        </is>
      </c>
      <c r="B514" s="1" t="n">
        <v>44774</v>
      </c>
      <c r="C514" s="1" t="n">
        <v>45586</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33309-2022</t>
        </is>
      </c>
      <c r="B515" s="1" t="n">
        <v>44788</v>
      </c>
      <c r="C515" s="1" t="n">
        <v>45586</v>
      </c>
      <c r="D515" t="inlineStr">
        <is>
          <t>VÄSTMANLANDS LÄN</t>
        </is>
      </c>
      <c r="E515" t="inlineStr">
        <is>
          <t>SALA</t>
        </is>
      </c>
      <c r="G515" t="n">
        <v>2.6</v>
      </c>
      <c r="H515" t="n">
        <v>0</v>
      </c>
      <c r="I515" t="n">
        <v>0</v>
      </c>
      <c r="J515" t="n">
        <v>0</v>
      </c>
      <c r="K515" t="n">
        <v>0</v>
      </c>
      <c r="L515" t="n">
        <v>0</v>
      </c>
      <c r="M515" t="n">
        <v>0</v>
      </c>
      <c r="N515" t="n">
        <v>0</v>
      </c>
      <c r="O515" t="n">
        <v>0</v>
      </c>
      <c r="P515" t="n">
        <v>0</v>
      </c>
      <c r="Q515" t="n">
        <v>0</v>
      </c>
      <c r="R515" s="2" t="inlineStr"/>
    </row>
    <row r="516" ht="15" customHeight="1">
      <c r="A516" t="inlineStr">
        <is>
          <t>A 34110-2022</t>
        </is>
      </c>
      <c r="B516" s="1" t="n">
        <v>44791</v>
      </c>
      <c r="C516" s="1" t="n">
        <v>45586</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34468-2022</t>
        </is>
      </c>
      <c r="B517" s="1" t="n">
        <v>44792</v>
      </c>
      <c r="C517" s="1" t="n">
        <v>45586</v>
      </c>
      <c r="D517" t="inlineStr">
        <is>
          <t>VÄSTMANLANDS LÄN</t>
        </is>
      </c>
      <c r="E517" t="inlineStr">
        <is>
          <t>SALA</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34737-2022</t>
        </is>
      </c>
      <c r="B518" s="1" t="n">
        <v>44795</v>
      </c>
      <c r="C518" s="1" t="n">
        <v>45586</v>
      </c>
      <c r="D518" t="inlineStr">
        <is>
          <t>VÄSTMANLANDS LÄN</t>
        </is>
      </c>
      <c r="E518" t="inlineStr">
        <is>
          <t>SALA</t>
        </is>
      </c>
      <c r="G518" t="n">
        <v>1.3</v>
      </c>
      <c r="H518" t="n">
        <v>0</v>
      </c>
      <c r="I518" t="n">
        <v>0</v>
      </c>
      <c r="J518" t="n">
        <v>0</v>
      </c>
      <c r="K518" t="n">
        <v>0</v>
      </c>
      <c r="L518" t="n">
        <v>0</v>
      </c>
      <c r="M518" t="n">
        <v>0</v>
      </c>
      <c r="N518" t="n">
        <v>0</v>
      </c>
      <c r="O518" t="n">
        <v>0</v>
      </c>
      <c r="P518" t="n">
        <v>0</v>
      </c>
      <c r="Q518" t="n">
        <v>0</v>
      </c>
      <c r="R518" s="2" t="inlineStr"/>
    </row>
    <row r="519" ht="15" customHeight="1">
      <c r="A519" t="inlineStr">
        <is>
          <t>A 35410-2022</t>
        </is>
      </c>
      <c r="B519" s="1" t="n">
        <v>44798</v>
      </c>
      <c r="C519" s="1" t="n">
        <v>45586</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35637-2022</t>
        </is>
      </c>
      <c r="B520" s="1" t="n">
        <v>44799</v>
      </c>
      <c r="C520" s="1" t="n">
        <v>45586</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38081-2022</t>
        </is>
      </c>
      <c r="B521" s="1" t="n">
        <v>44811</v>
      </c>
      <c r="C521" s="1" t="n">
        <v>45586</v>
      </c>
      <c r="D521" t="inlineStr">
        <is>
          <t>VÄSTMANLANDS LÄN</t>
        </is>
      </c>
      <c r="E521" t="inlineStr">
        <is>
          <t>SALA</t>
        </is>
      </c>
      <c r="G521" t="n">
        <v>3.4</v>
      </c>
      <c r="H521" t="n">
        <v>0</v>
      </c>
      <c r="I521" t="n">
        <v>0</v>
      </c>
      <c r="J521" t="n">
        <v>0</v>
      </c>
      <c r="K521" t="n">
        <v>0</v>
      </c>
      <c r="L521" t="n">
        <v>0</v>
      </c>
      <c r="M521" t="n">
        <v>0</v>
      </c>
      <c r="N521" t="n">
        <v>0</v>
      </c>
      <c r="O521" t="n">
        <v>0</v>
      </c>
      <c r="P521" t="n">
        <v>0</v>
      </c>
      <c r="Q521" t="n">
        <v>0</v>
      </c>
      <c r="R521" s="2" t="inlineStr"/>
    </row>
    <row r="522" ht="15" customHeight="1">
      <c r="A522" t="inlineStr">
        <is>
          <t>A 38161-2022</t>
        </is>
      </c>
      <c r="B522" s="1" t="n">
        <v>44812</v>
      </c>
      <c r="C522" s="1" t="n">
        <v>45586</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39451-2022</t>
        </is>
      </c>
      <c r="B523" s="1" t="n">
        <v>44818</v>
      </c>
      <c r="C523" s="1" t="n">
        <v>45586</v>
      </c>
      <c r="D523" t="inlineStr">
        <is>
          <t>VÄSTMANLANDS LÄN</t>
        </is>
      </c>
      <c r="E523" t="inlineStr">
        <is>
          <t>SALA</t>
        </is>
      </c>
      <c r="G523" t="n">
        <v>9.4</v>
      </c>
      <c r="H523" t="n">
        <v>0</v>
      </c>
      <c r="I523" t="n">
        <v>0</v>
      </c>
      <c r="J523" t="n">
        <v>0</v>
      </c>
      <c r="K523" t="n">
        <v>0</v>
      </c>
      <c r="L523" t="n">
        <v>0</v>
      </c>
      <c r="M523" t="n">
        <v>0</v>
      </c>
      <c r="N523" t="n">
        <v>0</v>
      </c>
      <c r="O523" t="n">
        <v>0</v>
      </c>
      <c r="P523" t="n">
        <v>0</v>
      </c>
      <c r="Q523" t="n">
        <v>0</v>
      </c>
      <c r="R523" s="2" t="inlineStr"/>
    </row>
    <row r="524" ht="15" customHeight="1">
      <c r="A524" t="inlineStr">
        <is>
          <t>A 39600-2022</t>
        </is>
      </c>
      <c r="B524" s="1" t="n">
        <v>44818</v>
      </c>
      <c r="C524" s="1" t="n">
        <v>45586</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39597-2022</t>
        </is>
      </c>
      <c r="B525" s="1" t="n">
        <v>44818</v>
      </c>
      <c r="C525" s="1" t="n">
        <v>45586</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40094-2022</t>
        </is>
      </c>
      <c r="B526" s="1" t="n">
        <v>44819</v>
      </c>
      <c r="C526" s="1" t="n">
        <v>45586</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40113-2022</t>
        </is>
      </c>
      <c r="B527" s="1" t="n">
        <v>44819</v>
      </c>
      <c r="C527" s="1" t="n">
        <v>45586</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40405-2022</t>
        </is>
      </c>
      <c r="B528" s="1" t="n">
        <v>44823</v>
      </c>
      <c r="C528" s="1" t="n">
        <v>45586</v>
      </c>
      <c r="D528" t="inlineStr">
        <is>
          <t>VÄSTMANLANDS LÄN</t>
        </is>
      </c>
      <c r="E528" t="inlineStr">
        <is>
          <t>SALA</t>
        </is>
      </c>
      <c r="G528" t="n">
        <v>2.6</v>
      </c>
      <c r="H528" t="n">
        <v>0</v>
      </c>
      <c r="I528" t="n">
        <v>0</v>
      </c>
      <c r="J528" t="n">
        <v>0</v>
      </c>
      <c r="K528" t="n">
        <v>0</v>
      </c>
      <c r="L528" t="n">
        <v>0</v>
      </c>
      <c r="M528" t="n">
        <v>0</v>
      </c>
      <c r="N528" t="n">
        <v>0</v>
      </c>
      <c r="O528" t="n">
        <v>0</v>
      </c>
      <c r="P528" t="n">
        <v>0</v>
      </c>
      <c r="Q528" t="n">
        <v>0</v>
      </c>
      <c r="R528" s="2" t="inlineStr"/>
    </row>
    <row r="529" ht="15" customHeight="1">
      <c r="A529" t="inlineStr">
        <is>
          <t>A 40597-2022</t>
        </is>
      </c>
      <c r="B529" s="1" t="n">
        <v>44823</v>
      </c>
      <c r="C529" s="1" t="n">
        <v>45586</v>
      </c>
      <c r="D529" t="inlineStr">
        <is>
          <t>VÄSTMANLANDS LÄN</t>
        </is>
      </c>
      <c r="E529" t="inlineStr">
        <is>
          <t>SALA</t>
        </is>
      </c>
      <c r="G529" t="n">
        <v>3.5</v>
      </c>
      <c r="H529" t="n">
        <v>0</v>
      </c>
      <c r="I529" t="n">
        <v>0</v>
      </c>
      <c r="J529" t="n">
        <v>0</v>
      </c>
      <c r="K529" t="n">
        <v>0</v>
      </c>
      <c r="L529" t="n">
        <v>0</v>
      </c>
      <c r="M529" t="n">
        <v>0</v>
      </c>
      <c r="N529" t="n">
        <v>0</v>
      </c>
      <c r="O529" t="n">
        <v>0</v>
      </c>
      <c r="P529" t="n">
        <v>0</v>
      </c>
      <c r="Q529" t="n">
        <v>0</v>
      </c>
      <c r="R529" s="2" t="inlineStr"/>
    </row>
    <row r="530" ht="15" customHeight="1">
      <c r="A530" t="inlineStr">
        <is>
          <t>A 41567-2022</t>
        </is>
      </c>
      <c r="B530" s="1" t="n">
        <v>44827</v>
      </c>
      <c r="C530" s="1" t="n">
        <v>45586</v>
      </c>
      <c r="D530" t="inlineStr">
        <is>
          <t>VÄSTMANLANDS LÄN</t>
        </is>
      </c>
      <c r="E530" t="inlineStr">
        <is>
          <t>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41876-2022</t>
        </is>
      </c>
      <c r="B531" s="1" t="n">
        <v>44830</v>
      </c>
      <c r="C531" s="1" t="n">
        <v>45586</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42416-2022</t>
        </is>
      </c>
      <c r="B532" s="1" t="n">
        <v>44831</v>
      </c>
      <c r="C532" s="1" t="n">
        <v>45586</v>
      </c>
      <c r="D532" t="inlineStr">
        <is>
          <t>VÄSTMANLANDS LÄN</t>
        </is>
      </c>
      <c r="E532" t="inlineStr">
        <is>
          <t>SALA</t>
        </is>
      </c>
      <c r="G532" t="n">
        <v>2.2</v>
      </c>
      <c r="H532" t="n">
        <v>0</v>
      </c>
      <c r="I532" t="n">
        <v>0</v>
      </c>
      <c r="J532" t="n">
        <v>0</v>
      </c>
      <c r="K532" t="n">
        <v>0</v>
      </c>
      <c r="L532" t="n">
        <v>0</v>
      </c>
      <c r="M532" t="n">
        <v>0</v>
      </c>
      <c r="N532" t="n">
        <v>0</v>
      </c>
      <c r="O532" t="n">
        <v>0</v>
      </c>
      <c r="P532" t="n">
        <v>0</v>
      </c>
      <c r="Q532" t="n">
        <v>0</v>
      </c>
      <c r="R532" s="2" t="inlineStr"/>
    </row>
    <row r="533" ht="15" customHeight="1">
      <c r="A533" t="inlineStr">
        <is>
          <t>A 42447-2022</t>
        </is>
      </c>
      <c r="B533" s="1" t="n">
        <v>44831</v>
      </c>
      <c r="C533" s="1" t="n">
        <v>45586</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42414-2022</t>
        </is>
      </c>
      <c r="B534" s="1" t="n">
        <v>44831</v>
      </c>
      <c r="C534" s="1" t="n">
        <v>45586</v>
      </c>
      <c r="D534" t="inlineStr">
        <is>
          <t>VÄSTMANLANDS LÄN</t>
        </is>
      </c>
      <c r="E534" t="inlineStr">
        <is>
          <t>SALA</t>
        </is>
      </c>
      <c r="G534" t="n">
        <v>3.4</v>
      </c>
      <c r="H534" t="n">
        <v>0</v>
      </c>
      <c r="I534" t="n">
        <v>0</v>
      </c>
      <c r="J534" t="n">
        <v>0</v>
      </c>
      <c r="K534" t="n">
        <v>0</v>
      </c>
      <c r="L534" t="n">
        <v>0</v>
      </c>
      <c r="M534" t="n">
        <v>0</v>
      </c>
      <c r="N534" t="n">
        <v>0</v>
      </c>
      <c r="O534" t="n">
        <v>0</v>
      </c>
      <c r="P534" t="n">
        <v>0</v>
      </c>
      <c r="Q534" t="n">
        <v>0</v>
      </c>
      <c r="R534" s="2" t="inlineStr"/>
    </row>
    <row r="535" ht="15" customHeight="1">
      <c r="A535" t="inlineStr">
        <is>
          <t>A 43103-2022</t>
        </is>
      </c>
      <c r="B535" s="1" t="n">
        <v>44833</v>
      </c>
      <c r="C535" s="1" t="n">
        <v>45586</v>
      </c>
      <c r="D535" t="inlineStr">
        <is>
          <t>VÄSTMANLANDS LÄN</t>
        </is>
      </c>
      <c r="E535" t="inlineStr">
        <is>
          <t>SALA</t>
        </is>
      </c>
      <c r="G535" t="n">
        <v>0.6</v>
      </c>
      <c r="H535" t="n">
        <v>0</v>
      </c>
      <c r="I535" t="n">
        <v>0</v>
      </c>
      <c r="J535" t="n">
        <v>0</v>
      </c>
      <c r="K535" t="n">
        <v>0</v>
      </c>
      <c r="L535" t="n">
        <v>0</v>
      </c>
      <c r="M535" t="n">
        <v>0</v>
      </c>
      <c r="N535" t="n">
        <v>0</v>
      </c>
      <c r="O535" t="n">
        <v>0</v>
      </c>
      <c r="P535" t="n">
        <v>0</v>
      </c>
      <c r="Q535" t="n">
        <v>0</v>
      </c>
      <c r="R535" s="2" t="inlineStr"/>
    </row>
    <row r="536" ht="15" customHeight="1">
      <c r="A536" t="inlineStr">
        <is>
          <t>A 43101-2022</t>
        </is>
      </c>
      <c r="B536" s="1" t="n">
        <v>44833</v>
      </c>
      <c r="C536" s="1" t="n">
        <v>45586</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44217-2022</t>
        </is>
      </c>
      <c r="B537" s="1" t="n">
        <v>44839</v>
      </c>
      <c r="C537" s="1" t="n">
        <v>45586</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44318-2022</t>
        </is>
      </c>
      <c r="B538" s="1" t="n">
        <v>44839</v>
      </c>
      <c r="C538" s="1" t="n">
        <v>45586</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44224-2022</t>
        </is>
      </c>
      <c r="B539" s="1" t="n">
        <v>44839</v>
      </c>
      <c r="C539" s="1" t="n">
        <v>45586</v>
      </c>
      <c r="D539" t="inlineStr">
        <is>
          <t>VÄSTMANLANDS LÄN</t>
        </is>
      </c>
      <c r="E539" t="inlineStr">
        <is>
          <t>SALA</t>
        </is>
      </c>
      <c r="G539" t="n">
        <v>2.1</v>
      </c>
      <c r="H539" t="n">
        <v>0</v>
      </c>
      <c r="I539" t="n">
        <v>0</v>
      </c>
      <c r="J539" t="n">
        <v>0</v>
      </c>
      <c r="K539" t="n">
        <v>0</v>
      </c>
      <c r="L539" t="n">
        <v>0</v>
      </c>
      <c r="M539" t="n">
        <v>0</v>
      </c>
      <c r="N539" t="n">
        <v>0</v>
      </c>
      <c r="O539" t="n">
        <v>0</v>
      </c>
      <c r="P539" t="n">
        <v>0</v>
      </c>
      <c r="Q539" t="n">
        <v>0</v>
      </c>
      <c r="R539" s="2" t="inlineStr"/>
    </row>
    <row r="540" ht="15" customHeight="1">
      <c r="A540" t="inlineStr">
        <is>
          <t>A 44892-2022</t>
        </is>
      </c>
      <c r="B540" s="1" t="n">
        <v>44841</v>
      </c>
      <c r="C540" s="1" t="n">
        <v>45586</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45015-2022</t>
        </is>
      </c>
      <c r="B541" s="1" t="n">
        <v>44841</v>
      </c>
      <c r="C541" s="1" t="n">
        <v>45586</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44935-2022</t>
        </is>
      </c>
      <c r="B542" s="1" t="n">
        <v>44841</v>
      </c>
      <c r="C542" s="1" t="n">
        <v>45586</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45309-2022</t>
        </is>
      </c>
      <c r="B543" s="1" t="n">
        <v>44844</v>
      </c>
      <c r="C543" s="1" t="n">
        <v>45586</v>
      </c>
      <c r="D543" t="inlineStr">
        <is>
          <t>VÄSTMANLANDS LÄN</t>
        </is>
      </c>
      <c r="E543" t="inlineStr">
        <is>
          <t>SALA</t>
        </is>
      </c>
      <c r="G543" t="n">
        <v>10.9</v>
      </c>
      <c r="H543" t="n">
        <v>0</v>
      </c>
      <c r="I543" t="n">
        <v>0</v>
      </c>
      <c r="J543" t="n">
        <v>0</v>
      </c>
      <c r="K543" t="n">
        <v>0</v>
      </c>
      <c r="L543" t="n">
        <v>0</v>
      </c>
      <c r="M543" t="n">
        <v>0</v>
      </c>
      <c r="N543" t="n">
        <v>0</v>
      </c>
      <c r="O543" t="n">
        <v>0</v>
      </c>
      <c r="P543" t="n">
        <v>0</v>
      </c>
      <c r="Q543" t="n">
        <v>0</v>
      </c>
      <c r="R543" s="2" t="inlineStr"/>
    </row>
    <row r="544" ht="15" customHeight="1">
      <c r="A544" t="inlineStr">
        <is>
          <t>A 45517-2022</t>
        </is>
      </c>
      <c r="B544" s="1" t="n">
        <v>44845</v>
      </c>
      <c r="C544" s="1" t="n">
        <v>45586</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45615-2022</t>
        </is>
      </c>
      <c r="B545" s="1" t="n">
        <v>44845</v>
      </c>
      <c r="C545" s="1" t="n">
        <v>45586</v>
      </c>
      <c r="D545" t="inlineStr">
        <is>
          <t>VÄSTMANLANDS LÄN</t>
        </is>
      </c>
      <c r="E545" t="inlineStr">
        <is>
          <t>SALA</t>
        </is>
      </c>
      <c r="F545" t="inlineStr">
        <is>
          <t>Bergvik skog öst AB</t>
        </is>
      </c>
      <c r="G545" t="n">
        <v>10</v>
      </c>
      <c r="H545" t="n">
        <v>0</v>
      </c>
      <c r="I545" t="n">
        <v>0</v>
      </c>
      <c r="J545" t="n">
        <v>0</v>
      </c>
      <c r="K545" t="n">
        <v>0</v>
      </c>
      <c r="L545" t="n">
        <v>0</v>
      </c>
      <c r="M545" t="n">
        <v>0</v>
      </c>
      <c r="N545" t="n">
        <v>0</v>
      </c>
      <c r="O545" t="n">
        <v>0</v>
      </c>
      <c r="P545" t="n">
        <v>0</v>
      </c>
      <c r="Q545" t="n">
        <v>0</v>
      </c>
      <c r="R545" s="2" t="inlineStr"/>
    </row>
    <row r="546" ht="15" customHeight="1">
      <c r="A546" t="inlineStr">
        <is>
          <t>A 46264-2022</t>
        </is>
      </c>
      <c r="B546" s="1" t="n">
        <v>44847</v>
      </c>
      <c r="C546" s="1" t="n">
        <v>45586</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46460-2022</t>
        </is>
      </c>
      <c r="B547" s="1" t="n">
        <v>44848</v>
      </c>
      <c r="C547" s="1" t="n">
        <v>45586</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47086-2022</t>
        </is>
      </c>
      <c r="B548" s="1" t="n">
        <v>44852</v>
      </c>
      <c r="C548" s="1" t="n">
        <v>45586</v>
      </c>
      <c r="D548" t="inlineStr">
        <is>
          <t>VÄSTMANLANDS LÄN</t>
        </is>
      </c>
      <c r="E548" t="inlineStr">
        <is>
          <t>SALA</t>
        </is>
      </c>
      <c r="G548" t="n">
        <v>12.5</v>
      </c>
      <c r="H548" t="n">
        <v>0</v>
      </c>
      <c r="I548" t="n">
        <v>0</v>
      </c>
      <c r="J548" t="n">
        <v>0</v>
      </c>
      <c r="K548" t="n">
        <v>0</v>
      </c>
      <c r="L548" t="n">
        <v>0</v>
      </c>
      <c r="M548" t="n">
        <v>0</v>
      </c>
      <c r="N548" t="n">
        <v>0</v>
      </c>
      <c r="O548" t="n">
        <v>0</v>
      </c>
      <c r="P548" t="n">
        <v>0</v>
      </c>
      <c r="Q548" t="n">
        <v>0</v>
      </c>
      <c r="R548" s="2" t="inlineStr"/>
    </row>
    <row r="549" ht="15" customHeight="1">
      <c r="A549" t="inlineStr">
        <is>
          <t>A 47713-2022</t>
        </is>
      </c>
      <c r="B549" s="1" t="n">
        <v>44854</v>
      </c>
      <c r="C549" s="1" t="n">
        <v>45586</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47715-2022</t>
        </is>
      </c>
      <c r="B550" s="1" t="n">
        <v>44854</v>
      </c>
      <c r="C550" s="1" t="n">
        <v>45586</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47909-2022</t>
        </is>
      </c>
      <c r="B551" s="1" t="n">
        <v>44855</v>
      </c>
      <c r="C551" s="1" t="n">
        <v>45586</v>
      </c>
      <c r="D551" t="inlineStr">
        <is>
          <t>VÄSTMANLANDS LÄN</t>
        </is>
      </c>
      <c r="E551" t="inlineStr">
        <is>
          <t>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48219-2022</t>
        </is>
      </c>
      <c r="B552" s="1" t="n">
        <v>44858</v>
      </c>
      <c r="C552" s="1" t="n">
        <v>45586</v>
      </c>
      <c r="D552" t="inlineStr">
        <is>
          <t>VÄSTMANLANDS LÄN</t>
        </is>
      </c>
      <c r="E552" t="inlineStr">
        <is>
          <t>SALA</t>
        </is>
      </c>
      <c r="G552" t="n">
        <v>3.6</v>
      </c>
      <c r="H552" t="n">
        <v>0</v>
      </c>
      <c r="I552" t="n">
        <v>0</v>
      </c>
      <c r="J552" t="n">
        <v>0</v>
      </c>
      <c r="K552" t="n">
        <v>0</v>
      </c>
      <c r="L552" t="n">
        <v>0</v>
      </c>
      <c r="M552" t="n">
        <v>0</v>
      </c>
      <c r="N552" t="n">
        <v>0</v>
      </c>
      <c r="O552" t="n">
        <v>0</v>
      </c>
      <c r="P552" t="n">
        <v>0</v>
      </c>
      <c r="Q552" t="n">
        <v>0</v>
      </c>
      <c r="R552" s="2" t="inlineStr"/>
    </row>
    <row r="553" ht="15" customHeight="1">
      <c r="A553" t="inlineStr">
        <is>
          <t>A 49086-2022</t>
        </is>
      </c>
      <c r="B553" s="1" t="n">
        <v>44860</v>
      </c>
      <c r="C553" s="1" t="n">
        <v>45586</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49254-2022</t>
        </is>
      </c>
      <c r="B554" s="1" t="n">
        <v>44861</v>
      </c>
      <c r="C554" s="1" t="n">
        <v>45586</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50461-2022</t>
        </is>
      </c>
      <c r="B555" s="1" t="n">
        <v>44861</v>
      </c>
      <c r="C555" s="1" t="n">
        <v>45586</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50479-2022</t>
        </is>
      </c>
      <c r="B556" s="1" t="n">
        <v>44861</v>
      </c>
      <c r="C556" s="1" t="n">
        <v>45586</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51279-2022</t>
        </is>
      </c>
      <c r="B557" s="1" t="n">
        <v>44866</v>
      </c>
      <c r="C557" s="1" t="n">
        <v>45586</v>
      </c>
      <c r="D557" t="inlineStr">
        <is>
          <t>VÄSTMANLANDS LÄN</t>
        </is>
      </c>
      <c r="E557" t="inlineStr">
        <is>
          <t>SALA</t>
        </is>
      </c>
      <c r="G557" t="n">
        <v>3.9</v>
      </c>
      <c r="H557" t="n">
        <v>0</v>
      </c>
      <c r="I557" t="n">
        <v>0</v>
      </c>
      <c r="J557" t="n">
        <v>0</v>
      </c>
      <c r="K557" t="n">
        <v>0</v>
      </c>
      <c r="L557" t="n">
        <v>0</v>
      </c>
      <c r="M557" t="n">
        <v>0</v>
      </c>
      <c r="N557" t="n">
        <v>0</v>
      </c>
      <c r="O557" t="n">
        <v>0</v>
      </c>
      <c r="P557" t="n">
        <v>0</v>
      </c>
      <c r="Q557" t="n">
        <v>0</v>
      </c>
      <c r="R557" s="2" t="inlineStr"/>
    </row>
    <row r="558" ht="15" customHeight="1">
      <c r="A558" t="inlineStr">
        <is>
          <t>A 51377-2022</t>
        </is>
      </c>
      <c r="B558" s="1" t="n">
        <v>44866</v>
      </c>
      <c r="C558" s="1" t="n">
        <v>45586</v>
      </c>
      <c r="D558" t="inlineStr">
        <is>
          <t>VÄSTMANLANDS LÄN</t>
        </is>
      </c>
      <c r="E558" t="inlineStr">
        <is>
          <t>SALA</t>
        </is>
      </c>
      <c r="G558" t="n">
        <v>6.3</v>
      </c>
      <c r="H558" t="n">
        <v>0</v>
      </c>
      <c r="I558" t="n">
        <v>0</v>
      </c>
      <c r="J558" t="n">
        <v>0</v>
      </c>
      <c r="K558" t="n">
        <v>0</v>
      </c>
      <c r="L558" t="n">
        <v>0</v>
      </c>
      <c r="M558" t="n">
        <v>0</v>
      </c>
      <c r="N558" t="n">
        <v>0</v>
      </c>
      <c r="O558" t="n">
        <v>0</v>
      </c>
      <c r="P558" t="n">
        <v>0</v>
      </c>
      <c r="Q558" t="n">
        <v>0</v>
      </c>
      <c r="R558" s="2" t="inlineStr"/>
    </row>
    <row r="559" ht="15" customHeight="1">
      <c r="A559" t="inlineStr">
        <is>
          <t>A 50795-2022</t>
        </is>
      </c>
      <c r="B559" s="1" t="n">
        <v>44867</v>
      </c>
      <c r="C559" s="1" t="n">
        <v>45586</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51600-2022</t>
        </is>
      </c>
      <c r="B560" s="1" t="n">
        <v>44871</v>
      </c>
      <c r="C560" s="1" t="n">
        <v>45586</v>
      </c>
      <c r="D560" t="inlineStr">
        <is>
          <t>VÄSTMANLANDS LÄN</t>
        </is>
      </c>
      <c r="E560" t="inlineStr">
        <is>
          <t>SALA</t>
        </is>
      </c>
      <c r="F560" t="inlineStr">
        <is>
          <t>Bergvik skog öst AB</t>
        </is>
      </c>
      <c r="G560" t="n">
        <v>2.7</v>
      </c>
      <c r="H560" t="n">
        <v>0</v>
      </c>
      <c r="I560" t="n">
        <v>0</v>
      </c>
      <c r="J560" t="n">
        <v>0</v>
      </c>
      <c r="K560" t="n">
        <v>0</v>
      </c>
      <c r="L560" t="n">
        <v>0</v>
      </c>
      <c r="M560" t="n">
        <v>0</v>
      </c>
      <c r="N560" t="n">
        <v>0</v>
      </c>
      <c r="O560" t="n">
        <v>0</v>
      </c>
      <c r="P560" t="n">
        <v>0</v>
      </c>
      <c r="Q560" t="n">
        <v>0</v>
      </c>
      <c r="R560" s="2" t="inlineStr"/>
    </row>
    <row r="561" ht="15" customHeight="1">
      <c r="A561" t="inlineStr">
        <is>
          <t>A 51596-2022</t>
        </is>
      </c>
      <c r="B561" s="1" t="n">
        <v>44871</v>
      </c>
      <c r="C561" s="1" t="n">
        <v>45586</v>
      </c>
      <c r="D561" t="inlineStr">
        <is>
          <t>VÄSTMANLANDS LÄN</t>
        </is>
      </c>
      <c r="E561" t="inlineStr">
        <is>
          <t>SALA</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52504-2022</t>
        </is>
      </c>
      <c r="B562" s="1" t="n">
        <v>44874</v>
      </c>
      <c r="C562" s="1" t="n">
        <v>45586</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52498-2022</t>
        </is>
      </c>
      <c r="B563" s="1" t="n">
        <v>44874</v>
      </c>
      <c r="C563" s="1" t="n">
        <v>45586</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52630-2022</t>
        </is>
      </c>
      <c r="B564" s="1" t="n">
        <v>44874</v>
      </c>
      <c r="C564" s="1" t="n">
        <v>45586</v>
      </c>
      <c r="D564" t="inlineStr">
        <is>
          <t>VÄSTMANLANDS LÄN</t>
        </is>
      </c>
      <c r="E564" t="inlineStr">
        <is>
          <t>SALA</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53425-2022</t>
        </is>
      </c>
      <c r="B565" s="1" t="n">
        <v>44879</v>
      </c>
      <c r="C565" s="1" t="n">
        <v>45586</v>
      </c>
      <c r="D565" t="inlineStr">
        <is>
          <t>VÄSTMANLANDS LÄN</t>
        </is>
      </c>
      <c r="E565" t="inlineStr">
        <is>
          <t>SALA</t>
        </is>
      </c>
      <c r="G565" t="n">
        <v>1.2</v>
      </c>
      <c r="H565" t="n">
        <v>0</v>
      </c>
      <c r="I565" t="n">
        <v>0</v>
      </c>
      <c r="J565" t="n">
        <v>0</v>
      </c>
      <c r="K565" t="n">
        <v>0</v>
      </c>
      <c r="L565" t="n">
        <v>0</v>
      </c>
      <c r="M565" t="n">
        <v>0</v>
      </c>
      <c r="N565" t="n">
        <v>0</v>
      </c>
      <c r="O565" t="n">
        <v>0</v>
      </c>
      <c r="P565" t="n">
        <v>0</v>
      </c>
      <c r="Q565" t="n">
        <v>0</v>
      </c>
      <c r="R565" s="2" t="inlineStr"/>
    </row>
    <row r="566" ht="15" customHeight="1">
      <c r="A566" t="inlineStr">
        <is>
          <t>A 53432-2022</t>
        </is>
      </c>
      <c r="B566" s="1" t="n">
        <v>44879</v>
      </c>
      <c r="C566" s="1" t="n">
        <v>45586</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53628-2022</t>
        </is>
      </c>
      <c r="B567" s="1" t="n">
        <v>44879</v>
      </c>
      <c r="C567" s="1" t="n">
        <v>45586</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53630-2022</t>
        </is>
      </c>
      <c r="B568" s="1" t="n">
        <v>44879</v>
      </c>
      <c r="C568" s="1" t="n">
        <v>45586</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53864-2022</t>
        </is>
      </c>
      <c r="B569" s="1" t="n">
        <v>44880</v>
      </c>
      <c r="C569" s="1" t="n">
        <v>45586</v>
      </c>
      <c r="D569" t="inlineStr">
        <is>
          <t>VÄSTMANLANDS LÄN</t>
        </is>
      </c>
      <c r="E569" t="inlineStr">
        <is>
          <t>SALA</t>
        </is>
      </c>
      <c r="G569" t="n">
        <v>5.9</v>
      </c>
      <c r="H569" t="n">
        <v>0</v>
      </c>
      <c r="I569" t="n">
        <v>0</v>
      </c>
      <c r="J569" t="n">
        <v>0</v>
      </c>
      <c r="K569" t="n">
        <v>0</v>
      </c>
      <c r="L569" t="n">
        <v>0</v>
      </c>
      <c r="M569" t="n">
        <v>0</v>
      </c>
      <c r="N569" t="n">
        <v>0</v>
      </c>
      <c r="O569" t="n">
        <v>0</v>
      </c>
      <c r="P569" t="n">
        <v>0</v>
      </c>
      <c r="Q569" t="n">
        <v>0</v>
      </c>
      <c r="R569" s="2" t="inlineStr"/>
    </row>
    <row r="570" ht="15" customHeight="1">
      <c r="A570" t="inlineStr">
        <is>
          <t>A 53735-2022</t>
        </is>
      </c>
      <c r="B570" s="1" t="n">
        <v>44880</v>
      </c>
      <c r="C570" s="1" t="n">
        <v>45586</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53838-2022</t>
        </is>
      </c>
      <c r="B571" s="1" t="n">
        <v>44880</v>
      </c>
      <c r="C571" s="1" t="n">
        <v>45586</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53997-2022</t>
        </is>
      </c>
      <c r="B572" s="1" t="n">
        <v>44881</v>
      </c>
      <c r="C572" s="1" t="n">
        <v>45586</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55733-2022</t>
        </is>
      </c>
      <c r="B573" s="1" t="n">
        <v>44888</v>
      </c>
      <c r="C573" s="1" t="n">
        <v>45586</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56089-2022</t>
        </is>
      </c>
      <c r="B574" s="1" t="n">
        <v>44889</v>
      </c>
      <c r="C574" s="1" t="n">
        <v>45586</v>
      </c>
      <c r="D574" t="inlineStr">
        <is>
          <t>VÄSTMANLANDS LÄN</t>
        </is>
      </c>
      <c r="E574" t="inlineStr">
        <is>
          <t>SALA</t>
        </is>
      </c>
      <c r="F574" t="inlineStr">
        <is>
          <t>Sveaskog</t>
        </is>
      </c>
      <c r="G574" t="n">
        <v>4.3</v>
      </c>
      <c r="H574" t="n">
        <v>0</v>
      </c>
      <c r="I574" t="n">
        <v>0</v>
      </c>
      <c r="J574" t="n">
        <v>0</v>
      </c>
      <c r="K574" t="n">
        <v>0</v>
      </c>
      <c r="L574" t="n">
        <v>0</v>
      </c>
      <c r="M574" t="n">
        <v>0</v>
      </c>
      <c r="N574" t="n">
        <v>0</v>
      </c>
      <c r="O574" t="n">
        <v>0</v>
      </c>
      <c r="P574" t="n">
        <v>0</v>
      </c>
      <c r="Q574" t="n">
        <v>0</v>
      </c>
      <c r="R574" s="2" t="inlineStr"/>
    </row>
    <row r="575" ht="15" customHeight="1">
      <c r="A575" t="inlineStr">
        <is>
          <t>A 56088-2022</t>
        </is>
      </c>
      <c r="B575" s="1" t="n">
        <v>44889</v>
      </c>
      <c r="C575" s="1" t="n">
        <v>45586</v>
      </c>
      <c r="D575" t="inlineStr">
        <is>
          <t>VÄSTMANLANDS LÄN</t>
        </is>
      </c>
      <c r="E575" t="inlineStr">
        <is>
          <t>SALA</t>
        </is>
      </c>
      <c r="F575" t="inlineStr">
        <is>
          <t>Sveaskog</t>
        </is>
      </c>
      <c r="G575" t="n">
        <v>4.5</v>
      </c>
      <c r="H575" t="n">
        <v>0</v>
      </c>
      <c r="I575" t="n">
        <v>0</v>
      </c>
      <c r="J575" t="n">
        <v>0</v>
      </c>
      <c r="K575" t="n">
        <v>0</v>
      </c>
      <c r="L575" t="n">
        <v>0</v>
      </c>
      <c r="M575" t="n">
        <v>0</v>
      </c>
      <c r="N575" t="n">
        <v>0</v>
      </c>
      <c r="O575" t="n">
        <v>0</v>
      </c>
      <c r="P575" t="n">
        <v>0</v>
      </c>
      <c r="Q575" t="n">
        <v>0</v>
      </c>
      <c r="R575" s="2" t="inlineStr"/>
    </row>
    <row r="576" ht="15" customHeight="1">
      <c r="A576" t="inlineStr">
        <is>
          <t>A 56234-2022</t>
        </is>
      </c>
      <c r="B576" s="1" t="n">
        <v>44890</v>
      </c>
      <c r="C576" s="1" t="n">
        <v>45586</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56242-2022</t>
        </is>
      </c>
      <c r="B577" s="1" t="n">
        <v>44890</v>
      </c>
      <c r="C577" s="1" t="n">
        <v>45586</v>
      </c>
      <c r="D577" t="inlineStr">
        <is>
          <t>VÄSTMANLANDS LÄN</t>
        </is>
      </c>
      <c r="E577" t="inlineStr">
        <is>
          <t>SALA</t>
        </is>
      </c>
      <c r="G577" t="n">
        <v>2.7</v>
      </c>
      <c r="H577" t="n">
        <v>0</v>
      </c>
      <c r="I577" t="n">
        <v>0</v>
      </c>
      <c r="J577" t="n">
        <v>0</v>
      </c>
      <c r="K577" t="n">
        <v>0</v>
      </c>
      <c r="L577" t="n">
        <v>0</v>
      </c>
      <c r="M577" t="n">
        <v>0</v>
      </c>
      <c r="N577" t="n">
        <v>0</v>
      </c>
      <c r="O577" t="n">
        <v>0</v>
      </c>
      <c r="P577" t="n">
        <v>0</v>
      </c>
      <c r="Q577" t="n">
        <v>0</v>
      </c>
      <c r="R577" s="2" t="inlineStr"/>
    </row>
    <row r="578" ht="15" customHeight="1">
      <c r="A578" t="inlineStr">
        <is>
          <t>A 56535-2022</t>
        </is>
      </c>
      <c r="B578" s="1" t="n">
        <v>44893</v>
      </c>
      <c r="C578" s="1" t="n">
        <v>45586</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56706-2022</t>
        </is>
      </c>
      <c r="B579" s="1" t="n">
        <v>44893</v>
      </c>
      <c r="C579" s="1" t="n">
        <v>45586</v>
      </c>
      <c r="D579" t="inlineStr">
        <is>
          <t>VÄSTMANLANDS LÄN</t>
        </is>
      </c>
      <c r="E579" t="inlineStr">
        <is>
          <t>SALA</t>
        </is>
      </c>
      <c r="G579" t="n">
        <v>4.5</v>
      </c>
      <c r="H579" t="n">
        <v>0</v>
      </c>
      <c r="I579" t="n">
        <v>0</v>
      </c>
      <c r="J579" t="n">
        <v>0</v>
      </c>
      <c r="K579" t="n">
        <v>0</v>
      </c>
      <c r="L579" t="n">
        <v>0</v>
      </c>
      <c r="M579" t="n">
        <v>0</v>
      </c>
      <c r="N579" t="n">
        <v>0</v>
      </c>
      <c r="O579" t="n">
        <v>0</v>
      </c>
      <c r="P579" t="n">
        <v>0</v>
      </c>
      <c r="Q579" t="n">
        <v>0</v>
      </c>
      <c r="R579" s="2" t="inlineStr"/>
    </row>
    <row r="580" ht="15" customHeight="1">
      <c r="A580" t="inlineStr">
        <is>
          <t>A 56547-2022</t>
        </is>
      </c>
      <c r="B580" s="1" t="n">
        <v>44893</v>
      </c>
      <c r="C580" s="1" t="n">
        <v>45586</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56707-2022</t>
        </is>
      </c>
      <c r="B581" s="1" t="n">
        <v>44893</v>
      </c>
      <c r="C581" s="1" t="n">
        <v>45586</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56977-2022</t>
        </is>
      </c>
      <c r="B582" s="1" t="n">
        <v>44894</v>
      </c>
      <c r="C582" s="1" t="n">
        <v>45586</v>
      </c>
      <c r="D582" t="inlineStr">
        <is>
          <t>VÄSTMANLANDS LÄN</t>
        </is>
      </c>
      <c r="E582" t="inlineStr">
        <is>
          <t>SALA</t>
        </is>
      </c>
      <c r="G582" t="n">
        <v>13</v>
      </c>
      <c r="H582" t="n">
        <v>0</v>
      </c>
      <c r="I582" t="n">
        <v>0</v>
      </c>
      <c r="J582" t="n">
        <v>0</v>
      </c>
      <c r="K582" t="n">
        <v>0</v>
      </c>
      <c r="L582" t="n">
        <v>0</v>
      </c>
      <c r="M582" t="n">
        <v>0</v>
      </c>
      <c r="N582" t="n">
        <v>0</v>
      </c>
      <c r="O582" t="n">
        <v>0</v>
      </c>
      <c r="P582" t="n">
        <v>0</v>
      </c>
      <c r="Q582" t="n">
        <v>0</v>
      </c>
      <c r="R582" s="2" t="inlineStr"/>
    </row>
    <row r="583" ht="15" customHeight="1">
      <c r="A583" t="inlineStr">
        <is>
          <t>A 57371-2022</t>
        </is>
      </c>
      <c r="B583" s="1" t="n">
        <v>44896</v>
      </c>
      <c r="C583" s="1" t="n">
        <v>45586</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58076-2022</t>
        </is>
      </c>
      <c r="B584" s="1" t="n">
        <v>44900</v>
      </c>
      <c r="C584" s="1" t="n">
        <v>45586</v>
      </c>
      <c r="D584" t="inlineStr">
        <is>
          <t>VÄSTMANLANDS LÄN</t>
        </is>
      </c>
      <c r="E584" t="inlineStr">
        <is>
          <t>SALA</t>
        </is>
      </c>
      <c r="G584" t="n">
        <v>6.4</v>
      </c>
      <c r="H584" t="n">
        <v>0</v>
      </c>
      <c r="I584" t="n">
        <v>0</v>
      </c>
      <c r="J584" t="n">
        <v>0</v>
      </c>
      <c r="K584" t="n">
        <v>0</v>
      </c>
      <c r="L584" t="n">
        <v>0</v>
      </c>
      <c r="M584" t="n">
        <v>0</v>
      </c>
      <c r="N584" t="n">
        <v>0</v>
      </c>
      <c r="O584" t="n">
        <v>0</v>
      </c>
      <c r="P584" t="n">
        <v>0</v>
      </c>
      <c r="Q584" t="n">
        <v>0</v>
      </c>
      <c r="R584" s="2" t="inlineStr"/>
    </row>
    <row r="585" ht="15" customHeight="1">
      <c r="A585" t="inlineStr">
        <is>
          <t>A 58496-2022</t>
        </is>
      </c>
      <c r="B585" s="1" t="n">
        <v>44902</v>
      </c>
      <c r="C585" s="1" t="n">
        <v>45586</v>
      </c>
      <c r="D585" t="inlineStr">
        <is>
          <t>VÄSTMANLANDS LÄN</t>
        </is>
      </c>
      <c r="E585" t="inlineStr">
        <is>
          <t>SALA</t>
        </is>
      </c>
      <c r="G585" t="n">
        <v>5.9</v>
      </c>
      <c r="H585" t="n">
        <v>0</v>
      </c>
      <c r="I585" t="n">
        <v>0</v>
      </c>
      <c r="J585" t="n">
        <v>0</v>
      </c>
      <c r="K585" t="n">
        <v>0</v>
      </c>
      <c r="L585" t="n">
        <v>0</v>
      </c>
      <c r="M585" t="n">
        <v>0</v>
      </c>
      <c r="N585" t="n">
        <v>0</v>
      </c>
      <c r="O585" t="n">
        <v>0</v>
      </c>
      <c r="P585" t="n">
        <v>0</v>
      </c>
      <c r="Q585" t="n">
        <v>0</v>
      </c>
      <c r="R585" s="2" t="inlineStr"/>
    </row>
    <row r="586" ht="15" customHeight="1">
      <c r="A586" t="inlineStr">
        <is>
          <t>A 58502-2022</t>
        </is>
      </c>
      <c r="B586" s="1" t="n">
        <v>44902</v>
      </c>
      <c r="C586" s="1" t="n">
        <v>45586</v>
      </c>
      <c r="D586" t="inlineStr">
        <is>
          <t>VÄSTMANLANDS LÄN</t>
        </is>
      </c>
      <c r="E586" t="inlineStr">
        <is>
          <t>SALA</t>
        </is>
      </c>
      <c r="G586" t="n">
        <v>4.6</v>
      </c>
      <c r="H586" t="n">
        <v>0</v>
      </c>
      <c r="I586" t="n">
        <v>0</v>
      </c>
      <c r="J586" t="n">
        <v>0</v>
      </c>
      <c r="K586" t="n">
        <v>0</v>
      </c>
      <c r="L586" t="n">
        <v>0</v>
      </c>
      <c r="M586" t="n">
        <v>0</v>
      </c>
      <c r="N586" t="n">
        <v>0</v>
      </c>
      <c r="O586" t="n">
        <v>0</v>
      </c>
      <c r="P586" t="n">
        <v>0</v>
      </c>
      <c r="Q586" t="n">
        <v>0</v>
      </c>
      <c r="R586" s="2" t="inlineStr"/>
    </row>
    <row r="587" ht="15" customHeight="1">
      <c r="A587" t="inlineStr">
        <is>
          <t>A 59019-2022</t>
        </is>
      </c>
      <c r="B587" s="1" t="n">
        <v>44903</v>
      </c>
      <c r="C587" s="1" t="n">
        <v>45586</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59175-2022</t>
        </is>
      </c>
      <c r="B588" s="1" t="n">
        <v>44904</v>
      </c>
      <c r="C588" s="1" t="n">
        <v>45586</v>
      </c>
      <c r="D588" t="inlineStr">
        <is>
          <t>VÄSTMANLANDS LÄN</t>
        </is>
      </c>
      <c r="E588" t="inlineStr">
        <is>
          <t>SALA</t>
        </is>
      </c>
      <c r="G588" t="n">
        <v>2.1</v>
      </c>
      <c r="H588" t="n">
        <v>0</v>
      </c>
      <c r="I588" t="n">
        <v>0</v>
      </c>
      <c r="J588" t="n">
        <v>0</v>
      </c>
      <c r="K588" t="n">
        <v>0</v>
      </c>
      <c r="L588" t="n">
        <v>0</v>
      </c>
      <c r="M588" t="n">
        <v>0</v>
      </c>
      <c r="N588" t="n">
        <v>0</v>
      </c>
      <c r="O588" t="n">
        <v>0</v>
      </c>
      <c r="P588" t="n">
        <v>0</v>
      </c>
      <c r="Q588" t="n">
        <v>0</v>
      </c>
      <c r="R588" s="2" t="inlineStr"/>
    </row>
    <row r="589" ht="15" customHeight="1">
      <c r="A589" t="inlineStr">
        <is>
          <t>A 59483-2022</t>
        </is>
      </c>
      <c r="B589" s="1" t="n">
        <v>44907</v>
      </c>
      <c r="C589" s="1" t="n">
        <v>45586</v>
      </c>
      <c r="D589" t="inlineStr">
        <is>
          <t>VÄSTMANLANDS LÄN</t>
        </is>
      </c>
      <c r="E589" t="inlineStr">
        <is>
          <t>SALA</t>
        </is>
      </c>
      <c r="G589" t="n">
        <v>5.2</v>
      </c>
      <c r="H589" t="n">
        <v>0</v>
      </c>
      <c r="I589" t="n">
        <v>0</v>
      </c>
      <c r="J589" t="n">
        <v>0</v>
      </c>
      <c r="K589" t="n">
        <v>0</v>
      </c>
      <c r="L589" t="n">
        <v>0</v>
      </c>
      <c r="M589" t="n">
        <v>0</v>
      </c>
      <c r="N589" t="n">
        <v>0</v>
      </c>
      <c r="O589" t="n">
        <v>0</v>
      </c>
      <c r="P589" t="n">
        <v>0</v>
      </c>
      <c r="Q589" t="n">
        <v>0</v>
      </c>
      <c r="R589" s="2" t="inlineStr"/>
    </row>
    <row r="590" ht="15" customHeight="1">
      <c r="A590" t="inlineStr">
        <is>
          <t>A 60156-2022</t>
        </is>
      </c>
      <c r="B590" s="1" t="n">
        <v>44909</v>
      </c>
      <c r="C590" s="1" t="n">
        <v>45586</v>
      </c>
      <c r="D590" t="inlineStr">
        <is>
          <t>VÄSTMANLANDS LÄN</t>
        </is>
      </c>
      <c r="E590" t="inlineStr">
        <is>
          <t>SALA</t>
        </is>
      </c>
      <c r="G590" t="n">
        <v>3.4</v>
      </c>
      <c r="H590" t="n">
        <v>0</v>
      </c>
      <c r="I590" t="n">
        <v>0</v>
      </c>
      <c r="J590" t="n">
        <v>0</v>
      </c>
      <c r="K590" t="n">
        <v>0</v>
      </c>
      <c r="L590" t="n">
        <v>0</v>
      </c>
      <c r="M590" t="n">
        <v>0</v>
      </c>
      <c r="N590" t="n">
        <v>0</v>
      </c>
      <c r="O590" t="n">
        <v>0</v>
      </c>
      <c r="P590" t="n">
        <v>0</v>
      </c>
      <c r="Q590" t="n">
        <v>0</v>
      </c>
      <c r="R590" s="2" t="inlineStr"/>
    </row>
    <row r="591" ht="15" customHeight="1">
      <c r="A591" t="inlineStr">
        <is>
          <t>A 60379-2022</t>
        </is>
      </c>
      <c r="B591" s="1" t="n">
        <v>44910</v>
      </c>
      <c r="C591" s="1" t="n">
        <v>45586</v>
      </c>
      <c r="D591" t="inlineStr">
        <is>
          <t>VÄSTMANLANDS LÄN</t>
        </is>
      </c>
      <c r="E591" t="inlineStr">
        <is>
          <t>SALA</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60703-2022</t>
        </is>
      </c>
      <c r="B592" s="1" t="n">
        <v>44912</v>
      </c>
      <c r="C592" s="1" t="n">
        <v>45586</v>
      </c>
      <c r="D592" t="inlineStr">
        <is>
          <t>VÄSTMANLANDS LÄN</t>
        </is>
      </c>
      <c r="E592" t="inlineStr">
        <is>
          <t>SALA</t>
        </is>
      </c>
      <c r="G592" t="n">
        <v>4.6</v>
      </c>
      <c r="H592" t="n">
        <v>0</v>
      </c>
      <c r="I592" t="n">
        <v>0</v>
      </c>
      <c r="J592" t="n">
        <v>0</v>
      </c>
      <c r="K592" t="n">
        <v>0</v>
      </c>
      <c r="L592" t="n">
        <v>0</v>
      </c>
      <c r="M592" t="n">
        <v>0</v>
      </c>
      <c r="N592" t="n">
        <v>0</v>
      </c>
      <c r="O592" t="n">
        <v>0</v>
      </c>
      <c r="P592" t="n">
        <v>0</v>
      </c>
      <c r="Q592" t="n">
        <v>0</v>
      </c>
      <c r="R592" s="2" t="inlineStr"/>
    </row>
    <row r="593" ht="15" customHeight="1">
      <c r="A593" t="inlineStr">
        <is>
          <t>A 60974-2022</t>
        </is>
      </c>
      <c r="B593" s="1" t="n">
        <v>44914</v>
      </c>
      <c r="C593" s="1" t="n">
        <v>45586</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62635-2022</t>
        </is>
      </c>
      <c r="B594" s="1" t="n">
        <v>44917</v>
      </c>
      <c r="C594" s="1" t="n">
        <v>45586</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62654-2022</t>
        </is>
      </c>
      <c r="B595" s="1" t="n">
        <v>44917</v>
      </c>
      <c r="C595" s="1" t="n">
        <v>45586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62651-2022</t>
        </is>
      </c>
      <c r="B596" s="1" t="n">
        <v>44917</v>
      </c>
      <c r="C596" s="1" t="n">
        <v>45586</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45586</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61985-2022</t>
        </is>
      </c>
      <c r="B598" s="1" t="n">
        <v>44918</v>
      </c>
      <c r="C598" s="1" t="n">
        <v>45586</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62292-2022</t>
        </is>
      </c>
      <c r="B599" s="1" t="n">
        <v>44923</v>
      </c>
      <c r="C599" s="1" t="n">
        <v>45586</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62300-2022</t>
        </is>
      </c>
      <c r="B600" s="1" t="n">
        <v>44923</v>
      </c>
      <c r="C600" s="1" t="n">
        <v>45586</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1196-2023</t>
        </is>
      </c>
      <c r="B601" s="1" t="n">
        <v>44935</v>
      </c>
      <c r="C601" s="1" t="n">
        <v>45586</v>
      </c>
      <c r="D601" t="inlineStr">
        <is>
          <t>VÄSTMANLANDS LÄN</t>
        </is>
      </c>
      <c r="E601" t="inlineStr">
        <is>
          <t>SALA</t>
        </is>
      </c>
      <c r="G601" t="n">
        <v>4.1</v>
      </c>
      <c r="H601" t="n">
        <v>0</v>
      </c>
      <c r="I601" t="n">
        <v>0</v>
      </c>
      <c r="J601" t="n">
        <v>0</v>
      </c>
      <c r="K601" t="n">
        <v>0</v>
      </c>
      <c r="L601" t="n">
        <v>0</v>
      </c>
      <c r="M601" t="n">
        <v>0</v>
      </c>
      <c r="N601" t="n">
        <v>0</v>
      </c>
      <c r="O601" t="n">
        <v>0</v>
      </c>
      <c r="P601" t="n">
        <v>0</v>
      </c>
      <c r="Q601" t="n">
        <v>0</v>
      </c>
      <c r="R601" s="2" t="inlineStr"/>
    </row>
    <row r="602" ht="15" customHeight="1">
      <c r="A602" t="inlineStr">
        <is>
          <t>A 1638-2023</t>
        </is>
      </c>
      <c r="B602" s="1" t="n">
        <v>44937</v>
      </c>
      <c r="C602" s="1" t="n">
        <v>45586</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1793-2023</t>
        </is>
      </c>
      <c r="B603" s="1" t="n">
        <v>44937</v>
      </c>
      <c r="C603" s="1" t="n">
        <v>45586</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1934-2023</t>
        </is>
      </c>
      <c r="B604" s="1" t="n">
        <v>44939</v>
      </c>
      <c r="C604" s="1" t="n">
        <v>45586</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1967-2023</t>
        </is>
      </c>
      <c r="B605" s="1" t="n">
        <v>44939</v>
      </c>
      <c r="C605" s="1" t="n">
        <v>45586</v>
      </c>
      <c r="D605" t="inlineStr">
        <is>
          <t>VÄSTMANLANDS LÄN</t>
        </is>
      </c>
      <c r="E605" t="inlineStr">
        <is>
          <t>SALA</t>
        </is>
      </c>
      <c r="G605" t="n">
        <v>4.1</v>
      </c>
      <c r="H605" t="n">
        <v>0</v>
      </c>
      <c r="I605" t="n">
        <v>0</v>
      </c>
      <c r="J605" t="n">
        <v>0</v>
      </c>
      <c r="K605" t="n">
        <v>0</v>
      </c>
      <c r="L605" t="n">
        <v>0</v>
      </c>
      <c r="M605" t="n">
        <v>0</v>
      </c>
      <c r="N605" t="n">
        <v>0</v>
      </c>
      <c r="O605" t="n">
        <v>0</v>
      </c>
      <c r="P605" t="n">
        <v>0</v>
      </c>
      <c r="Q605" t="n">
        <v>0</v>
      </c>
      <c r="R605" s="2" t="inlineStr"/>
    </row>
    <row r="606" ht="15" customHeight="1">
      <c r="A606" t="inlineStr">
        <is>
          <t>A 2521-2023</t>
        </is>
      </c>
      <c r="B606" s="1" t="n">
        <v>44943</v>
      </c>
      <c r="C606" s="1" t="n">
        <v>45586</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2900-2023</t>
        </is>
      </c>
      <c r="B607" s="1" t="n">
        <v>44943</v>
      </c>
      <c r="C607" s="1" t="n">
        <v>45586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3733-2023</t>
        </is>
      </c>
      <c r="B608" s="1" t="n">
        <v>44951</v>
      </c>
      <c r="C608" s="1" t="n">
        <v>45586</v>
      </c>
      <c r="D608" t="inlineStr">
        <is>
          <t>VÄSTMANLANDS LÄN</t>
        </is>
      </c>
      <c r="E608" t="inlineStr">
        <is>
          <t>SALA</t>
        </is>
      </c>
      <c r="G608" t="n">
        <v>3.1</v>
      </c>
      <c r="H608" t="n">
        <v>0</v>
      </c>
      <c r="I608" t="n">
        <v>0</v>
      </c>
      <c r="J608" t="n">
        <v>0</v>
      </c>
      <c r="K608" t="n">
        <v>0</v>
      </c>
      <c r="L608" t="n">
        <v>0</v>
      </c>
      <c r="M608" t="n">
        <v>0</v>
      </c>
      <c r="N608" t="n">
        <v>0</v>
      </c>
      <c r="O608" t="n">
        <v>0</v>
      </c>
      <c r="P608" t="n">
        <v>0</v>
      </c>
      <c r="Q608" t="n">
        <v>0</v>
      </c>
      <c r="R608" s="2" t="inlineStr"/>
    </row>
    <row r="609" ht="15" customHeight="1">
      <c r="A609" t="inlineStr">
        <is>
          <t>A 3810-2023</t>
        </is>
      </c>
      <c r="B609" s="1" t="n">
        <v>44951</v>
      </c>
      <c r="C609" s="1" t="n">
        <v>45586</v>
      </c>
      <c r="D609" t="inlineStr">
        <is>
          <t>VÄSTMANLANDS LÄN</t>
        </is>
      </c>
      <c r="E609" t="inlineStr">
        <is>
          <t>SALA</t>
        </is>
      </c>
      <c r="G609" t="n">
        <v>4.2</v>
      </c>
      <c r="H609" t="n">
        <v>0</v>
      </c>
      <c r="I609" t="n">
        <v>0</v>
      </c>
      <c r="J609" t="n">
        <v>0</v>
      </c>
      <c r="K609" t="n">
        <v>0</v>
      </c>
      <c r="L609" t="n">
        <v>0</v>
      </c>
      <c r="M609" t="n">
        <v>0</v>
      </c>
      <c r="N609" t="n">
        <v>0</v>
      </c>
      <c r="O609" t="n">
        <v>0</v>
      </c>
      <c r="P609" t="n">
        <v>0</v>
      </c>
      <c r="Q609" t="n">
        <v>0</v>
      </c>
      <c r="R609" s="2" t="inlineStr"/>
    </row>
    <row r="610" ht="15" customHeight="1">
      <c r="A610" t="inlineStr">
        <is>
          <t>A 3866-2023</t>
        </is>
      </c>
      <c r="B610" s="1" t="n">
        <v>44951</v>
      </c>
      <c r="C610" s="1" t="n">
        <v>45586</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4853-2023</t>
        </is>
      </c>
      <c r="B611" s="1" t="n">
        <v>44957</v>
      </c>
      <c r="C611" s="1" t="n">
        <v>45586</v>
      </c>
      <c r="D611" t="inlineStr">
        <is>
          <t>VÄSTMANLANDS LÄN</t>
        </is>
      </c>
      <c r="E611" t="inlineStr">
        <is>
          <t>SALA</t>
        </is>
      </c>
      <c r="G611" t="n">
        <v>2.7</v>
      </c>
      <c r="H611" t="n">
        <v>0</v>
      </c>
      <c r="I611" t="n">
        <v>0</v>
      </c>
      <c r="J611" t="n">
        <v>0</v>
      </c>
      <c r="K611" t="n">
        <v>0</v>
      </c>
      <c r="L611" t="n">
        <v>0</v>
      </c>
      <c r="M611" t="n">
        <v>0</v>
      </c>
      <c r="N611" t="n">
        <v>0</v>
      </c>
      <c r="O611" t="n">
        <v>0</v>
      </c>
      <c r="P611" t="n">
        <v>0</v>
      </c>
      <c r="Q611" t="n">
        <v>0</v>
      </c>
      <c r="R611" s="2" t="inlineStr"/>
    </row>
    <row r="612" ht="15" customHeight="1">
      <c r="A612" t="inlineStr">
        <is>
          <t>A 4637-2023</t>
        </is>
      </c>
      <c r="B612" s="1" t="n">
        <v>44957</v>
      </c>
      <c r="C612" s="1" t="n">
        <v>45586</v>
      </c>
      <c r="D612" t="inlineStr">
        <is>
          <t>VÄSTMANLANDS LÄN</t>
        </is>
      </c>
      <c r="E612" t="inlineStr">
        <is>
          <t>SALA</t>
        </is>
      </c>
      <c r="G612" t="n">
        <v>1.4</v>
      </c>
      <c r="H612" t="n">
        <v>0</v>
      </c>
      <c r="I612" t="n">
        <v>0</v>
      </c>
      <c r="J612" t="n">
        <v>0</v>
      </c>
      <c r="K612" t="n">
        <v>0</v>
      </c>
      <c r="L612" t="n">
        <v>0</v>
      </c>
      <c r="M612" t="n">
        <v>0</v>
      </c>
      <c r="N612" t="n">
        <v>0</v>
      </c>
      <c r="O612" t="n">
        <v>0</v>
      </c>
      <c r="P612" t="n">
        <v>0</v>
      </c>
      <c r="Q612" t="n">
        <v>0</v>
      </c>
      <c r="R612" s="2" t="inlineStr"/>
    </row>
    <row r="613" ht="15" customHeight="1">
      <c r="A613" t="inlineStr">
        <is>
          <t>A 4791-2023</t>
        </is>
      </c>
      <c r="B613" s="1" t="n">
        <v>44957</v>
      </c>
      <c r="C613" s="1" t="n">
        <v>45586</v>
      </c>
      <c r="D613" t="inlineStr">
        <is>
          <t>VÄSTMANLANDS LÄN</t>
        </is>
      </c>
      <c r="E613" t="inlineStr">
        <is>
          <t>SALA</t>
        </is>
      </c>
      <c r="G613" t="n">
        <v>2.8</v>
      </c>
      <c r="H613" t="n">
        <v>0</v>
      </c>
      <c r="I613" t="n">
        <v>0</v>
      </c>
      <c r="J613" t="n">
        <v>0</v>
      </c>
      <c r="K613" t="n">
        <v>0</v>
      </c>
      <c r="L613" t="n">
        <v>0</v>
      </c>
      <c r="M613" t="n">
        <v>0</v>
      </c>
      <c r="N613" t="n">
        <v>0</v>
      </c>
      <c r="O613" t="n">
        <v>0</v>
      </c>
      <c r="P613" t="n">
        <v>0</v>
      </c>
      <c r="Q613" t="n">
        <v>0</v>
      </c>
      <c r="R613" s="2" t="inlineStr"/>
    </row>
    <row r="614" ht="15" customHeight="1">
      <c r="A614" t="inlineStr">
        <is>
          <t>A 4797-2023</t>
        </is>
      </c>
      <c r="B614" s="1" t="n">
        <v>44957</v>
      </c>
      <c r="C614" s="1" t="n">
        <v>45586</v>
      </c>
      <c r="D614" t="inlineStr">
        <is>
          <t>VÄSTMANLANDS LÄN</t>
        </is>
      </c>
      <c r="E614" t="inlineStr">
        <is>
          <t>SALA</t>
        </is>
      </c>
      <c r="G614" t="n">
        <v>5.7</v>
      </c>
      <c r="H614" t="n">
        <v>0</v>
      </c>
      <c r="I614" t="n">
        <v>0</v>
      </c>
      <c r="J614" t="n">
        <v>0</v>
      </c>
      <c r="K614" t="n">
        <v>0</v>
      </c>
      <c r="L614" t="n">
        <v>0</v>
      </c>
      <c r="M614" t="n">
        <v>0</v>
      </c>
      <c r="N614" t="n">
        <v>0</v>
      </c>
      <c r="O614" t="n">
        <v>0</v>
      </c>
      <c r="P614" t="n">
        <v>0</v>
      </c>
      <c r="Q614" t="n">
        <v>0</v>
      </c>
      <c r="R614" s="2" t="inlineStr"/>
    </row>
    <row r="615" ht="15" customHeight="1">
      <c r="A615" t="inlineStr">
        <is>
          <t>A 4852-2023</t>
        </is>
      </c>
      <c r="B615" s="1" t="n">
        <v>44957</v>
      </c>
      <c r="C615" s="1" t="n">
        <v>45586</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5782-2023</t>
        </is>
      </c>
      <c r="B616" s="1" t="n">
        <v>44963</v>
      </c>
      <c r="C616" s="1" t="n">
        <v>45586</v>
      </c>
      <c r="D616" t="inlineStr">
        <is>
          <t>VÄSTMANLANDS LÄN</t>
        </is>
      </c>
      <c r="E616" t="inlineStr">
        <is>
          <t>SALA</t>
        </is>
      </c>
      <c r="G616" t="n">
        <v>4.2</v>
      </c>
      <c r="H616" t="n">
        <v>0</v>
      </c>
      <c r="I616" t="n">
        <v>0</v>
      </c>
      <c r="J616" t="n">
        <v>0</v>
      </c>
      <c r="K616" t="n">
        <v>0</v>
      </c>
      <c r="L616" t="n">
        <v>0</v>
      </c>
      <c r="M616" t="n">
        <v>0</v>
      </c>
      <c r="N616" t="n">
        <v>0</v>
      </c>
      <c r="O616" t="n">
        <v>0</v>
      </c>
      <c r="P616" t="n">
        <v>0</v>
      </c>
      <c r="Q616" t="n">
        <v>0</v>
      </c>
      <c r="R616" s="2" t="inlineStr"/>
    </row>
    <row r="617" ht="15" customHeight="1">
      <c r="A617" t="inlineStr">
        <is>
          <t>A 6111-2023</t>
        </is>
      </c>
      <c r="B617" s="1" t="n">
        <v>44964</v>
      </c>
      <c r="C617" s="1" t="n">
        <v>45586</v>
      </c>
      <c r="D617" t="inlineStr">
        <is>
          <t>VÄSTMANLANDS LÄN</t>
        </is>
      </c>
      <c r="E617" t="inlineStr">
        <is>
          <t>SALA</t>
        </is>
      </c>
      <c r="G617" t="n">
        <v>3.7</v>
      </c>
      <c r="H617" t="n">
        <v>0</v>
      </c>
      <c r="I617" t="n">
        <v>0</v>
      </c>
      <c r="J617" t="n">
        <v>0</v>
      </c>
      <c r="K617" t="n">
        <v>0</v>
      </c>
      <c r="L617" t="n">
        <v>0</v>
      </c>
      <c r="M617" t="n">
        <v>0</v>
      </c>
      <c r="N617" t="n">
        <v>0</v>
      </c>
      <c r="O617" t="n">
        <v>0</v>
      </c>
      <c r="P617" t="n">
        <v>0</v>
      </c>
      <c r="Q617" t="n">
        <v>0</v>
      </c>
      <c r="R617" s="2" t="inlineStr"/>
    </row>
    <row r="618" ht="15" customHeight="1">
      <c r="A618" t="inlineStr">
        <is>
          <t>A 6135-2023</t>
        </is>
      </c>
      <c r="B618" s="1" t="n">
        <v>44964</v>
      </c>
      <c r="C618" s="1" t="n">
        <v>45586</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6167-2023</t>
        </is>
      </c>
      <c r="B619" s="1" t="n">
        <v>44964</v>
      </c>
      <c r="C619" s="1" t="n">
        <v>45586</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6130-2023</t>
        </is>
      </c>
      <c r="B620" s="1" t="n">
        <v>44964</v>
      </c>
      <c r="C620" s="1" t="n">
        <v>45586</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6116-2023</t>
        </is>
      </c>
      <c r="B621" s="1" t="n">
        <v>44964</v>
      </c>
      <c r="C621" s="1" t="n">
        <v>45586</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6139-2023</t>
        </is>
      </c>
      <c r="B622" s="1" t="n">
        <v>44964</v>
      </c>
      <c r="C622" s="1" t="n">
        <v>45586</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6869-2023</t>
        </is>
      </c>
      <c r="B623" s="1" t="n">
        <v>44964</v>
      </c>
      <c r="C623" s="1" t="n">
        <v>45586</v>
      </c>
      <c r="D623" t="inlineStr">
        <is>
          <t>VÄSTMANLANDS LÄN</t>
        </is>
      </c>
      <c r="E623" t="inlineStr">
        <is>
          <t>SALA</t>
        </is>
      </c>
      <c r="G623" t="n">
        <v>11.6</v>
      </c>
      <c r="H623" t="n">
        <v>0</v>
      </c>
      <c r="I623" t="n">
        <v>0</v>
      </c>
      <c r="J623" t="n">
        <v>0</v>
      </c>
      <c r="K623" t="n">
        <v>0</v>
      </c>
      <c r="L623" t="n">
        <v>0</v>
      </c>
      <c r="M623" t="n">
        <v>0</v>
      </c>
      <c r="N623" t="n">
        <v>0</v>
      </c>
      <c r="O623" t="n">
        <v>0</v>
      </c>
      <c r="P623" t="n">
        <v>0</v>
      </c>
      <c r="Q623" t="n">
        <v>0</v>
      </c>
      <c r="R623" s="2" t="inlineStr"/>
    </row>
    <row r="624" ht="15" customHeight="1">
      <c r="A624" t="inlineStr">
        <is>
          <t>A 6351-2023</t>
        </is>
      </c>
      <c r="B624" s="1" t="n">
        <v>44965</v>
      </c>
      <c r="C624" s="1" t="n">
        <v>45586</v>
      </c>
      <c r="D624" t="inlineStr">
        <is>
          <t>VÄSTMANLANDS LÄN</t>
        </is>
      </c>
      <c r="E624" t="inlineStr">
        <is>
          <t>SALA</t>
        </is>
      </c>
      <c r="F624" t="inlineStr">
        <is>
          <t>Kommuner</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6851-2023</t>
        </is>
      </c>
      <c r="B625" s="1" t="n">
        <v>44967</v>
      </c>
      <c r="C625" s="1" t="n">
        <v>45586</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7176-2023</t>
        </is>
      </c>
      <c r="B626" s="1" t="n">
        <v>44970</v>
      </c>
      <c r="C626" s="1" t="n">
        <v>45586</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7193-2023</t>
        </is>
      </c>
      <c r="B627" s="1" t="n">
        <v>44970</v>
      </c>
      <c r="C627" s="1" t="n">
        <v>45586</v>
      </c>
      <c r="D627" t="inlineStr">
        <is>
          <t>VÄSTMANLANDS LÄN</t>
        </is>
      </c>
      <c r="E627" t="inlineStr">
        <is>
          <t>SALA</t>
        </is>
      </c>
      <c r="G627" t="n">
        <v>2.5</v>
      </c>
      <c r="H627" t="n">
        <v>0</v>
      </c>
      <c r="I627" t="n">
        <v>0</v>
      </c>
      <c r="J627" t="n">
        <v>0</v>
      </c>
      <c r="K627" t="n">
        <v>0</v>
      </c>
      <c r="L627" t="n">
        <v>0</v>
      </c>
      <c r="M627" t="n">
        <v>0</v>
      </c>
      <c r="N627" t="n">
        <v>0</v>
      </c>
      <c r="O627" t="n">
        <v>0</v>
      </c>
      <c r="P627" t="n">
        <v>0</v>
      </c>
      <c r="Q627" t="n">
        <v>0</v>
      </c>
      <c r="R627" s="2" t="inlineStr"/>
    </row>
    <row r="628" ht="15" customHeight="1">
      <c r="A628" t="inlineStr">
        <is>
          <t>A 7954-2023</t>
        </is>
      </c>
      <c r="B628" s="1" t="n">
        <v>44970</v>
      </c>
      <c r="C628" s="1" t="n">
        <v>45586</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7377-2023</t>
        </is>
      </c>
      <c r="B629" s="1" t="n">
        <v>44971</v>
      </c>
      <c r="C629" s="1" t="n">
        <v>45586</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7351-2023</t>
        </is>
      </c>
      <c r="B630" s="1" t="n">
        <v>44971</v>
      </c>
      <c r="C630" s="1" t="n">
        <v>45586</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7502-2023</t>
        </is>
      </c>
      <c r="B631" s="1" t="n">
        <v>44971</v>
      </c>
      <c r="C631" s="1" t="n">
        <v>45586</v>
      </c>
      <c r="D631" t="inlineStr">
        <is>
          <t>VÄSTMANLANDS LÄN</t>
        </is>
      </c>
      <c r="E631" t="inlineStr">
        <is>
          <t>SALA</t>
        </is>
      </c>
      <c r="G631" t="n">
        <v>1.8</v>
      </c>
      <c r="H631" t="n">
        <v>0</v>
      </c>
      <c r="I631" t="n">
        <v>0</v>
      </c>
      <c r="J631" t="n">
        <v>0</v>
      </c>
      <c r="K631" t="n">
        <v>0</v>
      </c>
      <c r="L631" t="n">
        <v>0</v>
      </c>
      <c r="M631" t="n">
        <v>0</v>
      </c>
      <c r="N631" t="n">
        <v>0</v>
      </c>
      <c r="O631" t="n">
        <v>0</v>
      </c>
      <c r="P631" t="n">
        <v>0</v>
      </c>
      <c r="Q631" t="n">
        <v>0</v>
      </c>
      <c r="R631" s="2" t="inlineStr"/>
    </row>
    <row r="632" ht="15" customHeight="1">
      <c r="A632" t="inlineStr">
        <is>
          <t>A 7664-2023</t>
        </is>
      </c>
      <c r="B632" s="1" t="n">
        <v>44972</v>
      </c>
      <c r="C632" s="1" t="n">
        <v>45586</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7635-2023</t>
        </is>
      </c>
      <c r="B633" s="1" t="n">
        <v>44972</v>
      </c>
      <c r="C633" s="1" t="n">
        <v>45586</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7772-2023</t>
        </is>
      </c>
      <c r="B634" s="1" t="n">
        <v>44973</v>
      </c>
      <c r="C634" s="1" t="n">
        <v>45586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7813-2023</t>
        </is>
      </c>
      <c r="B635" s="1" t="n">
        <v>44973</v>
      </c>
      <c r="C635" s="1" t="n">
        <v>45586</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8047-2023</t>
        </is>
      </c>
      <c r="B636" s="1" t="n">
        <v>44974</v>
      </c>
      <c r="C636" s="1" t="n">
        <v>45586</v>
      </c>
      <c r="D636" t="inlineStr">
        <is>
          <t>VÄSTMANLANDS LÄN</t>
        </is>
      </c>
      <c r="E636" t="inlineStr">
        <is>
          <t>SALA</t>
        </is>
      </c>
      <c r="G636" t="n">
        <v>17.4</v>
      </c>
      <c r="H636" t="n">
        <v>0</v>
      </c>
      <c r="I636" t="n">
        <v>0</v>
      </c>
      <c r="J636" t="n">
        <v>0</v>
      </c>
      <c r="K636" t="n">
        <v>0</v>
      </c>
      <c r="L636" t="n">
        <v>0</v>
      </c>
      <c r="M636" t="n">
        <v>0</v>
      </c>
      <c r="N636" t="n">
        <v>0</v>
      </c>
      <c r="O636" t="n">
        <v>0</v>
      </c>
      <c r="P636" t="n">
        <v>0</v>
      </c>
      <c r="Q636" t="n">
        <v>0</v>
      </c>
      <c r="R636" s="2" t="inlineStr"/>
    </row>
    <row r="637" ht="15" customHeight="1">
      <c r="A637" t="inlineStr">
        <is>
          <t>A 8766-2023</t>
        </is>
      </c>
      <c r="B637" s="1" t="n">
        <v>44978</v>
      </c>
      <c r="C637" s="1" t="n">
        <v>45586</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9051-2023</t>
        </is>
      </c>
      <c r="B638" s="1" t="n">
        <v>44979</v>
      </c>
      <c r="C638" s="1" t="n">
        <v>45586</v>
      </c>
      <c r="D638" t="inlineStr">
        <is>
          <t>VÄSTMANLANDS LÄN</t>
        </is>
      </c>
      <c r="E638" t="inlineStr">
        <is>
          <t>SALA</t>
        </is>
      </c>
      <c r="G638" t="n">
        <v>4.1</v>
      </c>
      <c r="H638" t="n">
        <v>0</v>
      </c>
      <c r="I638" t="n">
        <v>0</v>
      </c>
      <c r="J638" t="n">
        <v>0</v>
      </c>
      <c r="K638" t="n">
        <v>0</v>
      </c>
      <c r="L638" t="n">
        <v>0</v>
      </c>
      <c r="M638" t="n">
        <v>0</v>
      </c>
      <c r="N638" t="n">
        <v>0</v>
      </c>
      <c r="O638" t="n">
        <v>0</v>
      </c>
      <c r="P638" t="n">
        <v>0</v>
      </c>
      <c r="Q638" t="n">
        <v>0</v>
      </c>
      <c r="R638" s="2" t="inlineStr"/>
    </row>
    <row r="639" ht="15" customHeight="1">
      <c r="A639" t="inlineStr">
        <is>
          <t>A 11190-2023</t>
        </is>
      </c>
      <c r="B639" s="1" t="n">
        <v>44992</v>
      </c>
      <c r="C639" s="1" t="n">
        <v>45586</v>
      </c>
      <c r="D639" t="inlineStr">
        <is>
          <t>VÄSTMANLANDS LÄN</t>
        </is>
      </c>
      <c r="E639" t="inlineStr">
        <is>
          <t>SALA</t>
        </is>
      </c>
      <c r="G639" t="n">
        <v>1</v>
      </c>
      <c r="H639" t="n">
        <v>0</v>
      </c>
      <c r="I639" t="n">
        <v>0</v>
      </c>
      <c r="J639" t="n">
        <v>0</v>
      </c>
      <c r="K639" t="n">
        <v>0</v>
      </c>
      <c r="L639" t="n">
        <v>0</v>
      </c>
      <c r="M639" t="n">
        <v>0</v>
      </c>
      <c r="N639" t="n">
        <v>0</v>
      </c>
      <c r="O639" t="n">
        <v>0</v>
      </c>
      <c r="P639" t="n">
        <v>0</v>
      </c>
      <c r="Q639" t="n">
        <v>0</v>
      </c>
      <c r="R639" s="2" t="inlineStr"/>
    </row>
    <row r="640" ht="15" customHeight="1">
      <c r="A640" t="inlineStr">
        <is>
          <t>A 11166-2023</t>
        </is>
      </c>
      <c r="B640" s="1" t="n">
        <v>44992</v>
      </c>
      <c r="C640" s="1" t="n">
        <v>45586</v>
      </c>
      <c r="D640" t="inlineStr">
        <is>
          <t>VÄSTMANLANDS LÄN</t>
        </is>
      </c>
      <c r="E640" t="inlineStr">
        <is>
          <t>SALA</t>
        </is>
      </c>
      <c r="G640" t="n">
        <v>3.9</v>
      </c>
      <c r="H640" t="n">
        <v>0</v>
      </c>
      <c r="I640" t="n">
        <v>0</v>
      </c>
      <c r="J640" t="n">
        <v>0</v>
      </c>
      <c r="K640" t="n">
        <v>0</v>
      </c>
      <c r="L640" t="n">
        <v>0</v>
      </c>
      <c r="M640" t="n">
        <v>0</v>
      </c>
      <c r="N640" t="n">
        <v>0</v>
      </c>
      <c r="O640" t="n">
        <v>0</v>
      </c>
      <c r="P640" t="n">
        <v>0</v>
      </c>
      <c r="Q640" t="n">
        <v>0</v>
      </c>
      <c r="R640" s="2" t="inlineStr"/>
    </row>
    <row r="641" ht="15" customHeight="1">
      <c r="A641" t="inlineStr">
        <is>
          <t>A 11183-2023</t>
        </is>
      </c>
      <c r="B641" s="1" t="n">
        <v>44992</v>
      </c>
      <c r="C641" s="1" t="n">
        <v>45586</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11631-2023</t>
        </is>
      </c>
      <c r="B642" s="1" t="n">
        <v>44994</v>
      </c>
      <c r="C642" s="1" t="n">
        <v>45586</v>
      </c>
      <c r="D642" t="inlineStr">
        <is>
          <t>VÄSTMANLANDS LÄN</t>
        </is>
      </c>
      <c r="E642" t="inlineStr">
        <is>
          <t>SALA</t>
        </is>
      </c>
      <c r="F642" t="inlineStr">
        <is>
          <t>Kommuner</t>
        </is>
      </c>
      <c r="G642" t="n">
        <v>1.9</v>
      </c>
      <c r="H642" t="n">
        <v>0</v>
      </c>
      <c r="I642" t="n">
        <v>0</v>
      </c>
      <c r="J642" t="n">
        <v>0</v>
      </c>
      <c r="K642" t="n">
        <v>0</v>
      </c>
      <c r="L642" t="n">
        <v>0</v>
      </c>
      <c r="M642" t="n">
        <v>0</v>
      </c>
      <c r="N642" t="n">
        <v>0</v>
      </c>
      <c r="O642" t="n">
        <v>0</v>
      </c>
      <c r="P642" t="n">
        <v>0</v>
      </c>
      <c r="Q642" t="n">
        <v>0</v>
      </c>
      <c r="R642" s="2" t="inlineStr"/>
    </row>
    <row r="643" ht="15" customHeight="1">
      <c r="A643" t="inlineStr">
        <is>
          <t>A 12231-2023</t>
        </is>
      </c>
      <c r="B643" s="1" t="n">
        <v>44995</v>
      </c>
      <c r="C643" s="1" t="n">
        <v>45586</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12246-2023</t>
        </is>
      </c>
      <c r="B644" s="1" t="n">
        <v>44995</v>
      </c>
      <c r="C644" s="1" t="n">
        <v>45586</v>
      </c>
      <c r="D644" t="inlineStr">
        <is>
          <t>VÄSTMANLANDS LÄN</t>
        </is>
      </c>
      <c r="E644" t="inlineStr">
        <is>
          <t>SALA</t>
        </is>
      </c>
      <c r="G644" t="n">
        <v>2.4</v>
      </c>
      <c r="H644" t="n">
        <v>0</v>
      </c>
      <c r="I644" t="n">
        <v>0</v>
      </c>
      <c r="J644" t="n">
        <v>0</v>
      </c>
      <c r="K644" t="n">
        <v>0</v>
      </c>
      <c r="L644" t="n">
        <v>0</v>
      </c>
      <c r="M644" t="n">
        <v>0</v>
      </c>
      <c r="N644" t="n">
        <v>0</v>
      </c>
      <c r="O644" t="n">
        <v>0</v>
      </c>
      <c r="P644" t="n">
        <v>0</v>
      </c>
      <c r="Q644" t="n">
        <v>0</v>
      </c>
      <c r="R644" s="2" t="inlineStr"/>
    </row>
    <row r="645" ht="15" customHeight="1">
      <c r="A645" t="inlineStr">
        <is>
          <t>A 12272-2023</t>
        </is>
      </c>
      <c r="B645" s="1" t="n">
        <v>44995</v>
      </c>
      <c r="C645" s="1" t="n">
        <v>45586</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12242-2023</t>
        </is>
      </c>
      <c r="B646" s="1" t="n">
        <v>44995</v>
      </c>
      <c r="C646" s="1" t="n">
        <v>45586</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12252-2023</t>
        </is>
      </c>
      <c r="B647" s="1" t="n">
        <v>44995</v>
      </c>
      <c r="C647" s="1" t="n">
        <v>45586</v>
      </c>
      <c r="D647" t="inlineStr">
        <is>
          <t>VÄSTMANLANDS LÄN</t>
        </is>
      </c>
      <c r="E647" t="inlineStr">
        <is>
          <t>SALA</t>
        </is>
      </c>
      <c r="G647" t="n">
        <v>2.6</v>
      </c>
      <c r="H647" t="n">
        <v>0</v>
      </c>
      <c r="I647" t="n">
        <v>0</v>
      </c>
      <c r="J647" t="n">
        <v>0</v>
      </c>
      <c r="K647" t="n">
        <v>0</v>
      </c>
      <c r="L647" t="n">
        <v>0</v>
      </c>
      <c r="M647" t="n">
        <v>0</v>
      </c>
      <c r="N647" t="n">
        <v>0</v>
      </c>
      <c r="O647" t="n">
        <v>0</v>
      </c>
      <c r="P647" t="n">
        <v>0</v>
      </c>
      <c r="Q647" t="n">
        <v>0</v>
      </c>
      <c r="R647" s="2" t="inlineStr"/>
    </row>
    <row r="648" ht="15" customHeight="1">
      <c r="A648" t="inlineStr">
        <is>
          <t>A 12225-2023</t>
        </is>
      </c>
      <c r="B648" s="1" t="n">
        <v>44995</v>
      </c>
      <c r="C648" s="1" t="n">
        <v>45586</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12509-2023</t>
        </is>
      </c>
      <c r="B649" s="1" t="n">
        <v>45000</v>
      </c>
      <c r="C649" s="1" t="n">
        <v>45586</v>
      </c>
      <c r="D649" t="inlineStr">
        <is>
          <t>VÄSTMANLANDS LÄN</t>
        </is>
      </c>
      <c r="E649" t="inlineStr">
        <is>
          <t>SALA</t>
        </is>
      </c>
      <c r="G649" t="n">
        <v>13.9</v>
      </c>
      <c r="H649" t="n">
        <v>0</v>
      </c>
      <c r="I649" t="n">
        <v>0</v>
      </c>
      <c r="J649" t="n">
        <v>0</v>
      </c>
      <c r="K649" t="n">
        <v>0</v>
      </c>
      <c r="L649" t="n">
        <v>0</v>
      </c>
      <c r="M649" t="n">
        <v>0</v>
      </c>
      <c r="N649" t="n">
        <v>0</v>
      </c>
      <c r="O649" t="n">
        <v>0</v>
      </c>
      <c r="P649" t="n">
        <v>0</v>
      </c>
      <c r="Q649" t="n">
        <v>0</v>
      </c>
      <c r="R649" s="2" t="inlineStr"/>
    </row>
    <row r="650" ht="15" customHeight="1">
      <c r="A650" t="inlineStr">
        <is>
          <t>A 12510-2023</t>
        </is>
      </c>
      <c r="B650" s="1" t="n">
        <v>45000</v>
      </c>
      <c r="C650" s="1" t="n">
        <v>45586</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13146-2023</t>
        </is>
      </c>
      <c r="B651" s="1" t="n">
        <v>45002</v>
      </c>
      <c r="C651" s="1" t="n">
        <v>45586</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13022-2023</t>
        </is>
      </c>
      <c r="B652" s="1" t="n">
        <v>45002</v>
      </c>
      <c r="C652" s="1" t="n">
        <v>45586</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13151-2023</t>
        </is>
      </c>
      <c r="B653" s="1" t="n">
        <v>45002</v>
      </c>
      <c r="C653" s="1" t="n">
        <v>45586</v>
      </c>
      <c r="D653" t="inlineStr">
        <is>
          <t>VÄSTMANLANDS LÄN</t>
        </is>
      </c>
      <c r="E653" t="inlineStr">
        <is>
          <t>SALA</t>
        </is>
      </c>
      <c r="G653" t="n">
        <v>1.4</v>
      </c>
      <c r="H653" t="n">
        <v>0</v>
      </c>
      <c r="I653" t="n">
        <v>0</v>
      </c>
      <c r="J653" t="n">
        <v>0</v>
      </c>
      <c r="K653" t="n">
        <v>0</v>
      </c>
      <c r="L653" t="n">
        <v>0</v>
      </c>
      <c r="M653" t="n">
        <v>0</v>
      </c>
      <c r="N653" t="n">
        <v>0</v>
      </c>
      <c r="O653" t="n">
        <v>0</v>
      </c>
      <c r="P653" t="n">
        <v>0</v>
      </c>
      <c r="Q653" t="n">
        <v>0</v>
      </c>
      <c r="R653" s="2" t="inlineStr"/>
    </row>
    <row r="654" ht="15" customHeight="1">
      <c r="A654" t="inlineStr">
        <is>
          <t>A 13128-2023</t>
        </is>
      </c>
      <c r="B654" s="1" t="n">
        <v>45002</v>
      </c>
      <c r="C654" s="1" t="n">
        <v>45586</v>
      </c>
      <c r="D654" t="inlineStr">
        <is>
          <t>VÄSTMANLANDS LÄN</t>
        </is>
      </c>
      <c r="E654" t="inlineStr">
        <is>
          <t>SALA</t>
        </is>
      </c>
      <c r="G654" t="n">
        <v>7.9</v>
      </c>
      <c r="H654" t="n">
        <v>0</v>
      </c>
      <c r="I654" t="n">
        <v>0</v>
      </c>
      <c r="J654" t="n">
        <v>0</v>
      </c>
      <c r="K654" t="n">
        <v>0</v>
      </c>
      <c r="L654" t="n">
        <v>0</v>
      </c>
      <c r="M654" t="n">
        <v>0</v>
      </c>
      <c r="N654" t="n">
        <v>0</v>
      </c>
      <c r="O654" t="n">
        <v>0</v>
      </c>
      <c r="P654" t="n">
        <v>0</v>
      </c>
      <c r="Q654" t="n">
        <v>0</v>
      </c>
      <c r="R654" s="2" t="inlineStr"/>
    </row>
    <row r="655" ht="15" customHeight="1">
      <c r="A655" t="inlineStr">
        <is>
          <t>A 13153-2023</t>
        </is>
      </c>
      <c r="B655" s="1" t="n">
        <v>45002</v>
      </c>
      <c r="C655" s="1" t="n">
        <v>45586</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13059-2023</t>
        </is>
      </c>
      <c r="B656" s="1" t="n">
        <v>45002</v>
      </c>
      <c r="C656" s="1" t="n">
        <v>45586</v>
      </c>
      <c r="D656" t="inlineStr">
        <is>
          <t>VÄSTMANLANDS LÄN</t>
        </is>
      </c>
      <c r="E656" t="inlineStr">
        <is>
          <t>SALA</t>
        </is>
      </c>
      <c r="G656" t="n">
        <v>0.8</v>
      </c>
      <c r="H656" t="n">
        <v>0</v>
      </c>
      <c r="I656" t="n">
        <v>0</v>
      </c>
      <c r="J656" t="n">
        <v>0</v>
      </c>
      <c r="K656" t="n">
        <v>0</v>
      </c>
      <c r="L656" t="n">
        <v>0</v>
      </c>
      <c r="M656" t="n">
        <v>0</v>
      </c>
      <c r="N656" t="n">
        <v>0</v>
      </c>
      <c r="O656" t="n">
        <v>0</v>
      </c>
      <c r="P656" t="n">
        <v>0</v>
      </c>
      <c r="Q656" t="n">
        <v>0</v>
      </c>
      <c r="R656" s="2" t="inlineStr"/>
    </row>
    <row r="657" ht="15" customHeight="1">
      <c r="A657" t="inlineStr">
        <is>
          <t>A 13857-2023</t>
        </is>
      </c>
      <c r="B657" s="1" t="n">
        <v>45007</v>
      </c>
      <c r="C657" s="1" t="n">
        <v>45586</v>
      </c>
      <c r="D657" t="inlineStr">
        <is>
          <t>VÄSTMANLANDS LÄN</t>
        </is>
      </c>
      <c r="E657" t="inlineStr">
        <is>
          <t>SALA</t>
        </is>
      </c>
      <c r="G657" t="n">
        <v>5.7</v>
      </c>
      <c r="H657" t="n">
        <v>0</v>
      </c>
      <c r="I657" t="n">
        <v>0</v>
      </c>
      <c r="J657" t="n">
        <v>0</v>
      </c>
      <c r="K657" t="n">
        <v>0</v>
      </c>
      <c r="L657" t="n">
        <v>0</v>
      </c>
      <c r="M657" t="n">
        <v>0</v>
      </c>
      <c r="N657" t="n">
        <v>0</v>
      </c>
      <c r="O657" t="n">
        <v>0</v>
      </c>
      <c r="P657" t="n">
        <v>0</v>
      </c>
      <c r="Q657" t="n">
        <v>0</v>
      </c>
      <c r="R657" s="2" t="inlineStr"/>
    </row>
    <row r="658" ht="15" customHeight="1">
      <c r="A658" t="inlineStr">
        <is>
          <t>A 13833-2023</t>
        </is>
      </c>
      <c r="B658" s="1" t="n">
        <v>45007</v>
      </c>
      <c r="C658" s="1" t="n">
        <v>45586</v>
      </c>
      <c r="D658" t="inlineStr">
        <is>
          <t>VÄSTMANLANDS LÄN</t>
        </is>
      </c>
      <c r="E658" t="inlineStr">
        <is>
          <t>SALA</t>
        </is>
      </c>
      <c r="G658" t="n">
        <v>4.3</v>
      </c>
      <c r="H658" t="n">
        <v>0</v>
      </c>
      <c r="I658" t="n">
        <v>0</v>
      </c>
      <c r="J658" t="n">
        <v>0</v>
      </c>
      <c r="K658" t="n">
        <v>0</v>
      </c>
      <c r="L658" t="n">
        <v>0</v>
      </c>
      <c r="M658" t="n">
        <v>0</v>
      </c>
      <c r="N658" t="n">
        <v>0</v>
      </c>
      <c r="O658" t="n">
        <v>0</v>
      </c>
      <c r="P658" t="n">
        <v>0</v>
      </c>
      <c r="Q658" t="n">
        <v>0</v>
      </c>
      <c r="R658" s="2" t="inlineStr"/>
    </row>
    <row r="659" ht="15" customHeight="1">
      <c r="A659" t="inlineStr">
        <is>
          <t>A 13855-2023</t>
        </is>
      </c>
      <c r="B659" s="1" t="n">
        <v>45007</v>
      </c>
      <c r="C659" s="1" t="n">
        <v>45586</v>
      </c>
      <c r="D659" t="inlineStr">
        <is>
          <t>VÄSTMANLANDS LÄN</t>
        </is>
      </c>
      <c r="E659" t="inlineStr">
        <is>
          <t>SALA</t>
        </is>
      </c>
      <c r="G659" t="n">
        <v>2.9</v>
      </c>
      <c r="H659" t="n">
        <v>0</v>
      </c>
      <c r="I659" t="n">
        <v>0</v>
      </c>
      <c r="J659" t="n">
        <v>0</v>
      </c>
      <c r="K659" t="n">
        <v>0</v>
      </c>
      <c r="L659" t="n">
        <v>0</v>
      </c>
      <c r="M659" t="n">
        <v>0</v>
      </c>
      <c r="N659" t="n">
        <v>0</v>
      </c>
      <c r="O659" t="n">
        <v>0</v>
      </c>
      <c r="P659" t="n">
        <v>0</v>
      </c>
      <c r="Q659" t="n">
        <v>0</v>
      </c>
      <c r="R659" s="2" t="inlineStr"/>
    </row>
    <row r="660" ht="15" customHeight="1">
      <c r="A660" t="inlineStr">
        <is>
          <t>A 13990-2023</t>
        </is>
      </c>
      <c r="B660" s="1" t="n">
        <v>45007</v>
      </c>
      <c r="C660" s="1" t="n">
        <v>45586</v>
      </c>
      <c r="D660" t="inlineStr">
        <is>
          <t>VÄSTMANLANDS LÄN</t>
        </is>
      </c>
      <c r="E660" t="inlineStr">
        <is>
          <t>SALA</t>
        </is>
      </c>
      <c r="G660" t="n">
        <v>2.6</v>
      </c>
      <c r="H660" t="n">
        <v>0</v>
      </c>
      <c r="I660" t="n">
        <v>0</v>
      </c>
      <c r="J660" t="n">
        <v>0</v>
      </c>
      <c r="K660" t="n">
        <v>0</v>
      </c>
      <c r="L660" t="n">
        <v>0</v>
      </c>
      <c r="M660" t="n">
        <v>0</v>
      </c>
      <c r="N660" t="n">
        <v>0</v>
      </c>
      <c r="O660" t="n">
        <v>0</v>
      </c>
      <c r="P660" t="n">
        <v>0</v>
      </c>
      <c r="Q660" t="n">
        <v>0</v>
      </c>
      <c r="R660" s="2" t="inlineStr"/>
    </row>
    <row r="661" ht="15" customHeight="1">
      <c r="A661" t="inlineStr">
        <is>
          <t>A 13987-2023</t>
        </is>
      </c>
      <c r="B661" s="1" t="n">
        <v>45007</v>
      </c>
      <c r="C661" s="1" t="n">
        <v>45586</v>
      </c>
      <c r="D661" t="inlineStr">
        <is>
          <t>VÄSTMANLANDS LÄN</t>
        </is>
      </c>
      <c r="E661" t="inlineStr">
        <is>
          <t>SALA</t>
        </is>
      </c>
      <c r="G661" t="n">
        <v>3.2</v>
      </c>
      <c r="H661" t="n">
        <v>0</v>
      </c>
      <c r="I661" t="n">
        <v>0</v>
      </c>
      <c r="J661" t="n">
        <v>0</v>
      </c>
      <c r="K661" t="n">
        <v>0</v>
      </c>
      <c r="L661" t="n">
        <v>0</v>
      </c>
      <c r="M661" t="n">
        <v>0</v>
      </c>
      <c r="N661" t="n">
        <v>0</v>
      </c>
      <c r="O661" t="n">
        <v>0</v>
      </c>
      <c r="P661" t="n">
        <v>0</v>
      </c>
      <c r="Q661" t="n">
        <v>0</v>
      </c>
      <c r="R661" s="2" t="inlineStr"/>
    </row>
    <row r="662" ht="15" customHeight="1">
      <c r="A662" t="inlineStr">
        <is>
          <t>A 13935-2023</t>
        </is>
      </c>
      <c r="B662" s="1" t="n">
        <v>45008</v>
      </c>
      <c r="C662" s="1" t="n">
        <v>45586</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14578-2023</t>
        </is>
      </c>
      <c r="B663" s="1" t="n">
        <v>45013</v>
      </c>
      <c r="C663" s="1" t="n">
        <v>45586</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14823-2023</t>
        </is>
      </c>
      <c r="B664" s="1" t="n">
        <v>45014</v>
      </c>
      <c r="C664" s="1" t="n">
        <v>45586</v>
      </c>
      <c r="D664" t="inlineStr">
        <is>
          <t>VÄSTMANLANDS LÄN</t>
        </is>
      </c>
      <c r="E664" t="inlineStr">
        <is>
          <t>SALA</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14790-2023</t>
        </is>
      </c>
      <c r="B665" s="1" t="n">
        <v>45014</v>
      </c>
      <c r="C665" s="1" t="n">
        <v>45586</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15589-2023</t>
        </is>
      </c>
      <c r="B666" s="1" t="n">
        <v>45020</v>
      </c>
      <c r="C666" s="1" t="n">
        <v>45586</v>
      </c>
      <c r="D666" t="inlineStr">
        <is>
          <t>VÄSTMANLANDS LÄN</t>
        </is>
      </c>
      <c r="E666" t="inlineStr">
        <is>
          <t>SALA</t>
        </is>
      </c>
      <c r="G666" t="n">
        <v>7.5</v>
      </c>
      <c r="H666" t="n">
        <v>0</v>
      </c>
      <c r="I666" t="n">
        <v>0</v>
      </c>
      <c r="J666" t="n">
        <v>0</v>
      </c>
      <c r="K666" t="n">
        <v>0</v>
      </c>
      <c r="L666" t="n">
        <v>0</v>
      </c>
      <c r="M666" t="n">
        <v>0</v>
      </c>
      <c r="N666" t="n">
        <v>0</v>
      </c>
      <c r="O666" t="n">
        <v>0</v>
      </c>
      <c r="P666" t="n">
        <v>0</v>
      </c>
      <c r="Q666" t="n">
        <v>0</v>
      </c>
      <c r="R666" s="2" t="inlineStr"/>
    </row>
    <row r="667" ht="15" customHeight="1">
      <c r="A667" t="inlineStr">
        <is>
          <t>A 15584-2023</t>
        </is>
      </c>
      <c r="B667" s="1" t="n">
        <v>45020</v>
      </c>
      <c r="C667" s="1" t="n">
        <v>45586</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16003-2023</t>
        </is>
      </c>
      <c r="B668" s="1" t="n">
        <v>45024</v>
      </c>
      <c r="C668" s="1" t="n">
        <v>45586</v>
      </c>
      <c r="D668" t="inlineStr">
        <is>
          <t>VÄSTMANLANDS LÄN</t>
        </is>
      </c>
      <c r="E668" t="inlineStr">
        <is>
          <t>SALA</t>
        </is>
      </c>
      <c r="G668" t="n">
        <v>6.6</v>
      </c>
      <c r="H668" t="n">
        <v>0</v>
      </c>
      <c r="I668" t="n">
        <v>0</v>
      </c>
      <c r="J668" t="n">
        <v>0</v>
      </c>
      <c r="K668" t="n">
        <v>0</v>
      </c>
      <c r="L668" t="n">
        <v>0</v>
      </c>
      <c r="M668" t="n">
        <v>0</v>
      </c>
      <c r="N668" t="n">
        <v>0</v>
      </c>
      <c r="O668" t="n">
        <v>0</v>
      </c>
      <c r="P668" t="n">
        <v>0</v>
      </c>
      <c r="Q668" t="n">
        <v>0</v>
      </c>
      <c r="R668" s="2" t="inlineStr"/>
    </row>
    <row r="669" ht="15" customHeight="1">
      <c r="A669" t="inlineStr">
        <is>
          <t>A 16002-2023</t>
        </is>
      </c>
      <c r="B669" s="1" t="n">
        <v>45024</v>
      </c>
      <c r="C669" s="1" t="n">
        <v>45586</v>
      </c>
      <c r="D669" t="inlineStr">
        <is>
          <t>VÄSTMANLANDS LÄN</t>
        </is>
      </c>
      <c r="E669" t="inlineStr">
        <is>
          <t>SALA</t>
        </is>
      </c>
      <c r="G669" t="n">
        <v>1</v>
      </c>
      <c r="H669" t="n">
        <v>0</v>
      </c>
      <c r="I669" t="n">
        <v>0</v>
      </c>
      <c r="J669" t="n">
        <v>0</v>
      </c>
      <c r="K669" t="n">
        <v>0</v>
      </c>
      <c r="L669" t="n">
        <v>0</v>
      </c>
      <c r="M669" t="n">
        <v>0</v>
      </c>
      <c r="N669" t="n">
        <v>0</v>
      </c>
      <c r="O669" t="n">
        <v>0</v>
      </c>
      <c r="P669" t="n">
        <v>0</v>
      </c>
      <c r="Q669" t="n">
        <v>0</v>
      </c>
      <c r="R669" s="2" t="inlineStr"/>
    </row>
    <row r="670" ht="15" customHeight="1">
      <c r="A670" t="inlineStr">
        <is>
          <t>A 16041-2023</t>
        </is>
      </c>
      <c r="B670" s="1" t="n">
        <v>45027</v>
      </c>
      <c r="C670" s="1" t="n">
        <v>45586</v>
      </c>
      <c r="D670" t="inlineStr">
        <is>
          <t>VÄSTMANLANDS LÄN</t>
        </is>
      </c>
      <c r="E670" t="inlineStr">
        <is>
          <t>SALA</t>
        </is>
      </c>
      <c r="G670" t="n">
        <v>3.1</v>
      </c>
      <c r="H670" t="n">
        <v>0</v>
      </c>
      <c r="I670" t="n">
        <v>0</v>
      </c>
      <c r="J670" t="n">
        <v>0</v>
      </c>
      <c r="K670" t="n">
        <v>0</v>
      </c>
      <c r="L670" t="n">
        <v>0</v>
      </c>
      <c r="M670" t="n">
        <v>0</v>
      </c>
      <c r="N670" t="n">
        <v>0</v>
      </c>
      <c r="O670" t="n">
        <v>0</v>
      </c>
      <c r="P670" t="n">
        <v>0</v>
      </c>
      <c r="Q670" t="n">
        <v>0</v>
      </c>
      <c r="R670" s="2" t="inlineStr"/>
    </row>
    <row r="671" ht="15" customHeight="1">
      <c r="A671" t="inlineStr">
        <is>
          <t>A 16142-2023</t>
        </is>
      </c>
      <c r="B671" s="1" t="n">
        <v>45027</v>
      </c>
      <c r="C671" s="1" t="n">
        <v>45586</v>
      </c>
      <c r="D671" t="inlineStr">
        <is>
          <t>VÄSTMANLANDS LÄN</t>
        </is>
      </c>
      <c r="E671" t="inlineStr">
        <is>
          <t>SALA</t>
        </is>
      </c>
      <c r="G671" t="n">
        <v>6.3</v>
      </c>
      <c r="H671" t="n">
        <v>0</v>
      </c>
      <c r="I671" t="n">
        <v>0</v>
      </c>
      <c r="J671" t="n">
        <v>0</v>
      </c>
      <c r="K671" t="n">
        <v>0</v>
      </c>
      <c r="L671" t="n">
        <v>0</v>
      </c>
      <c r="M671" t="n">
        <v>0</v>
      </c>
      <c r="N671" t="n">
        <v>0</v>
      </c>
      <c r="O671" t="n">
        <v>0</v>
      </c>
      <c r="P671" t="n">
        <v>0</v>
      </c>
      <c r="Q671" t="n">
        <v>0</v>
      </c>
      <c r="R671" s="2" t="inlineStr"/>
    </row>
    <row r="672" ht="15" customHeight="1">
      <c r="A672" t="inlineStr">
        <is>
          <t>A 16083-2023</t>
        </is>
      </c>
      <c r="B672" s="1" t="n">
        <v>45027</v>
      </c>
      <c r="C672" s="1" t="n">
        <v>45586</v>
      </c>
      <c r="D672" t="inlineStr">
        <is>
          <t>VÄSTMANLANDS LÄN</t>
        </is>
      </c>
      <c r="E672" t="inlineStr">
        <is>
          <t>SALA</t>
        </is>
      </c>
      <c r="G672" t="n">
        <v>4.4</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45586</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16693-2023</t>
        </is>
      </c>
      <c r="B674" s="1" t="n">
        <v>45028</v>
      </c>
      <c r="C674" s="1" t="n">
        <v>45586</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16546-2023</t>
        </is>
      </c>
      <c r="B675" s="1" t="n">
        <v>45029</v>
      </c>
      <c r="C675" s="1" t="n">
        <v>45586</v>
      </c>
      <c r="D675" t="inlineStr">
        <is>
          <t>VÄSTMANLANDS LÄN</t>
        </is>
      </c>
      <c r="E675" t="inlineStr">
        <is>
          <t>SALA</t>
        </is>
      </c>
      <c r="F675" t="inlineStr">
        <is>
          <t>Sveaskog</t>
        </is>
      </c>
      <c r="G675" t="n">
        <v>0.5</v>
      </c>
      <c r="H675" t="n">
        <v>0</v>
      </c>
      <c r="I675" t="n">
        <v>0</v>
      </c>
      <c r="J675" t="n">
        <v>0</v>
      </c>
      <c r="K675" t="n">
        <v>0</v>
      </c>
      <c r="L675" t="n">
        <v>0</v>
      </c>
      <c r="M675" t="n">
        <v>0</v>
      </c>
      <c r="N675" t="n">
        <v>0</v>
      </c>
      <c r="O675" t="n">
        <v>0</v>
      </c>
      <c r="P675" t="n">
        <v>0</v>
      </c>
      <c r="Q675" t="n">
        <v>0</v>
      </c>
      <c r="R675" s="2" t="inlineStr"/>
    </row>
    <row r="676" ht="15" customHeight="1">
      <c r="A676" t="inlineStr">
        <is>
          <t>A 16543-2023</t>
        </is>
      </c>
      <c r="B676" s="1" t="n">
        <v>45029</v>
      </c>
      <c r="C676" s="1" t="n">
        <v>45586</v>
      </c>
      <c r="D676" t="inlineStr">
        <is>
          <t>VÄSTMANLANDS LÄN</t>
        </is>
      </c>
      <c r="E676" t="inlineStr">
        <is>
          <t>SALA</t>
        </is>
      </c>
      <c r="F676" t="inlineStr">
        <is>
          <t>Sveaskog</t>
        </is>
      </c>
      <c r="G676" t="n">
        <v>1.9</v>
      </c>
      <c r="H676" t="n">
        <v>0</v>
      </c>
      <c r="I676" t="n">
        <v>0</v>
      </c>
      <c r="J676" t="n">
        <v>0</v>
      </c>
      <c r="K676" t="n">
        <v>0</v>
      </c>
      <c r="L676" t="n">
        <v>0</v>
      </c>
      <c r="M676" t="n">
        <v>0</v>
      </c>
      <c r="N676" t="n">
        <v>0</v>
      </c>
      <c r="O676" t="n">
        <v>0</v>
      </c>
      <c r="P676" t="n">
        <v>0</v>
      </c>
      <c r="Q676" t="n">
        <v>0</v>
      </c>
      <c r="R676" s="2" t="inlineStr"/>
    </row>
    <row r="677" ht="15" customHeight="1">
      <c r="A677" t="inlineStr">
        <is>
          <t>A 16544-2023</t>
        </is>
      </c>
      <c r="B677" s="1" t="n">
        <v>45029</v>
      </c>
      <c r="C677" s="1" t="n">
        <v>45586</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16547-2023</t>
        </is>
      </c>
      <c r="B678" s="1" t="n">
        <v>45029</v>
      </c>
      <c r="C678" s="1" t="n">
        <v>45586</v>
      </c>
      <c r="D678" t="inlineStr">
        <is>
          <t>VÄSTMANLANDS LÄN</t>
        </is>
      </c>
      <c r="E678" t="inlineStr">
        <is>
          <t>SALA</t>
        </is>
      </c>
      <c r="F678" t="inlineStr">
        <is>
          <t>Sveaskog</t>
        </is>
      </c>
      <c r="G678" t="n">
        <v>11.2</v>
      </c>
      <c r="H678" t="n">
        <v>0</v>
      </c>
      <c r="I678" t="n">
        <v>0</v>
      </c>
      <c r="J678" t="n">
        <v>0</v>
      </c>
      <c r="K678" t="n">
        <v>0</v>
      </c>
      <c r="L678" t="n">
        <v>0</v>
      </c>
      <c r="M678" t="n">
        <v>0</v>
      </c>
      <c r="N678" t="n">
        <v>0</v>
      </c>
      <c r="O678" t="n">
        <v>0</v>
      </c>
      <c r="P678" t="n">
        <v>0</v>
      </c>
      <c r="Q678" t="n">
        <v>0</v>
      </c>
      <c r="R678" s="2" t="inlineStr"/>
    </row>
    <row r="679" ht="15" customHeight="1">
      <c r="A679" t="inlineStr">
        <is>
          <t>A 16545-2023</t>
        </is>
      </c>
      <c r="B679" s="1" t="n">
        <v>45029</v>
      </c>
      <c r="C679" s="1" t="n">
        <v>45586</v>
      </c>
      <c r="D679" t="inlineStr">
        <is>
          <t>VÄSTMANLANDS LÄN</t>
        </is>
      </c>
      <c r="E679" t="inlineStr">
        <is>
          <t>SALA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16984-2023</t>
        </is>
      </c>
      <c r="B680" s="1" t="n">
        <v>45033</v>
      </c>
      <c r="C680" s="1" t="n">
        <v>45586</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17079-2023</t>
        </is>
      </c>
      <c r="B681" s="1" t="n">
        <v>45034</v>
      </c>
      <c r="C681" s="1" t="n">
        <v>45586</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17117-2023</t>
        </is>
      </c>
      <c r="B682" s="1" t="n">
        <v>45034</v>
      </c>
      <c r="C682" s="1" t="n">
        <v>45586</v>
      </c>
      <c r="D682" t="inlineStr">
        <is>
          <t>VÄSTMANLANDS LÄN</t>
        </is>
      </c>
      <c r="E682" t="inlineStr">
        <is>
          <t>SALA</t>
        </is>
      </c>
      <c r="G682" t="n">
        <v>0.4</v>
      </c>
      <c r="H682" t="n">
        <v>0</v>
      </c>
      <c r="I682" t="n">
        <v>0</v>
      </c>
      <c r="J682" t="n">
        <v>0</v>
      </c>
      <c r="K682" t="n">
        <v>0</v>
      </c>
      <c r="L682" t="n">
        <v>0</v>
      </c>
      <c r="M682" t="n">
        <v>0</v>
      </c>
      <c r="N682" t="n">
        <v>0</v>
      </c>
      <c r="O682" t="n">
        <v>0</v>
      </c>
      <c r="P682" t="n">
        <v>0</v>
      </c>
      <c r="Q682" t="n">
        <v>0</v>
      </c>
      <c r="R682" s="2" t="inlineStr"/>
    </row>
    <row r="683" ht="15" customHeight="1">
      <c r="A683" t="inlineStr">
        <is>
          <t>A 17109-2023</t>
        </is>
      </c>
      <c r="B683" s="1" t="n">
        <v>45034</v>
      </c>
      <c r="C683" s="1" t="n">
        <v>45586</v>
      </c>
      <c r="D683" t="inlineStr">
        <is>
          <t>VÄSTMANLANDS LÄN</t>
        </is>
      </c>
      <c r="E683" t="inlineStr">
        <is>
          <t>SALA</t>
        </is>
      </c>
      <c r="G683" t="n">
        <v>5.8</v>
      </c>
      <c r="H683" t="n">
        <v>0</v>
      </c>
      <c r="I683" t="n">
        <v>0</v>
      </c>
      <c r="J683" t="n">
        <v>0</v>
      </c>
      <c r="K683" t="n">
        <v>0</v>
      </c>
      <c r="L683" t="n">
        <v>0</v>
      </c>
      <c r="M683" t="n">
        <v>0</v>
      </c>
      <c r="N683" t="n">
        <v>0</v>
      </c>
      <c r="O683" t="n">
        <v>0</v>
      </c>
      <c r="P683" t="n">
        <v>0</v>
      </c>
      <c r="Q683" t="n">
        <v>0</v>
      </c>
      <c r="R683" s="2" t="inlineStr"/>
    </row>
    <row r="684" ht="15" customHeight="1">
      <c r="A684" t="inlineStr">
        <is>
          <t>A 17120-2023</t>
        </is>
      </c>
      <c r="B684" s="1" t="n">
        <v>45034</v>
      </c>
      <c r="C684" s="1" t="n">
        <v>45586</v>
      </c>
      <c r="D684" t="inlineStr">
        <is>
          <t>VÄSTMANLANDS LÄN</t>
        </is>
      </c>
      <c r="E684" t="inlineStr">
        <is>
          <t>SALA</t>
        </is>
      </c>
      <c r="G684" t="n">
        <v>0.1</v>
      </c>
      <c r="H684" t="n">
        <v>0</v>
      </c>
      <c r="I684" t="n">
        <v>0</v>
      </c>
      <c r="J684" t="n">
        <v>0</v>
      </c>
      <c r="K684" t="n">
        <v>0</v>
      </c>
      <c r="L684" t="n">
        <v>0</v>
      </c>
      <c r="M684" t="n">
        <v>0</v>
      </c>
      <c r="N684" t="n">
        <v>0</v>
      </c>
      <c r="O684" t="n">
        <v>0</v>
      </c>
      <c r="P684" t="n">
        <v>0</v>
      </c>
      <c r="Q684" t="n">
        <v>0</v>
      </c>
      <c r="R684" s="2" t="inlineStr"/>
    </row>
    <row r="685" ht="15" customHeight="1">
      <c r="A685" t="inlineStr">
        <is>
          <t>A 18100-2023</t>
        </is>
      </c>
      <c r="B685" s="1" t="n">
        <v>45040</v>
      </c>
      <c r="C685" s="1" t="n">
        <v>45586</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45586</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18877-2023</t>
        </is>
      </c>
      <c r="B687" s="1" t="n">
        <v>45044</v>
      </c>
      <c r="C687" s="1" t="n">
        <v>45586</v>
      </c>
      <c r="D687" t="inlineStr">
        <is>
          <t>VÄSTMANLANDS LÄN</t>
        </is>
      </c>
      <c r="E687" t="inlineStr">
        <is>
          <t>SALA</t>
        </is>
      </c>
      <c r="F687" t="inlineStr">
        <is>
          <t>Kommuner</t>
        </is>
      </c>
      <c r="G687" t="n">
        <v>4.4</v>
      </c>
      <c r="H687" t="n">
        <v>0</v>
      </c>
      <c r="I687" t="n">
        <v>0</v>
      </c>
      <c r="J687" t="n">
        <v>0</v>
      </c>
      <c r="K687" t="n">
        <v>0</v>
      </c>
      <c r="L687" t="n">
        <v>0</v>
      </c>
      <c r="M687" t="n">
        <v>0</v>
      </c>
      <c r="N687" t="n">
        <v>0</v>
      </c>
      <c r="O687" t="n">
        <v>0</v>
      </c>
      <c r="P687" t="n">
        <v>0</v>
      </c>
      <c r="Q687" t="n">
        <v>0</v>
      </c>
      <c r="R687" s="2" t="inlineStr"/>
    </row>
    <row r="688" ht="15" customHeight="1">
      <c r="A688" t="inlineStr">
        <is>
          <t>A 19916-2023</t>
        </is>
      </c>
      <c r="B688" s="1" t="n">
        <v>45054</v>
      </c>
      <c r="C688" s="1" t="n">
        <v>45586</v>
      </c>
      <c r="D688" t="inlineStr">
        <is>
          <t>VÄSTMANLANDS LÄN</t>
        </is>
      </c>
      <c r="E688" t="inlineStr">
        <is>
          <t>SALA</t>
        </is>
      </c>
      <c r="G688" t="n">
        <v>9.9</v>
      </c>
      <c r="H688" t="n">
        <v>0</v>
      </c>
      <c r="I688" t="n">
        <v>0</v>
      </c>
      <c r="J688" t="n">
        <v>0</v>
      </c>
      <c r="K688" t="n">
        <v>0</v>
      </c>
      <c r="L688" t="n">
        <v>0</v>
      </c>
      <c r="M688" t="n">
        <v>0</v>
      </c>
      <c r="N688" t="n">
        <v>0</v>
      </c>
      <c r="O688" t="n">
        <v>0</v>
      </c>
      <c r="P688" t="n">
        <v>0</v>
      </c>
      <c r="Q688" t="n">
        <v>0</v>
      </c>
      <c r="R688" s="2" t="inlineStr"/>
    </row>
    <row r="689" ht="15" customHeight="1">
      <c r="A689" t="inlineStr">
        <is>
          <t>A 20568-2023</t>
        </is>
      </c>
      <c r="B689" s="1" t="n">
        <v>45055</v>
      </c>
      <c r="C689" s="1" t="n">
        <v>45586</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20567-2023</t>
        </is>
      </c>
      <c r="B690" s="1" t="n">
        <v>45055</v>
      </c>
      <c r="C690" s="1" t="n">
        <v>45586</v>
      </c>
      <c r="D690" t="inlineStr">
        <is>
          <t>VÄSTMANLANDS LÄN</t>
        </is>
      </c>
      <c r="E690" t="inlineStr">
        <is>
          <t>SALA</t>
        </is>
      </c>
      <c r="G690" t="n">
        <v>1.4</v>
      </c>
      <c r="H690" t="n">
        <v>0</v>
      </c>
      <c r="I690" t="n">
        <v>0</v>
      </c>
      <c r="J690" t="n">
        <v>0</v>
      </c>
      <c r="K690" t="n">
        <v>0</v>
      </c>
      <c r="L690" t="n">
        <v>0</v>
      </c>
      <c r="M690" t="n">
        <v>0</v>
      </c>
      <c r="N690" t="n">
        <v>0</v>
      </c>
      <c r="O690" t="n">
        <v>0</v>
      </c>
      <c r="P690" t="n">
        <v>0</v>
      </c>
      <c r="Q690" t="n">
        <v>0</v>
      </c>
      <c r="R690" s="2" t="inlineStr"/>
    </row>
    <row r="691" ht="15" customHeight="1">
      <c r="A691" t="inlineStr">
        <is>
          <t>A 20405-2023</t>
        </is>
      </c>
      <c r="B691" s="1" t="n">
        <v>45056</v>
      </c>
      <c r="C691" s="1" t="n">
        <v>45586</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20587-2023</t>
        </is>
      </c>
      <c r="B692" s="1" t="n">
        <v>45057</v>
      </c>
      <c r="C692" s="1" t="n">
        <v>45586</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21455-2023</t>
        </is>
      </c>
      <c r="B693" s="1" t="n">
        <v>45058</v>
      </c>
      <c r="C693" s="1" t="n">
        <v>45586</v>
      </c>
      <c r="D693" t="inlineStr">
        <is>
          <t>VÄSTMANLANDS LÄN</t>
        </is>
      </c>
      <c r="E693" t="inlineStr">
        <is>
          <t>SALA</t>
        </is>
      </c>
      <c r="G693" t="n">
        <v>6.4</v>
      </c>
      <c r="H693" t="n">
        <v>0</v>
      </c>
      <c r="I693" t="n">
        <v>0</v>
      </c>
      <c r="J693" t="n">
        <v>0</v>
      </c>
      <c r="K693" t="n">
        <v>0</v>
      </c>
      <c r="L693" t="n">
        <v>0</v>
      </c>
      <c r="M693" t="n">
        <v>0</v>
      </c>
      <c r="N693" t="n">
        <v>0</v>
      </c>
      <c r="O693" t="n">
        <v>0</v>
      </c>
      <c r="P693" t="n">
        <v>0</v>
      </c>
      <c r="Q693" t="n">
        <v>0</v>
      </c>
      <c r="R693" s="2" t="inlineStr"/>
    </row>
    <row r="694" ht="15" customHeight="1">
      <c r="A694" t="inlineStr">
        <is>
          <t>A 22097-2023</t>
        </is>
      </c>
      <c r="B694" s="1" t="n">
        <v>45065</v>
      </c>
      <c r="C694" s="1" t="n">
        <v>45586</v>
      </c>
      <c r="D694" t="inlineStr">
        <is>
          <t>VÄSTMANLANDS LÄN</t>
        </is>
      </c>
      <c r="E694" t="inlineStr">
        <is>
          <t>SALA</t>
        </is>
      </c>
      <c r="G694" t="n">
        <v>3.6</v>
      </c>
      <c r="H694" t="n">
        <v>0</v>
      </c>
      <c r="I694" t="n">
        <v>0</v>
      </c>
      <c r="J694" t="n">
        <v>0</v>
      </c>
      <c r="K694" t="n">
        <v>0</v>
      </c>
      <c r="L694" t="n">
        <v>0</v>
      </c>
      <c r="M694" t="n">
        <v>0</v>
      </c>
      <c r="N694" t="n">
        <v>0</v>
      </c>
      <c r="O694" t="n">
        <v>0</v>
      </c>
      <c r="P694" t="n">
        <v>0</v>
      </c>
      <c r="Q694" t="n">
        <v>0</v>
      </c>
      <c r="R694" s="2" t="inlineStr"/>
    </row>
    <row r="695" ht="15" customHeight="1">
      <c r="A695" t="inlineStr">
        <is>
          <t>A 22076-2023</t>
        </is>
      </c>
      <c r="B695" s="1" t="n">
        <v>45069</v>
      </c>
      <c r="C695" s="1" t="n">
        <v>45586</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22146-2023</t>
        </is>
      </c>
      <c r="B696" s="1" t="n">
        <v>45069</v>
      </c>
      <c r="C696" s="1" t="n">
        <v>45586</v>
      </c>
      <c r="D696" t="inlineStr">
        <is>
          <t>VÄSTMANLANDS LÄN</t>
        </is>
      </c>
      <c r="E696" t="inlineStr">
        <is>
          <t>SALA</t>
        </is>
      </c>
      <c r="F696" t="inlineStr">
        <is>
          <t>Kommuner</t>
        </is>
      </c>
      <c r="G696" t="n">
        <v>9.9</v>
      </c>
      <c r="H696" t="n">
        <v>0</v>
      </c>
      <c r="I696" t="n">
        <v>0</v>
      </c>
      <c r="J696" t="n">
        <v>0</v>
      </c>
      <c r="K696" t="n">
        <v>0</v>
      </c>
      <c r="L696" t="n">
        <v>0</v>
      </c>
      <c r="M696" t="n">
        <v>0</v>
      </c>
      <c r="N696" t="n">
        <v>0</v>
      </c>
      <c r="O696" t="n">
        <v>0</v>
      </c>
      <c r="P696" t="n">
        <v>0</v>
      </c>
      <c r="Q696" t="n">
        <v>0</v>
      </c>
      <c r="R696" s="2" t="inlineStr"/>
    </row>
    <row r="697" ht="15" customHeight="1">
      <c r="A697" t="inlineStr">
        <is>
          <t>A 22091-2023</t>
        </is>
      </c>
      <c r="B697" s="1" t="n">
        <v>45069</v>
      </c>
      <c r="C697" s="1" t="n">
        <v>45586</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22082-2023</t>
        </is>
      </c>
      <c r="B698" s="1" t="n">
        <v>45069</v>
      </c>
      <c r="C698" s="1" t="n">
        <v>45586</v>
      </c>
      <c r="D698" t="inlineStr">
        <is>
          <t>VÄSTMANLANDS LÄN</t>
        </is>
      </c>
      <c r="E698" t="inlineStr">
        <is>
          <t>SALA</t>
        </is>
      </c>
      <c r="G698" t="n">
        <v>1.7</v>
      </c>
      <c r="H698" t="n">
        <v>0</v>
      </c>
      <c r="I698" t="n">
        <v>0</v>
      </c>
      <c r="J698" t="n">
        <v>0</v>
      </c>
      <c r="K698" t="n">
        <v>0</v>
      </c>
      <c r="L698" t="n">
        <v>0</v>
      </c>
      <c r="M698" t="n">
        <v>0</v>
      </c>
      <c r="N698" t="n">
        <v>0</v>
      </c>
      <c r="O698" t="n">
        <v>0</v>
      </c>
      <c r="P698" t="n">
        <v>0</v>
      </c>
      <c r="Q698" t="n">
        <v>0</v>
      </c>
      <c r="R698" s="2" t="inlineStr"/>
    </row>
    <row r="699" ht="15" customHeight="1">
      <c r="A699" t="inlineStr">
        <is>
          <t>A 22523-2023</t>
        </is>
      </c>
      <c r="B699" s="1" t="n">
        <v>45069</v>
      </c>
      <c r="C699" s="1" t="n">
        <v>45586</v>
      </c>
      <c r="D699" t="inlineStr">
        <is>
          <t>VÄSTMANLANDS LÄN</t>
        </is>
      </c>
      <c r="E699" t="inlineStr">
        <is>
          <t>SALA</t>
        </is>
      </c>
      <c r="G699" t="n">
        <v>2.4</v>
      </c>
      <c r="H699" t="n">
        <v>0</v>
      </c>
      <c r="I699" t="n">
        <v>0</v>
      </c>
      <c r="J699" t="n">
        <v>0</v>
      </c>
      <c r="K699" t="n">
        <v>0</v>
      </c>
      <c r="L699" t="n">
        <v>0</v>
      </c>
      <c r="M699" t="n">
        <v>0</v>
      </c>
      <c r="N699" t="n">
        <v>0</v>
      </c>
      <c r="O699" t="n">
        <v>0</v>
      </c>
      <c r="P699" t="n">
        <v>0</v>
      </c>
      <c r="Q699" t="n">
        <v>0</v>
      </c>
      <c r="R699" s="2" t="inlineStr"/>
    </row>
    <row r="700" ht="15" customHeight="1">
      <c r="A700" t="inlineStr">
        <is>
          <t>A 22921-2023</t>
        </is>
      </c>
      <c r="B700" s="1" t="n">
        <v>45070</v>
      </c>
      <c r="C700" s="1" t="n">
        <v>45586</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22963-2023</t>
        </is>
      </c>
      <c r="B701" s="1" t="n">
        <v>45072</v>
      </c>
      <c r="C701" s="1" t="n">
        <v>45586</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22961-2023</t>
        </is>
      </c>
      <c r="B702" s="1" t="n">
        <v>45072</v>
      </c>
      <c r="C702" s="1" t="n">
        <v>45586</v>
      </c>
      <c r="D702" t="inlineStr">
        <is>
          <t>VÄSTMANLANDS LÄN</t>
        </is>
      </c>
      <c r="E702" t="inlineStr">
        <is>
          <t>SALA</t>
        </is>
      </c>
      <c r="G702" t="n">
        <v>2.7</v>
      </c>
      <c r="H702" t="n">
        <v>0</v>
      </c>
      <c r="I702" t="n">
        <v>0</v>
      </c>
      <c r="J702" t="n">
        <v>0</v>
      </c>
      <c r="K702" t="n">
        <v>0</v>
      </c>
      <c r="L702" t="n">
        <v>0</v>
      </c>
      <c r="M702" t="n">
        <v>0</v>
      </c>
      <c r="N702" t="n">
        <v>0</v>
      </c>
      <c r="O702" t="n">
        <v>0</v>
      </c>
      <c r="P702" t="n">
        <v>0</v>
      </c>
      <c r="Q702" t="n">
        <v>0</v>
      </c>
      <c r="R702" s="2" t="inlineStr"/>
    </row>
    <row r="703" ht="15" customHeight="1">
      <c r="A703" t="inlineStr">
        <is>
          <t>A 23145-2023</t>
        </is>
      </c>
      <c r="B703" s="1" t="n">
        <v>45075</v>
      </c>
      <c r="C703" s="1" t="n">
        <v>45586</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23146-2023</t>
        </is>
      </c>
      <c r="B704" s="1" t="n">
        <v>45075</v>
      </c>
      <c r="C704" s="1" t="n">
        <v>45586</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23224-2023</t>
        </is>
      </c>
      <c r="B705" s="1" t="n">
        <v>45075</v>
      </c>
      <c r="C705" s="1" t="n">
        <v>45586</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23222-2023</t>
        </is>
      </c>
      <c r="B706" s="1" t="n">
        <v>45075</v>
      </c>
      <c r="C706" s="1" t="n">
        <v>45586</v>
      </c>
      <c r="D706" t="inlineStr">
        <is>
          <t>VÄSTMANLANDS LÄN</t>
        </is>
      </c>
      <c r="E706" t="inlineStr">
        <is>
          <t>SALA</t>
        </is>
      </c>
      <c r="G706" t="n">
        <v>0.8</v>
      </c>
      <c r="H706" t="n">
        <v>0</v>
      </c>
      <c r="I706" t="n">
        <v>0</v>
      </c>
      <c r="J706" t="n">
        <v>0</v>
      </c>
      <c r="K706" t="n">
        <v>0</v>
      </c>
      <c r="L706" t="n">
        <v>0</v>
      </c>
      <c r="M706" t="n">
        <v>0</v>
      </c>
      <c r="N706" t="n">
        <v>0</v>
      </c>
      <c r="O706" t="n">
        <v>0</v>
      </c>
      <c r="P706" t="n">
        <v>0</v>
      </c>
      <c r="Q706" t="n">
        <v>0</v>
      </c>
      <c r="R706" s="2" t="inlineStr"/>
    </row>
    <row r="707" ht="15" customHeight="1">
      <c r="A707" t="inlineStr">
        <is>
          <t>A 23232-2023</t>
        </is>
      </c>
      <c r="B707" s="1" t="n">
        <v>45075</v>
      </c>
      <c r="C707" s="1" t="n">
        <v>45586</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23374-2023</t>
        </is>
      </c>
      <c r="B708" s="1" t="n">
        <v>45076</v>
      </c>
      <c r="C708" s="1" t="n">
        <v>45586</v>
      </c>
      <c r="D708" t="inlineStr">
        <is>
          <t>VÄSTMANLANDS LÄN</t>
        </is>
      </c>
      <c r="E708" t="inlineStr">
        <is>
          <t>SALA</t>
        </is>
      </c>
      <c r="G708" t="n">
        <v>0.7</v>
      </c>
      <c r="H708" t="n">
        <v>0</v>
      </c>
      <c r="I708" t="n">
        <v>0</v>
      </c>
      <c r="J708" t="n">
        <v>0</v>
      </c>
      <c r="K708" t="n">
        <v>0</v>
      </c>
      <c r="L708" t="n">
        <v>0</v>
      </c>
      <c r="M708" t="n">
        <v>0</v>
      </c>
      <c r="N708" t="n">
        <v>0</v>
      </c>
      <c r="O708" t="n">
        <v>0</v>
      </c>
      <c r="P708" t="n">
        <v>0</v>
      </c>
      <c r="Q708" t="n">
        <v>0</v>
      </c>
      <c r="R708" s="2" t="inlineStr"/>
    </row>
    <row r="709" ht="15" customHeight="1">
      <c r="A709" t="inlineStr">
        <is>
          <t>A 23372-2023</t>
        </is>
      </c>
      <c r="B709" s="1" t="n">
        <v>45076</v>
      </c>
      <c r="C709" s="1" t="n">
        <v>45586</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23659-2023</t>
        </is>
      </c>
      <c r="B710" s="1" t="n">
        <v>45077</v>
      </c>
      <c r="C710" s="1" t="n">
        <v>45586</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24248-2023</t>
        </is>
      </c>
      <c r="B711" s="1" t="n">
        <v>45079</v>
      </c>
      <c r="C711" s="1" t="n">
        <v>45586</v>
      </c>
      <c r="D711" t="inlineStr">
        <is>
          <t>VÄSTMANLANDS LÄN</t>
        </is>
      </c>
      <c r="E711" t="inlineStr">
        <is>
          <t>SALA</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24495-2023</t>
        </is>
      </c>
      <c r="B712" s="1" t="n">
        <v>45082</v>
      </c>
      <c r="C712" s="1" t="n">
        <v>45586</v>
      </c>
      <c r="D712" t="inlineStr">
        <is>
          <t>VÄSTMANLANDS LÄN</t>
        </is>
      </c>
      <c r="E712" t="inlineStr">
        <is>
          <t>SALA</t>
        </is>
      </c>
      <c r="G712" t="n">
        <v>5.2</v>
      </c>
      <c r="H712" t="n">
        <v>0</v>
      </c>
      <c r="I712" t="n">
        <v>0</v>
      </c>
      <c r="J712" t="n">
        <v>0</v>
      </c>
      <c r="K712" t="n">
        <v>0</v>
      </c>
      <c r="L712" t="n">
        <v>0</v>
      </c>
      <c r="M712" t="n">
        <v>0</v>
      </c>
      <c r="N712" t="n">
        <v>0</v>
      </c>
      <c r="O712" t="n">
        <v>0</v>
      </c>
      <c r="P712" t="n">
        <v>0</v>
      </c>
      <c r="Q712" t="n">
        <v>0</v>
      </c>
      <c r="R712" s="2" t="inlineStr"/>
    </row>
    <row r="713" ht="15" customHeight="1">
      <c r="A713" t="inlineStr">
        <is>
          <t>A 24585-2023</t>
        </is>
      </c>
      <c r="B713" s="1" t="n">
        <v>45083</v>
      </c>
      <c r="C713" s="1" t="n">
        <v>45586</v>
      </c>
      <c r="D713" t="inlineStr">
        <is>
          <t>VÄSTMANLANDS LÄN</t>
        </is>
      </c>
      <c r="E713" t="inlineStr">
        <is>
          <t>SALA</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24584-2023</t>
        </is>
      </c>
      <c r="B714" s="1" t="n">
        <v>45083</v>
      </c>
      <c r="C714" s="1" t="n">
        <v>45586</v>
      </c>
      <c r="D714" t="inlineStr">
        <is>
          <t>VÄSTMANLANDS LÄN</t>
        </is>
      </c>
      <c r="E714" t="inlineStr">
        <is>
          <t>SALA</t>
        </is>
      </c>
      <c r="F714" t="inlineStr">
        <is>
          <t>Sveaskog</t>
        </is>
      </c>
      <c r="G714" t="n">
        <v>7.2</v>
      </c>
      <c r="H714" t="n">
        <v>0</v>
      </c>
      <c r="I714" t="n">
        <v>0</v>
      </c>
      <c r="J714" t="n">
        <v>0</v>
      </c>
      <c r="K714" t="n">
        <v>0</v>
      </c>
      <c r="L714" t="n">
        <v>0</v>
      </c>
      <c r="M714" t="n">
        <v>0</v>
      </c>
      <c r="N714" t="n">
        <v>0</v>
      </c>
      <c r="O714" t="n">
        <v>0</v>
      </c>
      <c r="P714" t="n">
        <v>0</v>
      </c>
      <c r="Q714" t="n">
        <v>0</v>
      </c>
      <c r="R714" s="2" t="inlineStr"/>
    </row>
    <row r="715" ht="15" customHeight="1">
      <c r="A715" t="inlineStr">
        <is>
          <t>A 24586-2023</t>
        </is>
      </c>
      <c r="B715" s="1" t="n">
        <v>45083</v>
      </c>
      <c r="C715" s="1" t="n">
        <v>45586</v>
      </c>
      <c r="D715" t="inlineStr">
        <is>
          <t>VÄSTMANLANDS LÄN</t>
        </is>
      </c>
      <c r="E715" t="inlineStr">
        <is>
          <t>SALA</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24773-2023</t>
        </is>
      </c>
      <c r="B716" s="1" t="n">
        <v>45084</v>
      </c>
      <c r="C716" s="1" t="n">
        <v>45586</v>
      </c>
      <c r="D716" t="inlineStr">
        <is>
          <t>VÄSTMANLANDS LÄN</t>
        </is>
      </c>
      <c r="E716" t="inlineStr">
        <is>
          <t>SALA</t>
        </is>
      </c>
      <c r="G716" t="n">
        <v>5</v>
      </c>
      <c r="H716" t="n">
        <v>0</v>
      </c>
      <c r="I716" t="n">
        <v>0</v>
      </c>
      <c r="J716" t="n">
        <v>0</v>
      </c>
      <c r="K716" t="n">
        <v>0</v>
      </c>
      <c r="L716" t="n">
        <v>0</v>
      </c>
      <c r="M716" t="n">
        <v>0</v>
      </c>
      <c r="N716" t="n">
        <v>0</v>
      </c>
      <c r="O716" t="n">
        <v>0</v>
      </c>
      <c r="P716" t="n">
        <v>0</v>
      </c>
      <c r="Q716" t="n">
        <v>0</v>
      </c>
      <c r="R716" s="2" t="inlineStr"/>
    </row>
    <row r="717" ht="15" customHeight="1">
      <c r="A717" t="inlineStr">
        <is>
          <t>A 24777-2023</t>
        </is>
      </c>
      <c r="B717" s="1" t="n">
        <v>45084</v>
      </c>
      <c r="C717" s="1" t="n">
        <v>45586</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24944-2023</t>
        </is>
      </c>
      <c r="B718" s="1" t="n">
        <v>45085</v>
      </c>
      <c r="C718" s="1" t="n">
        <v>45586</v>
      </c>
      <c r="D718" t="inlineStr">
        <is>
          <t>VÄSTMANLANDS LÄN</t>
        </is>
      </c>
      <c r="E718" t="inlineStr">
        <is>
          <t>SALA</t>
        </is>
      </c>
      <c r="G718" t="n">
        <v>3.8</v>
      </c>
      <c r="H718" t="n">
        <v>0</v>
      </c>
      <c r="I718" t="n">
        <v>0</v>
      </c>
      <c r="J718" t="n">
        <v>0</v>
      </c>
      <c r="K718" t="n">
        <v>0</v>
      </c>
      <c r="L718" t="n">
        <v>0</v>
      </c>
      <c r="M718" t="n">
        <v>0</v>
      </c>
      <c r="N718" t="n">
        <v>0</v>
      </c>
      <c r="O718" t="n">
        <v>0</v>
      </c>
      <c r="P718" t="n">
        <v>0</v>
      </c>
      <c r="Q718" t="n">
        <v>0</v>
      </c>
      <c r="R718" s="2" t="inlineStr"/>
    </row>
    <row r="719" ht="15" customHeight="1">
      <c r="A719" t="inlineStr">
        <is>
          <t>A 25260-2023</t>
        </is>
      </c>
      <c r="B719" s="1" t="n">
        <v>45086</v>
      </c>
      <c r="C719" s="1" t="n">
        <v>45586</v>
      </c>
      <c r="D719" t="inlineStr">
        <is>
          <t>VÄSTMANLANDS LÄN</t>
        </is>
      </c>
      <c r="E719" t="inlineStr">
        <is>
          <t>SALA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25233-2023</t>
        </is>
      </c>
      <c r="B720" s="1" t="n">
        <v>45086</v>
      </c>
      <c r="C720" s="1" t="n">
        <v>45586</v>
      </c>
      <c r="D720" t="inlineStr">
        <is>
          <t>VÄSTMANLANDS LÄN</t>
        </is>
      </c>
      <c r="E720" t="inlineStr">
        <is>
          <t>SALA</t>
        </is>
      </c>
      <c r="F720" t="inlineStr">
        <is>
          <t>Kommuner</t>
        </is>
      </c>
      <c r="G720" t="n">
        <v>4.7</v>
      </c>
      <c r="H720" t="n">
        <v>0</v>
      </c>
      <c r="I720" t="n">
        <v>0</v>
      </c>
      <c r="J720" t="n">
        <v>0</v>
      </c>
      <c r="K720" t="n">
        <v>0</v>
      </c>
      <c r="L720" t="n">
        <v>0</v>
      </c>
      <c r="M720" t="n">
        <v>0</v>
      </c>
      <c r="N720" t="n">
        <v>0</v>
      </c>
      <c r="O720" t="n">
        <v>0</v>
      </c>
      <c r="P720" t="n">
        <v>0</v>
      </c>
      <c r="Q720" t="n">
        <v>0</v>
      </c>
      <c r="R720" s="2" t="inlineStr"/>
    </row>
    <row r="721" ht="15" customHeight="1">
      <c r="A721" t="inlineStr">
        <is>
          <t>A 26229-2023</t>
        </is>
      </c>
      <c r="B721" s="1" t="n">
        <v>45086</v>
      </c>
      <c r="C721" s="1" t="n">
        <v>45586</v>
      </c>
      <c r="D721" t="inlineStr">
        <is>
          <t>VÄSTMANLANDS LÄN</t>
        </is>
      </c>
      <c r="E721" t="inlineStr">
        <is>
          <t>SALA</t>
        </is>
      </c>
      <c r="G721" t="n">
        <v>6.6</v>
      </c>
      <c r="H721" t="n">
        <v>0</v>
      </c>
      <c r="I721" t="n">
        <v>0</v>
      </c>
      <c r="J721" t="n">
        <v>0</v>
      </c>
      <c r="K721" t="n">
        <v>0</v>
      </c>
      <c r="L721" t="n">
        <v>0</v>
      </c>
      <c r="M721" t="n">
        <v>0</v>
      </c>
      <c r="N721" t="n">
        <v>0</v>
      </c>
      <c r="O721" t="n">
        <v>0</v>
      </c>
      <c r="P721" t="n">
        <v>0</v>
      </c>
      <c r="Q721" t="n">
        <v>0</v>
      </c>
      <c r="R721" s="2" t="inlineStr"/>
    </row>
    <row r="722" ht="15" customHeight="1">
      <c r="A722" t="inlineStr">
        <is>
          <t>A 25566-2023</t>
        </is>
      </c>
      <c r="B722" s="1" t="n">
        <v>45089</v>
      </c>
      <c r="C722" s="1" t="n">
        <v>45586</v>
      </c>
      <c r="D722" t="inlineStr">
        <is>
          <t>VÄSTMANLANDS LÄN</t>
        </is>
      </c>
      <c r="E722" t="inlineStr">
        <is>
          <t>SALA</t>
        </is>
      </c>
      <c r="G722" t="n">
        <v>2.1</v>
      </c>
      <c r="H722" t="n">
        <v>0</v>
      </c>
      <c r="I722" t="n">
        <v>0</v>
      </c>
      <c r="J722" t="n">
        <v>0</v>
      </c>
      <c r="K722" t="n">
        <v>0</v>
      </c>
      <c r="L722" t="n">
        <v>0</v>
      </c>
      <c r="M722" t="n">
        <v>0</v>
      </c>
      <c r="N722" t="n">
        <v>0</v>
      </c>
      <c r="O722" t="n">
        <v>0</v>
      </c>
      <c r="P722" t="n">
        <v>0</v>
      </c>
      <c r="Q722" t="n">
        <v>0</v>
      </c>
      <c r="R722" s="2" t="inlineStr"/>
    </row>
    <row r="723" ht="15" customHeight="1">
      <c r="A723" t="inlineStr">
        <is>
          <t>A 25571-2023</t>
        </is>
      </c>
      <c r="B723" s="1" t="n">
        <v>45089</v>
      </c>
      <c r="C723" s="1" t="n">
        <v>45586</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25576-2023</t>
        </is>
      </c>
      <c r="B724" s="1" t="n">
        <v>45089</v>
      </c>
      <c r="C724" s="1" t="n">
        <v>45586</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25580-2023</t>
        </is>
      </c>
      <c r="B725" s="1" t="n">
        <v>45089</v>
      </c>
      <c r="C725" s="1" t="n">
        <v>45586</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25894-2023</t>
        </is>
      </c>
      <c r="B726" s="1" t="n">
        <v>45090</v>
      </c>
      <c r="C726" s="1" t="n">
        <v>45586</v>
      </c>
      <c r="D726" t="inlineStr">
        <is>
          <t>VÄSTMANLANDS LÄN</t>
        </is>
      </c>
      <c r="E726" t="inlineStr">
        <is>
          <t>SALA</t>
        </is>
      </c>
      <c r="G726" t="n">
        <v>3.2</v>
      </c>
      <c r="H726" t="n">
        <v>0</v>
      </c>
      <c r="I726" t="n">
        <v>0</v>
      </c>
      <c r="J726" t="n">
        <v>0</v>
      </c>
      <c r="K726" t="n">
        <v>0</v>
      </c>
      <c r="L726" t="n">
        <v>0</v>
      </c>
      <c r="M726" t="n">
        <v>0</v>
      </c>
      <c r="N726" t="n">
        <v>0</v>
      </c>
      <c r="O726" t="n">
        <v>0</v>
      </c>
      <c r="P726" t="n">
        <v>0</v>
      </c>
      <c r="Q726" t="n">
        <v>0</v>
      </c>
      <c r="R726" s="2" t="inlineStr"/>
    </row>
    <row r="727" ht="15" customHeight="1">
      <c r="A727" t="inlineStr">
        <is>
          <t>A 26607-2023</t>
        </is>
      </c>
      <c r="B727" s="1" t="n">
        <v>45090</v>
      </c>
      <c r="C727" s="1" t="n">
        <v>45586</v>
      </c>
      <c r="D727" t="inlineStr">
        <is>
          <t>VÄSTMANLANDS LÄN</t>
        </is>
      </c>
      <c r="E727" t="inlineStr">
        <is>
          <t>SALA</t>
        </is>
      </c>
      <c r="G727" t="n">
        <v>4.8</v>
      </c>
      <c r="H727" t="n">
        <v>0</v>
      </c>
      <c r="I727" t="n">
        <v>0</v>
      </c>
      <c r="J727" t="n">
        <v>0</v>
      </c>
      <c r="K727" t="n">
        <v>0</v>
      </c>
      <c r="L727" t="n">
        <v>0</v>
      </c>
      <c r="M727" t="n">
        <v>0</v>
      </c>
      <c r="N727" t="n">
        <v>0</v>
      </c>
      <c r="O727" t="n">
        <v>0</v>
      </c>
      <c r="P727" t="n">
        <v>0</v>
      </c>
      <c r="Q727" t="n">
        <v>0</v>
      </c>
      <c r="R727" s="2" t="inlineStr"/>
    </row>
    <row r="728" ht="15" customHeight="1">
      <c r="A728" t="inlineStr">
        <is>
          <t>A 26505-2023</t>
        </is>
      </c>
      <c r="B728" s="1" t="n">
        <v>45092</v>
      </c>
      <c r="C728" s="1" t="n">
        <v>45586</v>
      </c>
      <c r="D728" t="inlineStr">
        <is>
          <t>VÄSTMANLANDS LÄN</t>
        </is>
      </c>
      <c r="E728" t="inlineStr">
        <is>
          <t>SALA</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26509-2023</t>
        </is>
      </c>
      <c r="B729" s="1" t="n">
        <v>45092</v>
      </c>
      <c r="C729" s="1" t="n">
        <v>45586</v>
      </c>
      <c r="D729" t="inlineStr">
        <is>
          <t>VÄSTMANLANDS LÄN</t>
        </is>
      </c>
      <c r="E729" t="inlineStr">
        <is>
          <t>SALA</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26508-2023</t>
        </is>
      </c>
      <c r="B730" s="1" t="n">
        <v>45092</v>
      </c>
      <c r="C730" s="1" t="n">
        <v>45586</v>
      </c>
      <c r="D730" t="inlineStr">
        <is>
          <t>VÄSTMANLANDS LÄN</t>
        </is>
      </c>
      <c r="E730" t="inlineStr">
        <is>
          <t>SALA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26416-2023</t>
        </is>
      </c>
      <c r="B731" s="1" t="n">
        <v>45092</v>
      </c>
      <c r="C731" s="1" t="n">
        <v>45586</v>
      </c>
      <c r="D731" t="inlineStr">
        <is>
          <t>VÄSTMANLANDS LÄN</t>
        </is>
      </c>
      <c r="E731" t="inlineStr">
        <is>
          <t>SALA</t>
        </is>
      </c>
      <c r="G731" t="n">
        <v>2.9</v>
      </c>
      <c r="H731" t="n">
        <v>0</v>
      </c>
      <c r="I731" t="n">
        <v>0</v>
      </c>
      <c r="J731" t="n">
        <v>0</v>
      </c>
      <c r="K731" t="n">
        <v>0</v>
      </c>
      <c r="L731" t="n">
        <v>0</v>
      </c>
      <c r="M731" t="n">
        <v>0</v>
      </c>
      <c r="N731" t="n">
        <v>0</v>
      </c>
      <c r="O731" t="n">
        <v>0</v>
      </c>
      <c r="P731" t="n">
        <v>0</v>
      </c>
      <c r="Q731" t="n">
        <v>0</v>
      </c>
      <c r="R731" s="2" t="inlineStr"/>
    </row>
    <row r="732" ht="15" customHeight="1">
      <c r="A732" t="inlineStr">
        <is>
          <t>A 26507-2023</t>
        </is>
      </c>
      <c r="B732" s="1" t="n">
        <v>45092</v>
      </c>
      <c r="C732" s="1" t="n">
        <v>45586</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26692-2023</t>
        </is>
      </c>
      <c r="B733" s="1" t="n">
        <v>45093</v>
      </c>
      <c r="C733" s="1" t="n">
        <v>45586</v>
      </c>
      <c r="D733" t="inlineStr">
        <is>
          <t>VÄSTMANLANDS LÄN</t>
        </is>
      </c>
      <c r="E733" t="inlineStr">
        <is>
          <t>SALA</t>
        </is>
      </c>
      <c r="G733" t="n">
        <v>1.8</v>
      </c>
      <c r="H733" t="n">
        <v>0</v>
      </c>
      <c r="I733" t="n">
        <v>0</v>
      </c>
      <c r="J733" t="n">
        <v>0</v>
      </c>
      <c r="K733" t="n">
        <v>0</v>
      </c>
      <c r="L733" t="n">
        <v>0</v>
      </c>
      <c r="M733" t="n">
        <v>0</v>
      </c>
      <c r="N733" t="n">
        <v>0</v>
      </c>
      <c r="O733" t="n">
        <v>0</v>
      </c>
      <c r="P733" t="n">
        <v>0</v>
      </c>
      <c r="Q733" t="n">
        <v>0</v>
      </c>
      <c r="R733" s="2" t="inlineStr"/>
    </row>
    <row r="734" ht="15" customHeight="1">
      <c r="A734" t="inlineStr">
        <is>
          <t>A 26761-2023</t>
        </is>
      </c>
      <c r="B734" s="1" t="n">
        <v>45093</v>
      </c>
      <c r="C734" s="1" t="n">
        <v>45586</v>
      </c>
      <c r="D734" t="inlineStr">
        <is>
          <t>VÄSTMANLANDS LÄN</t>
        </is>
      </c>
      <c r="E734" t="inlineStr">
        <is>
          <t>SALA</t>
        </is>
      </c>
      <c r="G734" t="n">
        <v>4.3</v>
      </c>
      <c r="H734" t="n">
        <v>0</v>
      </c>
      <c r="I734" t="n">
        <v>0</v>
      </c>
      <c r="J734" t="n">
        <v>0</v>
      </c>
      <c r="K734" t="n">
        <v>0</v>
      </c>
      <c r="L734" t="n">
        <v>0</v>
      </c>
      <c r="M734" t="n">
        <v>0</v>
      </c>
      <c r="N734" t="n">
        <v>0</v>
      </c>
      <c r="O734" t="n">
        <v>0</v>
      </c>
      <c r="P734" t="n">
        <v>0</v>
      </c>
      <c r="Q734" t="n">
        <v>0</v>
      </c>
      <c r="R734" s="2" t="inlineStr"/>
    </row>
    <row r="735" ht="15" customHeight="1">
      <c r="A735" t="inlineStr">
        <is>
          <t>A 27023-2023</t>
        </is>
      </c>
      <c r="B735" s="1" t="n">
        <v>45094</v>
      </c>
      <c r="C735" s="1" t="n">
        <v>45586</v>
      </c>
      <c r="D735" t="inlineStr">
        <is>
          <t>VÄSTMANLANDS LÄN</t>
        </is>
      </c>
      <c r="E735" t="inlineStr">
        <is>
          <t>SALA</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27038-2023</t>
        </is>
      </c>
      <c r="B736" s="1" t="n">
        <v>45095</v>
      </c>
      <c r="C736" s="1" t="n">
        <v>45586</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27228-2023</t>
        </is>
      </c>
      <c r="B737" s="1" t="n">
        <v>45096</v>
      </c>
      <c r="C737" s="1" t="n">
        <v>45586</v>
      </c>
      <c r="D737" t="inlineStr">
        <is>
          <t>VÄSTMANLANDS LÄN</t>
        </is>
      </c>
      <c r="E737" t="inlineStr">
        <is>
          <t>SALA</t>
        </is>
      </c>
      <c r="G737" t="n">
        <v>1</v>
      </c>
      <c r="H737" t="n">
        <v>0</v>
      </c>
      <c r="I737" t="n">
        <v>0</v>
      </c>
      <c r="J737" t="n">
        <v>0</v>
      </c>
      <c r="K737" t="n">
        <v>0</v>
      </c>
      <c r="L737" t="n">
        <v>0</v>
      </c>
      <c r="M737" t="n">
        <v>0</v>
      </c>
      <c r="N737" t="n">
        <v>0</v>
      </c>
      <c r="O737" t="n">
        <v>0</v>
      </c>
      <c r="P737" t="n">
        <v>0</v>
      </c>
      <c r="Q737" t="n">
        <v>0</v>
      </c>
      <c r="R737" s="2" t="inlineStr"/>
    </row>
    <row r="738" ht="15" customHeight="1">
      <c r="A738" t="inlineStr">
        <is>
          <t>A 27255-2023</t>
        </is>
      </c>
      <c r="B738" s="1" t="n">
        <v>45096</v>
      </c>
      <c r="C738" s="1" t="n">
        <v>45586</v>
      </c>
      <c r="D738" t="inlineStr">
        <is>
          <t>VÄSTMANLANDS LÄN</t>
        </is>
      </c>
      <c r="E738" t="inlineStr">
        <is>
          <t>SALA</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27424-2023</t>
        </is>
      </c>
      <c r="B739" s="1" t="n">
        <v>45097</v>
      </c>
      <c r="C739" s="1" t="n">
        <v>45586</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27638-2023</t>
        </is>
      </c>
      <c r="B740" s="1" t="n">
        <v>45097</v>
      </c>
      <c r="C740" s="1" t="n">
        <v>45586</v>
      </c>
      <c r="D740" t="inlineStr">
        <is>
          <t>VÄSTMANLANDS LÄN</t>
        </is>
      </c>
      <c r="E740" t="inlineStr">
        <is>
          <t>SALA</t>
        </is>
      </c>
      <c r="G740" t="n">
        <v>8.4</v>
      </c>
      <c r="H740" t="n">
        <v>0</v>
      </c>
      <c r="I740" t="n">
        <v>0</v>
      </c>
      <c r="J740" t="n">
        <v>0</v>
      </c>
      <c r="K740" t="n">
        <v>0</v>
      </c>
      <c r="L740" t="n">
        <v>0</v>
      </c>
      <c r="M740" t="n">
        <v>0</v>
      </c>
      <c r="N740" t="n">
        <v>0</v>
      </c>
      <c r="O740" t="n">
        <v>0</v>
      </c>
      <c r="P740" t="n">
        <v>0</v>
      </c>
      <c r="Q740" t="n">
        <v>0</v>
      </c>
      <c r="R740" s="2" t="inlineStr"/>
    </row>
    <row r="741" ht="15" customHeight="1">
      <c r="A741" t="inlineStr">
        <is>
          <t>A 27657-2023</t>
        </is>
      </c>
      <c r="B741" s="1" t="n">
        <v>45097</v>
      </c>
      <c r="C741" s="1" t="n">
        <v>45586</v>
      </c>
      <c r="D741" t="inlineStr">
        <is>
          <t>VÄSTMANLANDS LÄN</t>
        </is>
      </c>
      <c r="E741" t="inlineStr">
        <is>
          <t>SALA</t>
        </is>
      </c>
      <c r="G741" t="n">
        <v>0.1</v>
      </c>
      <c r="H741" t="n">
        <v>0</v>
      </c>
      <c r="I741" t="n">
        <v>0</v>
      </c>
      <c r="J741" t="n">
        <v>0</v>
      </c>
      <c r="K741" t="n">
        <v>0</v>
      </c>
      <c r="L741" t="n">
        <v>0</v>
      </c>
      <c r="M741" t="n">
        <v>0</v>
      </c>
      <c r="N741" t="n">
        <v>0</v>
      </c>
      <c r="O741" t="n">
        <v>0</v>
      </c>
      <c r="P741" t="n">
        <v>0</v>
      </c>
      <c r="Q741" t="n">
        <v>0</v>
      </c>
      <c r="R741" s="2" t="inlineStr"/>
    </row>
    <row r="742" ht="15" customHeight="1">
      <c r="A742" t="inlineStr">
        <is>
          <t>A 27744-2023</t>
        </is>
      </c>
      <c r="B742" s="1" t="n">
        <v>45098</v>
      </c>
      <c r="C742" s="1" t="n">
        <v>45586</v>
      </c>
      <c r="D742" t="inlineStr">
        <is>
          <t>VÄSTMANLANDS LÄN</t>
        </is>
      </c>
      <c r="E742" t="inlineStr">
        <is>
          <t>SALA</t>
        </is>
      </c>
      <c r="G742" t="n">
        <v>5.7</v>
      </c>
      <c r="H742" t="n">
        <v>0</v>
      </c>
      <c r="I742" t="n">
        <v>0</v>
      </c>
      <c r="J742" t="n">
        <v>0</v>
      </c>
      <c r="K742" t="n">
        <v>0</v>
      </c>
      <c r="L742" t="n">
        <v>0</v>
      </c>
      <c r="M742" t="n">
        <v>0</v>
      </c>
      <c r="N742" t="n">
        <v>0</v>
      </c>
      <c r="O742" t="n">
        <v>0</v>
      </c>
      <c r="P742" t="n">
        <v>0</v>
      </c>
      <c r="Q742" t="n">
        <v>0</v>
      </c>
      <c r="R742" s="2" t="inlineStr"/>
    </row>
    <row r="743" ht="15" customHeight="1">
      <c r="A743" t="inlineStr">
        <is>
          <t>A 27834-2023</t>
        </is>
      </c>
      <c r="B743" s="1" t="n">
        <v>45098</v>
      </c>
      <c r="C743" s="1" t="n">
        <v>45586</v>
      </c>
      <c r="D743" t="inlineStr">
        <is>
          <t>VÄSTMANLANDS LÄN</t>
        </is>
      </c>
      <c r="E743" t="inlineStr">
        <is>
          <t>SALA</t>
        </is>
      </c>
      <c r="G743" t="n">
        <v>5</v>
      </c>
      <c r="H743" t="n">
        <v>0</v>
      </c>
      <c r="I743" t="n">
        <v>0</v>
      </c>
      <c r="J743" t="n">
        <v>0</v>
      </c>
      <c r="K743" t="n">
        <v>0</v>
      </c>
      <c r="L743" t="n">
        <v>0</v>
      </c>
      <c r="M743" t="n">
        <v>0</v>
      </c>
      <c r="N743" t="n">
        <v>0</v>
      </c>
      <c r="O743" t="n">
        <v>0</v>
      </c>
      <c r="P743" t="n">
        <v>0</v>
      </c>
      <c r="Q743" t="n">
        <v>0</v>
      </c>
      <c r="R743" s="2" t="inlineStr"/>
    </row>
    <row r="744" ht="15" customHeight="1">
      <c r="A744" t="inlineStr">
        <is>
          <t>A 27824-2023</t>
        </is>
      </c>
      <c r="B744" s="1" t="n">
        <v>45098</v>
      </c>
      <c r="C744" s="1" t="n">
        <v>45586</v>
      </c>
      <c r="D744" t="inlineStr">
        <is>
          <t>VÄSTMANLANDS LÄN</t>
        </is>
      </c>
      <c r="E744" t="inlineStr">
        <is>
          <t>SALA</t>
        </is>
      </c>
      <c r="G744" t="n">
        <v>5.3</v>
      </c>
      <c r="H744" t="n">
        <v>0</v>
      </c>
      <c r="I744" t="n">
        <v>0</v>
      </c>
      <c r="J744" t="n">
        <v>0</v>
      </c>
      <c r="K744" t="n">
        <v>0</v>
      </c>
      <c r="L744" t="n">
        <v>0</v>
      </c>
      <c r="M744" t="n">
        <v>0</v>
      </c>
      <c r="N744" t="n">
        <v>0</v>
      </c>
      <c r="O744" t="n">
        <v>0</v>
      </c>
      <c r="P744" t="n">
        <v>0</v>
      </c>
      <c r="Q744" t="n">
        <v>0</v>
      </c>
      <c r="R744" s="2" t="inlineStr"/>
    </row>
    <row r="745" ht="15" customHeight="1">
      <c r="A745" t="inlineStr">
        <is>
          <t>A 27749-2023</t>
        </is>
      </c>
      <c r="B745" s="1" t="n">
        <v>45098</v>
      </c>
      <c r="C745" s="1" t="n">
        <v>45586</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29542-2023</t>
        </is>
      </c>
      <c r="B746" s="1" t="n">
        <v>45098</v>
      </c>
      <c r="C746" s="1" t="n">
        <v>45586</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28328-2023</t>
        </is>
      </c>
      <c r="B747" s="1" t="n">
        <v>45099</v>
      </c>
      <c r="C747" s="1" t="n">
        <v>45586</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28696-2023</t>
        </is>
      </c>
      <c r="B748" s="1" t="n">
        <v>45103</v>
      </c>
      <c r="C748" s="1" t="n">
        <v>45586</v>
      </c>
      <c r="D748" t="inlineStr">
        <is>
          <t>VÄSTMANLANDS LÄN</t>
        </is>
      </c>
      <c r="E748" t="inlineStr">
        <is>
          <t>SALA</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29241-2023</t>
        </is>
      </c>
      <c r="B749" s="1" t="n">
        <v>45105</v>
      </c>
      <c r="C749" s="1" t="n">
        <v>45586</v>
      </c>
      <c r="D749" t="inlineStr">
        <is>
          <t>VÄSTMANLANDS LÄN</t>
        </is>
      </c>
      <c r="E749" t="inlineStr">
        <is>
          <t>SALA</t>
        </is>
      </c>
      <c r="F749" t="inlineStr">
        <is>
          <t>Kommuner</t>
        </is>
      </c>
      <c r="G749" t="n">
        <v>4.8</v>
      </c>
      <c r="H749" t="n">
        <v>0</v>
      </c>
      <c r="I749" t="n">
        <v>0</v>
      </c>
      <c r="J749" t="n">
        <v>0</v>
      </c>
      <c r="K749" t="n">
        <v>0</v>
      </c>
      <c r="L749" t="n">
        <v>0</v>
      </c>
      <c r="M749" t="n">
        <v>0</v>
      </c>
      <c r="N749" t="n">
        <v>0</v>
      </c>
      <c r="O749" t="n">
        <v>0</v>
      </c>
      <c r="P749" t="n">
        <v>0</v>
      </c>
      <c r="Q749" t="n">
        <v>0</v>
      </c>
      <c r="R749" s="2" t="inlineStr"/>
    </row>
    <row r="750" ht="15" customHeight="1">
      <c r="A750" t="inlineStr">
        <is>
          <t>A 31945-2023</t>
        </is>
      </c>
      <c r="B750" s="1" t="n">
        <v>45107</v>
      </c>
      <c r="C750" s="1" t="n">
        <v>45586</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31950-2023</t>
        </is>
      </c>
      <c r="B751" s="1" t="n">
        <v>45107</v>
      </c>
      <c r="C751" s="1" t="n">
        <v>45586</v>
      </c>
      <c r="D751" t="inlineStr">
        <is>
          <t>VÄSTMANLANDS LÄN</t>
        </is>
      </c>
      <c r="E751" t="inlineStr">
        <is>
          <t>SALA</t>
        </is>
      </c>
      <c r="G751" t="n">
        <v>2</v>
      </c>
      <c r="H751" t="n">
        <v>0</v>
      </c>
      <c r="I751" t="n">
        <v>0</v>
      </c>
      <c r="J751" t="n">
        <v>0</v>
      </c>
      <c r="K751" t="n">
        <v>0</v>
      </c>
      <c r="L751" t="n">
        <v>0</v>
      </c>
      <c r="M751" t="n">
        <v>0</v>
      </c>
      <c r="N751" t="n">
        <v>0</v>
      </c>
      <c r="O751" t="n">
        <v>0</v>
      </c>
      <c r="P751" t="n">
        <v>0</v>
      </c>
      <c r="Q751" t="n">
        <v>0</v>
      </c>
      <c r="R751" s="2" t="inlineStr"/>
    </row>
    <row r="752" ht="15" customHeight="1">
      <c r="A752" t="inlineStr">
        <is>
          <t>A 31953-2023</t>
        </is>
      </c>
      <c r="B752" s="1" t="n">
        <v>45107</v>
      </c>
      <c r="C752" s="1" t="n">
        <v>45586</v>
      </c>
      <c r="D752" t="inlineStr">
        <is>
          <t>VÄSTMANLANDS LÄN</t>
        </is>
      </c>
      <c r="E752" t="inlineStr">
        <is>
          <t>SALA</t>
        </is>
      </c>
      <c r="G752" t="n">
        <v>1.5</v>
      </c>
      <c r="H752" t="n">
        <v>0</v>
      </c>
      <c r="I752" t="n">
        <v>0</v>
      </c>
      <c r="J752" t="n">
        <v>0</v>
      </c>
      <c r="K752" t="n">
        <v>0</v>
      </c>
      <c r="L752" t="n">
        <v>0</v>
      </c>
      <c r="M752" t="n">
        <v>0</v>
      </c>
      <c r="N752" t="n">
        <v>0</v>
      </c>
      <c r="O752" t="n">
        <v>0</v>
      </c>
      <c r="P752" t="n">
        <v>0</v>
      </c>
      <c r="Q752" t="n">
        <v>0</v>
      </c>
      <c r="R752" s="2" t="inlineStr"/>
    </row>
    <row r="753" ht="15" customHeight="1">
      <c r="A753" t="inlineStr">
        <is>
          <t>A 31298-2023</t>
        </is>
      </c>
      <c r="B753" s="1" t="n">
        <v>45114</v>
      </c>
      <c r="C753" s="1" t="n">
        <v>45586</v>
      </c>
      <c r="D753" t="inlineStr">
        <is>
          <t>VÄSTMANLANDS LÄN</t>
        </is>
      </c>
      <c r="E753" t="inlineStr">
        <is>
          <t>SALA</t>
        </is>
      </c>
      <c r="G753" t="n">
        <v>3</v>
      </c>
      <c r="H753" t="n">
        <v>0</v>
      </c>
      <c r="I753" t="n">
        <v>0</v>
      </c>
      <c r="J753" t="n">
        <v>0</v>
      </c>
      <c r="K753" t="n">
        <v>0</v>
      </c>
      <c r="L753" t="n">
        <v>0</v>
      </c>
      <c r="M753" t="n">
        <v>0</v>
      </c>
      <c r="N753" t="n">
        <v>0</v>
      </c>
      <c r="O753" t="n">
        <v>0</v>
      </c>
      <c r="P753" t="n">
        <v>0</v>
      </c>
      <c r="Q753" t="n">
        <v>0</v>
      </c>
      <c r="R753" s="2" t="inlineStr"/>
    </row>
    <row r="754" ht="15" customHeight="1">
      <c r="A754" t="inlineStr">
        <is>
          <t>A 31315-2023</t>
        </is>
      </c>
      <c r="B754" s="1" t="n">
        <v>45114</v>
      </c>
      <c r="C754" s="1" t="n">
        <v>45586</v>
      </c>
      <c r="D754" t="inlineStr">
        <is>
          <t>VÄSTMANLANDS LÄN</t>
        </is>
      </c>
      <c r="E754" t="inlineStr">
        <is>
          <t>SALA</t>
        </is>
      </c>
      <c r="G754" t="n">
        <v>1.7</v>
      </c>
      <c r="H754" t="n">
        <v>0</v>
      </c>
      <c r="I754" t="n">
        <v>0</v>
      </c>
      <c r="J754" t="n">
        <v>0</v>
      </c>
      <c r="K754" t="n">
        <v>0</v>
      </c>
      <c r="L754" t="n">
        <v>0</v>
      </c>
      <c r="M754" t="n">
        <v>0</v>
      </c>
      <c r="N754" t="n">
        <v>0</v>
      </c>
      <c r="O754" t="n">
        <v>0</v>
      </c>
      <c r="P754" t="n">
        <v>0</v>
      </c>
      <c r="Q754" t="n">
        <v>0</v>
      </c>
      <c r="R754" s="2" t="inlineStr"/>
    </row>
    <row r="755" ht="15" customHeight="1">
      <c r="A755" t="inlineStr">
        <is>
          <t>A 31646-2023</t>
        </is>
      </c>
      <c r="B755" s="1" t="n">
        <v>45117</v>
      </c>
      <c r="C755" s="1" t="n">
        <v>45586</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31859-2023</t>
        </is>
      </c>
      <c r="B756" s="1" t="n">
        <v>45118</v>
      </c>
      <c r="C756" s="1" t="n">
        <v>45586</v>
      </c>
      <c r="D756" t="inlineStr">
        <is>
          <t>VÄSTMANLANDS LÄN</t>
        </is>
      </c>
      <c r="E756" t="inlineStr">
        <is>
          <t>SALA</t>
        </is>
      </c>
      <c r="G756" t="n">
        <v>0.5</v>
      </c>
      <c r="H756" t="n">
        <v>0</v>
      </c>
      <c r="I756" t="n">
        <v>0</v>
      </c>
      <c r="J756" t="n">
        <v>0</v>
      </c>
      <c r="K756" t="n">
        <v>0</v>
      </c>
      <c r="L756" t="n">
        <v>0</v>
      </c>
      <c r="M756" t="n">
        <v>0</v>
      </c>
      <c r="N756" t="n">
        <v>0</v>
      </c>
      <c r="O756" t="n">
        <v>0</v>
      </c>
      <c r="P756" t="n">
        <v>0</v>
      </c>
      <c r="Q756" t="n">
        <v>0</v>
      </c>
      <c r="R756" s="2" t="inlineStr"/>
      <c r="U756">
        <f>HYPERLINK("https://klasma.github.io/Logging_1981/knärot/A 31859-2023 karta knärot.png", "A 31859-2023")</f>
        <v/>
      </c>
      <c r="V756">
        <f>HYPERLINK("https://klasma.github.io/Logging_1981/klagomål/A 31859-2023 FSC-klagomål.docx", "A 31859-2023")</f>
        <v/>
      </c>
      <c r="W756">
        <f>HYPERLINK("https://klasma.github.io/Logging_1981/klagomålsmail/A 31859-2023 FSC-klagomål mail.docx", "A 31859-2023")</f>
        <v/>
      </c>
      <c r="X756">
        <f>HYPERLINK("https://klasma.github.io/Logging_1981/tillsyn/A 31859-2023 tillsynsbegäran.docx", "A 31859-2023")</f>
        <v/>
      </c>
      <c r="Y756">
        <f>HYPERLINK("https://klasma.github.io/Logging_1981/tillsynsmail/A 31859-2023 tillsynsbegäran mail.docx", "A 31859-2023")</f>
        <v/>
      </c>
    </row>
    <row r="757" ht="15" customHeight="1">
      <c r="A757" t="inlineStr">
        <is>
          <t>A 32945-2023</t>
        </is>
      </c>
      <c r="B757" s="1" t="n">
        <v>45125</v>
      </c>
      <c r="C757" s="1" t="n">
        <v>45586</v>
      </c>
      <c r="D757" t="inlineStr">
        <is>
          <t>VÄSTMANLANDS LÄN</t>
        </is>
      </c>
      <c r="E757" t="inlineStr">
        <is>
          <t>SALA</t>
        </is>
      </c>
      <c r="G757" t="n">
        <v>1.5</v>
      </c>
      <c r="H757" t="n">
        <v>0</v>
      </c>
      <c r="I757" t="n">
        <v>0</v>
      </c>
      <c r="J757" t="n">
        <v>0</v>
      </c>
      <c r="K757" t="n">
        <v>0</v>
      </c>
      <c r="L757" t="n">
        <v>0</v>
      </c>
      <c r="M757" t="n">
        <v>0</v>
      </c>
      <c r="N757" t="n">
        <v>0</v>
      </c>
      <c r="O757" t="n">
        <v>0</v>
      </c>
      <c r="P757" t="n">
        <v>0</v>
      </c>
      <c r="Q757" t="n">
        <v>0</v>
      </c>
      <c r="R757" s="2" t="inlineStr"/>
    </row>
    <row r="758" ht="15" customHeight="1">
      <c r="A758" t="inlineStr">
        <is>
          <t>A 33152-2023</t>
        </is>
      </c>
      <c r="B758" s="1" t="n">
        <v>45126</v>
      </c>
      <c r="C758" s="1" t="n">
        <v>45586</v>
      </c>
      <c r="D758" t="inlineStr">
        <is>
          <t>VÄSTMANLANDS LÄN</t>
        </is>
      </c>
      <c r="E758" t="inlineStr">
        <is>
          <t>SALA</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33151-2023</t>
        </is>
      </c>
      <c r="B759" s="1" t="n">
        <v>45126</v>
      </c>
      <c r="C759" s="1" t="n">
        <v>45586</v>
      </c>
      <c r="D759" t="inlineStr">
        <is>
          <t>VÄSTMANLANDS LÄN</t>
        </is>
      </c>
      <c r="E759" t="inlineStr">
        <is>
          <t>SALA</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33180-2023</t>
        </is>
      </c>
      <c r="B760" s="1" t="n">
        <v>45127</v>
      </c>
      <c r="C760" s="1" t="n">
        <v>45586</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33273-2023</t>
        </is>
      </c>
      <c r="B761" s="1" t="n">
        <v>45127</v>
      </c>
      <c r="C761" s="1" t="n">
        <v>45586</v>
      </c>
      <c r="D761" t="inlineStr">
        <is>
          <t>VÄSTMANLANDS LÄN</t>
        </is>
      </c>
      <c r="E761" t="inlineStr">
        <is>
          <t>SALA</t>
        </is>
      </c>
      <c r="G761" t="n">
        <v>2.6</v>
      </c>
      <c r="H761" t="n">
        <v>0</v>
      </c>
      <c r="I761" t="n">
        <v>0</v>
      </c>
      <c r="J761" t="n">
        <v>0</v>
      </c>
      <c r="K761" t="n">
        <v>0</v>
      </c>
      <c r="L761" t="n">
        <v>0</v>
      </c>
      <c r="M761" t="n">
        <v>0</v>
      </c>
      <c r="N761" t="n">
        <v>0</v>
      </c>
      <c r="O761" t="n">
        <v>0</v>
      </c>
      <c r="P761" t="n">
        <v>0</v>
      </c>
      <c r="Q761" t="n">
        <v>0</v>
      </c>
      <c r="R761" s="2" t="inlineStr"/>
    </row>
    <row r="762" ht="15" customHeight="1">
      <c r="A762" t="inlineStr">
        <is>
          <t>A 33527-2023</t>
        </is>
      </c>
      <c r="B762" s="1" t="n">
        <v>45131</v>
      </c>
      <c r="C762" s="1" t="n">
        <v>45586</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34361-2023</t>
        </is>
      </c>
      <c r="B763" s="1" t="n">
        <v>45131</v>
      </c>
      <c r="C763" s="1" t="n">
        <v>45586</v>
      </c>
      <c r="D763" t="inlineStr">
        <is>
          <t>VÄSTMANLANDS LÄN</t>
        </is>
      </c>
      <c r="E763" t="inlineStr">
        <is>
          <t>SALA</t>
        </is>
      </c>
      <c r="G763" t="n">
        <v>2.7</v>
      </c>
      <c r="H763" t="n">
        <v>0</v>
      </c>
      <c r="I763" t="n">
        <v>0</v>
      </c>
      <c r="J763" t="n">
        <v>0</v>
      </c>
      <c r="K763" t="n">
        <v>0</v>
      </c>
      <c r="L763" t="n">
        <v>0</v>
      </c>
      <c r="M763" t="n">
        <v>0</v>
      </c>
      <c r="N763" t="n">
        <v>0</v>
      </c>
      <c r="O763" t="n">
        <v>0</v>
      </c>
      <c r="P763" t="n">
        <v>0</v>
      </c>
      <c r="Q763" t="n">
        <v>0</v>
      </c>
      <c r="R763" s="2" t="inlineStr"/>
    </row>
    <row r="764" ht="15" customHeight="1">
      <c r="A764" t="inlineStr">
        <is>
          <t>A 33732-2023</t>
        </is>
      </c>
      <c r="B764" s="1" t="n">
        <v>45133</v>
      </c>
      <c r="C764" s="1" t="n">
        <v>45586</v>
      </c>
      <c r="D764" t="inlineStr">
        <is>
          <t>VÄSTMANLANDS LÄN</t>
        </is>
      </c>
      <c r="E764" t="inlineStr">
        <is>
          <t>SALA</t>
        </is>
      </c>
      <c r="G764" t="n">
        <v>2</v>
      </c>
      <c r="H764" t="n">
        <v>0</v>
      </c>
      <c r="I764" t="n">
        <v>0</v>
      </c>
      <c r="J764" t="n">
        <v>0</v>
      </c>
      <c r="K764" t="n">
        <v>0</v>
      </c>
      <c r="L764" t="n">
        <v>0</v>
      </c>
      <c r="M764" t="n">
        <v>0</v>
      </c>
      <c r="N764" t="n">
        <v>0</v>
      </c>
      <c r="O764" t="n">
        <v>0</v>
      </c>
      <c r="P764" t="n">
        <v>0</v>
      </c>
      <c r="Q764" t="n">
        <v>0</v>
      </c>
      <c r="R764" s="2" t="inlineStr"/>
    </row>
    <row r="765" ht="15" customHeight="1">
      <c r="A765" t="inlineStr">
        <is>
          <t>A 33743-2023</t>
        </is>
      </c>
      <c r="B765" s="1" t="n">
        <v>45133</v>
      </c>
      <c r="C765" s="1" t="n">
        <v>45586</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34494-2023</t>
        </is>
      </c>
      <c r="B766" s="1" t="n">
        <v>45133</v>
      </c>
      <c r="C766" s="1" t="n">
        <v>45586</v>
      </c>
      <c r="D766" t="inlineStr">
        <is>
          <t>VÄSTMANLANDS LÄN</t>
        </is>
      </c>
      <c r="E766" t="inlineStr">
        <is>
          <t>SALA</t>
        </is>
      </c>
      <c r="G766" t="n">
        <v>0.8</v>
      </c>
      <c r="H766" t="n">
        <v>0</v>
      </c>
      <c r="I766" t="n">
        <v>0</v>
      </c>
      <c r="J766" t="n">
        <v>0</v>
      </c>
      <c r="K766" t="n">
        <v>0</v>
      </c>
      <c r="L766" t="n">
        <v>0</v>
      </c>
      <c r="M766" t="n">
        <v>0</v>
      </c>
      <c r="N766" t="n">
        <v>0</v>
      </c>
      <c r="O766" t="n">
        <v>0</v>
      </c>
      <c r="P766" t="n">
        <v>0</v>
      </c>
      <c r="Q766" t="n">
        <v>0</v>
      </c>
      <c r="R766" s="2" t="inlineStr"/>
    </row>
    <row r="767" ht="15" customHeight="1">
      <c r="A767" t="inlineStr">
        <is>
          <t>A 34215-2023</t>
        </is>
      </c>
      <c r="B767" s="1" t="n">
        <v>45138</v>
      </c>
      <c r="C767" s="1" t="n">
        <v>45586</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34867-2023</t>
        </is>
      </c>
      <c r="B768" s="1" t="n">
        <v>45142</v>
      </c>
      <c r="C768" s="1" t="n">
        <v>45586</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35434-2023</t>
        </is>
      </c>
      <c r="B769" s="1" t="n">
        <v>45146</v>
      </c>
      <c r="C769" s="1" t="n">
        <v>45586</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36393-2023</t>
        </is>
      </c>
      <c r="B770" s="1" t="n">
        <v>45152</v>
      </c>
      <c r="C770" s="1" t="n">
        <v>45586</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36858-2023</t>
        </is>
      </c>
      <c r="B771" s="1" t="n">
        <v>45154</v>
      </c>
      <c r="C771" s="1" t="n">
        <v>45586</v>
      </c>
      <c r="D771" t="inlineStr">
        <is>
          <t>VÄSTMANLANDS LÄN</t>
        </is>
      </c>
      <c r="E771" t="inlineStr">
        <is>
          <t>SALA</t>
        </is>
      </c>
      <c r="G771" t="n">
        <v>2.1</v>
      </c>
      <c r="H771" t="n">
        <v>0</v>
      </c>
      <c r="I771" t="n">
        <v>0</v>
      </c>
      <c r="J771" t="n">
        <v>0</v>
      </c>
      <c r="K771" t="n">
        <v>0</v>
      </c>
      <c r="L771" t="n">
        <v>0</v>
      </c>
      <c r="M771" t="n">
        <v>0</v>
      </c>
      <c r="N771" t="n">
        <v>0</v>
      </c>
      <c r="O771" t="n">
        <v>0</v>
      </c>
      <c r="P771" t="n">
        <v>0</v>
      </c>
      <c r="Q771" t="n">
        <v>0</v>
      </c>
      <c r="R771" s="2" t="inlineStr"/>
    </row>
    <row r="772" ht="15" customHeight="1">
      <c r="A772" t="inlineStr">
        <is>
          <t>A 38773-2023</t>
        </is>
      </c>
      <c r="B772" s="1" t="n">
        <v>45161</v>
      </c>
      <c r="C772" s="1" t="n">
        <v>45586</v>
      </c>
      <c r="D772" t="inlineStr">
        <is>
          <t>VÄSTMANLANDS LÄN</t>
        </is>
      </c>
      <c r="E772" t="inlineStr">
        <is>
          <t>SALA</t>
        </is>
      </c>
      <c r="G772" t="n">
        <v>12.5</v>
      </c>
      <c r="H772" t="n">
        <v>0</v>
      </c>
      <c r="I772" t="n">
        <v>0</v>
      </c>
      <c r="J772" t="n">
        <v>0</v>
      </c>
      <c r="K772" t="n">
        <v>0</v>
      </c>
      <c r="L772" t="n">
        <v>0</v>
      </c>
      <c r="M772" t="n">
        <v>0</v>
      </c>
      <c r="N772" t="n">
        <v>0</v>
      </c>
      <c r="O772" t="n">
        <v>0</v>
      </c>
      <c r="P772" t="n">
        <v>0</v>
      </c>
      <c r="Q772" t="n">
        <v>0</v>
      </c>
      <c r="R772" s="2" t="inlineStr"/>
    </row>
    <row r="773" ht="15" customHeight="1">
      <c r="A773" t="inlineStr">
        <is>
          <t>A 38561-2023</t>
        </is>
      </c>
      <c r="B773" s="1" t="n">
        <v>45162</v>
      </c>
      <c r="C773" s="1" t="n">
        <v>45586</v>
      </c>
      <c r="D773" t="inlineStr">
        <is>
          <t>VÄSTMANLANDS LÄN</t>
        </is>
      </c>
      <c r="E773" t="inlineStr">
        <is>
          <t>SALA</t>
        </is>
      </c>
      <c r="G773" t="n">
        <v>2.9</v>
      </c>
      <c r="H773" t="n">
        <v>0</v>
      </c>
      <c r="I773" t="n">
        <v>0</v>
      </c>
      <c r="J773" t="n">
        <v>0</v>
      </c>
      <c r="K773" t="n">
        <v>0</v>
      </c>
      <c r="L773" t="n">
        <v>0</v>
      </c>
      <c r="M773" t="n">
        <v>0</v>
      </c>
      <c r="N773" t="n">
        <v>0</v>
      </c>
      <c r="O773" t="n">
        <v>0</v>
      </c>
      <c r="P773" t="n">
        <v>0</v>
      </c>
      <c r="Q773" t="n">
        <v>0</v>
      </c>
      <c r="R773" s="2" t="inlineStr"/>
    </row>
    <row r="774" ht="15" customHeight="1">
      <c r="A774" t="inlineStr">
        <is>
          <t>A 39011-2023</t>
        </is>
      </c>
      <c r="B774" s="1" t="n">
        <v>45162</v>
      </c>
      <c r="C774" s="1" t="n">
        <v>45586</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39604-2023</t>
        </is>
      </c>
      <c r="B775" s="1" t="n">
        <v>45163</v>
      </c>
      <c r="C775" s="1" t="n">
        <v>45586</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39714-2023</t>
        </is>
      </c>
      <c r="B776" s="1" t="n">
        <v>45167</v>
      </c>
      <c r="C776" s="1" t="n">
        <v>45586</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39708-2023</t>
        </is>
      </c>
      <c r="B777" s="1" t="n">
        <v>45167</v>
      </c>
      <c r="C777" s="1" t="n">
        <v>45586</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39713-2023</t>
        </is>
      </c>
      <c r="B778" s="1" t="n">
        <v>45167</v>
      </c>
      <c r="C778" s="1" t="n">
        <v>45586</v>
      </c>
      <c r="D778" t="inlineStr">
        <is>
          <t>VÄSTMANLANDS LÄN</t>
        </is>
      </c>
      <c r="E778" t="inlineStr">
        <is>
          <t>SALA</t>
        </is>
      </c>
      <c r="G778" t="n">
        <v>3.1</v>
      </c>
      <c r="H778" t="n">
        <v>0</v>
      </c>
      <c r="I778" t="n">
        <v>0</v>
      </c>
      <c r="J778" t="n">
        <v>0</v>
      </c>
      <c r="K778" t="n">
        <v>0</v>
      </c>
      <c r="L778" t="n">
        <v>0</v>
      </c>
      <c r="M778" t="n">
        <v>0</v>
      </c>
      <c r="N778" t="n">
        <v>0</v>
      </c>
      <c r="O778" t="n">
        <v>0</v>
      </c>
      <c r="P778" t="n">
        <v>0</v>
      </c>
      <c r="Q778" t="n">
        <v>0</v>
      </c>
      <c r="R778" s="2" t="inlineStr"/>
    </row>
    <row r="779" ht="15" customHeight="1">
      <c r="A779" t="inlineStr">
        <is>
          <t>A 40214-2023</t>
        </is>
      </c>
      <c r="B779" s="1" t="n">
        <v>45169</v>
      </c>
      <c r="C779" s="1" t="n">
        <v>45586</v>
      </c>
      <c r="D779" t="inlineStr">
        <is>
          <t>VÄSTMANLANDS LÄN</t>
        </is>
      </c>
      <c r="E779" t="inlineStr">
        <is>
          <t>SALA</t>
        </is>
      </c>
      <c r="G779" t="n">
        <v>5.5</v>
      </c>
      <c r="H779" t="n">
        <v>0</v>
      </c>
      <c r="I779" t="n">
        <v>0</v>
      </c>
      <c r="J779" t="n">
        <v>0</v>
      </c>
      <c r="K779" t="n">
        <v>0</v>
      </c>
      <c r="L779" t="n">
        <v>0</v>
      </c>
      <c r="M779" t="n">
        <v>0</v>
      </c>
      <c r="N779" t="n">
        <v>0</v>
      </c>
      <c r="O779" t="n">
        <v>0</v>
      </c>
      <c r="P779" t="n">
        <v>0</v>
      </c>
      <c r="Q779" t="n">
        <v>0</v>
      </c>
      <c r="R779" s="2" t="inlineStr"/>
    </row>
    <row r="780" ht="15" customHeight="1">
      <c r="A780" t="inlineStr">
        <is>
          <t>A 41613-2023</t>
        </is>
      </c>
      <c r="B780" s="1" t="n">
        <v>45173</v>
      </c>
      <c r="C780" s="1" t="n">
        <v>45586</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41619-2023</t>
        </is>
      </c>
      <c r="B781" s="1" t="n">
        <v>45173</v>
      </c>
      <c r="C781" s="1" t="n">
        <v>45586</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42312-2023</t>
        </is>
      </c>
      <c r="B782" s="1" t="n">
        <v>45175</v>
      </c>
      <c r="C782" s="1" t="n">
        <v>45586</v>
      </c>
      <c r="D782" t="inlineStr">
        <is>
          <t>VÄSTMANLANDS LÄN</t>
        </is>
      </c>
      <c r="E782" t="inlineStr">
        <is>
          <t>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42938-2023</t>
        </is>
      </c>
      <c r="B783" s="1" t="n">
        <v>45179</v>
      </c>
      <c r="C783" s="1" t="n">
        <v>45586</v>
      </c>
      <c r="D783" t="inlineStr">
        <is>
          <t>VÄSTMANLANDS LÄN</t>
        </is>
      </c>
      <c r="E783" t="inlineStr">
        <is>
          <t>SALA</t>
        </is>
      </c>
      <c r="G783" t="n">
        <v>10.9</v>
      </c>
      <c r="H783" t="n">
        <v>0</v>
      </c>
      <c r="I783" t="n">
        <v>0</v>
      </c>
      <c r="J783" t="n">
        <v>0</v>
      </c>
      <c r="K783" t="n">
        <v>0</v>
      </c>
      <c r="L783" t="n">
        <v>0</v>
      </c>
      <c r="M783" t="n">
        <v>0</v>
      </c>
      <c r="N783" t="n">
        <v>0</v>
      </c>
      <c r="O783" t="n">
        <v>0</v>
      </c>
      <c r="P783" t="n">
        <v>0</v>
      </c>
      <c r="Q783" t="n">
        <v>0</v>
      </c>
      <c r="R783" s="2" t="inlineStr"/>
    </row>
    <row r="784" ht="15" customHeight="1">
      <c r="A784" t="inlineStr">
        <is>
          <t>A 42984-2023</t>
        </is>
      </c>
      <c r="B784" s="1" t="n">
        <v>45179</v>
      </c>
      <c r="C784" s="1" t="n">
        <v>45586</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42991-2023</t>
        </is>
      </c>
      <c r="B785" s="1" t="n">
        <v>45179</v>
      </c>
      <c r="C785" s="1" t="n">
        <v>45586</v>
      </c>
      <c r="D785" t="inlineStr">
        <is>
          <t>VÄSTMANLANDS LÄN</t>
        </is>
      </c>
      <c r="E785" t="inlineStr">
        <is>
          <t>SALA</t>
        </is>
      </c>
      <c r="G785" t="n">
        <v>3.6</v>
      </c>
      <c r="H785" t="n">
        <v>0</v>
      </c>
      <c r="I785" t="n">
        <v>0</v>
      </c>
      <c r="J785" t="n">
        <v>0</v>
      </c>
      <c r="K785" t="n">
        <v>0</v>
      </c>
      <c r="L785" t="n">
        <v>0</v>
      </c>
      <c r="M785" t="n">
        <v>0</v>
      </c>
      <c r="N785" t="n">
        <v>0</v>
      </c>
      <c r="O785" t="n">
        <v>0</v>
      </c>
      <c r="P785" t="n">
        <v>0</v>
      </c>
      <c r="Q785" t="n">
        <v>0</v>
      </c>
      <c r="R785" s="2" t="inlineStr"/>
    </row>
    <row r="786" ht="15" customHeight="1">
      <c r="A786" t="inlineStr">
        <is>
          <t>A 44247-2023</t>
        </is>
      </c>
      <c r="B786" s="1" t="n">
        <v>45182</v>
      </c>
      <c r="C786" s="1" t="n">
        <v>45586</v>
      </c>
      <c r="D786" t="inlineStr">
        <is>
          <t>VÄSTMANLANDS LÄN</t>
        </is>
      </c>
      <c r="E786" t="inlineStr">
        <is>
          <t>SALA</t>
        </is>
      </c>
      <c r="G786" t="n">
        <v>1.7</v>
      </c>
      <c r="H786" t="n">
        <v>0</v>
      </c>
      <c r="I786" t="n">
        <v>0</v>
      </c>
      <c r="J786" t="n">
        <v>0</v>
      </c>
      <c r="K786" t="n">
        <v>0</v>
      </c>
      <c r="L786" t="n">
        <v>0</v>
      </c>
      <c r="M786" t="n">
        <v>0</v>
      </c>
      <c r="N786" t="n">
        <v>0</v>
      </c>
      <c r="O786" t="n">
        <v>0</v>
      </c>
      <c r="P786" t="n">
        <v>0</v>
      </c>
      <c r="Q786" t="n">
        <v>0</v>
      </c>
      <c r="R786" s="2" t="inlineStr"/>
    </row>
    <row r="787" ht="15" customHeight="1">
      <c r="A787" t="inlineStr">
        <is>
          <t>A 43188-2023</t>
        </is>
      </c>
      <c r="B787" s="1" t="n">
        <v>45183</v>
      </c>
      <c r="C787" s="1" t="n">
        <v>45586</v>
      </c>
      <c r="D787" t="inlineStr">
        <is>
          <t>VÄSTMANLANDS LÄN</t>
        </is>
      </c>
      <c r="E787" t="inlineStr">
        <is>
          <t>SALA</t>
        </is>
      </c>
      <c r="G787" t="n">
        <v>1.2</v>
      </c>
      <c r="H787" t="n">
        <v>0</v>
      </c>
      <c r="I787" t="n">
        <v>0</v>
      </c>
      <c r="J787" t="n">
        <v>0</v>
      </c>
      <c r="K787" t="n">
        <v>0</v>
      </c>
      <c r="L787" t="n">
        <v>0</v>
      </c>
      <c r="M787" t="n">
        <v>0</v>
      </c>
      <c r="N787" t="n">
        <v>0</v>
      </c>
      <c r="O787" t="n">
        <v>0</v>
      </c>
      <c r="P787" t="n">
        <v>0</v>
      </c>
      <c r="Q787" t="n">
        <v>0</v>
      </c>
      <c r="R787" s="2" t="inlineStr"/>
    </row>
    <row r="788" ht="15" customHeight="1">
      <c r="A788" t="inlineStr">
        <is>
          <t>A 43184-2023</t>
        </is>
      </c>
      <c r="B788" s="1" t="n">
        <v>45183</v>
      </c>
      <c r="C788" s="1" t="n">
        <v>45586</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43205-2023</t>
        </is>
      </c>
      <c r="B789" s="1" t="n">
        <v>45183</v>
      </c>
      <c r="C789" s="1" t="n">
        <v>45586</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43176-2023</t>
        </is>
      </c>
      <c r="B790" s="1" t="n">
        <v>45183</v>
      </c>
      <c r="C790" s="1" t="n">
        <v>45586</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43187-2023</t>
        </is>
      </c>
      <c r="B791" s="1" t="n">
        <v>45183</v>
      </c>
      <c r="C791" s="1" t="n">
        <v>45586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43363-2023</t>
        </is>
      </c>
      <c r="B792" s="1" t="n">
        <v>45183</v>
      </c>
      <c r="C792" s="1" t="n">
        <v>45586</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43362-2023</t>
        </is>
      </c>
      <c r="B793" s="1" t="n">
        <v>45183</v>
      </c>
      <c r="C793" s="1" t="n">
        <v>45586</v>
      </c>
      <c r="D793" t="inlineStr">
        <is>
          <t>VÄSTMANLANDS LÄN</t>
        </is>
      </c>
      <c r="E793" t="inlineStr">
        <is>
          <t>SALA</t>
        </is>
      </c>
      <c r="G793" t="n">
        <v>2</v>
      </c>
      <c r="H793" t="n">
        <v>0</v>
      </c>
      <c r="I793" t="n">
        <v>0</v>
      </c>
      <c r="J793" t="n">
        <v>0</v>
      </c>
      <c r="K793" t="n">
        <v>0</v>
      </c>
      <c r="L793" t="n">
        <v>0</v>
      </c>
      <c r="M793" t="n">
        <v>0</v>
      </c>
      <c r="N793" t="n">
        <v>0</v>
      </c>
      <c r="O793" t="n">
        <v>0</v>
      </c>
      <c r="P793" t="n">
        <v>0</v>
      </c>
      <c r="Q793" t="n">
        <v>0</v>
      </c>
      <c r="R793" s="2" t="inlineStr"/>
    </row>
    <row r="794" ht="15" customHeight="1">
      <c r="A794" t="inlineStr">
        <is>
          <t>A 44713-2023</t>
        </is>
      </c>
      <c r="B794" s="1" t="n">
        <v>45184</v>
      </c>
      <c r="C794" s="1" t="n">
        <v>45586</v>
      </c>
      <c r="D794" t="inlineStr">
        <is>
          <t>VÄSTMANLANDS LÄN</t>
        </is>
      </c>
      <c r="E794" t="inlineStr">
        <is>
          <t>SALA</t>
        </is>
      </c>
      <c r="F794" t="inlineStr">
        <is>
          <t>Kyrkan</t>
        </is>
      </c>
      <c r="G794" t="n">
        <v>7.6</v>
      </c>
      <c r="H794" t="n">
        <v>0</v>
      </c>
      <c r="I794" t="n">
        <v>0</v>
      </c>
      <c r="J794" t="n">
        <v>0</v>
      </c>
      <c r="K794" t="n">
        <v>0</v>
      </c>
      <c r="L794" t="n">
        <v>0</v>
      </c>
      <c r="M794" t="n">
        <v>0</v>
      </c>
      <c r="N794" t="n">
        <v>0</v>
      </c>
      <c r="O794" t="n">
        <v>0</v>
      </c>
      <c r="P794" t="n">
        <v>0</v>
      </c>
      <c r="Q794" t="n">
        <v>0</v>
      </c>
      <c r="R794" s="2" t="inlineStr"/>
    </row>
    <row r="795" ht="15" customHeight="1">
      <c r="A795" t="inlineStr">
        <is>
          <t>A 44720-2023</t>
        </is>
      </c>
      <c r="B795" s="1" t="n">
        <v>45184</v>
      </c>
      <c r="C795" s="1" t="n">
        <v>45586</v>
      </c>
      <c r="D795" t="inlineStr">
        <is>
          <t>VÄSTMANLANDS LÄN</t>
        </is>
      </c>
      <c r="E795" t="inlineStr">
        <is>
          <t>SALA</t>
        </is>
      </c>
      <c r="F795" t="inlineStr">
        <is>
          <t>Kyrkan</t>
        </is>
      </c>
      <c r="G795" t="n">
        <v>2.3</v>
      </c>
      <c r="H795" t="n">
        <v>0</v>
      </c>
      <c r="I795" t="n">
        <v>0</v>
      </c>
      <c r="J795" t="n">
        <v>0</v>
      </c>
      <c r="K795" t="n">
        <v>0</v>
      </c>
      <c r="L795" t="n">
        <v>0</v>
      </c>
      <c r="M795" t="n">
        <v>0</v>
      </c>
      <c r="N795" t="n">
        <v>0</v>
      </c>
      <c r="O795" t="n">
        <v>0</v>
      </c>
      <c r="P795" t="n">
        <v>0</v>
      </c>
      <c r="Q795" t="n">
        <v>0</v>
      </c>
      <c r="R795" s="2" t="inlineStr"/>
    </row>
    <row r="796" ht="15" customHeight="1">
      <c r="A796" t="inlineStr">
        <is>
          <t>A 44297-2023</t>
        </is>
      </c>
      <c r="B796" s="1" t="n">
        <v>45188</v>
      </c>
      <c r="C796" s="1" t="n">
        <v>45586</v>
      </c>
      <c r="D796" t="inlineStr">
        <is>
          <t>VÄSTMANLANDS LÄN</t>
        </is>
      </c>
      <c r="E796" t="inlineStr">
        <is>
          <t>SALA</t>
        </is>
      </c>
      <c r="G796" t="n">
        <v>2.7</v>
      </c>
      <c r="H796" t="n">
        <v>0</v>
      </c>
      <c r="I796" t="n">
        <v>0</v>
      </c>
      <c r="J796" t="n">
        <v>0</v>
      </c>
      <c r="K796" t="n">
        <v>0</v>
      </c>
      <c r="L796" t="n">
        <v>0</v>
      </c>
      <c r="M796" t="n">
        <v>0</v>
      </c>
      <c r="N796" t="n">
        <v>0</v>
      </c>
      <c r="O796" t="n">
        <v>0</v>
      </c>
      <c r="P796" t="n">
        <v>0</v>
      </c>
      <c r="Q796" t="n">
        <v>0</v>
      </c>
      <c r="R796" s="2" t="inlineStr"/>
    </row>
    <row r="797" ht="15" customHeight="1">
      <c r="A797" t="inlineStr">
        <is>
          <t>A 44846-2023</t>
        </is>
      </c>
      <c r="B797" s="1" t="n">
        <v>45190</v>
      </c>
      <c r="C797" s="1" t="n">
        <v>45586</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44857-2023</t>
        </is>
      </c>
      <c r="B798" s="1" t="n">
        <v>45190</v>
      </c>
      <c r="C798" s="1" t="n">
        <v>45586</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46352-2023</t>
        </is>
      </c>
      <c r="B799" s="1" t="n">
        <v>45192</v>
      </c>
      <c r="C799" s="1" t="n">
        <v>45586</v>
      </c>
      <c r="D799" t="inlineStr">
        <is>
          <t>VÄSTMANLANDS LÄN</t>
        </is>
      </c>
      <c r="E799" t="inlineStr">
        <is>
          <t>SALA</t>
        </is>
      </c>
      <c r="G799" t="n">
        <v>1.9</v>
      </c>
      <c r="H799" t="n">
        <v>0</v>
      </c>
      <c r="I799" t="n">
        <v>0</v>
      </c>
      <c r="J799" t="n">
        <v>0</v>
      </c>
      <c r="K799" t="n">
        <v>0</v>
      </c>
      <c r="L799" t="n">
        <v>0</v>
      </c>
      <c r="M799" t="n">
        <v>0</v>
      </c>
      <c r="N799" t="n">
        <v>0</v>
      </c>
      <c r="O799" t="n">
        <v>0</v>
      </c>
      <c r="P799" t="n">
        <v>0</v>
      </c>
      <c r="Q799" t="n">
        <v>0</v>
      </c>
      <c r="R799" s="2" t="inlineStr"/>
    </row>
    <row r="800" ht="15" customHeight="1">
      <c r="A800" t="inlineStr">
        <is>
          <t>A 46355-2023</t>
        </is>
      </c>
      <c r="B800" s="1" t="n">
        <v>45192</v>
      </c>
      <c r="C800" s="1" t="n">
        <v>45586</v>
      </c>
      <c r="D800" t="inlineStr">
        <is>
          <t>VÄSTMANLANDS LÄN</t>
        </is>
      </c>
      <c r="E800" t="inlineStr">
        <is>
          <t>SALA</t>
        </is>
      </c>
      <c r="G800" t="n">
        <v>12</v>
      </c>
      <c r="H800" t="n">
        <v>0</v>
      </c>
      <c r="I800" t="n">
        <v>0</v>
      </c>
      <c r="J800" t="n">
        <v>0</v>
      </c>
      <c r="K800" t="n">
        <v>0</v>
      </c>
      <c r="L800" t="n">
        <v>0</v>
      </c>
      <c r="M800" t="n">
        <v>0</v>
      </c>
      <c r="N800" t="n">
        <v>0</v>
      </c>
      <c r="O800" t="n">
        <v>0</v>
      </c>
      <c r="P800" t="n">
        <v>0</v>
      </c>
      <c r="Q800" t="n">
        <v>0</v>
      </c>
      <c r="R800" s="2" t="inlineStr"/>
    </row>
    <row r="801" ht="15" customHeight="1">
      <c r="A801" t="inlineStr">
        <is>
          <t>A 46350-2023</t>
        </is>
      </c>
      <c r="B801" s="1" t="n">
        <v>45192</v>
      </c>
      <c r="C801" s="1" t="n">
        <v>45586</v>
      </c>
      <c r="D801" t="inlineStr">
        <is>
          <t>VÄSTMANLANDS LÄN</t>
        </is>
      </c>
      <c r="E801" t="inlineStr">
        <is>
          <t>SALA</t>
        </is>
      </c>
      <c r="G801" t="n">
        <v>4.8</v>
      </c>
      <c r="H801" t="n">
        <v>0</v>
      </c>
      <c r="I801" t="n">
        <v>0</v>
      </c>
      <c r="J801" t="n">
        <v>0</v>
      </c>
      <c r="K801" t="n">
        <v>0</v>
      </c>
      <c r="L801" t="n">
        <v>0</v>
      </c>
      <c r="M801" t="n">
        <v>0</v>
      </c>
      <c r="N801" t="n">
        <v>0</v>
      </c>
      <c r="O801" t="n">
        <v>0</v>
      </c>
      <c r="P801" t="n">
        <v>0</v>
      </c>
      <c r="Q801" t="n">
        <v>0</v>
      </c>
      <c r="R801" s="2" t="inlineStr"/>
    </row>
    <row r="802" ht="15" customHeight="1">
      <c r="A802" t="inlineStr">
        <is>
          <t>A 45531-2023</t>
        </is>
      </c>
      <c r="B802" s="1" t="n">
        <v>45194</v>
      </c>
      <c r="C802" s="1" t="n">
        <v>45586</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45602-2023</t>
        </is>
      </c>
      <c r="B803" s="1" t="n">
        <v>45194</v>
      </c>
      <c r="C803" s="1" t="n">
        <v>45586</v>
      </c>
      <c r="D803" t="inlineStr">
        <is>
          <t>VÄSTMANLANDS LÄN</t>
        </is>
      </c>
      <c r="E803" t="inlineStr">
        <is>
          <t>SALA</t>
        </is>
      </c>
      <c r="G803" t="n">
        <v>1.9</v>
      </c>
      <c r="H803" t="n">
        <v>0</v>
      </c>
      <c r="I803" t="n">
        <v>0</v>
      </c>
      <c r="J803" t="n">
        <v>0</v>
      </c>
      <c r="K803" t="n">
        <v>0</v>
      </c>
      <c r="L803" t="n">
        <v>0</v>
      </c>
      <c r="M803" t="n">
        <v>0</v>
      </c>
      <c r="N803" t="n">
        <v>0</v>
      </c>
      <c r="O803" t="n">
        <v>0</v>
      </c>
      <c r="P803" t="n">
        <v>0</v>
      </c>
      <c r="Q803" t="n">
        <v>0</v>
      </c>
      <c r="R803" s="2" t="inlineStr"/>
    </row>
    <row r="804" ht="15" customHeight="1">
      <c r="A804" t="inlineStr">
        <is>
          <t>A 45790-2023</t>
        </is>
      </c>
      <c r="B804" s="1" t="n">
        <v>45195</v>
      </c>
      <c r="C804" s="1" t="n">
        <v>45586</v>
      </c>
      <c r="D804" t="inlineStr">
        <is>
          <t>VÄSTMANLANDS LÄN</t>
        </is>
      </c>
      <c r="E804" t="inlineStr">
        <is>
          <t>SALA</t>
        </is>
      </c>
      <c r="G804" t="n">
        <v>5.7</v>
      </c>
      <c r="H804" t="n">
        <v>0</v>
      </c>
      <c r="I804" t="n">
        <v>0</v>
      </c>
      <c r="J804" t="n">
        <v>0</v>
      </c>
      <c r="K804" t="n">
        <v>0</v>
      </c>
      <c r="L804" t="n">
        <v>0</v>
      </c>
      <c r="M804" t="n">
        <v>0</v>
      </c>
      <c r="N804" t="n">
        <v>0</v>
      </c>
      <c r="O804" t="n">
        <v>0</v>
      </c>
      <c r="P804" t="n">
        <v>0</v>
      </c>
      <c r="Q804" t="n">
        <v>0</v>
      </c>
      <c r="R804" s="2" t="inlineStr"/>
    </row>
    <row r="805" ht="15" customHeight="1">
      <c r="A805" t="inlineStr">
        <is>
          <t>A 46226-2023</t>
        </is>
      </c>
      <c r="B805" s="1" t="n">
        <v>45196</v>
      </c>
      <c r="C805" s="1" t="n">
        <v>45586</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47501-2023</t>
        </is>
      </c>
      <c r="B806" s="1" t="n">
        <v>45202</v>
      </c>
      <c r="C806" s="1" t="n">
        <v>45586</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50876-2023</t>
        </is>
      </c>
      <c r="B807" s="1" t="n">
        <v>45211</v>
      </c>
      <c r="C807" s="1" t="n">
        <v>45586</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50241-2023</t>
        </is>
      </c>
      <c r="B808" s="1" t="n">
        <v>45216</v>
      </c>
      <c r="C808" s="1" t="n">
        <v>45586</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51203-2023</t>
        </is>
      </c>
      <c r="B809" s="1" t="n">
        <v>45219</v>
      </c>
      <c r="C809" s="1" t="n">
        <v>45586</v>
      </c>
      <c r="D809" t="inlineStr">
        <is>
          <t>VÄSTMANLANDS LÄN</t>
        </is>
      </c>
      <c r="E809" t="inlineStr">
        <is>
          <t>SALA</t>
        </is>
      </c>
      <c r="F809" t="inlineStr">
        <is>
          <t>Kommuner</t>
        </is>
      </c>
      <c r="G809" t="n">
        <v>2.7</v>
      </c>
      <c r="H809" t="n">
        <v>0</v>
      </c>
      <c r="I809" t="n">
        <v>0</v>
      </c>
      <c r="J809" t="n">
        <v>0</v>
      </c>
      <c r="K809" t="n">
        <v>0</v>
      </c>
      <c r="L809" t="n">
        <v>0</v>
      </c>
      <c r="M809" t="n">
        <v>0</v>
      </c>
      <c r="N809" t="n">
        <v>0</v>
      </c>
      <c r="O809" t="n">
        <v>0</v>
      </c>
      <c r="P809" t="n">
        <v>0</v>
      </c>
      <c r="Q809" t="n">
        <v>0</v>
      </c>
      <c r="R809" s="2" t="inlineStr"/>
    </row>
    <row r="810" ht="15" customHeight="1">
      <c r="A810" t="inlineStr">
        <is>
          <t>A 51848-2023</t>
        </is>
      </c>
      <c r="B810" s="1" t="n">
        <v>45223</v>
      </c>
      <c r="C810" s="1" t="n">
        <v>45586</v>
      </c>
      <c r="D810" t="inlineStr">
        <is>
          <t>VÄSTMANLANDS LÄN</t>
        </is>
      </c>
      <c r="E810" t="inlineStr">
        <is>
          <t>SALA</t>
        </is>
      </c>
      <c r="G810" t="n">
        <v>7</v>
      </c>
      <c r="H810" t="n">
        <v>0</v>
      </c>
      <c r="I810" t="n">
        <v>0</v>
      </c>
      <c r="J810" t="n">
        <v>0</v>
      </c>
      <c r="K810" t="n">
        <v>0</v>
      </c>
      <c r="L810" t="n">
        <v>0</v>
      </c>
      <c r="M810" t="n">
        <v>0</v>
      </c>
      <c r="N810" t="n">
        <v>0</v>
      </c>
      <c r="O810" t="n">
        <v>0</v>
      </c>
      <c r="P810" t="n">
        <v>0</v>
      </c>
      <c r="Q810" t="n">
        <v>0</v>
      </c>
      <c r="R810" s="2" t="inlineStr"/>
    </row>
    <row r="811" ht="15" customHeight="1">
      <c r="A811" t="inlineStr">
        <is>
          <t>A 52654-2023</t>
        </is>
      </c>
      <c r="B811" s="1" t="n">
        <v>45225</v>
      </c>
      <c r="C811" s="1" t="n">
        <v>45586</v>
      </c>
      <c r="D811" t="inlineStr">
        <is>
          <t>VÄSTMANLANDS LÄN</t>
        </is>
      </c>
      <c r="E811" t="inlineStr">
        <is>
          <t>SALA</t>
        </is>
      </c>
      <c r="G811" t="n">
        <v>4.6</v>
      </c>
      <c r="H811" t="n">
        <v>0</v>
      </c>
      <c r="I811" t="n">
        <v>0</v>
      </c>
      <c r="J811" t="n">
        <v>0</v>
      </c>
      <c r="K811" t="n">
        <v>0</v>
      </c>
      <c r="L811" t="n">
        <v>0</v>
      </c>
      <c r="M811" t="n">
        <v>0</v>
      </c>
      <c r="N811" t="n">
        <v>0</v>
      </c>
      <c r="O811" t="n">
        <v>0</v>
      </c>
      <c r="P811" t="n">
        <v>0</v>
      </c>
      <c r="Q811" t="n">
        <v>0</v>
      </c>
      <c r="R811" s="2" t="inlineStr"/>
    </row>
    <row r="812" ht="15" customHeight="1">
      <c r="A812" t="inlineStr">
        <is>
          <t>A 54910-2023</t>
        </is>
      </c>
      <c r="B812" s="1" t="n">
        <v>45229</v>
      </c>
      <c r="C812" s="1" t="n">
        <v>45586</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55024-2023</t>
        </is>
      </c>
      <c r="B813" s="1" t="n">
        <v>45229</v>
      </c>
      <c r="C813" s="1" t="n">
        <v>45586</v>
      </c>
      <c r="D813" t="inlineStr">
        <is>
          <t>VÄSTMANLANDS LÄN</t>
        </is>
      </c>
      <c r="E813" t="inlineStr">
        <is>
          <t>SALA</t>
        </is>
      </c>
      <c r="G813" t="n">
        <v>0.9</v>
      </c>
      <c r="H813" t="n">
        <v>0</v>
      </c>
      <c r="I813" t="n">
        <v>0</v>
      </c>
      <c r="J813" t="n">
        <v>0</v>
      </c>
      <c r="K813" t="n">
        <v>0</v>
      </c>
      <c r="L813" t="n">
        <v>0</v>
      </c>
      <c r="M813" t="n">
        <v>0</v>
      </c>
      <c r="N813" t="n">
        <v>0</v>
      </c>
      <c r="O813" t="n">
        <v>0</v>
      </c>
      <c r="P813" t="n">
        <v>0</v>
      </c>
      <c r="Q813" t="n">
        <v>0</v>
      </c>
      <c r="R813" s="2" t="inlineStr"/>
    </row>
    <row r="814" ht="15" customHeight="1">
      <c r="A814" t="inlineStr">
        <is>
          <t>A 55032-2023</t>
        </is>
      </c>
      <c r="B814" s="1" t="n">
        <v>45229</v>
      </c>
      <c r="C814" s="1" t="n">
        <v>45586</v>
      </c>
      <c r="D814" t="inlineStr">
        <is>
          <t>VÄSTMANLANDS LÄN</t>
        </is>
      </c>
      <c r="E814" t="inlineStr">
        <is>
          <t>SALA</t>
        </is>
      </c>
      <c r="G814" t="n">
        <v>1.5</v>
      </c>
      <c r="H814" t="n">
        <v>0</v>
      </c>
      <c r="I814" t="n">
        <v>0</v>
      </c>
      <c r="J814" t="n">
        <v>0</v>
      </c>
      <c r="K814" t="n">
        <v>0</v>
      </c>
      <c r="L814" t="n">
        <v>0</v>
      </c>
      <c r="M814" t="n">
        <v>0</v>
      </c>
      <c r="N814" t="n">
        <v>0</v>
      </c>
      <c r="O814" t="n">
        <v>0</v>
      </c>
      <c r="P814" t="n">
        <v>0</v>
      </c>
      <c r="Q814" t="n">
        <v>0</v>
      </c>
      <c r="R814" s="2" t="inlineStr"/>
    </row>
    <row r="815" ht="15" customHeight="1">
      <c r="A815" t="inlineStr">
        <is>
          <t>A 55035-2023</t>
        </is>
      </c>
      <c r="B815" s="1" t="n">
        <v>45229</v>
      </c>
      <c r="C815" s="1" t="n">
        <v>45586</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55040-2023</t>
        </is>
      </c>
      <c r="B816" s="1" t="n">
        <v>45229</v>
      </c>
      <c r="C816" s="1" t="n">
        <v>45586</v>
      </c>
      <c r="D816" t="inlineStr">
        <is>
          <t>VÄSTMANLANDS LÄN</t>
        </is>
      </c>
      <c r="E816" t="inlineStr">
        <is>
          <t>SALA</t>
        </is>
      </c>
      <c r="G816" t="n">
        <v>3.3</v>
      </c>
      <c r="H816" t="n">
        <v>0</v>
      </c>
      <c r="I816" t="n">
        <v>0</v>
      </c>
      <c r="J816" t="n">
        <v>0</v>
      </c>
      <c r="K816" t="n">
        <v>0</v>
      </c>
      <c r="L816" t="n">
        <v>0</v>
      </c>
      <c r="M816" t="n">
        <v>0</v>
      </c>
      <c r="N816" t="n">
        <v>0</v>
      </c>
      <c r="O816" t="n">
        <v>0</v>
      </c>
      <c r="P816" t="n">
        <v>0</v>
      </c>
      <c r="Q816" t="n">
        <v>0</v>
      </c>
      <c r="R816" s="2" t="inlineStr"/>
    </row>
    <row r="817" ht="15" customHeight="1">
      <c r="A817" t="inlineStr">
        <is>
          <t>A 53877-2023</t>
        </is>
      </c>
      <c r="B817" s="1" t="n">
        <v>45231</v>
      </c>
      <c r="C817" s="1" t="n">
        <v>45586</v>
      </c>
      <c r="D817" t="inlineStr">
        <is>
          <t>VÄSTMANLANDS LÄN</t>
        </is>
      </c>
      <c r="E817" t="inlineStr">
        <is>
          <t>SALA</t>
        </is>
      </c>
      <c r="G817" t="n">
        <v>3.2</v>
      </c>
      <c r="H817" t="n">
        <v>0</v>
      </c>
      <c r="I817" t="n">
        <v>0</v>
      </c>
      <c r="J817" t="n">
        <v>0</v>
      </c>
      <c r="K817" t="n">
        <v>0</v>
      </c>
      <c r="L817" t="n">
        <v>0</v>
      </c>
      <c r="M817" t="n">
        <v>0</v>
      </c>
      <c r="N817" t="n">
        <v>0</v>
      </c>
      <c r="O817" t="n">
        <v>0</v>
      </c>
      <c r="P817" t="n">
        <v>0</v>
      </c>
      <c r="Q817" t="n">
        <v>0</v>
      </c>
      <c r="R817" s="2" t="inlineStr"/>
    </row>
    <row r="818" ht="15" customHeight="1">
      <c r="A818" t="inlineStr">
        <is>
          <t>A 53951-2023</t>
        </is>
      </c>
      <c r="B818" s="1" t="n">
        <v>45231</v>
      </c>
      <c r="C818" s="1" t="n">
        <v>45586</v>
      </c>
      <c r="D818" t="inlineStr">
        <is>
          <t>VÄSTMANLANDS LÄN</t>
        </is>
      </c>
      <c r="E818" t="inlineStr">
        <is>
          <t>SALA</t>
        </is>
      </c>
      <c r="F818" t="inlineStr">
        <is>
          <t>Kommuner</t>
        </is>
      </c>
      <c r="G818" t="n">
        <v>8.4</v>
      </c>
      <c r="H818" t="n">
        <v>0</v>
      </c>
      <c r="I818" t="n">
        <v>0</v>
      </c>
      <c r="J818" t="n">
        <v>0</v>
      </c>
      <c r="K818" t="n">
        <v>0</v>
      </c>
      <c r="L818" t="n">
        <v>0</v>
      </c>
      <c r="M818" t="n">
        <v>0</v>
      </c>
      <c r="N818" t="n">
        <v>0</v>
      </c>
      <c r="O818" t="n">
        <v>0</v>
      </c>
      <c r="P818" t="n">
        <v>0</v>
      </c>
      <c r="Q818" t="n">
        <v>0</v>
      </c>
      <c r="R818" s="2" t="inlineStr"/>
      <c r="U818">
        <f>HYPERLINK("https://klasma.github.io/Logging_1981/knärot/A 53951-2023 karta knärot.png", "A 53951-2023")</f>
        <v/>
      </c>
      <c r="V818">
        <f>HYPERLINK("https://klasma.github.io/Logging_1981/klagomål/A 53951-2023 FSC-klagomål.docx", "A 53951-2023")</f>
        <v/>
      </c>
      <c r="W818">
        <f>HYPERLINK("https://klasma.github.io/Logging_1981/klagomålsmail/A 53951-2023 FSC-klagomål mail.docx", "A 53951-2023")</f>
        <v/>
      </c>
      <c r="X818">
        <f>HYPERLINK("https://klasma.github.io/Logging_1981/tillsyn/A 53951-2023 tillsynsbegäran.docx", "A 53951-2023")</f>
        <v/>
      </c>
      <c r="Y818">
        <f>HYPERLINK("https://klasma.github.io/Logging_1981/tillsynsmail/A 53951-2023 tillsynsbegäran mail.docx", "A 53951-2023")</f>
        <v/>
      </c>
    </row>
    <row r="819" ht="15" customHeight="1">
      <c r="A819" t="inlineStr">
        <is>
          <t>A 54125-2023</t>
        </is>
      </c>
      <c r="B819" s="1" t="n">
        <v>45232</v>
      </c>
      <c r="C819" s="1" t="n">
        <v>45586</v>
      </c>
      <c r="D819" t="inlineStr">
        <is>
          <t>VÄSTMANLANDS LÄN</t>
        </is>
      </c>
      <c r="E819" t="inlineStr">
        <is>
          <t>SALA</t>
        </is>
      </c>
      <c r="G819" t="n">
        <v>3.7</v>
      </c>
      <c r="H819" t="n">
        <v>0</v>
      </c>
      <c r="I819" t="n">
        <v>0</v>
      </c>
      <c r="J819" t="n">
        <v>0</v>
      </c>
      <c r="K819" t="n">
        <v>0</v>
      </c>
      <c r="L819" t="n">
        <v>0</v>
      </c>
      <c r="M819" t="n">
        <v>0</v>
      </c>
      <c r="N819" t="n">
        <v>0</v>
      </c>
      <c r="O819" t="n">
        <v>0</v>
      </c>
      <c r="P819" t="n">
        <v>0</v>
      </c>
      <c r="Q819" t="n">
        <v>0</v>
      </c>
      <c r="R819" s="2" t="inlineStr"/>
    </row>
    <row r="820" ht="15" customHeight="1">
      <c r="A820" t="inlineStr">
        <is>
          <t>A 54114-2023</t>
        </is>
      </c>
      <c r="B820" s="1" t="n">
        <v>45232</v>
      </c>
      <c r="C820" s="1" t="n">
        <v>45586</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54118-2023</t>
        </is>
      </c>
      <c r="B821" s="1" t="n">
        <v>45232</v>
      </c>
      <c r="C821" s="1" t="n">
        <v>45586</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55556-2023</t>
        </is>
      </c>
      <c r="B822" s="1" t="n">
        <v>45232</v>
      </c>
      <c r="C822" s="1" t="n">
        <v>45586</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56057-2023</t>
        </is>
      </c>
      <c r="B823" s="1" t="n">
        <v>45233</v>
      </c>
      <c r="C823" s="1" t="n">
        <v>45586</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56064-2023</t>
        </is>
      </c>
      <c r="B824" s="1" t="n">
        <v>45233</v>
      </c>
      <c r="C824" s="1" t="n">
        <v>45586</v>
      </c>
      <c r="D824" t="inlineStr">
        <is>
          <t>VÄSTMANLANDS LÄN</t>
        </is>
      </c>
      <c r="E824" t="inlineStr">
        <is>
          <t>SALA</t>
        </is>
      </c>
      <c r="G824" t="n">
        <v>0.8</v>
      </c>
      <c r="H824" t="n">
        <v>0</v>
      </c>
      <c r="I824" t="n">
        <v>0</v>
      </c>
      <c r="J824" t="n">
        <v>0</v>
      </c>
      <c r="K824" t="n">
        <v>0</v>
      </c>
      <c r="L824" t="n">
        <v>0</v>
      </c>
      <c r="M824" t="n">
        <v>0</v>
      </c>
      <c r="N824" t="n">
        <v>0</v>
      </c>
      <c r="O824" t="n">
        <v>0</v>
      </c>
      <c r="P824" t="n">
        <v>0</v>
      </c>
      <c r="Q824" t="n">
        <v>0</v>
      </c>
      <c r="R824" s="2" t="inlineStr"/>
    </row>
    <row r="825" ht="15" customHeight="1">
      <c r="A825" t="inlineStr">
        <is>
          <t>A 55504-2023</t>
        </is>
      </c>
      <c r="B825" s="1" t="n">
        <v>45238</v>
      </c>
      <c r="C825" s="1" t="n">
        <v>45586</v>
      </c>
      <c r="D825" t="inlineStr">
        <is>
          <t>VÄSTMANLANDS LÄN</t>
        </is>
      </c>
      <c r="E825" t="inlineStr">
        <is>
          <t>SALA</t>
        </is>
      </c>
      <c r="G825" t="n">
        <v>4</v>
      </c>
      <c r="H825" t="n">
        <v>0</v>
      </c>
      <c r="I825" t="n">
        <v>0</v>
      </c>
      <c r="J825" t="n">
        <v>0</v>
      </c>
      <c r="K825" t="n">
        <v>0</v>
      </c>
      <c r="L825" t="n">
        <v>0</v>
      </c>
      <c r="M825" t="n">
        <v>0</v>
      </c>
      <c r="N825" t="n">
        <v>0</v>
      </c>
      <c r="O825" t="n">
        <v>0</v>
      </c>
      <c r="P825" t="n">
        <v>0</v>
      </c>
      <c r="Q825" t="n">
        <v>0</v>
      </c>
      <c r="R825" s="2" t="inlineStr"/>
    </row>
    <row r="826" ht="15" customHeight="1">
      <c r="A826" t="inlineStr">
        <is>
          <t>A 55474-2023</t>
        </is>
      </c>
      <c r="B826" s="1" t="n">
        <v>45238</v>
      </c>
      <c r="C826" s="1" t="n">
        <v>45586</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56956-2023</t>
        </is>
      </c>
      <c r="B827" s="1" t="n">
        <v>45244</v>
      </c>
      <c r="C827" s="1" t="n">
        <v>45586</v>
      </c>
      <c r="D827" t="inlineStr">
        <is>
          <t>VÄSTMANLANDS LÄN</t>
        </is>
      </c>
      <c r="E827" t="inlineStr">
        <is>
          <t>SALA</t>
        </is>
      </c>
      <c r="G827" t="n">
        <v>6.5</v>
      </c>
      <c r="H827" t="n">
        <v>0</v>
      </c>
      <c r="I827" t="n">
        <v>0</v>
      </c>
      <c r="J827" t="n">
        <v>0</v>
      </c>
      <c r="K827" t="n">
        <v>0</v>
      </c>
      <c r="L827" t="n">
        <v>0</v>
      </c>
      <c r="M827" t="n">
        <v>0</v>
      </c>
      <c r="N827" t="n">
        <v>0</v>
      </c>
      <c r="O827" t="n">
        <v>0</v>
      </c>
      <c r="P827" t="n">
        <v>0</v>
      </c>
      <c r="Q827" t="n">
        <v>0</v>
      </c>
      <c r="R827" s="2" t="inlineStr"/>
    </row>
    <row r="828" ht="15" customHeight="1">
      <c r="A828" t="inlineStr">
        <is>
          <t>A 56949-2023</t>
        </is>
      </c>
      <c r="B828" s="1" t="n">
        <v>45244</v>
      </c>
      <c r="C828" s="1" t="n">
        <v>45586</v>
      </c>
      <c r="D828" t="inlineStr">
        <is>
          <t>VÄSTMANLANDS LÄN</t>
        </is>
      </c>
      <c r="E828" t="inlineStr">
        <is>
          <t>SALA</t>
        </is>
      </c>
      <c r="G828" t="n">
        <v>4.7</v>
      </c>
      <c r="H828" t="n">
        <v>0</v>
      </c>
      <c r="I828" t="n">
        <v>0</v>
      </c>
      <c r="J828" t="n">
        <v>0</v>
      </c>
      <c r="K828" t="n">
        <v>0</v>
      </c>
      <c r="L828" t="n">
        <v>0</v>
      </c>
      <c r="M828" t="n">
        <v>0</v>
      </c>
      <c r="N828" t="n">
        <v>0</v>
      </c>
      <c r="O828" t="n">
        <v>0</v>
      </c>
      <c r="P828" t="n">
        <v>0</v>
      </c>
      <c r="Q828" t="n">
        <v>0</v>
      </c>
      <c r="R828" s="2" t="inlineStr"/>
    </row>
    <row r="829" ht="15" customHeight="1">
      <c r="A829" t="inlineStr">
        <is>
          <t>A 56964-2023</t>
        </is>
      </c>
      <c r="B829" s="1" t="n">
        <v>45244</v>
      </c>
      <c r="C829" s="1" t="n">
        <v>45586</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58028-2023</t>
        </is>
      </c>
      <c r="B830" s="1" t="n">
        <v>45247</v>
      </c>
      <c r="C830" s="1" t="n">
        <v>45586</v>
      </c>
      <c r="D830" t="inlineStr">
        <is>
          <t>VÄSTMANLANDS LÄN</t>
        </is>
      </c>
      <c r="E830" t="inlineStr">
        <is>
          <t>SALA</t>
        </is>
      </c>
      <c r="G830" t="n">
        <v>19.6</v>
      </c>
      <c r="H830" t="n">
        <v>0</v>
      </c>
      <c r="I830" t="n">
        <v>0</v>
      </c>
      <c r="J830" t="n">
        <v>0</v>
      </c>
      <c r="K830" t="n">
        <v>0</v>
      </c>
      <c r="L830" t="n">
        <v>0</v>
      </c>
      <c r="M830" t="n">
        <v>0</v>
      </c>
      <c r="N830" t="n">
        <v>0</v>
      </c>
      <c r="O830" t="n">
        <v>0</v>
      </c>
      <c r="P830" t="n">
        <v>0</v>
      </c>
      <c r="Q830" t="n">
        <v>0</v>
      </c>
      <c r="R830" s="2" t="inlineStr"/>
    </row>
    <row r="831" ht="15" customHeight="1">
      <c r="A831" t="inlineStr">
        <is>
          <t>A 58113-2023</t>
        </is>
      </c>
      <c r="B831" s="1" t="n">
        <v>45249</v>
      </c>
      <c r="C831" s="1" t="n">
        <v>45586</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58271-2023</t>
        </is>
      </c>
      <c r="B832" s="1" t="n">
        <v>45250</v>
      </c>
      <c r="C832" s="1" t="n">
        <v>45586</v>
      </c>
      <c r="D832" t="inlineStr">
        <is>
          <t>VÄSTMANLANDS LÄN</t>
        </is>
      </c>
      <c r="E832" t="inlineStr">
        <is>
          <t>SALA</t>
        </is>
      </c>
      <c r="G832" t="n">
        <v>5.2</v>
      </c>
      <c r="H832" t="n">
        <v>0</v>
      </c>
      <c r="I832" t="n">
        <v>0</v>
      </c>
      <c r="J832" t="n">
        <v>0</v>
      </c>
      <c r="K832" t="n">
        <v>0</v>
      </c>
      <c r="L832" t="n">
        <v>0</v>
      </c>
      <c r="M832" t="n">
        <v>0</v>
      </c>
      <c r="N832" t="n">
        <v>0</v>
      </c>
      <c r="O832" t="n">
        <v>0</v>
      </c>
      <c r="P832" t="n">
        <v>0</v>
      </c>
      <c r="Q832" t="n">
        <v>0</v>
      </c>
      <c r="R832" s="2" t="inlineStr"/>
    </row>
    <row r="833" ht="15" customHeight="1">
      <c r="A833" t="inlineStr">
        <is>
          <t>A 58920-2023</t>
        </is>
      </c>
      <c r="B833" s="1" t="n">
        <v>45252</v>
      </c>
      <c r="C833" s="1" t="n">
        <v>45586</v>
      </c>
      <c r="D833" t="inlineStr">
        <is>
          <t>VÄSTMANLANDS LÄN</t>
        </is>
      </c>
      <c r="E833" t="inlineStr">
        <is>
          <t>SALA</t>
        </is>
      </c>
      <c r="G833" t="n">
        <v>2.4</v>
      </c>
      <c r="H833" t="n">
        <v>0</v>
      </c>
      <c r="I833" t="n">
        <v>0</v>
      </c>
      <c r="J833" t="n">
        <v>0</v>
      </c>
      <c r="K833" t="n">
        <v>0</v>
      </c>
      <c r="L833" t="n">
        <v>0</v>
      </c>
      <c r="M833" t="n">
        <v>0</v>
      </c>
      <c r="N833" t="n">
        <v>0</v>
      </c>
      <c r="O833" t="n">
        <v>0</v>
      </c>
      <c r="P833" t="n">
        <v>0</v>
      </c>
      <c r="Q833" t="n">
        <v>0</v>
      </c>
      <c r="R833" s="2" t="inlineStr"/>
    </row>
    <row r="834" ht="15" customHeight="1">
      <c r="A834" t="inlineStr">
        <is>
          <t>A 58823-2023</t>
        </is>
      </c>
      <c r="B834" s="1" t="n">
        <v>45252</v>
      </c>
      <c r="C834" s="1" t="n">
        <v>45586</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59297-2023</t>
        </is>
      </c>
      <c r="B835" s="1" t="n">
        <v>45253</v>
      </c>
      <c r="C835" s="1" t="n">
        <v>45586</v>
      </c>
      <c r="D835" t="inlineStr">
        <is>
          <t>VÄSTMANLANDS LÄN</t>
        </is>
      </c>
      <c r="E835" t="inlineStr">
        <is>
          <t>SALA</t>
        </is>
      </c>
      <c r="G835" t="n">
        <v>2</v>
      </c>
      <c r="H835" t="n">
        <v>0</v>
      </c>
      <c r="I835" t="n">
        <v>0</v>
      </c>
      <c r="J835" t="n">
        <v>0</v>
      </c>
      <c r="K835" t="n">
        <v>0</v>
      </c>
      <c r="L835" t="n">
        <v>0</v>
      </c>
      <c r="M835" t="n">
        <v>0</v>
      </c>
      <c r="N835" t="n">
        <v>0</v>
      </c>
      <c r="O835" t="n">
        <v>0</v>
      </c>
      <c r="P835" t="n">
        <v>0</v>
      </c>
      <c r="Q835" t="n">
        <v>0</v>
      </c>
      <c r="R835" s="2" t="inlineStr"/>
    </row>
    <row r="836" ht="15" customHeight="1">
      <c r="A836" t="inlineStr">
        <is>
          <t>A 59713-2023</t>
        </is>
      </c>
      <c r="B836" s="1" t="n">
        <v>45257</v>
      </c>
      <c r="C836" s="1" t="n">
        <v>45586</v>
      </c>
      <c r="D836" t="inlineStr">
        <is>
          <t>VÄSTMANLANDS LÄN</t>
        </is>
      </c>
      <c r="E836" t="inlineStr">
        <is>
          <t>SALA</t>
        </is>
      </c>
      <c r="G836" t="n">
        <v>1.2</v>
      </c>
      <c r="H836" t="n">
        <v>0</v>
      </c>
      <c r="I836" t="n">
        <v>0</v>
      </c>
      <c r="J836" t="n">
        <v>0</v>
      </c>
      <c r="K836" t="n">
        <v>0</v>
      </c>
      <c r="L836" t="n">
        <v>0</v>
      </c>
      <c r="M836" t="n">
        <v>0</v>
      </c>
      <c r="N836" t="n">
        <v>0</v>
      </c>
      <c r="O836" t="n">
        <v>0</v>
      </c>
      <c r="P836" t="n">
        <v>0</v>
      </c>
      <c r="Q836" t="n">
        <v>0</v>
      </c>
      <c r="R836" s="2" t="inlineStr"/>
    </row>
    <row r="837" ht="15" customHeight="1">
      <c r="A837" t="inlineStr">
        <is>
          <t>A 59785-2023</t>
        </is>
      </c>
      <c r="B837" s="1" t="n">
        <v>45257</v>
      </c>
      <c r="C837" s="1" t="n">
        <v>45586</v>
      </c>
      <c r="D837" t="inlineStr">
        <is>
          <t>VÄSTMANLANDS LÄN</t>
        </is>
      </c>
      <c r="E837" t="inlineStr">
        <is>
          <t>SALA</t>
        </is>
      </c>
      <c r="G837" t="n">
        <v>2.2</v>
      </c>
      <c r="H837" t="n">
        <v>0</v>
      </c>
      <c r="I837" t="n">
        <v>0</v>
      </c>
      <c r="J837" t="n">
        <v>0</v>
      </c>
      <c r="K837" t="n">
        <v>0</v>
      </c>
      <c r="L837" t="n">
        <v>0</v>
      </c>
      <c r="M837" t="n">
        <v>0</v>
      </c>
      <c r="N837" t="n">
        <v>0</v>
      </c>
      <c r="O837" t="n">
        <v>0</v>
      </c>
      <c r="P837" t="n">
        <v>0</v>
      </c>
      <c r="Q837" t="n">
        <v>0</v>
      </c>
      <c r="R837" s="2" t="inlineStr"/>
    </row>
    <row r="838" ht="15" customHeight="1">
      <c r="A838" t="inlineStr">
        <is>
          <t>A 60249-2023</t>
        </is>
      </c>
      <c r="B838" s="1" t="n">
        <v>45258</v>
      </c>
      <c r="C838" s="1" t="n">
        <v>45586</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60731-2023</t>
        </is>
      </c>
      <c r="B839" s="1" t="n">
        <v>45260</v>
      </c>
      <c r="C839" s="1" t="n">
        <v>45586</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60730-2023</t>
        </is>
      </c>
      <c r="B840" s="1" t="n">
        <v>45260</v>
      </c>
      <c r="C840" s="1" t="n">
        <v>45586</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61525-2023</t>
        </is>
      </c>
      <c r="B841" s="1" t="n">
        <v>45265</v>
      </c>
      <c r="C841" s="1" t="n">
        <v>45586</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62449-2023</t>
        </is>
      </c>
      <c r="B842" s="1" t="n">
        <v>45268</v>
      </c>
      <c r="C842" s="1" t="n">
        <v>45586</v>
      </c>
      <c r="D842" t="inlineStr">
        <is>
          <t>VÄSTMANLANDS LÄN</t>
        </is>
      </c>
      <c r="E842" t="inlineStr">
        <is>
          <t>SALA</t>
        </is>
      </c>
      <c r="G842" t="n">
        <v>0.5</v>
      </c>
      <c r="H842" t="n">
        <v>0</v>
      </c>
      <c r="I842" t="n">
        <v>0</v>
      </c>
      <c r="J842" t="n">
        <v>0</v>
      </c>
      <c r="K842" t="n">
        <v>0</v>
      </c>
      <c r="L842" t="n">
        <v>0</v>
      </c>
      <c r="M842" t="n">
        <v>0</v>
      </c>
      <c r="N842" t="n">
        <v>0</v>
      </c>
      <c r="O842" t="n">
        <v>0</v>
      </c>
      <c r="P842" t="n">
        <v>0</v>
      </c>
      <c r="Q842" t="n">
        <v>0</v>
      </c>
      <c r="R842" s="2" t="inlineStr"/>
    </row>
    <row r="843" ht="15" customHeight="1">
      <c r="A843" t="inlineStr">
        <is>
          <t>A 62630-2023</t>
        </is>
      </c>
      <c r="B843" s="1" t="n">
        <v>45271</v>
      </c>
      <c r="C843" s="1" t="n">
        <v>45586</v>
      </c>
      <c r="D843" t="inlineStr">
        <is>
          <t>VÄSTMANLANDS LÄN</t>
        </is>
      </c>
      <c r="E843" t="inlineStr">
        <is>
          <t>SALA</t>
        </is>
      </c>
      <c r="G843" t="n">
        <v>1.5</v>
      </c>
      <c r="H843" t="n">
        <v>0</v>
      </c>
      <c r="I843" t="n">
        <v>0</v>
      </c>
      <c r="J843" t="n">
        <v>0</v>
      </c>
      <c r="K843" t="n">
        <v>0</v>
      </c>
      <c r="L843" t="n">
        <v>0</v>
      </c>
      <c r="M843" t="n">
        <v>0</v>
      </c>
      <c r="N843" t="n">
        <v>0</v>
      </c>
      <c r="O843" t="n">
        <v>0</v>
      </c>
      <c r="P843" t="n">
        <v>0</v>
      </c>
      <c r="Q843" t="n">
        <v>0</v>
      </c>
      <c r="R843" s="2" t="inlineStr"/>
    </row>
    <row r="844" ht="15" customHeight="1">
      <c r="A844" t="inlineStr">
        <is>
          <t>A 63234-2023</t>
        </is>
      </c>
      <c r="B844" s="1" t="n">
        <v>45273</v>
      </c>
      <c r="C844" s="1" t="n">
        <v>45586</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63274-2023</t>
        </is>
      </c>
      <c r="B845" s="1" t="n">
        <v>45273</v>
      </c>
      <c r="C845" s="1" t="n">
        <v>45586</v>
      </c>
      <c r="D845" t="inlineStr">
        <is>
          <t>VÄSTMANLANDS LÄN</t>
        </is>
      </c>
      <c r="E845" t="inlineStr">
        <is>
          <t>SALA</t>
        </is>
      </c>
      <c r="G845" t="n">
        <v>2.1</v>
      </c>
      <c r="H845" t="n">
        <v>0</v>
      </c>
      <c r="I845" t="n">
        <v>0</v>
      </c>
      <c r="J845" t="n">
        <v>0</v>
      </c>
      <c r="K845" t="n">
        <v>0</v>
      </c>
      <c r="L845" t="n">
        <v>0</v>
      </c>
      <c r="M845" t="n">
        <v>0</v>
      </c>
      <c r="N845" t="n">
        <v>0</v>
      </c>
      <c r="O845" t="n">
        <v>0</v>
      </c>
      <c r="P845" t="n">
        <v>0</v>
      </c>
      <c r="Q845" t="n">
        <v>0</v>
      </c>
      <c r="R845" s="2" t="inlineStr"/>
    </row>
    <row r="846" ht="15" customHeight="1">
      <c r="A846" t="inlineStr">
        <is>
          <t>A 63466-2023</t>
        </is>
      </c>
      <c r="B846" s="1" t="n">
        <v>45274</v>
      </c>
      <c r="C846" s="1" t="n">
        <v>45586</v>
      </c>
      <c r="D846" t="inlineStr">
        <is>
          <t>VÄSTMANLANDS LÄN</t>
        </is>
      </c>
      <c r="E846" t="inlineStr">
        <is>
          <t>SALA</t>
        </is>
      </c>
      <c r="G846" t="n">
        <v>2.9</v>
      </c>
      <c r="H846" t="n">
        <v>0</v>
      </c>
      <c r="I846" t="n">
        <v>0</v>
      </c>
      <c r="J846" t="n">
        <v>0</v>
      </c>
      <c r="K846" t="n">
        <v>0</v>
      </c>
      <c r="L846" t="n">
        <v>0</v>
      </c>
      <c r="M846" t="n">
        <v>0</v>
      </c>
      <c r="N846" t="n">
        <v>0</v>
      </c>
      <c r="O846" t="n">
        <v>0</v>
      </c>
      <c r="P846" t="n">
        <v>0</v>
      </c>
      <c r="Q846" t="n">
        <v>0</v>
      </c>
      <c r="R846" s="2" t="inlineStr"/>
    </row>
    <row r="847" ht="15" customHeight="1">
      <c r="A847" t="inlineStr">
        <is>
          <t>A 63564-2023</t>
        </is>
      </c>
      <c r="B847" s="1" t="n">
        <v>45275</v>
      </c>
      <c r="C847" s="1" t="n">
        <v>45586</v>
      </c>
      <c r="D847" t="inlineStr">
        <is>
          <t>VÄSTMANLANDS LÄN</t>
        </is>
      </c>
      <c r="E847" t="inlineStr">
        <is>
          <t>SALA</t>
        </is>
      </c>
      <c r="G847" t="n">
        <v>3.6</v>
      </c>
      <c r="H847" t="n">
        <v>0</v>
      </c>
      <c r="I847" t="n">
        <v>0</v>
      </c>
      <c r="J847" t="n">
        <v>0</v>
      </c>
      <c r="K847" t="n">
        <v>0</v>
      </c>
      <c r="L847" t="n">
        <v>0</v>
      </c>
      <c r="M847" t="n">
        <v>0</v>
      </c>
      <c r="N847" t="n">
        <v>0</v>
      </c>
      <c r="O847" t="n">
        <v>0</v>
      </c>
      <c r="P847" t="n">
        <v>0</v>
      </c>
      <c r="Q847" t="n">
        <v>0</v>
      </c>
      <c r="R847" s="2" t="inlineStr"/>
    </row>
    <row r="848" ht="15" customHeight="1">
      <c r="A848" t="inlineStr">
        <is>
          <t>A 63905-2023</t>
        </is>
      </c>
      <c r="B848" s="1" t="n">
        <v>45278</v>
      </c>
      <c r="C848" s="1" t="n">
        <v>45586</v>
      </c>
      <c r="D848" t="inlineStr">
        <is>
          <t>VÄSTMANLANDS LÄN</t>
        </is>
      </c>
      <c r="E848" t="inlineStr">
        <is>
          <t>SALA</t>
        </is>
      </c>
      <c r="G848" t="n">
        <v>4.1</v>
      </c>
      <c r="H848" t="n">
        <v>0</v>
      </c>
      <c r="I848" t="n">
        <v>0</v>
      </c>
      <c r="J848" t="n">
        <v>0</v>
      </c>
      <c r="K848" t="n">
        <v>0</v>
      </c>
      <c r="L848" t="n">
        <v>0</v>
      </c>
      <c r="M848" t="n">
        <v>0</v>
      </c>
      <c r="N848" t="n">
        <v>0</v>
      </c>
      <c r="O848" t="n">
        <v>0</v>
      </c>
      <c r="P848" t="n">
        <v>0</v>
      </c>
      <c r="Q848" t="n">
        <v>0</v>
      </c>
      <c r="R848" s="2" t="inlineStr"/>
    </row>
    <row r="849" ht="15" customHeight="1">
      <c r="A849" t="inlineStr">
        <is>
          <t>A 63933-2023</t>
        </is>
      </c>
      <c r="B849" s="1" t="n">
        <v>45278</v>
      </c>
      <c r="C849" s="1" t="n">
        <v>45586</v>
      </c>
      <c r="D849" t="inlineStr">
        <is>
          <t>VÄSTMANLANDS LÄN</t>
        </is>
      </c>
      <c r="E849" t="inlineStr">
        <is>
          <t>SALA</t>
        </is>
      </c>
      <c r="G849" t="n">
        <v>1.4</v>
      </c>
      <c r="H849" t="n">
        <v>0</v>
      </c>
      <c r="I849" t="n">
        <v>0</v>
      </c>
      <c r="J849" t="n">
        <v>0</v>
      </c>
      <c r="K849" t="n">
        <v>0</v>
      </c>
      <c r="L849" t="n">
        <v>0</v>
      </c>
      <c r="M849" t="n">
        <v>0</v>
      </c>
      <c r="N849" t="n">
        <v>0</v>
      </c>
      <c r="O849" t="n">
        <v>0</v>
      </c>
      <c r="P849" t="n">
        <v>0</v>
      </c>
      <c r="Q849" t="n">
        <v>0</v>
      </c>
      <c r="R849" s="2" t="inlineStr"/>
    </row>
    <row r="850" ht="15" customHeight="1">
      <c r="A850" t="inlineStr">
        <is>
          <t>A 64109-2023</t>
        </is>
      </c>
      <c r="B850" s="1" t="n">
        <v>45279</v>
      </c>
      <c r="C850" s="1" t="n">
        <v>45586</v>
      </c>
      <c r="D850" t="inlineStr">
        <is>
          <t>VÄSTMANLANDS LÄN</t>
        </is>
      </c>
      <c r="E850" t="inlineStr">
        <is>
          <t>SALA</t>
        </is>
      </c>
      <c r="G850" t="n">
        <v>3.7</v>
      </c>
      <c r="H850" t="n">
        <v>0</v>
      </c>
      <c r="I850" t="n">
        <v>0</v>
      </c>
      <c r="J850" t="n">
        <v>0</v>
      </c>
      <c r="K850" t="n">
        <v>0</v>
      </c>
      <c r="L850" t="n">
        <v>0</v>
      </c>
      <c r="M850" t="n">
        <v>0</v>
      </c>
      <c r="N850" t="n">
        <v>0</v>
      </c>
      <c r="O850" t="n">
        <v>0</v>
      </c>
      <c r="P850" t="n">
        <v>0</v>
      </c>
      <c r="Q850" t="n">
        <v>0</v>
      </c>
      <c r="R850" s="2" t="inlineStr"/>
    </row>
    <row r="851" ht="15" customHeight="1">
      <c r="A851" t="inlineStr">
        <is>
          <t>A 64123-2023</t>
        </is>
      </c>
      <c r="B851" s="1" t="n">
        <v>45279</v>
      </c>
      <c r="C851" s="1" t="n">
        <v>45586</v>
      </c>
      <c r="D851" t="inlineStr">
        <is>
          <t>VÄSTMANLANDS LÄN</t>
        </is>
      </c>
      <c r="E851" t="inlineStr">
        <is>
          <t>SALA</t>
        </is>
      </c>
      <c r="G851" t="n">
        <v>4</v>
      </c>
      <c r="H851" t="n">
        <v>0</v>
      </c>
      <c r="I851" t="n">
        <v>0</v>
      </c>
      <c r="J851" t="n">
        <v>0</v>
      </c>
      <c r="K851" t="n">
        <v>0</v>
      </c>
      <c r="L851" t="n">
        <v>0</v>
      </c>
      <c r="M851" t="n">
        <v>0</v>
      </c>
      <c r="N851" t="n">
        <v>0</v>
      </c>
      <c r="O851" t="n">
        <v>0</v>
      </c>
      <c r="P851" t="n">
        <v>0</v>
      </c>
      <c r="Q851" t="n">
        <v>0</v>
      </c>
      <c r="R851" s="2" t="inlineStr"/>
    </row>
    <row r="852" ht="15" customHeight="1">
      <c r="A852" t="inlineStr">
        <is>
          <t>A 64693-2023</t>
        </is>
      </c>
      <c r="B852" s="1" t="n">
        <v>45281</v>
      </c>
      <c r="C852" s="1" t="n">
        <v>45586</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64729-2023</t>
        </is>
      </c>
      <c r="B853" s="1" t="n">
        <v>45281</v>
      </c>
      <c r="C853" s="1" t="n">
        <v>45586</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64724-2023</t>
        </is>
      </c>
      <c r="B854" s="1" t="n">
        <v>45281</v>
      </c>
      <c r="C854" s="1" t="n">
        <v>45586</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64692-2023</t>
        </is>
      </c>
      <c r="B855" s="1" t="n">
        <v>45281</v>
      </c>
      <c r="C855" s="1" t="n">
        <v>45586</v>
      </c>
      <c r="D855" t="inlineStr">
        <is>
          <t>VÄSTMANLANDS LÄN</t>
        </is>
      </c>
      <c r="E855" t="inlineStr">
        <is>
          <t>SALA</t>
        </is>
      </c>
      <c r="G855" t="n">
        <v>1.7</v>
      </c>
      <c r="H855" t="n">
        <v>0</v>
      </c>
      <c r="I855" t="n">
        <v>0</v>
      </c>
      <c r="J855" t="n">
        <v>0</v>
      </c>
      <c r="K855" t="n">
        <v>0</v>
      </c>
      <c r="L855" t="n">
        <v>0</v>
      </c>
      <c r="M855" t="n">
        <v>0</v>
      </c>
      <c r="N855" t="n">
        <v>0</v>
      </c>
      <c r="O855" t="n">
        <v>0</v>
      </c>
      <c r="P855" t="n">
        <v>0</v>
      </c>
      <c r="Q855" t="n">
        <v>0</v>
      </c>
      <c r="R855" s="2" t="inlineStr"/>
    </row>
    <row r="856" ht="15" customHeight="1">
      <c r="A856" t="inlineStr">
        <is>
          <t>A 64687-2023</t>
        </is>
      </c>
      <c r="B856" s="1" t="n">
        <v>45281</v>
      </c>
      <c r="C856" s="1" t="n">
        <v>45586</v>
      </c>
      <c r="D856" t="inlineStr">
        <is>
          <t>VÄSTMANLANDS LÄN</t>
        </is>
      </c>
      <c r="E856" t="inlineStr">
        <is>
          <t>SALA</t>
        </is>
      </c>
      <c r="G856" t="n">
        <v>2.8</v>
      </c>
      <c r="H856" t="n">
        <v>0</v>
      </c>
      <c r="I856" t="n">
        <v>0</v>
      </c>
      <c r="J856" t="n">
        <v>0</v>
      </c>
      <c r="K856" t="n">
        <v>0</v>
      </c>
      <c r="L856" t="n">
        <v>0</v>
      </c>
      <c r="M856" t="n">
        <v>0</v>
      </c>
      <c r="N856" t="n">
        <v>0</v>
      </c>
      <c r="O856" t="n">
        <v>0</v>
      </c>
      <c r="P856" t="n">
        <v>0</v>
      </c>
      <c r="Q856" t="n">
        <v>0</v>
      </c>
      <c r="R856" s="2" t="inlineStr"/>
    </row>
    <row r="857" ht="15" customHeight="1">
      <c r="A857" t="inlineStr">
        <is>
          <t>A 64695-2023</t>
        </is>
      </c>
      <c r="B857" s="1" t="n">
        <v>45281</v>
      </c>
      <c r="C857" s="1" t="n">
        <v>45586</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64925-2023</t>
        </is>
      </c>
      <c r="B858" s="1" t="n">
        <v>45282</v>
      </c>
      <c r="C858" s="1" t="n">
        <v>45586</v>
      </c>
      <c r="D858" t="inlineStr">
        <is>
          <t>VÄSTMANLANDS LÄN</t>
        </is>
      </c>
      <c r="E858" t="inlineStr">
        <is>
          <t>SALA</t>
        </is>
      </c>
      <c r="G858" t="n">
        <v>2.5</v>
      </c>
      <c r="H858" t="n">
        <v>0</v>
      </c>
      <c r="I858" t="n">
        <v>0</v>
      </c>
      <c r="J858" t="n">
        <v>0</v>
      </c>
      <c r="K858" t="n">
        <v>0</v>
      </c>
      <c r="L858" t="n">
        <v>0</v>
      </c>
      <c r="M858" t="n">
        <v>0</v>
      </c>
      <c r="N858" t="n">
        <v>0</v>
      </c>
      <c r="O858" t="n">
        <v>0</v>
      </c>
      <c r="P858" t="n">
        <v>0</v>
      </c>
      <c r="Q858" t="n">
        <v>0</v>
      </c>
      <c r="R858" s="2" t="inlineStr"/>
    </row>
    <row r="859" ht="15" customHeight="1">
      <c r="A859" t="inlineStr">
        <is>
          <t>A 30-2024</t>
        </is>
      </c>
      <c r="B859" s="1" t="n">
        <v>45293</v>
      </c>
      <c r="C859" s="1" t="n">
        <v>45586</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96-2024</t>
        </is>
      </c>
      <c r="B860" s="1" t="n">
        <v>45293</v>
      </c>
      <c r="C860" s="1" t="n">
        <v>45586</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110-2024</t>
        </is>
      </c>
      <c r="B861" s="1" t="n">
        <v>45294</v>
      </c>
      <c r="C861" s="1" t="n">
        <v>45586</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456-2024</t>
        </is>
      </c>
      <c r="B862" s="1" t="n">
        <v>45296</v>
      </c>
      <c r="C862" s="1" t="n">
        <v>45586</v>
      </c>
      <c r="D862" t="inlineStr">
        <is>
          <t>VÄSTMANLANDS LÄN</t>
        </is>
      </c>
      <c r="E862" t="inlineStr">
        <is>
          <t>SALA</t>
        </is>
      </c>
      <c r="G862" t="n">
        <v>4.7</v>
      </c>
      <c r="H862" t="n">
        <v>0</v>
      </c>
      <c r="I862" t="n">
        <v>0</v>
      </c>
      <c r="J862" t="n">
        <v>0</v>
      </c>
      <c r="K862" t="n">
        <v>0</v>
      </c>
      <c r="L862" t="n">
        <v>0</v>
      </c>
      <c r="M862" t="n">
        <v>0</v>
      </c>
      <c r="N862" t="n">
        <v>0</v>
      </c>
      <c r="O862" t="n">
        <v>0</v>
      </c>
      <c r="P862" t="n">
        <v>0</v>
      </c>
      <c r="Q862" t="n">
        <v>0</v>
      </c>
      <c r="R862" s="2" t="inlineStr"/>
    </row>
    <row r="863" ht="15" customHeight="1">
      <c r="A863" t="inlineStr">
        <is>
          <t>A 1118-2024</t>
        </is>
      </c>
      <c r="B863" s="1" t="n">
        <v>45302</v>
      </c>
      <c r="C863" s="1" t="n">
        <v>45586</v>
      </c>
      <c r="D863" t="inlineStr">
        <is>
          <t>VÄSTMANLANDS LÄN</t>
        </is>
      </c>
      <c r="E863" t="inlineStr">
        <is>
          <t>SALA</t>
        </is>
      </c>
      <c r="G863" t="n">
        <v>1.9</v>
      </c>
      <c r="H863" t="n">
        <v>0</v>
      </c>
      <c r="I863" t="n">
        <v>0</v>
      </c>
      <c r="J863" t="n">
        <v>0</v>
      </c>
      <c r="K863" t="n">
        <v>0</v>
      </c>
      <c r="L863" t="n">
        <v>0</v>
      </c>
      <c r="M863" t="n">
        <v>0</v>
      </c>
      <c r="N863" t="n">
        <v>0</v>
      </c>
      <c r="O863" t="n">
        <v>0</v>
      </c>
      <c r="P863" t="n">
        <v>0</v>
      </c>
      <c r="Q863" t="n">
        <v>0</v>
      </c>
      <c r="R863" s="2" t="inlineStr"/>
    </row>
    <row r="864" ht="15" customHeight="1">
      <c r="A864" t="inlineStr">
        <is>
          <t>A 1555-2024</t>
        </is>
      </c>
      <c r="B864" s="1" t="n">
        <v>45306</v>
      </c>
      <c r="C864" s="1" t="n">
        <v>45586</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1552-2024</t>
        </is>
      </c>
      <c r="B865" s="1" t="n">
        <v>45306</v>
      </c>
      <c r="C865" s="1" t="n">
        <v>45586</v>
      </c>
      <c r="D865" t="inlineStr">
        <is>
          <t>VÄSTMANLANDS LÄN</t>
        </is>
      </c>
      <c r="E865" t="inlineStr">
        <is>
          <t>SALA</t>
        </is>
      </c>
      <c r="G865" t="n">
        <v>3.3</v>
      </c>
      <c r="H865" t="n">
        <v>0</v>
      </c>
      <c r="I865" t="n">
        <v>0</v>
      </c>
      <c r="J865" t="n">
        <v>0</v>
      </c>
      <c r="K865" t="n">
        <v>0</v>
      </c>
      <c r="L865" t="n">
        <v>0</v>
      </c>
      <c r="M865" t="n">
        <v>0</v>
      </c>
      <c r="N865" t="n">
        <v>0</v>
      </c>
      <c r="O865" t="n">
        <v>0</v>
      </c>
      <c r="P865" t="n">
        <v>0</v>
      </c>
      <c r="Q865" t="n">
        <v>0</v>
      </c>
      <c r="R865" s="2" t="inlineStr"/>
    </row>
    <row r="866" ht="15" customHeight="1">
      <c r="A866" t="inlineStr">
        <is>
          <t>A 2392-2024</t>
        </is>
      </c>
      <c r="B866" s="1" t="n">
        <v>45310</v>
      </c>
      <c r="C866" s="1" t="n">
        <v>45586</v>
      </c>
      <c r="D866" t="inlineStr">
        <is>
          <t>VÄSTMANLANDS LÄN</t>
        </is>
      </c>
      <c r="E866" t="inlineStr">
        <is>
          <t>SALA</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2478-2024</t>
        </is>
      </c>
      <c r="B867" s="1" t="n">
        <v>45313</v>
      </c>
      <c r="C867" s="1" t="n">
        <v>45586</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2599-2024</t>
        </is>
      </c>
      <c r="B868" s="1" t="n">
        <v>45313</v>
      </c>
      <c r="C868" s="1" t="n">
        <v>45586</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2766-2024</t>
        </is>
      </c>
      <c r="B869" s="1" t="n">
        <v>45314</v>
      </c>
      <c r="C869" s="1" t="n">
        <v>45586</v>
      </c>
      <c r="D869" t="inlineStr">
        <is>
          <t>VÄSTMANLANDS LÄN</t>
        </is>
      </c>
      <c r="E869" t="inlineStr">
        <is>
          <t>SALA</t>
        </is>
      </c>
      <c r="G869" t="n">
        <v>2.8</v>
      </c>
      <c r="H869" t="n">
        <v>0</v>
      </c>
      <c r="I869" t="n">
        <v>0</v>
      </c>
      <c r="J869" t="n">
        <v>0</v>
      </c>
      <c r="K869" t="n">
        <v>0</v>
      </c>
      <c r="L869" t="n">
        <v>0</v>
      </c>
      <c r="M869" t="n">
        <v>0</v>
      </c>
      <c r="N869" t="n">
        <v>0</v>
      </c>
      <c r="O869" t="n">
        <v>0</v>
      </c>
      <c r="P869" t="n">
        <v>0</v>
      </c>
      <c r="Q869" t="n">
        <v>0</v>
      </c>
      <c r="R869" s="2" t="inlineStr"/>
    </row>
    <row r="870" ht="15" customHeight="1">
      <c r="A870" t="inlineStr">
        <is>
          <t>A 2925-2024</t>
        </is>
      </c>
      <c r="B870" s="1" t="n">
        <v>45315</v>
      </c>
      <c r="C870" s="1" t="n">
        <v>45586</v>
      </c>
      <c r="D870" t="inlineStr">
        <is>
          <t>VÄSTMANLANDS LÄN</t>
        </is>
      </c>
      <c r="E870" t="inlineStr">
        <is>
          <t>SALA</t>
        </is>
      </c>
      <c r="G870" t="n">
        <v>1.3</v>
      </c>
      <c r="H870" t="n">
        <v>0</v>
      </c>
      <c r="I870" t="n">
        <v>0</v>
      </c>
      <c r="J870" t="n">
        <v>0</v>
      </c>
      <c r="K870" t="n">
        <v>0</v>
      </c>
      <c r="L870" t="n">
        <v>0</v>
      </c>
      <c r="M870" t="n">
        <v>0</v>
      </c>
      <c r="N870" t="n">
        <v>0</v>
      </c>
      <c r="O870" t="n">
        <v>0</v>
      </c>
      <c r="P870" t="n">
        <v>0</v>
      </c>
      <c r="Q870" t="n">
        <v>0</v>
      </c>
      <c r="R870" s="2" t="inlineStr"/>
    </row>
    <row r="871" ht="15" customHeight="1">
      <c r="A871" t="inlineStr">
        <is>
          <t>A 2928-2024</t>
        </is>
      </c>
      <c r="B871" s="1" t="n">
        <v>45315</v>
      </c>
      <c r="C871" s="1" t="n">
        <v>45586</v>
      </c>
      <c r="D871" t="inlineStr">
        <is>
          <t>VÄSTMANLANDS LÄN</t>
        </is>
      </c>
      <c r="E871" t="inlineStr">
        <is>
          <t>SALA</t>
        </is>
      </c>
      <c r="G871" t="n">
        <v>1.4</v>
      </c>
      <c r="H871" t="n">
        <v>0</v>
      </c>
      <c r="I871" t="n">
        <v>0</v>
      </c>
      <c r="J871" t="n">
        <v>0</v>
      </c>
      <c r="K871" t="n">
        <v>0</v>
      </c>
      <c r="L871" t="n">
        <v>0</v>
      </c>
      <c r="M871" t="n">
        <v>0</v>
      </c>
      <c r="N871" t="n">
        <v>0</v>
      </c>
      <c r="O871" t="n">
        <v>0</v>
      </c>
      <c r="P871" t="n">
        <v>0</v>
      </c>
      <c r="Q871" t="n">
        <v>0</v>
      </c>
      <c r="R871" s="2" t="inlineStr"/>
    </row>
    <row r="872" ht="15" customHeight="1">
      <c r="A872" t="inlineStr">
        <is>
          <t>A 2927-2024</t>
        </is>
      </c>
      <c r="B872" s="1" t="n">
        <v>45315</v>
      </c>
      <c r="C872" s="1" t="n">
        <v>45586</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3061-2024</t>
        </is>
      </c>
      <c r="B873" s="1" t="n">
        <v>45316</v>
      </c>
      <c r="C873" s="1" t="n">
        <v>45586</v>
      </c>
      <c r="D873" t="inlineStr">
        <is>
          <t>VÄSTMANLANDS LÄN</t>
        </is>
      </c>
      <c r="E873" t="inlineStr">
        <is>
          <t>SALA</t>
        </is>
      </c>
      <c r="G873" t="n">
        <v>5.7</v>
      </c>
      <c r="H873" t="n">
        <v>0</v>
      </c>
      <c r="I873" t="n">
        <v>0</v>
      </c>
      <c r="J873" t="n">
        <v>0</v>
      </c>
      <c r="K873" t="n">
        <v>0</v>
      </c>
      <c r="L873" t="n">
        <v>0</v>
      </c>
      <c r="M873" t="n">
        <v>0</v>
      </c>
      <c r="N873" t="n">
        <v>0</v>
      </c>
      <c r="O873" t="n">
        <v>0</v>
      </c>
      <c r="P873" t="n">
        <v>0</v>
      </c>
      <c r="Q873" t="n">
        <v>0</v>
      </c>
      <c r="R873" s="2" t="inlineStr"/>
    </row>
    <row r="874" ht="15" customHeight="1">
      <c r="A874" t="inlineStr">
        <is>
          <t>A 3332-2024</t>
        </is>
      </c>
      <c r="B874" s="1" t="n">
        <v>45317</v>
      </c>
      <c r="C874" s="1" t="n">
        <v>45586</v>
      </c>
      <c r="D874" t="inlineStr">
        <is>
          <t>VÄSTMANLANDS LÄN</t>
        </is>
      </c>
      <c r="E874" t="inlineStr">
        <is>
          <t>SALA</t>
        </is>
      </c>
      <c r="G874" t="n">
        <v>2</v>
      </c>
      <c r="H874" t="n">
        <v>0</v>
      </c>
      <c r="I874" t="n">
        <v>0</v>
      </c>
      <c r="J874" t="n">
        <v>0</v>
      </c>
      <c r="K874" t="n">
        <v>0</v>
      </c>
      <c r="L874" t="n">
        <v>0</v>
      </c>
      <c r="M874" t="n">
        <v>0</v>
      </c>
      <c r="N874" t="n">
        <v>0</v>
      </c>
      <c r="O874" t="n">
        <v>0</v>
      </c>
      <c r="P874" t="n">
        <v>0</v>
      </c>
      <c r="Q874" t="n">
        <v>0</v>
      </c>
      <c r="R874" s="2" t="inlineStr"/>
    </row>
    <row r="875" ht="15" customHeight="1">
      <c r="A875" t="inlineStr">
        <is>
          <t>A 3577-2024</t>
        </is>
      </c>
      <c r="B875" s="1" t="n">
        <v>45320</v>
      </c>
      <c r="C875" s="1" t="n">
        <v>45586</v>
      </c>
      <c r="D875" t="inlineStr">
        <is>
          <t>VÄSTMANLANDS LÄN</t>
        </is>
      </c>
      <c r="E875" t="inlineStr">
        <is>
          <t>SALA</t>
        </is>
      </c>
      <c r="F875" t="inlineStr">
        <is>
          <t>Kommuner</t>
        </is>
      </c>
      <c r="G875" t="n">
        <v>7.2</v>
      </c>
      <c r="H875" t="n">
        <v>0</v>
      </c>
      <c r="I875" t="n">
        <v>0</v>
      </c>
      <c r="J875" t="n">
        <v>0</v>
      </c>
      <c r="K875" t="n">
        <v>0</v>
      </c>
      <c r="L875" t="n">
        <v>0</v>
      </c>
      <c r="M875" t="n">
        <v>0</v>
      </c>
      <c r="N875" t="n">
        <v>0</v>
      </c>
      <c r="O875" t="n">
        <v>0</v>
      </c>
      <c r="P875" t="n">
        <v>0</v>
      </c>
      <c r="Q875" t="n">
        <v>0</v>
      </c>
      <c r="R875" s="2" t="inlineStr"/>
    </row>
    <row r="876" ht="15" customHeight="1">
      <c r="A876" t="inlineStr">
        <is>
          <t>A 3527-2024</t>
        </is>
      </c>
      <c r="B876" s="1" t="n">
        <v>45320</v>
      </c>
      <c r="C876" s="1" t="n">
        <v>45586</v>
      </c>
      <c r="D876" t="inlineStr">
        <is>
          <t>VÄSTMANLANDS LÄN</t>
        </is>
      </c>
      <c r="E876" t="inlineStr">
        <is>
          <t>SALA</t>
        </is>
      </c>
      <c r="G876" t="n">
        <v>1.7</v>
      </c>
      <c r="H876" t="n">
        <v>0</v>
      </c>
      <c r="I876" t="n">
        <v>0</v>
      </c>
      <c r="J876" t="n">
        <v>0</v>
      </c>
      <c r="K876" t="n">
        <v>0</v>
      </c>
      <c r="L876" t="n">
        <v>0</v>
      </c>
      <c r="M876" t="n">
        <v>0</v>
      </c>
      <c r="N876" t="n">
        <v>0</v>
      </c>
      <c r="O876" t="n">
        <v>0</v>
      </c>
      <c r="P876" t="n">
        <v>0</v>
      </c>
      <c r="Q876" t="n">
        <v>0</v>
      </c>
      <c r="R876" s="2" t="inlineStr"/>
    </row>
    <row r="877" ht="15" customHeight="1">
      <c r="A877" t="inlineStr">
        <is>
          <t>A 3551-2024</t>
        </is>
      </c>
      <c r="B877" s="1" t="n">
        <v>45320</v>
      </c>
      <c r="C877" s="1" t="n">
        <v>45586</v>
      </c>
      <c r="D877" t="inlineStr">
        <is>
          <t>VÄSTMANLANDS LÄN</t>
        </is>
      </c>
      <c r="E877" t="inlineStr">
        <is>
          <t>SALA</t>
        </is>
      </c>
      <c r="F877" t="inlineStr">
        <is>
          <t>Kommuner</t>
        </is>
      </c>
      <c r="G877" t="n">
        <v>6</v>
      </c>
      <c r="H877" t="n">
        <v>0</v>
      </c>
      <c r="I877" t="n">
        <v>0</v>
      </c>
      <c r="J877" t="n">
        <v>0</v>
      </c>
      <c r="K877" t="n">
        <v>0</v>
      </c>
      <c r="L877" t="n">
        <v>0</v>
      </c>
      <c r="M877" t="n">
        <v>0</v>
      </c>
      <c r="N877" t="n">
        <v>0</v>
      </c>
      <c r="O877" t="n">
        <v>0</v>
      </c>
      <c r="P877" t="n">
        <v>0</v>
      </c>
      <c r="Q877" t="n">
        <v>0</v>
      </c>
      <c r="R877" s="2" t="inlineStr"/>
    </row>
    <row r="878" ht="15" customHeight="1">
      <c r="A878" t="inlineStr">
        <is>
          <t>A 3525-2024</t>
        </is>
      </c>
      <c r="B878" s="1" t="n">
        <v>45320</v>
      </c>
      <c r="C878" s="1" t="n">
        <v>45586</v>
      </c>
      <c r="D878" t="inlineStr">
        <is>
          <t>VÄSTMANLANDS LÄN</t>
        </is>
      </c>
      <c r="E878" t="inlineStr">
        <is>
          <t>SALA</t>
        </is>
      </c>
      <c r="G878" t="n">
        <v>3.5</v>
      </c>
      <c r="H878" t="n">
        <v>0</v>
      </c>
      <c r="I878" t="n">
        <v>0</v>
      </c>
      <c r="J878" t="n">
        <v>0</v>
      </c>
      <c r="K878" t="n">
        <v>0</v>
      </c>
      <c r="L878" t="n">
        <v>0</v>
      </c>
      <c r="M878" t="n">
        <v>0</v>
      </c>
      <c r="N878" t="n">
        <v>0</v>
      </c>
      <c r="O878" t="n">
        <v>0</v>
      </c>
      <c r="P878" t="n">
        <v>0</v>
      </c>
      <c r="Q878" t="n">
        <v>0</v>
      </c>
      <c r="R878" s="2" t="inlineStr"/>
    </row>
    <row r="879" ht="15" customHeight="1">
      <c r="A879" t="inlineStr">
        <is>
          <t>A 3560-2024</t>
        </is>
      </c>
      <c r="B879" s="1" t="n">
        <v>45320</v>
      </c>
      <c r="C879" s="1" t="n">
        <v>45586</v>
      </c>
      <c r="D879" t="inlineStr">
        <is>
          <t>VÄSTMANLANDS LÄN</t>
        </is>
      </c>
      <c r="E879" t="inlineStr">
        <is>
          <t>SALA</t>
        </is>
      </c>
      <c r="F879" t="inlineStr">
        <is>
          <t>Kommuner</t>
        </is>
      </c>
      <c r="G879" t="n">
        <v>4.2</v>
      </c>
      <c r="H879" t="n">
        <v>0</v>
      </c>
      <c r="I879" t="n">
        <v>0</v>
      </c>
      <c r="J879" t="n">
        <v>0</v>
      </c>
      <c r="K879" t="n">
        <v>0</v>
      </c>
      <c r="L879" t="n">
        <v>0</v>
      </c>
      <c r="M879" t="n">
        <v>0</v>
      </c>
      <c r="N879" t="n">
        <v>0</v>
      </c>
      <c r="O879" t="n">
        <v>0</v>
      </c>
      <c r="P879" t="n">
        <v>0</v>
      </c>
      <c r="Q879" t="n">
        <v>0</v>
      </c>
      <c r="R879" s="2" t="inlineStr"/>
    </row>
    <row r="880" ht="15" customHeight="1">
      <c r="A880" t="inlineStr">
        <is>
          <t>A 4417-2024</t>
        </is>
      </c>
      <c r="B880" s="1" t="n">
        <v>45327</v>
      </c>
      <c r="C880" s="1" t="n">
        <v>45586</v>
      </c>
      <c r="D880" t="inlineStr">
        <is>
          <t>VÄSTMANLANDS LÄN</t>
        </is>
      </c>
      <c r="E880" t="inlineStr">
        <is>
          <t>SALA</t>
        </is>
      </c>
      <c r="G880" t="n">
        <v>3.7</v>
      </c>
      <c r="H880" t="n">
        <v>0</v>
      </c>
      <c r="I880" t="n">
        <v>0</v>
      </c>
      <c r="J880" t="n">
        <v>0</v>
      </c>
      <c r="K880" t="n">
        <v>0</v>
      </c>
      <c r="L880" t="n">
        <v>0</v>
      </c>
      <c r="M880" t="n">
        <v>0</v>
      </c>
      <c r="N880" t="n">
        <v>0</v>
      </c>
      <c r="O880" t="n">
        <v>0</v>
      </c>
      <c r="P880" t="n">
        <v>0</v>
      </c>
      <c r="Q880" t="n">
        <v>0</v>
      </c>
      <c r="R880" s="2" t="inlineStr"/>
    </row>
    <row r="881" ht="15" customHeight="1">
      <c r="A881" t="inlineStr">
        <is>
          <t>A 4897-2024</t>
        </is>
      </c>
      <c r="B881" s="1" t="n">
        <v>45329</v>
      </c>
      <c r="C881" s="1" t="n">
        <v>45586</v>
      </c>
      <c r="D881" t="inlineStr">
        <is>
          <t>VÄSTMANLANDS LÄN</t>
        </is>
      </c>
      <c r="E881" t="inlineStr">
        <is>
          <t>SALA</t>
        </is>
      </c>
      <c r="G881" t="n">
        <v>3.4</v>
      </c>
      <c r="H881" t="n">
        <v>0</v>
      </c>
      <c r="I881" t="n">
        <v>0</v>
      </c>
      <c r="J881" t="n">
        <v>0</v>
      </c>
      <c r="K881" t="n">
        <v>0</v>
      </c>
      <c r="L881" t="n">
        <v>0</v>
      </c>
      <c r="M881" t="n">
        <v>0</v>
      </c>
      <c r="N881" t="n">
        <v>0</v>
      </c>
      <c r="O881" t="n">
        <v>0</v>
      </c>
      <c r="P881" t="n">
        <v>0</v>
      </c>
      <c r="Q881" t="n">
        <v>0</v>
      </c>
      <c r="R881" s="2" t="inlineStr"/>
    </row>
    <row r="882" ht="15" customHeight="1">
      <c r="A882" t="inlineStr">
        <is>
          <t>A 5478-2024</t>
        </is>
      </c>
      <c r="B882" s="1" t="n">
        <v>45333</v>
      </c>
      <c r="C882" s="1" t="n">
        <v>45586</v>
      </c>
      <c r="D882" t="inlineStr">
        <is>
          <t>VÄSTMANLANDS LÄN</t>
        </is>
      </c>
      <c r="E882" t="inlineStr">
        <is>
          <t>SALA</t>
        </is>
      </c>
      <c r="G882" t="n">
        <v>1.5</v>
      </c>
      <c r="H882" t="n">
        <v>0</v>
      </c>
      <c r="I882" t="n">
        <v>0</v>
      </c>
      <c r="J882" t="n">
        <v>0</v>
      </c>
      <c r="K882" t="n">
        <v>0</v>
      </c>
      <c r="L882" t="n">
        <v>0</v>
      </c>
      <c r="M882" t="n">
        <v>0</v>
      </c>
      <c r="N882" t="n">
        <v>0</v>
      </c>
      <c r="O882" t="n">
        <v>0</v>
      </c>
      <c r="P882" t="n">
        <v>0</v>
      </c>
      <c r="Q882" t="n">
        <v>0</v>
      </c>
      <c r="R882" s="2" t="inlineStr"/>
    </row>
    <row r="883" ht="15" customHeight="1">
      <c r="A883" t="inlineStr">
        <is>
          <t>A 5477-2024</t>
        </is>
      </c>
      <c r="B883" s="1" t="n">
        <v>45333</v>
      </c>
      <c r="C883" s="1" t="n">
        <v>45586</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5705-2024</t>
        </is>
      </c>
      <c r="B884" s="1" t="n">
        <v>45334</v>
      </c>
      <c r="C884" s="1" t="n">
        <v>45586</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5977-2024</t>
        </is>
      </c>
      <c r="B885" s="1" t="n">
        <v>45336</v>
      </c>
      <c r="C885" s="1" t="n">
        <v>45586</v>
      </c>
      <c r="D885" t="inlineStr">
        <is>
          <t>VÄSTMANLANDS LÄN</t>
        </is>
      </c>
      <c r="E885" t="inlineStr">
        <is>
          <t>SALA</t>
        </is>
      </c>
      <c r="G885" t="n">
        <v>13.1</v>
      </c>
      <c r="H885" t="n">
        <v>0</v>
      </c>
      <c r="I885" t="n">
        <v>0</v>
      </c>
      <c r="J885" t="n">
        <v>0</v>
      </c>
      <c r="K885" t="n">
        <v>0</v>
      </c>
      <c r="L885" t="n">
        <v>0</v>
      </c>
      <c r="M885" t="n">
        <v>0</v>
      </c>
      <c r="N885" t="n">
        <v>0</v>
      </c>
      <c r="O885" t="n">
        <v>0</v>
      </c>
      <c r="P885" t="n">
        <v>0</v>
      </c>
      <c r="Q885" t="n">
        <v>0</v>
      </c>
      <c r="R885" s="2" t="inlineStr"/>
    </row>
    <row r="886" ht="15" customHeight="1">
      <c r="A886" t="inlineStr">
        <is>
          <t>A 6030-2024</t>
        </is>
      </c>
      <c r="B886" s="1" t="n">
        <v>45336</v>
      </c>
      <c r="C886" s="1" t="n">
        <v>45586</v>
      </c>
      <c r="D886" t="inlineStr">
        <is>
          <t>VÄSTMANLANDS LÄN</t>
        </is>
      </c>
      <c r="E886" t="inlineStr">
        <is>
          <t>SALA</t>
        </is>
      </c>
      <c r="G886" t="n">
        <v>3.9</v>
      </c>
      <c r="H886" t="n">
        <v>0</v>
      </c>
      <c r="I886" t="n">
        <v>0</v>
      </c>
      <c r="J886" t="n">
        <v>0</v>
      </c>
      <c r="K886" t="n">
        <v>0</v>
      </c>
      <c r="L886" t="n">
        <v>0</v>
      </c>
      <c r="M886" t="n">
        <v>0</v>
      </c>
      <c r="N886" t="n">
        <v>0</v>
      </c>
      <c r="O886" t="n">
        <v>0</v>
      </c>
      <c r="P886" t="n">
        <v>0</v>
      </c>
      <c r="Q886" t="n">
        <v>0</v>
      </c>
      <c r="R886" s="2" t="inlineStr"/>
    </row>
    <row r="887" ht="15" customHeight="1">
      <c r="A887" t="inlineStr">
        <is>
          <t>A 5984-2024</t>
        </is>
      </c>
      <c r="B887" s="1" t="n">
        <v>45336</v>
      </c>
      <c r="C887" s="1" t="n">
        <v>45586</v>
      </c>
      <c r="D887" t="inlineStr">
        <is>
          <t>VÄSTMANLANDS LÄN</t>
        </is>
      </c>
      <c r="E887" t="inlineStr">
        <is>
          <t>SALA</t>
        </is>
      </c>
      <c r="G887" t="n">
        <v>0.7</v>
      </c>
      <c r="H887" t="n">
        <v>0</v>
      </c>
      <c r="I887" t="n">
        <v>0</v>
      </c>
      <c r="J887" t="n">
        <v>0</v>
      </c>
      <c r="K887" t="n">
        <v>0</v>
      </c>
      <c r="L887" t="n">
        <v>0</v>
      </c>
      <c r="M887" t="n">
        <v>0</v>
      </c>
      <c r="N887" t="n">
        <v>0</v>
      </c>
      <c r="O887" t="n">
        <v>0</v>
      </c>
      <c r="P887" t="n">
        <v>0</v>
      </c>
      <c r="Q887" t="n">
        <v>0</v>
      </c>
      <c r="R887" s="2" t="inlineStr"/>
    </row>
    <row r="888" ht="15" customHeight="1">
      <c r="A888" t="inlineStr">
        <is>
          <t>A 6134-2024</t>
        </is>
      </c>
      <c r="B888" s="1" t="n">
        <v>45337</v>
      </c>
      <c r="C888" s="1" t="n">
        <v>45586</v>
      </c>
      <c r="D888" t="inlineStr">
        <is>
          <t>VÄSTMANLANDS LÄN</t>
        </is>
      </c>
      <c r="E888" t="inlineStr">
        <is>
          <t>SALA</t>
        </is>
      </c>
      <c r="G888" t="n">
        <v>1.8</v>
      </c>
      <c r="H888" t="n">
        <v>0</v>
      </c>
      <c r="I888" t="n">
        <v>0</v>
      </c>
      <c r="J888" t="n">
        <v>0</v>
      </c>
      <c r="K888" t="n">
        <v>0</v>
      </c>
      <c r="L888" t="n">
        <v>0</v>
      </c>
      <c r="M888" t="n">
        <v>0</v>
      </c>
      <c r="N888" t="n">
        <v>0</v>
      </c>
      <c r="O888" t="n">
        <v>0</v>
      </c>
      <c r="P888" t="n">
        <v>0</v>
      </c>
      <c r="Q888" t="n">
        <v>0</v>
      </c>
      <c r="R888" s="2" t="inlineStr"/>
    </row>
    <row r="889" ht="15" customHeight="1">
      <c r="A889" t="inlineStr">
        <is>
          <t>A 6572-2024</t>
        </is>
      </c>
      <c r="B889" s="1" t="n">
        <v>45338</v>
      </c>
      <c r="C889" s="1" t="n">
        <v>45586</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6538-2024</t>
        </is>
      </c>
      <c r="B890" s="1" t="n">
        <v>45338</v>
      </c>
      <c r="C890" s="1" t="n">
        <v>45586</v>
      </c>
      <c r="D890" t="inlineStr">
        <is>
          <t>VÄSTMANLANDS LÄN</t>
        </is>
      </c>
      <c r="E890" t="inlineStr">
        <is>
          <t>SALA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6601-2024</t>
        </is>
      </c>
      <c r="B891" s="1" t="n">
        <v>45338</v>
      </c>
      <c r="C891" s="1" t="n">
        <v>45586</v>
      </c>
      <c r="D891" t="inlineStr">
        <is>
          <t>VÄSTMANLANDS LÄN</t>
        </is>
      </c>
      <c r="E891" t="inlineStr">
        <is>
          <t>SALA</t>
        </is>
      </c>
      <c r="G891" t="n">
        <v>4</v>
      </c>
      <c r="H891" t="n">
        <v>0</v>
      </c>
      <c r="I891" t="n">
        <v>0</v>
      </c>
      <c r="J891" t="n">
        <v>0</v>
      </c>
      <c r="K891" t="n">
        <v>0</v>
      </c>
      <c r="L891" t="n">
        <v>0</v>
      </c>
      <c r="M891" t="n">
        <v>0</v>
      </c>
      <c r="N891" t="n">
        <v>0</v>
      </c>
      <c r="O891" t="n">
        <v>0</v>
      </c>
      <c r="P891" t="n">
        <v>0</v>
      </c>
      <c r="Q891" t="n">
        <v>0</v>
      </c>
      <c r="R891" s="2" t="inlineStr"/>
    </row>
    <row r="892" ht="15" customHeight="1">
      <c r="A892" t="inlineStr">
        <is>
          <t>A 6585-2024</t>
        </is>
      </c>
      <c r="B892" s="1" t="n">
        <v>45338</v>
      </c>
      <c r="C892" s="1" t="n">
        <v>45586</v>
      </c>
      <c r="D892" t="inlineStr">
        <is>
          <t>VÄSTMANLANDS LÄN</t>
        </is>
      </c>
      <c r="E892" t="inlineStr">
        <is>
          <t>SALA</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6541-2024</t>
        </is>
      </c>
      <c r="B893" s="1" t="n">
        <v>45338</v>
      </c>
      <c r="C893" s="1" t="n">
        <v>45586</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6657-2024</t>
        </is>
      </c>
      <c r="B894" s="1" t="n">
        <v>45341</v>
      </c>
      <c r="C894" s="1" t="n">
        <v>45586</v>
      </c>
      <c r="D894" t="inlineStr">
        <is>
          <t>VÄSTMANLANDS LÄN</t>
        </is>
      </c>
      <c r="E894" t="inlineStr">
        <is>
          <t>SALA</t>
        </is>
      </c>
      <c r="G894" t="n">
        <v>0.8</v>
      </c>
      <c r="H894" t="n">
        <v>0</v>
      </c>
      <c r="I894" t="n">
        <v>0</v>
      </c>
      <c r="J894" t="n">
        <v>0</v>
      </c>
      <c r="K894" t="n">
        <v>0</v>
      </c>
      <c r="L894" t="n">
        <v>0</v>
      </c>
      <c r="M894" t="n">
        <v>0</v>
      </c>
      <c r="N894" t="n">
        <v>0</v>
      </c>
      <c r="O894" t="n">
        <v>0</v>
      </c>
      <c r="P894" t="n">
        <v>0</v>
      </c>
      <c r="Q894" t="n">
        <v>0</v>
      </c>
      <c r="R894" s="2" t="inlineStr"/>
    </row>
    <row r="895" ht="15" customHeight="1">
      <c r="A895" t="inlineStr">
        <is>
          <t>A 7953-2024</t>
        </is>
      </c>
      <c r="B895" s="1" t="n">
        <v>45350</v>
      </c>
      <c r="C895" s="1" t="n">
        <v>45586</v>
      </c>
      <c r="D895" t="inlineStr">
        <is>
          <t>VÄSTMANLANDS LÄN</t>
        </is>
      </c>
      <c r="E895" t="inlineStr">
        <is>
          <t>SALA</t>
        </is>
      </c>
      <c r="G895" t="n">
        <v>2.6</v>
      </c>
      <c r="H895" t="n">
        <v>0</v>
      </c>
      <c r="I895" t="n">
        <v>0</v>
      </c>
      <c r="J895" t="n">
        <v>0</v>
      </c>
      <c r="K895" t="n">
        <v>0</v>
      </c>
      <c r="L895" t="n">
        <v>0</v>
      </c>
      <c r="M895" t="n">
        <v>0</v>
      </c>
      <c r="N895" t="n">
        <v>0</v>
      </c>
      <c r="O895" t="n">
        <v>0</v>
      </c>
      <c r="P895" t="n">
        <v>0</v>
      </c>
      <c r="Q895" t="n">
        <v>0</v>
      </c>
      <c r="R895" s="2" t="inlineStr"/>
    </row>
    <row r="896" ht="15" customHeight="1">
      <c r="A896" t="inlineStr">
        <is>
          <t>A 8591-2024</t>
        </is>
      </c>
      <c r="B896" s="1" t="n">
        <v>45355</v>
      </c>
      <c r="C896" s="1" t="n">
        <v>45586</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8775-2024</t>
        </is>
      </c>
      <c r="B897" s="1" t="n">
        <v>45356</v>
      </c>
      <c r="C897" s="1" t="n">
        <v>45586</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8793-2024</t>
        </is>
      </c>
      <c r="B898" s="1" t="n">
        <v>45356</v>
      </c>
      <c r="C898" s="1" t="n">
        <v>45586</v>
      </c>
      <c r="D898" t="inlineStr">
        <is>
          <t>VÄSTMANLANDS LÄN</t>
        </is>
      </c>
      <c r="E898" t="inlineStr">
        <is>
          <t>SALA</t>
        </is>
      </c>
      <c r="G898" t="n">
        <v>2</v>
      </c>
      <c r="H898" t="n">
        <v>0</v>
      </c>
      <c r="I898" t="n">
        <v>0</v>
      </c>
      <c r="J898" t="n">
        <v>0</v>
      </c>
      <c r="K898" t="n">
        <v>0</v>
      </c>
      <c r="L898" t="n">
        <v>0</v>
      </c>
      <c r="M898" t="n">
        <v>0</v>
      </c>
      <c r="N898" t="n">
        <v>0</v>
      </c>
      <c r="O898" t="n">
        <v>0</v>
      </c>
      <c r="P898" t="n">
        <v>0</v>
      </c>
      <c r="Q898" t="n">
        <v>0</v>
      </c>
      <c r="R898" s="2" t="inlineStr"/>
    </row>
    <row r="899" ht="15" customHeight="1">
      <c r="A899" t="inlineStr">
        <is>
          <t>A 8778-2024</t>
        </is>
      </c>
      <c r="B899" s="1" t="n">
        <v>45356</v>
      </c>
      <c r="C899" s="1" t="n">
        <v>45586</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9205-2024</t>
        </is>
      </c>
      <c r="B900" s="1" t="n">
        <v>45358</v>
      </c>
      <c r="C900" s="1" t="n">
        <v>45586</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9204-2024</t>
        </is>
      </c>
      <c r="B901" s="1" t="n">
        <v>45358</v>
      </c>
      <c r="C901" s="1" t="n">
        <v>45586</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9474-2024</t>
        </is>
      </c>
      <c r="B902" s="1" t="n">
        <v>45359</v>
      </c>
      <c r="C902" s="1" t="n">
        <v>45586</v>
      </c>
      <c r="D902" t="inlineStr">
        <is>
          <t>VÄSTMANLANDS LÄN</t>
        </is>
      </c>
      <c r="E902" t="inlineStr">
        <is>
          <t>SALA</t>
        </is>
      </c>
      <c r="F902" t="inlineStr">
        <is>
          <t>Kommuner</t>
        </is>
      </c>
      <c r="G902" t="n">
        <v>4.1</v>
      </c>
      <c r="H902" t="n">
        <v>0</v>
      </c>
      <c r="I902" t="n">
        <v>0</v>
      </c>
      <c r="J902" t="n">
        <v>0</v>
      </c>
      <c r="K902" t="n">
        <v>0</v>
      </c>
      <c r="L902" t="n">
        <v>0</v>
      </c>
      <c r="M902" t="n">
        <v>0</v>
      </c>
      <c r="N902" t="n">
        <v>0</v>
      </c>
      <c r="O902" t="n">
        <v>0</v>
      </c>
      <c r="P902" t="n">
        <v>0</v>
      </c>
      <c r="Q902" t="n">
        <v>0</v>
      </c>
      <c r="R902" s="2" t="inlineStr"/>
    </row>
    <row r="903" ht="15" customHeight="1">
      <c r="A903" t="inlineStr">
        <is>
          <t>A 9853-2024</t>
        </is>
      </c>
      <c r="B903" s="1" t="n">
        <v>45363</v>
      </c>
      <c r="C903" s="1" t="n">
        <v>45586</v>
      </c>
      <c r="D903" t="inlineStr">
        <is>
          <t>VÄSTMANLANDS LÄN</t>
        </is>
      </c>
      <c r="E903" t="inlineStr">
        <is>
          <t>SALA</t>
        </is>
      </c>
      <c r="G903" t="n">
        <v>3.2</v>
      </c>
      <c r="H903" t="n">
        <v>0</v>
      </c>
      <c r="I903" t="n">
        <v>0</v>
      </c>
      <c r="J903" t="n">
        <v>0</v>
      </c>
      <c r="K903" t="n">
        <v>0</v>
      </c>
      <c r="L903" t="n">
        <v>0</v>
      </c>
      <c r="M903" t="n">
        <v>0</v>
      </c>
      <c r="N903" t="n">
        <v>0</v>
      </c>
      <c r="O903" t="n">
        <v>0</v>
      </c>
      <c r="P903" t="n">
        <v>0</v>
      </c>
      <c r="Q903" t="n">
        <v>0</v>
      </c>
      <c r="R903" s="2" t="inlineStr"/>
    </row>
    <row r="904" ht="15" customHeight="1">
      <c r="A904" t="inlineStr">
        <is>
          <t>A 9874-2024</t>
        </is>
      </c>
      <c r="B904" s="1" t="n">
        <v>45363</v>
      </c>
      <c r="C904" s="1" t="n">
        <v>45586</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10255-2024</t>
        </is>
      </c>
      <c r="B905" s="1" t="n">
        <v>45365</v>
      </c>
      <c r="C905" s="1" t="n">
        <v>45586</v>
      </c>
      <c r="D905" t="inlineStr">
        <is>
          <t>VÄSTMANLANDS LÄN</t>
        </is>
      </c>
      <c r="E905" t="inlineStr">
        <is>
          <t>SALA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10559-2024</t>
        </is>
      </c>
      <c r="B906" s="1" t="n">
        <v>45366</v>
      </c>
      <c r="C906" s="1" t="n">
        <v>45586</v>
      </c>
      <c r="D906" t="inlineStr">
        <is>
          <t>VÄSTMANLANDS LÄN</t>
        </is>
      </c>
      <c r="E906" t="inlineStr">
        <is>
          <t>SALA</t>
        </is>
      </c>
      <c r="G906" t="n">
        <v>0.3</v>
      </c>
      <c r="H906" t="n">
        <v>0</v>
      </c>
      <c r="I906" t="n">
        <v>0</v>
      </c>
      <c r="J906" t="n">
        <v>0</v>
      </c>
      <c r="K906" t="n">
        <v>0</v>
      </c>
      <c r="L906" t="n">
        <v>0</v>
      </c>
      <c r="M906" t="n">
        <v>0</v>
      </c>
      <c r="N906" t="n">
        <v>0</v>
      </c>
      <c r="O906" t="n">
        <v>0</v>
      </c>
      <c r="P906" t="n">
        <v>0</v>
      </c>
      <c r="Q906" t="n">
        <v>0</v>
      </c>
      <c r="R906" s="2" t="inlineStr"/>
    </row>
    <row r="907" ht="15" customHeight="1">
      <c r="A907" t="inlineStr">
        <is>
          <t>A 10751-2024</t>
        </is>
      </c>
      <c r="B907" s="1" t="n">
        <v>45369</v>
      </c>
      <c r="C907" s="1" t="n">
        <v>45586</v>
      </c>
      <c r="D907" t="inlineStr">
        <is>
          <t>VÄSTMANLANDS LÄN</t>
        </is>
      </c>
      <c r="E907" t="inlineStr">
        <is>
          <t>SALA</t>
        </is>
      </c>
      <c r="G907" t="n">
        <v>1.6</v>
      </c>
      <c r="H907" t="n">
        <v>0</v>
      </c>
      <c r="I907" t="n">
        <v>0</v>
      </c>
      <c r="J907" t="n">
        <v>0</v>
      </c>
      <c r="K907" t="n">
        <v>0</v>
      </c>
      <c r="L907" t="n">
        <v>0</v>
      </c>
      <c r="M907" t="n">
        <v>0</v>
      </c>
      <c r="N907" t="n">
        <v>0</v>
      </c>
      <c r="O907" t="n">
        <v>0</v>
      </c>
      <c r="P907" t="n">
        <v>0</v>
      </c>
      <c r="Q907" t="n">
        <v>0</v>
      </c>
      <c r="R907" s="2" t="inlineStr"/>
    </row>
    <row r="908" ht="15" customHeight="1">
      <c r="A908" t="inlineStr">
        <is>
          <t>A 10754-2024</t>
        </is>
      </c>
      <c r="B908" s="1" t="n">
        <v>45369</v>
      </c>
      <c r="C908" s="1" t="n">
        <v>45586</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10909-2024</t>
        </is>
      </c>
      <c r="B909" s="1" t="n">
        <v>45370</v>
      </c>
      <c r="C909" s="1" t="n">
        <v>45586</v>
      </c>
      <c r="D909" t="inlineStr">
        <is>
          <t>VÄSTMANLANDS LÄN</t>
        </is>
      </c>
      <c r="E909" t="inlineStr">
        <is>
          <t>SALA</t>
        </is>
      </c>
      <c r="G909" t="n">
        <v>3.3</v>
      </c>
      <c r="H909" t="n">
        <v>0</v>
      </c>
      <c r="I909" t="n">
        <v>0</v>
      </c>
      <c r="J909" t="n">
        <v>0</v>
      </c>
      <c r="K909" t="n">
        <v>0</v>
      </c>
      <c r="L909" t="n">
        <v>0</v>
      </c>
      <c r="M909" t="n">
        <v>0</v>
      </c>
      <c r="N909" t="n">
        <v>0</v>
      </c>
      <c r="O909" t="n">
        <v>0</v>
      </c>
      <c r="P909" t="n">
        <v>0</v>
      </c>
      <c r="Q909" t="n">
        <v>0</v>
      </c>
      <c r="R909" s="2" t="inlineStr"/>
    </row>
    <row r="910" ht="15" customHeight="1">
      <c r="A910" t="inlineStr">
        <is>
          <t>A 11244-2024</t>
        </is>
      </c>
      <c r="B910" s="1" t="n">
        <v>45371</v>
      </c>
      <c r="C910" s="1" t="n">
        <v>45586</v>
      </c>
      <c r="D910" t="inlineStr">
        <is>
          <t>VÄSTMANLANDS LÄN</t>
        </is>
      </c>
      <c r="E910" t="inlineStr">
        <is>
          <t>SALA</t>
        </is>
      </c>
      <c r="G910" t="n">
        <v>1.2</v>
      </c>
      <c r="H910" t="n">
        <v>0</v>
      </c>
      <c r="I910" t="n">
        <v>0</v>
      </c>
      <c r="J910" t="n">
        <v>0</v>
      </c>
      <c r="K910" t="n">
        <v>0</v>
      </c>
      <c r="L910" t="n">
        <v>0</v>
      </c>
      <c r="M910" t="n">
        <v>0</v>
      </c>
      <c r="N910" t="n">
        <v>0</v>
      </c>
      <c r="O910" t="n">
        <v>0</v>
      </c>
      <c r="P910" t="n">
        <v>0</v>
      </c>
      <c r="Q910" t="n">
        <v>0</v>
      </c>
      <c r="R910" s="2" t="inlineStr"/>
    </row>
    <row r="911" ht="15" customHeight="1">
      <c r="A911" t="inlineStr">
        <is>
          <t>A 11381-2024</t>
        </is>
      </c>
      <c r="B911" s="1" t="n">
        <v>45372</v>
      </c>
      <c r="C911" s="1" t="n">
        <v>45586</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11389-2024</t>
        </is>
      </c>
      <c r="B912" s="1" t="n">
        <v>45372</v>
      </c>
      <c r="C912" s="1" t="n">
        <v>45586</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11378-2024</t>
        </is>
      </c>
      <c r="B913" s="1" t="n">
        <v>45372</v>
      </c>
      <c r="C913" s="1" t="n">
        <v>45586</v>
      </c>
      <c r="D913" t="inlineStr">
        <is>
          <t>VÄSTMANLANDS LÄN</t>
        </is>
      </c>
      <c r="E913" t="inlineStr">
        <is>
          <t>SALA</t>
        </is>
      </c>
      <c r="G913" t="n">
        <v>2.9</v>
      </c>
      <c r="H913" t="n">
        <v>0</v>
      </c>
      <c r="I913" t="n">
        <v>0</v>
      </c>
      <c r="J913" t="n">
        <v>0</v>
      </c>
      <c r="K913" t="n">
        <v>0</v>
      </c>
      <c r="L913" t="n">
        <v>0</v>
      </c>
      <c r="M913" t="n">
        <v>0</v>
      </c>
      <c r="N913" t="n">
        <v>0</v>
      </c>
      <c r="O913" t="n">
        <v>0</v>
      </c>
      <c r="P913" t="n">
        <v>0</v>
      </c>
      <c r="Q913" t="n">
        <v>0</v>
      </c>
      <c r="R913" s="2" t="inlineStr"/>
    </row>
    <row r="914" ht="15" customHeight="1">
      <c r="A914" t="inlineStr">
        <is>
          <t>A 11492-2024</t>
        </is>
      </c>
      <c r="B914" s="1" t="n">
        <v>45372</v>
      </c>
      <c r="C914" s="1" t="n">
        <v>45586</v>
      </c>
      <c r="D914" t="inlineStr">
        <is>
          <t>VÄSTMANLANDS LÄN</t>
        </is>
      </c>
      <c r="E914" t="inlineStr">
        <is>
          <t>SALA</t>
        </is>
      </c>
      <c r="G914" t="n">
        <v>6.9</v>
      </c>
      <c r="H914" t="n">
        <v>0</v>
      </c>
      <c r="I914" t="n">
        <v>0</v>
      </c>
      <c r="J914" t="n">
        <v>0</v>
      </c>
      <c r="K914" t="n">
        <v>0</v>
      </c>
      <c r="L914" t="n">
        <v>0</v>
      </c>
      <c r="M914" t="n">
        <v>0</v>
      </c>
      <c r="N914" t="n">
        <v>0</v>
      </c>
      <c r="O914" t="n">
        <v>0</v>
      </c>
      <c r="P914" t="n">
        <v>0</v>
      </c>
      <c r="Q914" t="n">
        <v>0</v>
      </c>
      <c r="R914" s="2" t="inlineStr"/>
    </row>
    <row r="915" ht="15" customHeight="1">
      <c r="A915" t="inlineStr">
        <is>
          <t>A 11846-2024</t>
        </is>
      </c>
      <c r="B915" s="1" t="n">
        <v>45376</v>
      </c>
      <c r="C915" s="1" t="n">
        <v>45586</v>
      </c>
      <c r="D915" t="inlineStr">
        <is>
          <t>VÄSTMANLANDS LÄN</t>
        </is>
      </c>
      <c r="E915" t="inlineStr">
        <is>
          <t>SALA</t>
        </is>
      </c>
      <c r="G915" t="n">
        <v>8</v>
      </c>
      <c r="H915" t="n">
        <v>0</v>
      </c>
      <c r="I915" t="n">
        <v>0</v>
      </c>
      <c r="J915" t="n">
        <v>0</v>
      </c>
      <c r="K915" t="n">
        <v>0</v>
      </c>
      <c r="L915" t="n">
        <v>0</v>
      </c>
      <c r="M915" t="n">
        <v>0</v>
      </c>
      <c r="N915" t="n">
        <v>0</v>
      </c>
      <c r="O915" t="n">
        <v>0</v>
      </c>
      <c r="P915" t="n">
        <v>0</v>
      </c>
      <c r="Q915" t="n">
        <v>0</v>
      </c>
      <c r="R915" s="2" t="inlineStr"/>
    </row>
    <row r="916" ht="15" customHeight="1">
      <c r="A916" t="inlineStr">
        <is>
          <t>A 11847-2024</t>
        </is>
      </c>
      <c r="B916" s="1" t="n">
        <v>45376</v>
      </c>
      <c r="C916" s="1" t="n">
        <v>45586</v>
      </c>
      <c r="D916" t="inlineStr">
        <is>
          <t>VÄSTMANLANDS LÄN</t>
        </is>
      </c>
      <c r="E916" t="inlineStr">
        <is>
          <t>SALA</t>
        </is>
      </c>
      <c r="G916" t="n">
        <v>7.1</v>
      </c>
      <c r="H916" t="n">
        <v>0</v>
      </c>
      <c r="I916" t="n">
        <v>0</v>
      </c>
      <c r="J916" t="n">
        <v>0</v>
      </c>
      <c r="K916" t="n">
        <v>0</v>
      </c>
      <c r="L916" t="n">
        <v>0</v>
      </c>
      <c r="M916" t="n">
        <v>0</v>
      </c>
      <c r="N916" t="n">
        <v>0</v>
      </c>
      <c r="O916" t="n">
        <v>0</v>
      </c>
      <c r="P916" t="n">
        <v>0</v>
      </c>
      <c r="Q916" t="n">
        <v>0</v>
      </c>
      <c r="R916" s="2" t="inlineStr"/>
    </row>
    <row r="917" ht="15" customHeight="1">
      <c r="A917" t="inlineStr">
        <is>
          <t>A 12236-2024</t>
        </is>
      </c>
      <c r="B917" s="1" t="n">
        <v>45378</v>
      </c>
      <c r="C917" s="1" t="n">
        <v>45586</v>
      </c>
      <c r="D917" t="inlineStr">
        <is>
          <t>VÄSTMANLANDS LÄN</t>
        </is>
      </c>
      <c r="E917" t="inlineStr">
        <is>
          <t>SALA</t>
        </is>
      </c>
      <c r="F917" t="inlineStr">
        <is>
          <t>Kommuner</t>
        </is>
      </c>
      <c r="G917" t="n">
        <v>4.4</v>
      </c>
      <c r="H917" t="n">
        <v>0</v>
      </c>
      <c r="I917" t="n">
        <v>0</v>
      </c>
      <c r="J917" t="n">
        <v>0</v>
      </c>
      <c r="K917" t="n">
        <v>0</v>
      </c>
      <c r="L917" t="n">
        <v>0</v>
      </c>
      <c r="M917" t="n">
        <v>0</v>
      </c>
      <c r="N917" t="n">
        <v>0</v>
      </c>
      <c r="O917" t="n">
        <v>0</v>
      </c>
      <c r="P917" t="n">
        <v>0</v>
      </c>
      <c r="Q917" t="n">
        <v>0</v>
      </c>
      <c r="R917" s="2" t="inlineStr"/>
    </row>
    <row r="918" ht="15" customHeight="1">
      <c r="A918" t="inlineStr">
        <is>
          <t>A 12244-2024</t>
        </is>
      </c>
      <c r="B918" s="1" t="n">
        <v>45378</v>
      </c>
      <c r="C918" s="1" t="n">
        <v>45586</v>
      </c>
      <c r="D918" t="inlineStr">
        <is>
          <t>VÄSTMANLANDS LÄN</t>
        </is>
      </c>
      <c r="E918" t="inlineStr">
        <is>
          <t>SALA</t>
        </is>
      </c>
      <c r="G918" t="n">
        <v>3.6</v>
      </c>
      <c r="H918" t="n">
        <v>0</v>
      </c>
      <c r="I918" t="n">
        <v>0</v>
      </c>
      <c r="J918" t="n">
        <v>0</v>
      </c>
      <c r="K918" t="n">
        <v>0</v>
      </c>
      <c r="L918" t="n">
        <v>0</v>
      </c>
      <c r="M918" t="n">
        <v>0</v>
      </c>
      <c r="N918" t="n">
        <v>0</v>
      </c>
      <c r="O918" t="n">
        <v>0</v>
      </c>
      <c r="P918" t="n">
        <v>0</v>
      </c>
      <c r="Q918" t="n">
        <v>0</v>
      </c>
      <c r="R918" s="2" t="inlineStr"/>
    </row>
    <row r="919" ht="15" customHeight="1">
      <c r="A919" t="inlineStr">
        <is>
          <t>A 12237-2024</t>
        </is>
      </c>
      <c r="B919" s="1" t="n">
        <v>45378</v>
      </c>
      <c r="C919" s="1" t="n">
        <v>45586</v>
      </c>
      <c r="D919" t="inlineStr">
        <is>
          <t>VÄSTMANLANDS LÄN</t>
        </is>
      </c>
      <c r="E919" t="inlineStr">
        <is>
          <t>SALA</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12242-2024</t>
        </is>
      </c>
      <c r="B920" s="1" t="n">
        <v>45378</v>
      </c>
      <c r="C920" s="1" t="n">
        <v>45586</v>
      </c>
      <c r="D920" t="inlineStr">
        <is>
          <t>VÄSTMANLANDS LÄN</t>
        </is>
      </c>
      <c r="E920" t="inlineStr">
        <is>
          <t>SALA</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12463-2024</t>
        </is>
      </c>
      <c r="B921" s="1" t="n">
        <v>45378</v>
      </c>
      <c r="C921" s="1" t="n">
        <v>45586</v>
      </c>
      <c r="D921" t="inlineStr">
        <is>
          <t>VÄSTMANLANDS LÄN</t>
        </is>
      </c>
      <c r="E921" t="inlineStr">
        <is>
          <t>SALA</t>
        </is>
      </c>
      <c r="G921" t="n">
        <v>1.9</v>
      </c>
      <c r="H921" t="n">
        <v>0</v>
      </c>
      <c r="I921" t="n">
        <v>0</v>
      </c>
      <c r="J921" t="n">
        <v>0</v>
      </c>
      <c r="K921" t="n">
        <v>0</v>
      </c>
      <c r="L921" t="n">
        <v>0</v>
      </c>
      <c r="M921" t="n">
        <v>0</v>
      </c>
      <c r="N921" t="n">
        <v>0</v>
      </c>
      <c r="O921" t="n">
        <v>0</v>
      </c>
      <c r="P921" t="n">
        <v>0</v>
      </c>
      <c r="Q921" t="n">
        <v>0</v>
      </c>
      <c r="R921" s="2" t="inlineStr"/>
    </row>
    <row r="922" ht="15" customHeight="1">
      <c r="A922" t="inlineStr">
        <is>
          <t>A 12485-2024</t>
        </is>
      </c>
      <c r="B922" s="1" t="n">
        <v>45379</v>
      </c>
      <c r="C922" s="1" t="n">
        <v>45586</v>
      </c>
      <c r="D922" t="inlineStr">
        <is>
          <t>VÄSTMANLANDS LÄN</t>
        </is>
      </c>
      <c r="E922" t="inlineStr">
        <is>
          <t>SALA</t>
        </is>
      </c>
      <c r="G922" t="n">
        <v>2.6</v>
      </c>
      <c r="H922" t="n">
        <v>0</v>
      </c>
      <c r="I922" t="n">
        <v>0</v>
      </c>
      <c r="J922" t="n">
        <v>0</v>
      </c>
      <c r="K922" t="n">
        <v>0</v>
      </c>
      <c r="L922" t="n">
        <v>0</v>
      </c>
      <c r="M922" t="n">
        <v>0</v>
      </c>
      <c r="N922" t="n">
        <v>0</v>
      </c>
      <c r="O922" t="n">
        <v>0</v>
      </c>
      <c r="P922" t="n">
        <v>0</v>
      </c>
      <c r="Q922" t="n">
        <v>0</v>
      </c>
      <c r="R922" s="2" t="inlineStr"/>
    </row>
    <row r="923" ht="15" customHeight="1">
      <c r="A923" t="inlineStr">
        <is>
          <t>A 13106-2024</t>
        </is>
      </c>
      <c r="B923" s="1" t="n">
        <v>45385</v>
      </c>
      <c r="C923" s="1" t="n">
        <v>45586</v>
      </c>
      <c r="D923" t="inlineStr">
        <is>
          <t>VÄSTMANLANDS LÄN</t>
        </is>
      </c>
      <c r="E923" t="inlineStr">
        <is>
          <t>SALA</t>
        </is>
      </c>
      <c r="G923" t="n">
        <v>2.4</v>
      </c>
      <c r="H923" t="n">
        <v>0</v>
      </c>
      <c r="I923" t="n">
        <v>0</v>
      </c>
      <c r="J923" t="n">
        <v>0</v>
      </c>
      <c r="K923" t="n">
        <v>0</v>
      </c>
      <c r="L923" t="n">
        <v>0</v>
      </c>
      <c r="M923" t="n">
        <v>0</v>
      </c>
      <c r="N923" t="n">
        <v>0</v>
      </c>
      <c r="O923" t="n">
        <v>0</v>
      </c>
      <c r="P923" t="n">
        <v>0</v>
      </c>
      <c r="Q923" t="n">
        <v>0</v>
      </c>
      <c r="R923" s="2" t="inlineStr"/>
    </row>
    <row r="924" ht="15" customHeight="1">
      <c r="A924" t="inlineStr">
        <is>
          <t>A 13110-2024</t>
        </is>
      </c>
      <c r="B924" s="1" t="n">
        <v>45385</v>
      </c>
      <c r="C924" s="1" t="n">
        <v>45586</v>
      </c>
      <c r="D924" t="inlineStr">
        <is>
          <t>VÄSTMANLANDS LÄN</t>
        </is>
      </c>
      <c r="E924" t="inlineStr">
        <is>
          <t>SALA</t>
        </is>
      </c>
      <c r="G924" t="n">
        <v>3</v>
      </c>
      <c r="H924" t="n">
        <v>0</v>
      </c>
      <c r="I924" t="n">
        <v>0</v>
      </c>
      <c r="J924" t="n">
        <v>0</v>
      </c>
      <c r="K924" t="n">
        <v>0</v>
      </c>
      <c r="L924" t="n">
        <v>0</v>
      </c>
      <c r="M924" t="n">
        <v>0</v>
      </c>
      <c r="N924" t="n">
        <v>0</v>
      </c>
      <c r="O924" t="n">
        <v>0</v>
      </c>
      <c r="P924" t="n">
        <v>0</v>
      </c>
      <c r="Q924" t="n">
        <v>0</v>
      </c>
      <c r="R924" s="2" t="inlineStr"/>
    </row>
    <row r="925" ht="15" customHeight="1">
      <c r="A925" t="inlineStr">
        <is>
          <t>A 14001-2024</t>
        </is>
      </c>
      <c r="B925" s="1" t="n">
        <v>45392</v>
      </c>
      <c r="C925" s="1" t="n">
        <v>45586</v>
      </c>
      <c r="D925" t="inlineStr">
        <is>
          <t>VÄSTMANLANDS LÄN</t>
        </is>
      </c>
      <c r="E925" t="inlineStr">
        <is>
          <t>SALA</t>
        </is>
      </c>
      <c r="G925" t="n">
        <v>2.2</v>
      </c>
      <c r="H925" t="n">
        <v>0</v>
      </c>
      <c r="I925" t="n">
        <v>0</v>
      </c>
      <c r="J925" t="n">
        <v>0</v>
      </c>
      <c r="K925" t="n">
        <v>0</v>
      </c>
      <c r="L925" t="n">
        <v>0</v>
      </c>
      <c r="M925" t="n">
        <v>0</v>
      </c>
      <c r="N925" t="n">
        <v>0</v>
      </c>
      <c r="O925" t="n">
        <v>0</v>
      </c>
      <c r="P925" t="n">
        <v>0</v>
      </c>
      <c r="Q925" t="n">
        <v>0</v>
      </c>
      <c r="R925" s="2" t="inlineStr"/>
    </row>
    <row r="926" ht="15" customHeight="1">
      <c r="A926" t="inlineStr">
        <is>
          <t>A 14115-2024</t>
        </is>
      </c>
      <c r="B926" s="1" t="n">
        <v>45392</v>
      </c>
      <c r="C926" s="1" t="n">
        <v>45586</v>
      </c>
      <c r="D926" t="inlineStr">
        <is>
          <t>VÄSTMANLANDS LÄN</t>
        </is>
      </c>
      <c r="E926" t="inlineStr">
        <is>
          <t>SALA</t>
        </is>
      </c>
      <c r="G926" t="n">
        <v>5</v>
      </c>
      <c r="H926" t="n">
        <v>0</v>
      </c>
      <c r="I926" t="n">
        <v>0</v>
      </c>
      <c r="J926" t="n">
        <v>0</v>
      </c>
      <c r="K926" t="n">
        <v>0</v>
      </c>
      <c r="L926" t="n">
        <v>0</v>
      </c>
      <c r="M926" t="n">
        <v>0</v>
      </c>
      <c r="N926" t="n">
        <v>0</v>
      </c>
      <c r="O926" t="n">
        <v>0</v>
      </c>
      <c r="P926" t="n">
        <v>0</v>
      </c>
      <c r="Q926" t="n">
        <v>0</v>
      </c>
      <c r="R926" s="2" t="inlineStr"/>
    </row>
    <row r="927" ht="15" customHeight="1">
      <c r="A927" t="inlineStr">
        <is>
          <t>A 14181-2024</t>
        </is>
      </c>
      <c r="B927" s="1" t="n">
        <v>45393</v>
      </c>
      <c r="C927" s="1" t="n">
        <v>45586</v>
      </c>
      <c r="D927" t="inlineStr">
        <is>
          <t>VÄSTMANLANDS LÄN</t>
        </is>
      </c>
      <c r="E927" t="inlineStr">
        <is>
          <t>SALA</t>
        </is>
      </c>
      <c r="G927" t="n">
        <v>6.4</v>
      </c>
      <c r="H927" t="n">
        <v>0</v>
      </c>
      <c r="I927" t="n">
        <v>0</v>
      </c>
      <c r="J927" t="n">
        <v>0</v>
      </c>
      <c r="K927" t="n">
        <v>0</v>
      </c>
      <c r="L927" t="n">
        <v>0</v>
      </c>
      <c r="M927" t="n">
        <v>0</v>
      </c>
      <c r="N927" t="n">
        <v>0</v>
      </c>
      <c r="O927" t="n">
        <v>0</v>
      </c>
      <c r="P927" t="n">
        <v>0</v>
      </c>
      <c r="Q927" t="n">
        <v>0</v>
      </c>
      <c r="R927" s="2" t="inlineStr"/>
    </row>
    <row r="928" ht="15" customHeight="1">
      <c r="A928" t="inlineStr">
        <is>
          <t>A 15972-2024</t>
        </is>
      </c>
      <c r="B928" s="1" t="n">
        <v>45405</v>
      </c>
      <c r="C928" s="1" t="n">
        <v>45586</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15968-2024</t>
        </is>
      </c>
      <c r="B929" s="1" t="n">
        <v>45405</v>
      </c>
      <c r="C929" s="1" t="n">
        <v>45586</v>
      </c>
      <c r="D929" t="inlineStr">
        <is>
          <t>VÄSTMANLANDS LÄN</t>
        </is>
      </c>
      <c r="E929" t="inlineStr">
        <is>
          <t>SALA</t>
        </is>
      </c>
      <c r="G929" t="n">
        <v>0.7</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v>
      </c>
      <c r="C930" s="1" t="n">
        <v>45586</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16159-2024</t>
        </is>
      </c>
      <c r="B931" s="1" t="n">
        <v>45406</v>
      </c>
      <c r="C931" s="1" t="n">
        <v>45586</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16163-2024</t>
        </is>
      </c>
      <c r="B932" s="1" t="n">
        <v>45406</v>
      </c>
      <c r="C932" s="1" t="n">
        <v>45586</v>
      </c>
      <c r="D932" t="inlineStr">
        <is>
          <t>VÄSTMANLANDS LÄN</t>
        </is>
      </c>
      <c r="E932" t="inlineStr">
        <is>
          <t>SALA</t>
        </is>
      </c>
      <c r="G932" t="n">
        <v>3.2</v>
      </c>
      <c r="H932" t="n">
        <v>0</v>
      </c>
      <c r="I932" t="n">
        <v>0</v>
      </c>
      <c r="J932" t="n">
        <v>0</v>
      </c>
      <c r="K932" t="n">
        <v>0</v>
      </c>
      <c r="L932" t="n">
        <v>0</v>
      </c>
      <c r="M932" t="n">
        <v>0</v>
      </c>
      <c r="N932" t="n">
        <v>0</v>
      </c>
      <c r="O932" t="n">
        <v>0</v>
      </c>
      <c r="P932" t="n">
        <v>0</v>
      </c>
      <c r="Q932" t="n">
        <v>0</v>
      </c>
      <c r="R932" s="2" t="inlineStr"/>
    </row>
    <row r="933" ht="15" customHeight="1">
      <c r="A933" t="inlineStr">
        <is>
          <t>A 16148-2024</t>
        </is>
      </c>
      <c r="B933" s="1" t="n">
        <v>45406</v>
      </c>
      <c r="C933" s="1" t="n">
        <v>45586</v>
      </c>
      <c r="D933" t="inlineStr">
        <is>
          <t>VÄSTMANLANDS LÄN</t>
        </is>
      </c>
      <c r="E933" t="inlineStr">
        <is>
          <t>SALA</t>
        </is>
      </c>
      <c r="G933" t="n">
        <v>5.1</v>
      </c>
      <c r="H933" t="n">
        <v>0</v>
      </c>
      <c r="I933" t="n">
        <v>0</v>
      </c>
      <c r="J933" t="n">
        <v>0</v>
      </c>
      <c r="K933" t="n">
        <v>0</v>
      </c>
      <c r="L933" t="n">
        <v>0</v>
      </c>
      <c r="M933" t="n">
        <v>0</v>
      </c>
      <c r="N933" t="n">
        <v>0</v>
      </c>
      <c r="O933" t="n">
        <v>0</v>
      </c>
      <c r="P933" t="n">
        <v>0</v>
      </c>
      <c r="Q933" t="n">
        <v>0</v>
      </c>
      <c r="R933" s="2" t="inlineStr"/>
    </row>
    <row r="934" ht="15" customHeight="1">
      <c r="A934" t="inlineStr">
        <is>
          <t>A 16160-2024</t>
        </is>
      </c>
      <c r="B934" s="1" t="n">
        <v>45406</v>
      </c>
      <c r="C934" s="1" t="n">
        <v>45586</v>
      </c>
      <c r="D934" t="inlineStr">
        <is>
          <t>VÄSTMANLANDS LÄN</t>
        </is>
      </c>
      <c r="E934" t="inlineStr">
        <is>
          <t>SALA</t>
        </is>
      </c>
      <c r="G934" t="n">
        <v>1.1</v>
      </c>
      <c r="H934" t="n">
        <v>0</v>
      </c>
      <c r="I934" t="n">
        <v>0</v>
      </c>
      <c r="J934" t="n">
        <v>0</v>
      </c>
      <c r="K934" t="n">
        <v>0</v>
      </c>
      <c r="L934" t="n">
        <v>0</v>
      </c>
      <c r="M934" t="n">
        <v>0</v>
      </c>
      <c r="N934" t="n">
        <v>0</v>
      </c>
      <c r="O934" t="n">
        <v>0</v>
      </c>
      <c r="P934" t="n">
        <v>0</v>
      </c>
      <c r="Q934" t="n">
        <v>0</v>
      </c>
      <c r="R934" s="2" t="inlineStr"/>
    </row>
    <row r="935" ht="15" customHeight="1">
      <c r="A935" t="inlineStr">
        <is>
          <t>A 16767-2024</t>
        </is>
      </c>
      <c r="B935" s="1" t="n">
        <v>45411</v>
      </c>
      <c r="C935" s="1" t="n">
        <v>45586</v>
      </c>
      <c r="D935" t="inlineStr">
        <is>
          <t>VÄSTMANLANDS LÄN</t>
        </is>
      </c>
      <c r="E935" t="inlineStr">
        <is>
          <t>SALA</t>
        </is>
      </c>
      <c r="G935" t="n">
        <v>2.5</v>
      </c>
      <c r="H935" t="n">
        <v>0</v>
      </c>
      <c r="I935" t="n">
        <v>0</v>
      </c>
      <c r="J935" t="n">
        <v>0</v>
      </c>
      <c r="K935" t="n">
        <v>0</v>
      </c>
      <c r="L935" t="n">
        <v>0</v>
      </c>
      <c r="M935" t="n">
        <v>0</v>
      </c>
      <c r="N935" t="n">
        <v>0</v>
      </c>
      <c r="O935" t="n">
        <v>0</v>
      </c>
      <c r="P935" t="n">
        <v>0</v>
      </c>
      <c r="Q935" t="n">
        <v>0</v>
      </c>
      <c r="R935" s="2" t="inlineStr"/>
    </row>
    <row r="936" ht="15" customHeight="1">
      <c r="A936" t="inlineStr">
        <is>
          <t>A 16760-2024</t>
        </is>
      </c>
      <c r="B936" s="1" t="n">
        <v>45411</v>
      </c>
      <c r="C936" s="1" t="n">
        <v>45586</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16769-2024</t>
        </is>
      </c>
      <c r="B937" s="1" t="n">
        <v>45411</v>
      </c>
      <c r="C937" s="1" t="n">
        <v>45586</v>
      </c>
      <c r="D937" t="inlineStr">
        <is>
          <t>VÄSTMANLANDS LÄN</t>
        </is>
      </c>
      <c r="E937" t="inlineStr">
        <is>
          <t>SALA</t>
        </is>
      </c>
      <c r="G937" t="n">
        <v>12</v>
      </c>
      <c r="H937" t="n">
        <v>0</v>
      </c>
      <c r="I937" t="n">
        <v>0</v>
      </c>
      <c r="J937" t="n">
        <v>0</v>
      </c>
      <c r="K937" t="n">
        <v>0</v>
      </c>
      <c r="L937" t="n">
        <v>0</v>
      </c>
      <c r="M937" t="n">
        <v>0</v>
      </c>
      <c r="N937" t="n">
        <v>0</v>
      </c>
      <c r="O937" t="n">
        <v>0</v>
      </c>
      <c r="P937" t="n">
        <v>0</v>
      </c>
      <c r="Q937" t="n">
        <v>0</v>
      </c>
      <c r="R937" s="2" t="inlineStr"/>
    </row>
    <row r="938" ht="15" customHeight="1">
      <c r="A938" t="inlineStr">
        <is>
          <t>A 17455-2024</t>
        </is>
      </c>
      <c r="B938" s="1" t="n">
        <v>45415</v>
      </c>
      <c r="C938" s="1" t="n">
        <v>45586</v>
      </c>
      <c r="D938" t="inlineStr">
        <is>
          <t>VÄSTMANLANDS LÄN</t>
        </is>
      </c>
      <c r="E938" t="inlineStr">
        <is>
          <t>SALA</t>
        </is>
      </c>
      <c r="G938" t="n">
        <v>2.8</v>
      </c>
      <c r="H938" t="n">
        <v>0</v>
      </c>
      <c r="I938" t="n">
        <v>0</v>
      </c>
      <c r="J938" t="n">
        <v>0</v>
      </c>
      <c r="K938" t="n">
        <v>0</v>
      </c>
      <c r="L938" t="n">
        <v>0</v>
      </c>
      <c r="M938" t="n">
        <v>0</v>
      </c>
      <c r="N938" t="n">
        <v>0</v>
      </c>
      <c r="O938" t="n">
        <v>0</v>
      </c>
      <c r="P938" t="n">
        <v>0</v>
      </c>
      <c r="Q938" t="n">
        <v>0</v>
      </c>
      <c r="R938" s="2" t="inlineStr"/>
    </row>
    <row r="939" ht="15" customHeight="1">
      <c r="A939" t="inlineStr">
        <is>
          <t>A 17495-2024</t>
        </is>
      </c>
      <c r="B939" s="1" t="n">
        <v>45415</v>
      </c>
      <c r="C939" s="1" t="n">
        <v>45586</v>
      </c>
      <c r="D939" t="inlineStr">
        <is>
          <t>VÄSTMANLANDS LÄN</t>
        </is>
      </c>
      <c r="E939" t="inlineStr">
        <is>
          <t>SALA</t>
        </is>
      </c>
      <c r="G939" t="n">
        <v>3.1</v>
      </c>
      <c r="H939" t="n">
        <v>0</v>
      </c>
      <c r="I939" t="n">
        <v>0</v>
      </c>
      <c r="J939" t="n">
        <v>0</v>
      </c>
      <c r="K939" t="n">
        <v>0</v>
      </c>
      <c r="L939" t="n">
        <v>0</v>
      </c>
      <c r="M939" t="n">
        <v>0</v>
      </c>
      <c r="N939" t="n">
        <v>0</v>
      </c>
      <c r="O939" t="n">
        <v>0</v>
      </c>
      <c r="P939" t="n">
        <v>0</v>
      </c>
      <c r="Q939" t="n">
        <v>0</v>
      </c>
      <c r="R939" s="2" t="inlineStr"/>
    </row>
    <row r="940" ht="15" customHeight="1">
      <c r="A940" t="inlineStr">
        <is>
          <t>A 17457-2024</t>
        </is>
      </c>
      <c r="B940" s="1" t="n">
        <v>45415</v>
      </c>
      <c r="C940" s="1" t="n">
        <v>45586</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17458-2024</t>
        </is>
      </c>
      <c r="B941" s="1" t="n">
        <v>45415</v>
      </c>
      <c r="C941" s="1" t="n">
        <v>45586</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17496-2024</t>
        </is>
      </c>
      <c r="B942" s="1" t="n">
        <v>45415</v>
      </c>
      <c r="C942" s="1" t="n">
        <v>45586</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17918-2024</t>
        </is>
      </c>
      <c r="B943" s="1" t="n">
        <v>45419</v>
      </c>
      <c r="C943" s="1" t="n">
        <v>45586</v>
      </c>
      <c r="D943" t="inlineStr">
        <is>
          <t>VÄSTMANLANDS LÄN</t>
        </is>
      </c>
      <c r="E943" t="inlineStr">
        <is>
          <t>SALA</t>
        </is>
      </c>
      <c r="G943" t="n">
        <v>4.5</v>
      </c>
      <c r="H943" t="n">
        <v>0</v>
      </c>
      <c r="I943" t="n">
        <v>0</v>
      </c>
      <c r="J943" t="n">
        <v>0</v>
      </c>
      <c r="K943" t="n">
        <v>0</v>
      </c>
      <c r="L943" t="n">
        <v>0</v>
      </c>
      <c r="M943" t="n">
        <v>0</v>
      </c>
      <c r="N943" t="n">
        <v>0</v>
      </c>
      <c r="O943" t="n">
        <v>0</v>
      </c>
      <c r="P943" t="n">
        <v>0</v>
      </c>
      <c r="Q943" t="n">
        <v>0</v>
      </c>
      <c r="R943" s="2" t="inlineStr"/>
    </row>
    <row r="944" ht="15" customHeight="1">
      <c r="A944" t="inlineStr">
        <is>
          <t>A 18461-2024</t>
        </is>
      </c>
      <c r="B944" s="1" t="n">
        <v>45425</v>
      </c>
      <c r="C944" s="1" t="n">
        <v>45586</v>
      </c>
      <c r="D944" t="inlineStr">
        <is>
          <t>VÄSTMANLANDS LÄN</t>
        </is>
      </c>
      <c r="E944" t="inlineStr">
        <is>
          <t>SALA</t>
        </is>
      </c>
      <c r="G944" t="n">
        <v>1.7</v>
      </c>
      <c r="H944" t="n">
        <v>0</v>
      </c>
      <c r="I944" t="n">
        <v>0</v>
      </c>
      <c r="J944" t="n">
        <v>0</v>
      </c>
      <c r="K944" t="n">
        <v>0</v>
      </c>
      <c r="L944" t="n">
        <v>0</v>
      </c>
      <c r="M944" t="n">
        <v>0</v>
      </c>
      <c r="N944" t="n">
        <v>0</v>
      </c>
      <c r="O944" t="n">
        <v>0</v>
      </c>
      <c r="P944" t="n">
        <v>0</v>
      </c>
      <c r="Q944" t="n">
        <v>0</v>
      </c>
      <c r="R944" s="2" t="inlineStr"/>
    </row>
    <row r="945" ht="15" customHeight="1">
      <c r="A945" t="inlineStr">
        <is>
          <t>A 18522-2024</t>
        </is>
      </c>
      <c r="B945" s="1" t="n">
        <v>45425</v>
      </c>
      <c r="C945" s="1" t="n">
        <v>45586</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18750-2024</t>
        </is>
      </c>
      <c r="B946" s="1" t="n">
        <v>45426</v>
      </c>
      <c r="C946" s="1" t="n">
        <v>45586</v>
      </c>
      <c r="D946" t="inlineStr">
        <is>
          <t>VÄSTMANLANDS LÄN</t>
        </is>
      </c>
      <c r="E946" t="inlineStr">
        <is>
          <t>SALA</t>
        </is>
      </c>
      <c r="G946" t="n">
        <v>5.5</v>
      </c>
      <c r="H946" t="n">
        <v>0</v>
      </c>
      <c r="I946" t="n">
        <v>0</v>
      </c>
      <c r="J946" t="n">
        <v>0</v>
      </c>
      <c r="K946" t="n">
        <v>0</v>
      </c>
      <c r="L946" t="n">
        <v>0</v>
      </c>
      <c r="M946" t="n">
        <v>0</v>
      </c>
      <c r="N946" t="n">
        <v>0</v>
      </c>
      <c r="O946" t="n">
        <v>0</v>
      </c>
      <c r="P946" t="n">
        <v>0</v>
      </c>
      <c r="Q946" t="n">
        <v>0</v>
      </c>
      <c r="R946" s="2" t="inlineStr"/>
    </row>
    <row r="947" ht="15" customHeight="1">
      <c r="A947" t="inlineStr">
        <is>
          <t>A 18762-2024</t>
        </is>
      </c>
      <c r="B947" s="1" t="n">
        <v>45426</v>
      </c>
      <c r="C947" s="1" t="n">
        <v>45586</v>
      </c>
      <c r="D947" t="inlineStr">
        <is>
          <t>VÄSTMANLANDS LÄN</t>
        </is>
      </c>
      <c r="E947" t="inlineStr">
        <is>
          <t>SALA</t>
        </is>
      </c>
      <c r="G947" t="n">
        <v>6.2</v>
      </c>
      <c r="H947" t="n">
        <v>0</v>
      </c>
      <c r="I947" t="n">
        <v>0</v>
      </c>
      <c r="J947" t="n">
        <v>0</v>
      </c>
      <c r="K947" t="n">
        <v>0</v>
      </c>
      <c r="L947" t="n">
        <v>0</v>
      </c>
      <c r="M947" t="n">
        <v>0</v>
      </c>
      <c r="N947" t="n">
        <v>0</v>
      </c>
      <c r="O947" t="n">
        <v>0</v>
      </c>
      <c r="P947" t="n">
        <v>0</v>
      </c>
      <c r="Q947" t="n">
        <v>0</v>
      </c>
      <c r="R947" s="2" t="inlineStr"/>
    </row>
    <row r="948" ht="15" customHeight="1">
      <c r="A948" t="inlineStr">
        <is>
          <t>A 19224-2024</t>
        </is>
      </c>
      <c r="B948" s="1" t="n">
        <v>45428</v>
      </c>
      <c r="C948" s="1" t="n">
        <v>45586</v>
      </c>
      <c r="D948" t="inlineStr">
        <is>
          <t>VÄSTMANLANDS LÄN</t>
        </is>
      </c>
      <c r="E948" t="inlineStr">
        <is>
          <t>SALA</t>
        </is>
      </c>
      <c r="G948" t="n">
        <v>1.5</v>
      </c>
      <c r="H948" t="n">
        <v>0</v>
      </c>
      <c r="I948" t="n">
        <v>0</v>
      </c>
      <c r="J948" t="n">
        <v>0</v>
      </c>
      <c r="K948" t="n">
        <v>0</v>
      </c>
      <c r="L948" t="n">
        <v>0</v>
      </c>
      <c r="M948" t="n">
        <v>0</v>
      </c>
      <c r="N948" t="n">
        <v>0</v>
      </c>
      <c r="O948" t="n">
        <v>0</v>
      </c>
      <c r="P948" t="n">
        <v>0</v>
      </c>
      <c r="Q948" t="n">
        <v>0</v>
      </c>
      <c r="R948" s="2" t="inlineStr"/>
    </row>
    <row r="949" ht="15" customHeight="1">
      <c r="A949" t="inlineStr">
        <is>
          <t>A 19803-2024</t>
        </is>
      </c>
      <c r="B949" s="1" t="n">
        <v>45432</v>
      </c>
      <c r="C949" s="1" t="n">
        <v>45586</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19860-2024</t>
        </is>
      </c>
      <c r="B950" s="1" t="n">
        <v>45433</v>
      </c>
      <c r="C950" s="1" t="n">
        <v>45586</v>
      </c>
      <c r="D950" t="inlineStr">
        <is>
          <t>VÄSTMANLANDS LÄN</t>
        </is>
      </c>
      <c r="E950" t="inlineStr">
        <is>
          <t>SALA</t>
        </is>
      </c>
      <c r="G950" t="n">
        <v>2.2</v>
      </c>
      <c r="H950" t="n">
        <v>0</v>
      </c>
      <c r="I950" t="n">
        <v>0</v>
      </c>
      <c r="J950" t="n">
        <v>0</v>
      </c>
      <c r="K950" t="n">
        <v>0</v>
      </c>
      <c r="L950" t="n">
        <v>0</v>
      </c>
      <c r="M950" t="n">
        <v>0</v>
      </c>
      <c r="N950" t="n">
        <v>0</v>
      </c>
      <c r="O950" t="n">
        <v>0</v>
      </c>
      <c r="P950" t="n">
        <v>0</v>
      </c>
      <c r="Q950" t="n">
        <v>0</v>
      </c>
      <c r="R950" s="2" t="inlineStr"/>
    </row>
    <row r="951" ht="15" customHeight="1">
      <c r="A951" t="inlineStr">
        <is>
          <t>A 19969-2024</t>
        </is>
      </c>
      <c r="B951" s="1" t="n">
        <v>45433</v>
      </c>
      <c r="C951" s="1" t="n">
        <v>45586</v>
      </c>
      <c r="D951" t="inlineStr">
        <is>
          <t>VÄSTMANLANDS LÄN</t>
        </is>
      </c>
      <c r="E951" t="inlineStr">
        <is>
          <t>SALA</t>
        </is>
      </c>
      <c r="G951" t="n">
        <v>4.7</v>
      </c>
      <c r="H951" t="n">
        <v>0</v>
      </c>
      <c r="I951" t="n">
        <v>0</v>
      </c>
      <c r="J951" t="n">
        <v>0</v>
      </c>
      <c r="K951" t="n">
        <v>0</v>
      </c>
      <c r="L951" t="n">
        <v>0</v>
      </c>
      <c r="M951" t="n">
        <v>0</v>
      </c>
      <c r="N951" t="n">
        <v>0</v>
      </c>
      <c r="O951" t="n">
        <v>0</v>
      </c>
      <c r="P951" t="n">
        <v>0</v>
      </c>
      <c r="Q951" t="n">
        <v>0</v>
      </c>
      <c r="R951" s="2" t="inlineStr"/>
    </row>
    <row r="952" ht="15" customHeight="1">
      <c r="A952" t="inlineStr">
        <is>
          <t>A 21234-2024</t>
        </is>
      </c>
      <c r="B952" s="1" t="n">
        <v>45440</v>
      </c>
      <c r="C952" s="1" t="n">
        <v>45586</v>
      </c>
      <c r="D952" t="inlineStr">
        <is>
          <t>VÄSTMANLANDS LÄN</t>
        </is>
      </c>
      <c r="E952" t="inlineStr">
        <is>
          <t>SALA</t>
        </is>
      </c>
      <c r="G952" t="n">
        <v>4.9</v>
      </c>
      <c r="H952" t="n">
        <v>0</v>
      </c>
      <c r="I952" t="n">
        <v>0</v>
      </c>
      <c r="J952" t="n">
        <v>0</v>
      </c>
      <c r="K952" t="n">
        <v>0</v>
      </c>
      <c r="L952" t="n">
        <v>0</v>
      </c>
      <c r="M952" t="n">
        <v>0</v>
      </c>
      <c r="N952" t="n">
        <v>0</v>
      </c>
      <c r="O952" t="n">
        <v>0</v>
      </c>
      <c r="P952" t="n">
        <v>0</v>
      </c>
      <c r="Q952" t="n">
        <v>0</v>
      </c>
      <c r="R952" s="2" t="inlineStr"/>
    </row>
    <row r="953" ht="15" customHeight="1">
      <c r="A953" t="inlineStr">
        <is>
          <t>A 21225-2024</t>
        </is>
      </c>
      <c r="B953" s="1" t="n">
        <v>45440</v>
      </c>
      <c r="C953" s="1" t="n">
        <v>45586</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21968-2024</t>
        </is>
      </c>
      <c r="B954" s="1" t="n">
        <v>45443</v>
      </c>
      <c r="C954" s="1" t="n">
        <v>45586</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23317-2024</t>
        </is>
      </c>
      <c r="B955" s="1" t="n">
        <v>45453</v>
      </c>
      <c r="C955" s="1" t="n">
        <v>45586</v>
      </c>
      <c r="D955" t="inlineStr">
        <is>
          <t>VÄSTMANLANDS LÄN</t>
        </is>
      </c>
      <c r="E955" t="inlineStr">
        <is>
          <t>SALA</t>
        </is>
      </c>
      <c r="G955" t="n">
        <v>6.5</v>
      </c>
      <c r="H955" t="n">
        <v>0</v>
      </c>
      <c r="I955" t="n">
        <v>0</v>
      </c>
      <c r="J955" t="n">
        <v>0</v>
      </c>
      <c r="K955" t="n">
        <v>0</v>
      </c>
      <c r="L955" t="n">
        <v>0</v>
      </c>
      <c r="M955" t="n">
        <v>0</v>
      </c>
      <c r="N955" t="n">
        <v>0</v>
      </c>
      <c r="O955" t="n">
        <v>0</v>
      </c>
      <c r="P955" t="n">
        <v>0</v>
      </c>
      <c r="Q955" t="n">
        <v>0</v>
      </c>
      <c r="R955" s="2" t="inlineStr"/>
    </row>
    <row r="956" ht="15" customHeight="1">
      <c r="A956" t="inlineStr">
        <is>
          <t>A 23406-2024</t>
        </is>
      </c>
      <c r="B956" s="1" t="n">
        <v>45453</v>
      </c>
      <c r="C956" s="1" t="n">
        <v>45586</v>
      </c>
      <c r="D956" t="inlineStr">
        <is>
          <t>VÄSTMANLANDS LÄN</t>
        </is>
      </c>
      <c r="E956" t="inlineStr">
        <is>
          <t>SALA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23431-2024</t>
        </is>
      </c>
      <c r="B957" s="1" t="n">
        <v>45453</v>
      </c>
      <c r="C957" s="1" t="n">
        <v>45586</v>
      </c>
      <c r="D957" t="inlineStr">
        <is>
          <t>VÄSTMANLANDS LÄN</t>
        </is>
      </c>
      <c r="E957" t="inlineStr">
        <is>
          <t>SALA</t>
        </is>
      </c>
      <c r="G957" t="n">
        <v>1.6</v>
      </c>
      <c r="H957" t="n">
        <v>0</v>
      </c>
      <c r="I957" t="n">
        <v>0</v>
      </c>
      <c r="J957" t="n">
        <v>0</v>
      </c>
      <c r="K957" t="n">
        <v>0</v>
      </c>
      <c r="L957" t="n">
        <v>0</v>
      </c>
      <c r="M957" t="n">
        <v>0</v>
      </c>
      <c r="N957" t="n">
        <v>0</v>
      </c>
      <c r="O957" t="n">
        <v>0</v>
      </c>
      <c r="P957" t="n">
        <v>0</v>
      </c>
      <c r="Q957" t="n">
        <v>0</v>
      </c>
      <c r="R957" s="2" t="inlineStr"/>
    </row>
    <row r="958" ht="15" customHeight="1">
      <c r="A958" t="inlineStr">
        <is>
          <t>A 23433-2024</t>
        </is>
      </c>
      <c r="B958" s="1" t="n">
        <v>45453</v>
      </c>
      <c r="C958" s="1" t="n">
        <v>45586</v>
      </c>
      <c r="D958" t="inlineStr">
        <is>
          <t>VÄSTMANLANDS LÄN</t>
        </is>
      </c>
      <c r="E958" t="inlineStr">
        <is>
          <t>SALA</t>
        </is>
      </c>
      <c r="G958" t="n">
        <v>2.1</v>
      </c>
      <c r="H958" t="n">
        <v>0</v>
      </c>
      <c r="I958" t="n">
        <v>0</v>
      </c>
      <c r="J958" t="n">
        <v>0</v>
      </c>
      <c r="K958" t="n">
        <v>0</v>
      </c>
      <c r="L958" t="n">
        <v>0</v>
      </c>
      <c r="M958" t="n">
        <v>0</v>
      </c>
      <c r="N958" t="n">
        <v>0</v>
      </c>
      <c r="O958" t="n">
        <v>0</v>
      </c>
      <c r="P958" t="n">
        <v>0</v>
      </c>
      <c r="Q958" t="n">
        <v>0</v>
      </c>
      <c r="R958" s="2" t="inlineStr"/>
    </row>
    <row r="959" ht="15" customHeight="1">
      <c r="A959" t="inlineStr">
        <is>
          <t>A 23322-2024</t>
        </is>
      </c>
      <c r="B959" s="1" t="n">
        <v>45453</v>
      </c>
      <c r="C959" s="1" t="n">
        <v>45586</v>
      </c>
      <c r="D959" t="inlineStr">
        <is>
          <t>VÄSTMANLANDS LÄN</t>
        </is>
      </c>
      <c r="E959" t="inlineStr">
        <is>
          <t>SALA</t>
        </is>
      </c>
      <c r="G959" t="n">
        <v>3.2</v>
      </c>
      <c r="H959" t="n">
        <v>0</v>
      </c>
      <c r="I959" t="n">
        <v>0</v>
      </c>
      <c r="J959" t="n">
        <v>0</v>
      </c>
      <c r="K959" t="n">
        <v>0</v>
      </c>
      <c r="L959" t="n">
        <v>0</v>
      </c>
      <c r="M959" t="n">
        <v>0</v>
      </c>
      <c r="N959" t="n">
        <v>0</v>
      </c>
      <c r="O959" t="n">
        <v>0</v>
      </c>
      <c r="P959" t="n">
        <v>0</v>
      </c>
      <c r="Q959" t="n">
        <v>0</v>
      </c>
      <c r="R959" s="2" t="inlineStr"/>
    </row>
    <row r="960" ht="15" customHeight="1">
      <c r="A960" t="inlineStr">
        <is>
          <t>A 23621-2024</t>
        </is>
      </c>
      <c r="B960" s="1" t="n">
        <v>45454</v>
      </c>
      <c r="C960" s="1" t="n">
        <v>45586</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24039-2024</t>
        </is>
      </c>
      <c r="B961" s="1" t="n">
        <v>45456</v>
      </c>
      <c r="C961" s="1" t="n">
        <v>45586</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24037-2024</t>
        </is>
      </c>
      <c r="B962" s="1" t="n">
        <v>45456</v>
      </c>
      <c r="C962" s="1" t="n">
        <v>45586</v>
      </c>
      <c r="D962" t="inlineStr">
        <is>
          <t>VÄSTMANLANDS LÄN</t>
        </is>
      </c>
      <c r="E962" t="inlineStr">
        <is>
          <t>SALA</t>
        </is>
      </c>
      <c r="G962" t="n">
        <v>1.4</v>
      </c>
      <c r="H962" t="n">
        <v>0</v>
      </c>
      <c r="I962" t="n">
        <v>0</v>
      </c>
      <c r="J962" t="n">
        <v>0</v>
      </c>
      <c r="K962" t="n">
        <v>0</v>
      </c>
      <c r="L962" t="n">
        <v>0</v>
      </c>
      <c r="M962" t="n">
        <v>0</v>
      </c>
      <c r="N962" t="n">
        <v>0</v>
      </c>
      <c r="O962" t="n">
        <v>0</v>
      </c>
      <c r="P962" t="n">
        <v>0</v>
      </c>
      <c r="Q962" t="n">
        <v>0</v>
      </c>
      <c r="R962" s="2" t="inlineStr"/>
    </row>
    <row r="963" ht="15" customHeight="1">
      <c r="A963" t="inlineStr">
        <is>
          <t>A 24175-2024</t>
        </is>
      </c>
      <c r="B963" s="1" t="n">
        <v>45456</v>
      </c>
      <c r="C963" s="1" t="n">
        <v>45586</v>
      </c>
      <c r="D963" t="inlineStr">
        <is>
          <t>VÄSTMANLANDS LÄN</t>
        </is>
      </c>
      <c r="E963" t="inlineStr">
        <is>
          <t>SALA</t>
        </is>
      </c>
      <c r="G963" t="n">
        <v>0.6</v>
      </c>
      <c r="H963" t="n">
        <v>0</v>
      </c>
      <c r="I963" t="n">
        <v>0</v>
      </c>
      <c r="J963" t="n">
        <v>0</v>
      </c>
      <c r="K963" t="n">
        <v>0</v>
      </c>
      <c r="L963" t="n">
        <v>0</v>
      </c>
      <c r="M963" t="n">
        <v>0</v>
      </c>
      <c r="N963" t="n">
        <v>0</v>
      </c>
      <c r="O963" t="n">
        <v>0</v>
      </c>
      <c r="P963" t="n">
        <v>0</v>
      </c>
      <c r="Q963" t="n">
        <v>0</v>
      </c>
      <c r="R963" s="2" t="inlineStr"/>
    </row>
    <row r="964" ht="15" customHeight="1">
      <c r="A964" t="inlineStr">
        <is>
          <t>A 24337-2024</t>
        </is>
      </c>
      <c r="B964" s="1" t="n">
        <v>45457</v>
      </c>
      <c r="C964" s="1" t="n">
        <v>45586</v>
      </c>
      <c r="D964" t="inlineStr">
        <is>
          <t>VÄSTMANLANDS LÄN</t>
        </is>
      </c>
      <c r="E964" t="inlineStr">
        <is>
          <t>SALA</t>
        </is>
      </c>
      <c r="G964" t="n">
        <v>2.9</v>
      </c>
      <c r="H964" t="n">
        <v>0</v>
      </c>
      <c r="I964" t="n">
        <v>0</v>
      </c>
      <c r="J964" t="n">
        <v>0</v>
      </c>
      <c r="K964" t="n">
        <v>0</v>
      </c>
      <c r="L964" t="n">
        <v>0</v>
      </c>
      <c r="M964" t="n">
        <v>0</v>
      </c>
      <c r="N964" t="n">
        <v>0</v>
      </c>
      <c r="O964" t="n">
        <v>0</v>
      </c>
      <c r="P964" t="n">
        <v>0</v>
      </c>
      <c r="Q964" t="n">
        <v>0</v>
      </c>
      <c r="R964" s="2" t="inlineStr"/>
    </row>
    <row r="965" ht="15" customHeight="1">
      <c r="A965" t="inlineStr">
        <is>
          <t>A 24375-2024</t>
        </is>
      </c>
      <c r="B965" s="1" t="n">
        <v>45457</v>
      </c>
      <c r="C965" s="1" t="n">
        <v>45586</v>
      </c>
      <c r="D965" t="inlineStr">
        <is>
          <t>VÄSTMANLANDS LÄN</t>
        </is>
      </c>
      <c r="E965" t="inlineStr">
        <is>
          <t>SALA</t>
        </is>
      </c>
      <c r="G965" t="n">
        <v>6.3</v>
      </c>
      <c r="H965" t="n">
        <v>0</v>
      </c>
      <c r="I965" t="n">
        <v>0</v>
      </c>
      <c r="J965" t="n">
        <v>0</v>
      </c>
      <c r="K965" t="n">
        <v>0</v>
      </c>
      <c r="L965" t="n">
        <v>0</v>
      </c>
      <c r="M965" t="n">
        <v>0</v>
      </c>
      <c r="N965" t="n">
        <v>0</v>
      </c>
      <c r="O965" t="n">
        <v>0</v>
      </c>
      <c r="P965" t="n">
        <v>0</v>
      </c>
      <c r="Q965" t="n">
        <v>0</v>
      </c>
      <c r="R965" s="2" t="inlineStr"/>
    </row>
    <row r="966" ht="15" customHeight="1">
      <c r="A966" t="inlineStr">
        <is>
          <t>A 24866-2024</t>
        </is>
      </c>
      <c r="B966" s="1" t="n">
        <v>45461</v>
      </c>
      <c r="C966" s="1" t="n">
        <v>45586</v>
      </c>
      <c r="D966" t="inlineStr">
        <is>
          <t>VÄSTMANLANDS LÄN</t>
        </is>
      </c>
      <c r="E966" t="inlineStr">
        <is>
          <t>SALA</t>
        </is>
      </c>
      <c r="G966" t="n">
        <v>2.8</v>
      </c>
      <c r="H966" t="n">
        <v>0</v>
      </c>
      <c r="I966" t="n">
        <v>0</v>
      </c>
      <c r="J966" t="n">
        <v>0</v>
      </c>
      <c r="K966" t="n">
        <v>0</v>
      </c>
      <c r="L966" t="n">
        <v>0</v>
      </c>
      <c r="M966" t="n">
        <v>0</v>
      </c>
      <c r="N966" t="n">
        <v>0</v>
      </c>
      <c r="O966" t="n">
        <v>0</v>
      </c>
      <c r="P966" t="n">
        <v>0</v>
      </c>
      <c r="Q966" t="n">
        <v>0</v>
      </c>
      <c r="R966" s="2" t="inlineStr"/>
    </row>
    <row r="967" ht="15" customHeight="1">
      <c r="A967" t="inlineStr">
        <is>
          <t>A 24900-2024</t>
        </is>
      </c>
      <c r="B967" s="1" t="n">
        <v>45461</v>
      </c>
      <c r="C967" s="1" t="n">
        <v>45586</v>
      </c>
      <c r="D967" t="inlineStr">
        <is>
          <t>VÄSTMANLANDS LÄN</t>
        </is>
      </c>
      <c r="E967" t="inlineStr">
        <is>
          <t>SALA</t>
        </is>
      </c>
      <c r="G967" t="n">
        <v>5.8</v>
      </c>
      <c r="H967" t="n">
        <v>0</v>
      </c>
      <c r="I967" t="n">
        <v>0</v>
      </c>
      <c r="J967" t="n">
        <v>0</v>
      </c>
      <c r="K967" t="n">
        <v>0</v>
      </c>
      <c r="L967" t="n">
        <v>0</v>
      </c>
      <c r="M967" t="n">
        <v>0</v>
      </c>
      <c r="N967" t="n">
        <v>0</v>
      </c>
      <c r="O967" t="n">
        <v>0</v>
      </c>
      <c r="P967" t="n">
        <v>0</v>
      </c>
      <c r="Q967" t="n">
        <v>0</v>
      </c>
      <c r="R967" s="2" t="inlineStr"/>
    </row>
    <row r="968" ht="15" customHeight="1">
      <c r="A968" t="inlineStr">
        <is>
          <t>A 24864-2024</t>
        </is>
      </c>
      <c r="B968" s="1" t="n">
        <v>45461</v>
      </c>
      <c r="C968" s="1" t="n">
        <v>45586</v>
      </c>
      <c r="D968" t="inlineStr">
        <is>
          <t>VÄSTMANLANDS LÄN</t>
        </is>
      </c>
      <c r="E968" t="inlineStr">
        <is>
          <t>SALA</t>
        </is>
      </c>
      <c r="G968" t="n">
        <v>0.6</v>
      </c>
      <c r="H968" t="n">
        <v>0</v>
      </c>
      <c r="I968" t="n">
        <v>0</v>
      </c>
      <c r="J968" t="n">
        <v>0</v>
      </c>
      <c r="K968" t="n">
        <v>0</v>
      </c>
      <c r="L968" t="n">
        <v>0</v>
      </c>
      <c r="M968" t="n">
        <v>0</v>
      </c>
      <c r="N968" t="n">
        <v>0</v>
      </c>
      <c r="O968" t="n">
        <v>0</v>
      </c>
      <c r="P968" t="n">
        <v>0</v>
      </c>
      <c r="Q968" t="n">
        <v>0</v>
      </c>
      <c r="R968" s="2" t="inlineStr"/>
    </row>
    <row r="969" ht="15" customHeight="1">
      <c r="A969" t="inlineStr">
        <is>
          <t>A 25541-2024</t>
        </is>
      </c>
      <c r="B969" s="1" t="n">
        <v>45463</v>
      </c>
      <c r="C969" s="1" t="n">
        <v>45586</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25860-2024</t>
        </is>
      </c>
      <c r="B970" s="1" t="n">
        <v>45467</v>
      </c>
      <c r="C970" s="1" t="n">
        <v>45586</v>
      </c>
      <c r="D970" t="inlineStr">
        <is>
          <t>VÄSTMANLANDS LÄN</t>
        </is>
      </c>
      <c r="E970" t="inlineStr">
        <is>
          <t>SALA</t>
        </is>
      </c>
      <c r="G970" t="n">
        <v>0.7</v>
      </c>
      <c r="H970" t="n">
        <v>0</v>
      </c>
      <c r="I970" t="n">
        <v>0</v>
      </c>
      <c r="J970" t="n">
        <v>0</v>
      </c>
      <c r="K970" t="n">
        <v>0</v>
      </c>
      <c r="L970" t="n">
        <v>0</v>
      </c>
      <c r="M970" t="n">
        <v>0</v>
      </c>
      <c r="N970" t="n">
        <v>0</v>
      </c>
      <c r="O970" t="n">
        <v>0</v>
      </c>
      <c r="P970" t="n">
        <v>0</v>
      </c>
      <c r="Q970" t="n">
        <v>0</v>
      </c>
      <c r="R970" s="2" t="inlineStr"/>
    </row>
    <row r="971" ht="15" customHeight="1">
      <c r="A971" t="inlineStr">
        <is>
          <t>A 25897-2024</t>
        </is>
      </c>
      <c r="B971" s="1" t="n">
        <v>45467</v>
      </c>
      <c r="C971" s="1" t="n">
        <v>45586</v>
      </c>
      <c r="D971" t="inlineStr">
        <is>
          <t>VÄSTMANLANDS LÄN</t>
        </is>
      </c>
      <c r="E971" t="inlineStr">
        <is>
          <t>SALA</t>
        </is>
      </c>
      <c r="G971" t="n">
        <v>9.9</v>
      </c>
      <c r="H971" t="n">
        <v>0</v>
      </c>
      <c r="I971" t="n">
        <v>0</v>
      </c>
      <c r="J971" t="n">
        <v>0</v>
      </c>
      <c r="K971" t="n">
        <v>0</v>
      </c>
      <c r="L971" t="n">
        <v>0</v>
      </c>
      <c r="M971" t="n">
        <v>0</v>
      </c>
      <c r="N971" t="n">
        <v>0</v>
      </c>
      <c r="O971" t="n">
        <v>0</v>
      </c>
      <c r="P971" t="n">
        <v>0</v>
      </c>
      <c r="Q971" t="n">
        <v>0</v>
      </c>
      <c r="R971" s="2" t="inlineStr"/>
    </row>
    <row r="972" ht="15" customHeight="1">
      <c r="A972" t="inlineStr">
        <is>
          <t>A 25891-2024</t>
        </is>
      </c>
      <c r="B972" s="1" t="n">
        <v>45467</v>
      </c>
      <c r="C972" s="1" t="n">
        <v>45586</v>
      </c>
      <c r="D972" t="inlineStr">
        <is>
          <t>VÄSTMANLANDS LÄN</t>
        </is>
      </c>
      <c r="E972" t="inlineStr">
        <is>
          <t>SALA</t>
        </is>
      </c>
      <c r="G972" t="n">
        <v>2.3</v>
      </c>
      <c r="H972" t="n">
        <v>0</v>
      </c>
      <c r="I972" t="n">
        <v>0</v>
      </c>
      <c r="J972" t="n">
        <v>0</v>
      </c>
      <c r="K972" t="n">
        <v>0</v>
      </c>
      <c r="L972" t="n">
        <v>0</v>
      </c>
      <c r="M972" t="n">
        <v>0</v>
      </c>
      <c r="N972" t="n">
        <v>0</v>
      </c>
      <c r="O972" t="n">
        <v>0</v>
      </c>
      <c r="P972" t="n">
        <v>0</v>
      </c>
      <c r="Q972" t="n">
        <v>0</v>
      </c>
      <c r="R972" s="2" t="inlineStr"/>
    </row>
    <row r="973" ht="15" customHeight="1">
      <c r="A973" t="inlineStr">
        <is>
          <t>A 25868-2024</t>
        </is>
      </c>
      <c r="B973" s="1" t="n">
        <v>45467</v>
      </c>
      <c r="C973" s="1" t="n">
        <v>45586</v>
      </c>
      <c r="D973" t="inlineStr">
        <is>
          <t>VÄSTMANLANDS LÄN</t>
        </is>
      </c>
      <c r="E973" t="inlineStr">
        <is>
          <t>SALA</t>
        </is>
      </c>
      <c r="G973" t="n">
        <v>0.8</v>
      </c>
      <c r="H973" t="n">
        <v>0</v>
      </c>
      <c r="I973" t="n">
        <v>0</v>
      </c>
      <c r="J973" t="n">
        <v>0</v>
      </c>
      <c r="K973" t="n">
        <v>0</v>
      </c>
      <c r="L973" t="n">
        <v>0</v>
      </c>
      <c r="M973" t="n">
        <v>0</v>
      </c>
      <c r="N973" t="n">
        <v>0</v>
      </c>
      <c r="O973" t="n">
        <v>0</v>
      </c>
      <c r="P973" t="n">
        <v>0</v>
      </c>
      <c r="Q973" t="n">
        <v>0</v>
      </c>
      <c r="R973" s="2" t="inlineStr"/>
    </row>
    <row r="974" ht="15" customHeight="1">
      <c r="A974" t="inlineStr">
        <is>
          <t>A 26854-2024</t>
        </is>
      </c>
      <c r="B974" s="1" t="n">
        <v>45470</v>
      </c>
      <c r="C974" s="1" t="n">
        <v>45586</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26848-2024</t>
        </is>
      </c>
      <c r="B975" s="1" t="n">
        <v>45470</v>
      </c>
      <c r="C975" s="1" t="n">
        <v>45586</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26844-2024</t>
        </is>
      </c>
      <c r="B976" s="1" t="n">
        <v>45470</v>
      </c>
      <c r="C976" s="1" t="n">
        <v>45586</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27097-2024</t>
        </is>
      </c>
      <c r="B977" s="1" t="n">
        <v>45471</v>
      </c>
      <c r="C977" s="1" t="n">
        <v>45586</v>
      </c>
      <c r="D977" t="inlineStr">
        <is>
          <t>VÄSTMANLANDS LÄN</t>
        </is>
      </c>
      <c r="E977" t="inlineStr">
        <is>
          <t>SALA</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27262-2024</t>
        </is>
      </c>
      <c r="B978" s="1" t="n">
        <v>45471</v>
      </c>
      <c r="C978" s="1" t="n">
        <v>45586</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27261-2024</t>
        </is>
      </c>
      <c r="B979" s="1" t="n">
        <v>45471</v>
      </c>
      <c r="C979" s="1" t="n">
        <v>45586</v>
      </c>
      <c r="D979" t="inlineStr">
        <is>
          <t>VÄSTMANLANDS LÄN</t>
        </is>
      </c>
      <c r="E979" t="inlineStr">
        <is>
          <t>SALA</t>
        </is>
      </c>
      <c r="G979" t="n">
        <v>6.1</v>
      </c>
      <c r="H979" t="n">
        <v>0</v>
      </c>
      <c r="I979" t="n">
        <v>0</v>
      </c>
      <c r="J979" t="n">
        <v>0</v>
      </c>
      <c r="K979" t="n">
        <v>0</v>
      </c>
      <c r="L979" t="n">
        <v>0</v>
      </c>
      <c r="M979" t="n">
        <v>0</v>
      </c>
      <c r="N979" t="n">
        <v>0</v>
      </c>
      <c r="O979" t="n">
        <v>0</v>
      </c>
      <c r="P979" t="n">
        <v>0</v>
      </c>
      <c r="Q979" t="n">
        <v>0</v>
      </c>
      <c r="R979" s="2" t="inlineStr"/>
    </row>
    <row r="980" ht="15" customHeight="1">
      <c r="A980" t="inlineStr">
        <is>
          <t>A 28082-2024</t>
        </is>
      </c>
      <c r="B980" s="1" t="n">
        <v>45476</v>
      </c>
      <c r="C980" s="1" t="n">
        <v>45586</v>
      </c>
      <c r="D980" t="inlineStr">
        <is>
          <t>VÄSTMANLANDS LÄN</t>
        </is>
      </c>
      <c r="E980" t="inlineStr">
        <is>
          <t>SALA</t>
        </is>
      </c>
      <c r="G980" t="n">
        <v>4.7</v>
      </c>
      <c r="H980" t="n">
        <v>0</v>
      </c>
      <c r="I980" t="n">
        <v>0</v>
      </c>
      <c r="J980" t="n">
        <v>0</v>
      </c>
      <c r="K980" t="n">
        <v>0</v>
      </c>
      <c r="L980" t="n">
        <v>0</v>
      </c>
      <c r="M980" t="n">
        <v>0</v>
      </c>
      <c r="N980" t="n">
        <v>0</v>
      </c>
      <c r="O980" t="n">
        <v>0</v>
      </c>
      <c r="P980" t="n">
        <v>0</v>
      </c>
      <c r="Q980" t="n">
        <v>0</v>
      </c>
      <c r="R980" s="2" t="inlineStr"/>
    </row>
    <row r="981" ht="15" customHeight="1">
      <c r="A981" t="inlineStr">
        <is>
          <t>A 28093-2024</t>
        </is>
      </c>
      <c r="B981" s="1" t="n">
        <v>45476</v>
      </c>
      <c r="C981" s="1" t="n">
        <v>45586</v>
      </c>
      <c r="D981" t="inlineStr">
        <is>
          <t>VÄSTMANLANDS LÄN</t>
        </is>
      </c>
      <c r="E981" t="inlineStr">
        <is>
          <t>SALA</t>
        </is>
      </c>
      <c r="G981" t="n">
        <v>4.2</v>
      </c>
      <c r="H981" t="n">
        <v>0</v>
      </c>
      <c r="I981" t="n">
        <v>0</v>
      </c>
      <c r="J981" t="n">
        <v>0</v>
      </c>
      <c r="K981" t="n">
        <v>0</v>
      </c>
      <c r="L981" t="n">
        <v>0</v>
      </c>
      <c r="M981" t="n">
        <v>0</v>
      </c>
      <c r="N981" t="n">
        <v>0</v>
      </c>
      <c r="O981" t="n">
        <v>0</v>
      </c>
      <c r="P981" t="n">
        <v>0</v>
      </c>
      <c r="Q981" t="n">
        <v>0</v>
      </c>
      <c r="R981" s="2" t="inlineStr"/>
    </row>
    <row r="982" ht="15" customHeight="1">
      <c r="A982" t="inlineStr">
        <is>
          <t>A 28439-2024</t>
        </is>
      </c>
      <c r="B982" s="1" t="n">
        <v>45477</v>
      </c>
      <c r="C982" s="1" t="n">
        <v>45586</v>
      </c>
      <c r="D982" t="inlineStr">
        <is>
          <t>VÄSTMANLANDS LÄN</t>
        </is>
      </c>
      <c r="E982" t="inlineStr">
        <is>
          <t>SALA</t>
        </is>
      </c>
      <c r="G982" t="n">
        <v>9.5</v>
      </c>
      <c r="H982" t="n">
        <v>0</v>
      </c>
      <c r="I982" t="n">
        <v>0</v>
      </c>
      <c r="J982" t="n">
        <v>0</v>
      </c>
      <c r="K982" t="n">
        <v>0</v>
      </c>
      <c r="L982" t="n">
        <v>0</v>
      </c>
      <c r="M982" t="n">
        <v>0</v>
      </c>
      <c r="N982" t="n">
        <v>0</v>
      </c>
      <c r="O982" t="n">
        <v>0</v>
      </c>
      <c r="P982" t="n">
        <v>0</v>
      </c>
      <c r="Q982" t="n">
        <v>0</v>
      </c>
      <c r="R982" s="2" t="inlineStr"/>
    </row>
    <row r="983" ht="15" customHeight="1">
      <c r="A983" t="inlineStr">
        <is>
          <t>A 28614-2024</t>
        </is>
      </c>
      <c r="B983" s="1" t="n">
        <v>45478</v>
      </c>
      <c r="C983" s="1" t="n">
        <v>45586</v>
      </c>
      <c r="D983" t="inlineStr">
        <is>
          <t>VÄSTMANLANDS LÄN</t>
        </is>
      </c>
      <c r="E983" t="inlineStr">
        <is>
          <t>SALA</t>
        </is>
      </c>
      <c r="G983" t="n">
        <v>1.4</v>
      </c>
      <c r="H983" t="n">
        <v>0</v>
      </c>
      <c r="I983" t="n">
        <v>0</v>
      </c>
      <c r="J983" t="n">
        <v>0</v>
      </c>
      <c r="K983" t="n">
        <v>0</v>
      </c>
      <c r="L983" t="n">
        <v>0</v>
      </c>
      <c r="M983" t="n">
        <v>0</v>
      </c>
      <c r="N983" t="n">
        <v>0</v>
      </c>
      <c r="O983" t="n">
        <v>0</v>
      </c>
      <c r="P983" t="n">
        <v>0</v>
      </c>
      <c r="Q983" t="n">
        <v>0</v>
      </c>
      <c r="R983" s="2" t="inlineStr"/>
    </row>
    <row r="984" ht="15" customHeight="1">
      <c r="A984" t="inlineStr">
        <is>
          <t>A 28661-2024</t>
        </is>
      </c>
      <c r="B984" s="1" t="n">
        <v>45478</v>
      </c>
      <c r="C984" s="1" t="n">
        <v>45586</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29019-2024</t>
        </is>
      </c>
      <c r="B985" s="1" t="n">
        <v>45481</v>
      </c>
      <c r="C985" s="1" t="n">
        <v>45586</v>
      </c>
      <c r="D985" t="inlineStr">
        <is>
          <t>VÄSTMANLANDS LÄN</t>
        </is>
      </c>
      <c r="E985" t="inlineStr">
        <is>
          <t>SALA</t>
        </is>
      </c>
      <c r="G985" t="n">
        <v>7.4</v>
      </c>
      <c r="H985" t="n">
        <v>0</v>
      </c>
      <c r="I985" t="n">
        <v>0</v>
      </c>
      <c r="J985" t="n">
        <v>0</v>
      </c>
      <c r="K985" t="n">
        <v>0</v>
      </c>
      <c r="L985" t="n">
        <v>0</v>
      </c>
      <c r="M985" t="n">
        <v>0</v>
      </c>
      <c r="N985" t="n">
        <v>0</v>
      </c>
      <c r="O985" t="n">
        <v>0</v>
      </c>
      <c r="P985" t="n">
        <v>0</v>
      </c>
      <c r="Q985" t="n">
        <v>0</v>
      </c>
      <c r="R985" s="2" t="inlineStr"/>
    </row>
    <row r="986" ht="15" customHeight="1">
      <c r="A986" t="inlineStr">
        <is>
          <t>A 30028-2024</t>
        </is>
      </c>
      <c r="B986" s="1" t="n">
        <v>45485</v>
      </c>
      <c r="C986" s="1" t="n">
        <v>45586</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29929-2024</t>
        </is>
      </c>
      <c r="B987" s="1" t="n">
        <v>45488</v>
      </c>
      <c r="C987" s="1" t="n">
        <v>45586</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30613-2024</t>
        </is>
      </c>
      <c r="B988" s="1" t="n">
        <v>45495</v>
      </c>
      <c r="C988" s="1" t="n">
        <v>45586</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31235-2024</t>
        </is>
      </c>
      <c r="B989" s="1" t="n">
        <v>45503</v>
      </c>
      <c r="C989" s="1" t="n">
        <v>45586</v>
      </c>
      <c r="D989" t="inlineStr">
        <is>
          <t>VÄSTMANLANDS LÄN</t>
        </is>
      </c>
      <c r="E989" t="inlineStr">
        <is>
          <t>SALA</t>
        </is>
      </c>
      <c r="G989" t="n">
        <v>5.3</v>
      </c>
      <c r="H989" t="n">
        <v>0</v>
      </c>
      <c r="I989" t="n">
        <v>0</v>
      </c>
      <c r="J989" t="n">
        <v>0</v>
      </c>
      <c r="K989" t="n">
        <v>0</v>
      </c>
      <c r="L989" t="n">
        <v>0</v>
      </c>
      <c r="M989" t="n">
        <v>0</v>
      </c>
      <c r="N989" t="n">
        <v>0</v>
      </c>
      <c r="O989" t="n">
        <v>0</v>
      </c>
      <c r="P989" t="n">
        <v>0</v>
      </c>
      <c r="Q989" t="n">
        <v>0</v>
      </c>
      <c r="R989" s="2" t="inlineStr"/>
    </row>
    <row r="990" ht="15" customHeight="1">
      <c r="A990" t="inlineStr">
        <is>
          <t>A 31405-2024</t>
        </is>
      </c>
      <c r="B990" s="1" t="n">
        <v>45505</v>
      </c>
      <c r="C990" s="1" t="n">
        <v>45586</v>
      </c>
      <c r="D990" t="inlineStr">
        <is>
          <t>VÄSTMANLANDS LÄN</t>
        </is>
      </c>
      <c r="E990" t="inlineStr">
        <is>
          <t>SALA</t>
        </is>
      </c>
      <c r="G990" t="n">
        <v>5.2</v>
      </c>
      <c r="H990" t="n">
        <v>0</v>
      </c>
      <c r="I990" t="n">
        <v>0</v>
      </c>
      <c r="J990" t="n">
        <v>0</v>
      </c>
      <c r="K990" t="n">
        <v>0</v>
      </c>
      <c r="L990" t="n">
        <v>0</v>
      </c>
      <c r="M990" t="n">
        <v>0</v>
      </c>
      <c r="N990" t="n">
        <v>0</v>
      </c>
      <c r="O990" t="n">
        <v>0</v>
      </c>
      <c r="P990" t="n">
        <v>0</v>
      </c>
      <c r="Q990" t="n">
        <v>0</v>
      </c>
      <c r="R990" s="2" t="inlineStr"/>
    </row>
    <row r="991" ht="15" customHeight="1">
      <c r="A991" t="inlineStr">
        <is>
          <t>A 31599-2024</t>
        </is>
      </c>
      <c r="B991" s="1" t="n">
        <v>45506</v>
      </c>
      <c r="C991" s="1" t="n">
        <v>45586</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31608-2024</t>
        </is>
      </c>
      <c r="B992" s="1" t="n">
        <v>45506</v>
      </c>
      <c r="C992" s="1" t="n">
        <v>45586</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31601-2024</t>
        </is>
      </c>
      <c r="B993" s="1" t="n">
        <v>45506</v>
      </c>
      <c r="C993" s="1" t="n">
        <v>45586</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31609-2024</t>
        </is>
      </c>
      <c r="B994" s="1" t="n">
        <v>45506</v>
      </c>
      <c r="C994" s="1" t="n">
        <v>45586</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31597-2024</t>
        </is>
      </c>
      <c r="B995" s="1" t="n">
        <v>45506</v>
      </c>
      <c r="C995" s="1" t="n">
        <v>45586</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31655-2024</t>
        </is>
      </c>
      <c r="B996" s="1" t="n">
        <v>45506</v>
      </c>
      <c r="C996" s="1" t="n">
        <v>45586</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31612-2024</t>
        </is>
      </c>
      <c r="B997" s="1" t="n">
        <v>45506</v>
      </c>
      <c r="C997" s="1" t="n">
        <v>45586</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31941-2024</t>
        </is>
      </c>
      <c r="B998" s="1" t="n">
        <v>45510</v>
      </c>
      <c r="C998" s="1" t="n">
        <v>45586</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32372-2024</t>
        </is>
      </c>
      <c r="B999" s="1" t="n">
        <v>45512</v>
      </c>
      <c r="C999" s="1" t="n">
        <v>45586</v>
      </c>
      <c r="D999" t="inlineStr">
        <is>
          <t>VÄSTMANLANDS LÄN</t>
        </is>
      </c>
      <c r="E999" t="inlineStr">
        <is>
          <t>SALA</t>
        </is>
      </c>
      <c r="F999" t="inlineStr">
        <is>
          <t>Sveaskog</t>
        </is>
      </c>
      <c r="G999" t="n">
        <v>2.5</v>
      </c>
      <c r="H999" t="n">
        <v>0</v>
      </c>
      <c r="I999" t="n">
        <v>0</v>
      </c>
      <c r="J999" t="n">
        <v>0</v>
      </c>
      <c r="K999" t="n">
        <v>0</v>
      </c>
      <c r="L999" t="n">
        <v>0</v>
      </c>
      <c r="M999" t="n">
        <v>0</v>
      </c>
      <c r="N999" t="n">
        <v>0</v>
      </c>
      <c r="O999" t="n">
        <v>0</v>
      </c>
      <c r="P999" t="n">
        <v>0</v>
      </c>
      <c r="Q999" t="n">
        <v>0</v>
      </c>
      <c r="R999" s="2" t="inlineStr"/>
    </row>
    <row r="1000" ht="15" customHeight="1">
      <c r="A1000" t="inlineStr">
        <is>
          <t>A 32303-2024</t>
        </is>
      </c>
      <c r="B1000" s="1" t="n">
        <v>45512</v>
      </c>
      <c r="C1000" s="1" t="n">
        <v>45586</v>
      </c>
      <c r="D1000" t="inlineStr">
        <is>
          <t>VÄSTMANLANDS LÄN</t>
        </is>
      </c>
      <c r="E1000" t="inlineStr">
        <is>
          <t>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32484-2024</t>
        </is>
      </c>
      <c r="B1001" s="1" t="n">
        <v>45513</v>
      </c>
      <c r="C1001" s="1" t="n">
        <v>45586</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34419-2024</t>
        </is>
      </c>
      <c r="B1002" s="1" t="n">
        <v>45525</v>
      </c>
      <c r="C1002" s="1" t="n">
        <v>45586</v>
      </c>
      <c r="D1002" t="inlineStr">
        <is>
          <t>VÄSTMANLANDS LÄN</t>
        </is>
      </c>
      <c r="E1002" t="inlineStr">
        <is>
          <t>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34412-2024</t>
        </is>
      </c>
      <c r="B1003" s="1" t="n">
        <v>45525</v>
      </c>
      <c r="C1003" s="1" t="n">
        <v>45586</v>
      </c>
      <c r="D1003" t="inlineStr">
        <is>
          <t>VÄSTMANLANDS LÄN</t>
        </is>
      </c>
      <c r="E1003" t="inlineStr">
        <is>
          <t>SALA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34416-2024</t>
        </is>
      </c>
      <c r="B1004" s="1" t="n">
        <v>45525</v>
      </c>
      <c r="C1004" s="1" t="n">
        <v>45586</v>
      </c>
      <c r="D1004" t="inlineStr">
        <is>
          <t>VÄSTMANLANDS LÄN</t>
        </is>
      </c>
      <c r="E1004" t="inlineStr">
        <is>
          <t>SALA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35003-2024</t>
        </is>
      </c>
      <c r="B1005" s="1" t="n">
        <v>45527</v>
      </c>
      <c r="C1005" s="1" t="n">
        <v>45586</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35016-2024</t>
        </is>
      </c>
      <c r="B1006" s="1" t="n">
        <v>45527</v>
      </c>
      <c r="C1006" s="1" t="n">
        <v>45586</v>
      </c>
      <c r="D1006" t="inlineStr">
        <is>
          <t>VÄSTMANLANDS LÄN</t>
        </is>
      </c>
      <c r="E1006" t="inlineStr">
        <is>
          <t>SALA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35010-2024</t>
        </is>
      </c>
      <c r="B1007" s="1" t="n">
        <v>45527</v>
      </c>
      <c r="C1007" s="1" t="n">
        <v>45586</v>
      </c>
      <c r="D1007" t="inlineStr">
        <is>
          <t>VÄSTMANLANDS LÄN</t>
        </is>
      </c>
      <c r="E1007" t="inlineStr">
        <is>
          <t>SALA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35462-2024</t>
        </is>
      </c>
      <c r="B1008" s="1" t="n">
        <v>45531</v>
      </c>
      <c r="C1008" s="1" t="n">
        <v>45586</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35499-2024</t>
        </is>
      </c>
      <c r="B1009" s="1" t="n">
        <v>45531</v>
      </c>
      <c r="C1009" s="1" t="n">
        <v>45586</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35529-2024</t>
        </is>
      </c>
      <c r="B1010" s="1" t="n">
        <v>45531</v>
      </c>
      <c r="C1010" s="1" t="n">
        <v>45586</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35558-2024</t>
        </is>
      </c>
      <c r="B1011" s="1" t="n">
        <v>45531</v>
      </c>
      <c r="C1011" s="1" t="n">
        <v>45586</v>
      </c>
      <c r="D1011" t="inlineStr">
        <is>
          <t>VÄSTMANLANDS LÄN</t>
        </is>
      </c>
      <c r="E1011" t="inlineStr">
        <is>
          <t>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35519-2024</t>
        </is>
      </c>
      <c r="B1012" s="1" t="n">
        <v>45531</v>
      </c>
      <c r="C1012" s="1" t="n">
        <v>45586</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35528-2024</t>
        </is>
      </c>
      <c r="B1013" s="1" t="n">
        <v>45531</v>
      </c>
      <c r="C1013" s="1" t="n">
        <v>45586</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35573-2024</t>
        </is>
      </c>
      <c r="B1014" s="1" t="n">
        <v>45531</v>
      </c>
      <c r="C1014" s="1" t="n">
        <v>45586</v>
      </c>
      <c r="D1014" t="inlineStr">
        <is>
          <t>VÄSTMANLANDS LÄN</t>
        </is>
      </c>
      <c r="E1014" t="inlineStr">
        <is>
          <t>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36075-2024</t>
        </is>
      </c>
      <c r="B1015" s="1" t="n">
        <v>45533</v>
      </c>
      <c r="C1015" s="1" t="n">
        <v>45586</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35976-2024</t>
        </is>
      </c>
      <c r="B1016" s="1" t="n">
        <v>45533</v>
      </c>
      <c r="C1016" s="1" t="n">
        <v>45586</v>
      </c>
      <c r="D1016" t="inlineStr">
        <is>
          <t>VÄSTMANLANDS LÄN</t>
        </is>
      </c>
      <c r="E1016" t="inlineStr">
        <is>
          <t>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36073-2024</t>
        </is>
      </c>
      <c r="B1017" s="1" t="n">
        <v>45533</v>
      </c>
      <c r="C1017" s="1" t="n">
        <v>45586</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37137-2024</t>
        </is>
      </c>
      <c r="B1018" s="1" t="n">
        <v>45539</v>
      </c>
      <c r="C1018" s="1" t="n">
        <v>45586</v>
      </c>
      <c r="D1018" t="inlineStr">
        <is>
          <t>VÄSTMANLANDS LÄN</t>
        </is>
      </c>
      <c r="E1018" t="inlineStr">
        <is>
          <t>SALA</t>
        </is>
      </c>
      <c r="F1018" t="inlineStr">
        <is>
          <t>Kommuner</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37166-2024</t>
        </is>
      </c>
      <c r="B1019" s="1" t="n">
        <v>45539</v>
      </c>
      <c r="C1019" s="1" t="n">
        <v>45586</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37183-2024</t>
        </is>
      </c>
      <c r="B1020" s="1" t="n">
        <v>45539</v>
      </c>
      <c r="C1020" s="1" t="n">
        <v>45586</v>
      </c>
      <c r="D1020" t="inlineStr">
        <is>
          <t>VÄSTMANLANDS LÄN</t>
        </is>
      </c>
      <c r="E1020" t="inlineStr">
        <is>
          <t>SALA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37185-2024</t>
        </is>
      </c>
      <c r="B1021" s="1" t="n">
        <v>45539</v>
      </c>
      <c r="C1021" s="1" t="n">
        <v>45586</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37224-2024</t>
        </is>
      </c>
      <c r="B1022" s="1" t="n">
        <v>45539</v>
      </c>
      <c r="C1022" s="1" t="n">
        <v>45586</v>
      </c>
      <c r="D1022" t="inlineStr">
        <is>
          <t>VÄSTMANLANDS LÄN</t>
        </is>
      </c>
      <c r="E1022" t="inlineStr">
        <is>
          <t>SALA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37190-2024</t>
        </is>
      </c>
      <c r="B1023" s="1" t="n">
        <v>45539</v>
      </c>
      <c r="C1023" s="1" t="n">
        <v>45586</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37251-2024</t>
        </is>
      </c>
      <c r="B1024" s="1" t="n">
        <v>45540</v>
      </c>
      <c r="C1024" s="1" t="n">
        <v>45586</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37332-2024</t>
        </is>
      </c>
      <c r="B1025" s="1" t="n">
        <v>45540</v>
      </c>
      <c r="C1025" s="1" t="n">
        <v>45586</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37337-2024</t>
        </is>
      </c>
      <c r="B1026" s="1" t="n">
        <v>45540</v>
      </c>
      <c r="C1026" s="1" t="n">
        <v>45586</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37602-2024</t>
        </is>
      </c>
      <c r="B1027" s="1" t="n">
        <v>45541</v>
      </c>
      <c r="C1027" s="1" t="n">
        <v>45586</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37587-2024</t>
        </is>
      </c>
      <c r="B1028" s="1" t="n">
        <v>45541</v>
      </c>
      <c r="C1028" s="1" t="n">
        <v>45586</v>
      </c>
      <c r="D1028" t="inlineStr">
        <is>
          <t>VÄSTMANLANDS LÄN</t>
        </is>
      </c>
      <c r="E1028" t="inlineStr">
        <is>
          <t>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37612-2024</t>
        </is>
      </c>
      <c r="B1029" s="1" t="n">
        <v>45541</v>
      </c>
      <c r="C1029" s="1" t="n">
        <v>45586</v>
      </c>
      <c r="D1029" t="inlineStr">
        <is>
          <t>VÄSTMANLANDS LÄN</t>
        </is>
      </c>
      <c r="E1029" t="inlineStr">
        <is>
          <t>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37624-2024</t>
        </is>
      </c>
      <c r="B1030" s="1" t="n">
        <v>45541</v>
      </c>
      <c r="C1030" s="1" t="n">
        <v>45586</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37615-2024</t>
        </is>
      </c>
      <c r="B1031" s="1" t="n">
        <v>45541</v>
      </c>
      <c r="C1031" s="1" t="n">
        <v>45586</v>
      </c>
      <c r="D1031" t="inlineStr">
        <is>
          <t>VÄSTMANLANDS LÄN</t>
        </is>
      </c>
      <c r="E1031" t="inlineStr">
        <is>
          <t>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37958-2024</t>
        </is>
      </c>
      <c r="B1032" s="1" t="n">
        <v>45544</v>
      </c>
      <c r="C1032" s="1" t="n">
        <v>45586</v>
      </c>
      <c r="D1032" t="inlineStr">
        <is>
          <t>VÄSTMANLANDS LÄN</t>
        </is>
      </c>
      <c r="E1032" t="inlineStr">
        <is>
          <t>SALA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38434-2024</t>
        </is>
      </c>
      <c r="B1033" s="1" t="n">
        <v>45546</v>
      </c>
      <c r="C1033" s="1" t="n">
        <v>45586</v>
      </c>
      <c r="D1033" t="inlineStr">
        <is>
          <t>VÄSTMANLANDS LÄN</t>
        </is>
      </c>
      <c r="E1033" t="inlineStr">
        <is>
          <t>SALA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39364-2024</t>
        </is>
      </c>
      <c r="B1034" s="1" t="n">
        <v>45551</v>
      </c>
      <c r="C1034" s="1" t="n">
        <v>45586</v>
      </c>
      <c r="D1034" t="inlineStr">
        <is>
          <t>VÄSTMANLANDS LÄN</t>
        </is>
      </c>
      <c r="E1034" t="inlineStr">
        <is>
          <t>SALA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40272-2024</t>
        </is>
      </c>
      <c r="B1035" s="1" t="n">
        <v>45554</v>
      </c>
      <c r="C1035" s="1" t="n">
        <v>45586</v>
      </c>
      <c r="D1035" t="inlineStr">
        <is>
          <t>VÄSTMANLANDS LÄN</t>
        </is>
      </c>
      <c r="E1035" t="inlineStr">
        <is>
          <t>SALA</t>
        </is>
      </c>
      <c r="F1035" t="inlineStr">
        <is>
          <t>Kommuner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40085-2024</t>
        </is>
      </c>
      <c r="B1036" s="1" t="n">
        <v>45554</v>
      </c>
      <c r="C1036" s="1" t="n">
        <v>45586</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40757-2024</t>
        </is>
      </c>
      <c r="B1037" s="1" t="n">
        <v>45558</v>
      </c>
      <c r="C1037" s="1" t="n">
        <v>45586</v>
      </c>
      <c r="D1037" t="inlineStr">
        <is>
          <t>VÄSTMANLANDS LÄN</t>
        </is>
      </c>
      <c r="E1037" t="inlineStr">
        <is>
          <t>SALA</t>
        </is>
      </c>
      <c r="F1037" t="inlineStr">
        <is>
          <t>Kommuner</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41247-2024</t>
        </is>
      </c>
      <c r="B1038" s="1" t="n">
        <v>45559</v>
      </c>
      <c r="C1038" s="1" t="n">
        <v>45586</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41748-2024</t>
        </is>
      </c>
      <c r="B1039" s="1" t="n">
        <v>45561</v>
      </c>
      <c r="C1039" s="1" t="n">
        <v>45586</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42617-2024</t>
        </is>
      </c>
      <c r="B1040" s="1" t="n">
        <v>45565</v>
      </c>
      <c r="C1040" s="1" t="n">
        <v>45586</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42684-2024</t>
        </is>
      </c>
      <c r="B1041" s="1" t="n">
        <v>45565</v>
      </c>
      <c r="C1041" s="1" t="n">
        <v>45586</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43108-2024</t>
        </is>
      </c>
      <c r="B1042" s="1" t="n">
        <v>45567</v>
      </c>
      <c r="C1042" s="1" t="n">
        <v>45586</v>
      </c>
      <c r="D1042" t="inlineStr">
        <is>
          <t>VÄSTMANLANDS LÄN</t>
        </is>
      </c>
      <c r="E1042" t="inlineStr">
        <is>
          <t>SALA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43196-2024</t>
        </is>
      </c>
      <c r="B1043" s="1" t="n">
        <v>45567</v>
      </c>
      <c r="C1043" s="1" t="n">
        <v>45586</v>
      </c>
      <c r="D1043" t="inlineStr">
        <is>
          <t>VÄSTMANLANDS LÄN</t>
        </is>
      </c>
      <c r="E1043" t="inlineStr">
        <is>
          <t>SALA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43359-2024</t>
        </is>
      </c>
      <c r="B1044" s="1" t="n">
        <v>45568</v>
      </c>
      <c r="C1044" s="1" t="n">
        <v>45586</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43596-2024</t>
        </is>
      </c>
      <c r="B1045" s="1" t="n">
        <v>45569</v>
      </c>
      <c r="C1045" s="1" t="n">
        <v>45586</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43600-2024</t>
        </is>
      </c>
      <c r="B1046" s="1" t="n">
        <v>45569</v>
      </c>
      <c r="C1046" s="1" t="n">
        <v>45586</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44544-2024</t>
        </is>
      </c>
      <c r="B1047" s="1" t="n">
        <v>45574</v>
      </c>
      <c r="C1047" s="1" t="n">
        <v>45586</v>
      </c>
      <c r="D1047" t="inlineStr">
        <is>
          <t>VÄSTMANLANDS LÄN</t>
        </is>
      </c>
      <c r="E1047" t="inlineStr">
        <is>
          <t>SALA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44746-2024</t>
        </is>
      </c>
      <c r="B1048" s="1" t="n">
        <v>45574</v>
      </c>
      <c r="C1048" s="1" t="n">
        <v>45586</v>
      </c>
      <c r="D1048" t="inlineStr">
        <is>
          <t>VÄSTMANLANDS LÄN</t>
        </is>
      </c>
      <c r="E1048" t="inlineStr">
        <is>
          <t>SALA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45187-2024</t>
        </is>
      </c>
      <c r="B1049" s="1" t="n">
        <v>45575</v>
      </c>
      <c r="C1049" s="1" t="n">
        <v>45586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45185-2024</t>
        </is>
      </c>
      <c r="B1050" s="1" t="n">
        <v>45575</v>
      </c>
      <c r="C1050" s="1" t="n">
        <v>45586</v>
      </c>
      <c r="D1050" t="inlineStr">
        <is>
          <t>VÄSTMANLANDS LÄN</t>
        </is>
      </c>
      <c r="E1050" t="inlineStr">
        <is>
          <t>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45313-2024</t>
        </is>
      </c>
      <c r="B1051" s="1" t="n">
        <v>45576</v>
      </c>
      <c r="C1051" s="1" t="n">
        <v>45586</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45737-2024</t>
        </is>
      </c>
      <c r="B1052" s="1" t="n">
        <v>45579</v>
      </c>
      <c r="C1052" s="1" t="n">
        <v>45586</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45738-2024</t>
        </is>
      </c>
      <c r="B1053" s="1" t="n">
        <v>45579</v>
      </c>
      <c r="C1053" s="1" t="n">
        <v>45586</v>
      </c>
      <c r="D1053" t="inlineStr">
        <is>
          <t>VÄSTMANLANDS LÄN</t>
        </is>
      </c>
      <c r="E1053" t="inlineStr">
        <is>
          <t>SALA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45761-2024</t>
        </is>
      </c>
      <c r="B1054" s="1" t="n">
        <v>45579</v>
      </c>
      <c r="C1054" s="1" t="n">
        <v>45586</v>
      </c>
      <c r="D1054" t="inlineStr">
        <is>
          <t>VÄSTMANLANDS LÄN</t>
        </is>
      </c>
      <c r="E1054" t="inlineStr">
        <is>
          <t>SALA</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45765-2024</t>
        </is>
      </c>
      <c r="B1055" s="1" t="n">
        <v>45579</v>
      </c>
      <c r="C1055" s="1" t="n">
        <v>45586</v>
      </c>
      <c r="D1055" t="inlineStr">
        <is>
          <t>VÄSTMANLANDS LÄN</t>
        </is>
      </c>
      <c r="E1055" t="inlineStr">
        <is>
          <t>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45931-2024</t>
        </is>
      </c>
      <c r="B1056" s="1" t="n">
        <v>45580</v>
      </c>
      <c r="C1056" s="1" t="n">
        <v>45586</v>
      </c>
      <c r="D1056" t="inlineStr">
        <is>
          <t>VÄSTMANLANDS LÄN</t>
        </is>
      </c>
      <c r="E1056" t="inlineStr">
        <is>
          <t>SALA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46682-2024</t>
        </is>
      </c>
      <c r="B1057" s="1" t="n">
        <v>45583</v>
      </c>
      <c r="C1057" s="1" t="n">
        <v>45586</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c r="A1058" t="inlineStr">
        <is>
          <t>A 46861-2024</t>
        </is>
      </c>
      <c r="B1058" s="1" t="n">
        <v>45583</v>
      </c>
      <c r="C1058" s="1" t="n">
        <v>45586</v>
      </c>
      <c r="D1058" t="inlineStr">
        <is>
          <t>VÄSTMANLANDS LÄN</t>
        </is>
      </c>
      <c r="E1058" t="inlineStr">
        <is>
          <t>SALA</t>
        </is>
      </c>
      <c r="G1058" t="n">
        <v>3.1</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2024-10-21T12:59:25Z</dcterms:created>
  <dcterms:modified xmlns:dcterms="http://purl.org/dc/terms/" xmlns:xsi="http://www.w3.org/2001/XMLSchema-instance" xsi:type="dcterms:W3CDTF">2024-10-21T12:59:26Z</dcterms:modified>
</cp:coreProperties>
</file>