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46059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46059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46059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46059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46059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46059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46059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46059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10344-2025</t>
        </is>
      </c>
      <c r="B11" s="1" t="n">
        <v>45720</v>
      </c>
      <c r="C11" s="1" t="n">
        <v>46059</v>
      </c>
      <c r="D11" t="inlineStr">
        <is>
          <t>VÄSTMANLANDS LÄN</t>
        </is>
      </c>
      <c r="E11" t="inlineStr">
        <is>
          <t>SALA</t>
        </is>
      </c>
      <c r="G11" t="n">
        <v>4.2</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10344-2025 artfynd.xlsx", "A 10344-2025")</f>
        <v/>
      </c>
      <c r="T11">
        <f>HYPERLINK("https://klasma.github.io/Logging_1981/kartor/A 10344-2025 karta.png", "A 10344-2025")</f>
        <v/>
      </c>
      <c r="U11">
        <f>HYPERLINK("https://klasma.github.io/Logging_1981/knärot/A 10344-2025 karta knärot.png", "A 10344-2025")</f>
        <v/>
      </c>
      <c r="V11">
        <f>HYPERLINK("https://klasma.github.io/Logging_1981/klagomål/A 10344-2025 FSC-klagomål.docx", "A 10344-2025")</f>
        <v/>
      </c>
      <c r="W11">
        <f>HYPERLINK("https://klasma.github.io/Logging_1981/klagomålsmail/A 10344-2025 FSC-klagomål mail.docx", "A 10344-2025")</f>
        <v/>
      </c>
      <c r="X11">
        <f>HYPERLINK("https://klasma.github.io/Logging_1981/tillsyn/A 10344-2025 tillsynsbegäran.docx", "A 10344-2025")</f>
        <v/>
      </c>
      <c r="Y11">
        <f>HYPERLINK("https://klasma.github.io/Logging_1981/tillsynsmail/A 10344-2025 tillsynsbegäran mail.docx", "A 10344-2025")</f>
        <v/>
      </c>
      <c r="Z11">
        <f>HYPERLINK("https://klasma.github.io/Logging_1981/fåglar/A 10344-2025 prioriterade fågelarter.docx", "A 10344-2025")</f>
        <v/>
      </c>
    </row>
    <row r="12" ht="15" customHeight="1">
      <c r="A12" t="inlineStr">
        <is>
          <t>A 53627-2025</t>
        </is>
      </c>
      <c r="B12" s="1" t="n">
        <v>45960.49180555555</v>
      </c>
      <c r="C12" s="1" t="n">
        <v>46059</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53009-2024</t>
        </is>
      </c>
      <c r="B13" s="1" t="n">
        <v>45610</v>
      </c>
      <c r="C13" s="1" t="n">
        <v>46059</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46059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46059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46059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46059</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40895-2025</t>
        </is>
      </c>
      <c r="B18" s="1" t="n">
        <v>45897.61241898148</v>
      </c>
      <c r="C18" s="1" t="n">
        <v>46059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3567-2024</t>
        </is>
      </c>
      <c r="B19" s="1" t="n">
        <v>45320.63706018519</v>
      </c>
      <c r="C19" s="1" t="n">
        <v>46059</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3930-2026</t>
        </is>
      </c>
      <c r="B20" s="1" t="n">
        <v>46043</v>
      </c>
      <c r="C20" s="1" t="n">
        <v>46059</v>
      </c>
      <c r="D20" t="inlineStr">
        <is>
          <t>VÄSTMANLANDS LÄN</t>
        </is>
      </c>
      <c r="E20" t="inlineStr">
        <is>
          <t>SALA</t>
        </is>
      </c>
      <c r="G20" t="n">
        <v>17.4</v>
      </c>
      <c r="H20" t="n">
        <v>1</v>
      </c>
      <c r="I20" t="n">
        <v>0</v>
      </c>
      <c r="J20" t="n">
        <v>2</v>
      </c>
      <c r="K20" t="n">
        <v>1</v>
      </c>
      <c r="L20" t="n">
        <v>0</v>
      </c>
      <c r="M20" t="n">
        <v>0</v>
      </c>
      <c r="N20" t="n">
        <v>0</v>
      </c>
      <c r="O20" t="n">
        <v>3</v>
      </c>
      <c r="P20" t="n">
        <v>1</v>
      </c>
      <c r="Q20" t="n">
        <v>3</v>
      </c>
      <c r="R20" s="2" t="inlineStr">
        <is>
          <t>Knärot
Gränsticka
Ullticka</t>
        </is>
      </c>
      <c r="S20">
        <f>HYPERLINK("https://klasma.github.io/Logging_1981/artfynd/A 3930-2026 artfynd.xlsx", "A 3930-2026")</f>
        <v/>
      </c>
      <c r="T20">
        <f>HYPERLINK("https://klasma.github.io/Logging_1981/kartor/A 3930-2026 karta.png", "A 3930-2026")</f>
        <v/>
      </c>
      <c r="U20">
        <f>HYPERLINK("https://klasma.github.io/Logging_1981/knärot/A 3930-2026 karta knärot.png", "A 3930-2026")</f>
        <v/>
      </c>
      <c r="V20">
        <f>HYPERLINK("https://klasma.github.io/Logging_1981/klagomål/A 3930-2026 FSC-klagomål.docx", "A 3930-2026")</f>
        <v/>
      </c>
      <c r="W20">
        <f>HYPERLINK("https://klasma.github.io/Logging_1981/klagomålsmail/A 3930-2026 FSC-klagomål mail.docx", "A 3930-2026")</f>
        <v/>
      </c>
      <c r="X20">
        <f>HYPERLINK("https://klasma.github.io/Logging_1981/tillsyn/A 3930-2026 tillsynsbegäran.docx", "A 3930-2026")</f>
        <v/>
      </c>
      <c r="Y20">
        <f>HYPERLINK("https://klasma.github.io/Logging_1981/tillsynsmail/A 3930-2026 tillsynsbegäran mail.docx", "A 3930-2026")</f>
        <v/>
      </c>
    </row>
    <row r="21" ht="15" customHeight="1">
      <c r="A21" t="inlineStr">
        <is>
          <t>A 53019-2024</t>
        </is>
      </c>
      <c r="B21" s="1" t="n">
        <v>45610</v>
      </c>
      <c r="C21" s="1" t="n">
        <v>46059</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62768-2021</t>
        </is>
      </c>
      <c r="B22" s="1" t="n">
        <v>44504</v>
      </c>
      <c r="C22" s="1" t="n">
        <v>46059</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46059</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46059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46059</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34065-2025</t>
        </is>
      </c>
      <c r="B26" s="1" t="n">
        <v>45845.42806712963</v>
      </c>
      <c r="C26" s="1" t="n">
        <v>46059</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Leptoporus mollis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52909-2022</t>
        </is>
      </c>
      <c r="B27" s="1" t="n">
        <v>44875</v>
      </c>
      <c r="C27" s="1" t="n">
        <v>46059</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46059</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11846-2024</t>
        </is>
      </c>
      <c r="B29" s="1" t="n">
        <v>45376.4047337963</v>
      </c>
      <c r="C29" s="1" t="n">
        <v>46059</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59826-2025</t>
        </is>
      </c>
      <c r="B30" s="1" t="n">
        <v>45992.65416666667</v>
      </c>
      <c r="C30" s="1" t="n">
        <v>46059</v>
      </c>
      <c r="D30" t="inlineStr">
        <is>
          <t>VÄSTMANLANDS LÄN</t>
        </is>
      </c>
      <c r="E30" t="inlineStr">
        <is>
          <t>SALA</t>
        </is>
      </c>
      <c r="G30" t="n">
        <v>2.7</v>
      </c>
      <c r="H30" t="n">
        <v>0</v>
      </c>
      <c r="I30" t="n">
        <v>1</v>
      </c>
      <c r="J30" t="n">
        <v>1</v>
      </c>
      <c r="K30" t="n">
        <v>0</v>
      </c>
      <c r="L30" t="n">
        <v>0</v>
      </c>
      <c r="M30" t="n">
        <v>0</v>
      </c>
      <c r="N30" t="n">
        <v>0</v>
      </c>
      <c r="O30" t="n">
        <v>1</v>
      </c>
      <c r="P30" t="n">
        <v>0</v>
      </c>
      <c r="Q30" t="n">
        <v>2</v>
      </c>
      <c r="R30" s="2" t="inlineStr">
        <is>
          <t>Motaggsvamp
Gullgröppa</t>
        </is>
      </c>
      <c r="S30">
        <f>HYPERLINK("https://klasma.github.io/Logging_1981/artfynd/A 59826-2025 artfynd.xlsx", "A 59826-2025")</f>
        <v/>
      </c>
      <c r="T30">
        <f>HYPERLINK("https://klasma.github.io/Logging_1981/kartor/A 59826-2025 karta.png", "A 59826-2025")</f>
        <v/>
      </c>
      <c r="V30">
        <f>HYPERLINK("https://klasma.github.io/Logging_1981/klagomål/A 59826-2025 FSC-klagomål.docx", "A 59826-2025")</f>
        <v/>
      </c>
      <c r="W30">
        <f>HYPERLINK("https://klasma.github.io/Logging_1981/klagomålsmail/A 59826-2025 FSC-klagomål mail.docx", "A 59826-2025")</f>
        <v/>
      </c>
      <c r="X30">
        <f>HYPERLINK("https://klasma.github.io/Logging_1981/tillsyn/A 59826-2025 tillsynsbegäran.docx", "A 59826-2025")</f>
        <v/>
      </c>
      <c r="Y30">
        <f>HYPERLINK("https://klasma.github.io/Logging_1981/tillsynsmail/A 59826-2025 tillsynsbegäran mail.docx", "A 59826-2025")</f>
        <v/>
      </c>
    </row>
    <row r="31" ht="15" customHeight="1">
      <c r="A31" t="inlineStr">
        <is>
          <t>A 12444-2024</t>
        </is>
      </c>
      <c r="B31" s="1" t="n">
        <v>45379.46285879629</v>
      </c>
      <c r="C31" s="1" t="n">
        <v>46059</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53048-2025</t>
        </is>
      </c>
      <c r="B32" s="1" t="n">
        <v>45958.36018518519</v>
      </c>
      <c r="C32" s="1" t="n">
        <v>46059</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46059</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13029-2023</t>
        </is>
      </c>
      <c r="B34" s="1" t="n">
        <v>45001</v>
      </c>
      <c r="C34" s="1" t="n">
        <v>46059</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1500-2022</t>
        </is>
      </c>
      <c r="B35" s="1" t="n">
        <v>44573.54357638889</v>
      </c>
      <c r="C35" s="1" t="n">
        <v>46059</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46059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24872-2025</t>
        </is>
      </c>
      <c r="B37" s="1" t="n">
        <v>45799.49038194444</v>
      </c>
      <c r="C37" s="1" t="n">
        <v>46059</v>
      </c>
      <c r="D37" t="inlineStr">
        <is>
          <t>VÄSTMANLANDS LÄN</t>
        </is>
      </c>
      <c r="E37" t="inlineStr">
        <is>
          <t>SALA</t>
        </is>
      </c>
      <c r="G37" t="n">
        <v>13.9</v>
      </c>
      <c r="H37" t="n">
        <v>1</v>
      </c>
      <c r="I37" t="n">
        <v>0</v>
      </c>
      <c r="J37" t="n">
        <v>1</v>
      </c>
      <c r="K37" t="n">
        <v>1</v>
      </c>
      <c r="L37" t="n">
        <v>0</v>
      </c>
      <c r="M37" t="n">
        <v>0</v>
      </c>
      <c r="N37" t="n">
        <v>0</v>
      </c>
      <c r="O37" t="n">
        <v>2</v>
      </c>
      <c r="P37" t="n">
        <v>1</v>
      </c>
      <c r="Q37" t="n">
        <v>2</v>
      </c>
      <c r="R37" s="2" t="inlineStr">
        <is>
          <t>Knärot
Motaggsvamp</t>
        </is>
      </c>
      <c r="S37">
        <f>HYPERLINK("https://klasma.github.io/Logging_1981/artfynd/A 24872-2025 artfynd.xlsx", "A 24872-2025")</f>
        <v/>
      </c>
      <c r="T37">
        <f>HYPERLINK("https://klasma.github.io/Logging_1981/kartor/A 24872-2025 karta.png", "A 24872-2025")</f>
        <v/>
      </c>
      <c r="U37">
        <f>HYPERLINK("https://klasma.github.io/Logging_1981/knärot/A 24872-2025 karta knärot.png", "A 24872-2025")</f>
        <v/>
      </c>
      <c r="V37">
        <f>HYPERLINK("https://klasma.github.io/Logging_1981/klagomål/A 24872-2025 FSC-klagomål.docx", "A 24872-2025")</f>
        <v/>
      </c>
      <c r="W37">
        <f>HYPERLINK("https://klasma.github.io/Logging_1981/klagomålsmail/A 24872-2025 FSC-klagomål mail.docx", "A 24872-2025")</f>
        <v/>
      </c>
      <c r="X37">
        <f>HYPERLINK("https://klasma.github.io/Logging_1981/tillsyn/A 24872-2025 tillsynsbegäran.docx", "A 24872-2025")</f>
        <v/>
      </c>
      <c r="Y37">
        <f>HYPERLINK("https://klasma.github.io/Logging_1981/tillsynsmail/A 24872-2025 tillsynsbegäran mail.docx", "A 24872-2025")</f>
        <v/>
      </c>
    </row>
    <row r="38" ht="15" customHeight="1">
      <c r="A38" t="inlineStr">
        <is>
          <t>A 44970-2021</t>
        </is>
      </c>
      <c r="B38" s="1" t="n">
        <v>44438.74399305556</v>
      </c>
      <c r="C38" s="1" t="n">
        <v>46059</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46059</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46059</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38255-2025</t>
        </is>
      </c>
      <c r="B41" s="1" t="n">
        <v>45883.38020833334</v>
      </c>
      <c r="C41" s="1" t="n">
        <v>46059</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14775-2023</t>
        </is>
      </c>
      <c r="B42" s="1" t="n">
        <v>45014</v>
      </c>
      <c r="C42" s="1" t="n">
        <v>46059</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14775-2023 artfynd.xlsx", "A 14775-2023")</f>
        <v/>
      </c>
      <c r="T42">
        <f>HYPERLINK("https://klasma.github.io/Logging_1981/kartor/A 14775-2023 karta.png", "A 14775-2023")</f>
        <v/>
      </c>
      <c r="U42">
        <f>HYPERLINK("https://klasma.github.io/Logging_1981/knärot/A 14775-2023 karta knärot.png", "A 14775-2023")</f>
        <v/>
      </c>
      <c r="V42">
        <f>HYPERLINK("https://klasma.github.io/Logging_1981/klagomål/A 14775-2023 FSC-klagomål.docx", "A 14775-2023")</f>
        <v/>
      </c>
      <c r="W42">
        <f>HYPERLINK("https://klasma.github.io/Logging_1981/klagomålsmail/A 14775-2023 FSC-klagomål mail.docx", "A 14775-2023")</f>
        <v/>
      </c>
      <c r="X42">
        <f>HYPERLINK("https://klasma.github.io/Logging_1981/tillsyn/A 14775-2023 tillsynsbegäran.docx", "A 14775-2023")</f>
        <v/>
      </c>
      <c r="Y42">
        <f>HYPERLINK("https://klasma.github.io/Logging_1981/tillsynsmail/A 14775-2023 tillsynsbegäran mail.docx", "A 14775-2023")</f>
        <v/>
      </c>
    </row>
    <row r="43" ht="15" customHeight="1">
      <c r="A43" t="inlineStr">
        <is>
          <t>A 60852-2024</t>
        </is>
      </c>
      <c r="B43" s="1" t="n">
        <v>45644</v>
      </c>
      <c r="C43" s="1" t="n">
        <v>46059</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19361-2025</t>
        </is>
      </c>
      <c r="B44" s="1" t="n">
        <v>45769.63357638889</v>
      </c>
      <c r="C44" s="1" t="n">
        <v>46059</v>
      </c>
      <c r="D44" t="inlineStr">
        <is>
          <t>VÄSTMANLANDS LÄN</t>
        </is>
      </c>
      <c r="E44" t="inlineStr">
        <is>
          <t>SALA</t>
        </is>
      </c>
      <c r="F44" t="inlineStr">
        <is>
          <t>Bergvik skog öst AB</t>
        </is>
      </c>
      <c r="G44" t="n">
        <v>8.9</v>
      </c>
      <c r="H44" t="n">
        <v>0</v>
      </c>
      <c r="I44" t="n">
        <v>0</v>
      </c>
      <c r="J44" t="n">
        <v>1</v>
      </c>
      <c r="K44" t="n">
        <v>0</v>
      </c>
      <c r="L44" t="n">
        <v>0</v>
      </c>
      <c r="M44" t="n">
        <v>0</v>
      </c>
      <c r="N44" t="n">
        <v>0</v>
      </c>
      <c r="O44" t="n">
        <v>1</v>
      </c>
      <c r="P44" t="n">
        <v>0</v>
      </c>
      <c r="Q44" t="n">
        <v>1</v>
      </c>
      <c r="R44" s="2" t="inlineStr">
        <is>
          <t>Garnlav</t>
        </is>
      </c>
      <c r="S44">
        <f>HYPERLINK("https://klasma.github.io/Logging_1981/artfynd/A 19361-2025 artfynd.xlsx", "A 19361-2025")</f>
        <v/>
      </c>
      <c r="T44">
        <f>HYPERLINK("https://klasma.github.io/Logging_1981/kartor/A 19361-2025 karta.png", "A 19361-2025")</f>
        <v/>
      </c>
      <c r="V44">
        <f>HYPERLINK("https://klasma.github.io/Logging_1981/klagomål/A 19361-2025 FSC-klagomål.docx", "A 19361-2025")</f>
        <v/>
      </c>
      <c r="W44">
        <f>HYPERLINK("https://klasma.github.io/Logging_1981/klagomålsmail/A 19361-2025 FSC-klagomål mail.docx", "A 19361-2025")</f>
        <v/>
      </c>
      <c r="X44">
        <f>HYPERLINK("https://klasma.github.io/Logging_1981/tillsyn/A 19361-2025 tillsynsbegäran.docx", "A 19361-2025")</f>
        <v/>
      </c>
      <c r="Y44">
        <f>HYPERLINK("https://klasma.github.io/Logging_1981/tillsynsmail/A 19361-2025 tillsynsbegäran mail.docx", "A 19361-2025")</f>
        <v/>
      </c>
    </row>
    <row r="45" ht="15" customHeight="1">
      <c r="A45" t="inlineStr">
        <is>
          <t>A 41570-2021</t>
        </is>
      </c>
      <c r="B45" s="1" t="n">
        <v>44425</v>
      </c>
      <c r="C45" s="1" t="n">
        <v>46059</v>
      </c>
      <c r="D45" t="inlineStr">
        <is>
          <t>VÄSTMANLANDS LÄN</t>
        </is>
      </c>
      <c r="E45" t="inlineStr">
        <is>
          <t>SALA</t>
        </is>
      </c>
      <c r="G45" t="n">
        <v>1.4</v>
      </c>
      <c r="H45" t="n">
        <v>0</v>
      </c>
      <c r="I45" t="n">
        <v>0</v>
      </c>
      <c r="J45" t="n">
        <v>1</v>
      </c>
      <c r="K45" t="n">
        <v>0</v>
      </c>
      <c r="L45" t="n">
        <v>0</v>
      </c>
      <c r="M45" t="n">
        <v>0</v>
      </c>
      <c r="N45" t="n">
        <v>0</v>
      </c>
      <c r="O45" t="n">
        <v>1</v>
      </c>
      <c r="P45" t="n">
        <v>0</v>
      </c>
      <c r="Q45" t="n">
        <v>1</v>
      </c>
      <c r="R45" s="2" t="inlineStr">
        <is>
          <t>Vedtrappmossa</t>
        </is>
      </c>
      <c r="S45">
        <f>HYPERLINK("https://klasma.github.io/Logging_1981/artfynd/A 41570-2021 artfynd.xlsx", "A 41570-2021")</f>
        <v/>
      </c>
      <c r="T45">
        <f>HYPERLINK("https://klasma.github.io/Logging_1981/kartor/A 41570-2021 karta.png", "A 41570-2021")</f>
        <v/>
      </c>
      <c r="V45">
        <f>HYPERLINK("https://klasma.github.io/Logging_1981/klagomål/A 41570-2021 FSC-klagomål.docx", "A 41570-2021")</f>
        <v/>
      </c>
      <c r="W45">
        <f>HYPERLINK("https://klasma.github.io/Logging_1981/klagomålsmail/A 41570-2021 FSC-klagomål mail.docx", "A 41570-2021")</f>
        <v/>
      </c>
      <c r="X45">
        <f>HYPERLINK("https://klasma.github.io/Logging_1981/tillsyn/A 41570-2021 tillsynsbegäran.docx", "A 41570-2021")</f>
        <v/>
      </c>
      <c r="Y45">
        <f>HYPERLINK("https://klasma.github.io/Logging_1981/tillsynsmail/A 41570-2021 tillsynsbegäran mail.docx", "A 41570-2021")</f>
        <v/>
      </c>
    </row>
    <row r="46" ht="15" customHeight="1">
      <c r="A46" t="inlineStr">
        <is>
          <t>A 56704-2022</t>
        </is>
      </c>
      <c r="B46" s="1" t="n">
        <v>44893.78075231481</v>
      </c>
      <c r="C46" s="1" t="n">
        <v>46059</v>
      </c>
      <c r="D46" t="inlineStr">
        <is>
          <t>VÄSTMANLANDS LÄN</t>
        </is>
      </c>
      <c r="E46" t="inlineStr">
        <is>
          <t>SALA</t>
        </is>
      </c>
      <c r="G46" t="n">
        <v>3.2</v>
      </c>
      <c r="H46" t="n">
        <v>1</v>
      </c>
      <c r="I46" t="n">
        <v>0</v>
      </c>
      <c r="J46" t="n">
        <v>0</v>
      </c>
      <c r="K46" t="n">
        <v>1</v>
      </c>
      <c r="L46" t="n">
        <v>0</v>
      </c>
      <c r="M46" t="n">
        <v>0</v>
      </c>
      <c r="N46" t="n">
        <v>0</v>
      </c>
      <c r="O46" t="n">
        <v>1</v>
      </c>
      <c r="P46" t="n">
        <v>1</v>
      </c>
      <c r="Q46" t="n">
        <v>1</v>
      </c>
      <c r="R46" s="2" t="inlineStr">
        <is>
          <t>Knärot</t>
        </is>
      </c>
      <c r="S46">
        <f>HYPERLINK("https://klasma.github.io/Logging_1981/artfynd/A 56704-2022 artfynd.xlsx", "A 56704-2022")</f>
        <v/>
      </c>
      <c r="T46">
        <f>HYPERLINK("https://klasma.github.io/Logging_1981/kartor/A 56704-2022 karta.png", "A 56704-2022")</f>
        <v/>
      </c>
      <c r="U46">
        <f>HYPERLINK("https://klasma.github.io/Logging_1981/knärot/A 56704-2022 karta knärot.png", "A 56704-2022")</f>
        <v/>
      </c>
      <c r="V46">
        <f>HYPERLINK("https://klasma.github.io/Logging_1981/klagomål/A 56704-2022 FSC-klagomål.docx", "A 56704-2022")</f>
        <v/>
      </c>
      <c r="W46">
        <f>HYPERLINK("https://klasma.github.io/Logging_1981/klagomålsmail/A 56704-2022 FSC-klagomål mail.docx", "A 56704-2022")</f>
        <v/>
      </c>
      <c r="X46">
        <f>HYPERLINK("https://klasma.github.io/Logging_1981/tillsyn/A 56704-2022 tillsynsbegäran.docx", "A 56704-2022")</f>
        <v/>
      </c>
      <c r="Y46">
        <f>HYPERLINK("https://klasma.github.io/Logging_1981/tillsynsmail/A 56704-2022 tillsynsbegäran mail.docx", "A 56704-2022")</f>
        <v/>
      </c>
    </row>
    <row r="47" ht="15" customHeight="1">
      <c r="A47" t="inlineStr">
        <is>
          <t>A 43175-2023</t>
        </is>
      </c>
      <c r="B47" s="1" t="n">
        <v>45183</v>
      </c>
      <c r="C47" s="1" t="n">
        <v>46059</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48705-2025</t>
        </is>
      </c>
      <c r="B48" s="1" t="n">
        <v>45936.62290509259</v>
      </c>
      <c r="C48" s="1" t="n">
        <v>46059</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50268-2025</t>
        </is>
      </c>
      <c r="B49" s="1" t="n">
        <v>45944.35162037037</v>
      </c>
      <c r="C49" s="1" t="n">
        <v>46059</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41270-2024</t>
        </is>
      </c>
      <c r="B50" s="1" t="n">
        <v>45559</v>
      </c>
      <c r="C50" s="1" t="n">
        <v>46059</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53052-2025</t>
        </is>
      </c>
      <c r="B51" s="1" t="n">
        <v>45958.36266203703</v>
      </c>
      <c r="C51" s="1" t="n">
        <v>46059</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37166-2024</t>
        </is>
      </c>
      <c r="B52" s="1" t="n">
        <v>45539</v>
      </c>
      <c r="C52" s="1" t="n">
        <v>46059</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37166-2024 artfynd.xlsx", "A 37166-2024")</f>
        <v/>
      </c>
      <c r="T52">
        <f>HYPERLINK("https://klasma.github.io/Logging_1981/kartor/A 37166-2024 karta.png", "A 37166-2024")</f>
        <v/>
      </c>
      <c r="U52">
        <f>HYPERLINK("https://klasma.github.io/Logging_1981/knärot/A 37166-2024 karta knärot.png", "A 37166-2024")</f>
        <v/>
      </c>
      <c r="V52">
        <f>HYPERLINK("https://klasma.github.io/Logging_1981/klagomål/A 37166-2024 FSC-klagomål.docx", "A 37166-2024")</f>
        <v/>
      </c>
      <c r="W52">
        <f>HYPERLINK("https://klasma.github.io/Logging_1981/klagomålsmail/A 37166-2024 FSC-klagomål mail.docx", "A 37166-2024")</f>
        <v/>
      </c>
      <c r="X52">
        <f>HYPERLINK("https://klasma.github.io/Logging_1981/tillsyn/A 37166-2024 tillsynsbegäran.docx", "A 37166-2024")</f>
        <v/>
      </c>
      <c r="Y52">
        <f>HYPERLINK("https://klasma.github.io/Logging_1981/tillsynsmail/A 37166-2024 tillsynsbegäran mail.docx", "A 37166-2024")</f>
        <v/>
      </c>
    </row>
    <row r="53" ht="15" customHeight="1">
      <c r="A53" t="inlineStr">
        <is>
          <t>A 43068-2024</t>
        </is>
      </c>
      <c r="B53" s="1" t="n">
        <v>45567</v>
      </c>
      <c r="C53" s="1" t="n">
        <v>46059</v>
      </c>
      <c r="D53" t="inlineStr">
        <is>
          <t>VÄSTMANLANDS LÄN</t>
        </is>
      </c>
      <c r="E53" t="inlineStr">
        <is>
          <t>SALA</t>
        </is>
      </c>
      <c r="G53" t="n">
        <v>1.1</v>
      </c>
      <c r="H53" t="n">
        <v>0</v>
      </c>
      <c r="I53" t="n">
        <v>1</v>
      </c>
      <c r="J53" t="n">
        <v>0</v>
      </c>
      <c r="K53" t="n">
        <v>0</v>
      </c>
      <c r="L53" t="n">
        <v>0</v>
      </c>
      <c r="M53" t="n">
        <v>0</v>
      </c>
      <c r="N53" t="n">
        <v>0</v>
      </c>
      <c r="O53" t="n">
        <v>0</v>
      </c>
      <c r="P53" t="n">
        <v>0</v>
      </c>
      <c r="Q53" t="n">
        <v>1</v>
      </c>
      <c r="R53" s="2" t="inlineStr">
        <is>
          <t>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7731-2023</t>
        </is>
      </c>
      <c r="B54" s="1" t="n">
        <v>44973</v>
      </c>
      <c r="C54" s="1" t="n">
        <v>46059</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55995-2025</t>
        </is>
      </c>
      <c r="B55" s="1" t="n">
        <v>45973.56733796297</v>
      </c>
      <c r="C55" s="1" t="n">
        <v>46059</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12509-2023</t>
        </is>
      </c>
      <c r="B56" s="1" t="n">
        <v>44999.95988425926</v>
      </c>
      <c r="C56" s="1" t="n">
        <v>46059</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29985-2022</t>
        </is>
      </c>
      <c r="B57" s="1" t="n">
        <v>44756</v>
      </c>
      <c r="C57" s="1" t="n">
        <v>46059</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7919-2022</t>
        </is>
      </c>
      <c r="B58" s="1" t="n">
        <v>44608</v>
      </c>
      <c r="C58" s="1" t="n">
        <v>46059</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29727-2023</t>
        </is>
      </c>
      <c r="B59" s="1" t="n">
        <v>45107</v>
      </c>
      <c r="C59" s="1" t="n">
        <v>46059</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55550-2023</t>
        </is>
      </c>
      <c r="B60" s="1" t="n">
        <v>45232</v>
      </c>
      <c r="C60" s="1" t="n">
        <v>46059</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21738-2025</t>
        </is>
      </c>
      <c r="B61" s="1" t="n">
        <v>45783.59173611111</v>
      </c>
      <c r="C61" s="1" t="n">
        <v>46059</v>
      </c>
      <c r="D61" t="inlineStr">
        <is>
          <t>VÄSTMANLANDS LÄN</t>
        </is>
      </c>
      <c r="E61" t="inlineStr">
        <is>
          <t>SALA</t>
        </is>
      </c>
      <c r="G61" t="n">
        <v>2.1</v>
      </c>
      <c r="H61" t="n">
        <v>0</v>
      </c>
      <c r="I61" t="n">
        <v>0</v>
      </c>
      <c r="J61" t="n">
        <v>1</v>
      </c>
      <c r="K61" t="n">
        <v>0</v>
      </c>
      <c r="L61" t="n">
        <v>0</v>
      </c>
      <c r="M61" t="n">
        <v>0</v>
      </c>
      <c r="N61" t="n">
        <v>0</v>
      </c>
      <c r="O61" t="n">
        <v>1</v>
      </c>
      <c r="P61" t="n">
        <v>0</v>
      </c>
      <c r="Q61" t="n">
        <v>1</v>
      </c>
      <c r="R61" s="2" t="inlineStr">
        <is>
          <t>Motaggsvamp</t>
        </is>
      </c>
      <c r="S61">
        <f>HYPERLINK("https://klasma.github.io/Logging_1981/artfynd/A 21738-2025 artfynd.xlsx", "A 21738-2025")</f>
        <v/>
      </c>
      <c r="T61">
        <f>HYPERLINK("https://klasma.github.io/Logging_1981/kartor/A 21738-2025 karta.png", "A 21738-2025")</f>
        <v/>
      </c>
      <c r="V61">
        <f>HYPERLINK("https://klasma.github.io/Logging_1981/klagomål/A 21738-2025 FSC-klagomål.docx", "A 21738-2025")</f>
        <v/>
      </c>
      <c r="W61">
        <f>HYPERLINK("https://klasma.github.io/Logging_1981/klagomålsmail/A 21738-2025 FSC-klagomål mail.docx", "A 21738-2025")</f>
        <v/>
      </c>
      <c r="X61">
        <f>HYPERLINK("https://klasma.github.io/Logging_1981/tillsyn/A 21738-2025 tillsynsbegäran.docx", "A 21738-2025")</f>
        <v/>
      </c>
      <c r="Y61">
        <f>HYPERLINK("https://klasma.github.io/Logging_1981/tillsynsmail/A 21738-2025 tillsynsbegäran mail.docx", "A 21738-2025")</f>
        <v/>
      </c>
    </row>
    <row r="62" ht="15" customHeight="1">
      <c r="A62" t="inlineStr">
        <is>
          <t>A 22950-2025</t>
        </is>
      </c>
      <c r="B62" s="1" t="n">
        <v>45790.50728009259</v>
      </c>
      <c r="C62" s="1" t="n">
        <v>46059</v>
      </c>
      <c r="D62" t="inlineStr">
        <is>
          <t>VÄSTMANLANDS LÄN</t>
        </is>
      </c>
      <c r="E62" t="inlineStr">
        <is>
          <t>SALA</t>
        </is>
      </c>
      <c r="G62" t="n">
        <v>6.2</v>
      </c>
      <c r="H62" t="n">
        <v>1</v>
      </c>
      <c r="I62" t="n">
        <v>0</v>
      </c>
      <c r="J62" t="n">
        <v>1</v>
      </c>
      <c r="K62" t="n">
        <v>0</v>
      </c>
      <c r="L62" t="n">
        <v>0</v>
      </c>
      <c r="M62" t="n">
        <v>0</v>
      </c>
      <c r="N62" t="n">
        <v>0</v>
      </c>
      <c r="O62" t="n">
        <v>1</v>
      </c>
      <c r="P62" t="n">
        <v>0</v>
      </c>
      <c r="Q62" t="n">
        <v>1</v>
      </c>
      <c r="R62" s="2" t="inlineStr">
        <is>
          <t>Svartvit flugsnappare</t>
        </is>
      </c>
      <c r="S62">
        <f>HYPERLINK("https://klasma.github.io/Logging_1981/artfynd/A 22950-2025 artfynd.xlsx", "A 22950-2025")</f>
        <v/>
      </c>
      <c r="T62">
        <f>HYPERLINK("https://klasma.github.io/Logging_1981/kartor/A 22950-2025 karta.png", "A 22950-2025")</f>
        <v/>
      </c>
      <c r="V62">
        <f>HYPERLINK("https://klasma.github.io/Logging_1981/klagomål/A 22950-2025 FSC-klagomål.docx", "A 22950-2025")</f>
        <v/>
      </c>
      <c r="W62">
        <f>HYPERLINK("https://klasma.github.io/Logging_1981/klagomålsmail/A 22950-2025 FSC-klagomål mail.docx", "A 22950-2025")</f>
        <v/>
      </c>
      <c r="X62">
        <f>HYPERLINK("https://klasma.github.io/Logging_1981/tillsyn/A 22950-2025 tillsynsbegäran.docx", "A 22950-2025")</f>
        <v/>
      </c>
      <c r="Y62">
        <f>HYPERLINK("https://klasma.github.io/Logging_1981/tillsynsmail/A 22950-2025 tillsynsbegäran mail.docx", "A 22950-2025")</f>
        <v/>
      </c>
      <c r="Z62">
        <f>HYPERLINK("https://klasma.github.io/Logging_1981/fåglar/A 22950-2025 prioriterade fågelarter.docx", "A 22950-2025")</f>
        <v/>
      </c>
    </row>
    <row r="63" ht="15" customHeight="1">
      <c r="A63" t="inlineStr">
        <is>
          <t>A 32594-2025</t>
        </is>
      </c>
      <c r="B63" s="1" t="n">
        <v>45838</v>
      </c>
      <c r="C63" s="1" t="n">
        <v>46059</v>
      </c>
      <c r="D63" t="inlineStr">
        <is>
          <t>VÄSTMANLANDS LÄN</t>
        </is>
      </c>
      <c r="E63" t="inlineStr">
        <is>
          <t>SALA</t>
        </is>
      </c>
      <c r="F63" t="inlineStr">
        <is>
          <t>Bergvik skog öst AB</t>
        </is>
      </c>
      <c r="G63" t="n">
        <v>0.9</v>
      </c>
      <c r="H63" t="n">
        <v>1</v>
      </c>
      <c r="I63" t="n">
        <v>0</v>
      </c>
      <c r="J63" t="n">
        <v>0</v>
      </c>
      <c r="K63" t="n">
        <v>0</v>
      </c>
      <c r="L63" t="n">
        <v>0</v>
      </c>
      <c r="M63" t="n">
        <v>0</v>
      </c>
      <c r="N63" t="n">
        <v>0</v>
      </c>
      <c r="O63" t="n">
        <v>0</v>
      </c>
      <c r="P63" t="n">
        <v>0</v>
      </c>
      <c r="Q63" t="n">
        <v>1</v>
      </c>
      <c r="R63" s="2" t="inlineStr">
        <is>
          <t>Blåsippa</t>
        </is>
      </c>
      <c r="S63">
        <f>HYPERLINK("https://klasma.github.io/Logging_1981/artfynd/A 32594-2025 artfynd.xlsx", "A 32594-2025")</f>
        <v/>
      </c>
      <c r="T63">
        <f>HYPERLINK("https://klasma.github.io/Logging_1981/kartor/A 32594-2025 karta.png", "A 32594-2025")</f>
        <v/>
      </c>
      <c r="V63">
        <f>HYPERLINK("https://klasma.github.io/Logging_1981/klagomål/A 32594-2025 FSC-klagomål.docx", "A 32594-2025")</f>
        <v/>
      </c>
      <c r="W63">
        <f>HYPERLINK("https://klasma.github.io/Logging_1981/klagomålsmail/A 32594-2025 FSC-klagomål mail.docx", "A 32594-2025")</f>
        <v/>
      </c>
      <c r="X63">
        <f>HYPERLINK("https://klasma.github.io/Logging_1981/tillsyn/A 32594-2025 tillsynsbegäran.docx", "A 32594-2025")</f>
        <v/>
      </c>
      <c r="Y63">
        <f>HYPERLINK("https://klasma.github.io/Logging_1981/tillsynsmail/A 32594-2025 tillsynsbegäran mail.docx", "A 32594-2025")</f>
        <v/>
      </c>
    </row>
    <row r="64" ht="15" customHeight="1">
      <c r="A64" t="inlineStr">
        <is>
          <t>A 22350-2024</t>
        </is>
      </c>
      <c r="B64" s="1" t="n">
        <v>45446</v>
      </c>
      <c r="C64" s="1" t="n">
        <v>46059</v>
      </c>
      <c r="D64" t="inlineStr">
        <is>
          <t>VÄSTMANLANDS LÄN</t>
        </is>
      </c>
      <c r="E64" t="inlineStr">
        <is>
          <t>SALA</t>
        </is>
      </c>
      <c r="G64" t="n">
        <v>1.2</v>
      </c>
      <c r="H64" t="n">
        <v>1</v>
      </c>
      <c r="I64" t="n">
        <v>0</v>
      </c>
      <c r="J64" t="n">
        <v>0</v>
      </c>
      <c r="K64" t="n">
        <v>0</v>
      </c>
      <c r="L64" t="n">
        <v>0</v>
      </c>
      <c r="M64" t="n">
        <v>0</v>
      </c>
      <c r="N64" t="n">
        <v>0</v>
      </c>
      <c r="O64" t="n">
        <v>0</v>
      </c>
      <c r="P64" t="n">
        <v>0</v>
      </c>
      <c r="Q64" t="n">
        <v>1</v>
      </c>
      <c r="R64" s="2" t="inlineStr">
        <is>
          <t>Blåsippa</t>
        </is>
      </c>
      <c r="S64">
        <f>HYPERLINK("https://klasma.github.io/Logging_1981/artfynd/A 22350-2024 artfynd.xlsx", "A 22350-2024")</f>
        <v/>
      </c>
      <c r="T64">
        <f>HYPERLINK("https://klasma.github.io/Logging_1981/kartor/A 22350-2024 karta.png", "A 22350-2024")</f>
        <v/>
      </c>
      <c r="V64">
        <f>HYPERLINK("https://klasma.github.io/Logging_1981/klagomål/A 22350-2024 FSC-klagomål.docx", "A 22350-2024")</f>
        <v/>
      </c>
      <c r="W64">
        <f>HYPERLINK("https://klasma.github.io/Logging_1981/klagomålsmail/A 22350-2024 FSC-klagomål mail.docx", "A 22350-2024")</f>
        <v/>
      </c>
      <c r="X64">
        <f>HYPERLINK("https://klasma.github.io/Logging_1981/tillsyn/A 22350-2024 tillsynsbegäran.docx", "A 22350-2024")</f>
        <v/>
      </c>
      <c r="Y64">
        <f>HYPERLINK("https://klasma.github.io/Logging_1981/tillsynsmail/A 22350-2024 tillsynsbegäran mail.docx", "A 22350-2024")</f>
        <v/>
      </c>
    </row>
    <row r="65" ht="15" customHeight="1">
      <c r="A65" t="inlineStr">
        <is>
          <t>A 66561-2021</t>
        </is>
      </c>
      <c r="B65" s="1" t="n">
        <v>44519.41648148148</v>
      </c>
      <c r="C65" s="1" t="n">
        <v>46059</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46059</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46059</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46059</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46059</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46059</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46059</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46059</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46059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46059</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46059</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46059</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46059</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46059</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46059</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46059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46059</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46059</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46059</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46059</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46059</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46059</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46059</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46059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46059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46059</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46059</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46059</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46059</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46059</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46059</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46059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46059</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46059</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46059</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46059</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46059</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46059</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46059</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46059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46059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46059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46059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46059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46059</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46059</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46059</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46059</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46059</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46059</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46059</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46059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46059</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46059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46059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46059</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46059</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46059</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46059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46059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46059</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46059</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46059</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46059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46059</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46059</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46059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46059</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46059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46059</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46059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46059</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46059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46059</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46059</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46059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46059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46059</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46059</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46059</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46059</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46059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46059</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46059</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46059</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46059</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46059</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46059</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46059</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46059</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46059</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46059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46059</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46059</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46059</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46059</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46059</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46059</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46059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46059</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46059</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46059</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46059</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46059</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46059</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46059</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46059</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13746-2025</t>
        </is>
      </c>
      <c r="B172" s="1" t="n">
        <v>45737.40944444444</v>
      </c>
      <c r="C172" s="1" t="n">
        <v>46059</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36032-2025</t>
        </is>
      </c>
      <c r="B173" s="1" t="n">
        <v>45865.48740740741</v>
      </c>
      <c r="C173" s="1" t="n">
        <v>46059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36043-2025</t>
        </is>
      </c>
      <c r="B174" s="1" t="n">
        <v>45866.35333333333</v>
      </c>
      <c r="C174" s="1" t="n">
        <v>46059</v>
      </c>
      <c r="D174" t="inlineStr">
        <is>
          <t>VÄSTMANLANDS LÄN</t>
        </is>
      </c>
      <c r="E174" t="inlineStr">
        <is>
          <t>SALA</t>
        </is>
      </c>
      <c r="F174" t="inlineStr">
        <is>
          <t>Kommuner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36045-2025</t>
        </is>
      </c>
      <c r="B175" s="1" t="n">
        <v>45866.36200231482</v>
      </c>
      <c r="C175" s="1" t="n">
        <v>46059</v>
      </c>
      <c r="D175" t="inlineStr">
        <is>
          <t>VÄSTMANLANDS LÄN</t>
        </is>
      </c>
      <c r="E175" t="inlineStr">
        <is>
          <t>SALA</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73673-2021</t>
        </is>
      </c>
      <c r="B176" s="1" t="n">
        <v>44552.46501157407</v>
      </c>
      <c r="C176" s="1" t="n">
        <v>46059</v>
      </c>
      <c r="D176" t="inlineStr">
        <is>
          <t>VÄSTMANLANDS LÄN</t>
        </is>
      </c>
      <c r="E176" t="inlineStr">
        <is>
          <t>SALA</t>
        </is>
      </c>
      <c r="G176" t="n">
        <v>11.4</v>
      </c>
      <c r="H176" t="n">
        <v>0</v>
      </c>
      <c r="I176" t="n">
        <v>0</v>
      </c>
      <c r="J176" t="n">
        <v>0</v>
      </c>
      <c r="K176" t="n">
        <v>0</v>
      </c>
      <c r="L176" t="n">
        <v>0</v>
      </c>
      <c r="M176" t="n">
        <v>0</v>
      </c>
      <c r="N176" t="n">
        <v>0</v>
      </c>
      <c r="O176" t="n">
        <v>0</v>
      </c>
      <c r="P176" t="n">
        <v>0</v>
      </c>
      <c r="Q176" t="n">
        <v>0</v>
      </c>
      <c r="R176" s="2" t="inlineStr"/>
    </row>
    <row r="177" ht="15" customHeight="1">
      <c r="A177" t="inlineStr">
        <is>
          <t>A 38574-2025</t>
        </is>
      </c>
      <c r="B177" s="1" t="n">
        <v>45884.46390046296</v>
      </c>
      <c r="C177" s="1" t="n">
        <v>46059</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16651-2021</t>
        </is>
      </c>
      <c r="B178" s="1" t="n">
        <v>44294.50096064815</v>
      </c>
      <c r="C178" s="1" t="n">
        <v>46059</v>
      </c>
      <c r="D178" t="inlineStr">
        <is>
          <t>VÄSTMANLANDS LÄN</t>
        </is>
      </c>
      <c r="E178" t="inlineStr">
        <is>
          <t>SALA</t>
        </is>
      </c>
      <c r="G178" t="n">
        <v>7.7</v>
      </c>
      <c r="H178" t="n">
        <v>0</v>
      </c>
      <c r="I178" t="n">
        <v>0</v>
      </c>
      <c r="J178" t="n">
        <v>0</v>
      </c>
      <c r="K178" t="n">
        <v>0</v>
      </c>
      <c r="L178" t="n">
        <v>0</v>
      </c>
      <c r="M178" t="n">
        <v>0</v>
      </c>
      <c r="N178" t="n">
        <v>0</v>
      </c>
      <c r="O178" t="n">
        <v>0</v>
      </c>
      <c r="P178" t="n">
        <v>0</v>
      </c>
      <c r="Q178" t="n">
        <v>0</v>
      </c>
      <c r="R178" s="2" t="inlineStr"/>
    </row>
    <row r="179" ht="15" customHeight="1">
      <c r="A179" t="inlineStr">
        <is>
          <t>A 38294-2025</t>
        </is>
      </c>
      <c r="B179" s="1" t="n">
        <v>45883.44854166666</v>
      </c>
      <c r="C179" s="1" t="n">
        <v>46059</v>
      </c>
      <c r="D179" t="inlineStr">
        <is>
          <t>VÄSTMANLANDS LÄN</t>
        </is>
      </c>
      <c r="E179" t="inlineStr">
        <is>
          <t>SALA</t>
        </is>
      </c>
      <c r="G179" t="n">
        <v>1.5</v>
      </c>
      <c r="H179" t="n">
        <v>0</v>
      </c>
      <c r="I179" t="n">
        <v>0</v>
      </c>
      <c r="J179" t="n">
        <v>0</v>
      </c>
      <c r="K179" t="n">
        <v>0</v>
      </c>
      <c r="L179" t="n">
        <v>0</v>
      </c>
      <c r="M179" t="n">
        <v>0</v>
      </c>
      <c r="N179" t="n">
        <v>0</v>
      </c>
      <c r="O179" t="n">
        <v>0</v>
      </c>
      <c r="P179" t="n">
        <v>0</v>
      </c>
      <c r="Q179" t="n">
        <v>0</v>
      </c>
      <c r="R179" s="2" t="inlineStr"/>
    </row>
    <row r="180" ht="15" customHeight="1">
      <c r="A180" t="inlineStr">
        <is>
          <t>A 41876-2022</t>
        </is>
      </c>
      <c r="B180" s="1" t="n">
        <v>44829.97008101852</v>
      </c>
      <c r="C180" s="1" t="n">
        <v>46059</v>
      </c>
      <c r="D180" t="inlineStr">
        <is>
          <t>VÄSTMANLANDS LÄN</t>
        </is>
      </c>
      <c r="E180" t="inlineStr">
        <is>
          <t>SALA</t>
        </is>
      </c>
      <c r="G180" t="n">
        <v>3.6</v>
      </c>
      <c r="H180" t="n">
        <v>0</v>
      </c>
      <c r="I180" t="n">
        <v>0</v>
      </c>
      <c r="J180" t="n">
        <v>0</v>
      </c>
      <c r="K180" t="n">
        <v>0</v>
      </c>
      <c r="L180" t="n">
        <v>0</v>
      </c>
      <c r="M180" t="n">
        <v>0</v>
      </c>
      <c r="N180" t="n">
        <v>0</v>
      </c>
      <c r="O180" t="n">
        <v>0</v>
      </c>
      <c r="P180" t="n">
        <v>0</v>
      </c>
      <c r="Q180" t="n">
        <v>0</v>
      </c>
      <c r="R180" s="2" t="inlineStr"/>
    </row>
    <row r="181" ht="15" customHeight="1">
      <c r="A181" t="inlineStr">
        <is>
          <t>A 67958-2021</t>
        </is>
      </c>
      <c r="B181" s="1" t="n">
        <v>44525</v>
      </c>
      <c r="C181" s="1" t="n">
        <v>46059</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67965-2021</t>
        </is>
      </c>
      <c r="B182" s="1" t="n">
        <v>44525</v>
      </c>
      <c r="C182" s="1" t="n">
        <v>46059</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25897-2024</t>
        </is>
      </c>
      <c r="B183" s="1" t="n">
        <v>45467.54435185185</v>
      </c>
      <c r="C183" s="1" t="n">
        <v>46059</v>
      </c>
      <c r="D183" t="inlineStr">
        <is>
          <t>VÄSTMANLANDS LÄN</t>
        </is>
      </c>
      <c r="E183" t="inlineStr">
        <is>
          <t>SALA</t>
        </is>
      </c>
      <c r="G183" t="n">
        <v>9.9</v>
      </c>
      <c r="H183" t="n">
        <v>0</v>
      </c>
      <c r="I183" t="n">
        <v>0</v>
      </c>
      <c r="J183" t="n">
        <v>0</v>
      </c>
      <c r="K183" t="n">
        <v>0</v>
      </c>
      <c r="L183" t="n">
        <v>0</v>
      </c>
      <c r="M183" t="n">
        <v>0</v>
      </c>
      <c r="N183" t="n">
        <v>0</v>
      </c>
      <c r="O183" t="n">
        <v>0</v>
      </c>
      <c r="P183" t="n">
        <v>0</v>
      </c>
      <c r="Q183" t="n">
        <v>0</v>
      </c>
      <c r="R183" s="2" t="inlineStr"/>
    </row>
    <row r="184" ht="15" customHeight="1">
      <c r="A184" t="inlineStr">
        <is>
          <t>A 17985-2025</t>
        </is>
      </c>
      <c r="B184" s="1" t="n">
        <v>45761</v>
      </c>
      <c r="C184" s="1" t="n">
        <v>46059</v>
      </c>
      <c r="D184" t="inlineStr">
        <is>
          <t>VÄSTMANLANDS LÄN</t>
        </is>
      </c>
      <c r="E184" t="inlineStr">
        <is>
          <t>SALA</t>
        </is>
      </c>
      <c r="G184" t="n">
        <v>12.5</v>
      </c>
      <c r="H184" t="n">
        <v>0</v>
      </c>
      <c r="I184" t="n">
        <v>0</v>
      </c>
      <c r="J184" t="n">
        <v>0</v>
      </c>
      <c r="K184" t="n">
        <v>0</v>
      </c>
      <c r="L184" t="n">
        <v>0</v>
      </c>
      <c r="M184" t="n">
        <v>0</v>
      </c>
      <c r="N184" t="n">
        <v>0</v>
      </c>
      <c r="O184" t="n">
        <v>0</v>
      </c>
      <c r="P184" t="n">
        <v>0</v>
      </c>
      <c r="Q184" t="n">
        <v>0</v>
      </c>
      <c r="R184" s="2" t="inlineStr"/>
    </row>
    <row r="185" ht="15" customHeight="1">
      <c r="A185" t="inlineStr">
        <is>
          <t>A 31869-2025</t>
        </is>
      </c>
      <c r="B185" s="1" t="n">
        <v>45834.64555555556</v>
      </c>
      <c r="C185" s="1" t="n">
        <v>46059</v>
      </c>
      <c r="D185" t="inlineStr">
        <is>
          <t>VÄSTMANLANDS LÄN</t>
        </is>
      </c>
      <c r="E185" t="inlineStr">
        <is>
          <t>SALA</t>
        </is>
      </c>
      <c r="G185" t="n">
        <v>17.5</v>
      </c>
      <c r="H185" t="n">
        <v>0</v>
      </c>
      <c r="I185" t="n">
        <v>0</v>
      </c>
      <c r="J185" t="n">
        <v>0</v>
      </c>
      <c r="K185" t="n">
        <v>0</v>
      </c>
      <c r="L185" t="n">
        <v>0</v>
      </c>
      <c r="M185" t="n">
        <v>0</v>
      </c>
      <c r="N185" t="n">
        <v>0</v>
      </c>
      <c r="O185" t="n">
        <v>0</v>
      </c>
      <c r="P185" t="n">
        <v>0</v>
      </c>
      <c r="Q185" t="n">
        <v>0</v>
      </c>
      <c r="R185" s="2" t="inlineStr"/>
    </row>
    <row r="186" ht="15" customHeight="1">
      <c r="A186" t="inlineStr">
        <is>
          <t>A 45015-2022</t>
        </is>
      </c>
      <c r="B186" s="1" t="n">
        <v>44841.63766203704</v>
      </c>
      <c r="C186" s="1" t="n">
        <v>46059</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31863-2025</t>
        </is>
      </c>
      <c r="B187" s="1" t="n">
        <v>45834.63303240741</v>
      </c>
      <c r="C187" s="1" t="n">
        <v>46059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17766-2025</t>
        </is>
      </c>
      <c r="B188" s="1" t="n">
        <v>45758</v>
      </c>
      <c r="C188" s="1" t="n">
        <v>46059</v>
      </c>
      <c r="D188" t="inlineStr">
        <is>
          <t>VÄSTMANLANDS LÄN</t>
        </is>
      </c>
      <c r="E188" t="inlineStr">
        <is>
          <t>SALA</t>
        </is>
      </c>
      <c r="G188" t="n">
        <v>16.5</v>
      </c>
      <c r="H188" t="n">
        <v>0</v>
      </c>
      <c r="I188" t="n">
        <v>0</v>
      </c>
      <c r="J188" t="n">
        <v>0</v>
      </c>
      <c r="K188" t="n">
        <v>0</v>
      </c>
      <c r="L188" t="n">
        <v>0</v>
      </c>
      <c r="M188" t="n">
        <v>0</v>
      </c>
      <c r="N188" t="n">
        <v>0</v>
      </c>
      <c r="O188" t="n">
        <v>0</v>
      </c>
      <c r="P188" t="n">
        <v>0</v>
      </c>
      <c r="Q188" t="n">
        <v>0</v>
      </c>
      <c r="R188" s="2" t="inlineStr"/>
    </row>
    <row r="189" ht="15" customHeight="1">
      <c r="A189" t="inlineStr">
        <is>
          <t>A 23222-2023</t>
        </is>
      </c>
      <c r="B189" s="1" t="n">
        <v>45075</v>
      </c>
      <c r="C189" s="1" t="n">
        <v>46059</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23224-2023</t>
        </is>
      </c>
      <c r="B190" s="1" t="n">
        <v>45075.65040509259</v>
      </c>
      <c r="C190" s="1" t="n">
        <v>46059</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7664-2023</t>
        </is>
      </c>
      <c r="B191" s="1" t="n">
        <v>44972</v>
      </c>
      <c r="C191" s="1" t="n">
        <v>46059</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3546-2025</t>
        </is>
      </c>
      <c r="B192" s="1" t="n">
        <v>45680</v>
      </c>
      <c r="C192" s="1" t="n">
        <v>46059</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50479-2022</t>
        </is>
      </c>
      <c r="B193" s="1" t="n">
        <v>44861</v>
      </c>
      <c r="C193" s="1" t="n">
        <v>46059</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10168-2022</t>
        </is>
      </c>
      <c r="B194" s="1" t="n">
        <v>44622.37693287037</v>
      </c>
      <c r="C194" s="1" t="n">
        <v>46059</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57000-2021</t>
        </is>
      </c>
      <c r="B195" s="1" t="n">
        <v>44482.46760416667</v>
      </c>
      <c r="C195" s="1" t="n">
        <v>46059</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14919-2025</t>
        </is>
      </c>
      <c r="B196" s="1" t="n">
        <v>45743.54256944444</v>
      </c>
      <c r="C196" s="1" t="n">
        <v>46059</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14920-2025</t>
        </is>
      </c>
      <c r="B197" s="1" t="n">
        <v>45743</v>
      </c>
      <c r="C197" s="1" t="n">
        <v>46059</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26579-2021</t>
        </is>
      </c>
      <c r="B198" s="1" t="n">
        <v>44348</v>
      </c>
      <c r="C198" s="1" t="n">
        <v>46059</v>
      </c>
      <c r="D198" t="inlineStr">
        <is>
          <t>VÄSTMANLANDS LÄN</t>
        </is>
      </c>
      <c r="E198" t="inlineStr">
        <is>
          <t>SALA</t>
        </is>
      </c>
      <c r="G198" t="n">
        <v>1.6</v>
      </c>
      <c r="H198" t="n">
        <v>0</v>
      </c>
      <c r="I198" t="n">
        <v>0</v>
      </c>
      <c r="J198" t="n">
        <v>0</v>
      </c>
      <c r="K198" t="n">
        <v>0</v>
      </c>
      <c r="L198" t="n">
        <v>0</v>
      </c>
      <c r="M198" t="n">
        <v>0</v>
      </c>
      <c r="N198" t="n">
        <v>0</v>
      </c>
      <c r="O198" t="n">
        <v>0</v>
      </c>
      <c r="P198" t="n">
        <v>0</v>
      </c>
      <c r="Q198" t="n">
        <v>0</v>
      </c>
      <c r="R198" s="2" t="inlineStr"/>
    </row>
    <row r="199" ht="15" customHeight="1">
      <c r="A199" t="inlineStr">
        <is>
          <t>A 37017-2025</t>
        </is>
      </c>
      <c r="B199" s="1" t="n">
        <v>45874</v>
      </c>
      <c r="C199" s="1" t="n">
        <v>46059</v>
      </c>
      <c r="D199" t="inlineStr">
        <is>
          <t>VÄSTMANLANDS LÄN</t>
        </is>
      </c>
      <c r="E199" t="inlineStr">
        <is>
          <t>SALA</t>
        </is>
      </c>
      <c r="G199" t="n">
        <v>11.1</v>
      </c>
      <c r="H199" t="n">
        <v>0</v>
      </c>
      <c r="I199" t="n">
        <v>0</v>
      </c>
      <c r="J199" t="n">
        <v>0</v>
      </c>
      <c r="K199" t="n">
        <v>0</v>
      </c>
      <c r="L199" t="n">
        <v>0</v>
      </c>
      <c r="M199" t="n">
        <v>0</v>
      </c>
      <c r="N199" t="n">
        <v>0</v>
      </c>
      <c r="O199" t="n">
        <v>0</v>
      </c>
      <c r="P199" t="n">
        <v>0</v>
      </c>
      <c r="Q199" t="n">
        <v>0</v>
      </c>
      <c r="R199" s="2" t="inlineStr"/>
    </row>
    <row r="200" ht="15" customHeight="1">
      <c r="A200" t="inlineStr">
        <is>
          <t>A 37103-2025</t>
        </is>
      </c>
      <c r="B200" s="1" t="n">
        <v>45875.47743055555</v>
      </c>
      <c r="C200" s="1" t="n">
        <v>46059</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37246-2025</t>
        </is>
      </c>
      <c r="B201" s="1" t="n">
        <v>45876.39435185185</v>
      </c>
      <c r="C201" s="1" t="n">
        <v>46059</v>
      </c>
      <c r="D201" t="inlineStr">
        <is>
          <t>VÄSTMANLANDS LÄN</t>
        </is>
      </c>
      <c r="E201" t="inlineStr">
        <is>
          <t>SALA</t>
        </is>
      </c>
      <c r="G201" t="n">
        <v>2.3</v>
      </c>
      <c r="H201" t="n">
        <v>0</v>
      </c>
      <c r="I201" t="n">
        <v>0</v>
      </c>
      <c r="J201" t="n">
        <v>0</v>
      </c>
      <c r="K201" t="n">
        <v>0</v>
      </c>
      <c r="L201" t="n">
        <v>0</v>
      </c>
      <c r="M201" t="n">
        <v>0</v>
      </c>
      <c r="N201" t="n">
        <v>0</v>
      </c>
      <c r="O201" t="n">
        <v>0</v>
      </c>
      <c r="P201" t="n">
        <v>0</v>
      </c>
      <c r="Q201" t="n">
        <v>0</v>
      </c>
      <c r="R201" s="2" t="inlineStr"/>
    </row>
    <row r="202" ht="15" customHeight="1">
      <c r="A202" t="inlineStr">
        <is>
          <t>A 13855-2023</t>
        </is>
      </c>
      <c r="B202" s="1" t="n">
        <v>45007</v>
      </c>
      <c r="C202" s="1" t="n">
        <v>46059</v>
      </c>
      <c r="D202" t="inlineStr">
        <is>
          <t>VÄSTMANLANDS LÄN</t>
        </is>
      </c>
      <c r="E202" t="inlineStr">
        <is>
          <t>SALA</t>
        </is>
      </c>
      <c r="G202" t="n">
        <v>2.9</v>
      </c>
      <c r="H202" t="n">
        <v>0</v>
      </c>
      <c r="I202" t="n">
        <v>0</v>
      </c>
      <c r="J202" t="n">
        <v>0</v>
      </c>
      <c r="K202" t="n">
        <v>0</v>
      </c>
      <c r="L202" t="n">
        <v>0</v>
      </c>
      <c r="M202" t="n">
        <v>0</v>
      </c>
      <c r="N202" t="n">
        <v>0</v>
      </c>
      <c r="O202" t="n">
        <v>0</v>
      </c>
      <c r="P202" t="n">
        <v>0</v>
      </c>
      <c r="Q202" t="n">
        <v>0</v>
      </c>
      <c r="R202" s="2" t="inlineStr"/>
    </row>
    <row r="203" ht="15" customHeight="1">
      <c r="A203" t="inlineStr">
        <is>
          <t>A 64932-2021</t>
        </is>
      </c>
      <c r="B203" s="1" t="n">
        <v>44512</v>
      </c>
      <c r="C203" s="1" t="n">
        <v>46059</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39182-2025</t>
        </is>
      </c>
      <c r="B204" s="1" t="n">
        <v>45888.66204861111</v>
      </c>
      <c r="C204" s="1" t="n">
        <v>46059</v>
      </c>
      <c r="D204" t="inlineStr">
        <is>
          <t>VÄSTMANLANDS LÄN</t>
        </is>
      </c>
      <c r="E204" t="inlineStr">
        <is>
          <t>SALA</t>
        </is>
      </c>
      <c r="F204" t="inlineStr">
        <is>
          <t>Bergvik skog öst AB</t>
        </is>
      </c>
      <c r="G204" t="n">
        <v>1.3</v>
      </c>
      <c r="H204" t="n">
        <v>0</v>
      </c>
      <c r="I204" t="n">
        <v>0</v>
      </c>
      <c r="J204" t="n">
        <v>0</v>
      </c>
      <c r="K204" t="n">
        <v>0</v>
      </c>
      <c r="L204" t="n">
        <v>0</v>
      </c>
      <c r="M204" t="n">
        <v>0</v>
      </c>
      <c r="N204" t="n">
        <v>0</v>
      </c>
      <c r="O204" t="n">
        <v>0</v>
      </c>
      <c r="P204" t="n">
        <v>0</v>
      </c>
      <c r="Q204" t="n">
        <v>0</v>
      </c>
      <c r="R204" s="2" t="inlineStr"/>
    </row>
    <row r="205" ht="15" customHeight="1">
      <c r="A205" t="inlineStr">
        <is>
          <t>A 56688-2024</t>
        </is>
      </c>
      <c r="B205" s="1" t="n">
        <v>45627.66478009259</v>
      </c>
      <c r="C205" s="1" t="n">
        <v>46059</v>
      </c>
      <c r="D205" t="inlineStr">
        <is>
          <t>VÄSTMANLANDS LÄN</t>
        </is>
      </c>
      <c r="E205" t="inlineStr">
        <is>
          <t>SALA</t>
        </is>
      </c>
      <c r="G205" t="n">
        <v>0.9</v>
      </c>
      <c r="H205" t="n">
        <v>0</v>
      </c>
      <c r="I205" t="n">
        <v>0</v>
      </c>
      <c r="J205" t="n">
        <v>0</v>
      </c>
      <c r="K205" t="n">
        <v>0</v>
      </c>
      <c r="L205" t="n">
        <v>0</v>
      </c>
      <c r="M205" t="n">
        <v>0</v>
      </c>
      <c r="N205" t="n">
        <v>0</v>
      </c>
      <c r="O205" t="n">
        <v>0</v>
      </c>
      <c r="P205" t="n">
        <v>0</v>
      </c>
      <c r="Q205" t="n">
        <v>0</v>
      </c>
      <c r="R205" s="2" t="inlineStr"/>
    </row>
    <row r="206" ht="15" customHeight="1">
      <c r="A206" t="inlineStr">
        <is>
          <t>A 27261-2024</t>
        </is>
      </c>
      <c r="B206" s="1" t="n">
        <v>45471</v>
      </c>
      <c r="C206" s="1" t="n">
        <v>46059</v>
      </c>
      <c r="D206" t="inlineStr">
        <is>
          <t>VÄSTMANLANDS LÄN</t>
        </is>
      </c>
      <c r="E206" t="inlineStr">
        <is>
          <t>SALA</t>
        </is>
      </c>
      <c r="G206" t="n">
        <v>6.1</v>
      </c>
      <c r="H206" t="n">
        <v>0</v>
      </c>
      <c r="I206" t="n">
        <v>0</v>
      </c>
      <c r="J206" t="n">
        <v>0</v>
      </c>
      <c r="K206" t="n">
        <v>0</v>
      </c>
      <c r="L206" t="n">
        <v>0</v>
      </c>
      <c r="M206" t="n">
        <v>0</v>
      </c>
      <c r="N206" t="n">
        <v>0</v>
      </c>
      <c r="O206" t="n">
        <v>0</v>
      </c>
      <c r="P206" t="n">
        <v>0</v>
      </c>
      <c r="Q206" t="n">
        <v>0</v>
      </c>
      <c r="R206" s="2" t="inlineStr"/>
    </row>
    <row r="207" ht="15" customHeight="1">
      <c r="A207" t="inlineStr">
        <is>
          <t>A 18713-2025</t>
        </is>
      </c>
      <c r="B207" s="1" t="n">
        <v>45763</v>
      </c>
      <c r="C207" s="1" t="n">
        <v>46059</v>
      </c>
      <c r="D207" t="inlineStr">
        <is>
          <t>VÄSTMANLANDS LÄN</t>
        </is>
      </c>
      <c r="E207" t="inlineStr">
        <is>
          <t>SALA</t>
        </is>
      </c>
      <c r="F207" t="inlineStr">
        <is>
          <t>Bergvik skog öst AB</t>
        </is>
      </c>
      <c r="G207" t="n">
        <v>11.6</v>
      </c>
      <c r="H207" t="n">
        <v>0</v>
      </c>
      <c r="I207" t="n">
        <v>0</v>
      </c>
      <c r="J207" t="n">
        <v>0</v>
      </c>
      <c r="K207" t="n">
        <v>0</v>
      </c>
      <c r="L207" t="n">
        <v>0</v>
      </c>
      <c r="M207" t="n">
        <v>0</v>
      </c>
      <c r="N207" t="n">
        <v>0</v>
      </c>
      <c r="O207" t="n">
        <v>0</v>
      </c>
      <c r="P207" t="n">
        <v>0</v>
      </c>
      <c r="Q207" t="n">
        <v>0</v>
      </c>
      <c r="R207" s="2" t="inlineStr"/>
    </row>
    <row r="208" ht="15" customHeight="1">
      <c r="A208" t="inlineStr">
        <is>
          <t>A 54959-2024</t>
        </is>
      </c>
      <c r="B208" s="1" t="n">
        <v>45619</v>
      </c>
      <c r="C208" s="1" t="n">
        <v>46059</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37590-2025</t>
        </is>
      </c>
      <c r="B209" s="1" t="n">
        <v>45880.41138888889</v>
      </c>
      <c r="C209" s="1" t="n">
        <v>46059</v>
      </c>
      <c r="D209" t="inlineStr">
        <is>
          <t>VÄSTMANLANDS LÄN</t>
        </is>
      </c>
      <c r="E209" t="inlineStr">
        <is>
          <t>SALA</t>
        </is>
      </c>
      <c r="G209" t="n">
        <v>2.2</v>
      </c>
      <c r="H209" t="n">
        <v>0</v>
      </c>
      <c r="I209" t="n">
        <v>0</v>
      </c>
      <c r="J209" t="n">
        <v>0</v>
      </c>
      <c r="K209" t="n">
        <v>0</v>
      </c>
      <c r="L209" t="n">
        <v>0</v>
      </c>
      <c r="M209" t="n">
        <v>0</v>
      </c>
      <c r="N209" t="n">
        <v>0</v>
      </c>
      <c r="O209" t="n">
        <v>0</v>
      </c>
      <c r="P209" t="n">
        <v>0</v>
      </c>
      <c r="Q209" t="n">
        <v>0</v>
      </c>
      <c r="R209" s="2" t="inlineStr"/>
    </row>
    <row r="210" ht="15" customHeight="1">
      <c r="A210" t="inlineStr">
        <is>
          <t>A 37593-2025</t>
        </is>
      </c>
      <c r="B210" s="1" t="n">
        <v>45880.41325231481</v>
      </c>
      <c r="C210" s="1" t="n">
        <v>46059</v>
      </c>
      <c r="D210" t="inlineStr">
        <is>
          <t>VÄSTMANLANDS LÄN</t>
        </is>
      </c>
      <c r="E210" t="inlineStr">
        <is>
          <t>SALA</t>
        </is>
      </c>
      <c r="G210" t="n">
        <v>1.4</v>
      </c>
      <c r="H210" t="n">
        <v>0</v>
      </c>
      <c r="I210" t="n">
        <v>0</v>
      </c>
      <c r="J210" t="n">
        <v>0</v>
      </c>
      <c r="K210" t="n">
        <v>0</v>
      </c>
      <c r="L210" t="n">
        <v>0</v>
      </c>
      <c r="M210" t="n">
        <v>0</v>
      </c>
      <c r="N210" t="n">
        <v>0</v>
      </c>
      <c r="O210" t="n">
        <v>0</v>
      </c>
      <c r="P210" t="n">
        <v>0</v>
      </c>
      <c r="Q210" t="n">
        <v>0</v>
      </c>
      <c r="R210" s="2" t="inlineStr"/>
    </row>
    <row r="211" ht="15" customHeight="1">
      <c r="A211" t="inlineStr">
        <is>
          <t>A 46279-2021</t>
        </is>
      </c>
      <c r="B211" s="1" t="n">
        <v>44442.57797453704</v>
      </c>
      <c r="C211" s="1" t="n">
        <v>46059</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27486-2022</t>
        </is>
      </c>
      <c r="B212" s="1" t="n">
        <v>44742.60846064815</v>
      </c>
      <c r="C212" s="1" t="n">
        <v>46059</v>
      </c>
      <c r="D212" t="inlineStr">
        <is>
          <t>VÄSTMANLANDS LÄN</t>
        </is>
      </c>
      <c r="E212" t="inlineStr">
        <is>
          <t>SALA</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16651-2021</t>
        </is>
      </c>
      <c r="B213" s="1" t="n">
        <v>44294.50096064815</v>
      </c>
      <c r="C213" s="1" t="n">
        <v>46059</v>
      </c>
      <c r="D213" t="inlineStr">
        <is>
          <t>VÄSTMANLANDS LÄN</t>
        </is>
      </c>
      <c r="E213" t="inlineStr">
        <is>
          <t>SALA</t>
        </is>
      </c>
      <c r="G213" t="n">
        <v>7.7</v>
      </c>
      <c r="H213" t="n">
        <v>0</v>
      </c>
      <c r="I213" t="n">
        <v>0</v>
      </c>
      <c r="J213" t="n">
        <v>0</v>
      </c>
      <c r="K213" t="n">
        <v>0</v>
      </c>
      <c r="L213" t="n">
        <v>0</v>
      </c>
      <c r="M213" t="n">
        <v>0</v>
      </c>
      <c r="N213" t="n">
        <v>0</v>
      </c>
      <c r="O213" t="n">
        <v>0</v>
      </c>
      <c r="P213" t="n">
        <v>0</v>
      </c>
      <c r="Q213" t="n">
        <v>0</v>
      </c>
      <c r="R213" s="2" t="inlineStr"/>
    </row>
    <row r="214" ht="15" customHeight="1">
      <c r="A214" t="inlineStr">
        <is>
          <t>A 18877-2023</t>
        </is>
      </c>
      <c r="B214" s="1" t="n">
        <v>45044</v>
      </c>
      <c r="C214" s="1" t="n">
        <v>46059</v>
      </c>
      <c r="D214" t="inlineStr">
        <is>
          <t>VÄSTMANLANDS LÄN</t>
        </is>
      </c>
      <c r="E214" t="inlineStr">
        <is>
          <t>SALA</t>
        </is>
      </c>
      <c r="F214" t="inlineStr">
        <is>
          <t>Kommuner</t>
        </is>
      </c>
      <c r="G214" t="n">
        <v>4.4</v>
      </c>
      <c r="H214" t="n">
        <v>0</v>
      </c>
      <c r="I214" t="n">
        <v>0</v>
      </c>
      <c r="J214" t="n">
        <v>0</v>
      </c>
      <c r="K214" t="n">
        <v>0</v>
      </c>
      <c r="L214" t="n">
        <v>0</v>
      </c>
      <c r="M214" t="n">
        <v>0</v>
      </c>
      <c r="N214" t="n">
        <v>0</v>
      </c>
      <c r="O214" t="n">
        <v>0</v>
      </c>
      <c r="P214" t="n">
        <v>0</v>
      </c>
      <c r="Q214" t="n">
        <v>0</v>
      </c>
      <c r="R214" s="2" t="inlineStr"/>
    </row>
    <row r="215" ht="15" customHeight="1">
      <c r="A215" t="inlineStr">
        <is>
          <t>A 55556-2023</t>
        </is>
      </c>
      <c r="B215" s="1" t="n">
        <v>45232</v>
      </c>
      <c r="C215" s="1" t="n">
        <v>46059</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31864-2025</t>
        </is>
      </c>
      <c r="B216" s="1" t="n">
        <v>45834.63819444444</v>
      </c>
      <c r="C216" s="1" t="n">
        <v>46059</v>
      </c>
      <c r="D216" t="inlineStr">
        <is>
          <t>VÄSTMANLANDS LÄN</t>
        </is>
      </c>
      <c r="E216" t="inlineStr">
        <is>
          <t>SALA</t>
        </is>
      </c>
      <c r="G216" t="n">
        <v>6.3</v>
      </c>
      <c r="H216" t="n">
        <v>0</v>
      </c>
      <c r="I216" t="n">
        <v>0</v>
      </c>
      <c r="J216" t="n">
        <v>0</v>
      </c>
      <c r="K216" t="n">
        <v>0</v>
      </c>
      <c r="L216" t="n">
        <v>0</v>
      </c>
      <c r="M216" t="n">
        <v>0</v>
      </c>
      <c r="N216" t="n">
        <v>0</v>
      </c>
      <c r="O216" t="n">
        <v>0</v>
      </c>
      <c r="P216" t="n">
        <v>0</v>
      </c>
      <c r="Q216" t="n">
        <v>0</v>
      </c>
      <c r="R216" s="2" t="inlineStr"/>
    </row>
    <row r="217" ht="15" customHeight="1">
      <c r="A217" t="inlineStr">
        <is>
          <t>A 34494-2023</t>
        </is>
      </c>
      <c r="B217" s="1" t="n">
        <v>45133</v>
      </c>
      <c r="C217" s="1" t="n">
        <v>46059</v>
      </c>
      <c r="D217" t="inlineStr">
        <is>
          <t>VÄSTMANLANDS LÄN</t>
        </is>
      </c>
      <c r="E217" t="inlineStr">
        <is>
          <t>SALA</t>
        </is>
      </c>
      <c r="G217" t="n">
        <v>0.8</v>
      </c>
      <c r="H217" t="n">
        <v>0</v>
      </c>
      <c r="I217" t="n">
        <v>0</v>
      </c>
      <c r="J217" t="n">
        <v>0</v>
      </c>
      <c r="K217" t="n">
        <v>0</v>
      </c>
      <c r="L217" t="n">
        <v>0</v>
      </c>
      <c r="M217" t="n">
        <v>0</v>
      </c>
      <c r="N217" t="n">
        <v>0</v>
      </c>
      <c r="O217" t="n">
        <v>0</v>
      </c>
      <c r="P217" t="n">
        <v>0</v>
      </c>
      <c r="Q217" t="n">
        <v>0</v>
      </c>
      <c r="R217" s="2" t="inlineStr"/>
    </row>
    <row r="218" ht="15" customHeight="1">
      <c r="A218" t="inlineStr">
        <is>
          <t>A 6134-2024</t>
        </is>
      </c>
      <c r="B218" s="1" t="n">
        <v>45337</v>
      </c>
      <c r="C218" s="1" t="n">
        <v>46059</v>
      </c>
      <c r="D218" t="inlineStr">
        <is>
          <t>VÄSTMANLANDS LÄN</t>
        </is>
      </c>
      <c r="E218" t="inlineStr">
        <is>
          <t>SALA</t>
        </is>
      </c>
      <c r="G218" t="n">
        <v>1.8</v>
      </c>
      <c r="H218" t="n">
        <v>0</v>
      </c>
      <c r="I218" t="n">
        <v>0</v>
      </c>
      <c r="J218" t="n">
        <v>0</v>
      </c>
      <c r="K218" t="n">
        <v>0</v>
      </c>
      <c r="L218" t="n">
        <v>0</v>
      </c>
      <c r="M218" t="n">
        <v>0</v>
      </c>
      <c r="N218" t="n">
        <v>0</v>
      </c>
      <c r="O218" t="n">
        <v>0</v>
      </c>
      <c r="P218" t="n">
        <v>0</v>
      </c>
      <c r="Q218" t="n">
        <v>0</v>
      </c>
      <c r="R218" s="2" t="inlineStr"/>
    </row>
    <row r="219" ht="15" customHeight="1">
      <c r="A219" t="inlineStr">
        <is>
          <t>A 15354-2021</t>
        </is>
      </c>
      <c r="B219" s="1" t="n">
        <v>44284</v>
      </c>
      <c r="C219" s="1" t="n">
        <v>46059</v>
      </c>
      <c r="D219" t="inlineStr">
        <is>
          <t>VÄSTMANLANDS LÄN</t>
        </is>
      </c>
      <c r="E219" t="inlineStr">
        <is>
          <t>SALA</t>
        </is>
      </c>
      <c r="F219" t="inlineStr">
        <is>
          <t>Kyrkan</t>
        </is>
      </c>
      <c r="G219" t="n">
        <v>8.5</v>
      </c>
      <c r="H219" t="n">
        <v>0</v>
      </c>
      <c r="I219" t="n">
        <v>0</v>
      </c>
      <c r="J219" t="n">
        <v>0</v>
      </c>
      <c r="K219" t="n">
        <v>0</v>
      </c>
      <c r="L219" t="n">
        <v>0</v>
      </c>
      <c r="M219" t="n">
        <v>0</v>
      </c>
      <c r="N219" t="n">
        <v>0</v>
      </c>
      <c r="O219" t="n">
        <v>0</v>
      </c>
      <c r="P219" t="n">
        <v>0</v>
      </c>
      <c r="Q219" t="n">
        <v>0</v>
      </c>
      <c r="R219" s="2" t="inlineStr"/>
    </row>
    <row r="220" ht="15" customHeight="1">
      <c r="A220" t="inlineStr">
        <is>
          <t>A 13752-2025</t>
        </is>
      </c>
      <c r="B220" s="1" t="n">
        <v>45737.41416666667</v>
      </c>
      <c r="C220" s="1" t="n">
        <v>46059</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39167-2025</t>
        </is>
      </c>
      <c r="B221" s="1" t="n">
        <v>45888</v>
      </c>
      <c r="C221" s="1" t="n">
        <v>46059</v>
      </c>
      <c r="D221" t="inlineStr">
        <is>
          <t>VÄSTMANLANDS LÄN</t>
        </is>
      </c>
      <c r="E221" t="inlineStr">
        <is>
          <t>SALA</t>
        </is>
      </c>
      <c r="G221" t="n">
        <v>5.5</v>
      </c>
      <c r="H221" t="n">
        <v>0</v>
      </c>
      <c r="I221" t="n">
        <v>0</v>
      </c>
      <c r="J221" t="n">
        <v>0</v>
      </c>
      <c r="K221" t="n">
        <v>0</v>
      </c>
      <c r="L221" t="n">
        <v>0</v>
      </c>
      <c r="M221" t="n">
        <v>0</v>
      </c>
      <c r="N221" t="n">
        <v>0</v>
      </c>
      <c r="O221" t="n">
        <v>0</v>
      </c>
      <c r="P221" t="n">
        <v>0</v>
      </c>
      <c r="Q221" t="n">
        <v>0</v>
      </c>
      <c r="R221" s="2" t="inlineStr"/>
    </row>
    <row r="222" ht="15" customHeight="1">
      <c r="A222" t="inlineStr">
        <is>
          <t>A 43359-2024</t>
        </is>
      </c>
      <c r="B222" s="1" t="n">
        <v>45568.57724537037</v>
      </c>
      <c r="C222" s="1" t="n">
        <v>46059</v>
      </c>
      <c r="D222" t="inlineStr">
        <is>
          <t>VÄSTMANLANDS LÄN</t>
        </is>
      </c>
      <c r="E222" t="inlineStr">
        <is>
          <t>SALA</t>
        </is>
      </c>
      <c r="G222" t="n">
        <v>1.6</v>
      </c>
      <c r="H222" t="n">
        <v>0</v>
      </c>
      <c r="I222" t="n">
        <v>0</v>
      </c>
      <c r="J222" t="n">
        <v>0</v>
      </c>
      <c r="K222" t="n">
        <v>0</v>
      </c>
      <c r="L222" t="n">
        <v>0</v>
      </c>
      <c r="M222" t="n">
        <v>0</v>
      </c>
      <c r="N222" t="n">
        <v>0</v>
      </c>
      <c r="O222" t="n">
        <v>0</v>
      </c>
      <c r="P222" t="n">
        <v>0</v>
      </c>
      <c r="Q222" t="n">
        <v>0</v>
      </c>
      <c r="R222" s="2" t="inlineStr"/>
    </row>
    <row r="223" ht="15" customHeight="1">
      <c r="A223" t="inlineStr">
        <is>
          <t>A 29972-2025</t>
        </is>
      </c>
      <c r="B223" s="1" t="n">
        <v>45826</v>
      </c>
      <c r="C223" s="1" t="n">
        <v>46059</v>
      </c>
      <c r="D223" t="inlineStr">
        <is>
          <t>VÄSTMANLANDS LÄN</t>
        </is>
      </c>
      <c r="E223" t="inlineStr">
        <is>
          <t>SALA</t>
        </is>
      </c>
      <c r="G223" t="n">
        <v>2.7</v>
      </c>
      <c r="H223" t="n">
        <v>0</v>
      </c>
      <c r="I223" t="n">
        <v>0</v>
      </c>
      <c r="J223" t="n">
        <v>0</v>
      </c>
      <c r="K223" t="n">
        <v>0</v>
      </c>
      <c r="L223" t="n">
        <v>0</v>
      </c>
      <c r="M223" t="n">
        <v>0</v>
      </c>
      <c r="N223" t="n">
        <v>0</v>
      </c>
      <c r="O223" t="n">
        <v>0</v>
      </c>
      <c r="P223" t="n">
        <v>0</v>
      </c>
      <c r="Q223" t="n">
        <v>0</v>
      </c>
      <c r="R223" s="2" t="inlineStr"/>
    </row>
    <row r="224" ht="15" customHeight="1">
      <c r="A224" t="inlineStr">
        <is>
          <t>A 19398-2025</t>
        </is>
      </c>
      <c r="B224" s="1" t="n">
        <v>45769</v>
      </c>
      <c r="C224" s="1" t="n">
        <v>46059</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22921-2023</t>
        </is>
      </c>
      <c r="B225" s="1" t="n">
        <v>45070</v>
      </c>
      <c r="C225" s="1" t="n">
        <v>46059</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16133-2025</t>
        </is>
      </c>
      <c r="B226" s="1" t="n">
        <v>45750</v>
      </c>
      <c r="C226" s="1" t="n">
        <v>46059</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39597-2022</t>
        </is>
      </c>
      <c r="B227" s="1" t="n">
        <v>44818</v>
      </c>
      <c r="C227" s="1" t="n">
        <v>46059</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6127-2025</t>
        </is>
      </c>
      <c r="B228" s="1" t="n">
        <v>45698</v>
      </c>
      <c r="C228" s="1" t="n">
        <v>46059</v>
      </c>
      <c r="D228" t="inlineStr">
        <is>
          <t>VÄSTMANLANDS LÄN</t>
        </is>
      </c>
      <c r="E228" t="inlineStr">
        <is>
          <t>SALA</t>
        </is>
      </c>
      <c r="F228" t="inlineStr">
        <is>
          <t>Bergvik skog öst AB</t>
        </is>
      </c>
      <c r="G228" t="n">
        <v>4.3</v>
      </c>
      <c r="H228" t="n">
        <v>0</v>
      </c>
      <c r="I228" t="n">
        <v>0</v>
      </c>
      <c r="J228" t="n">
        <v>0</v>
      </c>
      <c r="K228" t="n">
        <v>0</v>
      </c>
      <c r="L228" t="n">
        <v>0</v>
      </c>
      <c r="M228" t="n">
        <v>0</v>
      </c>
      <c r="N228" t="n">
        <v>0</v>
      </c>
      <c r="O228" t="n">
        <v>0</v>
      </c>
      <c r="P228" t="n">
        <v>0</v>
      </c>
      <c r="Q228" t="n">
        <v>0</v>
      </c>
      <c r="R228" s="2" t="inlineStr"/>
    </row>
    <row r="229" ht="15" customHeight="1">
      <c r="A229" t="inlineStr">
        <is>
          <t>A 15272-2025</t>
        </is>
      </c>
      <c r="B229" s="1" t="n">
        <v>45744</v>
      </c>
      <c r="C229" s="1" t="n">
        <v>46059</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24248-2023</t>
        </is>
      </c>
      <c r="B230" s="1" t="n">
        <v>45079</v>
      </c>
      <c r="C230" s="1" t="n">
        <v>46059</v>
      </c>
      <c r="D230" t="inlineStr">
        <is>
          <t>VÄSTMANLANDS LÄN</t>
        </is>
      </c>
      <c r="E230" t="inlineStr">
        <is>
          <t>SALA</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38195-2021</t>
        </is>
      </c>
      <c r="B231" s="1" t="n">
        <v>44405</v>
      </c>
      <c r="C231" s="1" t="n">
        <v>46059</v>
      </c>
      <c r="D231" t="inlineStr">
        <is>
          <t>VÄSTMANLANDS LÄN</t>
        </is>
      </c>
      <c r="E231" t="inlineStr">
        <is>
          <t>SALA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27228-2023</t>
        </is>
      </c>
      <c r="B232" s="1" t="n">
        <v>45096.59189814814</v>
      </c>
      <c r="C232" s="1" t="n">
        <v>46059</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52498-2022</t>
        </is>
      </c>
      <c r="B233" s="1" t="n">
        <v>44874.50152777778</v>
      </c>
      <c r="C233" s="1" t="n">
        <v>46059</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53838-2022</t>
        </is>
      </c>
      <c r="B234" s="1" t="n">
        <v>44880.59363425926</v>
      </c>
      <c r="C234" s="1" t="n">
        <v>46059</v>
      </c>
      <c r="D234" t="inlineStr">
        <is>
          <t>VÄSTMANLANDS LÄN</t>
        </is>
      </c>
      <c r="E234" t="inlineStr">
        <is>
          <t>SALA</t>
        </is>
      </c>
      <c r="G234" t="n">
        <v>3.9</v>
      </c>
      <c r="H234" t="n">
        <v>0</v>
      </c>
      <c r="I234" t="n">
        <v>0</v>
      </c>
      <c r="J234" t="n">
        <v>0</v>
      </c>
      <c r="K234" t="n">
        <v>0</v>
      </c>
      <c r="L234" t="n">
        <v>0</v>
      </c>
      <c r="M234" t="n">
        <v>0</v>
      </c>
      <c r="N234" t="n">
        <v>0</v>
      </c>
      <c r="O234" t="n">
        <v>0</v>
      </c>
      <c r="P234" t="n">
        <v>0</v>
      </c>
      <c r="Q234" t="n">
        <v>0</v>
      </c>
      <c r="R234" s="2" t="inlineStr"/>
    </row>
    <row r="235" ht="15" customHeight="1">
      <c r="A235" t="inlineStr">
        <is>
          <t>A 25860-2024</t>
        </is>
      </c>
      <c r="B235" s="1" t="n">
        <v>45467.46278935186</v>
      </c>
      <c r="C235" s="1" t="n">
        <v>46059</v>
      </c>
      <c r="D235" t="inlineStr">
        <is>
          <t>VÄSTMANLANDS LÄN</t>
        </is>
      </c>
      <c r="E235" t="inlineStr">
        <is>
          <t>SALA</t>
        </is>
      </c>
      <c r="G235" t="n">
        <v>0.7</v>
      </c>
      <c r="H235" t="n">
        <v>0</v>
      </c>
      <c r="I235" t="n">
        <v>0</v>
      </c>
      <c r="J235" t="n">
        <v>0</v>
      </c>
      <c r="K235" t="n">
        <v>0</v>
      </c>
      <c r="L235" t="n">
        <v>0</v>
      </c>
      <c r="M235" t="n">
        <v>0</v>
      </c>
      <c r="N235" t="n">
        <v>0</v>
      </c>
      <c r="O235" t="n">
        <v>0</v>
      </c>
      <c r="P235" t="n">
        <v>0</v>
      </c>
      <c r="Q235" t="n">
        <v>0</v>
      </c>
      <c r="R235" s="2" t="inlineStr"/>
    </row>
    <row r="236" ht="15" customHeight="1">
      <c r="A236" t="inlineStr">
        <is>
          <t>A 25260-2023</t>
        </is>
      </c>
      <c r="B236" s="1" t="n">
        <v>45086</v>
      </c>
      <c r="C236" s="1" t="n">
        <v>46059</v>
      </c>
      <c r="D236" t="inlineStr">
        <is>
          <t>VÄSTMANLANDS LÄN</t>
        </is>
      </c>
      <c r="E236" t="inlineStr">
        <is>
          <t>SALA</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16769-2024</t>
        </is>
      </c>
      <c r="B237" s="1" t="n">
        <v>45411.38738425926</v>
      </c>
      <c r="C237" s="1" t="n">
        <v>46059</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46059</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14271-2025</t>
        </is>
      </c>
      <c r="B239" s="1" t="n">
        <v>45740.64129629629</v>
      </c>
      <c r="C239" s="1" t="n">
        <v>46059</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69232-2021</t>
        </is>
      </c>
      <c r="B240" s="1" t="n">
        <v>44531.39696759259</v>
      </c>
      <c r="C240" s="1" t="n">
        <v>46059</v>
      </c>
      <c r="D240" t="inlineStr">
        <is>
          <t>VÄSTMANLANDS LÄN</t>
        </is>
      </c>
      <c r="E240" t="inlineStr">
        <is>
          <t>SALA</t>
        </is>
      </c>
      <c r="G240" t="n">
        <v>2.3</v>
      </c>
      <c r="H240" t="n">
        <v>0</v>
      </c>
      <c r="I240" t="n">
        <v>0</v>
      </c>
      <c r="J240" t="n">
        <v>0</v>
      </c>
      <c r="K240" t="n">
        <v>0</v>
      </c>
      <c r="L240" t="n">
        <v>0</v>
      </c>
      <c r="M240" t="n">
        <v>0</v>
      </c>
      <c r="N240" t="n">
        <v>0</v>
      </c>
      <c r="O240" t="n">
        <v>0</v>
      </c>
      <c r="P240" t="n">
        <v>0</v>
      </c>
      <c r="Q240" t="n">
        <v>0</v>
      </c>
      <c r="R240" s="2" t="inlineStr"/>
    </row>
    <row r="241" ht="15" customHeight="1">
      <c r="A241" t="inlineStr">
        <is>
          <t>A 22026-2021</t>
        </is>
      </c>
      <c r="B241" s="1" t="n">
        <v>44323</v>
      </c>
      <c r="C241" s="1" t="n">
        <v>46059</v>
      </c>
      <c r="D241" t="inlineStr">
        <is>
          <t>VÄSTMANLANDS LÄN</t>
        </is>
      </c>
      <c r="E241" t="inlineStr">
        <is>
          <t>SALA</t>
        </is>
      </c>
      <c r="G241" t="n">
        <v>2.9</v>
      </c>
      <c r="H241" t="n">
        <v>0</v>
      </c>
      <c r="I241" t="n">
        <v>0</v>
      </c>
      <c r="J241" t="n">
        <v>0</v>
      </c>
      <c r="K241" t="n">
        <v>0</v>
      </c>
      <c r="L241" t="n">
        <v>0</v>
      </c>
      <c r="M241" t="n">
        <v>0</v>
      </c>
      <c r="N241" t="n">
        <v>0</v>
      </c>
      <c r="O241" t="n">
        <v>0</v>
      </c>
      <c r="P241" t="n">
        <v>0</v>
      </c>
      <c r="Q241" t="n">
        <v>0</v>
      </c>
      <c r="R241" s="2" t="inlineStr"/>
    </row>
    <row r="242" ht="15" customHeight="1">
      <c r="A242" t="inlineStr">
        <is>
          <t>A 28328-2023</t>
        </is>
      </c>
      <c r="B242" s="1" t="n">
        <v>45099.71063657408</v>
      </c>
      <c r="C242" s="1" t="n">
        <v>46059</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40085-2024</t>
        </is>
      </c>
      <c r="B243" s="1" t="n">
        <v>45554</v>
      </c>
      <c r="C243" s="1" t="n">
        <v>46059</v>
      </c>
      <c r="D243" t="inlineStr">
        <is>
          <t>VÄSTMANLANDS LÄN</t>
        </is>
      </c>
      <c r="E243" t="inlineStr">
        <is>
          <t>SALA</t>
        </is>
      </c>
      <c r="G243" t="n">
        <v>2.8</v>
      </c>
      <c r="H243" t="n">
        <v>0</v>
      </c>
      <c r="I243" t="n">
        <v>0</v>
      </c>
      <c r="J243" t="n">
        <v>0</v>
      </c>
      <c r="K243" t="n">
        <v>0</v>
      </c>
      <c r="L243" t="n">
        <v>0</v>
      </c>
      <c r="M243" t="n">
        <v>0</v>
      </c>
      <c r="N243" t="n">
        <v>0</v>
      </c>
      <c r="O243" t="n">
        <v>0</v>
      </c>
      <c r="P243" t="n">
        <v>0</v>
      </c>
      <c r="Q243" t="n">
        <v>0</v>
      </c>
      <c r="R243" s="2" t="inlineStr"/>
    </row>
    <row r="244" ht="15" customHeight="1">
      <c r="A244" t="inlineStr">
        <is>
          <t>A 16160-2024</t>
        </is>
      </c>
      <c r="B244" s="1" t="n">
        <v>45406</v>
      </c>
      <c r="C244" s="1" t="n">
        <v>46059</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18158-2025</t>
        </is>
      </c>
      <c r="B245" s="1" t="n">
        <v>45761</v>
      </c>
      <c r="C245" s="1" t="n">
        <v>46059</v>
      </c>
      <c r="D245" t="inlineStr">
        <is>
          <t>VÄSTMANLANDS LÄN</t>
        </is>
      </c>
      <c r="E245" t="inlineStr">
        <is>
          <t>SALA</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49661-2024</t>
        </is>
      </c>
      <c r="B246" s="1" t="n">
        <v>45596</v>
      </c>
      <c r="C246" s="1" t="n">
        <v>46059</v>
      </c>
      <c r="D246" t="inlineStr">
        <is>
          <t>VÄSTMANLANDS LÄN</t>
        </is>
      </c>
      <c r="E246" t="inlineStr">
        <is>
          <t>SALA</t>
        </is>
      </c>
      <c r="G246" t="n">
        <v>6.7</v>
      </c>
      <c r="H246" t="n">
        <v>0</v>
      </c>
      <c r="I246" t="n">
        <v>0</v>
      </c>
      <c r="J246" t="n">
        <v>0</v>
      </c>
      <c r="K246" t="n">
        <v>0</v>
      </c>
      <c r="L246" t="n">
        <v>0</v>
      </c>
      <c r="M246" t="n">
        <v>0</v>
      </c>
      <c r="N246" t="n">
        <v>0</v>
      </c>
      <c r="O246" t="n">
        <v>0</v>
      </c>
      <c r="P246" t="n">
        <v>0</v>
      </c>
      <c r="Q246" t="n">
        <v>0</v>
      </c>
      <c r="R246" s="2" t="inlineStr"/>
    </row>
    <row r="247" ht="15" customHeight="1">
      <c r="A247" t="inlineStr">
        <is>
          <t>A 40597-2022</t>
        </is>
      </c>
      <c r="B247" s="1" t="n">
        <v>44823.84862268518</v>
      </c>
      <c r="C247" s="1" t="n">
        <v>46059</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46059</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40559-2025</t>
        </is>
      </c>
      <c r="B249" s="1" t="n">
        <v>45896.45037037037</v>
      </c>
      <c r="C249" s="1" t="n">
        <v>46059</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7196-2025</t>
        </is>
      </c>
      <c r="B250" s="1" t="n">
        <v>45702</v>
      </c>
      <c r="C250" s="1" t="n">
        <v>46059</v>
      </c>
      <c r="D250" t="inlineStr">
        <is>
          <t>VÄSTMANLANDS LÄN</t>
        </is>
      </c>
      <c r="E250" t="inlineStr">
        <is>
          <t>SALA</t>
        </is>
      </c>
      <c r="G250" t="n">
        <v>1.3</v>
      </c>
      <c r="H250" t="n">
        <v>0</v>
      </c>
      <c r="I250" t="n">
        <v>0</v>
      </c>
      <c r="J250" t="n">
        <v>0</v>
      </c>
      <c r="K250" t="n">
        <v>0</v>
      </c>
      <c r="L250" t="n">
        <v>0</v>
      </c>
      <c r="M250" t="n">
        <v>0</v>
      </c>
      <c r="N250" t="n">
        <v>0</v>
      </c>
      <c r="O250" t="n">
        <v>0</v>
      </c>
      <c r="P250" t="n">
        <v>0</v>
      </c>
      <c r="Q250" t="n">
        <v>0</v>
      </c>
      <c r="R250" s="2" t="inlineStr"/>
    </row>
    <row r="251" ht="15" customHeight="1">
      <c r="A251" t="inlineStr">
        <is>
          <t>A 6183-2025</t>
        </is>
      </c>
      <c r="B251" s="1" t="n">
        <v>45698</v>
      </c>
      <c r="C251" s="1" t="n">
        <v>46059</v>
      </c>
      <c r="D251" t="inlineStr">
        <is>
          <t>VÄSTMANLANDS LÄN</t>
        </is>
      </c>
      <c r="E251" t="inlineStr">
        <is>
          <t>SALA</t>
        </is>
      </c>
      <c r="F251" t="inlineStr">
        <is>
          <t>Bergvik skog öst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35519-2024</t>
        </is>
      </c>
      <c r="B252" s="1" t="n">
        <v>45531</v>
      </c>
      <c r="C252" s="1" t="n">
        <v>46059</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46059</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54347-2024</t>
        </is>
      </c>
      <c r="B254" s="1" t="n">
        <v>45617.39325231482</v>
      </c>
      <c r="C254" s="1" t="n">
        <v>46059</v>
      </c>
      <c r="D254" t="inlineStr">
        <is>
          <t>VÄSTMANLANDS LÄN</t>
        </is>
      </c>
      <c r="E254" t="inlineStr">
        <is>
          <t>SALA</t>
        </is>
      </c>
      <c r="G254" t="n">
        <v>2</v>
      </c>
      <c r="H254" t="n">
        <v>0</v>
      </c>
      <c r="I254" t="n">
        <v>0</v>
      </c>
      <c r="J254" t="n">
        <v>0</v>
      </c>
      <c r="K254" t="n">
        <v>0</v>
      </c>
      <c r="L254" t="n">
        <v>0</v>
      </c>
      <c r="M254" t="n">
        <v>0</v>
      </c>
      <c r="N254" t="n">
        <v>0</v>
      </c>
      <c r="O254" t="n">
        <v>0</v>
      </c>
      <c r="P254" t="n">
        <v>0</v>
      </c>
      <c r="Q254" t="n">
        <v>0</v>
      </c>
      <c r="R254" s="2" t="inlineStr"/>
    </row>
    <row r="255" ht="15" customHeight="1">
      <c r="A255" t="inlineStr">
        <is>
          <t>A 40871-2021</t>
        </is>
      </c>
      <c r="B255" s="1" t="n">
        <v>44421</v>
      </c>
      <c r="C255" s="1" t="n">
        <v>46059</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19803-2024</t>
        </is>
      </c>
      <c r="B256" s="1" t="n">
        <v>45432</v>
      </c>
      <c r="C256" s="1" t="n">
        <v>46059</v>
      </c>
      <c r="D256" t="inlineStr">
        <is>
          <t>VÄSTMANLANDS LÄN</t>
        </is>
      </c>
      <c r="E256" t="inlineStr">
        <is>
          <t>SALA</t>
        </is>
      </c>
      <c r="G256" t="n">
        <v>3.1</v>
      </c>
      <c r="H256" t="n">
        <v>0</v>
      </c>
      <c r="I256" t="n">
        <v>0</v>
      </c>
      <c r="J256" t="n">
        <v>0</v>
      </c>
      <c r="K256" t="n">
        <v>0</v>
      </c>
      <c r="L256" t="n">
        <v>0</v>
      </c>
      <c r="M256" t="n">
        <v>0</v>
      </c>
      <c r="N256" t="n">
        <v>0</v>
      </c>
      <c r="O256" t="n">
        <v>0</v>
      </c>
      <c r="P256" t="n">
        <v>0</v>
      </c>
      <c r="Q256" t="n">
        <v>0</v>
      </c>
      <c r="R256" s="2" t="inlineStr"/>
    </row>
    <row r="257" ht="15" customHeight="1">
      <c r="A257" t="inlineStr">
        <is>
          <t>A 57014-2025</t>
        </is>
      </c>
      <c r="B257" s="1" t="n">
        <v>45978</v>
      </c>
      <c r="C257" s="1" t="n">
        <v>46059</v>
      </c>
      <c r="D257" t="inlineStr">
        <is>
          <t>VÄSTMANLANDS LÄN</t>
        </is>
      </c>
      <c r="E257" t="inlineStr">
        <is>
          <t>SALA</t>
        </is>
      </c>
      <c r="G257" t="n">
        <v>2.2</v>
      </c>
      <c r="H257" t="n">
        <v>0</v>
      </c>
      <c r="I257" t="n">
        <v>0</v>
      </c>
      <c r="J257" t="n">
        <v>0</v>
      </c>
      <c r="K257" t="n">
        <v>0</v>
      </c>
      <c r="L257" t="n">
        <v>0</v>
      </c>
      <c r="M257" t="n">
        <v>0</v>
      </c>
      <c r="N257" t="n">
        <v>0</v>
      </c>
      <c r="O257" t="n">
        <v>0</v>
      </c>
      <c r="P257" t="n">
        <v>0</v>
      </c>
      <c r="Q257" t="n">
        <v>0</v>
      </c>
      <c r="R257" s="2" t="inlineStr"/>
    </row>
    <row r="258" ht="15" customHeight="1">
      <c r="A258" t="inlineStr">
        <is>
          <t>A 56502-2025</t>
        </is>
      </c>
      <c r="B258" s="1" t="n">
        <v>45975</v>
      </c>
      <c r="C258" s="1" t="n">
        <v>46059</v>
      </c>
      <c r="D258" t="inlineStr">
        <is>
          <t>VÄSTMANLANDS LÄN</t>
        </is>
      </c>
      <c r="E258" t="inlineStr">
        <is>
          <t>SALA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13022-2023</t>
        </is>
      </c>
      <c r="B259" s="1" t="n">
        <v>45002.33291666667</v>
      </c>
      <c r="C259" s="1" t="n">
        <v>46059</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56593-2025</t>
        </is>
      </c>
      <c r="B260" s="1" t="n">
        <v>45975</v>
      </c>
      <c r="C260" s="1" t="n">
        <v>46059</v>
      </c>
      <c r="D260" t="inlineStr">
        <is>
          <t>VÄSTMANLANDS LÄN</t>
        </is>
      </c>
      <c r="E260" t="inlineStr">
        <is>
          <t>SALA</t>
        </is>
      </c>
      <c r="F260" t="inlineStr">
        <is>
          <t>Kyrkan</t>
        </is>
      </c>
      <c r="G260" t="n">
        <v>0.1</v>
      </c>
      <c r="H260" t="n">
        <v>0</v>
      </c>
      <c r="I260" t="n">
        <v>0</v>
      </c>
      <c r="J260" t="n">
        <v>0</v>
      </c>
      <c r="K260" t="n">
        <v>0</v>
      </c>
      <c r="L260" t="n">
        <v>0</v>
      </c>
      <c r="M260" t="n">
        <v>0</v>
      </c>
      <c r="N260" t="n">
        <v>0</v>
      </c>
      <c r="O260" t="n">
        <v>0</v>
      </c>
      <c r="P260" t="n">
        <v>0</v>
      </c>
      <c r="Q260" t="n">
        <v>0</v>
      </c>
      <c r="R260" s="2" t="inlineStr"/>
    </row>
    <row r="261" ht="15" customHeight="1">
      <c r="A261" t="inlineStr">
        <is>
          <t>A 63749-2025</t>
        </is>
      </c>
      <c r="B261" s="1" t="n">
        <v>46017.75243055556</v>
      </c>
      <c r="C261" s="1" t="n">
        <v>46059</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56645-2025</t>
        </is>
      </c>
      <c r="B262" s="1" t="n">
        <v>45975.63063657407</v>
      </c>
      <c r="C262" s="1" t="n">
        <v>46059</v>
      </c>
      <c r="D262" t="inlineStr">
        <is>
          <t>VÄSTMANLANDS LÄN</t>
        </is>
      </c>
      <c r="E262" t="inlineStr">
        <is>
          <t>SALA</t>
        </is>
      </c>
      <c r="F262" t="inlineStr">
        <is>
          <t>Bergvik skog öst AB</t>
        </is>
      </c>
      <c r="G262" t="n">
        <v>5.3</v>
      </c>
      <c r="H262" t="n">
        <v>0</v>
      </c>
      <c r="I262" t="n">
        <v>0</v>
      </c>
      <c r="J262" t="n">
        <v>0</v>
      </c>
      <c r="K262" t="n">
        <v>0</v>
      </c>
      <c r="L262" t="n">
        <v>0</v>
      </c>
      <c r="M262" t="n">
        <v>0</v>
      </c>
      <c r="N262" t="n">
        <v>0</v>
      </c>
      <c r="O262" t="n">
        <v>0</v>
      </c>
      <c r="P262" t="n">
        <v>0</v>
      </c>
      <c r="Q262" t="n">
        <v>0</v>
      </c>
      <c r="R262" s="2" t="inlineStr"/>
    </row>
    <row r="263" ht="15" customHeight="1">
      <c r="A263" t="inlineStr">
        <is>
          <t>A 63748-2025</t>
        </is>
      </c>
      <c r="B263" s="1" t="n">
        <v>46017.71640046296</v>
      </c>
      <c r="C263" s="1" t="n">
        <v>46059</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41230-2025</t>
        </is>
      </c>
      <c r="B264" s="1" t="n">
        <v>45898</v>
      </c>
      <c r="C264" s="1" t="n">
        <v>46059</v>
      </c>
      <c r="D264" t="inlineStr">
        <is>
          <t>VÄSTMANLANDS LÄN</t>
        </is>
      </c>
      <c r="E264" t="inlineStr">
        <is>
          <t>SALA</t>
        </is>
      </c>
      <c r="G264" t="n">
        <v>2.3</v>
      </c>
      <c r="H264" t="n">
        <v>0</v>
      </c>
      <c r="I264" t="n">
        <v>0</v>
      </c>
      <c r="J264" t="n">
        <v>0</v>
      </c>
      <c r="K264" t="n">
        <v>0</v>
      </c>
      <c r="L264" t="n">
        <v>0</v>
      </c>
      <c r="M264" t="n">
        <v>0</v>
      </c>
      <c r="N264" t="n">
        <v>0</v>
      </c>
      <c r="O264" t="n">
        <v>0</v>
      </c>
      <c r="P264" t="n">
        <v>0</v>
      </c>
      <c r="Q264" t="n">
        <v>0</v>
      </c>
      <c r="R264" s="2" t="inlineStr"/>
    </row>
    <row r="265" ht="15" customHeight="1">
      <c r="A265" t="inlineStr">
        <is>
          <t>A 35003-2024</t>
        </is>
      </c>
      <c r="B265" s="1" t="n">
        <v>45527.56790509259</v>
      </c>
      <c r="C265" s="1" t="n">
        <v>46059</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57412-2025</t>
        </is>
      </c>
      <c r="B266" s="1" t="n">
        <v>45980.44883101852</v>
      </c>
      <c r="C266" s="1" t="n">
        <v>46059</v>
      </c>
      <c r="D266" t="inlineStr">
        <is>
          <t>VÄSTMANLANDS LÄN</t>
        </is>
      </c>
      <c r="E266" t="inlineStr">
        <is>
          <t>SALA</t>
        </is>
      </c>
      <c r="F266" t="inlineStr">
        <is>
          <t>Bergvik skog öst AB</t>
        </is>
      </c>
      <c r="G266" t="n">
        <v>4.5</v>
      </c>
      <c r="H266" t="n">
        <v>0</v>
      </c>
      <c r="I266" t="n">
        <v>0</v>
      </c>
      <c r="J266" t="n">
        <v>0</v>
      </c>
      <c r="K266" t="n">
        <v>0</v>
      </c>
      <c r="L266" t="n">
        <v>0</v>
      </c>
      <c r="M266" t="n">
        <v>0</v>
      </c>
      <c r="N266" t="n">
        <v>0</v>
      </c>
      <c r="O266" t="n">
        <v>0</v>
      </c>
      <c r="P266" t="n">
        <v>0</v>
      </c>
      <c r="Q266" t="n">
        <v>0</v>
      </c>
      <c r="R266" s="2" t="inlineStr"/>
    </row>
    <row r="267" ht="15" customHeight="1">
      <c r="A267" t="inlineStr">
        <is>
          <t>A 24864-2024</t>
        </is>
      </c>
      <c r="B267" s="1" t="n">
        <v>45461.48888888889</v>
      </c>
      <c r="C267" s="1" t="n">
        <v>46059</v>
      </c>
      <c r="D267" t="inlineStr">
        <is>
          <t>VÄSTMANLANDS LÄN</t>
        </is>
      </c>
      <c r="E267" t="inlineStr">
        <is>
          <t>SALA</t>
        </is>
      </c>
      <c r="G267" t="n">
        <v>0.6</v>
      </c>
      <c r="H267" t="n">
        <v>0</v>
      </c>
      <c r="I267" t="n">
        <v>0</v>
      </c>
      <c r="J267" t="n">
        <v>0</v>
      </c>
      <c r="K267" t="n">
        <v>0</v>
      </c>
      <c r="L267" t="n">
        <v>0</v>
      </c>
      <c r="M267" t="n">
        <v>0</v>
      </c>
      <c r="N267" t="n">
        <v>0</v>
      </c>
      <c r="O267" t="n">
        <v>0</v>
      </c>
      <c r="P267" t="n">
        <v>0</v>
      </c>
      <c r="Q267" t="n">
        <v>0</v>
      </c>
      <c r="R267" s="2" t="inlineStr"/>
    </row>
    <row r="268" ht="15" customHeight="1">
      <c r="A268" t="inlineStr">
        <is>
          <t>A 1118-2024</t>
        </is>
      </c>
      <c r="B268" s="1" t="n">
        <v>45302</v>
      </c>
      <c r="C268" s="1" t="n">
        <v>46059</v>
      </c>
      <c r="D268" t="inlineStr">
        <is>
          <t>VÄSTMANLANDS LÄN</t>
        </is>
      </c>
      <c r="E268" t="inlineStr">
        <is>
          <t>SALA</t>
        </is>
      </c>
      <c r="G268" t="n">
        <v>1.9</v>
      </c>
      <c r="H268" t="n">
        <v>0</v>
      </c>
      <c r="I268" t="n">
        <v>0</v>
      </c>
      <c r="J268" t="n">
        <v>0</v>
      </c>
      <c r="K268" t="n">
        <v>0</v>
      </c>
      <c r="L268" t="n">
        <v>0</v>
      </c>
      <c r="M268" t="n">
        <v>0</v>
      </c>
      <c r="N268" t="n">
        <v>0</v>
      </c>
      <c r="O268" t="n">
        <v>0</v>
      </c>
      <c r="P268" t="n">
        <v>0</v>
      </c>
      <c r="Q268" t="n">
        <v>0</v>
      </c>
      <c r="R268" s="2" t="inlineStr"/>
    </row>
    <row r="269" ht="15" customHeight="1">
      <c r="A269" t="inlineStr">
        <is>
          <t>A 63933-2023</t>
        </is>
      </c>
      <c r="B269" s="1" t="n">
        <v>45278</v>
      </c>
      <c r="C269" s="1" t="n">
        <v>46059</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57414-2025</t>
        </is>
      </c>
      <c r="B270" s="1" t="n">
        <v>45980.45003472222</v>
      </c>
      <c r="C270" s="1" t="n">
        <v>46059</v>
      </c>
      <c r="D270" t="inlineStr">
        <is>
          <t>VÄSTMANLANDS LÄN</t>
        </is>
      </c>
      <c r="E270" t="inlineStr">
        <is>
          <t>SALA</t>
        </is>
      </c>
      <c r="F270" t="inlineStr">
        <is>
          <t>Bergvik skog öst AB</t>
        </is>
      </c>
      <c r="G270" t="n">
        <v>2</v>
      </c>
      <c r="H270" t="n">
        <v>0</v>
      </c>
      <c r="I270" t="n">
        <v>0</v>
      </c>
      <c r="J270" t="n">
        <v>0</v>
      </c>
      <c r="K270" t="n">
        <v>0</v>
      </c>
      <c r="L270" t="n">
        <v>0</v>
      </c>
      <c r="M270" t="n">
        <v>0</v>
      </c>
      <c r="N270" t="n">
        <v>0</v>
      </c>
      <c r="O270" t="n">
        <v>0</v>
      </c>
      <c r="P270" t="n">
        <v>0</v>
      </c>
      <c r="Q270" t="n">
        <v>0</v>
      </c>
      <c r="R270" s="2" t="inlineStr"/>
    </row>
    <row r="271" ht="15" customHeight="1">
      <c r="A271" t="inlineStr">
        <is>
          <t>A 57415-2025</t>
        </is>
      </c>
      <c r="B271" s="1" t="n">
        <v>45980.45099537037</v>
      </c>
      <c r="C271" s="1" t="n">
        <v>46059</v>
      </c>
      <c r="D271" t="inlineStr">
        <is>
          <t>VÄSTMANLANDS LÄN</t>
        </is>
      </c>
      <c r="E271" t="inlineStr">
        <is>
          <t>SALA</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41431-2025</t>
        </is>
      </c>
      <c r="B272" s="1" t="n">
        <v>45901.39347222223</v>
      </c>
      <c r="C272" s="1" t="n">
        <v>46059</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37190-2024</t>
        </is>
      </c>
      <c r="B273" s="1" t="n">
        <v>45539</v>
      </c>
      <c r="C273" s="1" t="n">
        <v>46059</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41414-2025</t>
        </is>
      </c>
      <c r="B274" s="1" t="n">
        <v>45901.360625</v>
      </c>
      <c r="C274" s="1" t="n">
        <v>46059</v>
      </c>
      <c r="D274" t="inlineStr">
        <is>
          <t>VÄSTMANLANDS LÄN</t>
        </is>
      </c>
      <c r="E274" t="inlineStr">
        <is>
          <t>SALA</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66307-2021</t>
        </is>
      </c>
      <c r="B275" s="1" t="n">
        <v>44518.48670138889</v>
      </c>
      <c r="C275" s="1" t="n">
        <v>46059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6030-2024</t>
        </is>
      </c>
      <c r="B276" s="1" t="n">
        <v>45336.62782407407</v>
      </c>
      <c r="C276" s="1" t="n">
        <v>46059</v>
      </c>
      <c r="D276" t="inlineStr">
        <is>
          <t>VÄSTMANLANDS LÄN</t>
        </is>
      </c>
      <c r="E276" t="inlineStr">
        <is>
          <t>SALA</t>
        </is>
      </c>
      <c r="G276" t="n">
        <v>3.9</v>
      </c>
      <c r="H276" t="n">
        <v>0</v>
      </c>
      <c r="I276" t="n">
        <v>0</v>
      </c>
      <c r="J276" t="n">
        <v>0</v>
      </c>
      <c r="K276" t="n">
        <v>0</v>
      </c>
      <c r="L276" t="n">
        <v>0</v>
      </c>
      <c r="M276" t="n">
        <v>0</v>
      </c>
      <c r="N276" t="n">
        <v>0</v>
      </c>
      <c r="O276" t="n">
        <v>0</v>
      </c>
      <c r="P276" t="n">
        <v>0</v>
      </c>
      <c r="Q276" t="n">
        <v>0</v>
      </c>
      <c r="R276" s="2" t="inlineStr"/>
    </row>
    <row r="277" ht="15" customHeight="1">
      <c r="A277" t="inlineStr">
        <is>
          <t>A 53164-2024</t>
        </is>
      </c>
      <c r="B277" s="1" t="n">
        <v>45611.64887731482</v>
      </c>
      <c r="C277" s="1" t="n">
        <v>46059</v>
      </c>
      <c r="D277" t="inlineStr">
        <is>
          <t>VÄSTMANLANDS LÄN</t>
        </is>
      </c>
      <c r="E277" t="inlineStr">
        <is>
          <t>SALA</t>
        </is>
      </c>
      <c r="G277" t="n">
        <v>2.6</v>
      </c>
      <c r="H277" t="n">
        <v>0</v>
      </c>
      <c r="I277" t="n">
        <v>0</v>
      </c>
      <c r="J277" t="n">
        <v>0</v>
      </c>
      <c r="K277" t="n">
        <v>0</v>
      </c>
      <c r="L277" t="n">
        <v>0</v>
      </c>
      <c r="M277" t="n">
        <v>0</v>
      </c>
      <c r="N277" t="n">
        <v>0</v>
      </c>
      <c r="O277" t="n">
        <v>0</v>
      </c>
      <c r="P277" t="n">
        <v>0</v>
      </c>
      <c r="Q277" t="n">
        <v>0</v>
      </c>
      <c r="R277" s="2" t="inlineStr"/>
    </row>
    <row r="278" ht="15" customHeight="1">
      <c r="A278" t="inlineStr">
        <is>
          <t>A 39439-2021</t>
        </is>
      </c>
      <c r="B278" s="1" t="n">
        <v>44414</v>
      </c>
      <c r="C278" s="1" t="n">
        <v>46059</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46059</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58357-2025</t>
        </is>
      </c>
      <c r="B280" s="1" t="n">
        <v>45985.51518518518</v>
      </c>
      <c r="C280" s="1" t="n">
        <v>46059</v>
      </c>
      <c r="D280" t="inlineStr">
        <is>
          <t>VÄSTMANLANDS LÄN</t>
        </is>
      </c>
      <c r="E280" t="inlineStr">
        <is>
          <t>SALA</t>
        </is>
      </c>
      <c r="G280" t="n">
        <v>3</v>
      </c>
      <c r="H280" t="n">
        <v>0</v>
      </c>
      <c r="I280" t="n">
        <v>0</v>
      </c>
      <c r="J280" t="n">
        <v>0</v>
      </c>
      <c r="K280" t="n">
        <v>0</v>
      </c>
      <c r="L280" t="n">
        <v>0</v>
      </c>
      <c r="M280" t="n">
        <v>0</v>
      </c>
      <c r="N280" t="n">
        <v>0</v>
      </c>
      <c r="O280" t="n">
        <v>0</v>
      </c>
      <c r="P280" t="n">
        <v>0</v>
      </c>
      <c r="Q280" t="n">
        <v>0</v>
      </c>
      <c r="R280" s="2" t="inlineStr"/>
    </row>
    <row r="281" ht="15" customHeight="1">
      <c r="A281" t="inlineStr">
        <is>
          <t>A 11389-2024</t>
        </is>
      </c>
      <c r="B281" s="1" t="n">
        <v>45372.45016203704</v>
      </c>
      <c r="C281" s="1" t="n">
        <v>46059</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56706-2022</t>
        </is>
      </c>
      <c r="B282" s="1" t="n">
        <v>44893.78893518518</v>
      </c>
      <c r="C282" s="1" t="n">
        <v>46059</v>
      </c>
      <c r="D282" t="inlineStr">
        <is>
          <t>VÄSTMANLANDS LÄN</t>
        </is>
      </c>
      <c r="E282" t="inlineStr">
        <is>
          <t>SALA</t>
        </is>
      </c>
      <c r="G282" t="n">
        <v>4.5</v>
      </c>
      <c r="H282" t="n">
        <v>0</v>
      </c>
      <c r="I282" t="n">
        <v>0</v>
      </c>
      <c r="J282" t="n">
        <v>0</v>
      </c>
      <c r="K282" t="n">
        <v>0</v>
      </c>
      <c r="L282" t="n">
        <v>0</v>
      </c>
      <c r="M282" t="n">
        <v>0</v>
      </c>
      <c r="N282" t="n">
        <v>0</v>
      </c>
      <c r="O282" t="n">
        <v>0</v>
      </c>
      <c r="P282" t="n">
        <v>0</v>
      </c>
      <c r="Q282" t="n">
        <v>0</v>
      </c>
      <c r="R282" s="2" t="inlineStr"/>
    </row>
    <row r="283" ht="15" customHeight="1">
      <c r="A283" t="inlineStr">
        <is>
          <t>A 56707-2022</t>
        </is>
      </c>
      <c r="B283" s="1" t="n">
        <v>44893.79412037037</v>
      </c>
      <c r="C283" s="1" t="n">
        <v>46059</v>
      </c>
      <c r="D283" t="inlineStr">
        <is>
          <t>VÄSTMANLANDS LÄN</t>
        </is>
      </c>
      <c r="E283" t="inlineStr">
        <is>
          <t>SALA</t>
        </is>
      </c>
      <c r="G283" t="n">
        <v>1</v>
      </c>
      <c r="H283" t="n">
        <v>0</v>
      </c>
      <c r="I283" t="n">
        <v>0</v>
      </c>
      <c r="J283" t="n">
        <v>0</v>
      </c>
      <c r="K283" t="n">
        <v>0</v>
      </c>
      <c r="L283" t="n">
        <v>0</v>
      </c>
      <c r="M283" t="n">
        <v>0</v>
      </c>
      <c r="N283" t="n">
        <v>0</v>
      </c>
      <c r="O283" t="n">
        <v>0</v>
      </c>
      <c r="P283" t="n">
        <v>0</v>
      </c>
      <c r="Q283" t="n">
        <v>0</v>
      </c>
      <c r="R283" s="2" t="inlineStr"/>
    </row>
    <row r="284" ht="15" customHeight="1">
      <c r="A284" t="inlineStr">
        <is>
          <t>A 55760-2025</t>
        </is>
      </c>
      <c r="B284" s="1" t="n">
        <v>45972</v>
      </c>
      <c r="C284" s="1" t="n">
        <v>46059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58365-2025</t>
        </is>
      </c>
      <c r="B285" s="1" t="n">
        <v>45985.52288194445</v>
      </c>
      <c r="C285" s="1" t="n">
        <v>46059</v>
      </c>
      <c r="D285" t="inlineStr">
        <is>
          <t>VÄSTMANLANDS LÄN</t>
        </is>
      </c>
      <c r="E285" t="inlineStr">
        <is>
          <t>SALA</t>
        </is>
      </c>
      <c r="G285" t="n">
        <v>3.9</v>
      </c>
      <c r="H285" t="n">
        <v>0</v>
      </c>
      <c r="I285" t="n">
        <v>0</v>
      </c>
      <c r="J285" t="n">
        <v>0</v>
      </c>
      <c r="K285" t="n">
        <v>0</v>
      </c>
      <c r="L285" t="n">
        <v>0</v>
      </c>
      <c r="M285" t="n">
        <v>0</v>
      </c>
      <c r="N285" t="n">
        <v>0</v>
      </c>
      <c r="O285" t="n">
        <v>0</v>
      </c>
      <c r="P285" t="n">
        <v>0</v>
      </c>
      <c r="Q285" t="n">
        <v>0</v>
      </c>
      <c r="R285" s="2" t="inlineStr"/>
    </row>
    <row r="286" ht="15" customHeight="1">
      <c r="A286" t="inlineStr">
        <is>
          <t>A 30971-2022</t>
        </is>
      </c>
      <c r="B286" s="1" t="n">
        <v>44768.46725694444</v>
      </c>
      <c r="C286" s="1" t="n">
        <v>46059</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58282-2025</t>
        </is>
      </c>
      <c r="B287" s="1" t="n">
        <v>45985.44309027777</v>
      </c>
      <c r="C287" s="1" t="n">
        <v>46059</v>
      </c>
      <c r="D287" t="inlineStr">
        <is>
          <t>VÄSTMANLANDS LÄN</t>
        </is>
      </c>
      <c r="E287" t="inlineStr">
        <is>
          <t>SALA</t>
        </is>
      </c>
      <c r="G287" t="n">
        <v>8.9</v>
      </c>
      <c r="H287" t="n">
        <v>0</v>
      </c>
      <c r="I287" t="n">
        <v>0</v>
      </c>
      <c r="J287" t="n">
        <v>0</v>
      </c>
      <c r="K287" t="n">
        <v>0</v>
      </c>
      <c r="L287" t="n">
        <v>0</v>
      </c>
      <c r="M287" t="n">
        <v>0</v>
      </c>
      <c r="N287" t="n">
        <v>0</v>
      </c>
      <c r="O287" t="n">
        <v>0</v>
      </c>
      <c r="P287" t="n">
        <v>0</v>
      </c>
      <c r="Q287" t="n">
        <v>0</v>
      </c>
      <c r="R287" s="2" t="inlineStr"/>
    </row>
    <row r="288" ht="15" customHeight="1">
      <c r="A288" t="inlineStr">
        <is>
          <t>A 58359-2025</t>
        </is>
      </c>
      <c r="B288" s="1" t="n">
        <v>45985.51594907408</v>
      </c>
      <c r="C288" s="1" t="n">
        <v>46059</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58364-2025</t>
        </is>
      </c>
      <c r="B289" s="1" t="n">
        <v>45985.5228125</v>
      </c>
      <c r="C289" s="1" t="n">
        <v>46059</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46059</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42421-2025</t>
        </is>
      </c>
      <c r="B291" s="1" t="n">
        <v>45905.40067129629</v>
      </c>
      <c r="C291" s="1" t="n">
        <v>46059</v>
      </c>
      <c r="D291" t="inlineStr">
        <is>
          <t>VÄSTMANLANDS LÄN</t>
        </is>
      </c>
      <c r="E291" t="inlineStr">
        <is>
          <t>SALA</t>
        </is>
      </c>
      <c r="G291" t="n">
        <v>1.3</v>
      </c>
      <c r="H291" t="n">
        <v>0</v>
      </c>
      <c r="I291" t="n">
        <v>0</v>
      </c>
      <c r="J291" t="n">
        <v>0</v>
      </c>
      <c r="K291" t="n">
        <v>0</v>
      </c>
      <c r="L291" t="n">
        <v>0</v>
      </c>
      <c r="M291" t="n">
        <v>0</v>
      </c>
      <c r="N291" t="n">
        <v>0</v>
      </c>
      <c r="O291" t="n">
        <v>0</v>
      </c>
      <c r="P291" t="n">
        <v>0</v>
      </c>
      <c r="Q291" t="n">
        <v>0</v>
      </c>
      <c r="R291" s="2" t="inlineStr"/>
    </row>
    <row r="292" ht="15" customHeight="1">
      <c r="A292" t="inlineStr">
        <is>
          <t>A 910-2026</t>
        </is>
      </c>
      <c r="B292" s="1" t="n">
        <v>46030.4771412037</v>
      </c>
      <c r="C292" s="1" t="n">
        <v>46059</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26761-2023</t>
        </is>
      </c>
      <c r="B293" s="1" t="n">
        <v>45093</v>
      </c>
      <c r="C293" s="1" t="n">
        <v>46059</v>
      </c>
      <c r="D293" t="inlineStr">
        <is>
          <t>VÄSTMANLANDS LÄN</t>
        </is>
      </c>
      <c r="E293" t="inlineStr">
        <is>
          <t>SALA</t>
        </is>
      </c>
      <c r="G293" t="n">
        <v>4.3</v>
      </c>
      <c r="H293" t="n">
        <v>0</v>
      </c>
      <c r="I293" t="n">
        <v>0</v>
      </c>
      <c r="J293" t="n">
        <v>0</v>
      </c>
      <c r="K293" t="n">
        <v>0</v>
      </c>
      <c r="L293" t="n">
        <v>0</v>
      </c>
      <c r="M293" t="n">
        <v>0</v>
      </c>
      <c r="N293" t="n">
        <v>0</v>
      </c>
      <c r="O293" t="n">
        <v>0</v>
      </c>
      <c r="P293" t="n">
        <v>0</v>
      </c>
      <c r="Q293" t="n">
        <v>0</v>
      </c>
      <c r="R293" s="2" t="inlineStr"/>
    </row>
    <row r="294" ht="15" customHeight="1">
      <c r="A294" t="inlineStr">
        <is>
          <t>A 2900-2023</t>
        </is>
      </c>
      <c r="B294" s="1" t="n">
        <v>44943</v>
      </c>
      <c r="C294" s="1" t="n">
        <v>46059</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43028-2025</t>
        </is>
      </c>
      <c r="B295" s="1" t="n">
        <v>45909.53472222222</v>
      </c>
      <c r="C295" s="1" t="n">
        <v>46059</v>
      </c>
      <c r="D295" t="inlineStr">
        <is>
          <t>VÄSTMANLANDS LÄN</t>
        </is>
      </c>
      <c r="E295" t="inlineStr">
        <is>
          <t>SALA</t>
        </is>
      </c>
      <c r="G295" t="n">
        <v>3.8</v>
      </c>
      <c r="H295" t="n">
        <v>0</v>
      </c>
      <c r="I295" t="n">
        <v>0</v>
      </c>
      <c r="J295" t="n">
        <v>0</v>
      </c>
      <c r="K295" t="n">
        <v>0</v>
      </c>
      <c r="L295" t="n">
        <v>0</v>
      </c>
      <c r="M295" t="n">
        <v>0</v>
      </c>
      <c r="N295" t="n">
        <v>0</v>
      </c>
      <c r="O295" t="n">
        <v>0</v>
      </c>
      <c r="P295" t="n">
        <v>0</v>
      </c>
      <c r="Q295" t="n">
        <v>0</v>
      </c>
      <c r="R295" s="2" t="inlineStr"/>
    </row>
    <row r="296" ht="15" customHeight="1">
      <c r="A296" t="inlineStr">
        <is>
          <t>A 51247-2025</t>
        </is>
      </c>
      <c r="B296" s="1" t="n">
        <v>45947.86487268518</v>
      </c>
      <c r="C296" s="1" t="n">
        <v>46059</v>
      </c>
      <c r="D296" t="inlineStr">
        <is>
          <t>VÄSTMANLANDS LÄN</t>
        </is>
      </c>
      <c r="E296" t="inlineStr">
        <is>
          <t>SALA</t>
        </is>
      </c>
      <c r="G296" t="n">
        <v>10.4</v>
      </c>
      <c r="H296" t="n">
        <v>0</v>
      </c>
      <c r="I296" t="n">
        <v>0</v>
      </c>
      <c r="J296" t="n">
        <v>0</v>
      </c>
      <c r="K296" t="n">
        <v>0</v>
      </c>
      <c r="L296" t="n">
        <v>0</v>
      </c>
      <c r="M296" t="n">
        <v>0</v>
      </c>
      <c r="N296" t="n">
        <v>0</v>
      </c>
      <c r="O296" t="n">
        <v>0</v>
      </c>
      <c r="P296" t="n">
        <v>0</v>
      </c>
      <c r="Q296" t="n">
        <v>0</v>
      </c>
      <c r="R296" s="2" t="inlineStr"/>
    </row>
    <row r="297" ht="15" customHeight="1">
      <c r="A297" t="inlineStr">
        <is>
          <t>A 43328-2025</t>
        </is>
      </c>
      <c r="B297" s="1" t="n">
        <v>45910</v>
      </c>
      <c r="C297" s="1" t="n">
        <v>46059</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60730-2023</t>
        </is>
      </c>
      <c r="B298" s="1" t="n">
        <v>45260</v>
      </c>
      <c r="C298" s="1" t="n">
        <v>46059</v>
      </c>
      <c r="D298" t="inlineStr">
        <is>
          <t>VÄSTMANLANDS LÄN</t>
        </is>
      </c>
      <c r="E298" t="inlineStr">
        <is>
          <t>SALA</t>
        </is>
      </c>
      <c r="G298" t="n">
        <v>1.3</v>
      </c>
      <c r="H298" t="n">
        <v>0</v>
      </c>
      <c r="I298" t="n">
        <v>0</v>
      </c>
      <c r="J298" t="n">
        <v>0</v>
      </c>
      <c r="K298" t="n">
        <v>0</v>
      </c>
      <c r="L298" t="n">
        <v>0</v>
      </c>
      <c r="M298" t="n">
        <v>0</v>
      </c>
      <c r="N298" t="n">
        <v>0</v>
      </c>
      <c r="O298" t="n">
        <v>0</v>
      </c>
      <c r="P298" t="n">
        <v>0</v>
      </c>
      <c r="Q298" t="n">
        <v>0</v>
      </c>
      <c r="R298" s="2" t="inlineStr"/>
    </row>
    <row r="299" ht="15" customHeight="1">
      <c r="A299" t="inlineStr">
        <is>
          <t>A 60731-2023</t>
        </is>
      </c>
      <c r="B299" s="1" t="n">
        <v>45260</v>
      </c>
      <c r="C299" s="1" t="n">
        <v>46059</v>
      </c>
      <c r="D299" t="inlineStr">
        <is>
          <t>VÄSTMANLANDS LÄN</t>
        </is>
      </c>
      <c r="E299" t="inlineStr">
        <is>
          <t>SALA</t>
        </is>
      </c>
      <c r="G299" t="n">
        <v>1</v>
      </c>
      <c r="H299" t="n">
        <v>0</v>
      </c>
      <c r="I299" t="n">
        <v>0</v>
      </c>
      <c r="J299" t="n">
        <v>0</v>
      </c>
      <c r="K299" t="n">
        <v>0</v>
      </c>
      <c r="L299" t="n">
        <v>0</v>
      </c>
      <c r="M299" t="n">
        <v>0</v>
      </c>
      <c r="N299" t="n">
        <v>0</v>
      </c>
      <c r="O299" t="n">
        <v>0</v>
      </c>
      <c r="P299" t="n">
        <v>0</v>
      </c>
      <c r="Q299" t="n">
        <v>0</v>
      </c>
      <c r="R299" s="2" t="inlineStr"/>
    </row>
    <row r="300" ht="15" customHeight="1">
      <c r="A300" t="inlineStr">
        <is>
          <t>A 61892-2021</t>
        </is>
      </c>
      <c r="B300" s="1" t="n">
        <v>44502</v>
      </c>
      <c r="C300" s="1" t="n">
        <v>46059</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43031-2025</t>
        </is>
      </c>
      <c r="B301" s="1" t="n">
        <v>45909.53856481481</v>
      </c>
      <c r="C301" s="1" t="n">
        <v>46059</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914-2026</t>
        </is>
      </c>
      <c r="B302" s="1" t="n">
        <v>46030.47952546296</v>
      </c>
      <c r="C302" s="1" t="n">
        <v>46059</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17495-2024</t>
        </is>
      </c>
      <c r="B303" s="1" t="n">
        <v>45415</v>
      </c>
      <c r="C303" s="1" t="n">
        <v>46059</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37263-2025</t>
        </is>
      </c>
      <c r="B304" s="1" t="n">
        <v>45876.4584837963</v>
      </c>
      <c r="C304" s="1" t="n">
        <v>46059</v>
      </c>
      <c r="D304" t="inlineStr">
        <is>
          <t>VÄSTMANLANDS LÄN</t>
        </is>
      </c>
      <c r="E304" t="inlineStr">
        <is>
          <t>SALA</t>
        </is>
      </c>
      <c r="G304" t="n">
        <v>2.3</v>
      </c>
      <c r="H304" t="n">
        <v>0</v>
      </c>
      <c r="I304" t="n">
        <v>0</v>
      </c>
      <c r="J304" t="n">
        <v>0</v>
      </c>
      <c r="K304" t="n">
        <v>0</v>
      </c>
      <c r="L304" t="n">
        <v>0</v>
      </c>
      <c r="M304" t="n">
        <v>0</v>
      </c>
      <c r="N304" t="n">
        <v>0</v>
      </c>
      <c r="O304" t="n">
        <v>0</v>
      </c>
      <c r="P304" t="n">
        <v>0</v>
      </c>
      <c r="Q304" t="n">
        <v>0</v>
      </c>
      <c r="R304" s="2" t="inlineStr"/>
    </row>
    <row r="305" ht="15" customHeight="1">
      <c r="A305" t="inlineStr">
        <is>
          <t>A 40554-2025</t>
        </is>
      </c>
      <c r="B305" s="1" t="n">
        <v>45896.44506944445</v>
      </c>
      <c r="C305" s="1" t="n">
        <v>46059</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43129-2025</t>
        </is>
      </c>
      <c r="B306" s="1" t="n">
        <v>45909</v>
      </c>
      <c r="C306" s="1" t="n">
        <v>46059</v>
      </c>
      <c r="D306" t="inlineStr">
        <is>
          <t>VÄSTMANLANDS LÄN</t>
        </is>
      </c>
      <c r="E306" t="inlineStr">
        <is>
          <t>SALA</t>
        </is>
      </c>
      <c r="G306" t="n">
        <v>2.4</v>
      </c>
      <c r="H306" t="n">
        <v>0</v>
      </c>
      <c r="I306" t="n">
        <v>0</v>
      </c>
      <c r="J306" t="n">
        <v>0</v>
      </c>
      <c r="K306" t="n">
        <v>0</v>
      </c>
      <c r="L306" t="n">
        <v>0</v>
      </c>
      <c r="M306" t="n">
        <v>0</v>
      </c>
      <c r="N306" t="n">
        <v>0</v>
      </c>
      <c r="O306" t="n">
        <v>0</v>
      </c>
      <c r="P306" t="n">
        <v>0</v>
      </c>
      <c r="Q306" t="n">
        <v>0</v>
      </c>
      <c r="R306" s="2" t="inlineStr"/>
    </row>
    <row r="307" ht="15" customHeight="1">
      <c r="A307" t="inlineStr">
        <is>
          <t>A 43130-2025</t>
        </is>
      </c>
      <c r="B307" s="1" t="n">
        <v>45909</v>
      </c>
      <c r="C307" s="1" t="n">
        <v>46059</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43128-2025</t>
        </is>
      </c>
      <c r="B308" s="1" t="n">
        <v>45909</v>
      </c>
      <c r="C308" s="1" t="n">
        <v>46059</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43127-2025</t>
        </is>
      </c>
      <c r="B309" s="1" t="n">
        <v>45909</v>
      </c>
      <c r="C309" s="1" t="n">
        <v>46059</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948-2026</t>
        </is>
      </c>
      <c r="B310" s="1" t="n">
        <v>46030.53986111111</v>
      </c>
      <c r="C310" s="1" t="n">
        <v>46059</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44100-2025</t>
        </is>
      </c>
      <c r="B311" s="1" t="n">
        <v>45915.56707175926</v>
      </c>
      <c r="C311" s="1" t="n">
        <v>46059</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35976-2024</t>
        </is>
      </c>
      <c r="B312" s="1" t="n">
        <v>45533.49555555556</v>
      </c>
      <c r="C312" s="1" t="n">
        <v>46059</v>
      </c>
      <c r="D312" t="inlineStr">
        <is>
          <t>VÄSTMANLANDS LÄN</t>
        </is>
      </c>
      <c r="E312" t="inlineStr">
        <is>
          <t>SALA</t>
        </is>
      </c>
      <c r="G312" t="n">
        <v>2.3</v>
      </c>
      <c r="H312" t="n">
        <v>0</v>
      </c>
      <c r="I312" t="n">
        <v>0</v>
      </c>
      <c r="J312" t="n">
        <v>0</v>
      </c>
      <c r="K312" t="n">
        <v>0</v>
      </c>
      <c r="L312" t="n">
        <v>0</v>
      </c>
      <c r="M312" t="n">
        <v>0</v>
      </c>
      <c r="N312" t="n">
        <v>0</v>
      </c>
      <c r="O312" t="n">
        <v>0</v>
      </c>
      <c r="P312" t="n">
        <v>0</v>
      </c>
      <c r="Q312" t="n">
        <v>0</v>
      </c>
      <c r="R312" s="2" t="inlineStr"/>
    </row>
    <row r="313" ht="15" customHeight="1">
      <c r="A313" t="inlineStr">
        <is>
          <t>A 59817-2025</t>
        </is>
      </c>
      <c r="B313" s="1" t="n">
        <v>45992.63711805556</v>
      </c>
      <c r="C313" s="1" t="n">
        <v>46059</v>
      </c>
      <c r="D313" t="inlineStr">
        <is>
          <t>VÄSTMANLANDS LÄN</t>
        </is>
      </c>
      <c r="E313" t="inlineStr">
        <is>
          <t>SALA</t>
        </is>
      </c>
      <c r="G313" t="n">
        <v>6.9</v>
      </c>
      <c r="H313" t="n">
        <v>0</v>
      </c>
      <c r="I313" t="n">
        <v>0</v>
      </c>
      <c r="J313" t="n">
        <v>0</v>
      </c>
      <c r="K313" t="n">
        <v>0</v>
      </c>
      <c r="L313" t="n">
        <v>0</v>
      </c>
      <c r="M313" t="n">
        <v>0</v>
      </c>
      <c r="N313" t="n">
        <v>0</v>
      </c>
      <c r="O313" t="n">
        <v>0</v>
      </c>
      <c r="P313" t="n">
        <v>0</v>
      </c>
      <c r="Q313" t="n">
        <v>0</v>
      </c>
      <c r="R313" s="2" t="inlineStr"/>
    </row>
    <row r="314" ht="15" customHeight="1">
      <c r="A314" t="inlineStr">
        <is>
          <t>A 44486-2025</t>
        </is>
      </c>
      <c r="B314" s="1" t="n">
        <v>45916.65517361111</v>
      </c>
      <c r="C314" s="1" t="n">
        <v>46059</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44524-2025</t>
        </is>
      </c>
      <c r="B315" s="1" t="n">
        <v>45916.72920138889</v>
      </c>
      <c r="C315" s="1" t="n">
        <v>46059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43122-2025</t>
        </is>
      </c>
      <c r="B316" s="1" t="n">
        <v>45909</v>
      </c>
      <c r="C316" s="1" t="n">
        <v>46059</v>
      </c>
      <c r="D316" t="inlineStr">
        <is>
          <t>VÄSTMANLANDS LÄN</t>
        </is>
      </c>
      <c r="E316" t="inlineStr">
        <is>
          <t>SALA</t>
        </is>
      </c>
      <c r="G316" t="n">
        <v>3.2</v>
      </c>
      <c r="H316" t="n">
        <v>0</v>
      </c>
      <c r="I316" t="n">
        <v>0</v>
      </c>
      <c r="J316" t="n">
        <v>0</v>
      </c>
      <c r="K316" t="n">
        <v>0</v>
      </c>
      <c r="L316" t="n">
        <v>0</v>
      </c>
      <c r="M316" t="n">
        <v>0</v>
      </c>
      <c r="N316" t="n">
        <v>0</v>
      </c>
      <c r="O316" t="n">
        <v>0</v>
      </c>
      <c r="P316" t="n">
        <v>0</v>
      </c>
      <c r="Q316" t="n">
        <v>0</v>
      </c>
      <c r="R316" s="2" t="inlineStr"/>
    </row>
    <row r="317" ht="15" customHeight="1">
      <c r="A317" t="inlineStr">
        <is>
          <t>A 59390-2025</t>
        </is>
      </c>
      <c r="B317" s="1" t="n">
        <v>45989.4640162037</v>
      </c>
      <c r="C317" s="1" t="n">
        <v>46059</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59385-2025</t>
        </is>
      </c>
      <c r="B318" s="1" t="n">
        <v>45989.45746527778</v>
      </c>
      <c r="C318" s="1" t="n">
        <v>46059</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1705-2026</t>
        </is>
      </c>
      <c r="B319" s="1" t="n">
        <v>46034.59930555556</v>
      </c>
      <c r="C319" s="1" t="n">
        <v>46059</v>
      </c>
      <c r="D319" t="inlineStr">
        <is>
          <t>VÄSTMANLANDS LÄN</t>
        </is>
      </c>
      <c r="E319" t="inlineStr">
        <is>
          <t>SALA</t>
        </is>
      </c>
      <c r="G319" t="n">
        <v>0.4</v>
      </c>
      <c r="H319" t="n">
        <v>0</v>
      </c>
      <c r="I319" t="n">
        <v>0</v>
      </c>
      <c r="J319" t="n">
        <v>0</v>
      </c>
      <c r="K319" t="n">
        <v>0</v>
      </c>
      <c r="L319" t="n">
        <v>0</v>
      </c>
      <c r="M319" t="n">
        <v>0</v>
      </c>
      <c r="N319" t="n">
        <v>0</v>
      </c>
      <c r="O319" t="n">
        <v>0</v>
      </c>
      <c r="P319" t="n">
        <v>0</v>
      </c>
      <c r="Q319" t="n">
        <v>0</v>
      </c>
      <c r="R319" s="2" t="inlineStr"/>
    </row>
    <row r="320" ht="15" customHeight="1">
      <c r="A320" t="inlineStr">
        <is>
          <t>A 60017-2025</t>
        </is>
      </c>
      <c r="B320" s="1" t="n">
        <v>45993.59998842593</v>
      </c>
      <c r="C320" s="1" t="n">
        <v>46059</v>
      </c>
      <c r="D320" t="inlineStr">
        <is>
          <t>VÄSTMANLANDS LÄN</t>
        </is>
      </c>
      <c r="E320" t="inlineStr">
        <is>
          <t>SALA</t>
        </is>
      </c>
      <c r="G320" t="n">
        <v>4.4</v>
      </c>
      <c r="H320" t="n">
        <v>0</v>
      </c>
      <c r="I320" t="n">
        <v>0</v>
      </c>
      <c r="J320" t="n">
        <v>0</v>
      </c>
      <c r="K320" t="n">
        <v>0</v>
      </c>
      <c r="L320" t="n">
        <v>0</v>
      </c>
      <c r="M320" t="n">
        <v>0</v>
      </c>
      <c r="N320" t="n">
        <v>0</v>
      </c>
      <c r="O320" t="n">
        <v>0</v>
      </c>
      <c r="P320" t="n">
        <v>0</v>
      </c>
      <c r="Q320" t="n">
        <v>0</v>
      </c>
      <c r="R320" s="2" t="inlineStr"/>
    </row>
    <row r="321" ht="15" customHeight="1">
      <c r="A321" t="inlineStr">
        <is>
          <t>A 71471-2021</t>
        </is>
      </c>
      <c r="B321" s="1" t="n">
        <v>44540.53421296296</v>
      </c>
      <c r="C321" s="1" t="n">
        <v>46059</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8775-2024</t>
        </is>
      </c>
      <c r="B322" s="1" t="n">
        <v>45356</v>
      </c>
      <c r="C322" s="1" t="n">
        <v>46059</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60258-2025</t>
        </is>
      </c>
      <c r="B323" s="1" t="n">
        <v>45994.6064699074</v>
      </c>
      <c r="C323" s="1" t="n">
        <v>46059</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60241-2025</t>
        </is>
      </c>
      <c r="B324" s="1" t="n">
        <v>45994.58454861111</v>
      </c>
      <c r="C324" s="1" t="n">
        <v>46059</v>
      </c>
      <c r="D324" t="inlineStr">
        <is>
          <t>VÄSTMANLANDS LÄN</t>
        </is>
      </c>
      <c r="E324" t="inlineStr">
        <is>
          <t>SALA</t>
        </is>
      </c>
      <c r="G324" t="n">
        <v>1.6</v>
      </c>
      <c r="H324" t="n">
        <v>0</v>
      </c>
      <c r="I324" t="n">
        <v>0</v>
      </c>
      <c r="J324" t="n">
        <v>0</v>
      </c>
      <c r="K324" t="n">
        <v>0</v>
      </c>
      <c r="L324" t="n">
        <v>0</v>
      </c>
      <c r="M324" t="n">
        <v>0</v>
      </c>
      <c r="N324" t="n">
        <v>0</v>
      </c>
      <c r="O324" t="n">
        <v>0</v>
      </c>
      <c r="P324" t="n">
        <v>0</v>
      </c>
      <c r="Q324" t="n">
        <v>0</v>
      </c>
      <c r="R324" s="2" t="inlineStr"/>
    </row>
    <row r="325" ht="15" customHeight="1">
      <c r="A325" t="inlineStr">
        <is>
          <t>A 59870-2025</t>
        </is>
      </c>
      <c r="B325" s="1" t="n">
        <v>45992.92226851852</v>
      </c>
      <c r="C325" s="1" t="n">
        <v>46059</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46059</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60259-2025</t>
        </is>
      </c>
      <c r="B327" s="1" t="n">
        <v>45994.60913194445</v>
      </c>
      <c r="C327" s="1" t="n">
        <v>46059</v>
      </c>
      <c r="D327" t="inlineStr">
        <is>
          <t>VÄSTMANLANDS LÄN</t>
        </is>
      </c>
      <c r="E327" t="inlineStr">
        <is>
          <t>SALA</t>
        </is>
      </c>
      <c r="G327" t="n">
        <v>0.5</v>
      </c>
      <c r="H327" t="n">
        <v>0</v>
      </c>
      <c r="I327" t="n">
        <v>0</v>
      </c>
      <c r="J327" t="n">
        <v>0</v>
      </c>
      <c r="K327" t="n">
        <v>0</v>
      </c>
      <c r="L327" t="n">
        <v>0</v>
      </c>
      <c r="M327" t="n">
        <v>0</v>
      </c>
      <c r="N327" t="n">
        <v>0</v>
      </c>
      <c r="O327" t="n">
        <v>0</v>
      </c>
      <c r="P327" t="n">
        <v>0</v>
      </c>
      <c r="Q327" t="n">
        <v>0</v>
      </c>
      <c r="R327" s="2" t="inlineStr"/>
    </row>
    <row r="328" ht="15" customHeight="1">
      <c r="A328" t="inlineStr">
        <is>
          <t>A 60246-2025</t>
        </is>
      </c>
      <c r="B328" s="1" t="n">
        <v>45994.58931712963</v>
      </c>
      <c r="C328" s="1" t="n">
        <v>46059</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39011-2023</t>
        </is>
      </c>
      <c r="B329" s="1" t="n">
        <v>45162</v>
      </c>
      <c r="C329" s="1" t="n">
        <v>46059</v>
      </c>
      <c r="D329" t="inlineStr">
        <is>
          <t>VÄSTMANLANDS LÄN</t>
        </is>
      </c>
      <c r="E329" t="inlineStr">
        <is>
          <t>SALA</t>
        </is>
      </c>
      <c r="G329" t="n">
        <v>1.6</v>
      </c>
      <c r="H329" t="n">
        <v>0</v>
      </c>
      <c r="I329" t="n">
        <v>0</v>
      </c>
      <c r="J329" t="n">
        <v>0</v>
      </c>
      <c r="K329" t="n">
        <v>0</v>
      </c>
      <c r="L329" t="n">
        <v>0</v>
      </c>
      <c r="M329" t="n">
        <v>0</v>
      </c>
      <c r="N329" t="n">
        <v>0</v>
      </c>
      <c r="O329" t="n">
        <v>0</v>
      </c>
      <c r="P329" t="n">
        <v>0</v>
      </c>
      <c r="Q329" t="n">
        <v>0</v>
      </c>
      <c r="R329" s="2" t="inlineStr"/>
    </row>
    <row r="330" ht="15" customHeight="1">
      <c r="A330" t="inlineStr">
        <is>
          <t>A 45177-2025</t>
        </is>
      </c>
      <c r="B330" s="1" t="n">
        <v>45919.52444444445</v>
      </c>
      <c r="C330" s="1" t="n">
        <v>46059</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60254-2025</t>
        </is>
      </c>
      <c r="B331" s="1" t="n">
        <v>45994.60146990741</v>
      </c>
      <c r="C331" s="1" t="n">
        <v>46059</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59926-2025</t>
        </is>
      </c>
      <c r="B332" s="1" t="n">
        <v>45993.39221064815</v>
      </c>
      <c r="C332" s="1" t="n">
        <v>46059</v>
      </c>
      <c r="D332" t="inlineStr">
        <is>
          <t>VÄSTMANLANDS LÄN</t>
        </is>
      </c>
      <c r="E332" t="inlineStr">
        <is>
          <t>SALA</t>
        </is>
      </c>
      <c r="G332" t="n">
        <v>7.1</v>
      </c>
      <c r="H332" t="n">
        <v>0</v>
      </c>
      <c r="I332" t="n">
        <v>0</v>
      </c>
      <c r="J332" t="n">
        <v>0</v>
      </c>
      <c r="K332" t="n">
        <v>0</v>
      </c>
      <c r="L332" t="n">
        <v>0</v>
      </c>
      <c r="M332" t="n">
        <v>0</v>
      </c>
      <c r="N332" t="n">
        <v>0</v>
      </c>
      <c r="O332" t="n">
        <v>0</v>
      </c>
      <c r="P332" t="n">
        <v>0</v>
      </c>
      <c r="Q332" t="n">
        <v>0</v>
      </c>
      <c r="R332" s="2" t="inlineStr"/>
    </row>
    <row r="333" ht="15" customHeight="1">
      <c r="A333" t="inlineStr">
        <is>
          <t>A 56547-2022</t>
        </is>
      </c>
      <c r="B333" s="1" t="n">
        <v>44893.48284722222</v>
      </c>
      <c r="C333" s="1" t="n">
        <v>46059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56916-2022</t>
        </is>
      </c>
      <c r="B334" s="1" t="n">
        <v>44888</v>
      </c>
      <c r="C334" s="1" t="n">
        <v>46059</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45914-2025</t>
        </is>
      </c>
      <c r="B335" s="1" t="n">
        <v>45923.82582175926</v>
      </c>
      <c r="C335" s="1" t="n">
        <v>46059</v>
      </c>
      <c r="D335" t="inlineStr">
        <is>
          <t>VÄSTMANLANDS LÄN</t>
        </is>
      </c>
      <c r="E335" t="inlineStr">
        <is>
          <t>SALA</t>
        </is>
      </c>
      <c r="F335" t="inlineStr">
        <is>
          <t>Kommuner</t>
        </is>
      </c>
      <c r="G335" t="n">
        <v>18.2</v>
      </c>
      <c r="H335" t="n">
        <v>0</v>
      </c>
      <c r="I335" t="n">
        <v>0</v>
      </c>
      <c r="J335" t="n">
        <v>0</v>
      </c>
      <c r="K335" t="n">
        <v>0</v>
      </c>
      <c r="L335" t="n">
        <v>0</v>
      </c>
      <c r="M335" t="n">
        <v>0</v>
      </c>
      <c r="N335" t="n">
        <v>0</v>
      </c>
      <c r="O335" t="n">
        <v>0</v>
      </c>
      <c r="P335" t="n">
        <v>0</v>
      </c>
      <c r="Q335" t="n">
        <v>0</v>
      </c>
      <c r="R335" s="2" t="inlineStr"/>
    </row>
    <row r="336" ht="15" customHeight="1">
      <c r="A336" t="inlineStr">
        <is>
          <t>A 45909-2025</t>
        </is>
      </c>
      <c r="B336" s="1" t="n">
        <v>45923.75078703704</v>
      </c>
      <c r="C336" s="1" t="n">
        <v>46059</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46597-2025</t>
        </is>
      </c>
      <c r="B337" s="1" t="n">
        <v>45926.40113425926</v>
      </c>
      <c r="C337" s="1" t="n">
        <v>46059</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7772-2023</t>
        </is>
      </c>
      <c r="B338" s="1" t="n">
        <v>44973.40076388889</v>
      </c>
      <c r="C338" s="1" t="n">
        <v>46059</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60629-2025</t>
        </is>
      </c>
      <c r="B339" s="1" t="n">
        <v>45996.41972222222</v>
      </c>
      <c r="C339" s="1" t="n">
        <v>46059</v>
      </c>
      <c r="D339" t="inlineStr">
        <is>
          <t>VÄSTMANLANDS LÄN</t>
        </is>
      </c>
      <c r="E339" t="inlineStr">
        <is>
          <t>SALA</t>
        </is>
      </c>
      <c r="G339" t="n">
        <v>4.3</v>
      </c>
      <c r="H339" t="n">
        <v>0</v>
      </c>
      <c r="I339" t="n">
        <v>0</v>
      </c>
      <c r="J339" t="n">
        <v>0</v>
      </c>
      <c r="K339" t="n">
        <v>0</v>
      </c>
      <c r="L339" t="n">
        <v>0</v>
      </c>
      <c r="M339" t="n">
        <v>0</v>
      </c>
      <c r="N339" t="n">
        <v>0</v>
      </c>
      <c r="O339" t="n">
        <v>0</v>
      </c>
      <c r="P339" t="n">
        <v>0</v>
      </c>
      <c r="Q339" t="n">
        <v>0</v>
      </c>
      <c r="R339" s="2" t="inlineStr"/>
    </row>
    <row r="340" ht="15" customHeight="1">
      <c r="A340" t="inlineStr">
        <is>
          <t>A 45313-2024</t>
        </is>
      </c>
      <c r="B340" s="1" t="n">
        <v>45576</v>
      </c>
      <c r="C340" s="1" t="n">
        <v>46059</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56535-2022</t>
        </is>
      </c>
      <c r="B341" s="1" t="n">
        <v>44893.47173611111</v>
      </c>
      <c r="C341" s="1" t="n">
        <v>46059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47909-2022</t>
        </is>
      </c>
      <c r="B342" s="1" t="n">
        <v>44855</v>
      </c>
      <c r="C342" s="1" t="n">
        <v>46059</v>
      </c>
      <c r="D342" t="inlineStr">
        <is>
          <t>VÄSTMANLANDS LÄN</t>
        </is>
      </c>
      <c r="E342" t="inlineStr">
        <is>
          <t>SALA</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52630-2022</t>
        </is>
      </c>
      <c r="B343" s="1" t="n">
        <v>44874</v>
      </c>
      <c r="C343" s="1" t="n">
        <v>46059</v>
      </c>
      <c r="D343" t="inlineStr">
        <is>
          <t>VÄSTMANLANDS LÄN</t>
        </is>
      </c>
      <c r="E343" t="inlineStr">
        <is>
          <t>SALA</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46661-2025</t>
        </is>
      </c>
      <c r="B344" s="1" t="n">
        <v>45926</v>
      </c>
      <c r="C344" s="1" t="n">
        <v>46059</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56687-2024</t>
        </is>
      </c>
      <c r="B345" s="1" t="n">
        <v>45627.63271990741</v>
      </c>
      <c r="C345" s="1" t="n">
        <v>46059</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61715-2024</t>
        </is>
      </c>
      <c r="B346" s="1" t="n">
        <v>45648.89519675926</v>
      </c>
      <c r="C346" s="1" t="n">
        <v>46059</v>
      </c>
      <c r="D346" t="inlineStr">
        <is>
          <t>VÄSTMANLANDS LÄN</t>
        </is>
      </c>
      <c r="E346" t="inlineStr">
        <is>
          <t>SALA</t>
        </is>
      </c>
      <c r="G346" t="n">
        <v>2.5</v>
      </c>
      <c r="H346" t="n">
        <v>0</v>
      </c>
      <c r="I346" t="n">
        <v>0</v>
      </c>
      <c r="J346" t="n">
        <v>0</v>
      </c>
      <c r="K346" t="n">
        <v>0</v>
      </c>
      <c r="L346" t="n">
        <v>0</v>
      </c>
      <c r="M346" t="n">
        <v>0</v>
      </c>
      <c r="N346" t="n">
        <v>0</v>
      </c>
      <c r="O346" t="n">
        <v>0</v>
      </c>
      <c r="P346" t="n">
        <v>0</v>
      </c>
      <c r="Q346" t="n">
        <v>0</v>
      </c>
      <c r="R346" s="2" t="inlineStr"/>
    </row>
    <row r="347" ht="15" customHeight="1">
      <c r="A347" t="inlineStr">
        <is>
          <t>A 46915-2025</t>
        </is>
      </c>
      <c r="B347" s="1" t="n">
        <v>45929.42114583333</v>
      </c>
      <c r="C347" s="1" t="n">
        <v>46059</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16404-2022</t>
        </is>
      </c>
      <c r="B348" s="1" t="n">
        <v>44671</v>
      </c>
      <c r="C348" s="1" t="n">
        <v>46059</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6097-2022</t>
        </is>
      </c>
      <c r="B349" s="1" t="n">
        <v>44599</v>
      </c>
      <c r="C349" s="1" t="n">
        <v>46059</v>
      </c>
      <c r="D349" t="inlineStr">
        <is>
          <t>VÄSTMANLANDS LÄN</t>
        </is>
      </c>
      <c r="E349" t="inlineStr">
        <is>
          <t>SALA</t>
        </is>
      </c>
      <c r="G349" t="n">
        <v>0.6</v>
      </c>
      <c r="H349" t="n">
        <v>0</v>
      </c>
      <c r="I349" t="n">
        <v>0</v>
      </c>
      <c r="J349" t="n">
        <v>0</v>
      </c>
      <c r="K349" t="n">
        <v>0</v>
      </c>
      <c r="L349" t="n">
        <v>0</v>
      </c>
      <c r="M349" t="n">
        <v>0</v>
      </c>
      <c r="N349" t="n">
        <v>0</v>
      </c>
      <c r="O349" t="n">
        <v>0</v>
      </c>
      <c r="P349" t="n">
        <v>0</v>
      </c>
      <c r="Q349" t="n">
        <v>0</v>
      </c>
      <c r="R349" s="2" t="inlineStr"/>
    </row>
    <row r="350" ht="15" customHeight="1">
      <c r="A350" t="inlineStr">
        <is>
          <t>A 10559-2024</t>
        </is>
      </c>
      <c r="B350" s="1" t="n">
        <v>45366</v>
      </c>
      <c r="C350" s="1" t="n">
        <v>46059</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42416-2022</t>
        </is>
      </c>
      <c r="B351" s="1" t="n">
        <v>44831</v>
      </c>
      <c r="C351" s="1" t="n">
        <v>46059</v>
      </c>
      <c r="D351" t="inlineStr">
        <is>
          <t>VÄSTMANLANDS LÄN</t>
        </is>
      </c>
      <c r="E351" t="inlineStr">
        <is>
          <t>SALA</t>
        </is>
      </c>
      <c r="G351" t="n">
        <v>2.2</v>
      </c>
      <c r="H351" t="n">
        <v>0</v>
      </c>
      <c r="I351" t="n">
        <v>0</v>
      </c>
      <c r="J351" t="n">
        <v>0</v>
      </c>
      <c r="K351" t="n">
        <v>0</v>
      </c>
      <c r="L351" t="n">
        <v>0</v>
      </c>
      <c r="M351" t="n">
        <v>0</v>
      </c>
      <c r="N351" t="n">
        <v>0</v>
      </c>
      <c r="O351" t="n">
        <v>0</v>
      </c>
      <c r="P351" t="n">
        <v>0</v>
      </c>
      <c r="Q351" t="n">
        <v>0</v>
      </c>
      <c r="R351" s="2" t="inlineStr"/>
    </row>
    <row r="352" ht="15" customHeight="1">
      <c r="A352" t="inlineStr">
        <is>
          <t>A 48057-2025</t>
        </is>
      </c>
      <c r="B352" s="1" t="n">
        <v>45932.67947916667</v>
      </c>
      <c r="C352" s="1" t="n">
        <v>46059</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47577-2025</t>
        </is>
      </c>
      <c r="B353" s="1" t="n">
        <v>45931.4047337963</v>
      </c>
      <c r="C353" s="1" t="n">
        <v>46059</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60545-2024</t>
        </is>
      </c>
      <c r="B354" s="1" t="n">
        <v>45643</v>
      </c>
      <c r="C354" s="1" t="n">
        <v>46059</v>
      </c>
      <c r="D354" t="inlineStr">
        <is>
          <t>VÄSTMANLANDS LÄN</t>
        </is>
      </c>
      <c r="E354" t="inlineStr">
        <is>
          <t>SALA</t>
        </is>
      </c>
      <c r="G354" t="n">
        <v>3.3</v>
      </c>
      <c r="H354" t="n">
        <v>0</v>
      </c>
      <c r="I354" t="n">
        <v>0</v>
      </c>
      <c r="J354" t="n">
        <v>0</v>
      </c>
      <c r="K354" t="n">
        <v>0</v>
      </c>
      <c r="L354" t="n">
        <v>0</v>
      </c>
      <c r="M354" t="n">
        <v>0</v>
      </c>
      <c r="N354" t="n">
        <v>0</v>
      </c>
      <c r="O354" t="n">
        <v>0</v>
      </c>
      <c r="P354" t="n">
        <v>0</v>
      </c>
      <c r="Q354" t="n">
        <v>0</v>
      </c>
      <c r="R354" s="2" t="inlineStr"/>
    </row>
    <row r="355" ht="15" customHeight="1">
      <c r="A355" t="inlineStr">
        <is>
          <t>A 60547-2024</t>
        </is>
      </c>
      <c r="B355" s="1" t="n">
        <v>45643</v>
      </c>
      <c r="C355" s="1" t="n">
        <v>46059</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19381-2025</t>
        </is>
      </c>
      <c r="B356" s="1" t="n">
        <v>45769</v>
      </c>
      <c r="C356" s="1" t="n">
        <v>46059</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15965-2024</t>
        </is>
      </c>
      <c r="B357" s="1" t="n">
        <v>45405.55740740741</v>
      </c>
      <c r="C357" s="1" t="n">
        <v>46059</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1196-2023</t>
        </is>
      </c>
      <c r="B358" s="1" t="n">
        <v>44935.82290509259</v>
      </c>
      <c r="C358" s="1" t="n">
        <v>46059</v>
      </c>
      <c r="D358" t="inlineStr">
        <is>
          <t>VÄSTMANLANDS LÄN</t>
        </is>
      </c>
      <c r="E358" t="inlineStr">
        <is>
          <t>SALA</t>
        </is>
      </c>
      <c r="G358" t="n">
        <v>4.1</v>
      </c>
      <c r="H358" t="n">
        <v>0</v>
      </c>
      <c r="I358" t="n">
        <v>0</v>
      </c>
      <c r="J358" t="n">
        <v>0</v>
      </c>
      <c r="K358" t="n">
        <v>0</v>
      </c>
      <c r="L358" t="n">
        <v>0</v>
      </c>
      <c r="M358" t="n">
        <v>0</v>
      </c>
      <c r="N358" t="n">
        <v>0</v>
      </c>
      <c r="O358" t="n">
        <v>0</v>
      </c>
      <c r="P358" t="n">
        <v>0</v>
      </c>
      <c r="Q358" t="n">
        <v>0</v>
      </c>
      <c r="R358" s="2" t="inlineStr"/>
    </row>
    <row r="359" ht="15" customHeight="1">
      <c r="A359" t="inlineStr">
        <is>
          <t>A 48710-2025</t>
        </is>
      </c>
      <c r="B359" s="1" t="n">
        <v>45936.63184027778</v>
      </c>
      <c r="C359" s="1" t="n">
        <v>46059</v>
      </c>
      <c r="D359" t="inlineStr">
        <is>
          <t>VÄSTMANLANDS LÄN</t>
        </is>
      </c>
      <c r="E359" t="inlineStr">
        <is>
          <t>SALA</t>
        </is>
      </c>
      <c r="G359" t="n">
        <v>2.7</v>
      </c>
      <c r="H359" t="n">
        <v>0</v>
      </c>
      <c r="I359" t="n">
        <v>0</v>
      </c>
      <c r="J359" t="n">
        <v>0</v>
      </c>
      <c r="K359" t="n">
        <v>0</v>
      </c>
      <c r="L359" t="n">
        <v>0</v>
      </c>
      <c r="M359" t="n">
        <v>0</v>
      </c>
      <c r="N359" t="n">
        <v>0</v>
      </c>
      <c r="O359" t="n">
        <v>0</v>
      </c>
      <c r="P359" t="n">
        <v>0</v>
      </c>
      <c r="Q359" t="n">
        <v>0</v>
      </c>
      <c r="R359" s="2" t="inlineStr"/>
    </row>
    <row r="360" ht="15" customHeight="1">
      <c r="A360" t="inlineStr">
        <is>
          <t>A 4214-2026</t>
        </is>
      </c>
      <c r="B360" s="1" t="n">
        <v>46044.76459490741</v>
      </c>
      <c r="C360" s="1" t="n">
        <v>46059</v>
      </c>
      <c r="D360" t="inlineStr">
        <is>
          <t>VÄSTMANLANDS LÄN</t>
        </is>
      </c>
      <c r="E360" t="inlineStr">
        <is>
          <t>SALA</t>
        </is>
      </c>
      <c r="G360" t="n">
        <v>1.7</v>
      </c>
      <c r="H360" t="n">
        <v>0</v>
      </c>
      <c r="I360" t="n">
        <v>0</v>
      </c>
      <c r="J360" t="n">
        <v>0</v>
      </c>
      <c r="K360" t="n">
        <v>0</v>
      </c>
      <c r="L360" t="n">
        <v>0</v>
      </c>
      <c r="M360" t="n">
        <v>0</v>
      </c>
      <c r="N360" t="n">
        <v>0</v>
      </c>
      <c r="O360" t="n">
        <v>0</v>
      </c>
      <c r="P360" t="n">
        <v>0</v>
      </c>
      <c r="Q360" t="n">
        <v>0</v>
      </c>
      <c r="R360" s="2" t="inlineStr"/>
    </row>
    <row r="361" ht="15" customHeight="1">
      <c r="A361" t="inlineStr">
        <is>
          <t>A 48688-2024</t>
        </is>
      </c>
      <c r="B361" s="1" t="n">
        <v>45593.50541666667</v>
      </c>
      <c r="C361" s="1" t="n">
        <v>46059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61522-2025</t>
        </is>
      </c>
      <c r="B362" s="1" t="n">
        <v>46001.68684027778</v>
      </c>
      <c r="C362" s="1" t="n">
        <v>46059</v>
      </c>
      <c r="D362" t="inlineStr">
        <is>
          <t>VÄSTMANLANDS LÄN</t>
        </is>
      </c>
      <c r="E362" t="inlineStr">
        <is>
          <t>SALA</t>
        </is>
      </c>
      <c r="G362" t="n">
        <v>5.7</v>
      </c>
      <c r="H362" t="n">
        <v>0</v>
      </c>
      <c r="I362" t="n">
        <v>0</v>
      </c>
      <c r="J362" t="n">
        <v>0</v>
      </c>
      <c r="K362" t="n">
        <v>0</v>
      </c>
      <c r="L362" t="n">
        <v>0</v>
      </c>
      <c r="M362" t="n">
        <v>0</v>
      </c>
      <c r="N362" t="n">
        <v>0</v>
      </c>
      <c r="O362" t="n">
        <v>0</v>
      </c>
      <c r="P362" t="n">
        <v>0</v>
      </c>
      <c r="Q362" t="n">
        <v>0</v>
      </c>
      <c r="R362" s="2" t="inlineStr"/>
    </row>
    <row r="363" ht="15" customHeight="1">
      <c r="A363" t="inlineStr">
        <is>
          <t>A 62651-2022</t>
        </is>
      </c>
      <c r="B363" s="1" t="n">
        <v>44917</v>
      </c>
      <c r="C363" s="1" t="n">
        <v>46059</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54836-2024</t>
        </is>
      </c>
      <c r="B364" s="1" t="n">
        <v>45618</v>
      </c>
      <c r="C364" s="1" t="n">
        <v>46059</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13987-2023</t>
        </is>
      </c>
      <c r="B365" s="1" t="n">
        <v>45007</v>
      </c>
      <c r="C365" s="1" t="n">
        <v>46059</v>
      </c>
      <c r="D365" t="inlineStr">
        <is>
          <t>VÄSTMANLANDS LÄN</t>
        </is>
      </c>
      <c r="E365" t="inlineStr">
        <is>
          <t>SALA</t>
        </is>
      </c>
      <c r="G365" t="n">
        <v>3.2</v>
      </c>
      <c r="H365" t="n">
        <v>0</v>
      </c>
      <c r="I365" t="n">
        <v>0</v>
      </c>
      <c r="J365" t="n">
        <v>0</v>
      </c>
      <c r="K365" t="n">
        <v>0</v>
      </c>
      <c r="L365" t="n">
        <v>0</v>
      </c>
      <c r="M365" t="n">
        <v>0</v>
      </c>
      <c r="N365" t="n">
        <v>0</v>
      </c>
      <c r="O365" t="n">
        <v>0</v>
      </c>
      <c r="P365" t="n">
        <v>0</v>
      </c>
      <c r="Q365" t="n">
        <v>0</v>
      </c>
      <c r="R365" s="2" t="inlineStr"/>
    </row>
    <row r="366" ht="15" customHeight="1">
      <c r="A366" t="inlineStr">
        <is>
          <t>A 13990-2023</t>
        </is>
      </c>
      <c r="B366" s="1" t="n">
        <v>45007</v>
      </c>
      <c r="C366" s="1" t="n">
        <v>46059</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51464-2024</t>
        </is>
      </c>
      <c r="B367" s="1" t="n">
        <v>45604.49768518518</v>
      </c>
      <c r="C367" s="1" t="n">
        <v>46059</v>
      </c>
      <c r="D367" t="inlineStr">
        <is>
          <t>VÄSTMANLANDS LÄN</t>
        </is>
      </c>
      <c r="E367" t="inlineStr">
        <is>
          <t>SALA</t>
        </is>
      </c>
      <c r="G367" t="n">
        <v>3.9</v>
      </c>
      <c r="H367" t="n">
        <v>0</v>
      </c>
      <c r="I367" t="n">
        <v>0</v>
      </c>
      <c r="J367" t="n">
        <v>0</v>
      </c>
      <c r="K367" t="n">
        <v>0</v>
      </c>
      <c r="L367" t="n">
        <v>0</v>
      </c>
      <c r="M367" t="n">
        <v>0</v>
      </c>
      <c r="N367" t="n">
        <v>0</v>
      </c>
      <c r="O367" t="n">
        <v>0</v>
      </c>
      <c r="P367" t="n">
        <v>0</v>
      </c>
      <c r="Q367" t="n">
        <v>0</v>
      </c>
      <c r="R367" s="2" t="inlineStr"/>
    </row>
    <row r="368" ht="15" customHeight="1">
      <c r="A368" t="inlineStr">
        <is>
          <t>A 4712-2026</t>
        </is>
      </c>
      <c r="B368" s="1" t="n">
        <v>46048.46082175926</v>
      </c>
      <c r="C368" s="1" t="n">
        <v>46059</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1128-2025</t>
        </is>
      </c>
      <c r="B369" s="1" t="n">
        <v>45666.68469907407</v>
      </c>
      <c r="C369" s="1" t="n">
        <v>46059</v>
      </c>
      <c r="D369" t="inlineStr">
        <is>
          <t>VÄSTMANLANDS LÄN</t>
        </is>
      </c>
      <c r="E369" t="inlineStr">
        <is>
          <t>SALA</t>
        </is>
      </c>
      <c r="G369" t="n">
        <v>2.5</v>
      </c>
      <c r="H369" t="n">
        <v>0</v>
      </c>
      <c r="I369" t="n">
        <v>0</v>
      </c>
      <c r="J369" t="n">
        <v>0</v>
      </c>
      <c r="K369" t="n">
        <v>0</v>
      </c>
      <c r="L369" t="n">
        <v>0</v>
      </c>
      <c r="M369" t="n">
        <v>0</v>
      </c>
      <c r="N369" t="n">
        <v>0</v>
      </c>
      <c r="O369" t="n">
        <v>0</v>
      </c>
      <c r="P369" t="n">
        <v>0</v>
      </c>
      <c r="Q369" t="n">
        <v>0</v>
      </c>
      <c r="R369" s="2" t="inlineStr"/>
    </row>
    <row r="370" ht="15" customHeight="1">
      <c r="A370" t="inlineStr">
        <is>
          <t>A 43176-2023</t>
        </is>
      </c>
      <c r="B370" s="1" t="n">
        <v>45183</v>
      </c>
      <c r="C370" s="1" t="n">
        <v>46059</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73835-2021</t>
        </is>
      </c>
      <c r="B371" s="1" t="n">
        <v>44552.92112268518</v>
      </c>
      <c r="C371" s="1" t="n">
        <v>46059</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60379-2022</t>
        </is>
      </c>
      <c r="B372" s="1" t="n">
        <v>44910</v>
      </c>
      <c r="C372" s="1" t="n">
        <v>46059</v>
      </c>
      <c r="D372" t="inlineStr">
        <is>
          <t>VÄSTMANLANDS LÄN</t>
        </is>
      </c>
      <c r="E372" t="inlineStr">
        <is>
          <t>SALA</t>
        </is>
      </c>
      <c r="F372" t="inlineStr">
        <is>
          <t>Kyrkan</t>
        </is>
      </c>
      <c r="G372" t="n">
        <v>2.5</v>
      </c>
      <c r="H372" t="n">
        <v>0</v>
      </c>
      <c r="I372" t="n">
        <v>0</v>
      </c>
      <c r="J372" t="n">
        <v>0</v>
      </c>
      <c r="K372" t="n">
        <v>0</v>
      </c>
      <c r="L372" t="n">
        <v>0</v>
      </c>
      <c r="M372" t="n">
        <v>0</v>
      </c>
      <c r="N372" t="n">
        <v>0</v>
      </c>
      <c r="O372" t="n">
        <v>0</v>
      </c>
      <c r="P372" t="n">
        <v>0</v>
      </c>
      <c r="Q372" t="n">
        <v>0</v>
      </c>
      <c r="R372" s="2" t="inlineStr"/>
    </row>
    <row r="373" ht="15" customHeight="1">
      <c r="A373" t="inlineStr">
        <is>
          <t>A 4664-2026</t>
        </is>
      </c>
      <c r="B373" s="1" t="n">
        <v>46048.41061342593</v>
      </c>
      <c r="C373" s="1" t="n">
        <v>46059</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1638-2023</t>
        </is>
      </c>
      <c r="B374" s="1" t="n">
        <v>44937</v>
      </c>
      <c r="C374" s="1" t="n">
        <v>46059</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7953-2024</t>
        </is>
      </c>
      <c r="B375" s="1" t="n">
        <v>45350</v>
      </c>
      <c r="C375" s="1" t="n">
        <v>46059</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4624-2026</t>
        </is>
      </c>
      <c r="B376" s="1" t="n">
        <v>46048.38107638889</v>
      </c>
      <c r="C376" s="1" t="n">
        <v>46059</v>
      </c>
      <c r="D376" t="inlineStr">
        <is>
          <t>VÄSTMANLANDS LÄN</t>
        </is>
      </c>
      <c r="E376" t="inlineStr">
        <is>
          <t>SALA</t>
        </is>
      </c>
      <c r="G376" t="n">
        <v>12.3</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46059</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5477-2024</t>
        </is>
      </c>
      <c r="B378" s="1" t="n">
        <v>45333.67833333334</v>
      </c>
      <c r="C378" s="1" t="n">
        <v>46059</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49640-2025</t>
        </is>
      </c>
      <c r="B379" s="1" t="n">
        <v>45939.61459490741</v>
      </c>
      <c r="C379" s="1" t="n">
        <v>46059</v>
      </c>
      <c r="D379" t="inlineStr">
        <is>
          <t>VÄSTMANLANDS LÄN</t>
        </is>
      </c>
      <c r="E379" t="inlineStr">
        <is>
          <t>SALA</t>
        </is>
      </c>
      <c r="F379" t="inlineStr">
        <is>
          <t>Kommuner</t>
        </is>
      </c>
      <c r="G379" t="n">
        <v>18.8</v>
      </c>
      <c r="H379" t="n">
        <v>0</v>
      </c>
      <c r="I379" t="n">
        <v>0</v>
      </c>
      <c r="J379" t="n">
        <v>0</v>
      </c>
      <c r="K379" t="n">
        <v>0</v>
      </c>
      <c r="L379" t="n">
        <v>0</v>
      </c>
      <c r="M379" t="n">
        <v>0</v>
      </c>
      <c r="N379" t="n">
        <v>0</v>
      </c>
      <c r="O379" t="n">
        <v>0</v>
      </c>
      <c r="P379" t="n">
        <v>0</v>
      </c>
      <c r="Q379" t="n">
        <v>0</v>
      </c>
      <c r="R379" s="2" t="inlineStr"/>
    </row>
    <row r="380" ht="15" customHeight="1">
      <c r="A380" t="inlineStr">
        <is>
          <t>A 4681-2026</t>
        </is>
      </c>
      <c r="B380" s="1" t="n">
        <v>46048.43016203704</v>
      </c>
      <c r="C380" s="1" t="n">
        <v>46059</v>
      </c>
      <c r="D380" t="inlineStr">
        <is>
          <t>VÄSTMANLANDS LÄN</t>
        </is>
      </c>
      <c r="E380" t="inlineStr">
        <is>
          <t>SALA</t>
        </is>
      </c>
      <c r="G380" t="n">
        <v>2.5</v>
      </c>
      <c r="H380" t="n">
        <v>0</v>
      </c>
      <c r="I380" t="n">
        <v>0</v>
      </c>
      <c r="J380" t="n">
        <v>0</v>
      </c>
      <c r="K380" t="n">
        <v>0</v>
      </c>
      <c r="L380" t="n">
        <v>0</v>
      </c>
      <c r="M380" t="n">
        <v>0</v>
      </c>
      <c r="N380" t="n">
        <v>0</v>
      </c>
      <c r="O380" t="n">
        <v>0</v>
      </c>
      <c r="P380" t="n">
        <v>0</v>
      </c>
      <c r="Q380" t="n">
        <v>0</v>
      </c>
      <c r="R380" s="2" t="inlineStr"/>
    </row>
    <row r="381" ht="15" customHeight="1">
      <c r="A381" t="inlineStr">
        <is>
          <t>A 4683-2026</t>
        </is>
      </c>
      <c r="B381" s="1" t="n">
        <v>46048.43489583334</v>
      </c>
      <c r="C381" s="1" t="n">
        <v>46059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26507-2023</t>
        </is>
      </c>
      <c r="B382" s="1" t="n">
        <v>45092</v>
      </c>
      <c r="C382" s="1" t="n">
        <v>46059</v>
      </c>
      <c r="D382" t="inlineStr">
        <is>
          <t>VÄSTMANLANDS LÄN</t>
        </is>
      </c>
      <c r="E382" t="inlineStr">
        <is>
          <t>SALA</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6032-2025</t>
        </is>
      </c>
      <c r="B383" s="1" t="n">
        <v>45695.6371875</v>
      </c>
      <c r="C383" s="1" t="n">
        <v>46059</v>
      </c>
      <c r="D383" t="inlineStr">
        <is>
          <t>VÄSTMANLANDS LÄN</t>
        </is>
      </c>
      <c r="E383" t="inlineStr">
        <is>
          <t>SALA</t>
        </is>
      </c>
      <c r="F383" t="inlineStr">
        <is>
          <t>Bergvik skog öst AB</t>
        </is>
      </c>
      <c r="G383" t="n">
        <v>8.1</v>
      </c>
      <c r="H383" t="n">
        <v>0</v>
      </c>
      <c r="I383" t="n">
        <v>0</v>
      </c>
      <c r="J383" t="n">
        <v>0</v>
      </c>
      <c r="K383" t="n">
        <v>0</v>
      </c>
      <c r="L383" t="n">
        <v>0</v>
      </c>
      <c r="M383" t="n">
        <v>0</v>
      </c>
      <c r="N383" t="n">
        <v>0</v>
      </c>
      <c r="O383" t="n">
        <v>0</v>
      </c>
      <c r="P383" t="n">
        <v>0</v>
      </c>
      <c r="Q383" t="n">
        <v>0</v>
      </c>
      <c r="R383" s="2" t="inlineStr"/>
    </row>
    <row r="384" ht="15" customHeight="1">
      <c r="A384" t="inlineStr">
        <is>
          <t>A 49585-2025</t>
        </is>
      </c>
      <c r="B384" s="1" t="n">
        <v>45939.5043287037</v>
      </c>
      <c r="C384" s="1" t="n">
        <v>46059</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62523-2025</t>
        </is>
      </c>
      <c r="B385" s="1" t="n">
        <v>46007.61512731481</v>
      </c>
      <c r="C385" s="1" t="n">
        <v>46059</v>
      </c>
      <c r="D385" t="inlineStr">
        <is>
          <t>VÄSTMANLANDS LÄN</t>
        </is>
      </c>
      <c r="E385" t="inlineStr">
        <is>
          <t>SALA</t>
        </is>
      </c>
      <c r="G385" t="n">
        <v>1.5</v>
      </c>
      <c r="H385" t="n">
        <v>0</v>
      </c>
      <c r="I385" t="n">
        <v>0</v>
      </c>
      <c r="J385" t="n">
        <v>0</v>
      </c>
      <c r="K385" t="n">
        <v>0</v>
      </c>
      <c r="L385" t="n">
        <v>0</v>
      </c>
      <c r="M385" t="n">
        <v>0</v>
      </c>
      <c r="N385" t="n">
        <v>0</v>
      </c>
      <c r="O385" t="n">
        <v>0</v>
      </c>
      <c r="P385" t="n">
        <v>0</v>
      </c>
      <c r="Q385" t="n">
        <v>0</v>
      </c>
      <c r="R385" s="2" t="inlineStr"/>
    </row>
    <row r="386" ht="15" customHeight="1">
      <c r="A386" t="inlineStr">
        <is>
          <t>A 34814-2021</t>
        </is>
      </c>
      <c r="B386" s="1" t="n">
        <v>44383</v>
      </c>
      <c r="C386" s="1" t="n">
        <v>46059</v>
      </c>
      <c r="D386" t="inlineStr">
        <is>
          <t>VÄSTMANLANDS LÄN</t>
        </is>
      </c>
      <c r="E386" t="inlineStr">
        <is>
          <t>SALA</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50128-2025</t>
        </is>
      </c>
      <c r="B387" s="1" t="n">
        <v>45943.55318287037</v>
      </c>
      <c r="C387" s="1" t="n">
        <v>46059</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5219-2026</t>
        </is>
      </c>
      <c r="B388" s="1" t="n">
        <v>46049.76225694444</v>
      </c>
      <c r="C388" s="1" t="n">
        <v>46059</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54118-2023</t>
        </is>
      </c>
      <c r="B389" s="1" t="n">
        <v>45232</v>
      </c>
      <c r="C389" s="1" t="n">
        <v>46059</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50249-2025</t>
        </is>
      </c>
      <c r="B390" s="1" t="n">
        <v>45944.31508101852</v>
      </c>
      <c r="C390" s="1" t="n">
        <v>46059</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35462-2024</t>
        </is>
      </c>
      <c r="B391" s="1" t="n">
        <v>45531</v>
      </c>
      <c r="C391" s="1" t="n">
        <v>46059</v>
      </c>
      <c r="D391" t="inlineStr">
        <is>
          <t>VÄSTMANLANDS LÄN</t>
        </is>
      </c>
      <c r="E391" t="inlineStr">
        <is>
          <t>SALA</t>
        </is>
      </c>
      <c r="G391" t="n">
        <v>0.6</v>
      </c>
      <c r="H391" t="n">
        <v>0</v>
      </c>
      <c r="I391" t="n">
        <v>0</v>
      </c>
      <c r="J391" t="n">
        <v>0</v>
      </c>
      <c r="K391" t="n">
        <v>0</v>
      </c>
      <c r="L391" t="n">
        <v>0</v>
      </c>
      <c r="M391" t="n">
        <v>0</v>
      </c>
      <c r="N391" t="n">
        <v>0</v>
      </c>
      <c r="O391" t="n">
        <v>0</v>
      </c>
      <c r="P391" t="n">
        <v>0</v>
      </c>
      <c r="Q391" t="n">
        <v>0</v>
      </c>
      <c r="R391" s="2" t="inlineStr"/>
    </row>
    <row r="392" ht="15" customHeight="1">
      <c r="A392" t="inlineStr">
        <is>
          <t>A 5418-2026</t>
        </is>
      </c>
      <c r="B392" s="1" t="n">
        <v>46050.53740740741</v>
      </c>
      <c r="C392" s="1" t="n">
        <v>46059</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50119-2025</t>
        </is>
      </c>
      <c r="B393" s="1" t="n">
        <v>45943.54883101852</v>
      </c>
      <c r="C393" s="1" t="n">
        <v>46059</v>
      </c>
      <c r="D393" t="inlineStr">
        <is>
          <t>VÄSTMANLANDS LÄN</t>
        </is>
      </c>
      <c r="E393" t="inlineStr">
        <is>
          <t>SALA</t>
        </is>
      </c>
      <c r="G393" t="n">
        <v>3.3</v>
      </c>
      <c r="H393" t="n">
        <v>0</v>
      </c>
      <c r="I393" t="n">
        <v>0</v>
      </c>
      <c r="J393" t="n">
        <v>0</v>
      </c>
      <c r="K393" t="n">
        <v>0</v>
      </c>
      <c r="L393" t="n">
        <v>0</v>
      </c>
      <c r="M393" t="n">
        <v>0</v>
      </c>
      <c r="N393" t="n">
        <v>0</v>
      </c>
      <c r="O393" t="n">
        <v>0</v>
      </c>
      <c r="P393" t="n">
        <v>0</v>
      </c>
      <c r="Q393" t="n">
        <v>0</v>
      </c>
      <c r="R393" s="2" t="inlineStr"/>
    </row>
    <row r="394" ht="15" customHeight="1">
      <c r="A394" t="inlineStr">
        <is>
          <t>A 50059-2025</t>
        </is>
      </c>
      <c r="B394" s="1" t="n">
        <v>45943.44125</v>
      </c>
      <c r="C394" s="1" t="n">
        <v>46059</v>
      </c>
      <c r="D394" t="inlineStr">
        <is>
          <t>VÄSTMANLANDS LÄN</t>
        </is>
      </c>
      <c r="E394" t="inlineStr">
        <is>
          <t>SALA</t>
        </is>
      </c>
      <c r="G394" t="n">
        <v>4.4</v>
      </c>
      <c r="H394" t="n">
        <v>0</v>
      </c>
      <c r="I394" t="n">
        <v>0</v>
      </c>
      <c r="J394" t="n">
        <v>0</v>
      </c>
      <c r="K394" t="n">
        <v>0</v>
      </c>
      <c r="L394" t="n">
        <v>0</v>
      </c>
      <c r="M394" t="n">
        <v>0</v>
      </c>
      <c r="N394" t="n">
        <v>0</v>
      </c>
      <c r="O394" t="n">
        <v>0</v>
      </c>
      <c r="P394" t="n">
        <v>0</v>
      </c>
      <c r="Q394" t="n">
        <v>0</v>
      </c>
      <c r="R394" s="2" t="inlineStr"/>
    </row>
    <row r="395" ht="15" customHeight="1">
      <c r="A395" t="inlineStr">
        <is>
          <t>A 5525-2026</t>
        </is>
      </c>
      <c r="B395" s="1" t="n">
        <v>46050.65055555556</v>
      </c>
      <c r="C395" s="1" t="n">
        <v>46059</v>
      </c>
      <c r="D395" t="inlineStr">
        <is>
          <t>VÄSTMANLANDS LÄN</t>
        </is>
      </c>
      <c r="E395" t="inlineStr">
        <is>
          <t>SALA</t>
        </is>
      </c>
      <c r="G395" t="n">
        <v>13.1</v>
      </c>
      <c r="H395" t="n">
        <v>0</v>
      </c>
      <c r="I395" t="n">
        <v>0</v>
      </c>
      <c r="J395" t="n">
        <v>0</v>
      </c>
      <c r="K395" t="n">
        <v>0</v>
      </c>
      <c r="L395" t="n">
        <v>0</v>
      </c>
      <c r="M395" t="n">
        <v>0</v>
      </c>
      <c r="N395" t="n">
        <v>0</v>
      </c>
      <c r="O395" t="n">
        <v>0</v>
      </c>
      <c r="P395" t="n">
        <v>0</v>
      </c>
      <c r="Q395" t="n">
        <v>0</v>
      </c>
      <c r="R395" s="2" t="inlineStr"/>
    </row>
    <row r="396" ht="15" customHeight="1">
      <c r="A396" t="inlineStr">
        <is>
          <t>A 36393-2023</t>
        </is>
      </c>
      <c r="B396" s="1" t="n">
        <v>45152</v>
      </c>
      <c r="C396" s="1" t="n">
        <v>46059</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45790-2023</t>
        </is>
      </c>
      <c r="B397" s="1" t="n">
        <v>45195.45958333334</v>
      </c>
      <c r="C397" s="1" t="n">
        <v>46059</v>
      </c>
      <c r="D397" t="inlineStr">
        <is>
          <t>VÄSTMANLANDS LÄN</t>
        </is>
      </c>
      <c r="E397" t="inlineStr">
        <is>
          <t>SALA</t>
        </is>
      </c>
      <c r="G397" t="n">
        <v>5.7</v>
      </c>
      <c r="H397" t="n">
        <v>0</v>
      </c>
      <c r="I397" t="n">
        <v>0</v>
      </c>
      <c r="J397" t="n">
        <v>0</v>
      </c>
      <c r="K397" t="n">
        <v>0</v>
      </c>
      <c r="L397" t="n">
        <v>0</v>
      </c>
      <c r="M397" t="n">
        <v>0</v>
      </c>
      <c r="N397" t="n">
        <v>0</v>
      </c>
      <c r="O397" t="n">
        <v>0</v>
      </c>
      <c r="P397" t="n">
        <v>0</v>
      </c>
      <c r="Q397" t="n">
        <v>0</v>
      </c>
      <c r="R397" s="2" t="inlineStr"/>
    </row>
    <row r="398" ht="15" customHeight="1">
      <c r="A398" t="inlineStr">
        <is>
          <t>A 56949-2023</t>
        </is>
      </c>
      <c r="B398" s="1" t="n">
        <v>45244.61589120371</v>
      </c>
      <c r="C398" s="1" t="n">
        <v>46059</v>
      </c>
      <c r="D398" t="inlineStr">
        <is>
          <t>VÄSTMANLANDS LÄN</t>
        </is>
      </c>
      <c r="E398" t="inlineStr">
        <is>
          <t>SALA</t>
        </is>
      </c>
      <c r="G398" t="n">
        <v>4.7</v>
      </c>
      <c r="H398" t="n">
        <v>0</v>
      </c>
      <c r="I398" t="n">
        <v>0</v>
      </c>
      <c r="J398" t="n">
        <v>0</v>
      </c>
      <c r="K398" t="n">
        <v>0</v>
      </c>
      <c r="L398" t="n">
        <v>0</v>
      </c>
      <c r="M398" t="n">
        <v>0</v>
      </c>
      <c r="N398" t="n">
        <v>0</v>
      </c>
      <c r="O398" t="n">
        <v>0</v>
      </c>
      <c r="P398" t="n">
        <v>0</v>
      </c>
      <c r="Q398" t="n">
        <v>0</v>
      </c>
      <c r="R398" s="2" t="inlineStr"/>
    </row>
    <row r="399" ht="15" customHeight="1">
      <c r="A399" t="inlineStr">
        <is>
          <t>A 63055-2025</t>
        </is>
      </c>
      <c r="B399" s="1" t="n">
        <v>46009.63619212963</v>
      </c>
      <c r="C399" s="1" t="n">
        <v>46059</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40214-2023</t>
        </is>
      </c>
      <c r="B400" s="1" t="n">
        <v>45169.45173611111</v>
      </c>
      <c r="C400" s="1" t="n">
        <v>46059</v>
      </c>
      <c r="D400" t="inlineStr">
        <is>
          <t>VÄSTMANLANDS LÄN</t>
        </is>
      </c>
      <c r="E400" t="inlineStr">
        <is>
          <t>SALA</t>
        </is>
      </c>
      <c r="G400" t="n">
        <v>5.5</v>
      </c>
      <c r="H400" t="n">
        <v>0</v>
      </c>
      <c r="I400" t="n">
        <v>0</v>
      </c>
      <c r="J400" t="n">
        <v>0</v>
      </c>
      <c r="K400" t="n">
        <v>0</v>
      </c>
      <c r="L400" t="n">
        <v>0</v>
      </c>
      <c r="M400" t="n">
        <v>0</v>
      </c>
      <c r="N400" t="n">
        <v>0</v>
      </c>
      <c r="O400" t="n">
        <v>0</v>
      </c>
      <c r="P400" t="n">
        <v>0</v>
      </c>
      <c r="Q400" t="n">
        <v>0</v>
      </c>
      <c r="R400" s="2" t="inlineStr"/>
    </row>
    <row r="401" ht="15" customHeight="1">
      <c r="A401" t="inlineStr">
        <is>
          <t>A 45187-2024</t>
        </is>
      </c>
      <c r="B401" s="1" t="n">
        <v>45575</v>
      </c>
      <c r="C401" s="1" t="n">
        <v>46059</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15968-2024</t>
        </is>
      </c>
      <c r="B402" s="1" t="n">
        <v>45405.56021990741</v>
      </c>
      <c r="C402" s="1" t="n">
        <v>46059</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35016-2024</t>
        </is>
      </c>
      <c r="B403" s="1" t="n">
        <v>45527.59115740741</v>
      </c>
      <c r="C403" s="1" t="n">
        <v>46059</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37612-2024</t>
        </is>
      </c>
      <c r="B404" s="1" t="n">
        <v>45541</v>
      </c>
      <c r="C404" s="1" t="n">
        <v>46059</v>
      </c>
      <c r="D404" t="inlineStr">
        <is>
          <t>VÄSTMANLANDS LÄN</t>
        </is>
      </c>
      <c r="E404" t="inlineStr">
        <is>
          <t>SALA</t>
        </is>
      </c>
      <c r="G404" t="n">
        <v>2.2</v>
      </c>
      <c r="H404" t="n">
        <v>0</v>
      </c>
      <c r="I404" t="n">
        <v>0</v>
      </c>
      <c r="J404" t="n">
        <v>0</v>
      </c>
      <c r="K404" t="n">
        <v>0</v>
      </c>
      <c r="L404" t="n">
        <v>0</v>
      </c>
      <c r="M404" t="n">
        <v>0</v>
      </c>
      <c r="N404" t="n">
        <v>0</v>
      </c>
      <c r="O404" t="n">
        <v>0</v>
      </c>
      <c r="P404" t="n">
        <v>0</v>
      </c>
      <c r="Q404" t="n">
        <v>0</v>
      </c>
      <c r="R404" s="2" t="inlineStr"/>
    </row>
    <row r="405" ht="15" customHeight="1">
      <c r="A405" t="inlineStr">
        <is>
          <t>A 37615-2024</t>
        </is>
      </c>
      <c r="B405" s="1" t="n">
        <v>45541.50673611111</v>
      </c>
      <c r="C405" s="1" t="n">
        <v>46059</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63353-2025</t>
        </is>
      </c>
      <c r="B406" s="1" t="n">
        <v>46010.66670138889</v>
      </c>
      <c r="C406" s="1" t="n">
        <v>46059</v>
      </c>
      <c r="D406" t="inlineStr">
        <is>
          <t>VÄSTMANLANDS LÄN</t>
        </is>
      </c>
      <c r="E406" t="inlineStr">
        <is>
          <t>SALA</t>
        </is>
      </c>
      <c r="G406" t="n">
        <v>1.9</v>
      </c>
      <c r="H406" t="n">
        <v>0</v>
      </c>
      <c r="I406" t="n">
        <v>0</v>
      </c>
      <c r="J406" t="n">
        <v>0</v>
      </c>
      <c r="K406" t="n">
        <v>0</v>
      </c>
      <c r="L406" t="n">
        <v>0</v>
      </c>
      <c r="M406" t="n">
        <v>0</v>
      </c>
      <c r="N406" t="n">
        <v>0</v>
      </c>
      <c r="O406" t="n">
        <v>0</v>
      </c>
      <c r="P406" t="n">
        <v>0</v>
      </c>
      <c r="Q406" t="n">
        <v>0</v>
      </c>
      <c r="R406" s="2" t="inlineStr"/>
    </row>
    <row r="407" ht="15" customHeight="1">
      <c r="A407" t="inlineStr">
        <is>
          <t>A 5728-2022</t>
        </is>
      </c>
      <c r="B407" s="1" t="n">
        <v>44596.42082175926</v>
      </c>
      <c r="C407" s="1" t="n">
        <v>46059</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51626-2025</t>
        </is>
      </c>
      <c r="B408" s="1" t="n">
        <v>45951.41769675926</v>
      </c>
      <c r="C408" s="1" t="n">
        <v>46059</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51690-2025</t>
        </is>
      </c>
      <c r="B409" s="1" t="n">
        <v>45951.53462962963</v>
      </c>
      <c r="C409" s="1" t="n">
        <v>46059</v>
      </c>
      <c r="D409" t="inlineStr">
        <is>
          <t>VÄSTMANLANDS LÄN</t>
        </is>
      </c>
      <c r="E409" t="inlineStr">
        <is>
          <t>SALA</t>
        </is>
      </c>
      <c r="G409" t="n">
        <v>0.8</v>
      </c>
      <c r="H409" t="n">
        <v>0</v>
      </c>
      <c r="I409" t="n">
        <v>0</v>
      </c>
      <c r="J409" t="n">
        <v>0</v>
      </c>
      <c r="K409" t="n">
        <v>0</v>
      </c>
      <c r="L409" t="n">
        <v>0</v>
      </c>
      <c r="M409" t="n">
        <v>0</v>
      </c>
      <c r="N409" t="n">
        <v>0</v>
      </c>
      <c r="O409" t="n">
        <v>0</v>
      </c>
      <c r="P409" t="n">
        <v>0</v>
      </c>
      <c r="Q409" t="n">
        <v>0</v>
      </c>
      <c r="R409" s="2" t="inlineStr"/>
    </row>
    <row r="410" ht="15" customHeight="1">
      <c r="A410" t="inlineStr">
        <is>
          <t>A 7681-2021</t>
        </is>
      </c>
      <c r="B410" s="1" t="n">
        <v>44242</v>
      </c>
      <c r="C410" s="1" t="n">
        <v>46059</v>
      </c>
      <c r="D410" t="inlineStr">
        <is>
          <t>VÄSTMANLANDS LÄN</t>
        </is>
      </c>
      <c r="E410" t="inlineStr">
        <is>
          <t>SALA</t>
        </is>
      </c>
      <c r="F410" t="inlineStr">
        <is>
          <t>Sveaskog</t>
        </is>
      </c>
      <c r="G410" t="n">
        <v>16.1</v>
      </c>
      <c r="H410" t="n">
        <v>0</v>
      </c>
      <c r="I410" t="n">
        <v>0</v>
      </c>
      <c r="J410" t="n">
        <v>0</v>
      </c>
      <c r="K410" t="n">
        <v>0</v>
      </c>
      <c r="L410" t="n">
        <v>0</v>
      </c>
      <c r="M410" t="n">
        <v>0</v>
      </c>
      <c r="N410" t="n">
        <v>0</v>
      </c>
      <c r="O410" t="n">
        <v>0</v>
      </c>
      <c r="P410" t="n">
        <v>0</v>
      </c>
      <c r="Q410" t="n">
        <v>0</v>
      </c>
      <c r="R410" s="2" t="inlineStr"/>
    </row>
    <row r="411" ht="15" customHeight="1">
      <c r="A411" t="inlineStr">
        <is>
          <t>A 5894-2026</t>
        </is>
      </c>
      <c r="B411" s="1" t="n">
        <v>46052.42412037037</v>
      </c>
      <c r="C411" s="1" t="n">
        <v>46059</v>
      </c>
      <c r="D411" t="inlineStr">
        <is>
          <t>VÄSTMANLANDS LÄN</t>
        </is>
      </c>
      <c r="E411" t="inlineStr">
        <is>
          <t>SALA</t>
        </is>
      </c>
      <c r="G411" t="n">
        <v>0.9</v>
      </c>
      <c r="H411" t="n">
        <v>0</v>
      </c>
      <c r="I411" t="n">
        <v>0</v>
      </c>
      <c r="J411" t="n">
        <v>0</v>
      </c>
      <c r="K411" t="n">
        <v>0</v>
      </c>
      <c r="L411" t="n">
        <v>0</v>
      </c>
      <c r="M411" t="n">
        <v>0</v>
      </c>
      <c r="N411" t="n">
        <v>0</v>
      </c>
      <c r="O411" t="n">
        <v>0</v>
      </c>
      <c r="P411" t="n">
        <v>0</v>
      </c>
      <c r="Q411" t="n">
        <v>0</v>
      </c>
      <c r="R411" s="2" t="inlineStr"/>
    </row>
    <row r="412" ht="15" customHeight="1">
      <c r="A412" t="inlineStr">
        <is>
          <t>A 51809-2025</t>
        </is>
      </c>
      <c r="B412" s="1" t="n">
        <v>45951.80116898148</v>
      </c>
      <c r="C412" s="1" t="n">
        <v>46059</v>
      </c>
      <c r="D412" t="inlineStr">
        <is>
          <t>VÄSTMANLANDS LÄN</t>
        </is>
      </c>
      <c r="E412" t="inlineStr">
        <is>
          <t>SALA</t>
        </is>
      </c>
      <c r="F412" t="inlineStr">
        <is>
          <t>Kommuner</t>
        </is>
      </c>
      <c r="G412" t="n">
        <v>3.5</v>
      </c>
      <c r="H412" t="n">
        <v>0</v>
      </c>
      <c r="I412" t="n">
        <v>0</v>
      </c>
      <c r="J412" t="n">
        <v>0</v>
      </c>
      <c r="K412" t="n">
        <v>0</v>
      </c>
      <c r="L412" t="n">
        <v>0</v>
      </c>
      <c r="M412" t="n">
        <v>0</v>
      </c>
      <c r="N412" t="n">
        <v>0</v>
      </c>
      <c r="O412" t="n">
        <v>0</v>
      </c>
      <c r="P412" t="n">
        <v>0</v>
      </c>
      <c r="Q412" t="n">
        <v>0</v>
      </c>
      <c r="R412" s="2" t="inlineStr"/>
    </row>
    <row r="413" ht="15" customHeight="1">
      <c r="A413" t="inlineStr">
        <is>
          <t>A 63051-2025</t>
        </is>
      </c>
      <c r="B413" s="1" t="n">
        <v>46009.63134259259</v>
      </c>
      <c r="C413" s="1" t="n">
        <v>46059</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63046-2025</t>
        </is>
      </c>
      <c r="B414" s="1" t="n">
        <v>46009.62373842593</v>
      </c>
      <c r="C414" s="1" t="n">
        <v>46059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51803-2025</t>
        </is>
      </c>
      <c r="B415" s="1" t="n">
        <v>45951.76818287037</v>
      </c>
      <c r="C415" s="1" t="n">
        <v>46059</v>
      </c>
      <c r="D415" t="inlineStr">
        <is>
          <t>VÄSTMANLANDS LÄN</t>
        </is>
      </c>
      <c r="E415" t="inlineStr">
        <is>
          <t>SALA</t>
        </is>
      </c>
      <c r="F415" t="inlineStr">
        <is>
          <t>Kommuner</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51805-2025</t>
        </is>
      </c>
      <c r="B416" s="1" t="n">
        <v>45951.78359953704</v>
      </c>
      <c r="C416" s="1" t="n">
        <v>46059</v>
      </c>
      <c r="D416" t="inlineStr">
        <is>
          <t>VÄSTMANLANDS LÄN</t>
        </is>
      </c>
      <c r="E416" t="inlineStr">
        <is>
          <t>SALA</t>
        </is>
      </c>
      <c r="F416" t="inlineStr">
        <is>
          <t>Kommuner</t>
        </is>
      </c>
      <c r="G416" t="n">
        <v>1.3</v>
      </c>
      <c r="H416" t="n">
        <v>0</v>
      </c>
      <c r="I416" t="n">
        <v>0</v>
      </c>
      <c r="J416" t="n">
        <v>0</v>
      </c>
      <c r="K416" t="n">
        <v>0</v>
      </c>
      <c r="L416" t="n">
        <v>0</v>
      </c>
      <c r="M416" t="n">
        <v>0</v>
      </c>
      <c r="N416" t="n">
        <v>0</v>
      </c>
      <c r="O416" t="n">
        <v>0</v>
      </c>
      <c r="P416" t="n">
        <v>0</v>
      </c>
      <c r="Q416" t="n">
        <v>0</v>
      </c>
      <c r="R416" s="2" t="inlineStr"/>
    </row>
    <row r="417" ht="15" customHeight="1">
      <c r="A417" t="inlineStr">
        <is>
          <t>A 19751-2022</t>
        </is>
      </c>
      <c r="B417" s="1" t="n">
        <v>44694</v>
      </c>
      <c r="C417" s="1" t="n">
        <v>46059</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51804-2025</t>
        </is>
      </c>
      <c r="B418" s="1" t="n">
        <v>45951.77697916667</v>
      </c>
      <c r="C418" s="1" t="n">
        <v>46059</v>
      </c>
      <c r="D418" t="inlineStr">
        <is>
          <t>VÄSTMANLANDS LÄN</t>
        </is>
      </c>
      <c r="E418" t="inlineStr">
        <is>
          <t>SALA</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51808-2025</t>
        </is>
      </c>
      <c r="B419" s="1" t="n">
        <v>45951.79302083333</v>
      </c>
      <c r="C419" s="1" t="n">
        <v>46059</v>
      </c>
      <c r="D419" t="inlineStr">
        <is>
          <t>VÄSTMANLANDS LÄN</t>
        </is>
      </c>
      <c r="E419" t="inlineStr">
        <is>
          <t>SALA</t>
        </is>
      </c>
      <c r="F419" t="inlineStr">
        <is>
          <t>Kommuner</t>
        </is>
      </c>
      <c r="G419" t="n">
        <v>3</v>
      </c>
      <c r="H419" t="n">
        <v>0</v>
      </c>
      <c r="I419" t="n">
        <v>0</v>
      </c>
      <c r="J419" t="n">
        <v>0</v>
      </c>
      <c r="K419" t="n">
        <v>0</v>
      </c>
      <c r="L419" t="n">
        <v>0</v>
      </c>
      <c r="M419" t="n">
        <v>0</v>
      </c>
      <c r="N419" t="n">
        <v>0</v>
      </c>
      <c r="O419" t="n">
        <v>0</v>
      </c>
      <c r="P419" t="n">
        <v>0</v>
      </c>
      <c r="Q419" t="n">
        <v>0</v>
      </c>
      <c r="R419" s="2" t="inlineStr"/>
    </row>
    <row r="420" ht="15" customHeight="1">
      <c r="A420" t="inlineStr">
        <is>
          <t>A 63269-2025</t>
        </is>
      </c>
      <c r="B420" s="1" t="n">
        <v>46010</v>
      </c>
      <c r="C420" s="1" t="n">
        <v>46059</v>
      </c>
      <c r="D420" t="inlineStr">
        <is>
          <t>VÄSTMANLANDS LÄN</t>
        </is>
      </c>
      <c r="E420" t="inlineStr">
        <is>
          <t>SALA</t>
        </is>
      </c>
      <c r="G420" t="n">
        <v>6.4</v>
      </c>
      <c r="H420" t="n">
        <v>0</v>
      </c>
      <c r="I420" t="n">
        <v>0</v>
      </c>
      <c r="J420" t="n">
        <v>0</v>
      </c>
      <c r="K420" t="n">
        <v>0</v>
      </c>
      <c r="L420" t="n">
        <v>0</v>
      </c>
      <c r="M420" t="n">
        <v>0</v>
      </c>
      <c r="N420" t="n">
        <v>0</v>
      </c>
      <c r="O420" t="n">
        <v>0</v>
      </c>
      <c r="P420" t="n">
        <v>0</v>
      </c>
      <c r="Q420" t="n">
        <v>0</v>
      </c>
      <c r="R420" s="2" t="inlineStr"/>
    </row>
    <row r="421" ht="15" customHeight="1">
      <c r="A421" t="inlineStr">
        <is>
          <t>A 51764-2025</t>
        </is>
      </c>
      <c r="B421" s="1" t="n">
        <v>45951.63636574074</v>
      </c>
      <c r="C421" s="1" t="n">
        <v>46059</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6312-2025</t>
        </is>
      </c>
      <c r="B422" s="1" t="n">
        <v>45698</v>
      </c>
      <c r="C422" s="1" t="n">
        <v>46059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55035-2023</t>
        </is>
      </c>
      <c r="B423" s="1" t="n">
        <v>45229</v>
      </c>
      <c r="C423" s="1" t="n">
        <v>46059</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3733-2023</t>
        </is>
      </c>
      <c r="B424" s="1" t="n">
        <v>44951.42501157407</v>
      </c>
      <c r="C424" s="1" t="n">
        <v>46059</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53744-2025</t>
        </is>
      </c>
      <c r="B425" s="1" t="n">
        <v>45960.64863425926</v>
      </c>
      <c r="C425" s="1" t="n">
        <v>46059</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53725-2025</t>
        </is>
      </c>
      <c r="B426" s="1" t="n">
        <v>45960.63394675926</v>
      </c>
      <c r="C426" s="1" t="n">
        <v>46059</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17722-2025</t>
        </is>
      </c>
      <c r="B427" s="1" t="n">
        <v>45758</v>
      </c>
      <c r="C427" s="1" t="n">
        <v>46059</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52500-2024</t>
        </is>
      </c>
      <c r="B428" s="1" t="n">
        <v>45609</v>
      </c>
      <c r="C428" s="1" t="n">
        <v>46059</v>
      </c>
      <c r="D428" t="inlineStr">
        <is>
          <t>VÄSTMANLANDS LÄN</t>
        </is>
      </c>
      <c r="E428" t="inlineStr">
        <is>
          <t>SALA</t>
        </is>
      </c>
      <c r="G428" t="n">
        <v>1.3</v>
      </c>
      <c r="H428" t="n">
        <v>0</v>
      </c>
      <c r="I428" t="n">
        <v>0</v>
      </c>
      <c r="J428" t="n">
        <v>0</v>
      </c>
      <c r="K428" t="n">
        <v>0</v>
      </c>
      <c r="L428" t="n">
        <v>0</v>
      </c>
      <c r="M428" t="n">
        <v>0</v>
      </c>
      <c r="N428" t="n">
        <v>0</v>
      </c>
      <c r="O428" t="n">
        <v>0</v>
      </c>
      <c r="P428" t="n">
        <v>0</v>
      </c>
      <c r="Q428" t="n">
        <v>0</v>
      </c>
      <c r="R428" s="2" t="inlineStr"/>
    </row>
    <row r="429" ht="15" customHeight="1">
      <c r="A429" t="inlineStr">
        <is>
          <t>A 6021-2026</t>
        </is>
      </c>
      <c r="B429" s="1" t="n">
        <v>46050</v>
      </c>
      <c r="C429" s="1" t="n">
        <v>46059</v>
      </c>
      <c r="D429" t="inlineStr">
        <is>
          <t>VÄSTMANLANDS LÄN</t>
        </is>
      </c>
      <c r="E429" t="inlineStr">
        <is>
          <t>SALA</t>
        </is>
      </c>
      <c r="G429" t="n">
        <v>1.9</v>
      </c>
      <c r="H429" t="n">
        <v>0</v>
      </c>
      <c r="I429" t="n">
        <v>0</v>
      </c>
      <c r="J429" t="n">
        <v>0</v>
      </c>
      <c r="K429" t="n">
        <v>0</v>
      </c>
      <c r="L429" t="n">
        <v>0</v>
      </c>
      <c r="M429" t="n">
        <v>0</v>
      </c>
      <c r="N429" t="n">
        <v>0</v>
      </c>
      <c r="O429" t="n">
        <v>0</v>
      </c>
      <c r="P429" t="n">
        <v>0</v>
      </c>
      <c r="Q429" t="n">
        <v>0</v>
      </c>
      <c r="R429" s="2" t="inlineStr"/>
    </row>
    <row r="430" ht="15" customHeight="1">
      <c r="A430" t="inlineStr">
        <is>
          <t>A 53724-2025</t>
        </is>
      </c>
      <c r="B430" s="1" t="n">
        <v>45960.63174768518</v>
      </c>
      <c r="C430" s="1" t="n">
        <v>46059</v>
      </c>
      <c r="D430" t="inlineStr">
        <is>
          <t>VÄSTMANLANDS LÄN</t>
        </is>
      </c>
      <c r="E430" t="inlineStr">
        <is>
          <t>SALA</t>
        </is>
      </c>
      <c r="G430" t="n">
        <v>2.8</v>
      </c>
      <c r="H430" t="n">
        <v>0</v>
      </c>
      <c r="I430" t="n">
        <v>0</v>
      </c>
      <c r="J430" t="n">
        <v>0</v>
      </c>
      <c r="K430" t="n">
        <v>0</v>
      </c>
      <c r="L430" t="n">
        <v>0</v>
      </c>
      <c r="M430" t="n">
        <v>0</v>
      </c>
      <c r="N430" t="n">
        <v>0</v>
      </c>
      <c r="O430" t="n">
        <v>0</v>
      </c>
      <c r="P430" t="n">
        <v>0</v>
      </c>
      <c r="Q430" t="n">
        <v>0</v>
      </c>
      <c r="R430" s="2" t="inlineStr"/>
    </row>
    <row r="431" ht="15" customHeight="1">
      <c r="A431" t="inlineStr">
        <is>
          <t>A 7950-2025</t>
        </is>
      </c>
      <c r="B431" s="1" t="n">
        <v>45707.41799768519</v>
      </c>
      <c r="C431" s="1" t="n">
        <v>46059</v>
      </c>
      <c r="D431" t="inlineStr">
        <is>
          <t>VÄSTMANLANDS LÄN</t>
        </is>
      </c>
      <c r="E431" t="inlineStr">
        <is>
          <t>SALA</t>
        </is>
      </c>
      <c r="G431" t="n">
        <v>3.2</v>
      </c>
      <c r="H431" t="n">
        <v>0</v>
      </c>
      <c r="I431" t="n">
        <v>0</v>
      </c>
      <c r="J431" t="n">
        <v>0</v>
      </c>
      <c r="K431" t="n">
        <v>0</v>
      </c>
      <c r="L431" t="n">
        <v>0</v>
      </c>
      <c r="M431" t="n">
        <v>0</v>
      </c>
      <c r="N431" t="n">
        <v>0</v>
      </c>
      <c r="O431" t="n">
        <v>0</v>
      </c>
      <c r="P431" t="n">
        <v>0</v>
      </c>
      <c r="Q431" t="n">
        <v>0</v>
      </c>
      <c r="R431" s="2" t="inlineStr"/>
    </row>
    <row r="432" ht="15" customHeight="1">
      <c r="A432" t="inlineStr">
        <is>
          <t>A 7327-2026</t>
        </is>
      </c>
      <c r="B432" s="1" t="n">
        <v>46058.68371527778</v>
      </c>
      <c r="C432" s="1" t="n">
        <v>46059</v>
      </c>
      <c r="D432" t="inlineStr">
        <is>
          <t>VÄSTMANLANDS LÄN</t>
        </is>
      </c>
      <c r="E432" t="inlineStr">
        <is>
          <t>SALA</t>
        </is>
      </c>
      <c r="G432" t="n">
        <v>5.8</v>
      </c>
      <c r="H432" t="n">
        <v>0</v>
      </c>
      <c r="I432" t="n">
        <v>0</v>
      </c>
      <c r="J432" t="n">
        <v>0</v>
      </c>
      <c r="K432" t="n">
        <v>0</v>
      </c>
      <c r="L432" t="n">
        <v>0</v>
      </c>
      <c r="M432" t="n">
        <v>0</v>
      </c>
      <c r="N432" t="n">
        <v>0</v>
      </c>
      <c r="O432" t="n">
        <v>0</v>
      </c>
      <c r="P432" t="n">
        <v>0</v>
      </c>
      <c r="Q432" t="n">
        <v>0</v>
      </c>
      <c r="R432" s="2" t="inlineStr"/>
    </row>
    <row r="433" ht="15" customHeight="1">
      <c r="A433" t="inlineStr">
        <is>
          <t>A 10812-2021</t>
        </is>
      </c>
      <c r="B433" s="1" t="n">
        <v>44259</v>
      </c>
      <c r="C433" s="1" t="n">
        <v>46059</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38636-2024</t>
        </is>
      </c>
      <c r="B434" s="1" t="n">
        <v>45546</v>
      </c>
      <c r="C434" s="1" t="n">
        <v>46059</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10154-2021</t>
        </is>
      </c>
      <c r="B435" s="1" t="n">
        <v>44256</v>
      </c>
      <c r="C435" s="1" t="n">
        <v>46059</v>
      </c>
      <c r="D435" t="inlineStr">
        <is>
          <t>VÄSTMANLANDS LÄN</t>
        </is>
      </c>
      <c r="E435" t="inlineStr">
        <is>
          <t>SALA</t>
        </is>
      </c>
      <c r="G435" t="n">
        <v>0.8</v>
      </c>
      <c r="H435" t="n">
        <v>0</v>
      </c>
      <c r="I435" t="n">
        <v>0</v>
      </c>
      <c r="J435" t="n">
        <v>0</v>
      </c>
      <c r="K435" t="n">
        <v>0</v>
      </c>
      <c r="L435" t="n">
        <v>0</v>
      </c>
      <c r="M435" t="n">
        <v>0</v>
      </c>
      <c r="N435" t="n">
        <v>0</v>
      </c>
      <c r="O435" t="n">
        <v>0</v>
      </c>
      <c r="P435" t="n">
        <v>0</v>
      </c>
      <c r="Q435" t="n">
        <v>0</v>
      </c>
      <c r="R435" s="2" t="inlineStr"/>
    </row>
    <row r="436" ht="15" customHeight="1">
      <c r="A436" t="inlineStr">
        <is>
          <t>A 54201-2025</t>
        </is>
      </c>
      <c r="B436" s="1" t="n">
        <v>45964.58055555556</v>
      </c>
      <c r="C436" s="1" t="n">
        <v>46059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7332-2026</t>
        </is>
      </c>
      <c r="B437" s="1" t="n">
        <v>46058.68884259259</v>
      </c>
      <c r="C437" s="1" t="n">
        <v>46059</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7329-2026</t>
        </is>
      </c>
      <c r="B438" s="1" t="n">
        <v>46058.68678240741</v>
      </c>
      <c r="C438" s="1" t="n">
        <v>46059</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16328-2025</t>
        </is>
      </c>
      <c r="B439" s="1" t="n">
        <v>45751</v>
      </c>
      <c r="C439" s="1" t="n">
        <v>46059</v>
      </c>
      <c r="D439" t="inlineStr">
        <is>
          <t>VÄSTMANLANDS LÄN</t>
        </is>
      </c>
      <c r="E439" t="inlineStr">
        <is>
          <t>SALA</t>
        </is>
      </c>
      <c r="G439" t="n">
        <v>2.9</v>
      </c>
      <c r="H439" t="n">
        <v>0</v>
      </c>
      <c r="I439" t="n">
        <v>0</v>
      </c>
      <c r="J439" t="n">
        <v>0</v>
      </c>
      <c r="K439" t="n">
        <v>0</v>
      </c>
      <c r="L439" t="n">
        <v>0</v>
      </c>
      <c r="M439" t="n">
        <v>0</v>
      </c>
      <c r="N439" t="n">
        <v>0</v>
      </c>
      <c r="O439" t="n">
        <v>0</v>
      </c>
      <c r="P439" t="n">
        <v>0</v>
      </c>
      <c r="Q439" t="n">
        <v>0</v>
      </c>
      <c r="R439" s="2" t="inlineStr"/>
    </row>
    <row r="440" ht="15" customHeight="1">
      <c r="A440" t="inlineStr">
        <is>
          <t>A 7324-2026</t>
        </is>
      </c>
      <c r="B440" s="1" t="n">
        <v>46058.68023148148</v>
      </c>
      <c r="C440" s="1" t="n">
        <v>46059</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44544-2024</t>
        </is>
      </c>
      <c r="B441" s="1" t="n">
        <v>45574.46119212963</v>
      </c>
      <c r="C441" s="1" t="n">
        <v>46059</v>
      </c>
      <c r="D441" t="inlineStr">
        <is>
          <t>VÄSTMANLANDS LÄN</t>
        </is>
      </c>
      <c r="E441" t="inlineStr">
        <is>
          <t>SALA</t>
        </is>
      </c>
      <c r="G441" t="n">
        <v>3.3</v>
      </c>
      <c r="H441" t="n">
        <v>0</v>
      </c>
      <c r="I441" t="n">
        <v>0</v>
      </c>
      <c r="J441" t="n">
        <v>0</v>
      </c>
      <c r="K441" t="n">
        <v>0</v>
      </c>
      <c r="L441" t="n">
        <v>0</v>
      </c>
      <c r="M441" t="n">
        <v>0</v>
      </c>
      <c r="N441" t="n">
        <v>0</v>
      </c>
      <c r="O441" t="n">
        <v>0</v>
      </c>
      <c r="P441" t="n">
        <v>0</v>
      </c>
      <c r="Q441" t="n">
        <v>0</v>
      </c>
      <c r="R441" s="2" t="inlineStr"/>
    </row>
    <row r="442" ht="15" customHeight="1">
      <c r="A442" t="inlineStr">
        <is>
          <t>A 31609-2024</t>
        </is>
      </c>
      <c r="B442" s="1" t="n">
        <v>45506</v>
      </c>
      <c r="C442" s="1" t="n">
        <v>46059</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64729-2023</t>
        </is>
      </c>
      <c r="B443" s="1" t="n">
        <v>45281</v>
      </c>
      <c r="C443" s="1" t="n">
        <v>46059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54344-2025</t>
        </is>
      </c>
      <c r="B444" s="1" t="n">
        <v>45965.36462962963</v>
      </c>
      <c r="C444" s="1" t="n">
        <v>46059</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35410-2022</t>
        </is>
      </c>
      <c r="B445" s="1" t="n">
        <v>44798.62576388889</v>
      </c>
      <c r="C445" s="1" t="n">
        <v>46059</v>
      </c>
      <c r="D445" t="inlineStr">
        <is>
          <t>VÄSTMANLANDS LÄN</t>
        </is>
      </c>
      <c r="E445" t="inlineStr">
        <is>
          <t>SALA</t>
        </is>
      </c>
      <c r="G445" t="n">
        <v>1.6</v>
      </c>
      <c r="H445" t="n">
        <v>0</v>
      </c>
      <c r="I445" t="n">
        <v>0</v>
      </c>
      <c r="J445" t="n">
        <v>0</v>
      </c>
      <c r="K445" t="n">
        <v>0</v>
      </c>
      <c r="L445" t="n">
        <v>0</v>
      </c>
      <c r="M445" t="n">
        <v>0</v>
      </c>
      <c r="N445" t="n">
        <v>0</v>
      </c>
      <c r="O445" t="n">
        <v>0</v>
      </c>
      <c r="P445" t="n">
        <v>0</v>
      </c>
      <c r="Q445" t="n">
        <v>0</v>
      </c>
      <c r="R445" s="2" t="inlineStr"/>
    </row>
    <row r="446" ht="15" customHeight="1">
      <c r="A446" t="inlineStr">
        <is>
          <t>A 68864-2021</t>
        </is>
      </c>
      <c r="B446" s="1" t="n">
        <v>44530</v>
      </c>
      <c r="C446" s="1" t="n">
        <v>46059</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54590-2025</t>
        </is>
      </c>
      <c r="B447" s="1" t="n">
        <v>45965.74199074074</v>
      </c>
      <c r="C447" s="1" t="n">
        <v>46059</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54893-2025</t>
        </is>
      </c>
      <c r="B448" s="1" t="n">
        <v>45967.36383101852</v>
      </c>
      <c r="C448" s="1" t="n">
        <v>46059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21159-2022</t>
        </is>
      </c>
      <c r="B449" s="1" t="n">
        <v>44704</v>
      </c>
      <c r="C449" s="1" t="n">
        <v>46059</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41292-2021</t>
        </is>
      </c>
      <c r="B450" s="1" t="n">
        <v>44424</v>
      </c>
      <c r="C450" s="1" t="n">
        <v>46059</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60328-2024</t>
        </is>
      </c>
      <c r="B451" s="1" t="n">
        <v>45643.38416666666</v>
      </c>
      <c r="C451" s="1" t="n">
        <v>46059</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19033-2025</t>
        </is>
      </c>
      <c r="B452" s="1" t="n">
        <v>45764.65796296296</v>
      </c>
      <c r="C452" s="1" t="n">
        <v>46059</v>
      </c>
      <c r="D452" t="inlineStr">
        <is>
          <t>VÄSTMANLANDS LÄN</t>
        </is>
      </c>
      <c r="E452" t="inlineStr">
        <is>
          <t>SALA</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64925-2023</t>
        </is>
      </c>
      <c r="B453" s="1" t="n">
        <v>45282</v>
      </c>
      <c r="C453" s="1" t="n">
        <v>46059</v>
      </c>
      <c r="D453" t="inlineStr">
        <is>
          <t>VÄSTMANLANDS LÄN</t>
        </is>
      </c>
      <c r="E453" t="inlineStr">
        <is>
          <t>SALA</t>
        </is>
      </c>
      <c r="G453" t="n">
        <v>2.5</v>
      </c>
      <c r="H453" t="n">
        <v>0</v>
      </c>
      <c r="I453" t="n">
        <v>0</v>
      </c>
      <c r="J453" t="n">
        <v>0</v>
      </c>
      <c r="K453" t="n">
        <v>0</v>
      </c>
      <c r="L453" t="n">
        <v>0</v>
      </c>
      <c r="M453" t="n">
        <v>0</v>
      </c>
      <c r="N453" t="n">
        <v>0</v>
      </c>
      <c r="O453" t="n">
        <v>0</v>
      </c>
      <c r="P453" t="n">
        <v>0</v>
      </c>
      <c r="Q453" t="n">
        <v>0</v>
      </c>
      <c r="R453" s="2" t="inlineStr"/>
    </row>
    <row r="454" ht="15" customHeight="1">
      <c r="A454" t="inlineStr">
        <is>
          <t>A 48570-2024</t>
        </is>
      </c>
      <c r="B454" s="1" t="n">
        <v>45591</v>
      </c>
      <c r="C454" s="1" t="n">
        <v>46059</v>
      </c>
      <c r="D454" t="inlineStr">
        <is>
          <t>VÄSTMANLANDS LÄN</t>
        </is>
      </c>
      <c r="E454" t="inlineStr">
        <is>
          <t>SALA</t>
        </is>
      </c>
      <c r="G454" t="n">
        <v>3</v>
      </c>
      <c r="H454" t="n">
        <v>0</v>
      </c>
      <c r="I454" t="n">
        <v>0</v>
      </c>
      <c r="J454" t="n">
        <v>0</v>
      </c>
      <c r="K454" t="n">
        <v>0</v>
      </c>
      <c r="L454" t="n">
        <v>0</v>
      </c>
      <c r="M454" t="n">
        <v>0</v>
      </c>
      <c r="N454" t="n">
        <v>0</v>
      </c>
      <c r="O454" t="n">
        <v>0</v>
      </c>
      <c r="P454" t="n">
        <v>0</v>
      </c>
      <c r="Q454" t="n">
        <v>0</v>
      </c>
      <c r="R454" s="2" t="inlineStr"/>
    </row>
    <row r="455" ht="15" customHeight="1">
      <c r="A455" t="inlineStr">
        <is>
          <t>A 33273-2023</t>
        </is>
      </c>
      <c r="B455" s="1" t="n">
        <v>45127</v>
      </c>
      <c r="C455" s="1" t="n">
        <v>46059</v>
      </c>
      <c r="D455" t="inlineStr">
        <is>
          <t>VÄSTMANLANDS LÄN</t>
        </is>
      </c>
      <c r="E455" t="inlineStr">
        <is>
          <t>SALA</t>
        </is>
      </c>
      <c r="G455" t="n">
        <v>2.6</v>
      </c>
      <c r="H455" t="n">
        <v>0</v>
      </c>
      <c r="I455" t="n">
        <v>0</v>
      </c>
      <c r="J455" t="n">
        <v>0</v>
      </c>
      <c r="K455" t="n">
        <v>0</v>
      </c>
      <c r="L455" t="n">
        <v>0</v>
      </c>
      <c r="M455" t="n">
        <v>0</v>
      </c>
      <c r="N455" t="n">
        <v>0</v>
      </c>
      <c r="O455" t="n">
        <v>0</v>
      </c>
      <c r="P455" t="n">
        <v>0</v>
      </c>
      <c r="Q455" t="n">
        <v>0</v>
      </c>
      <c r="R455" s="2" t="inlineStr"/>
    </row>
    <row r="456" ht="15" customHeight="1">
      <c r="A456" t="inlineStr">
        <is>
          <t>A 55997-2025</t>
        </is>
      </c>
      <c r="B456" s="1" t="n">
        <v>45973.56833333334</v>
      </c>
      <c r="C456" s="1" t="n">
        <v>46059</v>
      </c>
      <c r="D456" t="inlineStr">
        <is>
          <t>VÄSTMANLANDS LÄN</t>
        </is>
      </c>
      <c r="E456" t="inlineStr">
        <is>
          <t>SALA</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61517-2024</t>
        </is>
      </c>
      <c r="B457" s="1" t="n">
        <v>45645</v>
      </c>
      <c r="C457" s="1" t="n">
        <v>46059</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52827-2024</t>
        </is>
      </c>
      <c r="B458" s="1" t="n">
        <v>45610</v>
      </c>
      <c r="C458" s="1" t="n">
        <v>46059</v>
      </c>
      <c r="D458" t="inlineStr">
        <is>
          <t>VÄSTMANLANDS LÄN</t>
        </is>
      </c>
      <c r="E458" t="inlineStr">
        <is>
          <t>SALA</t>
        </is>
      </c>
      <c r="G458" t="n">
        <v>0.2</v>
      </c>
      <c r="H458" t="n">
        <v>0</v>
      </c>
      <c r="I458" t="n">
        <v>0</v>
      </c>
      <c r="J458" t="n">
        <v>0</v>
      </c>
      <c r="K458" t="n">
        <v>0</v>
      </c>
      <c r="L458" t="n">
        <v>0</v>
      </c>
      <c r="M458" t="n">
        <v>0</v>
      </c>
      <c r="N458" t="n">
        <v>0</v>
      </c>
      <c r="O458" t="n">
        <v>0</v>
      </c>
      <c r="P458" t="n">
        <v>0</v>
      </c>
      <c r="Q458" t="n">
        <v>0</v>
      </c>
      <c r="R458" s="2" t="inlineStr"/>
    </row>
    <row r="459" ht="15" customHeight="1">
      <c r="A459" t="inlineStr">
        <is>
          <t>A 53166-2024</t>
        </is>
      </c>
      <c r="B459" s="1" t="n">
        <v>45611</v>
      </c>
      <c r="C459" s="1" t="n">
        <v>46059</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11244-2024</t>
        </is>
      </c>
      <c r="B460" s="1" t="n">
        <v>45371</v>
      </c>
      <c r="C460" s="1" t="n">
        <v>46059</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62654-2022</t>
        </is>
      </c>
      <c r="B461" s="1" t="n">
        <v>44917</v>
      </c>
      <c r="C461" s="1" t="n">
        <v>46059</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6135-2023</t>
        </is>
      </c>
      <c r="B462" s="1" t="n">
        <v>44964.62628472222</v>
      </c>
      <c r="C462" s="1" t="n">
        <v>46059</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53864-2022</t>
        </is>
      </c>
      <c r="B463" s="1" t="n">
        <v>44880.64016203704</v>
      </c>
      <c r="C463" s="1" t="n">
        <v>46059</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46059</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16760-2024</t>
        </is>
      </c>
      <c r="B465" s="1" t="n">
        <v>45411</v>
      </c>
      <c r="C465" s="1" t="n">
        <v>46059</v>
      </c>
      <c r="D465" t="inlineStr">
        <is>
          <t>VÄSTMANLANDS LÄN</t>
        </is>
      </c>
      <c r="E465" t="inlineStr">
        <is>
          <t>SALA</t>
        </is>
      </c>
      <c r="G465" t="n">
        <v>2.6</v>
      </c>
      <c r="H465" t="n">
        <v>0</v>
      </c>
      <c r="I465" t="n">
        <v>0</v>
      </c>
      <c r="J465" t="n">
        <v>0</v>
      </c>
      <c r="K465" t="n">
        <v>0</v>
      </c>
      <c r="L465" t="n">
        <v>0</v>
      </c>
      <c r="M465" t="n">
        <v>0</v>
      </c>
      <c r="N465" t="n">
        <v>0</v>
      </c>
      <c r="O465" t="n">
        <v>0</v>
      </c>
      <c r="P465" t="n">
        <v>0</v>
      </c>
      <c r="Q465" t="n">
        <v>0</v>
      </c>
      <c r="R465" s="2" t="inlineStr"/>
    </row>
    <row r="466" ht="15" customHeight="1">
      <c r="A466" t="inlineStr">
        <is>
          <t>A 56614-2025</t>
        </is>
      </c>
      <c r="B466" s="1" t="n">
        <v>45975.59288194445</v>
      </c>
      <c r="C466" s="1" t="n">
        <v>46059</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27255-2023</t>
        </is>
      </c>
      <c r="B467" s="1" t="n">
        <v>45096</v>
      </c>
      <c r="C467" s="1" t="n">
        <v>46059</v>
      </c>
      <c r="D467" t="inlineStr">
        <is>
          <t>VÄSTMANLANDS LÄN</t>
        </is>
      </c>
      <c r="E467" t="inlineStr">
        <is>
          <t>SALA</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56611-2025</t>
        </is>
      </c>
      <c r="B468" s="1" t="n">
        <v>45975</v>
      </c>
      <c r="C468" s="1" t="n">
        <v>46059</v>
      </c>
      <c r="D468" t="inlineStr">
        <is>
          <t>VÄSTMANLANDS LÄN</t>
        </is>
      </c>
      <c r="E468" t="inlineStr">
        <is>
          <t>SALA</t>
        </is>
      </c>
      <c r="G468" t="n">
        <v>2.8</v>
      </c>
      <c r="H468" t="n">
        <v>0</v>
      </c>
      <c r="I468" t="n">
        <v>0</v>
      </c>
      <c r="J468" t="n">
        <v>0</v>
      </c>
      <c r="K468" t="n">
        <v>0</v>
      </c>
      <c r="L468" t="n">
        <v>0</v>
      </c>
      <c r="M468" t="n">
        <v>0</v>
      </c>
      <c r="N468" t="n">
        <v>0</v>
      </c>
      <c r="O468" t="n">
        <v>0</v>
      </c>
      <c r="P468" t="n">
        <v>0</v>
      </c>
      <c r="Q468" t="n">
        <v>0</v>
      </c>
      <c r="R468" s="2" t="inlineStr"/>
    </row>
    <row r="469" ht="15" customHeight="1">
      <c r="A469" t="inlineStr">
        <is>
          <t>A 54603-2024</t>
        </is>
      </c>
      <c r="B469" s="1" t="n">
        <v>45617.68224537037</v>
      </c>
      <c r="C469" s="1" t="n">
        <v>46059</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60034-2024</t>
        </is>
      </c>
      <c r="B470" s="1" t="n">
        <v>45642.46261574074</v>
      </c>
      <c r="C470" s="1" t="n">
        <v>46059</v>
      </c>
      <c r="D470" t="inlineStr">
        <is>
          <t>VÄSTMANLANDS LÄN</t>
        </is>
      </c>
      <c r="E470" t="inlineStr">
        <is>
          <t>SALA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3810-2023</t>
        </is>
      </c>
      <c r="B471" s="1" t="n">
        <v>44951.60454861111</v>
      </c>
      <c r="C471" s="1" t="n">
        <v>46059</v>
      </c>
      <c r="D471" t="inlineStr">
        <is>
          <t>VÄSTMANLANDS LÄN</t>
        </is>
      </c>
      <c r="E471" t="inlineStr">
        <is>
          <t>SALA</t>
        </is>
      </c>
      <c r="G471" t="n">
        <v>4.2</v>
      </c>
      <c r="H471" t="n">
        <v>0</v>
      </c>
      <c r="I471" t="n">
        <v>0</v>
      </c>
      <c r="J471" t="n">
        <v>0</v>
      </c>
      <c r="K471" t="n">
        <v>0</v>
      </c>
      <c r="L471" t="n">
        <v>0</v>
      </c>
      <c r="M471" t="n">
        <v>0</v>
      </c>
      <c r="N471" t="n">
        <v>0</v>
      </c>
      <c r="O471" t="n">
        <v>0</v>
      </c>
      <c r="P471" t="n">
        <v>0</v>
      </c>
      <c r="Q471" t="n">
        <v>0</v>
      </c>
      <c r="R471" s="2" t="inlineStr"/>
    </row>
    <row r="472" ht="15" customHeight="1">
      <c r="A472" t="inlineStr">
        <is>
          <t>A 52503-2024</t>
        </is>
      </c>
      <c r="B472" s="1" t="n">
        <v>45609.58806712963</v>
      </c>
      <c r="C472" s="1" t="n">
        <v>46059</v>
      </c>
      <c r="D472" t="inlineStr">
        <is>
          <t>VÄSTMANLANDS LÄN</t>
        </is>
      </c>
      <c r="E472" t="inlineStr">
        <is>
          <t>SALA</t>
        </is>
      </c>
      <c r="G472" t="n">
        <v>0.8</v>
      </c>
      <c r="H472" t="n">
        <v>0</v>
      </c>
      <c r="I472" t="n">
        <v>0</v>
      </c>
      <c r="J472" t="n">
        <v>0</v>
      </c>
      <c r="K472" t="n">
        <v>0</v>
      </c>
      <c r="L472" t="n">
        <v>0</v>
      </c>
      <c r="M472" t="n">
        <v>0</v>
      </c>
      <c r="N472" t="n">
        <v>0</v>
      </c>
      <c r="O472" t="n">
        <v>0</v>
      </c>
      <c r="P472" t="n">
        <v>0</v>
      </c>
      <c r="Q472" t="n">
        <v>0</v>
      </c>
      <c r="R472" s="2" t="inlineStr"/>
    </row>
    <row r="473" ht="15" customHeight="1">
      <c r="A473" t="inlineStr">
        <is>
          <t>A 2521-2025</t>
        </is>
      </c>
      <c r="B473" s="1" t="n">
        <v>45674</v>
      </c>
      <c r="C473" s="1" t="n">
        <v>46059</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18762-2024</t>
        </is>
      </c>
      <c r="B474" s="1" t="n">
        <v>45426.55240740741</v>
      </c>
      <c r="C474" s="1" t="n">
        <v>46059</v>
      </c>
      <c r="D474" t="inlineStr">
        <is>
          <t>VÄSTMANLANDS LÄN</t>
        </is>
      </c>
      <c r="E474" t="inlineStr">
        <is>
          <t>SALA</t>
        </is>
      </c>
      <c r="G474" t="n">
        <v>6.2</v>
      </c>
      <c r="H474" t="n">
        <v>0</v>
      </c>
      <c r="I474" t="n">
        <v>0</v>
      </c>
      <c r="J474" t="n">
        <v>0</v>
      </c>
      <c r="K474" t="n">
        <v>0</v>
      </c>
      <c r="L474" t="n">
        <v>0</v>
      </c>
      <c r="M474" t="n">
        <v>0</v>
      </c>
      <c r="N474" t="n">
        <v>0</v>
      </c>
      <c r="O474" t="n">
        <v>0</v>
      </c>
      <c r="P474" t="n">
        <v>0</v>
      </c>
      <c r="Q474" t="n">
        <v>0</v>
      </c>
      <c r="R474" s="2" t="inlineStr"/>
    </row>
    <row r="475" ht="15" customHeight="1">
      <c r="A475" t="inlineStr">
        <is>
          <t>A 17120-2023</t>
        </is>
      </c>
      <c r="B475" s="1" t="n">
        <v>45034</v>
      </c>
      <c r="C475" s="1" t="n">
        <v>46059</v>
      </c>
      <c r="D475" t="inlineStr">
        <is>
          <t>VÄSTMANLANDS LÄN</t>
        </is>
      </c>
      <c r="E475" t="inlineStr">
        <is>
          <t>SALA</t>
        </is>
      </c>
      <c r="G475" t="n">
        <v>0.1</v>
      </c>
      <c r="H475" t="n">
        <v>0</v>
      </c>
      <c r="I475" t="n">
        <v>0</v>
      </c>
      <c r="J475" t="n">
        <v>0</v>
      </c>
      <c r="K475" t="n">
        <v>0</v>
      </c>
      <c r="L475" t="n">
        <v>0</v>
      </c>
      <c r="M475" t="n">
        <v>0</v>
      </c>
      <c r="N475" t="n">
        <v>0</v>
      </c>
      <c r="O475" t="n">
        <v>0</v>
      </c>
      <c r="P475" t="n">
        <v>0</v>
      </c>
      <c r="Q475" t="n">
        <v>0</v>
      </c>
      <c r="R475" s="2" t="inlineStr"/>
    </row>
    <row r="476" ht="15" customHeight="1">
      <c r="A476" t="inlineStr">
        <is>
          <t>A 42938-2023</t>
        </is>
      </c>
      <c r="B476" s="1" t="n">
        <v>45179</v>
      </c>
      <c r="C476" s="1" t="n">
        <v>46059</v>
      </c>
      <c r="D476" t="inlineStr">
        <is>
          <t>VÄSTMANLANDS LÄN</t>
        </is>
      </c>
      <c r="E476" t="inlineStr">
        <is>
          <t>SALA</t>
        </is>
      </c>
      <c r="G476" t="n">
        <v>10.9</v>
      </c>
      <c r="H476" t="n">
        <v>0</v>
      </c>
      <c r="I476" t="n">
        <v>0</v>
      </c>
      <c r="J476" t="n">
        <v>0</v>
      </c>
      <c r="K476" t="n">
        <v>0</v>
      </c>
      <c r="L476" t="n">
        <v>0</v>
      </c>
      <c r="M476" t="n">
        <v>0</v>
      </c>
      <c r="N476" t="n">
        <v>0</v>
      </c>
      <c r="O476" t="n">
        <v>0</v>
      </c>
      <c r="P476" t="n">
        <v>0</v>
      </c>
      <c r="Q476" t="n">
        <v>0</v>
      </c>
      <c r="R476" s="2" t="inlineStr"/>
    </row>
    <row r="477" ht="15" customHeight="1">
      <c r="A477" t="inlineStr">
        <is>
          <t>A 42984-2023</t>
        </is>
      </c>
      <c r="B477" s="1" t="n">
        <v>45179</v>
      </c>
      <c r="C477" s="1" t="n">
        <v>46059</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31000-2022</t>
        </is>
      </c>
      <c r="B478" s="1" t="n">
        <v>44768</v>
      </c>
      <c r="C478" s="1" t="n">
        <v>46059</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15972-2024</t>
        </is>
      </c>
      <c r="B479" s="1" t="n">
        <v>45405.56498842593</v>
      </c>
      <c r="C479" s="1" t="n">
        <v>46059</v>
      </c>
      <c r="D479" t="inlineStr">
        <is>
          <t>VÄSTMANLANDS LÄN</t>
        </is>
      </c>
      <c r="E479" t="inlineStr">
        <is>
          <t>SALA</t>
        </is>
      </c>
      <c r="G479" t="n">
        <v>1.8</v>
      </c>
      <c r="H479" t="n">
        <v>0</v>
      </c>
      <c r="I479" t="n">
        <v>0</v>
      </c>
      <c r="J479" t="n">
        <v>0</v>
      </c>
      <c r="K479" t="n">
        <v>0</v>
      </c>
      <c r="L479" t="n">
        <v>0</v>
      </c>
      <c r="M479" t="n">
        <v>0</v>
      </c>
      <c r="N479" t="n">
        <v>0</v>
      </c>
      <c r="O479" t="n">
        <v>0</v>
      </c>
      <c r="P479" t="n">
        <v>0</v>
      </c>
      <c r="Q479" t="n">
        <v>0</v>
      </c>
      <c r="R479" s="2" t="inlineStr"/>
    </row>
    <row r="480" ht="15" customHeight="1">
      <c r="A480" t="inlineStr">
        <is>
          <t>A 39714-2023</t>
        </is>
      </c>
      <c r="B480" s="1" t="n">
        <v>45167.62133101852</v>
      </c>
      <c r="C480" s="1" t="n">
        <v>46059</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33527-2023</t>
        </is>
      </c>
      <c r="B481" s="1" t="n">
        <v>45131</v>
      </c>
      <c r="C481" s="1" t="n">
        <v>46059</v>
      </c>
      <c r="D481" t="inlineStr">
        <is>
          <t>VÄSTMANLANDS LÄN</t>
        </is>
      </c>
      <c r="E481" t="inlineStr">
        <is>
          <t>SALA</t>
        </is>
      </c>
      <c r="G481" t="n">
        <v>1</v>
      </c>
      <c r="H481" t="n">
        <v>0</v>
      </c>
      <c r="I481" t="n">
        <v>0</v>
      </c>
      <c r="J481" t="n">
        <v>0</v>
      </c>
      <c r="K481" t="n">
        <v>0</v>
      </c>
      <c r="L481" t="n">
        <v>0</v>
      </c>
      <c r="M481" t="n">
        <v>0</v>
      </c>
      <c r="N481" t="n">
        <v>0</v>
      </c>
      <c r="O481" t="n">
        <v>0</v>
      </c>
      <c r="P481" t="n">
        <v>0</v>
      </c>
      <c r="Q481" t="n">
        <v>0</v>
      </c>
      <c r="R481" s="2" t="inlineStr"/>
    </row>
    <row r="482" ht="15" customHeight="1">
      <c r="A482" t="inlineStr">
        <is>
          <t>A 31950-2023</t>
        </is>
      </c>
      <c r="B482" s="1" t="n">
        <v>45107</v>
      </c>
      <c r="C482" s="1" t="n">
        <v>46059</v>
      </c>
      <c r="D482" t="inlineStr">
        <is>
          <t>VÄSTMANLANDS LÄN</t>
        </is>
      </c>
      <c r="E482" t="inlineStr">
        <is>
          <t>SALA</t>
        </is>
      </c>
      <c r="G482" t="n">
        <v>0.1</v>
      </c>
      <c r="H482" t="n">
        <v>0</v>
      </c>
      <c r="I482" t="n">
        <v>0</v>
      </c>
      <c r="J482" t="n">
        <v>0</v>
      </c>
      <c r="K482" t="n">
        <v>0</v>
      </c>
      <c r="L482" t="n">
        <v>0</v>
      </c>
      <c r="M482" t="n">
        <v>0</v>
      </c>
      <c r="N482" t="n">
        <v>0</v>
      </c>
      <c r="O482" t="n">
        <v>0</v>
      </c>
      <c r="P482" t="n">
        <v>0</v>
      </c>
      <c r="Q482" t="n">
        <v>0</v>
      </c>
      <c r="R482" s="2" t="inlineStr"/>
    </row>
    <row r="483" ht="15" customHeight="1">
      <c r="A483" t="inlineStr">
        <is>
          <t>A 10913-2025</t>
        </is>
      </c>
      <c r="B483" s="1" t="n">
        <v>45722.73423611111</v>
      </c>
      <c r="C483" s="1" t="n">
        <v>46059</v>
      </c>
      <c r="D483" t="inlineStr">
        <is>
          <t>VÄSTMANLANDS LÄN</t>
        </is>
      </c>
      <c r="E483" t="inlineStr">
        <is>
          <t>SALA</t>
        </is>
      </c>
      <c r="G483" t="n">
        <v>7.6</v>
      </c>
      <c r="H483" t="n">
        <v>0</v>
      </c>
      <c r="I483" t="n">
        <v>0</v>
      </c>
      <c r="J483" t="n">
        <v>0</v>
      </c>
      <c r="K483" t="n">
        <v>0</v>
      </c>
      <c r="L483" t="n">
        <v>0</v>
      </c>
      <c r="M483" t="n">
        <v>0</v>
      </c>
      <c r="N483" t="n">
        <v>0</v>
      </c>
      <c r="O483" t="n">
        <v>0</v>
      </c>
      <c r="P483" t="n">
        <v>0</v>
      </c>
      <c r="Q483" t="n">
        <v>0</v>
      </c>
      <c r="R483" s="2" t="inlineStr"/>
    </row>
    <row r="484" ht="15" customHeight="1">
      <c r="A484" t="inlineStr">
        <is>
          <t>A 58107-2021</t>
        </is>
      </c>
      <c r="B484" s="1" t="n">
        <v>44487</v>
      </c>
      <c r="C484" s="1" t="n">
        <v>46059</v>
      </c>
      <c r="D484" t="inlineStr">
        <is>
          <t>VÄSTMANLANDS LÄN</t>
        </is>
      </c>
      <c r="E484" t="inlineStr">
        <is>
          <t>SALA</t>
        </is>
      </c>
      <c r="F484" t="inlineStr">
        <is>
          <t>Sveaskog</t>
        </is>
      </c>
      <c r="G484" t="n">
        <v>2.8</v>
      </c>
      <c r="H484" t="n">
        <v>0</v>
      </c>
      <c r="I484" t="n">
        <v>0</v>
      </c>
      <c r="J484" t="n">
        <v>0</v>
      </c>
      <c r="K484" t="n">
        <v>0</v>
      </c>
      <c r="L484" t="n">
        <v>0</v>
      </c>
      <c r="M484" t="n">
        <v>0</v>
      </c>
      <c r="N484" t="n">
        <v>0</v>
      </c>
      <c r="O484" t="n">
        <v>0</v>
      </c>
      <c r="P484" t="n">
        <v>0</v>
      </c>
      <c r="Q484" t="n">
        <v>0</v>
      </c>
      <c r="R484" s="2" t="inlineStr"/>
    </row>
    <row r="485" ht="15" customHeight="1">
      <c r="A485" t="inlineStr">
        <is>
          <t>A 2927-2024</t>
        </is>
      </c>
      <c r="B485" s="1" t="n">
        <v>45315.58989583333</v>
      </c>
      <c r="C485" s="1" t="n">
        <v>46059</v>
      </c>
      <c r="D485" t="inlineStr">
        <is>
          <t>VÄSTMANLANDS LÄN</t>
        </is>
      </c>
      <c r="E485" t="inlineStr">
        <is>
          <t>SALA</t>
        </is>
      </c>
      <c r="G485" t="n">
        <v>2.5</v>
      </c>
      <c r="H485" t="n">
        <v>0</v>
      </c>
      <c r="I485" t="n">
        <v>0</v>
      </c>
      <c r="J485" t="n">
        <v>0</v>
      </c>
      <c r="K485" t="n">
        <v>0</v>
      </c>
      <c r="L485" t="n">
        <v>0</v>
      </c>
      <c r="M485" t="n">
        <v>0</v>
      </c>
      <c r="N485" t="n">
        <v>0</v>
      </c>
      <c r="O485" t="n">
        <v>0</v>
      </c>
      <c r="P485" t="n">
        <v>0</v>
      </c>
      <c r="Q485" t="n">
        <v>0</v>
      </c>
      <c r="R485" s="2" t="inlineStr"/>
    </row>
    <row r="486" ht="15" customHeight="1">
      <c r="A486" t="inlineStr">
        <is>
          <t>A 16693-2023</t>
        </is>
      </c>
      <c r="B486" s="1" t="n">
        <v>45028</v>
      </c>
      <c r="C486" s="1" t="n">
        <v>46059</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44719.79707175926</v>
      </c>
      <c r="C487" s="1" t="n">
        <v>46059</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37183-2024</t>
        </is>
      </c>
      <c r="B488" s="1" t="n">
        <v>45539</v>
      </c>
      <c r="C488" s="1" t="n">
        <v>46059</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57371-2022</t>
        </is>
      </c>
      <c r="B489" s="1" t="n">
        <v>44896.43832175926</v>
      </c>
      <c r="C489" s="1" t="n">
        <v>46059</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54199-2024</t>
        </is>
      </c>
      <c r="B490" s="1" t="n">
        <v>45616.64703703704</v>
      </c>
      <c r="C490" s="1" t="n">
        <v>46059</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60548-2024</t>
        </is>
      </c>
      <c r="B491" s="1" t="n">
        <v>45643.80978009259</v>
      </c>
      <c r="C491" s="1" t="n">
        <v>46059</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56548-2024</t>
        </is>
      </c>
      <c r="B492" s="1" t="n">
        <v>45625</v>
      </c>
      <c r="C492" s="1" t="n">
        <v>46059</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47086-2022</t>
        </is>
      </c>
      <c r="B493" s="1" t="n">
        <v>44852</v>
      </c>
      <c r="C493" s="1" t="n">
        <v>46059</v>
      </c>
      <c r="D493" t="inlineStr">
        <is>
          <t>VÄSTMANLANDS LÄN</t>
        </is>
      </c>
      <c r="E493" t="inlineStr">
        <is>
          <t>SALA</t>
        </is>
      </c>
      <c r="G493" t="n">
        <v>12.5</v>
      </c>
      <c r="H493" t="n">
        <v>0</v>
      </c>
      <c r="I493" t="n">
        <v>0</v>
      </c>
      <c r="J493" t="n">
        <v>0</v>
      </c>
      <c r="K493" t="n">
        <v>0</v>
      </c>
      <c r="L493" t="n">
        <v>0</v>
      </c>
      <c r="M493" t="n">
        <v>0</v>
      </c>
      <c r="N493" t="n">
        <v>0</v>
      </c>
      <c r="O493" t="n">
        <v>0</v>
      </c>
      <c r="P493" t="n">
        <v>0</v>
      </c>
      <c r="Q493" t="n">
        <v>0</v>
      </c>
      <c r="R493" s="2" t="inlineStr"/>
    </row>
    <row r="494" ht="15" customHeight="1">
      <c r="A494" t="inlineStr">
        <is>
          <t>A 57895-2024</t>
        </is>
      </c>
      <c r="B494" s="1" t="n">
        <v>45631</v>
      </c>
      <c r="C494" s="1" t="n">
        <v>46059</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31597-2024</t>
        </is>
      </c>
      <c r="B495" s="1" t="n">
        <v>45506</v>
      </c>
      <c r="C495" s="1" t="n">
        <v>46059</v>
      </c>
      <c r="D495" t="inlineStr">
        <is>
          <t>VÄSTMANLANDS LÄN</t>
        </is>
      </c>
      <c r="E495" t="inlineStr">
        <is>
          <t>SALA</t>
        </is>
      </c>
      <c r="G495" t="n">
        <v>2.4</v>
      </c>
      <c r="H495" t="n">
        <v>0</v>
      </c>
      <c r="I495" t="n">
        <v>0</v>
      </c>
      <c r="J495" t="n">
        <v>0</v>
      </c>
      <c r="K495" t="n">
        <v>0</v>
      </c>
      <c r="L495" t="n">
        <v>0</v>
      </c>
      <c r="M495" t="n">
        <v>0</v>
      </c>
      <c r="N495" t="n">
        <v>0</v>
      </c>
      <c r="O495" t="n">
        <v>0</v>
      </c>
      <c r="P495" t="n">
        <v>0</v>
      </c>
      <c r="Q495" t="n">
        <v>0</v>
      </c>
      <c r="R495" s="2" t="inlineStr"/>
    </row>
    <row r="496" ht="15" customHeight="1">
      <c r="A496" t="inlineStr">
        <is>
          <t>A 17458-2024</t>
        </is>
      </c>
      <c r="B496" s="1" t="n">
        <v>45415</v>
      </c>
      <c r="C496" s="1" t="n">
        <v>46059</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56543-2024</t>
        </is>
      </c>
      <c r="B497" s="1" t="n">
        <v>45625</v>
      </c>
      <c r="C497" s="1" t="n">
        <v>46059</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28661-2024</t>
        </is>
      </c>
      <c r="B498" s="1" t="n">
        <v>45478</v>
      </c>
      <c r="C498" s="1" t="n">
        <v>46059</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2529-2022</t>
        </is>
      </c>
      <c r="B499" s="1" t="n">
        <v>44579.86452546297</v>
      </c>
      <c r="C499" s="1" t="n">
        <v>46059</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56540-2024</t>
        </is>
      </c>
      <c r="B500" s="1" t="n">
        <v>45625</v>
      </c>
      <c r="C500" s="1" t="n">
        <v>46059</v>
      </c>
      <c r="D500" t="inlineStr">
        <is>
          <t>VÄSTMANLANDS LÄN</t>
        </is>
      </c>
      <c r="E500" t="inlineStr">
        <is>
          <t>SALA</t>
        </is>
      </c>
      <c r="G500" t="n">
        <v>1.8</v>
      </c>
      <c r="H500" t="n">
        <v>0</v>
      </c>
      <c r="I500" t="n">
        <v>0</v>
      </c>
      <c r="J500" t="n">
        <v>0</v>
      </c>
      <c r="K500" t="n">
        <v>0</v>
      </c>
      <c r="L500" t="n">
        <v>0</v>
      </c>
      <c r="M500" t="n">
        <v>0</v>
      </c>
      <c r="N500" t="n">
        <v>0</v>
      </c>
      <c r="O500" t="n">
        <v>0</v>
      </c>
      <c r="P500" t="n">
        <v>0</v>
      </c>
      <c r="Q500" t="n">
        <v>0</v>
      </c>
      <c r="R500" s="2" t="inlineStr"/>
    </row>
    <row r="501" ht="15" customHeight="1">
      <c r="A501" t="inlineStr">
        <is>
          <t>A 31599-2024</t>
        </is>
      </c>
      <c r="B501" s="1" t="n">
        <v>45506</v>
      </c>
      <c r="C501" s="1" t="n">
        <v>46059</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31601-2024</t>
        </is>
      </c>
      <c r="B502" s="1" t="n">
        <v>45506</v>
      </c>
      <c r="C502" s="1" t="n">
        <v>46059</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31608-2024</t>
        </is>
      </c>
      <c r="B503" s="1" t="n">
        <v>45506</v>
      </c>
      <c r="C503" s="1" t="n">
        <v>46059</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31612-2024</t>
        </is>
      </c>
      <c r="B504" s="1" t="n">
        <v>45506</v>
      </c>
      <c r="C504" s="1" t="n">
        <v>46059</v>
      </c>
      <c r="D504" t="inlineStr">
        <is>
          <t>VÄSTMANLANDS LÄN</t>
        </is>
      </c>
      <c r="E504" t="inlineStr">
        <is>
          <t>SALA</t>
        </is>
      </c>
      <c r="G504" t="n">
        <v>3.2</v>
      </c>
      <c r="H504" t="n">
        <v>0</v>
      </c>
      <c r="I504" t="n">
        <v>0</v>
      </c>
      <c r="J504" t="n">
        <v>0</v>
      </c>
      <c r="K504" t="n">
        <v>0</v>
      </c>
      <c r="L504" t="n">
        <v>0</v>
      </c>
      <c r="M504" t="n">
        <v>0</v>
      </c>
      <c r="N504" t="n">
        <v>0</v>
      </c>
      <c r="O504" t="n">
        <v>0</v>
      </c>
      <c r="P504" t="n">
        <v>0</v>
      </c>
      <c r="Q504" t="n">
        <v>0</v>
      </c>
      <c r="R504" s="2" t="inlineStr"/>
    </row>
    <row r="505" ht="15" customHeight="1">
      <c r="A505" t="inlineStr">
        <is>
          <t>A 988-2025</t>
        </is>
      </c>
      <c r="B505" s="1" t="n">
        <v>45666.44038194444</v>
      </c>
      <c r="C505" s="1" t="n">
        <v>46059</v>
      </c>
      <c r="D505" t="inlineStr">
        <is>
          <t>VÄSTMANLANDS LÄN</t>
        </is>
      </c>
      <c r="E505" t="inlineStr">
        <is>
          <t>SALA</t>
        </is>
      </c>
      <c r="G505" t="n">
        <v>1.3</v>
      </c>
      <c r="H505" t="n">
        <v>0</v>
      </c>
      <c r="I505" t="n">
        <v>0</v>
      </c>
      <c r="J505" t="n">
        <v>0</v>
      </c>
      <c r="K505" t="n">
        <v>0</v>
      </c>
      <c r="L505" t="n">
        <v>0</v>
      </c>
      <c r="M505" t="n">
        <v>0</v>
      </c>
      <c r="N505" t="n">
        <v>0</v>
      </c>
      <c r="O505" t="n">
        <v>0</v>
      </c>
      <c r="P505" t="n">
        <v>0</v>
      </c>
      <c r="Q505" t="n">
        <v>0</v>
      </c>
      <c r="R505" s="2" t="inlineStr"/>
    </row>
    <row r="506" ht="15" customHeight="1">
      <c r="A506" t="inlineStr">
        <is>
          <t>A 10579-2022</t>
        </is>
      </c>
      <c r="B506" s="1" t="n">
        <v>44624</v>
      </c>
      <c r="C506" s="1" t="n">
        <v>46059</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5032-2025</t>
        </is>
      </c>
      <c r="B507" s="1" t="n">
        <v>45691</v>
      </c>
      <c r="C507" s="1" t="n">
        <v>46059</v>
      </c>
      <c r="D507" t="inlineStr">
        <is>
          <t>VÄSTMANLANDS LÄN</t>
        </is>
      </c>
      <c r="E507" t="inlineStr">
        <is>
          <t>SALA</t>
        </is>
      </c>
      <c r="G507" t="n">
        <v>0.9</v>
      </c>
      <c r="H507" t="n">
        <v>0</v>
      </c>
      <c r="I507" t="n">
        <v>0</v>
      </c>
      <c r="J507" t="n">
        <v>0</v>
      </c>
      <c r="K507" t="n">
        <v>0</v>
      </c>
      <c r="L507" t="n">
        <v>0</v>
      </c>
      <c r="M507" t="n">
        <v>0</v>
      </c>
      <c r="N507" t="n">
        <v>0</v>
      </c>
      <c r="O507" t="n">
        <v>0</v>
      </c>
      <c r="P507" t="n">
        <v>0</v>
      </c>
      <c r="Q507" t="n">
        <v>0</v>
      </c>
      <c r="R507" s="2" t="inlineStr"/>
    </row>
    <row r="508" ht="15" customHeight="1">
      <c r="A508" t="inlineStr">
        <is>
          <t>A 64693-2023</t>
        </is>
      </c>
      <c r="B508" s="1" t="n">
        <v>45281.63850694444</v>
      </c>
      <c r="C508" s="1" t="n">
        <v>46059</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64695-2023</t>
        </is>
      </c>
      <c r="B509" s="1" t="n">
        <v>45281.64099537037</v>
      </c>
      <c r="C509" s="1" t="n">
        <v>46059</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66908-2021</t>
        </is>
      </c>
      <c r="B510" s="1" t="n">
        <v>44522</v>
      </c>
      <c r="C510" s="1" t="n">
        <v>46059</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11696-2025</t>
        </is>
      </c>
      <c r="B511" s="1" t="n">
        <v>45727</v>
      </c>
      <c r="C511" s="1" t="n">
        <v>46059</v>
      </c>
      <c r="D511" t="inlineStr">
        <is>
          <t>VÄSTMANLANDS LÄN</t>
        </is>
      </c>
      <c r="E511" t="inlineStr">
        <is>
          <t>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43509-2021</t>
        </is>
      </c>
      <c r="B512" s="1" t="n">
        <v>44433</v>
      </c>
      <c r="C512" s="1" t="n">
        <v>46059</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55784-2024</t>
        </is>
      </c>
      <c r="B513" s="1" t="n">
        <v>45623</v>
      </c>
      <c r="C513" s="1" t="n">
        <v>46059</v>
      </c>
      <c r="D513" t="inlineStr">
        <is>
          <t>VÄSTMANLANDS LÄN</t>
        </is>
      </c>
      <c r="E513" t="inlineStr">
        <is>
          <t>SALA</t>
        </is>
      </c>
      <c r="F513" t="inlineStr">
        <is>
          <t>Bergvik skog öst AB</t>
        </is>
      </c>
      <c r="G513" t="n">
        <v>28.4</v>
      </c>
      <c r="H513" t="n">
        <v>0</v>
      </c>
      <c r="I513" t="n">
        <v>0</v>
      </c>
      <c r="J513" t="n">
        <v>0</v>
      </c>
      <c r="K513" t="n">
        <v>0</v>
      </c>
      <c r="L513" t="n">
        <v>0</v>
      </c>
      <c r="M513" t="n">
        <v>0</v>
      </c>
      <c r="N513" t="n">
        <v>0</v>
      </c>
      <c r="O513" t="n">
        <v>0</v>
      </c>
      <c r="P513" t="n">
        <v>0</v>
      </c>
      <c r="Q513" t="n">
        <v>0</v>
      </c>
      <c r="R513" s="2" t="inlineStr"/>
    </row>
    <row r="514" ht="15" customHeight="1">
      <c r="A514" t="inlineStr">
        <is>
          <t>A 29542-2023</t>
        </is>
      </c>
      <c r="B514" s="1" t="n">
        <v>45098</v>
      </c>
      <c r="C514" s="1" t="n">
        <v>46059</v>
      </c>
      <c r="D514" t="inlineStr">
        <is>
          <t>VÄSTMANLANDS LÄN</t>
        </is>
      </c>
      <c r="E514" t="inlineStr">
        <is>
          <t>SALA</t>
        </is>
      </c>
      <c r="G514" t="n">
        <v>4.8</v>
      </c>
      <c r="H514" t="n">
        <v>0</v>
      </c>
      <c r="I514" t="n">
        <v>0</v>
      </c>
      <c r="J514" t="n">
        <v>0</v>
      </c>
      <c r="K514" t="n">
        <v>0</v>
      </c>
      <c r="L514" t="n">
        <v>0</v>
      </c>
      <c r="M514" t="n">
        <v>0</v>
      </c>
      <c r="N514" t="n">
        <v>0</v>
      </c>
      <c r="O514" t="n">
        <v>0</v>
      </c>
      <c r="P514" t="n">
        <v>0</v>
      </c>
      <c r="Q514" t="n">
        <v>0</v>
      </c>
      <c r="R514" s="2" t="inlineStr"/>
    </row>
    <row r="515" ht="15" customHeight="1">
      <c r="A515" t="inlineStr">
        <is>
          <t>A 27038-2023</t>
        </is>
      </c>
      <c r="B515" s="1" t="n">
        <v>45095</v>
      </c>
      <c r="C515" s="1" t="n">
        <v>46059</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17051-2025</t>
        </is>
      </c>
      <c r="B516" s="1" t="n">
        <v>45755</v>
      </c>
      <c r="C516" s="1" t="n">
        <v>46059</v>
      </c>
      <c r="D516" t="inlineStr">
        <is>
          <t>VÄSTMANLANDS LÄN</t>
        </is>
      </c>
      <c r="E516" t="inlineStr">
        <is>
          <t>SALA</t>
        </is>
      </c>
      <c r="G516" t="n">
        <v>2.9</v>
      </c>
      <c r="H516" t="n">
        <v>0</v>
      </c>
      <c r="I516" t="n">
        <v>0</v>
      </c>
      <c r="J516" t="n">
        <v>0</v>
      </c>
      <c r="K516" t="n">
        <v>0</v>
      </c>
      <c r="L516" t="n">
        <v>0</v>
      </c>
      <c r="M516" t="n">
        <v>0</v>
      </c>
      <c r="N516" t="n">
        <v>0</v>
      </c>
      <c r="O516" t="n">
        <v>0</v>
      </c>
      <c r="P516" t="n">
        <v>0</v>
      </c>
      <c r="Q516" t="n">
        <v>0</v>
      </c>
      <c r="R516" s="2" t="inlineStr"/>
    </row>
    <row r="517" ht="15" customHeight="1">
      <c r="A517" t="inlineStr">
        <is>
          <t>A 8285-2025</t>
        </is>
      </c>
      <c r="B517" s="1" t="n">
        <v>45708</v>
      </c>
      <c r="C517" s="1" t="n">
        <v>46059</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14010-2021</t>
        </is>
      </c>
      <c r="B518" s="1" t="n">
        <v>44277.63396990741</v>
      </c>
      <c r="C518" s="1" t="n">
        <v>46059</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22019-2021</t>
        </is>
      </c>
      <c r="B519" s="1" t="n">
        <v>44323</v>
      </c>
      <c r="C519" s="1" t="n">
        <v>46059</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57404-2024</t>
        </is>
      </c>
      <c r="B520" s="1" t="n">
        <v>45629.71967592592</v>
      </c>
      <c r="C520" s="1" t="n">
        <v>46059</v>
      </c>
      <c r="D520" t="inlineStr">
        <is>
          <t>VÄSTMANLANDS LÄN</t>
        </is>
      </c>
      <c r="E520" t="inlineStr">
        <is>
          <t>SALA</t>
        </is>
      </c>
      <c r="G520" t="n">
        <v>0.3</v>
      </c>
      <c r="H520" t="n">
        <v>0</v>
      </c>
      <c r="I520" t="n">
        <v>0</v>
      </c>
      <c r="J520" t="n">
        <v>0</v>
      </c>
      <c r="K520" t="n">
        <v>0</v>
      </c>
      <c r="L520" t="n">
        <v>0</v>
      </c>
      <c r="M520" t="n">
        <v>0</v>
      </c>
      <c r="N520" t="n">
        <v>0</v>
      </c>
      <c r="O520" t="n">
        <v>0</v>
      </c>
      <c r="P520" t="n">
        <v>0</v>
      </c>
      <c r="Q520" t="n">
        <v>0</v>
      </c>
      <c r="R520" s="2" t="inlineStr"/>
    </row>
    <row r="521" ht="15" customHeight="1">
      <c r="A521" t="inlineStr">
        <is>
          <t>A 21777-2022</t>
        </is>
      </c>
      <c r="B521" s="1" t="n">
        <v>44708.48194444444</v>
      </c>
      <c r="C521" s="1" t="n">
        <v>46059</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17866-2025</t>
        </is>
      </c>
      <c r="B522" s="1" t="n">
        <v>45758</v>
      </c>
      <c r="C522" s="1" t="n">
        <v>46059</v>
      </c>
      <c r="D522" t="inlineStr">
        <is>
          <t>VÄSTMANLANDS LÄN</t>
        </is>
      </c>
      <c r="E522" t="inlineStr">
        <is>
          <t>SALA</t>
        </is>
      </c>
      <c r="F522" t="inlineStr">
        <is>
          <t>Bergvik skog öst AB</t>
        </is>
      </c>
      <c r="G522" t="n">
        <v>2.1</v>
      </c>
      <c r="H522" t="n">
        <v>0</v>
      </c>
      <c r="I522" t="n">
        <v>0</v>
      </c>
      <c r="J522" t="n">
        <v>0</v>
      </c>
      <c r="K522" t="n">
        <v>0</v>
      </c>
      <c r="L522" t="n">
        <v>0</v>
      </c>
      <c r="M522" t="n">
        <v>0</v>
      </c>
      <c r="N522" t="n">
        <v>0</v>
      </c>
      <c r="O522" t="n">
        <v>0</v>
      </c>
      <c r="P522" t="n">
        <v>0</v>
      </c>
      <c r="Q522" t="n">
        <v>0</v>
      </c>
      <c r="R522" s="2" t="inlineStr"/>
    </row>
    <row r="523" ht="15" customHeight="1">
      <c r="A523" t="inlineStr">
        <is>
          <t>A 33732-2023</t>
        </is>
      </c>
      <c r="B523" s="1" t="n">
        <v>45133.32409722222</v>
      </c>
      <c r="C523" s="1" t="n">
        <v>46059</v>
      </c>
      <c r="D523" t="inlineStr">
        <is>
          <t>VÄSTMANLANDS LÄN</t>
        </is>
      </c>
      <c r="E523" t="inlineStr">
        <is>
          <t>SALA</t>
        </is>
      </c>
      <c r="G523" t="n">
        <v>2</v>
      </c>
      <c r="H523" t="n">
        <v>0</v>
      </c>
      <c r="I523" t="n">
        <v>0</v>
      </c>
      <c r="J523" t="n">
        <v>0</v>
      </c>
      <c r="K523" t="n">
        <v>0</v>
      </c>
      <c r="L523" t="n">
        <v>0</v>
      </c>
      <c r="M523" t="n">
        <v>0</v>
      </c>
      <c r="N523" t="n">
        <v>0</v>
      </c>
      <c r="O523" t="n">
        <v>0</v>
      </c>
      <c r="P523" t="n">
        <v>0</v>
      </c>
      <c r="Q523" t="n">
        <v>0</v>
      </c>
      <c r="R523" s="2" t="inlineStr"/>
    </row>
    <row r="524" ht="15" customHeight="1">
      <c r="A524" t="inlineStr">
        <is>
          <t>A 7166-2025</t>
        </is>
      </c>
      <c r="B524" s="1" t="n">
        <v>45702</v>
      </c>
      <c r="C524" s="1" t="n">
        <v>46059</v>
      </c>
      <c r="D524" t="inlineStr">
        <is>
          <t>VÄSTMANLANDS LÄN</t>
        </is>
      </c>
      <c r="E524" t="inlineStr">
        <is>
          <t>SALA</t>
        </is>
      </c>
      <c r="G524" t="n">
        <v>6.1</v>
      </c>
      <c r="H524" t="n">
        <v>0</v>
      </c>
      <c r="I524" t="n">
        <v>0</v>
      </c>
      <c r="J524" t="n">
        <v>0</v>
      </c>
      <c r="K524" t="n">
        <v>0</v>
      </c>
      <c r="L524" t="n">
        <v>0</v>
      </c>
      <c r="M524" t="n">
        <v>0</v>
      </c>
      <c r="N524" t="n">
        <v>0</v>
      </c>
      <c r="O524" t="n">
        <v>0</v>
      </c>
      <c r="P524" t="n">
        <v>0</v>
      </c>
      <c r="Q524" t="n">
        <v>0</v>
      </c>
      <c r="R524" s="2" t="inlineStr"/>
    </row>
    <row r="525" ht="15" customHeight="1">
      <c r="A525" t="inlineStr">
        <is>
          <t>A 44857-2023</t>
        </is>
      </c>
      <c r="B525" s="1" t="n">
        <v>45190.58479166667</v>
      </c>
      <c r="C525" s="1" t="n">
        <v>46059</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46352-2023</t>
        </is>
      </c>
      <c r="B526" s="1" t="n">
        <v>45192</v>
      </c>
      <c r="C526" s="1" t="n">
        <v>46059</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22397-2022</t>
        </is>
      </c>
      <c r="B527" s="1" t="n">
        <v>44713</v>
      </c>
      <c r="C527" s="1" t="n">
        <v>46059</v>
      </c>
      <c r="D527" t="inlineStr">
        <is>
          <t>VÄSTMANLANDS LÄN</t>
        </is>
      </c>
      <c r="E527" t="inlineStr">
        <is>
          <t>SALA</t>
        </is>
      </c>
      <c r="G527" t="n">
        <v>2.1</v>
      </c>
      <c r="H527" t="n">
        <v>0</v>
      </c>
      <c r="I527" t="n">
        <v>0</v>
      </c>
      <c r="J527" t="n">
        <v>0</v>
      </c>
      <c r="K527" t="n">
        <v>0</v>
      </c>
      <c r="L527" t="n">
        <v>0</v>
      </c>
      <c r="M527" t="n">
        <v>0</v>
      </c>
      <c r="N527" t="n">
        <v>0</v>
      </c>
      <c r="O527" t="n">
        <v>0</v>
      </c>
      <c r="P527" t="n">
        <v>0</v>
      </c>
      <c r="Q527" t="n">
        <v>0</v>
      </c>
      <c r="R527" s="2" t="inlineStr"/>
    </row>
    <row r="528" ht="15" customHeight="1">
      <c r="A528" t="inlineStr">
        <is>
          <t>A 27424-2023</t>
        </is>
      </c>
      <c r="B528" s="1" t="n">
        <v>45097.37690972222</v>
      </c>
      <c r="C528" s="1" t="n">
        <v>46059</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7469-2025</t>
        </is>
      </c>
      <c r="B529" s="1" t="n">
        <v>45705</v>
      </c>
      <c r="C529" s="1" t="n">
        <v>46059</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6691-2025</t>
        </is>
      </c>
      <c r="B530" s="1" t="n">
        <v>45700.50625</v>
      </c>
      <c r="C530" s="1" t="n">
        <v>46059</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60036-2024</t>
        </is>
      </c>
      <c r="B531" s="1" t="n">
        <v>45642.46434027778</v>
      </c>
      <c r="C531" s="1" t="n">
        <v>46059</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43188-2023</t>
        </is>
      </c>
      <c r="B532" s="1" t="n">
        <v>45183</v>
      </c>
      <c r="C532" s="1" t="n">
        <v>46059</v>
      </c>
      <c r="D532" t="inlineStr">
        <is>
          <t>VÄSTMANLANDS LÄN</t>
        </is>
      </c>
      <c r="E532" t="inlineStr">
        <is>
          <t>SALA</t>
        </is>
      </c>
      <c r="G532" t="n">
        <v>1.2</v>
      </c>
      <c r="H532" t="n">
        <v>0</v>
      </c>
      <c r="I532" t="n">
        <v>0</v>
      </c>
      <c r="J532" t="n">
        <v>0</v>
      </c>
      <c r="K532" t="n">
        <v>0</v>
      </c>
      <c r="L532" t="n">
        <v>0</v>
      </c>
      <c r="M532" t="n">
        <v>0</v>
      </c>
      <c r="N532" t="n">
        <v>0</v>
      </c>
      <c r="O532" t="n">
        <v>0</v>
      </c>
      <c r="P532" t="n">
        <v>0</v>
      </c>
      <c r="Q532" t="n">
        <v>0</v>
      </c>
      <c r="R532" s="2" t="inlineStr"/>
    </row>
    <row r="533" ht="15" customHeight="1">
      <c r="A533" t="inlineStr">
        <is>
          <t>A 43205-2023</t>
        </is>
      </c>
      <c r="B533" s="1" t="n">
        <v>45183</v>
      </c>
      <c r="C533" s="1" t="n">
        <v>46059</v>
      </c>
      <c r="D533" t="inlineStr">
        <is>
          <t>VÄSTMANLANDS LÄN</t>
        </is>
      </c>
      <c r="E533" t="inlineStr">
        <is>
          <t>SALA</t>
        </is>
      </c>
      <c r="G533" t="n">
        <v>2.1</v>
      </c>
      <c r="H533" t="n">
        <v>0</v>
      </c>
      <c r="I533" t="n">
        <v>0</v>
      </c>
      <c r="J533" t="n">
        <v>0</v>
      </c>
      <c r="K533" t="n">
        <v>0</v>
      </c>
      <c r="L533" t="n">
        <v>0</v>
      </c>
      <c r="M533" t="n">
        <v>0</v>
      </c>
      <c r="N533" t="n">
        <v>0</v>
      </c>
      <c r="O533" t="n">
        <v>0</v>
      </c>
      <c r="P533" t="n">
        <v>0</v>
      </c>
      <c r="Q533" t="n">
        <v>0</v>
      </c>
      <c r="R533" s="2" t="inlineStr"/>
    </row>
    <row r="534" ht="15" customHeight="1">
      <c r="A534" t="inlineStr">
        <is>
          <t>A 28827-2022</t>
        </is>
      </c>
      <c r="B534" s="1" t="n">
        <v>44749.45561342593</v>
      </c>
      <c r="C534" s="1" t="n">
        <v>46059</v>
      </c>
      <c r="D534" t="inlineStr">
        <is>
          <t>VÄSTMANLANDS LÄN</t>
        </is>
      </c>
      <c r="E534" t="inlineStr">
        <is>
          <t>SALA</t>
        </is>
      </c>
      <c r="F534" t="inlineStr">
        <is>
          <t>Kommuner</t>
        </is>
      </c>
      <c r="G534" t="n">
        <v>11.9</v>
      </c>
      <c r="H534" t="n">
        <v>0</v>
      </c>
      <c r="I534" t="n">
        <v>0</v>
      </c>
      <c r="J534" t="n">
        <v>0</v>
      </c>
      <c r="K534" t="n">
        <v>0</v>
      </c>
      <c r="L534" t="n">
        <v>0</v>
      </c>
      <c r="M534" t="n">
        <v>0</v>
      </c>
      <c r="N534" t="n">
        <v>0</v>
      </c>
      <c r="O534" t="n">
        <v>0</v>
      </c>
      <c r="P534" t="n">
        <v>0</v>
      </c>
      <c r="Q534" t="n">
        <v>0</v>
      </c>
      <c r="R534" s="2" t="inlineStr"/>
    </row>
    <row r="535" ht="15" customHeight="1">
      <c r="A535" t="inlineStr">
        <is>
          <t>A 15756-2025</t>
        </is>
      </c>
      <c r="B535" s="1" t="n">
        <v>45748.56810185185</v>
      </c>
      <c r="C535" s="1" t="n">
        <v>46059</v>
      </c>
      <c r="D535" t="inlineStr">
        <is>
          <t>VÄSTMANLANDS LÄN</t>
        </is>
      </c>
      <c r="E535" t="inlineStr">
        <is>
          <t>SALA</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19243-2025</t>
        </is>
      </c>
      <c r="B536" s="1" t="n">
        <v>45769</v>
      </c>
      <c r="C536" s="1" t="n">
        <v>46059</v>
      </c>
      <c r="D536" t="inlineStr">
        <is>
          <t>VÄSTMANLANDS LÄN</t>
        </is>
      </c>
      <c r="E536" t="inlineStr">
        <is>
          <t>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59297-2023</t>
        </is>
      </c>
      <c r="B537" s="1" t="n">
        <v>45253</v>
      </c>
      <c r="C537" s="1" t="n">
        <v>46059</v>
      </c>
      <c r="D537" t="inlineStr">
        <is>
          <t>VÄSTMANLANDS LÄN</t>
        </is>
      </c>
      <c r="E537" t="inlineStr">
        <is>
          <t>SALA</t>
        </is>
      </c>
      <c r="G537" t="n">
        <v>2</v>
      </c>
      <c r="H537" t="n">
        <v>0</v>
      </c>
      <c r="I537" t="n">
        <v>0</v>
      </c>
      <c r="J537" t="n">
        <v>0</v>
      </c>
      <c r="K537" t="n">
        <v>0</v>
      </c>
      <c r="L537" t="n">
        <v>0</v>
      </c>
      <c r="M537" t="n">
        <v>0</v>
      </c>
      <c r="N537" t="n">
        <v>0</v>
      </c>
      <c r="O537" t="n">
        <v>0</v>
      </c>
      <c r="P537" t="n">
        <v>0</v>
      </c>
      <c r="Q537" t="n">
        <v>0</v>
      </c>
      <c r="R537" s="2" t="inlineStr"/>
    </row>
    <row r="538" ht="15" customHeight="1">
      <c r="A538" t="inlineStr">
        <is>
          <t>A 6136-2025</t>
        </is>
      </c>
      <c r="B538" s="1" t="n">
        <v>45698.37601851852</v>
      </c>
      <c r="C538" s="1" t="n">
        <v>46059</v>
      </c>
      <c r="D538" t="inlineStr">
        <is>
          <t>VÄSTMANLANDS LÄN</t>
        </is>
      </c>
      <c r="E538" t="inlineStr">
        <is>
          <t>SALA</t>
        </is>
      </c>
      <c r="F538" t="inlineStr">
        <is>
          <t>Bergvik skog öst AB</t>
        </is>
      </c>
      <c r="G538" t="n">
        <v>2.2</v>
      </c>
      <c r="H538" t="n">
        <v>0</v>
      </c>
      <c r="I538" t="n">
        <v>0</v>
      </c>
      <c r="J538" t="n">
        <v>0</v>
      </c>
      <c r="K538" t="n">
        <v>0</v>
      </c>
      <c r="L538" t="n">
        <v>0</v>
      </c>
      <c r="M538" t="n">
        <v>0</v>
      </c>
      <c r="N538" t="n">
        <v>0</v>
      </c>
      <c r="O538" t="n">
        <v>0</v>
      </c>
      <c r="P538" t="n">
        <v>0</v>
      </c>
      <c r="Q538" t="n">
        <v>0</v>
      </c>
      <c r="R538" s="2" t="inlineStr"/>
    </row>
    <row r="539" ht="15" customHeight="1">
      <c r="A539" t="inlineStr">
        <is>
          <t>A 6190-2025</t>
        </is>
      </c>
      <c r="B539" s="1" t="n">
        <v>45698</v>
      </c>
      <c r="C539" s="1" t="n">
        <v>46059</v>
      </c>
      <c r="D539" t="inlineStr">
        <is>
          <t>VÄSTMANLANDS LÄN</t>
        </is>
      </c>
      <c r="E539" t="inlineStr">
        <is>
          <t>SALA</t>
        </is>
      </c>
      <c r="F539" t="inlineStr">
        <is>
          <t>Bergvik skog öst AB</t>
        </is>
      </c>
      <c r="G539" t="n">
        <v>4.6</v>
      </c>
      <c r="H539" t="n">
        <v>0</v>
      </c>
      <c r="I539" t="n">
        <v>0</v>
      </c>
      <c r="J539" t="n">
        <v>0</v>
      </c>
      <c r="K539" t="n">
        <v>0</v>
      </c>
      <c r="L539" t="n">
        <v>0</v>
      </c>
      <c r="M539" t="n">
        <v>0</v>
      </c>
      <c r="N539" t="n">
        <v>0</v>
      </c>
      <c r="O539" t="n">
        <v>0</v>
      </c>
      <c r="P539" t="n">
        <v>0</v>
      </c>
      <c r="Q539" t="n">
        <v>0</v>
      </c>
      <c r="R539" s="2" t="inlineStr"/>
    </row>
    <row r="540" ht="15" customHeight="1">
      <c r="A540" t="inlineStr">
        <is>
          <t>A 28863-2022</t>
        </is>
      </c>
      <c r="B540" s="1" t="n">
        <v>44749.50649305555</v>
      </c>
      <c r="C540" s="1" t="n">
        <v>46059</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25541-2024</t>
        </is>
      </c>
      <c r="B541" s="1" t="n">
        <v>45463.56337962963</v>
      </c>
      <c r="C541" s="1" t="n">
        <v>46059</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44750.57474537037</v>
      </c>
      <c r="C542" s="1" t="n">
        <v>46059</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56964-2023</t>
        </is>
      </c>
      <c r="B543" s="1" t="n">
        <v>45244.63140046296</v>
      </c>
      <c r="C543" s="1" t="n">
        <v>46059</v>
      </c>
      <c r="D543" t="inlineStr">
        <is>
          <t>VÄSTMANLANDS LÄN</t>
        </is>
      </c>
      <c r="E543" t="inlineStr">
        <is>
          <t>SALA</t>
        </is>
      </c>
      <c r="G543" t="n">
        <v>4.6</v>
      </c>
      <c r="H543" t="n">
        <v>0</v>
      </c>
      <c r="I543" t="n">
        <v>0</v>
      </c>
      <c r="J543" t="n">
        <v>0</v>
      </c>
      <c r="K543" t="n">
        <v>0</v>
      </c>
      <c r="L543" t="n">
        <v>0</v>
      </c>
      <c r="M543" t="n">
        <v>0</v>
      </c>
      <c r="N543" t="n">
        <v>0</v>
      </c>
      <c r="O543" t="n">
        <v>0</v>
      </c>
      <c r="P543" t="n">
        <v>0</v>
      </c>
      <c r="Q543" t="n">
        <v>0</v>
      </c>
      <c r="R543" s="2" t="inlineStr"/>
    </row>
    <row r="544" ht="15" customHeight="1">
      <c r="A544" t="inlineStr">
        <is>
          <t>A 1555-2024</t>
        </is>
      </c>
      <c r="B544" s="1" t="n">
        <v>45306</v>
      </c>
      <c r="C544" s="1" t="n">
        <v>46059</v>
      </c>
      <c r="D544" t="inlineStr">
        <is>
          <t>VÄSTMANLANDS LÄN</t>
        </is>
      </c>
      <c r="E544" t="inlineStr">
        <is>
          <t>SALA</t>
        </is>
      </c>
      <c r="G544" t="n">
        <v>1.3</v>
      </c>
      <c r="H544" t="n">
        <v>0</v>
      </c>
      <c r="I544" t="n">
        <v>0</v>
      </c>
      <c r="J544" t="n">
        <v>0</v>
      </c>
      <c r="K544" t="n">
        <v>0</v>
      </c>
      <c r="L544" t="n">
        <v>0</v>
      </c>
      <c r="M544" t="n">
        <v>0</v>
      </c>
      <c r="N544" t="n">
        <v>0</v>
      </c>
      <c r="O544" t="n">
        <v>0</v>
      </c>
      <c r="P544" t="n">
        <v>0</v>
      </c>
      <c r="Q544" t="n">
        <v>0</v>
      </c>
      <c r="R544" s="2" t="inlineStr"/>
    </row>
    <row r="545" ht="15" customHeight="1">
      <c r="A545" t="inlineStr">
        <is>
          <t>A 13188-2025</t>
        </is>
      </c>
      <c r="B545" s="1" t="n">
        <v>45735.39246527778</v>
      </c>
      <c r="C545" s="1" t="n">
        <v>46059</v>
      </c>
      <c r="D545" t="inlineStr">
        <is>
          <t>VÄSTMANLANDS LÄN</t>
        </is>
      </c>
      <c r="E545" t="inlineStr">
        <is>
          <t>SALA</t>
        </is>
      </c>
      <c r="F545" t="inlineStr">
        <is>
          <t>Naturvårdsverket</t>
        </is>
      </c>
      <c r="G545" t="n">
        <v>18.4</v>
      </c>
      <c r="H545" t="n">
        <v>0</v>
      </c>
      <c r="I545" t="n">
        <v>0</v>
      </c>
      <c r="J545" t="n">
        <v>0</v>
      </c>
      <c r="K545" t="n">
        <v>0</v>
      </c>
      <c r="L545" t="n">
        <v>0</v>
      </c>
      <c r="M545" t="n">
        <v>0</v>
      </c>
      <c r="N545" t="n">
        <v>0</v>
      </c>
      <c r="O545" t="n">
        <v>0</v>
      </c>
      <c r="P545" t="n">
        <v>0</v>
      </c>
      <c r="Q545" t="n">
        <v>0</v>
      </c>
      <c r="R545" s="2" t="inlineStr"/>
    </row>
    <row r="546" ht="15" customHeight="1">
      <c r="A546" t="inlineStr">
        <is>
          <t>A 7197-2025</t>
        </is>
      </c>
      <c r="B546" s="1" t="n">
        <v>45702</v>
      </c>
      <c r="C546" s="1" t="n">
        <v>46059</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15099-2025</t>
        </is>
      </c>
      <c r="B547" s="1" t="n">
        <v>45744.3434837963</v>
      </c>
      <c r="C547" s="1" t="n">
        <v>46059</v>
      </c>
      <c r="D547" t="inlineStr">
        <is>
          <t>VÄSTMANLANDS LÄN</t>
        </is>
      </c>
      <c r="E547" t="inlineStr">
        <is>
          <t>SALA</t>
        </is>
      </c>
      <c r="F547" t="inlineStr">
        <is>
          <t>Sveaskog</t>
        </is>
      </c>
      <c r="G547" t="n">
        <v>14.4</v>
      </c>
      <c r="H547" t="n">
        <v>0</v>
      </c>
      <c r="I547" t="n">
        <v>0</v>
      </c>
      <c r="J547" t="n">
        <v>0</v>
      </c>
      <c r="K547" t="n">
        <v>0</v>
      </c>
      <c r="L547" t="n">
        <v>0</v>
      </c>
      <c r="M547" t="n">
        <v>0</v>
      </c>
      <c r="N547" t="n">
        <v>0</v>
      </c>
      <c r="O547" t="n">
        <v>0</v>
      </c>
      <c r="P547" t="n">
        <v>0</v>
      </c>
      <c r="Q547" t="n">
        <v>0</v>
      </c>
      <c r="R547" s="2" t="inlineStr"/>
    </row>
    <row r="548" ht="15" customHeight="1">
      <c r="A548" t="inlineStr">
        <is>
          <t>A 2928-2024</t>
        </is>
      </c>
      <c r="B548" s="1" t="n">
        <v>45315.59041666667</v>
      </c>
      <c r="C548" s="1" t="n">
        <v>46059</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9962-2025</t>
        </is>
      </c>
      <c r="B549" s="1" t="n">
        <v>45719.37072916667</v>
      </c>
      <c r="C549" s="1" t="n">
        <v>46059</v>
      </c>
      <c r="D549" t="inlineStr">
        <is>
          <t>VÄSTMANLANDS LÄN</t>
        </is>
      </c>
      <c r="E549" t="inlineStr">
        <is>
          <t>SALA</t>
        </is>
      </c>
      <c r="G549" t="n">
        <v>4.5</v>
      </c>
      <c r="H549" t="n">
        <v>0</v>
      </c>
      <c r="I549" t="n">
        <v>0</v>
      </c>
      <c r="J549" t="n">
        <v>0</v>
      </c>
      <c r="K549" t="n">
        <v>0</v>
      </c>
      <c r="L549" t="n">
        <v>0</v>
      </c>
      <c r="M549" t="n">
        <v>0</v>
      </c>
      <c r="N549" t="n">
        <v>0</v>
      </c>
      <c r="O549" t="n">
        <v>0</v>
      </c>
      <c r="P549" t="n">
        <v>0</v>
      </c>
      <c r="Q549" t="n">
        <v>0</v>
      </c>
      <c r="R549" s="2" t="inlineStr"/>
    </row>
    <row r="550" ht="15" customHeight="1">
      <c r="A550" t="inlineStr">
        <is>
          <t>A 14024-2025</t>
        </is>
      </c>
      <c r="B550" s="1" t="n">
        <v>45740.34650462963</v>
      </c>
      <c r="C550" s="1" t="n">
        <v>46059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3551-2024</t>
        </is>
      </c>
      <c r="B551" s="1" t="n">
        <v>45320.61099537037</v>
      </c>
      <c r="C551" s="1" t="n">
        <v>46059</v>
      </c>
      <c r="D551" t="inlineStr">
        <is>
          <t>VÄSTMANLANDS LÄN</t>
        </is>
      </c>
      <c r="E551" t="inlineStr">
        <is>
          <t>SALA</t>
        </is>
      </c>
      <c r="F551" t="inlineStr">
        <is>
          <t>Kommuner</t>
        </is>
      </c>
      <c r="G551" t="n">
        <v>6</v>
      </c>
      <c r="H551" t="n">
        <v>0</v>
      </c>
      <c r="I551" t="n">
        <v>0</v>
      </c>
      <c r="J551" t="n">
        <v>0</v>
      </c>
      <c r="K551" t="n">
        <v>0</v>
      </c>
      <c r="L551" t="n">
        <v>0</v>
      </c>
      <c r="M551" t="n">
        <v>0</v>
      </c>
      <c r="N551" t="n">
        <v>0</v>
      </c>
      <c r="O551" t="n">
        <v>0</v>
      </c>
      <c r="P551" t="n">
        <v>0</v>
      </c>
      <c r="Q551" t="n">
        <v>0</v>
      </c>
      <c r="R551" s="2" t="inlineStr"/>
    </row>
    <row r="552" ht="15" customHeight="1">
      <c r="A552" t="inlineStr">
        <is>
          <t>A 62635-2022</t>
        </is>
      </c>
      <c r="B552" s="1" t="n">
        <v>44917</v>
      </c>
      <c r="C552" s="1" t="n">
        <v>46059</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19304-2025</t>
        </is>
      </c>
      <c r="B553" s="1" t="n">
        <v>45769</v>
      </c>
      <c r="C553" s="1" t="n">
        <v>46059</v>
      </c>
      <c r="D553" t="inlineStr">
        <is>
          <t>VÄSTMANLANDS LÄN</t>
        </is>
      </c>
      <c r="E553" t="inlineStr">
        <is>
          <t>SALA</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56057-2023</t>
        </is>
      </c>
      <c r="B554" s="1" t="n">
        <v>45233</v>
      </c>
      <c r="C554" s="1" t="n">
        <v>46059</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55024-2023</t>
        </is>
      </c>
      <c r="B555" s="1" t="n">
        <v>45229</v>
      </c>
      <c r="C555" s="1" t="n">
        <v>46059</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55032-2023</t>
        </is>
      </c>
      <c r="B556" s="1" t="n">
        <v>45229</v>
      </c>
      <c r="C556" s="1" t="n">
        <v>46059</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29248-2022</t>
        </is>
      </c>
      <c r="B557" s="1" t="n">
        <v>44750</v>
      </c>
      <c r="C557" s="1" t="n">
        <v>46059</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59175-2022</t>
        </is>
      </c>
      <c r="B558" s="1" t="n">
        <v>44904.48502314815</v>
      </c>
      <c r="C558" s="1" t="n">
        <v>46059</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39451-2022</t>
        </is>
      </c>
      <c r="B559" s="1" t="n">
        <v>44818.36606481481</v>
      </c>
      <c r="C559" s="1" t="n">
        <v>46059</v>
      </c>
      <c r="D559" t="inlineStr">
        <is>
          <t>VÄSTMANLANDS LÄN</t>
        </is>
      </c>
      <c r="E559" t="inlineStr">
        <is>
          <t>SALA</t>
        </is>
      </c>
      <c r="G559" t="n">
        <v>9.4</v>
      </c>
      <c r="H559" t="n">
        <v>0</v>
      </c>
      <c r="I559" t="n">
        <v>0</v>
      </c>
      <c r="J559" t="n">
        <v>0</v>
      </c>
      <c r="K559" t="n">
        <v>0</v>
      </c>
      <c r="L559" t="n">
        <v>0</v>
      </c>
      <c r="M559" t="n">
        <v>0</v>
      </c>
      <c r="N559" t="n">
        <v>0</v>
      </c>
      <c r="O559" t="n">
        <v>0</v>
      </c>
      <c r="P559" t="n">
        <v>0</v>
      </c>
      <c r="Q559" t="n">
        <v>0</v>
      </c>
      <c r="R559" s="2" t="inlineStr"/>
    </row>
    <row r="560" ht="15" customHeight="1">
      <c r="A560" t="inlineStr">
        <is>
          <t>A 11631-2023</t>
        </is>
      </c>
      <c r="B560" s="1" t="n">
        <v>44994.44001157407</v>
      </c>
      <c r="C560" s="1" t="n">
        <v>46059</v>
      </c>
      <c r="D560" t="inlineStr">
        <is>
          <t>VÄSTMANLANDS LÄN</t>
        </is>
      </c>
      <c r="E560" t="inlineStr">
        <is>
          <t>SALA</t>
        </is>
      </c>
      <c r="F560" t="inlineStr">
        <is>
          <t>Kommuner</t>
        </is>
      </c>
      <c r="G560" t="n">
        <v>1.9</v>
      </c>
      <c r="H560" t="n">
        <v>0</v>
      </c>
      <c r="I560" t="n">
        <v>0</v>
      </c>
      <c r="J560" t="n">
        <v>0</v>
      </c>
      <c r="K560" t="n">
        <v>0</v>
      </c>
      <c r="L560" t="n">
        <v>0</v>
      </c>
      <c r="M560" t="n">
        <v>0</v>
      </c>
      <c r="N560" t="n">
        <v>0</v>
      </c>
      <c r="O560" t="n">
        <v>0</v>
      </c>
      <c r="P560" t="n">
        <v>0</v>
      </c>
      <c r="Q560" t="n">
        <v>0</v>
      </c>
      <c r="R560" s="2" t="inlineStr"/>
    </row>
    <row r="561" ht="15" customHeight="1">
      <c r="A561" t="inlineStr">
        <is>
          <t>A 62648-2022</t>
        </is>
      </c>
      <c r="B561" s="1" t="n">
        <v>44917</v>
      </c>
      <c r="C561" s="1" t="n">
        <v>46059</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1934-2023</t>
        </is>
      </c>
      <c r="B562" s="1" t="n">
        <v>44939.43024305555</v>
      </c>
      <c r="C562" s="1" t="n">
        <v>46059</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11927-2025</t>
        </is>
      </c>
      <c r="B563" s="1" t="n">
        <v>45728.5137962963</v>
      </c>
      <c r="C563" s="1" t="n">
        <v>46059</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60823-2024</t>
        </is>
      </c>
      <c r="B564" s="1" t="n">
        <v>45644</v>
      </c>
      <c r="C564" s="1" t="n">
        <v>46059</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96-2024</t>
        </is>
      </c>
      <c r="B565" s="1" t="n">
        <v>45293.85872685185</v>
      </c>
      <c r="C565" s="1" t="n">
        <v>46059</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23374-2023</t>
        </is>
      </c>
      <c r="B566" s="1" t="n">
        <v>45076.4399537037</v>
      </c>
      <c r="C566" s="1" t="n">
        <v>46059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61874-2021</t>
        </is>
      </c>
      <c r="B567" s="1" t="n">
        <v>44502</v>
      </c>
      <c r="C567" s="1" t="n">
        <v>46059</v>
      </c>
      <c r="D567" t="inlineStr">
        <is>
          <t>VÄSTMANLANDS LÄN</t>
        </is>
      </c>
      <c r="E567" t="inlineStr">
        <is>
          <t>SALA</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9856-2022</t>
        </is>
      </c>
      <c r="B568" s="1" t="n">
        <v>44620</v>
      </c>
      <c r="C568" s="1" t="n">
        <v>46059</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16159-2024</t>
        </is>
      </c>
      <c r="B569" s="1" t="n">
        <v>45406</v>
      </c>
      <c r="C569" s="1" t="n">
        <v>46059</v>
      </c>
      <c r="D569" t="inlineStr">
        <is>
          <t>VÄSTMANLANDS LÄN</t>
        </is>
      </c>
      <c r="E569" t="inlineStr">
        <is>
          <t>SALA</t>
        </is>
      </c>
      <c r="G569" t="n">
        <v>0.4</v>
      </c>
      <c r="H569" t="n">
        <v>0</v>
      </c>
      <c r="I569" t="n">
        <v>0</v>
      </c>
      <c r="J569" t="n">
        <v>0</v>
      </c>
      <c r="K569" t="n">
        <v>0</v>
      </c>
      <c r="L569" t="n">
        <v>0</v>
      </c>
      <c r="M569" t="n">
        <v>0</v>
      </c>
      <c r="N569" t="n">
        <v>0</v>
      </c>
      <c r="O569" t="n">
        <v>0</v>
      </c>
      <c r="P569" t="n">
        <v>0</v>
      </c>
      <c r="Q569" t="n">
        <v>0</v>
      </c>
      <c r="R569" s="2" t="inlineStr"/>
    </row>
    <row r="570" ht="15" customHeight="1">
      <c r="A570" t="inlineStr">
        <is>
          <t>A 50241-2023</t>
        </is>
      </c>
      <c r="B570" s="1" t="n">
        <v>45216</v>
      </c>
      <c r="C570" s="1" t="n">
        <v>46059</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3332-2024</t>
        </is>
      </c>
      <c r="B571" s="1" t="n">
        <v>45317</v>
      </c>
      <c r="C571" s="1" t="n">
        <v>46059</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35637-2022</t>
        </is>
      </c>
      <c r="B572" s="1" t="n">
        <v>44799.55194444444</v>
      </c>
      <c r="C572" s="1" t="n">
        <v>46059</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57883-2024</t>
        </is>
      </c>
      <c r="B573" s="1" t="n">
        <v>45630</v>
      </c>
      <c r="C573" s="1" t="n">
        <v>46059</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50876-2023</t>
        </is>
      </c>
      <c r="B574" s="1" t="n">
        <v>45211</v>
      </c>
      <c r="C574" s="1" t="n">
        <v>46059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37624-2024</t>
        </is>
      </c>
      <c r="B575" s="1" t="n">
        <v>45541</v>
      </c>
      <c r="C575" s="1" t="n">
        <v>46059</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40398-2021</t>
        </is>
      </c>
      <c r="B576" s="1" t="n">
        <v>44419</v>
      </c>
      <c r="C576" s="1" t="n">
        <v>46059</v>
      </c>
      <c r="D576" t="inlineStr">
        <is>
          <t>VÄSTMANLANDS LÄN</t>
        </is>
      </c>
      <c r="E576" t="inlineStr">
        <is>
          <t>SALA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6351-2023</t>
        </is>
      </c>
      <c r="B577" s="1" t="n">
        <v>44965</v>
      </c>
      <c r="C577" s="1" t="n">
        <v>46059</v>
      </c>
      <c r="D577" t="inlineStr">
        <is>
          <t>VÄSTMANLANDS LÄN</t>
        </is>
      </c>
      <c r="E577" t="inlineStr">
        <is>
          <t>SALA</t>
        </is>
      </c>
      <c r="F577" t="inlineStr">
        <is>
          <t>Kommuner</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27262-2024</t>
        </is>
      </c>
      <c r="B578" s="1" t="n">
        <v>45471</v>
      </c>
      <c r="C578" s="1" t="n">
        <v>46059</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15584-2021</t>
        </is>
      </c>
      <c r="B579" s="1" t="n">
        <v>44285</v>
      </c>
      <c r="C579" s="1" t="n">
        <v>46059</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23119-2022</t>
        </is>
      </c>
      <c r="B580" s="1" t="n">
        <v>44719.56697916667</v>
      </c>
      <c r="C580" s="1" t="n">
        <v>46059</v>
      </c>
      <c r="D580" t="inlineStr">
        <is>
          <t>VÄSTMANLANDS LÄN</t>
        </is>
      </c>
      <c r="E580" t="inlineStr">
        <is>
          <t>SALA</t>
        </is>
      </c>
      <c r="G580" t="n">
        <v>7</v>
      </c>
      <c r="H580" t="n">
        <v>0</v>
      </c>
      <c r="I580" t="n">
        <v>0</v>
      </c>
      <c r="J580" t="n">
        <v>0</v>
      </c>
      <c r="K580" t="n">
        <v>0</v>
      </c>
      <c r="L580" t="n">
        <v>0</v>
      </c>
      <c r="M580" t="n">
        <v>0</v>
      </c>
      <c r="N580" t="n">
        <v>0</v>
      </c>
      <c r="O580" t="n">
        <v>0</v>
      </c>
      <c r="P580" t="n">
        <v>0</v>
      </c>
      <c r="Q580" t="n">
        <v>0</v>
      </c>
      <c r="R580" s="2" t="inlineStr"/>
    </row>
    <row r="581" ht="15" customHeight="1">
      <c r="A581" t="inlineStr">
        <is>
          <t>A 43751-2021</t>
        </is>
      </c>
      <c r="B581" s="1" t="n">
        <v>44433</v>
      </c>
      <c r="C581" s="1" t="n">
        <v>46059</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59483-2022</t>
        </is>
      </c>
      <c r="B582" s="1" t="n">
        <v>44907.45679398148</v>
      </c>
      <c r="C582" s="1" t="n">
        <v>46059</v>
      </c>
      <c r="D582" t="inlineStr">
        <is>
          <t>VÄSTMANLANDS LÄN</t>
        </is>
      </c>
      <c r="E582" t="inlineStr">
        <is>
          <t>SALA</t>
        </is>
      </c>
      <c r="G582" t="n">
        <v>5.2</v>
      </c>
      <c r="H582" t="n">
        <v>0</v>
      </c>
      <c r="I582" t="n">
        <v>0</v>
      </c>
      <c r="J582" t="n">
        <v>0</v>
      </c>
      <c r="K582" t="n">
        <v>0</v>
      </c>
      <c r="L582" t="n">
        <v>0</v>
      </c>
      <c r="M582" t="n">
        <v>0</v>
      </c>
      <c r="N582" t="n">
        <v>0</v>
      </c>
      <c r="O582" t="n">
        <v>0</v>
      </c>
      <c r="P582" t="n">
        <v>0</v>
      </c>
      <c r="Q582" t="n">
        <v>0</v>
      </c>
      <c r="R582" s="2" t="inlineStr"/>
    </row>
    <row r="583" ht="15" customHeight="1">
      <c r="A583" t="inlineStr">
        <is>
          <t>A 73673-2021</t>
        </is>
      </c>
      <c r="B583" s="1" t="n">
        <v>44552.46501157407</v>
      </c>
      <c r="C583" s="1" t="n">
        <v>46059</v>
      </c>
      <c r="D583" t="inlineStr">
        <is>
          <t>VÄSTMANLANDS LÄN</t>
        </is>
      </c>
      <c r="E583" t="inlineStr">
        <is>
          <t>SALA</t>
        </is>
      </c>
      <c r="G583" t="n">
        <v>11.4</v>
      </c>
      <c r="H583" t="n">
        <v>0</v>
      </c>
      <c r="I583" t="n">
        <v>0</v>
      </c>
      <c r="J583" t="n">
        <v>0</v>
      </c>
      <c r="K583" t="n">
        <v>0</v>
      </c>
      <c r="L583" t="n">
        <v>0</v>
      </c>
      <c r="M583" t="n">
        <v>0</v>
      </c>
      <c r="N583" t="n">
        <v>0</v>
      </c>
      <c r="O583" t="n">
        <v>0</v>
      </c>
      <c r="P583" t="n">
        <v>0</v>
      </c>
      <c r="Q583" t="n">
        <v>0</v>
      </c>
      <c r="R583" s="2" t="inlineStr"/>
    </row>
    <row r="584" ht="15" customHeight="1">
      <c r="A584" t="inlineStr">
        <is>
          <t>A 4853-2023</t>
        </is>
      </c>
      <c r="B584" s="1" t="n">
        <v>44957.73234953704</v>
      </c>
      <c r="C584" s="1" t="n">
        <v>46059</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1993-2022</t>
        </is>
      </c>
      <c r="B585" s="1" t="n">
        <v>44575</v>
      </c>
      <c r="C585" s="1" t="n">
        <v>46059</v>
      </c>
      <c r="D585" t="inlineStr">
        <is>
          <t>VÄSTMANLANDS LÄN</t>
        </is>
      </c>
      <c r="E585" t="inlineStr">
        <is>
          <t>SALA</t>
        </is>
      </c>
      <c r="G585" t="n">
        <v>1.6</v>
      </c>
      <c r="H585" t="n">
        <v>0</v>
      </c>
      <c r="I585" t="n">
        <v>0</v>
      </c>
      <c r="J585" t="n">
        <v>0</v>
      </c>
      <c r="K585" t="n">
        <v>0</v>
      </c>
      <c r="L585" t="n">
        <v>0</v>
      </c>
      <c r="M585" t="n">
        <v>0</v>
      </c>
      <c r="N585" t="n">
        <v>0</v>
      </c>
      <c r="O585" t="n">
        <v>0</v>
      </c>
      <c r="P585" t="n">
        <v>0</v>
      </c>
      <c r="Q585" t="n">
        <v>0</v>
      </c>
      <c r="R585" s="2" t="inlineStr"/>
    </row>
    <row r="586" ht="15" customHeight="1">
      <c r="A586" t="inlineStr">
        <is>
          <t>A 1793-2023</t>
        </is>
      </c>
      <c r="B586" s="1" t="n">
        <v>44937</v>
      </c>
      <c r="C586" s="1" t="n">
        <v>46059</v>
      </c>
      <c r="D586" t="inlineStr">
        <is>
          <t>VÄSTMANLANDS LÄN</t>
        </is>
      </c>
      <c r="E586" t="inlineStr">
        <is>
          <t>SALA</t>
        </is>
      </c>
      <c r="G586" t="n">
        <v>2.6</v>
      </c>
      <c r="H586" t="n">
        <v>0</v>
      </c>
      <c r="I586" t="n">
        <v>0</v>
      </c>
      <c r="J586" t="n">
        <v>0</v>
      </c>
      <c r="K586" t="n">
        <v>0</v>
      </c>
      <c r="L586" t="n">
        <v>0</v>
      </c>
      <c r="M586" t="n">
        <v>0</v>
      </c>
      <c r="N586" t="n">
        <v>0</v>
      </c>
      <c r="O586" t="n">
        <v>0</v>
      </c>
      <c r="P586" t="n">
        <v>0</v>
      </c>
      <c r="Q586" t="n">
        <v>0</v>
      </c>
      <c r="R586" s="2" t="inlineStr"/>
    </row>
    <row r="587" ht="15" customHeight="1">
      <c r="A587" t="inlineStr">
        <is>
          <t>A 42447-2022</t>
        </is>
      </c>
      <c r="B587" s="1" t="n">
        <v>44831</v>
      </c>
      <c r="C587" s="1" t="n">
        <v>46059</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11183-2023</t>
        </is>
      </c>
      <c r="B588" s="1" t="n">
        <v>44992.57782407408</v>
      </c>
      <c r="C588" s="1" t="n">
        <v>46059</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11190-2023</t>
        </is>
      </c>
      <c r="B589" s="1" t="n">
        <v>44992</v>
      </c>
      <c r="C589" s="1" t="n">
        <v>46059</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31950-2023</t>
        </is>
      </c>
      <c r="B590" s="1" t="n">
        <v>45107</v>
      </c>
      <c r="C590" s="1" t="n">
        <v>46059</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48710-2024</t>
        </is>
      </c>
      <c r="B591" s="1" t="n">
        <v>45593.53636574074</v>
      </c>
      <c r="C591" s="1" t="n">
        <v>46059</v>
      </c>
      <c r="D591" t="inlineStr">
        <is>
          <t>VÄSTMANLANDS LÄN</t>
        </is>
      </c>
      <c r="E591" t="inlineStr">
        <is>
          <t>SALA</t>
        </is>
      </c>
      <c r="G591" t="n">
        <v>6.5</v>
      </c>
      <c r="H591" t="n">
        <v>0</v>
      </c>
      <c r="I591" t="n">
        <v>0</v>
      </c>
      <c r="J591" t="n">
        <v>0</v>
      </c>
      <c r="K591" t="n">
        <v>0</v>
      </c>
      <c r="L591" t="n">
        <v>0</v>
      </c>
      <c r="M591" t="n">
        <v>0</v>
      </c>
      <c r="N591" t="n">
        <v>0</v>
      </c>
      <c r="O591" t="n">
        <v>0</v>
      </c>
      <c r="P591" t="n">
        <v>0</v>
      </c>
      <c r="Q591" t="n">
        <v>0</v>
      </c>
      <c r="R591" s="2" t="inlineStr"/>
    </row>
    <row r="592" ht="15" customHeight="1">
      <c r="A592" t="inlineStr">
        <is>
          <t>A 23406-2024</t>
        </is>
      </c>
      <c r="B592" s="1" t="n">
        <v>45453.58296296297</v>
      </c>
      <c r="C592" s="1" t="n">
        <v>46059</v>
      </c>
      <c r="D592" t="inlineStr">
        <is>
          <t>VÄSTMANLANDS LÄN</t>
        </is>
      </c>
      <c r="E592" t="inlineStr">
        <is>
          <t>SALA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12246-2023</t>
        </is>
      </c>
      <c r="B593" s="1" t="n">
        <v>44995</v>
      </c>
      <c r="C593" s="1" t="n">
        <v>46059</v>
      </c>
      <c r="D593" t="inlineStr">
        <is>
          <t>VÄSTMANLANDS LÄN</t>
        </is>
      </c>
      <c r="E593" t="inlineStr">
        <is>
          <t>SALA</t>
        </is>
      </c>
      <c r="G593" t="n">
        <v>2.4</v>
      </c>
      <c r="H593" t="n">
        <v>0</v>
      </c>
      <c r="I593" t="n">
        <v>0</v>
      </c>
      <c r="J593" t="n">
        <v>0</v>
      </c>
      <c r="K593" t="n">
        <v>0</v>
      </c>
      <c r="L593" t="n">
        <v>0</v>
      </c>
      <c r="M593" t="n">
        <v>0</v>
      </c>
      <c r="N593" t="n">
        <v>0</v>
      </c>
      <c r="O593" t="n">
        <v>0</v>
      </c>
      <c r="P593" t="n">
        <v>0</v>
      </c>
      <c r="Q593" t="n">
        <v>0</v>
      </c>
      <c r="R593" s="2" t="inlineStr"/>
    </row>
    <row r="594" ht="15" customHeight="1">
      <c r="A594" t="inlineStr">
        <is>
          <t>A 48571-2024</t>
        </is>
      </c>
      <c r="B594" s="1" t="n">
        <v>45591</v>
      </c>
      <c r="C594" s="1" t="n">
        <v>46059</v>
      </c>
      <c r="D594" t="inlineStr">
        <is>
          <t>VÄSTMANLANDS LÄN</t>
        </is>
      </c>
      <c r="E594" t="inlineStr">
        <is>
          <t>SALA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43362-2023</t>
        </is>
      </c>
      <c r="B595" s="1" t="n">
        <v>45183</v>
      </c>
      <c r="C595" s="1" t="n">
        <v>46059</v>
      </c>
      <c r="D595" t="inlineStr">
        <is>
          <t>VÄSTMANLANDS LÄN</t>
        </is>
      </c>
      <c r="E595" t="inlineStr">
        <is>
          <t>SALA</t>
        </is>
      </c>
      <c r="G595" t="n">
        <v>2</v>
      </c>
      <c r="H595" t="n">
        <v>0</v>
      </c>
      <c r="I595" t="n">
        <v>0</v>
      </c>
      <c r="J595" t="n">
        <v>0</v>
      </c>
      <c r="K595" t="n">
        <v>0</v>
      </c>
      <c r="L595" t="n">
        <v>0</v>
      </c>
      <c r="M595" t="n">
        <v>0</v>
      </c>
      <c r="N595" t="n">
        <v>0</v>
      </c>
      <c r="O595" t="n">
        <v>0</v>
      </c>
      <c r="P595" t="n">
        <v>0</v>
      </c>
      <c r="Q595" t="n">
        <v>0</v>
      </c>
      <c r="R595" s="2" t="inlineStr"/>
    </row>
    <row r="596" ht="15" customHeight="1">
      <c r="A596" t="inlineStr">
        <is>
          <t>A 16767-2024</t>
        </is>
      </c>
      <c r="B596" s="1" t="n">
        <v>45411.38171296296</v>
      </c>
      <c r="C596" s="1" t="n">
        <v>46059</v>
      </c>
      <c r="D596" t="inlineStr">
        <is>
          <t>VÄSTMANLANDS LÄN</t>
        </is>
      </c>
      <c r="E596" t="inlineStr">
        <is>
          <t>SALA</t>
        </is>
      </c>
      <c r="G596" t="n">
        <v>2.5</v>
      </c>
      <c r="H596" t="n">
        <v>0</v>
      </c>
      <c r="I596" t="n">
        <v>0</v>
      </c>
      <c r="J596" t="n">
        <v>0</v>
      </c>
      <c r="K596" t="n">
        <v>0</v>
      </c>
      <c r="L596" t="n">
        <v>0</v>
      </c>
      <c r="M596" t="n">
        <v>0</v>
      </c>
      <c r="N596" t="n">
        <v>0</v>
      </c>
      <c r="O596" t="n">
        <v>0</v>
      </c>
      <c r="P596" t="n">
        <v>0</v>
      </c>
      <c r="Q596" t="n">
        <v>0</v>
      </c>
      <c r="R596" s="2" t="inlineStr"/>
    </row>
    <row r="597" ht="15" customHeight="1">
      <c r="A597" t="inlineStr">
        <is>
          <t>A 31470-2021</t>
        </is>
      </c>
      <c r="B597" s="1" t="n">
        <v>44369</v>
      </c>
      <c r="C597" s="1" t="n">
        <v>46059</v>
      </c>
      <c r="D597" t="inlineStr">
        <is>
          <t>VÄSTMANLANDS LÄN</t>
        </is>
      </c>
      <c r="E597" t="inlineStr">
        <is>
          <t>SALA</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18461-2024</t>
        </is>
      </c>
      <c r="B598" s="1" t="n">
        <v>45425.47435185185</v>
      </c>
      <c r="C598" s="1" t="n">
        <v>46059</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29230-2022</t>
        </is>
      </c>
      <c r="B599" s="1" t="n">
        <v>44750</v>
      </c>
      <c r="C599" s="1" t="n">
        <v>46059</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9335-2022</t>
        </is>
      </c>
      <c r="B600" s="1" t="n">
        <v>44616.56579861111</v>
      </c>
      <c r="C600" s="1" t="n">
        <v>46059</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47479-2024</t>
        </is>
      </c>
      <c r="B601" s="1" t="n">
        <v>45587</v>
      </c>
      <c r="C601" s="1" t="n">
        <v>46059</v>
      </c>
      <c r="D601" t="inlineStr">
        <is>
          <t>VÄSTMANLANDS LÄN</t>
        </is>
      </c>
      <c r="E601" t="inlineStr">
        <is>
          <t>SALA</t>
        </is>
      </c>
      <c r="F601" t="inlineStr">
        <is>
          <t>Kommuner</t>
        </is>
      </c>
      <c r="G601" t="n">
        <v>0.8</v>
      </c>
      <c r="H601" t="n">
        <v>0</v>
      </c>
      <c r="I601" t="n">
        <v>0</v>
      </c>
      <c r="J601" t="n">
        <v>0</v>
      </c>
      <c r="K601" t="n">
        <v>0</v>
      </c>
      <c r="L601" t="n">
        <v>0</v>
      </c>
      <c r="M601" t="n">
        <v>0</v>
      </c>
      <c r="N601" t="n">
        <v>0</v>
      </c>
      <c r="O601" t="n">
        <v>0</v>
      </c>
      <c r="P601" t="n">
        <v>0</v>
      </c>
      <c r="Q601" t="n">
        <v>0</v>
      </c>
      <c r="R601" s="2" t="inlineStr"/>
    </row>
    <row r="602" ht="15" customHeight="1">
      <c r="A602" t="inlineStr">
        <is>
          <t>A 19065-2022</t>
        </is>
      </c>
      <c r="B602" s="1" t="n">
        <v>44691.44309027777</v>
      </c>
      <c r="C602" s="1" t="n">
        <v>46059</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22961-2023</t>
        </is>
      </c>
      <c r="B603" s="1" t="n">
        <v>45072</v>
      </c>
      <c r="C603" s="1" t="n">
        <v>46059</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22963-2023</t>
        </is>
      </c>
      <c r="B604" s="1" t="n">
        <v>45072</v>
      </c>
      <c r="C604" s="1" t="n">
        <v>46059</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10585-2022</t>
        </is>
      </c>
      <c r="B605" s="1" t="n">
        <v>44624</v>
      </c>
      <c r="C605" s="1" t="n">
        <v>46059</v>
      </c>
      <c r="D605" t="inlineStr">
        <is>
          <t>VÄSTMANLANDS LÄN</t>
        </is>
      </c>
      <c r="E605" t="inlineStr">
        <is>
          <t>SALA</t>
        </is>
      </c>
      <c r="G605" t="n">
        <v>2</v>
      </c>
      <c r="H605" t="n">
        <v>0</v>
      </c>
      <c r="I605" t="n">
        <v>0</v>
      </c>
      <c r="J605" t="n">
        <v>0</v>
      </c>
      <c r="K605" t="n">
        <v>0</v>
      </c>
      <c r="L605" t="n">
        <v>0</v>
      </c>
      <c r="M605" t="n">
        <v>0</v>
      </c>
      <c r="N605" t="n">
        <v>0</v>
      </c>
      <c r="O605" t="n">
        <v>0</v>
      </c>
      <c r="P605" t="n">
        <v>0</v>
      </c>
      <c r="Q605" t="n">
        <v>0</v>
      </c>
      <c r="R605" s="2" t="inlineStr"/>
    </row>
    <row r="606" ht="15" customHeight="1">
      <c r="A606" t="inlineStr">
        <is>
          <t>A 69236-2021</t>
        </is>
      </c>
      <c r="B606" s="1" t="n">
        <v>44531.4047337963</v>
      </c>
      <c r="C606" s="1" t="n">
        <v>46059</v>
      </c>
      <c r="D606" t="inlineStr">
        <is>
          <t>VÄSTMANLANDS LÄN</t>
        </is>
      </c>
      <c r="E606" t="inlineStr">
        <is>
          <t>SALA</t>
        </is>
      </c>
      <c r="G606" t="n">
        <v>2.8</v>
      </c>
      <c r="H606" t="n">
        <v>0</v>
      </c>
      <c r="I606" t="n">
        <v>0</v>
      </c>
      <c r="J606" t="n">
        <v>0</v>
      </c>
      <c r="K606" t="n">
        <v>0</v>
      </c>
      <c r="L606" t="n">
        <v>0</v>
      </c>
      <c r="M606" t="n">
        <v>0</v>
      </c>
      <c r="N606" t="n">
        <v>0</v>
      </c>
      <c r="O606" t="n">
        <v>0</v>
      </c>
      <c r="P606" t="n">
        <v>0</v>
      </c>
      <c r="Q606" t="n">
        <v>0</v>
      </c>
      <c r="R606" s="2" t="inlineStr"/>
    </row>
    <row r="607" ht="15" customHeight="1">
      <c r="A607" t="inlineStr">
        <is>
          <t>A 48117-2024</t>
        </is>
      </c>
      <c r="B607" s="1" t="n">
        <v>45589</v>
      </c>
      <c r="C607" s="1" t="n">
        <v>46059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12225-2023</t>
        </is>
      </c>
      <c r="B608" s="1" t="n">
        <v>44995</v>
      </c>
      <c r="C608" s="1" t="n">
        <v>46059</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12252-2023</t>
        </is>
      </c>
      <c r="B609" s="1" t="n">
        <v>44995</v>
      </c>
      <c r="C609" s="1" t="n">
        <v>46059</v>
      </c>
      <c r="D609" t="inlineStr">
        <is>
          <t>VÄSTMANLANDS LÄN</t>
        </is>
      </c>
      <c r="E609" t="inlineStr">
        <is>
          <t>SALA</t>
        </is>
      </c>
      <c r="G609" t="n">
        <v>2.6</v>
      </c>
      <c r="H609" t="n">
        <v>0</v>
      </c>
      <c r="I609" t="n">
        <v>0</v>
      </c>
      <c r="J609" t="n">
        <v>0</v>
      </c>
      <c r="K609" t="n">
        <v>0</v>
      </c>
      <c r="L609" t="n">
        <v>0</v>
      </c>
      <c r="M609" t="n">
        <v>0</v>
      </c>
      <c r="N609" t="n">
        <v>0</v>
      </c>
      <c r="O609" t="n">
        <v>0</v>
      </c>
      <c r="P609" t="n">
        <v>0</v>
      </c>
      <c r="Q609" t="n">
        <v>0</v>
      </c>
      <c r="R609" s="2" t="inlineStr"/>
    </row>
    <row r="610" ht="15" customHeight="1">
      <c r="A610" t="inlineStr">
        <is>
          <t>A 6116-2023</t>
        </is>
      </c>
      <c r="B610" s="1" t="n">
        <v>44964</v>
      </c>
      <c r="C610" s="1" t="n">
        <v>46059</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18100-2023</t>
        </is>
      </c>
      <c r="B611" s="1" t="n">
        <v>45040</v>
      </c>
      <c r="C611" s="1" t="n">
        <v>46059</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13471-2025</t>
        </is>
      </c>
      <c r="B612" s="1" t="n">
        <v>45736.40579861111</v>
      </c>
      <c r="C612" s="1" t="n">
        <v>46059</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26854-2024</t>
        </is>
      </c>
      <c r="B613" s="1" t="n">
        <v>45470</v>
      </c>
      <c r="C613" s="1" t="n">
        <v>46059</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37602-2024</t>
        </is>
      </c>
      <c r="B614" s="1" t="n">
        <v>45541</v>
      </c>
      <c r="C614" s="1" t="n">
        <v>46059</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1985-2022</t>
        </is>
      </c>
      <c r="B615" s="1" t="n">
        <v>44575</v>
      </c>
      <c r="C615" s="1" t="n">
        <v>46059</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6308-2021</t>
        </is>
      </c>
      <c r="B616" s="1" t="n">
        <v>44235</v>
      </c>
      <c r="C616" s="1" t="n">
        <v>46059</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21455-2023</t>
        </is>
      </c>
      <c r="B617" s="1" t="n">
        <v>45058</v>
      </c>
      <c r="C617" s="1" t="n">
        <v>46059</v>
      </c>
      <c r="D617" t="inlineStr">
        <is>
          <t>VÄSTMANLANDS LÄN</t>
        </is>
      </c>
      <c r="E617" t="inlineStr">
        <is>
          <t>SALA</t>
        </is>
      </c>
      <c r="G617" t="n">
        <v>6.4</v>
      </c>
      <c r="H617" t="n">
        <v>0</v>
      </c>
      <c r="I617" t="n">
        <v>0</v>
      </c>
      <c r="J617" t="n">
        <v>0</v>
      </c>
      <c r="K617" t="n">
        <v>0</v>
      </c>
      <c r="L617" t="n">
        <v>0</v>
      </c>
      <c r="M617" t="n">
        <v>0</v>
      </c>
      <c r="N617" t="n">
        <v>0</v>
      </c>
      <c r="O617" t="n">
        <v>0</v>
      </c>
      <c r="P617" t="n">
        <v>0</v>
      </c>
      <c r="Q617" t="n">
        <v>0</v>
      </c>
      <c r="R617" s="2" t="inlineStr"/>
    </row>
    <row r="618" ht="15" customHeight="1">
      <c r="A618" t="inlineStr">
        <is>
          <t>A 4797-2023</t>
        </is>
      </c>
      <c r="B618" s="1" t="n">
        <v>44957</v>
      </c>
      <c r="C618" s="1" t="n">
        <v>46059</v>
      </c>
      <c r="D618" t="inlineStr">
        <is>
          <t>VÄSTMANLANDS LÄN</t>
        </is>
      </c>
      <c r="E618" t="inlineStr">
        <is>
          <t>SALA</t>
        </is>
      </c>
      <c r="G618" t="n">
        <v>5.7</v>
      </c>
      <c r="H618" t="n">
        <v>0</v>
      </c>
      <c r="I618" t="n">
        <v>0</v>
      </c>
      <c r="J618" t="n">
        <v>0</v>
      </c>
      <c r="K618" t="n">
        <v>0</v>
      </c>
      <c r="L618" t="n">
        <v>0</v>
      </c>
      <c r="M618" t="n">
        <v>0</v>
      </c>
      <c r="N618" t="n">
        <v>0</v>
      </c>
      <c r="O618" t="n">
        <v>0</v>
      </c>
      <c r="P618" t="n">
        <v>0</v>
      </c>
      <c r="Q618" t="n">
        <v>0</v>
      </c>
      <c r="R618" s="2" t="inlineStr"/>
    </row>
    <row r="619" ht="15" customHeight="1">
      <c r="A619" t="inlineStr">
        <is>
          <t>A 4852-2023</t>
        </is>
      </c>
      <c r="B619" s="1" t="n">
        <v>44957.72496527778</v>
      </c>
      <c r="C619" s="1" t="n">
        <v>46059</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36858-2023</t>
        </is>
      </c>
      <c r="B620" s="1" t="n">
        <v>45154.55184027777</v>
      </c>
      <c r="C620" s="1" t="n">
        <v>46059</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58701-2021</t>
        </is>
      </c>
      <c r="B621" s="1" t="n">
        <v>44489.46454861111</v>
      </c>
      <c r="C621" s="1" t="n">
        <v>46059</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37337-2024</t>
        </is>
      </c>
      <c r="B622" s="1" t="n">
        <v>45540</v>
      </c>
      <c r="C622" s="1" t="n">
        <v>46059</v>
      </c>
      <c r="D622" t="inlineStr">
        <is>
          <t>VÄSTMANLANDS LÄN</t>
        </is>
      </c>
      <c r="E622" t="inlineStr">
        <is>
          <t>SALA</t>
        </is>
      </c>
      <c r="G622" t="n">
        <v>6.5</v>
      </c>
      <c r="H622" t="n">
        <v>0</v>
      </c>
      <c r="I622" t="n">
        <v>0</v>
      </c>
      <c r="J622" t="n">
        <v>0</v>
      </c>
      <c r="K622" t="n">
        <v>0</v>
      </c>
      <c r="L622" t="n">
        <v>0</v>
      </c>
      <c r="M622" t="n">
        <v>0</v>
      </c>
      <c r="N622" t="n">
        <v>0</v>
      </c>
      <c r="O622" t="n">
        <v>0</v>
      </c>
      <c r="P622" t="n">
        <v>0</v>
      </c>
      <c r="Q622" t="n">
        <v>0</v>
      </c>
      <c r="R622" s="2" t="inlineStr"/>
    </row>
    <row r="623" ht="15" customHeight="1">
      <c r="A623" t="inlineStr">
        <is>
          <t>A 10250-2025</t>
        </is>
      </c>
      <c r="B623" s="1" t="n">
        <v>45720.36165509259</v>
      </c>
      <c r="C623" s="1" t="n">
        <v>46059</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23180-2022</t>
        </is>
      </c>
      <c r="B624" s="1" t="n">
        <v>44719.79344907407</v>
      </c>
      <c r="C624" s="1" t="n">
        <v>46059</v>
      </c>
      <c r="D624" t="inlineStr">
        <is>
          <t>VÄSTMANLANDS LÄN</t>
        </is>
      </c>
      <c r="E624" t="inlineStr">
        <is>
          <t>SALA</t>
        </is>
      </c>
      <c r="G624" t="n">
        <v>1.2</v>
      </c>
      <c r="H624" t="n">
        <v>0</v>
      </c>
      <c r="I624" t="n">
        <v>0</v>
      </c>
      <c r="J624" t="n">
        <v>0</v>
      </c>
      <c r="K624" t="n">
        <v>0</v>
      </c>
      <c r="L624" t="n">
        <v>0</v>
      </c>
      <c r="M624" t="n">
        <v>0</v>
      </c>
      <c r="N624" t="n">
        <v>0</v>
      </c>
      <c r="O624" t="n">
        <v>0</v>
      </c>
      <c r="P624" t="n">
        <v>0</v>
      </c>
      <c r="Q624" t="n">
        <v>0</v>
      </c>
      <c r="R624" s="2" t="inlineStr"/>
    </row>
    <row r="625" ht="15" customHeight="1">
      <c r="A625" t="inlineStr">
        <is>
          <t>A 21053-2022</t>
        </is>
      </c>
      <c r="B625" s="1" t="n">
        <v>44704</v>
      </c>
      <c r="C625" s="1" t="n">
        <v>46059</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18340-2025</t>
        </is>
      </c>
      <c r="B626" s="1" t="n">
        <v>45762</v>
      </c>
      <c r="C626" s="1" t="n">
        <v>46059</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16638-2023</t>
        </is>
      </c>
      <c r="B627" s="1" t="n">
        <v>45027</v>
      </c>
      <c r="C627" s="1" t="n">
        <v>46059</v>
      </c>
      <c r="D627" t="inlineStr">
        <is>
          <t>VÄSTMANLANDS LÄN</t>
        </is>
      </c>
      <c r="E627" t="inlineStr">
        <is>
          <t>SALA</t>
        </is>
      </c>
      <c r="G627" t="n">
        <v>14.8</v>
      </c>
      <c r="H627" t="n">
        <v>0</v>
      </c>
      <c r="I627" t="n">
        <v>0</v>
      </c>
      <c r="J627" t="n">
        <v>0</v>
      </c>
      <c r="K627" t="n">
        <v>0</v>
      </c>
      <c r="L627" t="n">
        <v>0</v>
      </c>
      <c r="M627" t="n">
        <v>0</v>
      </c>
      <c r="N627" t="n">
        <v>0</v>
      </c>
      <c r="O627" t="n">
        <v>0</v>
      </c>
      <c r="P627" t="n">
        <v>0</v>
      </c>
      <c r="Q627" t="n">
        <v>0</v>
      </c>
      <c r="R627" s="2" t="inlineStr"/>
    </row>
    <row r="628" ht="15" customHeight="1">
      <c r="A628" t="inlineStr">
        <is>
          <t>A 17117-2023</t>
        </is>
      </c>
      <c r="B628" s="1" t="n">
        <v>45034</v>
      </c>
      <c r="C628" s="1" t="n">
        <v>46059</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59909-2024</t>
        </is>
      </c>
      <c r="B629" s="1" t="n">
        <v>45641</v>
      </c>
      <c r="C629" s="1" t="n">
        <v>46059</v>
      </c>
      <c r="D629" t="inlineStr">
        <is>
          <t>VÄSTMANLANDS LÄN</t>
        </is>
      </c>
      <c r="E629" t="inlineStr">
        <is>
          <t>SALA</t>
        </is>
      </c>
      <c r="G629" t="n">
        <v>2.1</v>
      </c>
      <c r="H629" t="n">
        <v>0</v>
      </c>
      <c r="I629" t="n">
        <v>0</v>
      </c>
      <c r="J629" t="n">
        <v>0</v>
      </c>
      <c r="K629" t="n">
        <v>0</v>
      </c>
      <c r="L629" t="n">
        <v>0</v>
      </c>
      <c r="M629" t="n">
        <v>0</v>
      </c>
      <c r="N629" t="n">
        <v>0</v>
      </c>
      <c r="O629" t="n">
        <v>0</v>
      </c>
      <c r="P629" t="n">
        <v>0</v>
      </c>
      <c r="Q629" t="n">
        <v>0</v>
      </c>
      <c r="R629" s="2" t="inlineStr"/>
    </row>
    <row r="630" ht="15" customHeight="1">
      <c r="A630" t="inlineStr">
        <is>
          <t>A 30028-2024</t>
        </is>
      </c>
      <c r="B630" s="1" t="n">
        <v>45485</v>
      </c>
      <c r="C630" s="1" t="n">
        <v>46059</v>
      </c>
      <c r="D630" t="inlineStr">
        <is>
          <t>VÄSTMANLANDS LÄN</t>
        </is>
      </c>
      <c r="E630" t="inlineStr">
        <is>
          <t>SALA</t>
        </is>
      </c>
      <c r="G630" t="n">
        <v>2.6</v>
      </c>
      <c r="H630" t="n">
        <v>0</v>
      </c>
      <c r="I630" t="n">
        <v>0</v>
      </c>
      <c r="J630" t="n">
        <v>0</v>
      </c>
      <c r="K630" t="n">
        <v>0</v>
      </c>
      <c r="L630" t="n">
        <v>0</v>
      </c>
      <c r="M630" t="n">
        <v>0</v>
      </c>
      <c r="N630" t="n">
        <v>0</v>
      </c>
      <c r="O630" t="n">
        <v>0</v>
      </c>
      <c r="P630" t="n">
        <v>0</v>
      </c>
      <c r="Q630" t="n">
        <v>0</v>
      </c>
      <c r="R630" s="2" t="inlineStr"/>
    </row>
    <row r="631" ht="15" customHeight="1">
      <c r="A631" t="inlineStr">
        <is>
          <t>A 33309-2022</t>
        </is>
      </c>
      <c r="B631" s="1" t="n">
        <v>44788.40986111111</v>
      </c>
      <c r="C631" s="1" t="n">
        <v>46059</v>
      </c>
      <c r="D631" t="inlineStr">
        <is>
          <t>VÄSTMANLANDS LÄN</t>
        </is>
      </c>
      <c r="E631" t="inlineStr">
        <is>
          <t>SALA</t>
        </is>
      </c>
      <c r="G631" t="n">
        <v>2.6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46059</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27229-2022</t>
        </is>
      </c>
      <c r="B633" s="1" t="n">
        <v>44741</v>
      </c>
      <c r="C633" s="1" t="n">
        <v>46059</v>
      </c>
      <c r="D633" t="inlineStr">
        <is>
          <t>VÄSTMANLANDS LÄN</t>
        </is>
      </c>
      <c r="E633" t="inlineStr">
        <is>
          <t>SALA</t>
        </is>
      </c>
      <c r="F633" t="inlineStr">
        <is>
          <t>Kommuner</t>
        </is>
      </c>
      <c r="G633" t="n">
        <v>1.4</v>
      </c>
      <c r="H633" t="n">
        <v>0</v>
      </c>
      <c r="I633" t="n">
        <v>0</v>
      </c>
      <c r="J633" t="n">
        <v>0</v>
      </c>
      <c r="K633" t="n">
        <v>0</v>
      </c>
      <c r="L633" t="n">
        <v>0</v>
      </c>
      <c r="M633" t="n">
        <v>0</v>
      </c>
      <c r="N633" t="n">
        <v>0</v>
      </c>
      <c r="O633" t="n">
        <v>0</v>
      </c>
      <c r="P633" t="n">
        <v>0</v>
      </c>
      <c r="Q633" t="n">
        <v>0</v>
      </c>
      <c r="R633" s="2" t="inlineStr"/>
    </row>
    <row r="634" ht="15" customHeight="1">
      <c r="A634" t="inlineStr">
        <is>
          <t>A 24755-2021</t>
        </is>
      </c>
      <c r="B634" s="1" t="n">
        <v>44340</v>
      </c>
      <c r="C634" s="1" t="n">
        <v>46059</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34867-2023</t>
        </is>
      </c>
      <c r="B635" s="1" t="n">
        <v>45142.33481481481</v>
      </c>
      <c r="C635" s="1" t="n">
        <v>46059</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25748-2022</t>
        </is>
      </c>
      <c r="B636" s="1" t="n">
        <v>44732</v>
      </c>
      <c r="C636" s="1" t="n">
        <v>46059</v>
      </c>
      <c r="D636" t="inlineStr">
        <is>
          <t>VÄSTMANLANDS LÄN</t>
        </is>
      </c>
      <c r="E636" t="inlineStr">
        <is>
          <t>SALA</t>
        </is>
      </c>
      <c r="G636" t="n">
        <v>7.7</v>
      </c>
      <c r="H636" t="n">
        <v>0</v>
      </c>
      <c r="I636" t="n">
        <v>0</v>
      </c>
      <c r="J636" t="n">
        <v>0</v>
      </c>
      <c r="K636" t="n">
        <v>0</v>
      </c>
      <c r="L636" t="n">
        <v>0</v>
      </c>
      <c r="M636" t="n">
        <v>0</v>
      </c>
      <c r="N636" t="n">
        <v>0</v>
      </c>
      <c r="O636" t="n">
        <v>0</v>
      </c>
      <c r="P636" t="n">
        <v>0</v>
      </c>
      <c r="Q636" t="n">
        <v>0</v>
      </c>
      <c r="R636" s="2" t="inlineStr"/>
    </row>
    <row r="637" ht="15" customHeight="1">
      <c r="A637" t="inlineStr">
        <is>
          <t>A 49512-2024</t>
        </is>
      </c>
      <c r="B637" s="1" t="n">
        <v>45591</v>
      </c>
      <c r="C637" s="1" t="n">
        <v>46059</v>
      </c>
      <c r="D637" t="inlineStr">
        <is>
          <t>VÄSTMANLANDS LÄN</t>
        </is>
      </c>
      <c r="E637" t="inlineStr">
        <is>
          <t>SALA</t>
        </is>
      </c>
      <c r="G637" t="n">
        <v>8.1</v>
      </c>
      <c r="H637" t="n">
        <v>0</v>
      </c>
      <c r="I637" t="n">
        <v>0</v>
      </c>
      <c r="J637" t="n">
        <v>0</v>
      </c>
      <c r="K637" t="n">
        <v>0</v>
      </c>
      <c r="L637" t="n">
        <v>0</v>
      </c>
      <c r="M637" t="n">
        <v>0</v>
      </c>
      <c r="N637" t="n">
        <v>0</v>
      </c>
      <c r="O637" t="n">
        <v>0</v>
      </c>
      <c r="P637" t="n">
        <v>0</v>
      </c>
      <c r="Q637" t="n">
        <v>0</v>
      </c>
      <c r="R637" s="2" t="inlineStr"/>
    </row>
    <row r="638" ht="15" customHeight="1">
      <c r="A638" t="inlineStr">
        <is>
          <t>A 13128-2023</t>
        </is>
      </c>
      <c r="B638" s="1" t="n">
        <v>45002</v>
      </c>
      <c r="C638" s="1" t="n">
        <v>46059</v>
      </c>
      <c r="D638" t="inlineStr">
        <is>
          <t>VÄSTMANLANDS LÄN</t>
        </is>
      </c>
      <c r="E638" t="inlineStr">
        <is>
          <t>SALA</t>
        </is>
      </c>
      <c r="G638" t="n">
        <v>7.9</v>
      </c>
      <c r="H638" t="n">
        <v>0</v>
      </c>
      <c r="I638" t="n">
        <v>0</v>
      </c>
      <c r="J638" t="n">
        <v>0</v>
      </c>
      <c r="K638" t="n">
        <v>0</v>
      </c>
      <c r="L638" t="n">
        <v>0</v>
      </c>
      <c r="M638" t="n">
        <v>0</v>
      </c>
      <c r="N638" t="n">
        <v>0</v>
      </c>
      <c r="O638" t="n">
        <v>0</v>
      </c>
      <c r="P638" t="n">
        <v>0</v>
      </c>
      <c r="Q638" t="n">
        <v>0</v>
      </c>
      <c r="R638" s="2" t="inlineStr"/>
    </row>
    <row r="639" ht="15" customHeight="1">
      <c r="A639" t="inlineStr">
        <is>
          <t>A 37958-2024</t>
        </is>
      </c>
      <c r="B639" s="1" t="n">
        <v>45544</v>
      </c>
      <c r="C639" s="1" t="n">
        <v>46059</v>
      </c>
      <c r="D639" t="inlineStr">
        <is>
          <t>VÄSTMANLANDS LÄN</t>
        </is>
      </c>
      <c r="E639" t="inlineStr">
        <is>
          <t>SALA</t>
        </is>
      </c>
      <c r="G639" t="n">
        <v>5.6</v>
      </c>
      <c r="H639" t="n">
        <v>0</v>
      </c>
      <c r="I639" t="n">
        <v>0</v>
      </c>
      <c r="J639" t="n">
        <v>0</v>
      </c>
      <c r="K639" t="n">
        <v>0</v>
      </c>
      <c r="L639" t="n">
        <v>0</v>
      </c>
      <c r="M639" t="n">
        <v>0</v>
      </c>
      <c r="N639" t="n">
        <v>0</v>
      </c>
      <c r="O639" t="n">
        <v>0</v>
      </c>
      <c r="P639" t="n">
        <v>0</v>
      </c>
      <c r="Q639" t="n">
        <v>0</v>
      </c>
      <c r="R639" s="2" t="inlineStr"/>
    </row>
    <row r="640" ht="15" customHeight="1">
      <c r="A640" t="inlineStr">
        <is>
          <t>A 18431-2023</t>
        </is>
      </c>
      <c r="B640" s="1" t="n">
        <v>45042</v>
      </c>
      <c r="C640" s="1" t="n">
        <v>46059</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57650-2024</t>
        </is>
      </c>
      <c r="B641" s="1" t="n">
        <v>45630</v>
      </c>
      <c r="C641" s="1" t="n">
        <v>46059</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10255-2024</t>
        </is>
      </c>
      <c r="B642" s="1" t="n">
        <v>45365</v>
      </c>
      <c r="C642" s="1" t="n">
        <v>46059</v>
      </c>
      <c r="D642" t="inlineStr">
        <is>
          <t>VÄSTMANLANDS LÄN</t>
        </is>
      </c>
      <c r="E642" t="inlineStr">
        <is>
          <t>SALA</t>
        </is>
      </c>
      <c r="F642" t="inlineStr">
        <is>
          <t>Kommuner</t>
        </is>
      </c>
      <c r="G642" t="n">
        <v>0.8</v>
      </c>
      <c r="H642" t="n">
        <v>0</v>
      </c>
      <c r="I642" t="n">
        <v>0</v>
      </c>
      <c r="J642" t="n">
        <v>0</v>
      </c>
      <c r="K642" t="n">
        <v>0</v>
      </c>
      <c r="L642" t="n">
        <v>0</v>
      </c>
      <c r="M642" t="n">
        <v>0</v>
      </c>
      <c r="N642" t="n">
        <v>0</v>
      </c>
      <c r="O642" t="n">
        <v>0</v>
      </c>
      <c r="P642" t="n">
        <v>0</v>
      </c>
      <c r="Q642" t="n">
        <v>0</v>
      </c>
      <c r="R642" s="2" t="inlineStr"/>
    </row>
    <row r="643" ht="15" customHeight="1">
      <c r="A643" t="inlineStr">
        <is>
          <t>A 28696-2023</t>
        </is>
      </c>
      <c r="B643" s="1" t="n">
        <v>45103.71759259259</v>
      </c>
      <c r="C643" s="1" t="n">
        <v>46059</v>
      </c>
      <c r="D643" t="inlineStr">
        <is>
          <t>VÄSTMANLANDS LÄN</t>
        </is>
      </c>
      <c r="E643" t="inlineStr">
        <is>
          <t>SALA</t>
        </is>
      </c>
      <c r="F643" t="inlineStr">
        <is>
          <t>Kommuner</t>
        </is>
      </c>
      <c r="G643" t="n">
        <v>5.9</v>
      </c>
      <c r="H643" t="n">
        <v>0</v>
      </c>
      <c r="I643" t="n">
        <v>0</v>
      </c>
      <c r="J643" t="n">
        <v>0</v>
      </c>
      <c r="K643" t="n">
        <v>0</v>
      </c>
      <c r="L643" t="n">
        <v>0</v>
      </c>
      <c r="M643" t="n">
        <v>0</v>
      </c>
      <c r="N643" t="n">
        <v>0</v>
      </c>
      <c r="O643" t="n">
        <v>0</v>
      </c>
      <c r="P643" t="n">
        <v>0</v>
      </c>
      <c r="Q643" t="n">
        <v>0</v>
      </c>
      <c r="R643" s="2" t="inlineStr"/>
    </row>
    <row r="644" ht="15" customHeight="1">
      <c r="A644" t="inlineStr">
        <is>
          <t>A 31072-2021</t>
        </is>
      </c>
      <c r="B644" s="1" t="n">
        <v>44368</v>
      </c>
      <c r="C644" s="1" t="n">
        <v>46059</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16543-2023</t>
        </is>
      </c>
      <c r="B645" s="1" t="n">
        <v>45029</v>
      </c>
      <c r="C645" s="1" t="n">
        <v>46059</v>
      </c>
      <c r="D645" t="inlineStr">
        <is>
          <t>VÄSTMANLANDS LÄN</t>
        </is>
      </c>
      <c r="E645" t="inlineStr">
        <is>
          <t>SALA</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22523-2023</t>
        </is>
      </c>
      <c r="B646" s="1" t="n">
        <v>45069</v>
      </c>
      <c r="C646" s="1" t="n">
        <v>46059</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4663-2022</t>
        </is>
      </c>
      <c r="B647" s="1" t="n">
        <v>44592.45429398148</v>
      </c>
      <c r="C647" s="1" t="n">
        <v>46059</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6132-2025</t>
        </is>
      </c>
      <c r="B648" s="1" t="n">
        <v>45698</v>
      </c>
      <c r="C648" s="1" t="n">
        <v>46059</v>
      </c>
      <c r="D648" t="inlineStr">
        <is>
          <t>VÄSTMANLANDS LÄN</t>
        </is>
      </c>
      <c r="E648" t="inlineStr">
        <is>
          <t>SALA</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31859-2023</t>
        </is>
      </c>
      <c r="B649" s="1" t="n">
        <v>45118</v>
      </c>
      <c r="C649" s="1" t="n">
        <v>46059</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c r="U649">
        <f>HYPERLINK("https://klasma.github.io/Logging_1981/knärot/A 31859-2023 karta knärot.png", "A 31859-2023")</f>
        <v/>
      </c>
      <c r="V649">
        <f>HYPERLINK("https://klasma.github.io/Logging_1981/klagomål/A 31859-2023 FSC-klagomål.docx", "A 31859-2023")</f>
        <v/>
      </c>
      <c r="W649">
        <f>HYPERLINK("https://klasma.github.io/Logging_1981/klagomålsmail/A 31859-2023 FSC-klagomål mail.docx", "A 31859-2023")</f>
        <v/>
      </c>
      <c r="X649">
        <f>HYPERLINK("https://klasma.github.io/Logging_1981/tillsyn/A 31859-2023 tillsynsbegäran.docx", "A 31859-2023")</f>
        <v/>
      </c>
      <c r="Y649">
        <f>HYPERLINK("https://klasma.github.io/Logging_1981/tillsynsmail/A 31859-2023 tillsynsbegäran mail.docx", "A 31859-2023")</f>
        <v/>
      </c>
    </row>
    <row r="650" ht="15" customHeight="1">
      <c r="A650" t="inlineStr">
        <is>
          <t>A 61681-2024</t>
        </is>
      </c>
      <c r="B650" s="1" t="n">
        <v>45647</v>
      </c>
      <c r="C650" s="1" t="n">
        <v>46059</v>
      </c>
      <c r="D650" t="inlineStr">
        <is>
          <t>VÄSTMANLANDS LÄN</t>
        </is>
      </c>
      <c r="E650" t="inlineStr">
        <is>
          <t>SALA</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54960-2024</t>
        </is>
      </c>
      <c r="B651" s="1" t="n">
        <v>45619.85208333333</v>
      </c>
      <c r="C651" s="1" t="n">
        <v>46059</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31082-2021</t>
        </is>
      </c>
      <c r="B652" s="1" t="n">
        <v>44368</v>
      </c>
      <c r="C652" s="1" t="n">
        <v>46059</v>
      </c>
      <c r="D652" t="inlineStr">
        <is>
          <t>VÄSTMANLANDS LÄN</t>
        </is>
      </c>
      <c r="E652" t="inlineStr">
        <is>
          <t>SALA</t>
        </is>
      </c>
      <c r="G652" t="n">
        <v>2</v>
      </c>
      <c r="H652" t="n">
        <v>0</v>
      </c>
      <c r="I652" t="n">
        <v>0</v>
      </c>
      <c r="J652" t="n">
        <v>0</v>
      </c>
      <c r="K652" t="n">
        <v>0</v>
      </c>
      <c r="L652" t="n">
        <v>0</v>
      </c>
      <c r="M652" t="n">
        <v>0</v>
      </c>
      <c r="N652" t="n">
        <v>0</v>
      </c>
      <c r="O652" t="n">
        <v>0</v>
      </c>
      <c r="P652" t="n">
        <v>0</v>
      </c>
      <c r="Q652" t="n">
        <v>0</v>
      </c>
      <c r="R652" s="2" t="inlineStr"/>
    </row>
    <row r="653" ht="15" customHeight="1">
      <c r="A653" t="inlineStr">
        <is>
          <t>A 20352-2022</t>
        </is>
      </c>
      <c r="B653" s="1" t="n">
        <v>44699.37318287037</v>
      </c>
      <c r="C653" s="1" t="n">
        <v>46059</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27657-2023</t>
        </is>
      </c>
      <c r="B654" s="1" t="n">
        <v>45097.76631944445</v>
      </c>
      <c r="C654" s="1" t="n">
        <v>46059</v>
      </c>
      <c r="D654" t="inlineStr">
        <is>
          <t>VÄSTMANLANDS LÄN</t>
        </is>
      </c>
      <c r="E654" t="inlineStr">
        <is>
          <t>SALA</t>
        </is>
      </c>
      <c r="G654" t="n">
        <v>0.1</v>
      </c>
      <c r="H654" t="n">
        <v>0</v>
      </c>
      <c r="I654" t="n">
        <v>0</v>
      </c>
      <c r="J654" t="n">
        <v>0</v>
      </c>
      <c r="K654" t="n">
        <v>0</v>
      </c>
      <c r="L654" t="n">
        <v>0</v>
      </c>
      <c r="M654" t="n">
        <v>0</v>
      </c>
      <c r="N654" t="n">
        <v>0</v>
      </c>
      <c r="O654" t="n">
        <v>0</v>
      </c>
      <c r="P654" t="n">
        <v>0</v>
      </c>
      <c r="Q654" t="n">
        <v>0</v>
      </c>
      <c r="R654" s="2" t="inlineStr"/>
    </row>
    <row r="655" ht="15" customHeight="1">
      <c r="A655" t="inlineStr">
        <is>
          <t>A 2766-2024</t>
        </is>
      </c>
      <c r="B655" s="1" t="n">
        <v>45314.60950231482</v>
      </c>
      <c r="C655" s="1" t="n">
        <v>46059</v>
      </c>
      <c r="D655" t="inlineStr">
        <is>
          <t>VÄSTMANLANDS LÄN</t>
        </is>
      </c>
      <c r="E655" t="inlineStr">
        <is>
          <t>SALA</t>
        </is>
      </c>
      <c r="G655" t="n">
        <v>2.8</v>
      </c>
      <c r="H655" t="n">
        <v>0</v>
      </c>
      <c r="I655" t="n">
        <v>0</v>
      </c>
      <c r="J655" t="n">
        <v>0</v>
      </c>
      <c r="K655" t="n">
        <v>0</v>
      </c>
      <c r="L655" t="n">
        <v>0</v>
      </c>
      <c r="M655" t="n">
        <v>0</v>
      </c>
      <c r="N655" t="n">
        <v>0</v>
      </c>
      <c r="O655" t="n">
        <v>0</v>
      </c>
      <c r="P655" t="n">
        <v>0</v>
      </c>
      <c r="Q655" t="n">
        <v>0</v>
      </c>
      <c r="R655" s="2" t="inlineStr"/>
    </row>
    <row r="656" ht="15" customHeight="1">
      <c r="A656" t="inlineStr">
        <is>
          <t>A 60550-2024</t>
        </is>
      </c>
      <c r="B656" s="1" t="n">
        <v>45643</v>
      </c>
      <c r="C656" s="1" t="n">
        <v>46059</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14690-2025</t>
        </is>
      </c>
      <c r="B657" s="1" t="n">
        <v>45742.58212962963</v>
      </c>
      <c r="C657" s="1" t="n">
        <v>46059</v>
      </c>
      <c r="D657" t="inlineStr">
        <is>
          <t>VÄSTMANLANDS LÄN</t>
        </is>
      </c>
      <c r="E657" t="inlineStr">
        <is>
          <t>SALA</t>
        </is>
      </c>
      <c r="G657" t="n">
        <v>3.4</v>
      </c>
      <c r="H657" t="n">
        <v>0</v>
      </c>
      <c r="I657" t="n">
        <v>0</v>
      </c>
      <c r="J657" t="n">
        <v>0</v>
      </c>
      <c r="K657" t="n">
        <v>0</v>
      </c>
      <c r="L657" t="n">
        <v>0</v>
      </c>
      <c r="M657" t="n">
        <v>0</v>
      </c>
      <c r="N657" t="n">
        <v>0</v>
      </c>
      <c r="O657" t="n">
        <v>0</v>
      </c>
      <c r="P657" t="n">
        <v>0</v>
      </c>
      <c r="Q657" t="n">
        <v>0</v>
      </c>
      <c r="R657" s="2" t="inlineStr"/>
    </row>
    <row r="658" ht="15" customHeight="1">
      <c r="A658" t="inlineStr">
        <is>
          <t>A 24175-2024</t>
        </is>
      </c>
      <c r="B658" s="1" t="n">
        <v>45456</v>
      </c>
      <c r="C658" s="1" t="n">
        <v>46059</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62449-2023</t>
        </is>
      </c>
      <c r="B659" s="1" t="n">
        <v>45268.49008101852</v>
      </c>
      <c r="C659" s="1" t="n">
        <v>46059</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54910-2023</t>
        </is>
      </c>
      <c r="B660" s="1" t="n">
        <v>45229</v>
      </c>
      <c r="C660" s="1" t="n">
        <v>46059</v>
      </c>
      <c r="D660" t="inlineStr">
        <is>
          <t>VÄSTMANLANDS LÄN</t>
        </is>
      </c>
      <c r="E660" t="inlineStr">
        <is>
          <t>SALA</t>
        </is>
      </c>
      <c r="G660" t="n">
        <v>2.4</v>
      </c>
      <c r="H660" t="n">
        <v>0</v>
      </c>
      <c r="I660" t="n">
        <v>0</v>
      </c>
      <c r="J660" t="n">
        <v>0</v>
      </c>
      <c r="K660" t="n">
        <v>0</v>
      </c>
      <c r="L660" t="n">
        <v>0</v>
      </c>
      <c r="M660" t="n">
        <v>0</v>
      </c>
      <c r="N660" t="n">
        <v>0</v>
      </c>
      <c r="O660" t="n">
        <v>0</v>
      </c>
      <c r="P660" t="n">
        <v>0</v>
      </c>
      <c r="Q660" t="n">
        <v>0</v>
      </c>
      <c r="R660" s="2" t="inlineStr"/>
    </row>
    <row r="661" ht="15" customHeight="1">
      <c r="A661" t="inlineStr">
        <is>
          <t>A 19222-2025</t>
        </is>
      </c>
      <c r="B661" s="1" t="n">
        <v>45769</v>
      </c>
      <c r="C661" s="1" t="n">
        <v>46059</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19241-2025</t>
        </is>
      </c>
      <c r="B662" s="1" t="n">
        <v>45769</v>
      </c>
      <c r="C662" s="1" t="n">
        <v>46059</v>
      </c>
      <c r="D662" t="inlineStr">
        <is>
          <t>VÄSTMANLANDS LÄN</t>
        </is>
      </c>
      <c r="E662" t="inlineStr">
        <is>
          <t>SALA</t>
        </is>
      </c>
      <c r="G662" t="n">
        <v>3.6</v>
      </c>
      <c r="H662" t="n">
        <v>0</v>
      </c>
      <c r="I662" t="n">
        <v>0</v>
      </c>
      <c r="J662" t="n">
        <v>0</v>
      </c>
      <c r="K662" t="n">
        <v>0</v>
      </c>
      <c r="L662" t="n">
        <v>0</v>
      </c>
      <c r="M662" t="n">
        <v>0</v>
      </c>
      <c r="N662" t="n">
        <v>0</v>
      </c>
      <c r="O662" t="n">
        <v>0</v>
      </c>
      <c r="P662" t="n">
        <v>0</v>
      </c>
      <c r="Q662" t="n">
        <v>0</v>
      </c>
      <c r="R662" s="2" t="inlineStr"/>
    </row>
    <row r="663" ht="15" customHeight="1">
      <c r="A663" t="inlineStr">
        <is>
          <t>A 26416-2023</t>
        </is>
      </c>
      <c r="B663" s="1" t="n">
        <v>45092.38087962963</v>
      </c>
      <c r="C663" s="1" t="n">
        <v>46059</v>
      </c>
      <c r="D663" t="inlineStr">
        <is>
          <t>VÄSTMANLANDS LÄN</t>
        </is>
      </c>
      <c r="E663" t="inlineStr">
        <is>
          <t>SALA</t>
        </is>
      </c>
      <c r="G663" t="n">
        <v>2.9</v>
      </c>
      <c r="H663" t="n">
        <v>0</v>
      </c>
      <c r="I663" t="n">
        <v>0</v>
      </c>
      <c r="J663" t="n">
        <v>0</v>
      </c>
      <c r="K663" t="n">
        <v>0</v>
      </c>
      <c r="L663" t="n">
        <v>0</v>
      </c>
      <c r="M663" t="n">
        <v>0</v>
      </c>
      <c r="N663" t="n">
        <v>0</v>
      </c>
      <c r="O663" t="n">
        <v>0</v>
      </c>
      <c r="P663" t="n">
        <v>0</v>
      </c>
      <c r="Q663" t="n">
        <v>0</v>
      </c>
      <c r="R663" s="2" t="inlineStr"/>
    </row>
    <row r="664" ht="15" customHeight="1">
      <c r="A664" t="inlineStr">
        <is>
          <t>A 26692-2023</t>
        </is>
      </c>
      <c r="B664" s="1" t="n">
        <v>45093.360625</v>
      </c>
      <c r="C664" s="1" t="n">
        <v>46059</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15681-2025</t>
        </is>
      </c>
      <c r="B665" s="1" t="n">
        <v>45748.45454861111</v>
      </c>
      <c r="C665" s="1" t="n">
        <v>46059</v>
      </c>
      <c r="D665" t="inlineStr">
        <is>
          <t>VÄSTMANLANDS LÄN</t>
        </is>
      </c>
      <c r="E665" t="inlineStr">
        <is>
          <t>SALA</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2925-2024</t>
        </is>
      </c>
      <c r="B666" s="1" t="n">
        <v>45315.58909722222</v>
      </c>
      <c r="C666" s="1" t="n">
        <v>46059</v>
      </c>
      <c r="D666" t="inlineStr">
        <is>
          <t>VÄSTMANLANDS LÄN</t>
        </is>
      </c>
      <c r="E666" t="inlineStr">
        <is>
          <t>SALA</t>
        </is>
      </c>
      <c r="G666" t="n">
        <v>1.3</v>
      </c>
      <c r="H666" t="n">
        <v>0</v>
      </c>
      <c r="I666" t="n">
        <v>0</v>
      </c>
      <c r="J666" t="n">
        <v>0</v>
      </c>
      <c r="K666" t="n">
        <v>0</v>
      </c>
      <c r="L666" t="n">
        <v>0</v>
      </c>
      <c r="M666" t="n">
        <v>0</v>
      </c>
      <c r="N666" t="n">
        <v>0</v>
      </c>
      <c r="O666" t="n">
        <v>0</v>
      </c>
      <c r="P666" t="n">
        <v>0</v>
      </c>
      <c r="Q666" t="n">
        <v>0</v>
      </c>
      <c r="R666" s="2" t="inlineStr"/>
    </row>
    <row r="667" ht="15" customHeight="1">
      <c r="A667" t="inlineStr">
        <is>
          <t>A 44746-2024</t>
        </is>
      </c>
      <c r="B667" s="1" t="n">
        <v>45574.59813657407</v>
      </c>
      <c r="C667" s="1" t="n">
        <v>46059</v>
      </c>
      <c r="D667" t="inlineStr">
        <is>
          <t>VÄSTMANLANDS LÄN</t>
        </is>
      </c>
      <c r="E667" t="inlineStr">
        <is>
          <t>SALA</t>
        </is>
      </c>
      <c r="G667" t="n">
        <v>6.7</v>
      </c>
      <c r="H667" t="n">
        <v>0</v>
      </c>
      <c r="I667" t="n">
        <v>0</v>
      </c>
      <c r="J667" t="n">
        <v>0</v>
      </c>
      <c r="K667" t="n">
        <v>0</v>
      </c>
      <c r="L667" t="n">
        <v>0</v>
      </c>
      <c r="M667" t="n">
        <v>0</v>
      </c>
      <c r="N667" t="n">
        <v>0</v>
      </c>
      <c r="O667" t="n">
        <v>0</v>
      </c>
      <c r="P667" t="n">
        <v>0</v>
      </c>
      <c r="Q667" t="n">
        <v>0</v>
      </c>
      <c r="R667" s="2" t="inlineStr"/>
    </row>
    <row r="668" ht="15" customHeight="1">
      <c r="A668" t="inlineStr">
        <is>
          <t>A 44713-2023</t>
        </is>
      </c>
      <c r="B668" s="1" t="n">
        <v>45184</v>
      </c>
      <c r="C668" s="1" t="n">
        <v>46059</v>
      </c>
      <c r="D668" t="inlineStr">
        <is>
          <t>VÄSTMANLANDS LÄN</t>
        </is>
      </c>
      <c r="E668" t="inlineStr">
        <is>
          <t>SALA</t>
        </is>
      </c>
      <c r="F668" t="inlineStr">
        <is>
          <t>Kyrkan</t>
        </is>
      </c>
      <c r="G668" t="n">
        <v>7.6</v>
      </c>
      <c r="H668" t="n">
        <v>0</v>
      </c>
      <c r="I668" t="n">
        <v>0</v>
      </c>
      <c r="J668" t="n">
        <v>0</v>
      </c>
      <c r="K668" t="n">
        <v>0</v>
      </c>
      <c r="L668" t="n">
        <v>0</v>
      </c>
      <c r="M668" t="n">
        <v>0</v>
      </c>
      <c r="N668" t="n">
        <v>0</v>
      </c>
      <c r="O668" t="n">
        <v>0</v>
      </c>
      <c r="P668" t="n">
        <v>0</v>
      </c>
      <c r="Q668" t="n">
        <v>0</v>
      </c>
      <c r="R668" s="2" t="inlineStr"/>
    </row>
    <row r="669" ht="15" customHeight="1">
      <c r="A669" t="inlineStr">
        <is>
          <t>A 23431-2024</t>
        </is>
      </c>
      <c r="B669" s="1" t="n">
        <v>45453</v>
      </c>
      <c r="C669" s="1" t="n">
        <v>46059</v>
      </c>
      <c r="D669" t="inlineStr">
        <is>
          <t>VÄSTMANLANDS LÄN</t>
        </is>
      </c>
      <c r="E669" t="inlineStr">
        <is>
          <t>SALA</t>
        </is>
      </c>
      <c r="G669" t="n">
        <v>1.6</v>
      </c>
      <c r="H669" t="n">
        <v>0</v>
      </c>
      <c r="I669" t="n">
        <v>0</v>
      </c>
      <c r="J669" t="n">
        <v>0</v>
      </c>
      <c r="K669" t="n">
        <v>0</v>
      </c>
      <c r="L669" t="n">
        <v>0</v>
      </c>
      <c r="M669" t="n">
        <v>0</v>
      </c>
      <c r="N669" t="n">
        <v>0</v>
      </c>
      <c r="O669" t="n">
        <v>0</v>
      </c>
      <c r="P669" t="n">
        <v>0</v>
      </c>
      <c r="Q669" t="n">
        <v>0</v>
      </c>
      <c r="R669" s="2" t="inlineStr"/>
    </row>
    <row r="670" ht="15" customHeight="1">
      <c r="A670" t="inlineStr">
        <is>
          <t>A 21168-2025</t>
        </is>
      </c>
      <c r="B670" s="1" t="n">
        <v>45777</v>
      </c>
      <c r="C670" s="1" t="n">
        <v>46059</v>
      </c>
      <c r="D670" t="inlineStr">
        <is>
          <t>VÄSTMANLANDS LÄN</t>
        </is>
      </c>
      <c r="E670" t="inlineStr">
        <is>
          <t>SALA</t>
        </is>
      </c>
      <c r="G670" t="n">
        <v>4.5</v>
      </c>
      <c r="H670" t="n">
        <v>0</v>
      </c>
      <c r="I670" t="n">
        <v>0</v>
      </c>
      <c r="J670" t="n">
        <v>0</v>
      </c>
      <c r="K670" t="n">
        <v>0</v>
      </c>
      <c r="L670" t="n">
        <v>0</v>
      </c>
      <c r="M670" t="n">
        <v>0</v>
      </c>
      <c r="N670" t="n">
        <v>0</v>
      </c>
      <c r="O670" t="n">
        <v>0</v>
      </c>
      <c r="P670" t="n">
        <v>0</v>
      </c>
      <c r="Q670" t="n">
        <v>0</v>
      </c>
      <c r="R670" s="2" t="inlineStr"/>
    </row>
    <row r="671" ht="15" customHeight="1">
      <c r="A671" t="inlineStr">
        <is>
          <t>A 21751-2025</t>
        </is>
      </c>
      <c r="B671" s="1" t="n">
        <v>45783.61372685185</v>
      </c>
      <c r="C671" s="1" t="n">
        <v>46059</v>
      </c>
      <c r="D671" t="inlineStr">
        <is>
          <t>VÄSTMANLANDS LÄN</t>
        </is>
      </c>
      <c r="E671" t="inlineStr">
        <is>
          <t>SALA</t>
        </is>
      </c>
      <c r="G671" t="n">
        <v>1</v>
      </c>
      <c r="H671" t="n">
        <v>0</v>
      </c>
      <c r="I671" t="n">
        <v>0</v>
      </c>
      <c r="J671" t="n">
        <v>0</v>
      </c>
      <c r="K671" t="n">
        <v>0</v>
      </c>
      <c r="L671" t="n">
        <v>0</v>
      </c>
      <c r="M671" t="n">
        <v>0</v>
      </c>
      <c r="N671" t="n">
        <v>0</v>
      </c>
      <c r="O671" t="n">
        <v>0</v>
      </c>
      <c r="P671" t="n">
        <v>0</v>
      </c>
      <c r="Q671" t="n">
        <v>0</v>
      </c>
      <c r="R671" s="2" t="inlineStr"/>
    </row>
    <row r="672" ht="15" customHeight="1">
      <c r="A672" t="inlineStr">
        <is>
          <t>A 21754-2025</t>
        </is>
      </c>
      <c r="B672" s="1" t="n">
        <v>45783.61837962963</v>
      </c>
      <c r="C672" s="1" t="n">
        <v>46059</v>
      </c>
      <c r="D672" t="inlineStr">
        <is>
          <t>VÄSTMANLANDS LÄN</t>
        </is>
      </c>
      <c r="E672" t="inlineStr">
        <is>
          <t>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37587-2024</t>
        </is>
      </c>
      <c r="B673" s="1" t="n">
        <v>45541</v>
      </c>
      <c r="C673" s="1" t="n">
        <v>46059</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22353-2025</t>
        </is>
      </c>
      <c r="B674" s="1" t="n">
        <v>45786</v>
      </c>
      <c r="C674" s="1" t="n">
        <v>46059</v>
      </c>
      <c r="D674" t="inlineStr">
        <is>
          <t>VÄSTMANLANDS LÄN</t>
        </is>
      </c>
      <c r="E674" t="inlineStr">
        <is>
          <t>SALA</t>
        </is>
      </c>
      <c r="G674" t="n">
        <v>2.5</v>
      </c>
      <c r="H674" t="n">
        <v>0</v>
      </c>
      <c r="I674" t="n">
        <v>0</v>
      </c>
      <c r="J674" t="n">
        <v>0</v>
      </c>
      <c r="K674" t="n">
        <v>0</v>
      </c>
      <c r="L674" t="n">
        <v>0</v>
      </c>
      <c r="M674" t="n">
        <v>0</v>
      </c>
      <c r="N674" t="n">
        <v>0</v>
      </c>
      <c r="O674" t="n">
        <v>0</v>
      </c>
      <c r="P674" t="n">
        <v>0</v>
      </c>
      <c r="Q674" t="n">
        <v>0</v>
      </c>
      <c r="R674" s="2" t="inlineStr"/>
    </row>
    <row r="675" ht="15" customHeight="1">
      <c r="A675" t="inlineStr">
        <is>
          <t>A 64724-2023</t>
        </is>
      </c>
      <c r="B675" s="1" t="n">
        <v>45281.7602662037</v>
      </c>
      <c r="C675" s="1" t="n">
        <v>46059</v>
      </c>
      <c r="D675" t="inlineStr">
        <is>
          <t>VÄSTMANLANDS LÄN</t>
        </is>
      </c>
      <c r="E675" t="inlineStr">
        <is>
          <t>SALA</t>
        </is>
      </c>
      <c r="G675" t="n">
        <v>2.3</v>
      </c>
      <c r="H675" t="n">
        <v>0</v>
      </c>
      <c r="I675" t="n">
        <v>0</v>
      </c>
      <c r="J675" t="n">
        <v>0</v>
      </c>
      <c r="K675" t="n">
        <v>0</v>
      </c>
      <c r="L675" t="n">
        <v>0</v>
      </c>
      <c r="M675" t="n">
        <v>0</v>
      </c>
      <c r="N675" t="n">
        <v>0</v>
      </c>
      <c r="O675" t="n">
        <v>0</v>
      </c>
      <c r="P675" t="n">
        <v>0</v>
      </c>
      <c r="Q675" t="n">
        <v>0</v>
      </c>
      <c r="R675" s="2" t="inlineStr"/>
    </row>
    <row r="676" ht="15" customHeight="1">
      <c r="A676" t="inlineStr">
        <is>
          <t>A 22370-2025</t>
        </is>
      </c>
      <c r="B676" s="1" t="n">
        <v>45786</v>
      </c>
      <c r="C676" s="1" t="n">
        <v>46059</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22383-2025</t>
        </is>
      </c>
      <c r="B677" s="1" t="n">
        <v>45786</v>
      </c>
      <c r="C677" s="1" t="n">
        <v>46059</v>
      </c>
      <c r="D677" t="inlineStr">
        <is>
          <t>VÄSTMANLANDS LÄN</t>
        </is>
      </c>
      <c r="E677" t="inlineStr">
        <is>
          <t>SALA</t>
        </is>
      </c>
      <c r="G677" t="n">
        <v>2.2</v>
      </c>
      <c r="H677" t="n">
        <v>0</v>
      </c>
      <c r="I677" t="n">
        <v>0</v>
      </c>
      <c r="J677" t="n">
        <v>0</v>
      </c>
      <c r="K677" t="n">
        <v>0</v>
      </c>
      <c r="L677" t="n">
        <v>0</v>
      </c>
      <c r="M677" t="n">
        <v>0</v>
      </c>
      <c r="N677" t="n">
        <v>0</v>
      </c>
      <c r="O677" t="n">
        <v>0</v>
      </c>
      <c r="P677" t="n">
        <v>0</v>
      </c>
      <c r="Q677" t="n">
        <v>0</v>
      </c>
      <c r="R677" s="2" t="inlineStr"/>
    </row>
    <row r="678" ht="15" customHeight="1">
      <c r="A678" t="inlineStr">
        <is>
          <t>A 7176-2023</t>
        </is>
      </c>
      <c r="B678" s="1" t="n">
        <v>44970</v>
      </c>
      <c r="C678" s="1" t="n">
        <v>46059</v>
      </c>
      <c r="D678" t="inlineStr">
        <is>
          <t>VÄSTMANLANDS LÄN</t>
        </is>
      </c>
      <c r="E678" t="inlineStr">
        <is>
          <t>SALA</t>
        </is>
      </c>
      <c r="G678" t="n">
        <v>1.5</v>
      </c>
      <c r="H678" t="n">
        <v>0</v>
      </c>
      <c r="I678" t="n">
        <v>0</v>
      </c>
      <c r="J678" t="n">
        <v>0</v>
      </c>
      <c r="K678" t="n">
        <v>0</v>
      </c>
      <c r="L678" t="n">
        <v>0</v>
      </c>
      <c r="M678" t="n">
        <v>0</v>
      </c>
      <c r="N678" t="n">
        <v>0</v>
      </c>
      <c r="O678" t="n">
        <v>0</v>
      </c>
      <c r="P678" t="n">
        <v>0</v>
      </c>
      <c r="Q678" t="n">
        <v>0</v>
      </c>
      <c r="R678" s="2" t="inlineStr"/>
    </row>
    <row r="679" ht="15" customHeight="1">
      <c r="A679" t="inlineStr">
        <is>
          <t>A 22624-2025</t>
        </is>
      </c>
      <c r="B679" s="1" t="n">
        <v>45789.43327546296</v>
      </c>
      <c r="C679" s="1" t="n">
        <v>46059</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31405-2024</t>
        </is>
      </c>
      <c r="B680" s="1" t="n">
        <v>45505.5490625</v>
      </c>
      <c r="C680" s="1" t="n">
        <v>46059</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22616-2025</t>
        </is>
      </c>
      <c r="B681" s="1" t="n">
        <v>45789.42752314815</v>
      </c>
      <c r="C681" s="1" t="n">
        <v>46059</v>
      </c>
      <c r="D681" t="inlineStr">
        <is>
          <t>VÄSTMANLANDS LÄN</t>
        </is>
      </c>
      <c r="E681" t="inlineStr">
        <is>
          <t>SALA</t>
        </is>
      </c>
      <c r="G681" t="n">
        <v>0.8</v>
      </c>
      <c r="H681" t="n">
        <v>0</v>
      </c>
      <c r="I681" t="n">
        <v>0</v>
      </c>
      <c r="J681" t="n">
        <v>0</v>
      </c>
      <c r="K681" t="n">
        <v>0</v>
      </c>
      <c r="L681" t="n">
        <v>0</v>
      </c>
      <c r="M681" t="n">
        <v>0</v>
      </c>
      <c r="N681" t="n">
        <v>0</v>
      </c>
      <c r="O681" t="n">
        <v>0</v>
      </c>
      <c r="P681" t="n">
        <v>0</v>
      </c>
      <c r="Q681" t="n">
        <v>0</v>
      </c>
      <c r="R681" s="2" t="inlineStr"/>
    </row>
    <row r="682" ht="15" customHeight="1">
      <c r="A682" t="inlineStr">
        <is>
          <t>A 43600-2024</t>
        </is>
      </c>
      <c r="B682" s="1" t="n">
        <v>45569</v>
      </c>
      <c r="C682" s="1" t="n">
        <v>46059</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13130-2025</t>
        </is>
      </c>
      <c r="B683" s="1" t="n">
        <v>45734</v>
      </c>
      <c r="C683" s="1" t="n">
        <v>46059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24169-2025</t>
        </is>
      </c>
      <c r="B684" s="1" t="n">
        <v>45796</v>
      </c>
      <c r="C684" s="1" t="n">
        <v>46059</v>
      </c>
      <c r="D684" t="inlineStr">
        <is>
          <t>VÄSTMANLANDS LÄN</t>
        </is>
      </c>
      <c r="E684" t="inlineStr">
        <is>
          <t>SALA</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22126-2025</t>
        </is>
      </c>
      <c r="B685" s="1" t="n">
        <v>45785</v>
      </c>
      <c r="C685" s="1" t="n">
        <v>46059</v>
      </c>
      <c r="D685" t="inlineStr">
        <is>
          <t>VÄSTMANLANDS LÄN</t>
        </is>
      </c>
      <c r="E685" t="inlineStr">
        <is>
          <t>SALA</t>
        </is>
      </c>
      <c r="G685" t="n">
        <v>10.6</v>
      </c>
      <c r="H685" t="n">
        <v>0</v>
      </c>
      <c r="I685" t="n">
        <v>0</v>
      </c>
      <c r="J685" t="n">
        <v>0</v>
      </c>
      <c r="K685" t="n">
        <v>0</v>
      </c>
      <c r="L685" t="n">
        <v>0</v>
      </c>
      <c r="M685" t="n">
        <v>0</v>
      </c>
      <c r="N685" t="n">
        <v>0</v>
      </c>
      <c r="O685" t="n">
        <v>0</v>
      </c>
      <c r="P685" t="n">
        <v>0</v>
      </c>
      <c r="Q685" t="n">
        <v>0</v>
      </c>
      <c r="R685" s="2" t="inlineStr"/>
    </row>
    <row r="686" ht="15" customHeight="1">
      <c r="A686" t="inlineStr">
        <is>
          <t>A 23810-2025</t>
        </is>
      </c>
      <c r="B686" s="1" t="n">
        <v>45793.56989583333</v>
      </c>
      <c r="C686" s="1" t="n">
        <v>46059</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24944-2023</t>
        </is>
      </c>
      <c r="B687" s="1" t="n">
        <v>45085</v>
      </c>
      <c r="C687" s="1" t="n">
        <v>46059</v>
      </c>
      <c r="D687" t="inlineStr">
        <is>
          <t>VÄSTMANLANDS LÄN</t>
        </is>
      </c>
      <c r="E687" t="inlineStr">
        <is>
          <t>SALA</t>
        </is>
      </c>
      <c r="G687" t="n">
        <v>3.8</v>
      </c>
      <c r="H687" t="n">
        <v>0</v>
      </c>
      <c r="I687" t="n">
        <v>0</v>
      </c>
      <c r="J687" t="n">
        <v>0</v>
      </c>
      <c r="K687" t="n">
        <v>0</v>
      </c>
      <c r="L687" t="n">
        <v>0</v>
      </c>
      <c r="M687" t="n">
        <v>0</v>
      </c>
      <c r="N687" t="n">
        <v>0</v>
      </c>
      <c r="O687" t="n">
        <v>0</v>
      </c>
      <c r="P687" t="n">
        <v>0</v>
      </c>
      <c r="Q687" t="n">
        <v>0</v>
      </c>
      <c r="R687" s="2" t="inlineStr"/>
    </row>
    <row r="688" ht="15" customHeight="1">
      <c r="A688" t="inlineStr">
        <is>
          <t>A 23804-2025</t>
        </is>
      </c>
      <c r="B688" s="1" t="n">
        <v>45793.55995370371</v>
      </c>
      <c r="C688" s="1" t="n">
        <v>46059</v>
      </c>
      <c r="D688" t="inlineStr">
        <is>
          <t>VÄSTMANLANDS LÄN</t>
        </is>
      </c>
      <c r="E688" t="inlineStr">
        <is>
          <t>SALA</t>
        </is>
      </c>
      <c r="G688" t="n">
        <v>1.9</v>
      </c>
      <c r="H688" t="n">
        <v>0</v>
      </c>
      <c r="I688" t="n">
        <v>0</v>
      </c>
      <c r="J688" t="n">
        <v>0</v>
      </c>
      <c r="K688" t="n">
        <v>0</v>
      </c>
      <c r="L688" t="n">
        <v>0</v>
      </c>
      <c r="M688" t="n">
        <v>0</v>
      </c>
      <c r="N688" t="n">
        <v>0</v>
      </c>
      <c r="O688" t="n">
        <v>0</v>
      </c>
      <c r="P688" t="n">
        <v>0</v>
      </c>
      <c r="Q688" t="n">
        <v>0</v>
      </c>
      <c r="R688" s="2" t="inlineStr"/>
    </row>
    <row r="689" ht="15" customHeight="1">
      <c r="A689" t="inlineStr">
        <is>
          <t>A 11210-2025</t>
        </is>
      </c>
      <c r="B689" s="1" t="n">
        <v>45726</v>
      </c>
      <c r="C689" s="1" t="n">
        <v>46059</v>
      </c>
      <c r="D689" t="inlineStr">
        <is>
          <t>VÄSTMANLANDS LÄN</t>
        </is>
      </c>
      <c r="E689" t="inlineStr">
        <is>
          <t>SALA</t>
        </is>
      </c>
      <c r="G689" t="n">
        <v>4.1</v>
      </c>
      <c r="H689" t="n">
        <v>0</v>
      </c>
      <c r="I689" t="n">
        <v>0</v>
      </c>
      <c r="J689" t="n">
        <v>0</v>
      </c>
      <c r="K689" t="n">
        <v>0</v>
      </c>
      <c r="L689" t="n">
        <v>0</v>
      </c>
      <c r="M689" t="n">
        <v>0</v>
      </c>
      <c r="N689" t="n">
        <v>0</v>
      </c>
      <c r="O689" t="n">
        <v>0</v>
      </c>
      <c r="P689" t="n">
        <v>0</v>
      </c>
      <c r="Q689" t="n">
        <v>0</v>
      </c>
      <c r="R689" s="2" t="inlineStr"/>
    </row>
    <row r="690" ht="15" customHeight="1">
      <c r="A690" t="inlineStr">
        <is>
          <t>A 19297-2025</t>
        </is>
      </c>
      <c r="B690" s="1" t="n">
        <v>45769.56261574074</v>
      </c>
      <c r="C690" s="1" t="n">
        <v>46059</v>
      </c>
      <c r="D690" t="inlineStr">
        <is>
          <t>VÄSTMANLANDS LÄN</t>
        </is>
      </c>
      <c r="E690" t="inlineStr">
        <is>
          <t>SALA</t>
        </is>
      </c>
      <c r="G690" t="n">
        <v>0.8</v>
      </c>
      <c r="H690" t="n">
        <v>0</v>
      </c>
      <c r="I690" t="n">
        <v>0</v>
      </c>
      <c r="J690" t="n">
        <v>0</v>
      </c>
      <c r="K690" t="n">
        <v>0</v>
      </c>
      <c r="L690" t="n">
        <v>0</v>
      </c>
      <c r="M690" t="n">
        <v>0</v>
      </c>
      <c r="N690" t="n">
        <v>0</v>
      </c>
      <c r="O690" t="n">
        <v>0</v>
      </c>
      <c r="P690" t="n">
        <v>0</v>
      </c>
      <c r="Q690" t="n">
        <v>0</v>
      </c>
      <c r="R690" s="2" t="inlineStr"/>
    </row>
    <row r="691" ht="15" customHeight="1">
      <c r="A691" t="inlineStr">
        <is>
          <t>A 24460-2025</t>
        </is>
      </c>
      <c r="B691" s="1" t="n">
        <v>45798</v>
      </c>
      <c r="C691" s="1" t="n">
        <v>46059</v>
      </c>
      <c r="D691" t="inlineStr">
        <is>
          <t>VÄSTMANLANDS LÄN</t>
        </is>
      </c>
      <c r="E691" t="inlineStr">
        <is>
          <t>SALA</t>
        </is>
      </c>
      <c r="F691" t="inlineStr">
        <is>
          <t>Bergvik skog öst AB</t>
        </is>
      </c>
      <c r="G691" t="n">
        <v>2.6</v>
      </c>
      <c r="H691" t="n">
        <v>0</v>
      </c>
      <c r="I691" t="n">
        <v>0</v>
      </c>
      <c r="J691" t="n">
        <v>0</v>
      </c>
      <c r="K691" t="n">
        <v>0</v>
      </c>
      <c r="L691" t="n">
        <v>0</v>
      </c>
      <c r="M691" t="n">
        <v>0</v>
      </c>
      <c r="N691" t="n">
        <v>0</v>
      </c>
      <c r="O691" t="n">
        <v>0</v>
      </c>
      <c r="P691" t="n">
        <v>0</v>
      </c>
      <c r="Q691" t="n">
        <v>0</v>
      </c>
      <c r="R691" s="2" t="inlineStr"/>
    </row>
    <row r="692" ht="15" customHeight="1">
      <c r="A692" t="inlineStr">
        <is>
          <t>A 55065-2024</t>
        </is>
      </c>
      <c r="B692" s="1" t="n">
        <v>45618</v>
      </c>
      <c r="C692" s="1" t="n">
        <v>46059</v>
      </c>
      <c r="D692" t="inlineStr">
        <is>
          <t>VÄSTMANLANDS LÄN</t>
        </is>
      </c>
      <c r="E692" t="inlineStr">
        <is>
          <t>SALA</t>
        </is>
      </c>
      <c r="G692" t="n">
        <v>3.5</v>
      </c>
      <c r="H692" t="n">
        <v>0</v>
      </c>
      <c r="I692" t="n">
        <v>0</v>
      </c>
      <c r="J692" t="n">
        <v>0</v>
      </c>
      <c r="K692" t="n">
        <v>0</v>
      </c>
      <c r="L692" t="n">
        <v>0</v>
      </c>
      <c r="M692" t="n">
        <v>0</v>
      </c>
      <c r="N692" t="n">
        <v>0</v>
      </c>
      <c r="O692" t="n">
        <v>0</v>
      </c>
      <c r="P692" t="n">
        <v>0</v>
      </c>
      <c r="Q692" t="n">
        <v>0</v>
      </c>
      <c r="R692" s="2" t="inlineStr"/>
    </row>
    <row r="693" ht="15" customHeight="1">
      <c r="A693" t="inlineStr">
        <is>
          <t>A 24463-2025</t>
        </is>
      </c>
      <c r="B693" s="1" t="n">
        <v>45798</v>
      </c>
      <c r="C693" s="1" t="n">
        <v>46059</v>
      </c>
      <c r="D693" t="inlineStr">
        <is>
          <t>VÄSTMANLANDS LÄN</t>
        </is>
      </c>
      <c r="E693" t="inlineStr">
        <is>
          <t>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24907-2025</t>
        </is>
      </c>
      <c r="B694" s="1" t="n">
        <v>45799</v>
      </c>
      <c r="C694" s="1" t="n">
        <v>46059</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24910-2025</t>
        </is>
      </c>
      <c r="B695" s="1" t="n">
        <v>45799.53775462963</v>
      </c>
      <c r="C695" s="1" t="n">
        <v>46059</v>
      </c>
      <c r="D695" t="inlineStr">
        <is>
          <t>VÄSTMANLANDS LÄN</t>
        </is>
      </c>
      <c r="E695" t="inlineStr">
        <is>
          <t>SALA</t>
        </is>
      </c>
      <c r="G695" t="n">
        <v>3.5</v>
      </c>
      <c r="H695" t="n">
        <v>0</v>
      </c>
      <c r="I695" t="n">
        <v>0</v>
      </c>
      <c r="J695" t="n">
        <v>0</v>
      </c>
      <c r="K695" t="n">
        <v>0</v>
      </c>
      <c r="L695" t="n">
        <v>0</v>
      </c>
      <c r="M695" t="n">
        <v>0</v>
      </c>
      <c r="N695" t="n">
        <v>0</v>
      </c>
      <c r="O695" t="n">
        <v>0</v>
      </c>
      <c r="P695" t="n">
        <v>0</v>
      </c>
      <c r="Q695" t="n">
        <v>0</v>
      </c>
      <c r="R695" s="2" t="inlineStr"/>
    </row>
    <row r="696" ht="15" customHeight="1">
      <c r="A696" t="inlineStr">
        <is>
          <t>A 10909-2024</t>
        </is>
      </c>
      <c r="B696" s="1" t="n">
        <v>45370</v>
      </c>
      <c r="C696" s="1" t="n">
        <v>46059</v>
      </c>
      <c r="D696" t="inlineStr">
        <is>
          <t>VÄSTMANLANDS LÄN</t>
        </is>
      </c>
      <c r="E696" t="inlineStr">
        <is>
          <t>SALA</t>
        </is>
      </c>
      <c r="G696" t="n">
        <v>3.3</v>
      </c>
      <c r="H696" t="n">
        <v>0</v>
      </c>
      <c r="I696" t="n">
        <v>0</v>
      </c>
      <c r="J696" t="n">
        <v>0</v>
      </c>
      <c r="K696" t="n">
        <v>0</v>
      </c>
      <c r="L696" t="n">
        <v>0</v>
      </c>
      <c r="M696" t="n">
        <v>0</v>
      </c>
      <c r="N696" t="n">
        <v>0</v>
      </c>
      <c r="O696" t="n">
        <v>0</v>
      </c>
      <c r="P696" t="n">
        <v>0</v>
      </c>
      <c r="Q696" t="n">
        <v>0</v>
      </c>
      <c r="R696" s="2" t="inlineStr"/>
    </row>
    <row r="697" ht="15" customHeight="1">
      <c r="A697" t="inlineStr">
        <is>
          <t>A 26661-2025</t>
        </is>
      </c>
      <c r="B697" s="1" t="n">
        <v>45810</v>
      </c>
      <c r="C697" s="1" t="n">
        <v>46059</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28193-2025</t>
        </is>
      </c>
      <c r="B698" s="1" t="n">
        <v>45818.425625</v>
      </c>
      <c r="C698" s="1" t="n">
        <v>46059</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27981-2025</t>
        </is>
      </c>
      <c r="B699" s="1" t="n">
        <v>45817.57471064815</v>
      </c>
      <c r="C699" s="1" t="n">
        <v>46059</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28278-2025</t>
        </is>
      </c>
      <c r="B700" s="1" t="n">
        <v>45818.58454861111</v>
      </c>
      <c r="C700" s="1" t="n">
        <v>46059</v>
      </c>
      <c r="D700" t="inlineStr">
        <is>
          <t>VÄSTMANLANDS LÄN</t>
        </is>
      </c>
      <c r="E700" t="inlineStr">
        <is>
          <t>SALA</t>
        </is>
      </c>
      <c r="G700" t="n">
        <v>7.6</v>
      </c>
      <c r="H700" t="n">
        <v>0</v>
      </c>
      <c r="I700" t="n">
        <v>0</v>
      </c>
      <c r="J700" t="n">
        <v>0</v>
      </c>
      <c r="K700" t="n">
        <v>0</v>
      </c>
      <c r="L700" t="n">
        <v>0</v>
      </c>
      <c r="M700" t="n">
        <v>0</v>
      </c>
      <c r="N700" t="n">
        <v>0</v>
      </c>
      <c r="O700" t="n">
        <v>0</v>
      </c>
      <c r="P700" t="n">
        <v>0</v>
      </c>
      <c r="Q700" t="n">
        <v>0</v>
      </c>
      <c r="R700" s="2" t="inlineStr"/>
    </row>
    <row r="701" ht="15" customHeight="1">
      <c r="A701" t="inlineStr">
        <is>
          <t>A 27989-2025</t>
        </is>
      </c>
      <c r="B701" s="1" t="n">
        <v>45817.58716435185</v>
      </c>
      <c r="C701" s="1" t="n">
        <v>46059</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28284-2025</t>
        </is>
      </c>
      <c r="B702" s="1" t="n">
        <v>45818.58893518519</v>
      </c>
      <c r="C702" s="1" t="n">
        <v>46059</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28632-2025</t>
        </is>
      </c>
      <c r="B703" s="1" t="n">
        <v>45819.62344907408</v>
      </c>
      <c r="C703" s="1" t="n">
        <v>46059</v>
      </c>
      <c r="D703" t="inlineStr">
        <is>
          <t>VÄSTMANLANDS LÄN</t>
        </is>
      </c>
      <c r="E703" t="inlineStr">
        <is>
          <t>SALA</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28628-2025</t>
        </is>
      </c>
      <c r="B704" s="1" t="n">
        <v>45819.62158564815</v>
      </c>
      <c r="C704" s="1" t="n">
        <v>46059</v>
      </c>
      <c r="D704" t="inlineStr">
        <is>
          <t>VÄSTMANLANDS LÄN</t>
        </is>
      </c>
      <c r="E704" t="inlineStr">
        <is>
          <t>SALA</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28630-2025</t>
        </is>
      </c>
      <c r="B705" s="1" t="n">
        <v>45819.62274305556</v>
      </c>
      <c r="C705" s="1" t="n">
        <v>46059</v>
      </c>
      <c r="D705" t="inlineStr">
        <is>
          <t>VÄSTMANLANDS LÄN</t>
        </is>
      </c>
      <c r="E705" t="inlineStr">
        <is>
          <t>SALA</t>
        </is>
      </c>
      <c r="F705" t="inlineStr">
        <is>
          <t>Sveaskog</t>
        </is>
      </c>
      <c r="G705" t="n">
        <v>9</v>
      </c>
      <c r="H705" t="n">
        <v>0</v>
      </c>
      <c r="I705" t="n">
        <v>0</v>
      </c>
      <c r="J705" t="n">
        <v>0</v>
      </c>
      <c r="K705" t="n">
        <v>0</v>
      </c>
      <c r="L705" t="n">
        <v>0</v>
      </c>
      <c r="M705" t="n">
        <v>0</v>
      </c>
      <c r="N705" t="n">
        <v>0</v>
      </c>
      <c r="O705" t="n">
        <v>0</v>
      </c>
      <c r="P705" t="n">
        <v>0</v>
      </c>
      <c r="Q705" t="n">
        <v>0</v>
      </c>
      <c r="R705" s="2" t="inlineStr"/>
    </row>
    <row r="706" ht="15" customHeight="1">
      <c r="A706" t="inlineStr">
        <is>
          <t>A 28837-2025</t>
        </is>
      </c>
      <c r="B706" s="1" t="n">
        <v>45820.56243055555</v>
      </c>
      <c r="C706" s="1" t="n">
        <v>46059</v>
      </c>
      <c r="D706" t="inlineStr">
        <is>
          <t>VÄSTMANLANDS LÄN</t>
        </is>
      </c>
      <c r="E706" t="inlineStr">
        <is>
          <t>SALA</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28849-2025</t>
        </is>
      </c>
      <c r="B707" s="1" t="n">
        <v>45820</v>
      </c>
      <c r="C707" s="1" t="n">
        <v>46059</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29085-2025</t>
        </is>
      </c>
      <c r="B708" s="1" t="n">
        <v>45821</v>
      </c>
      <c r="C708" s="1" t="n">
        <v>46059</v>
      </c>
      <c r="D708" t="inlineStr">
        <is>
          <t>VÄSTMANLANDS LÄN</t>
        </is>
      </c>
      <c r="E708" t="inlineStr">
        <is>
          <t>SALA</t>
        </is>
      </c>
      <c r="G708" t="n">
        <v>3.5</v>
      </c>
      <c r="H708" t="n">
        <v>0</v>
      </c>
      <c r="I708" t="n">
        <v>0</v>
      </c>
      <c r="J708" t="n">
        <v>0</v>
      </c>
      <c r="K708" t="n">
        <v>0</v>
      </c>
      <c r="L708" t="n">
        <v>0</v>
      </c>
      <c r="M708" t="n">
        <v>0</v>
      </c>
      <c r="N708" t="n">
        <v>0</v>
      </c>
      <c r="O708" t="n">
        <v>0</v>
      </c>
      <c r="P708" t="n">
        <v>0</v>
      </c>
      <c r="Q708" t="n">
        <v>0</v>
      </c>
      <c r="R708" s="2" t="inlineStr"/>
    </row>
    <row r="709" ht="15" customHeight="1">
      <c r="A709" t="inlineStr">
        <is>
          <t>A 60541-2024</t>
        </is>
      </c>
      <c r="B709" s="1" t="n">
        <v>45643</v>
      </c>
      <c r="C709" s="1" t="n">
        <v>46059</v>
      </c>
      <c r="D709" t="inlineStr">
        <is>
          <t>VÄSTMANLANDS LÄN</t>
        </is>
      </c>
      <c r="E709" t="inlineStr">
        <is>
          <t>SALA</t>
        </is>
      </c>
      <c r="G709" t="n">
        <v>10.6</v>
      </c>
      <c r="H709" t="n">
        <v>0</v>
      </c>
      <c r="I709" t="n">
        <v>0</v>
      </c>
      <c r="J709" t="n">
        <v>0</v>
      </c>
      <c r="K709" t="n">
        <v>0</v>
      </c>
      <c r="L709" t="n">
        <v>0</v>
      </c>
      <c r="M709" t="n">
        <v>0</v>
      </c>
      <c r="N709" t="n">
        <v>0</v>
      </c>
      <c r="O709" t="n">
        <v>0</v>
      </c>
      <c r="P709" t="n">
        <v>0</v>
      </c>
      <c r="Q709" t="n">
        <v>0</v>
      </c>
      <c r="R709" s="2" t="inlineStr"/>
    </row>
    <row r="710" ht="15" customHeight="1">
      <c r="A710" t="inlineStr">
        <is>
          <t>A 29826-2025</t>
        </is>
      </c>
      <c r="B710" s="1" t="n">
        <v>45825.85761574074</v>
      </c>
      <c r="C710" s="1" t="n">
        <v>46059</v>
      </c>
      <c r="D710" t="inlineStr">
        <is>
          <t>VÄSTMANLANDS LÄN</t>
        </is>
      </c>
      <c r="E710" t="inlineStr">
        <is>
          <t>SALA</t>
        </is>
      </c>
      <c r="G710" t="n">
        <v>1.9</v>
      </c>
      <c r="H710" t="n">
        <v>0</v>
      </c>
      <c r="I710" t="n">
        <v>0</v>
      </c>
      <c r="J710" t="n">
        <v>0</v>
      </c>
      <c r="K710" t="n">
        <v>0</v>
      </c>
      <c r="L710" t="n">
        <v>0</v>
      </c>
      <c r="M710" t="n">
        <v>0</v>
      </c>
      <c r="N710" t="n">
        <v>0</v>
      </c>
      <c r="O710" t="n">
        <v>0</v>
      </c>
      <c r="P710" t="n">
        <v>0</v>
      </c>
      <c r="Q710" t="n">
        <v>0</v>
      </c>
      <c r="R710" s="2" t="inlineStr"/>
    </row>
    <row r="711" ht="15" customHeight="1">
      <c r="A711" t="inlineStr">
        <is>
          <t>A 29691-2025</t>
        </is>
      </c>
      <c r="B711" s="1" t="n">
        <v>45825.53645833334</v>
      </c>
      <c r="C711" s="1" t="n">
        <v>46059</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30874-2025</t>
        </is>
      </c>
      <c r="B712" s="1" t="n">
        <v>45832.34430555555</v>
      </c>
      <c r="C712" s="1" t="n">
        <v>46059</v>
      </c>
      <c r="D712" t="inlineStr">
        <is>
          <t>VÄSTMANLANDS LÄN</t>
        </is>
      </c>
      <c r="E712" t="inlineStr">
        <is>
          <t>SALA</t>
        </is>
      </c>
      <c r="G712" t="n">
        <v>8.4</v>
      </c>
      <c r="H712" t="n">
        <v>0</v>
      </c>
      <c r="I712" t="n">
        <v>0</v>
      </c>
      <c r="J712" t="n">
        <v>0</v>
      </c>
      <c r="K712" t="n">
        <v>0</v>
      </c>
      <c r="L712" t="n">
        <v>0</v>
      </c>
      <c r="M712" t="n">
        <v>0</v>
      </c>
      <c r="N712" t="n">
        <v>0</v>
      </c>
      <c r="O712" t="n">
        <v>0</v>
      </c>
      <c r="P712" t="n">
        <v>0</v>
      </c>
      <c r="Q712" t="n">
        <v>0</v>
      </c>
      <c r="R712" s="2" t="inlineStr"/>
    </row>
    <row r="713" ht="15" customHeight="1">
      <c r="A713" t="inlineStr">
        <is>
          <t>A 30899-2025</t>
        </is>
      </c>
      <c r="B713" s="1" t="n">
        <v>45832.35767361111</v>
      </c>
      <c r="C713" s="1" t="n">
        <v>46059</v>
      </c>
      <c r="D713" t="inlineStr">
        <is>
          <t>VÄSTMANLANDS LÄN</t>
        </is>
      </c>
      <c r="E713" t="inlineStr">
        <is>
          <t>SALA</t>
        </is>
      </c>
      <c r="G713" t="n">
        <v>3.1</v>
      </c>
      <c r="H713" t="n">
        <v>0</v>
      </c>
      <c r="I713" t="n">
        <v>0</v>
      </c>
      <c r="J713" t="n">
        <v>0</v>
      </c>
      <c r="K713" t="n">
        <v>0</v>
      </c>
      <c r="L713" t="n">
        <v>0</v>
      </c>
      <c r="M713" t="n">
        <v>0</v>
      </c>
      <c r="N713" t="n">
        <v>0</v>
      </c>
      <c r="O713" t="n">
        <v>0</v>
      </c>
      <c r="P713" t="n">
        <v>0</v>
      </c>
      <c r="Q713" t="n">
        <v>0</v>
      </c>
      <c r="R713" s="2" t="inlineStr"/>
    </row>
    <row r="714" ht="15" customHeight="1">
      <c r="A714" t="inlineStr">
        <is>
          <t>A 30866-2025</t>
        </is>
      </c>
      <c r="B714" s="1" t="n">
        <v>45832.3246875</v>
      </c>
      <c r="C714" s="1" t="n">
        <v>46059</v>
      </c>
      <c r="D714" t="inlineStr">
        <is>
          <t>VÄSTMANLANDS LÄN</t>
        </is>
      </c>
      <c r="E714" t="inlineStr">
        <is>
          <t>SALA</t>
        </is>
      </c>
      <c r="G714" t="n">
        <v>14.3</v>
      </c>
      <c r="H714" t="n">
        <v>0</v>
      </c>
      <c r="I714" t="n">
        <v>0</v>
      </c>
      <c r="J714" t="n">
        <v>0</v>
      </c>
      <c r="K714" t="n">
        <v>0</v>
      </c>
      <c r="L714" t="n">
        <v>0</v>
      </c>
      <c r="M714" t="n">
        <v>0</v>
      </c>
      <c r="N714" t="n">
        <v>0</v>
      </c>
      <c r="O714" t="n">
        <v>0</v>
      </c>
      <c r="P714" t="n">
        <v>0</v>
      </c>
      <c r="Q714" t="n">
        <v>0</v>
      </c>
      <c r="R714" s="2" t="inlineStr"/>
    </row>
    <row r="715" ht="15" customHeight="1">
      <c r="A715" t="inlineStr">
        <is>
          <t>A 31065-2025</t>
        </is>
      </c>
      <c r="B715" s="1" t="n">
        <v>45832.57571759259</v>
      </c>
      <c r="C715" s="1" t="n">
        <v>46059</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31612-2025</t>
        </is>
      </c>
      <c r="B716" s="1" t="n">
        <v>45833.80056712963</v>
      </c>
      <c r="C716" s="1" t="n">
        <v>46059</v>
      </c>
      <c r="D716" t="inlineStr">
        <is>
          <t>VÄSTMANLANDS LÄN</t>
        </is>
      </c>
      <c r="E716" t="inlineStr">
        <is>
          <t>SALA</t>
        </is>
      </c>
      <c r="G716" t="n">
        <v>6.3</v>
      </c>
      <c r="H716" t="n">
        <v>0</v>
      </c>
      <c r="I716" t="n">
        <v>0</v>
      </c>
      <c r="J716" t="n">
        <v>0</v>
      </c>
      <c r="K716" t="n">
        <v>0</v>
      </c>
      <c r="L716" t="n">
        <v>0</v>
      </c>
      <c r="M716" t="n">
        <v>0</v>
      </c>
      <c r="N716" t="n">
        <v>0</v>
      </c>
      <c r="O716" t="n">
        <v>0</v>
      </c>
      <c r="P716" t="n">
        <v>0</v>
      </c>
      <c r="Q716" t="n">
        <v>0</v>
      </c>
      <c r="R716" s="2" t="inlineStr"/>
    </row>
    <row r="717" ht="15" customHeight="1">
      <c r="A717" t="inlineStr">
        <is>
          <t>A 31748-2025</t>
        </is>
      </c>
      <c r="B717" s="1" t="n">
        <v>45834</v>
      </c>
      <c r="C717" s="1" t="n">
        <v>46059</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31288-2025</t>
        </is>
      </c>
      <c r="B718" s="1" t="n">
        <v>45833</v>
      </c>
      <c r="C718" s="1" t="n">
        <v>46059</v>
      </c>
      <c r="D718" t="inlineStr">
        <is>
          <t>VÄSTMANLANDS LÄN</t>
        </is>
      </c>
      <c r="E718" t="inlineStr">
        <is>
          <t>SALA</t>
        </is>
      </c>
      <c r="G718" t="n">
        <v>3.1</v>
      </c>
      <c r="H718" t="n">
        <v>0</v>
      </c>
      <c r="I718" t="n">
        <v>0</v>
      </c>
      <c r="J718" t="n">
        <v>0</v>
      </c>
      <c r="K718" t="n">
        <v>0</v>
      </c>
      <c r="L718" t="n">
        <v>0</v>
      </c>
      <c r="M718" t="n">
        <v>0</v>
      </c>
      <c r="N718" t="n">
        <v>0</v>
      </c>
      <c r="O718" t="n">
        <v>0</v>
      </c>
      <c r="P718" t="n">
        <v>0</v>
      </c>
      <c r="Q718" t="n">
        <v>0</v>
      </c>
      <c r="R718" s="2" t="inlineStr"/>
    </row>
    <row r="719" ht="15" customHeight="1">
      <c r="A719" t="inlineStr">
        <is>
          <t>A 31771-2025</t>
        </is>
      </c>
      <c r="B719" s="1" t="n">
        <v>45834.50910879629</v>
      </c>
      <c r="C719" s="1" t="n">
        <v>46059</v>
      </c>
      <c r="D719" t="inlineStr">
        <is>
          <t>VÄSTMANLANDS LÄN</t>
        </is>
      </c>
      <c r="E719" t="inlineStr">
        <is>
          <t>SALA</t>
        </is>
      </c>
      <c r="G719" t="n">
        <v>5.1</v>
      </c>
      <c r="H719" t="n">
        <v>0</v>
      </c>
      <c r="I719" t="n">
        <v>0</v>
      </c>
      <c r="J719" t="n">
        <v>0</v>
      </c>
      <c r="K719" t="n">
        <v>0</v>
      </c>
      <c r="L719" t="n">
        <v>0</v>
      </c>
      <c r="M719" t="n">
        <v>0</v>
      </c>
      <c r="N719" t="n">
        <v>0</v>
      </c>
      <c r="O719" t="n">
        <v>0</v>
      </c>
      <c r="P719" t="n">
        <v>0</v>
      </c>
      <c r="Q719" t="n">
        <v>0</v>
      </c>
      <c r="R719" s="2" t="inlineStr"/>
    </row>
    <row r="720" ht="15" customHeight="1">
      <c r="A720" t="inlineStr">
        <is>
          <t>A 31554-2025</t>
        </is>
      </c>
      <c r="B720" s="1" t="n">
        <v>45833</v>
      </c>
      <c r="C720" s="1" t="n">
        <v>46059</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31762-2025</t>
        </is>
      </c>
      <c r="B721" s="1" t="n">
        <v>45834.49288194445</v>
      </c>
      <c r="C721" s="1" t="n">
        <v>46059</v>
      </c>
      <c r="D721" t="inlineStr">
        <is>
          <t>VÄSTMANLANDS LÄN</t>
        </is>
      </c>
      <c r="E721" t="inlineStr">
        <is>
          <t>SALA</t>
        </is>
      </c>
      <c r="G721" t="n">
        <v>5.9</v>
      </c>
      <c r="H721" t="n">
        <v>0</v>
      </c>
      <c r="I721" t="n">
        <v>0</v>
      </c>
      <c r="J721" t="n">
        <v>0</v>
      </c>
      <c r="K721" t="n">
        <v>0</v>
      </c>
      <c r="L721" t="n">
        <v>0</v>
      </c>
      <c r="M721" t="n">
        <v>0</v>
      </c>
      <c r="N721" t="n">
        <v>0</v>
      </c>
      <c r="O721" t="n">
        <v>0</v>
      </c>
      <c r="P721" t="n">
        <v>0</v>
      </c>
      <c r="Q721" t="n">
        <v>0</v>
      </c>
      <c r="R721" s="2" t="inlineStr"/>
    </row>
    <row r="722" ht="15" customHeight="1">
      <c r="A722" t="inlineStr">
        <is>
          <t>A 31608-2025</t>
        </is>
      </c>
      <c r="B722" s="1" t="n">
        <v>45833</v>
      </c>
      <c r="C722" s="1" t="n">
        <v>46059</v>
      </c>
      <c r="D722" t="inlineStr">
        <is>
          <t>VÄSTMANLANDS LÄN</t>
        </is>
      </c>
      <c r="E722" t="inlineStr">
        <is>
          <t>SALA</t>
        </is>
      </c>
      <c r="G722" t="n">
        <v>6.1</v>
      </c>
      <c r="H722" t="n">
        <v>0</v>
      </c>
      <c r="I722" t="n">
        <v>0</v>
      </c>
      <c r="J722" t="n">
        <v>0</v>
      </c>
      <c r="K722" t="n">
        <v>0</v>
      </c>
      <c r="L722" t="n">
        <v>0</v>
      </c>
      <c r="M722" t="n">
        <v>0</v>
      </c>
      <c r="N722" t="n">
        <v>0</v>
      </c>
      <c r="O722" t="n">
        <v>0</v>
      </c>
      <c r="P722" t="n">
        <v>0</v>
      </c>
      <c r="Q722" t="n">
        <v>0</v>
      </c>
      <c r="R722" s="2" t="inlineStr"/>
    </row>
    <row r="723" ht="15" customHeight="1">
      <c r="A723" t="inlineStr">
        <is>
          <t>A 31610-2025</t>
        </is>
      </c>
      <c r="B723" s="1" t="n">
        <v>45833.78650462963</v>
      </c>
      <c r="C723" s="1" t="n">
        <v>46059</v>
      </c>
      <c r="D723" t="inlineStr">
        <is>
          <t>VÄSTMANLANDS LÄN</t>
        </is>
      </c>
      <c r="E723" t="inlineStr">
        <is>
          <t>SALA</t>
        </is>
      </c>
      <c r="G723" t="n">
        <v>8</v>
      </c>
      <c r="H723" t="n">
        <v>0</v>
      </c>
      <c r="I723" t="n">
        <v>0</v>
      </c>
      <c r="J723" t="n">
        <v>0</v>
      </c>
      <c r="K723" t="n">
        <v>0</v>
      </c>
      <c r="L723" t="n">
        <v>0</v>
      </c>
      <c r="M723" t="n">
        <v>0</v>
      </c>
      <c r="N723" t="n">
        <v>0</v>
      </c>
      <c r="O723" t="n">
        <v>0</v>
      </c>
      <c r="P723" t="n">
        <v>0</v>
      </c>
      <c r="Q723" t="n">
        <v>0</v>
      </c>
      <c r="R723" s="2" t="inlineStr"/>
    </row>
    <row r="724" ht="15" customHeight="1">
      <c r="A724" t="inlineStr">
        <is>
          <t>A 31296-2025</t>
        </is>
      </c>
      <c r="B724" s="1" t="n">
        <v>45833.36765046296</v>
      </c>
      <c r="C724" s="1" t="n">
        <v>46059</v>
      </c>
      <c r="D724" t="inlineStr">
        <is>
          <t>VÄSTMANLANDS LÄN</t>
        </is>
      </c>
      <c r="E724" t="inlineStr">
        <is>
          <t>SALA</t>
        </is>
      </c>
      <c r="G724" t="n">
        <v>3.7</v>
      </c>
      <c r="H724" t="n">
        <v>0</v>
      </c>
      <c r="I724" t="n">
        <v>0</v>
      </c>
      <c r="J724" t="n">
        <v>0</v>
      </c>
      <c r="K724" t="n">
        <v>0</v>
      </c>
      <c r="L724" t="n">
        <v>0</v>
      </c>
      <c r="M724" t="n">
        <v>0</v>
      </c>
      <c r="N724" t="n">
        <v>0</v>
      </c>
      <c r="O724" t="n">
        <v>0</v>
      </c>
      <c r="P724" t="n">
        <v>0</v>
      </c>
      <c r="Q724" t="n">
        <v>0</v>
      </c>
      <c r="R724" s="2" t="inlineStr"/>
    </row>
    <row r="725" ht="15" customHeight="1">
      <c r="A725" t="inlineStr">
        <is>
          <t>A 31573-2025</t>
        </is>
      </c>
      <c r="B725" s="1" t="n">
        <v>45833</v>
      </c>
      <c r="C725" s="1" t="n">
        <v>46059</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32201-2025</t>
        </is>
      </c>
      <c r="B726" s="1" t="n">
        <v>45835</v>
      </c>
      <c r="C726" s="1" t="n">
        <v>46059</v>
      </c>
      <c r="D726" t="inlineStr">
        <is>
          <t>VÄSTMANLANDS LÄN</t>
        </is>
      </c>
      <c r="E726" t="inlineStr">
        <is>
          <t>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32205-2025</t>
        </is>
      </c>
      <c r="B727" s="1" t="n">
        <v>45835</v>
      </c>
      <c r="C727" s="1" t="n">
        <v>46059</v>
      </c>
      <c r="D727" t="inlineStr">
        <is>
          <t>VÄSTMANLANDS LÄN</t>
        </is>
      </c>
      <c r="E727" t="inlineStr">
        <is>
          <t>SALA</t>
        </is>
      </c>
      <c r="F727" t="inlineStr">
        <is>
          <t>Bergvik skog öst AB</t>
        </is>
      </c>
      <c r="G727" t="n">
        <v>1.1</v>
      </c>
      <c r="H727" t="n">
        <v>0</v>
      </c>
      <c r="I727" t="n">
        <v>0</v>
      </c>
      <c r="J727" t="n">
        <v>0</v>
      </c>
      <c r="K727" t="n">
        <v>0</v>
      </c>
      <c r="L727" t="n">
        <v>0</v>
      </c>
      <c r="M727" t="n">
        <v>0</v>
      </c>
      <c r="N727" t="n">
        <v>0</v>
      </c>
      <c r="O727" t="n">
        <v>0</v>
      </c>
      <c r="P727" t="n">
        <v>0</v>
      </c>
      <c r="Q727" t="n">
        <v>0</v>
      </c>
      <c r="R727" s="2" t="inlineStr"/>
    </row>
    <row r="728" ht="15" customHeight="1">
      <c r="A728" t="inlineStr">
        <is>
          <t>A 32210-2025</t>
        </is>
      </c>
      <c r="B728" s="1" t="n">
        <v>45835</v>
      </c>
      <c r="C728" s="1" t="n">
        <v>46059</v>
      </c>
      <c r="D728" t="inlineStr">
        <is>
          <t>VÄSTMANLANDS LÄN</t>
        </is>
      </c>
      <c r="E728" t="inlineStr">
        <is>
          <t>SALA</t>
        </is>
      </c>
      <c r="F728" t="inlineStr">
        <is>
          <t>Bergvik skog öst AB</t>
        </is>
      </c>
      <c r="G728" t="n">
        <v>1.5</v>
      </c>
      <c r="H728" t="n">
        <v>0</v>
      </c>
      <c r="I728" t="n">
        <v>0</v>
      </c>
      <c r="J728" t="n">
        <v>0</v>
      </c>
      <c r="K728" t="n">
        <v>0</v>
      </c>
      <c r="L728" t="n">
        <v>0</v>
      </c>
      <c r="M728" t="n">
        <v>0</v>
      </c>
      <c r="N728" t="n">
        <v>0</v>
      </c>
      <c r="O728" t="n">
        <v>0</v>
      </c>
      <c r="P728" t="n">
        <v>0</v>
      </c>
      <c r="Q728" t="n">
        <v>0</v>
      </c>
      <c r="R728" s="2" t="inlineStr"/>
    </row>
    <row r="729" ht="15" customHeight="1">
      <c r="A729" t="inlineStr">
        <is>
          <t>A 32286-2025</t>
        </is>
      </c>
      <c r="B729" s="1" t="n">
        <v>45835</v>
      </c>
      <c r="C729" s="1" t="n">
        <v>46059</v>
      </c>
      <c r="D729" t="inlineStr">
        <is>
          <t>VÄSTMANLANDS LÄN</t>
        </is>
      </c>
      <c r="E729" t="inlineStr">
        <is>
          <t>SALA</t>
        </is>
      </c>
      <c r="G729" t="n">
        <v>6.4</v>
      </c>
      <c r="H729" t="n">
        <v>0</v>
      </c>
      <c r="I729" t="n">
        <v>0</v>
      </c>
      <c r="J729" t="n">
        <v>0</v>
      </c>
      <c r="K729" t="n">
        <v>0</v>
      </c>
      <c r="L729" t="n">
        <v>0</v>
      </c>
      <c r="M729" t="n">
        <v>0</v>
      </c>
      <c r="N729" t="n">
        <v>0</v>
      </c>
      <c r="O729" t="n">
        <v>0</v>
      </c>
      <c r="P729" t="n">
        <v>0</v>
      </c>
      <c r="Q729" t="n">
        <v>0</v>
      </c>
      <c r="R729" s="2" t="inlineStr"/>
    </row>
    <row r="730" ht="15" customHeight="1">
      <c r="A730" t="inlineStr">
        <is>
          <t>A 32207-2025</t>
        </is>
      </c>
      <c r="B730" s="1" t="n">
        <v>45835</v>
      </c>
      <c r="C730" s="1" t="n">
        <v>46059</v>
      </c>
      <c r="D730" t="inlineStr">
        <is>
          <t>VÄSTMANLANDS LÄN</t>
        </is>
      </c>
      <c r="E730" t="inlineStr">
        <is>
          <t>SALA</t>
        </is>
      </c>
      <c r="F730" t="inlineStr">
        <is>
          <t>Bergvik skog öst AB</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32902-2025</t>
        </is>
      </c>
      <c r="B731" s="1" t="n">
        <v>45839</v>
      </c>
      <c r="C731" s="1" t="n">
        <v>46059</v>
      </c>
      <c r="D731" t="inlineStr">
        <is>
          <t>VÄSTMANLANDS LÄN</t>
        </is>
      </c>
      <c r="E731" t="inlineStr">
        <is>
          <t>SALA</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34069-2025</t>
        </is>
      </c>
      <c r="B732" s="1" t="n">
        <v>45845.43560185185</v>
      </c>
      <c r="C732" s="1" t="n">
        <v>46059</v>
      </c>
      <c r="D732" t="inlineStr">
        <is>
          <t>VÄSTMANLANDS LÄN</t>
        </is>
      </c>
      <c r="E732" t="inlineStr">
        <is>
          <t>SALA</t>
        </is>
      </c>
      <c r="G732" t="n">
        <v>0.5</v>
      </c>
      <c r="H732" t="n">
        <v>0</v>
      </c>
      <c r="I732" t="n">
        <v>0</v>
      </c>
      <c r="J732" t="n">
        <v>0</v>
      </c>
      <c r="K732" t="n">
        <v>0</v>
      </c>
      <c r="L732" t="n">
        <v>0</v>
      </c>
      <c r="M732" t="n">
        <v>0</v>
      </c>
      <c r="N732" t="n">
        <v>0</v>
      </c>
      <c r="O732" t="n">
        <v>0</v>
      </c>
      <c r="P732" t="n">
        <v>0</v>
      </c>
      <c r="Q732" t="n">
        <v>0</v>
      </c>
      <c r="R732" s="2" t="inlineStr"/>
      <c r="U732">
        <f>HYPERLINK("https://klasma.github.io/Logging_1981/knärot/A 34069-2025 karta knärot.png", "A 34069-2025")</f>
        <v/>
      </c>
      <c r="V732">
        <f>HYPERLINK("https://klasma.github.io/Logging_1981/klagomål/A 34069-2025 FSC-klagomål.docx", "A 34069-2025")</f>
        <v/>
      </c>
      <c r="W732">
        <f>HYPERLINK("https://klasma.github.io/Logging_1981/klagomålsmail/A 34069-2025 FSC-klagomål mail.docx", "A 34069-2025")</f>
        <v/>
      </c>
      <c r="X732">
        <f>HYPERLINK("https://klasma.github.io/Logging_1981/tillsyn/A 34069-2025 tillsynsbegäran.docx", "A 34069-2025")</f>
        <v/>
      </c>
      <c r="Y732">
        <f>HYPERLINK("https://klasma.github.io/Logging_1981/tillsynsmail/A 34069-2025 tillsynsbegäran mail.docx", "A 34069-2025")</f>
        <v/>
      </c>
    </row>
    <row r="733" ht="15" customHeight="1">
      <c r="A733" t="inlineStr">
        <is>
          <t>A 15744-2025</t>
        </is>
      </c>
      <c r="B733" s="1" t="n">
        <v>45748</v>
      </c>
      <c r="C733" s="1" t="n">
        <v>46059</v>
      </c>
      <c r="D733" t="inlineStr">
        <is>
          <t>VÄSTMANLANDS LÄN</t>
        </is>
      </c>
      <c r="E733" t="inlineStr">
        <is>
          <t>SALA</t>
        </is>
      </c>
      <c r="G733" t="n">
        <v>1.6</v>
      </c>
      <c r="H733" t="n">
        <v>0</v>
      </c>
      <c r="I733" t="n">
        <v>0</v>
      </c>
      <c r="J733" t="n">
        <v>0</v>
      </c>
      <c r="K733" t="n">
        <v>0</v>
      </c>
      <c r="L733" t="n">
        <v>0</v>
      </c>
      <c r="M733" t="n">
        <v>0</v>
      </c>
      <c r="N733" t="n">
        <v>0</v>
      </c>
      <c r="O733" t="n">
        <v>0</v>
      </c>
      <c r="P733" t="n">
        <v>0</v>
      </c>
      <c r="Q733" t="n">
        <v>0</v>
      </c>
      <c r="R733" s="2" t="inlineStr"/>
    </row>
    <row r="734" ht="15" customHeight="1">
      <c r="A734" t="inlineStr">
        <is>
          <t>A 35715-2025</t>
        </is>
      </c>
      <c r="B734" s="1" t="n">
        <v>45860.42148148148</v>
      </c>
      <c r="C734" s="1" t="n">
        <v>46059</v>
      </c>
      <c r="D734" t="inlineStr">
        <is>
          <t>VÄSTMANLANDS LÄN</t>
        </is>
      </c>
      <c r="E734" t="inlineStr">
        <is>
          <t>SALA</t>
        </is>
      </c>
      <c r="G734" t="n">
        <v>3.8</v>
      </c>
      <c r="H734" t="n">
        <v>0</v>
      </c>
      <c r="I734" t="n">
        <v>0</v>
      </c>
      <c r="J734" t="n">
        <v>0</v>
      </c>
      <c r="K734" t="n">
        <v>0</v>
      </c>
      <c r="L734" t="n">
        <v>0</v>
      </c>
      <c r="M734" t="n">
        <v>0</v>
      </c>
      <c r="N734" t="n">
        <v>0</v>
      </c>
      <c r="O734" t="n">
        <v>0</v>
      </c>
      <c r="P734" t="n">
        <v>0</v>
      </c>
      <c r="Q734" t="n">
        <v>0</v>
      </c>
      <c r="R734" s="2" t="inlineStr"/>
    </row>
    <row r="735" ht="15" customHeight="1">
      <c r="A735" t="inlineStr">
        <is>
          <t>A 35651-2025</t>
        </is>
      </c>
      <c r="B735" s="1" t="n">
        <v>45859.52435185185</v>
      </c>
      <c r="C735" s="1" t="n">
        <v>46059</v>
      </c>
      <c r="D735" t="inlineStr">
        <is>
          <t>VÄSTMANLANDS LÄN</t>
        </is>
      </c>
      <c r="E735" t="inlineStr">
        <is>
          <t>SALA</t>
        </is>
      </c>
      <c r="G735" t="n">
        <v>6.3</v>
      </c>
      <c r="H735" t="n">
        <v>0</v>
      </c>
      <c r="I735" t="n">
        <v>0</v>
      </c>
      <c r="J735" t="n">
        <v>0</v>
      </c>
      <c r="K735" t="n">
        <v>0</v>
      </c>
      <c r="L735" t="n">
        <v>0</v>
      </c>
      <c r="M735" t="n">
        <v>0</v>
      </c>
      <c r="N735" t="n">
        <v>0</v>
      </c>
      <c r="O735" t="n">
        <v>0</v>
      </c>
      <c r="P735" t="n">
        <v>0</v>
      </c>
      <c r="Q735" t="n">
        <v>0</v>
      </c>
      <c r="R735" s="2" t="inlineStr"/>
    </row>
    <row r="736" ht="15" customHeight="1">
      <c r="A736" t="inlineStr">
        <is>
          <t>A 35775-2025</t>
        </is>
      </c>
      <c r="B736" s="1" t="n">
        <v>45860</v>
      </c>
      <c r="C736" s="1" t="n">
        <v>46059</v>
      </c>
      <c r="D736" t="inlineStr">
        <is>
          <t>VÄSTMANLANDS LÄN</t>
        </is>
      </c>
      <c r="E736" t="inlineStr">
        <is>
          <t>SALA</t>
        </is>
      </c>
      <c r="G736" t="n">
        <v>2.6</v>
      </c>
      <c r="H736" t="n">
        <v>0</v>
      </c>
      <c r="I736" t="n">
        <v>0</v>
      </c>
      <c r="J736" t="n">
        <v>0</v>
      </c>
      <c r="K736" t="n">
        <v>0</v>
      </c>
      <c r="L736" t="n">
        <v>0</v>
      </c>
      <c r="M736" t="n">
        <v>0</v>
      </c>
      <c r="N736" t="n">
        <v>0</v>
      </c>
      <c r="O736" t="n">
        <v>0</v>
      </c>
      <c r="P736" t="n">
        <v>0</v>
      </c>
      <c r="Q736" t="n">
        <v>0</v>
      </c>
      <c r="R736" s="2" t="inlineStr"/>
    </row>
    <row r="737" ht="15" customHeight="1">
      <c r="A737" t="inlineStr">
        <is>
          <t>A 35774-2025</t>
        </is>
      </c>
      <c r="B737" s="1" t="n">
        <v>45860.68780092592</v>
      </c>
      <c r="C737" s="1" t="n">
        <v>46059</v>
      </c>
      <c r="D737" t="inlineStr">
        <is>
          <t>VÄSTMANLANDS LÄN</t>
        </is>
      </c>
      <c r="E737" t="inlineStr">
        <is>
          <t>SALA</t>
        </is>
      </c>
      <c r="G737" t="n">
        <v>6.5</v>
      </c>
      <c r="H737" t="n">
        <v>0</v>
      </c>
      <c r="I737" t="n">
        <v>0</v>
      </c>
      <c r="J737" t="n">
        <v>0</v>
      </c>
      <c r="K737" t="n">
        <v>0</v>
      </c>
      <c r="L737" t="n">
        <v>0</v>
      </c>
      <c r="M737" t="n">
        <v>0</v>
      </c>
      <c r="N737" t="n">
        <v>0</v>
      </c>
      <c r="O737" t="n">
        <v>0</v>
      </c>
      <c r="P737" t="n">
        <v>0</v>
      </c>
      <c r="Q737" t="n">
        <v>0</v>
      </c>
      <c r="R737" s="2" t="inlineStr"/>
    </row>
    <row r="738" ht="15" customHeight="1">
      <c r="A738" t="inlineStr">
        <is>
          <t>A 35776-2025</t>
        </is>
      </c>
      <c r="B738" s="1" t="n">
        <v>45860.69211805556</v>
      </c>
      <c r="C738" s="1" t="n">
        <v>46059</v>
      </c>
      <c r="D738" t="inlineStr">
        <is>
          <t>VÄSTMANLANDS LÄN</t>
        </is>
      </c>
      <c r="E738" t="inlineStr">
        <is>
          <t>SALA</t>
        </is>
      </c>
      <c r="G738" t="n">
        <v>14.2</v>
      </c>
      <c r="H738" t="n">
        <v>0</v>
      </c>
      <c r="I738" t="n">
        <v>0</v>
      </c>
      <c r="J738" t="n">
        <v>0</v>
      </c>
      <c r="K738" t="n">
        <v>0</v>
      </c>
      <c r="L738" t="n">
        <v>0</v>
      </c>
      <c r="M738" t="n">
        <v>0</v>
      </c>
      <c r="N738" t="n">
        <v>0</v>
      </c>
      <c r="O738" t="n">
        <v>0</v>
      </c>
      <c r="P738" t="n">
        <v>0</v>
      </c>
      <c r="Q738" t="n">
        <v>0</v>
      </c>
      <c r="R738" s="2" t="inlineStr"/>
    </row>
    <row r="739" ht="15" customHeight="1">
      <c r="A739" t="inlineStr">
        <is>
          <t>A 35779-2025</t>
        </is>
      </c>
      <c r="B739" s="1" t="n">
        <v>45860.69495370371</v>
      </c>
      <c r="C739" s="1" t="n">
        <v>46059</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36049-2025</t>
        </is>
      </c>
      <c r="B740" s="1" t="n">
        <v>45866.37065972222</v>
      </c>
      <c r="C740" s="1" t="n">
        <v>46059</v>
      </c>
      <c r="D740" t="inlineStr">
        <is>
          <t>VÄSTMANLANDS LÄN</t>
        </is>
      </c>
      <c r="E740" t="inlineStr">
        <is>
          <t>SALA</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36031-2025</t>
        </is>
      </c>
      <c r="B741" s="1" t="n">
        <v>45865.46111111111</v>
      </c>
      <c r="C741" s="1" t="n">
        <v>46059</v>
      </c>
      <c r="D741" t="inlineStr">
        <is>
          <t>VÄSTMANLANDS LÄN</t>
        </is>
      </c>
      <c r="E741" t="inlineStr">
        <is>
          <t>SALA</t>
        </is>
      </c>
      <c r="G741" t="n">
        <v>7.2</v>
      </c>
      <c r="H741" t="n">
        <v>0</v>
      </c>
      <c r="I741" t="n">
        <v>0</v>
      </c>
      <c r="J741" t="n">
        <v>0</v>
      </c>
      <c r="K741" t="n">
        <v>0</v>
      </c>
      <c r="L741" t="n">
        <v>0</v>
      </c>
      <c r="M741" t="n">
        <v>0</v>
      </c>
      <c r="N741" t="n">
        <v>0</v>
      </c>
      <c r="O741" t="n">
        <v>0</v>
      </c>
      <c r="P741" t="n">
        <v>0</v>
      </c>
      <c r="Q741" t="n">
        <v>0</v>
      </c>
      <c r="R741" s="2" t="inlineStr"/>
    </row>
    <row r="742">
      <c r="A742" t="inlineStr">
        <is>
          <t>A 36060-2025</t>
        </is>
      </c>
      <c r="B742" s="1" t="n">
        <v>45866.39469907407</v>
      </c>
      <c r="C742" s="1" t="n">
        <v>46059</v>
      </c>
      <c r="D742" t="inlineStr">
        <is>
          <t>VÄSTMANLANDS LÄN</t>
        </is>
      </c>
      <c r="E742" t="inlineStr">
        <is>
          <t>SALA</t>
        </is>
      </c>
      <c r="F742" t="inlineStr">
        <is>
          <t>Kommuner</t>
        </is>
      </c>
      <c r="G742" t="n">
        <v>4.3</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2026-02-06T11:10:35Z</dcterms:created>
  <dcterms:modified xmlns:dcterms="http://purl.org/dc/terms/" xmlns:xsi="http://www.w3.org/2001/XMLSchema-instance" xsi:type="dcterms:W3CDTF">2026-02-06T11:10:36Z</dcterms:modified>
</cp:coreProperties>
</file>