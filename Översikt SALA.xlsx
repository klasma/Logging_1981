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45986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45986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45986</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45986</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10344-2025</t>
        </is>
      </c>
      <c r="B13" s="1" t="n">
        <v>45720</v>
      </c>
      <c r="C13" s="1" t="n">
        <v>45986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45986</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45986</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45986</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45986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45986</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45986</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45986</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3567-2024</t>
        </is>
      </c>
      <c r="B22" s="1" t="n">
        <v>45320.63706018519</v>
      </c>
      <c r="C22" s="1" t="n">
        <v>45986</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45986</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45986</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45986</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45986</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45986</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45986</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53048-2025</t>
        </is>
      </c>
      <c r="B29" s="1" t="n">
        <v>45958.36018518519</v>
      </c>
      <c r="C29" s="1" t="n">
        <v>45986</v>
      </c>
      <c r="D29" t="inlineStr">
        <is>
          <t>VÄSTMANLANDS LÄN</t>
        </is>
      </c>
      <c r="E29" t="inlineStr">
        <is>
          <t>SALA</t>
        </is>
      </c>
      <c r="F29" t="inlineStr">
        <is>
          <t>Sveaskog</t>
        </is>
      </c>
      <c r="G29" t="n">
        <v>7.5</v>
      </c>
      <c r="H29" t="n">
        <v>1</v>
      </c>
      <c r="I29" t="n">
        <v>1</v>
      </c>
      <c r="J29" t="n">
        <v>1</v>
      </c>
      <c r="K29" t="n">
        <v>0</v>
      </c>
      <c r="L29" t="n">
        <v>0</v>
      </c>
      <c r="M29" t="n">
        <v>0</v>
      </c>
      <c r="N29" t="n">
        <v>0</v>
      </c>
      <c r="O29" t="n">
        <v>1</v>
      </c>
      <c r="P29" t="n">
        <v>0</v>
      </c>
      <c r="Q29" t="n">
        <v>2</v>
      </c>
      <c r="R29" s="2" t="inlineStr">
        <is>
          <t>Motaggsvamp
Plattlummer</t>
        </is>
      </c>
      <c r="S29">
        <f>HYPERLINK("https://klasma.github.io/Logging_1981/artfynd/A 53048-2025 artfynd.xlsx", "A 53048-2025")</f>
        <v/>
      </c>
      <c r="T29">
        <f>HYPERLINK("https://klasma.github.io/Logging_1981/kartor/A 53048-2025 karta.png", "A 53048-2025")</f>
        <v/>
      </c>
      <c r="V29">
        <f>HYPERLINK("https://klasma.github.io/Logging_1981/klagomål/A 53048-2025 FSC-klagomål.docx", "A 53048-2025")</f>
        <v/>
      </c>
      <c r="W29">
        <f>HYPERLINK("https://klasma.github.io/Logging_1981/klagomålsmail/A 53048-2025 FSC-klagomål mail.docx", "A 53048-2025")</f>
        <v/>
      </c>
      <c r="X29">
        <f>HYPERLINK("https://klasma.github.io/Logging_1981/tillsyn/A 53048-2025 tillsynsbegäran.docx", "A 53048-2025")</f>
        <v/>
      </c>
      <c r="Y29">
        <f>HYPERLINK("https://klasma.github.io/Logging_1981/tillsynsmail/A 53048-2025 tillsynsbegäran mail.docx", "A 53048-2025")</f>
        <v/>
      </c>
    </row>
    <row r="30" ht="15" customHeight="1">
      <c r="A30" t="inlineStr">
        <is>
          <t>A 13029-2023</t>
        </is>
      </c>
      <c r="B30" s="1" t="n">
        <v>45001</v>
      </c>
      <c r="C30" s="1" t="n">
        <v>45986</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45986</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45986</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11846-2024</t>
        </is>
      </c>
      <c r="B33" s="1" t="n">
        <v>45376.4047337963</v>
      </c>
      <c r="C33" s="1" t="n">
        <v>45986</v>
      </c>
      <c r="D33" t="inlineStr">
        <is>
          <t>VÄSTMANLANDS LÄN</t>
        </is>
      </c>
      <c r="E33" t="inlineStr">
        <is>
          <t>SALA</t>
        </is>
      </c>
      <c r="G33" t="n">
        <v>8</v>
      </c>
      <c r="H33" t="n">
        <v>0</v>
      </c>
      <c r="I33" t="n">
        <v>2</v>
      </c>
      <c r="J33" t="n">
        <v>0</v>
      </c>
      <c r="K33" t="n">
        <v>0</v>
      </c>
      <c r="L33" t="n">
        <v>0</v>
      </c>
      <c r="M33" t="n">
        <v>0</v>
      </c>
      <c r="N33" t="n">
        <v>0</v>
      </c>
      <c r="O33" t="n">
        <v>0</v>
      </c>
      <c r="P33" t="n">
        <v>0</v>
      </c>
      <c r="Q33" t="n">
        <v>2</v>
      </c>
      <c r="R33" s="2" t="inlineStr">
        <is>
          <t>Bronshjon
Vågbandad barkbock</t>
        </is>
      </c>
      <c r="S33">
        <f>HYPERLINK("https://klasma.github.io/Logging_1981/artfynd/A 11846-2024 artfynd.xlsx", "A 11846-2024")</f>
        <v/>
      </c>
      <c r="T33">
        <f>HYPERLINK("https://klasma.github.io/Logging_1981/kartor/A 11846-2024 karta.png", "A 11846-2024")</f>
        <v/>
      </c>
      <c r="V33">
        <f>HYPERLINK("https://klasma.github.io/Logging_1981/klagomål/A 11846-2024 FSC-klagomål.docx", "A 11846-2024")</f>
        <v/>
      </c>
      <c r="W33">
        <f>HYPERLINK("https://klasma.github.io/Logging_1981/klagomålsmail/A 11846-2024 FSC-klagomål mail.docx", "A 11846-2024")</f>
        <v/>
      </c>
      <c r="X33">
        <f>HYPERLINK("https://klasma.github.io/Logging_1981/tillsyn/A 11846-2024 tillsynsbegäran.docx", "A 11846-2024")</f>
        <v/>
      </c>
      <c r="Y33">
        <f>HYPERLINK("https://klasma.github.io/Logging_1981/tillsynsmail/A 11846-2024 tillsynsbegäran mail.docx", "A 11846-2024")</f>
        <v/>
      </c>
    </row>
    <row r="34" ht="15" customHeight="1">
      <c r="A34" t="inlineStr">
        <is>
          <t>A 12444-2024</t>
        </is>
      </c>
      <c r="B34" s="1" t="n">
        <v>45379.46285879629</v>
      </c>
      <c r="C34" s="1" t="n">
        <v>45986</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45986</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45986</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45986</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45986</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22950-2025</t>
        </is>
      </c>
      <c r="B39" s="1" t="n">
        <v>45790.50728009259</v>
      </c>
      <c r="C39" s="1" t="n">
        <v>45986</v>
      </c>
      <c r="D39" t="inlineStr">
        <is>
          <t>VÄSTMANLANDS LÄN</t>
        </is>
      </c>
      <c r="E39" t="inlineStr">
        <is>
          <t>SALA</t>
        </is>
      </c>
      <c r="G39" t="n">
        <v>6.2</v>
      </c>
      <c r="H39" t="n">
        <v>1</v>
      </c>
      <c r="I39" t="n">
        <v>0</v>
      </c>
      <c r="J39" t="n">
        <v>1</v>
      </c>
      <c r="K39" t="n">
        <v>0</v>
      </c>
      <c r="L39" t="n">
        <v>0</v>
      </c>
      <c r="M39" t="n">
        <v>0</v>
      </c>
      <c r="N39" t="n">
        <v>0</v>
      </c>
      <c r="O39" t="n">
        <v>1</v>
      </c>
      <c r="P39" t="n">
        <v>0</v>
      </c>
      <c r="Q39" t="n">
        <v>1</v>
      </c>
      <c r="R39" s="2" t="inlineStr">
        <is>
          <t>Svartvit flugsnappare</t>
        </is>
      </c>
      <c r="S39">
        <f>HYPERLINK("https://klasma.github.io/Logging_1981/artfynd/A 22950-2025 artfynd.xlsx", "A 22950-2025")</f>
        <v/>
      </c>
      <c r="T39">
        <f>HYPERLINK("https://klasma.github.io/Logging_1981/kartor/A 22950-2025 karta.png", "A 22950-2025")</f>
        <v/>
      </c>
      <c r="V39">
        <f>HYPERLINK("https://klasma.github.io/Logging_1981/klagomål/A 22950-2025 FSC-klagomål.docx", "A 22950-2025")</f>
        <v/>
      </c>
      <c r="W39">
        <f>HYPERLINK("https://klasma.github.io/Logging_1981/klagomålsmail/A 22950-2025 FSC-klagomål mail.docx", "A 22950-2025")</f>
        <v/>
      </c>
      <c r="X39">
        <f>HYPERLINK("https://klasma.github.io/Logging_1981/tillsyn/A 22950-2025 tillsynsbegäran.docx", "A 22950-2025")</f>
        <v/>
      </c>
      <c r="Y39">
        <f>HYPERLINK("https://klasma.github.io/Logging_1981/tillsynsmail/A 22950-2025 tillsynsbegäran mail.docx", "A 22950-2025")</f>
        <v/>
      </c>
      <c r="Z39">
        <f>HYPERLINK("https://klasma.github.io/Logging_1981/fåglar/A 22950-2025 prioriterade fågelarter.docx", "A 22950-2025")</f>
        <v/>
      </c>
    </row>
    <row r="40" ht="15" customHeight="1">
      <c r="A40" t="inlineStr">
        <is>
          <t>A 50268-2025</t>
        </is>
      </c>
      <c r="B40" s="1" t="n">
        <v>45944.35162037037</v>
      </c>
      <c r="C40" s="1" t="n">
        <v>45986</v>
      </c>
      <c r="D40" t="inlineStr">
        <is>
          <t>VÄSTMANLANDS LÄN</t>
        </is>
      </c>
      <c r="E40" t="inlineStr">
        <is>
          <t>SALA</t>
        </is>
      </c>
      <c r="G40" t="n">
        <v>0.7</v>
      </c>
      <c r="H40" t="n">
        <v>1</v>
      </c>
      <c r="I40" t="n">
        <v>0</v>
      </c>
      <c r="J40" t="n">
        <v>0</v>
      </c>
      <c r="K40" t="n">
        <v>0</v>
      </c>
      <c r="L40" t="n">
        <v>0</v>
      </c>
      <c r="M40" t="n">
        <v>0</v>
      </c>
      <c r="N40" t="n">
        <v>0</v>
      </c>
      <c r="O40" t="n">
        <v>0</v>
      </c>
      <c r="P40" t="n">
        <v>0</v>
      </c>
      <c r="Q40" t="n">
        <v>1</v>
      </c>
      <c r="R40" s="2" t="inlineStr">
        <is>
          <t>Fläcknycklar</t>
        </is>
      </c>
      <c r="S40">
        <f>HYPERLINK("https://klasma.github.io/Logging_1981/artfynd/A 50268-2025 artfynd.xlsx", "A 50268-2025")</f>
        <v/>
      </c>
      <c r="T40">
        <f>HYPERLINK("https://klasma.github.io/Logging_1981/kartor/A 50268-2025 karta.png", "A 50268-2025")</f>
        <v/>
      </c>
      <c r="V40">
        <f>HYPERLINK("https://klasma.github.io/Logging_1981/klagomål/A 50268-2025 FSC-klagomål.docx", "A 50268-2025")</f>
        <v/>
      </c>
      <c r="W40">
        <f>HYPERLINK("https://klasma.github.io/Logging_1981/klagomålsmail/A 50268-2025 FSC-klagomål mail.docx", "A 50268-2025")</f>
        <v/>
      </c>
      <c r="X40">
        <f>HYPERLINK("https://klasma.github.io/Logging_1981/tillsyn/A 50268-2025 tillsynsbegäran.docx", "A 50268-2025")</f>
        <v/>
      </c>
      <c r="Y40">
        <f>HYPERLINK("https://klasma.github.io/Logging_1981/tillsynsmail/A 50268-2025 tillsynsbegäran mail.docx", "A 50268-2025")</f>
        <v/>
      </c>
    </row>
    <row r="41" ht="15" customHeight="1">
      <c r="A41" t="inlineStr">
        <is>
          <t>A 37166-2024</t>
        </is>
      </c>
      <c r="B41" s="1" t="n">
        <v>45539</v>
      </c>
      <c r="C41" s="1" t="n">
        <v>45986</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45986</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53052-2025</t>
        </is>
      </c>
      <c r="B43" s="1" t="n">
        <v>45958.36266203703</v>
      </c>
      <c r="C43" s="1" t="n">
        <v>45986</v>
      </c>
      <c r="D43" t="inlineStr">
        <is>
          <t>VÄSTMANLANDS LÄN</t>
        </is>
      </c>
      <c r="E43" t="inlineStr">
        <is>
          <t>SALA</t>
        </is>
      </c>
      <c r="F43" t="inlineStr">
        <is>
          <t>Sveaskog</t>
        </is>
      </c>
      <c r="G43" t="n">
        <v>1.1</v>
      </c>
      <c r="H43" t="n">
        <v>0</v>
      </c>
      <c r="I43" t="n">
        <v>0</v>
      </c>
      <c r="J43" t="n">
        <v>1</v>
      </c>
      <c r="K43" t="n">
        <v>0</v>
      </c>
      <c r="L43" t="n">
        <v>0</v>
      </c>
      <c r="M43" t="n">
        <v>0</v>
      </c>
      <c r="N43" t="n">
        <v>0</v>
      </c>
      <c r="O43" t="n">
        <v>1</v>
      </c>
      <c r="P43" t="n">
        <v>0</v>
      </c>
      <c r="Q43" t="n">
        <v>1</v>
      </c>
      <c r="R43" s="2" t="inlineStr">
        <is>
          <t>Motaggsvamp</t>
        </is>
      </c>
      <c r="S43">
        <f>HYPERLINK("https://klasma.github.io/Logging_1981/artfynd/A 53052-2025 artfynd.xlsx", "A 53052-2025")</f>
        <v/>
      </c>
      <c r="T43">
        <f>HYPERLINK("https://klasma.github.io/Logging_1981/kartor/A 53052-2025 karta.png", "A 53052-2025")</f>
        <v/>
      </c>
      <c r="V43">
        <f>HYPERLINK("https://klasma.github.io/Logging_1981/klagomål/A 53052-2025 FSC-klagomål.docx", "A 53052-2025")</f>
        <v/>
      </c>
      <c r="W43">
        <f>HYPERLINK("https://klasma.github.io/Logging_1981/klagomålsmail/A 53052-2025 FSC-klagomål mail.docx", "A 53052-2025")</f>
        <v/>
      </c>
      <c r="X43">
        <f>HYPERLINK("https://klasma.github.io/Logging_1981/tillsyn/A 53052-2025 tillsynsbegäran.docx", "A 53052-2025")</f>
        <v/>
      </c>
      <c r="Y43">
        <f>HYPERLINK("https://klasma.github.io/Logging_1981/tillsynsmail/A 53052-2025 tillsynsbegäran mail.docx", "A 53052-2025")</f>
        <v/>
      </c>
    </row>
    <row r="44" ht="15" customHeight="1">
      <c r="A44" t="inlineStr">
        <is>
          <t>A 55995-2025</t>
        </is>
      </c>
      <c r="B44" s="1" t="n">
        <v>45973.56733796297</v>
      </c>
      <c r="C44" s="1" t="n">
        <v>45986</v>
      </c>
      <c r="D44" t="inlineStr">
        <is>
          <t>VÄSTMANLANDS LÄN</t>
        </is>
      </c>
      <c r="E44" t="inlineStr">
        <is>
          <t>SALA</t>
        </is>
      </c>
      <c r="F44" t="inlineStr">
        <is>
          <t>Sveaskog</t>
        </is>
      </c>
      <c r="G44" t="n">
        <v>4.5</v>
      </c>
      <c r="H44" t="n">
        <v>1</v>
      </c>
      <c r="I44" t="n">
        <v>0</v>
      </c>
      <c r="J44" t="n">
        <v>0</v>
      </c>
      <c r="K44" t="n">
        <v>0</v>
      </c>
      <c r="L44" t="n">
        <v>0</v>
      </c>
      <c r="M44" t="n">
        <v>0</v>
      </c>
      <c r="N44" t="n">
        <v>0</v>
      </c>
      <c r="O44" t="n">
        <v>0</v>
      </c>
      <c r="P44" t="n">
        <v>0</v>
      </c>
      <c r="Q44" t="n">
        <v>1</v>
      </c>
      <c r="R44" s="2" t="inlineStr">
        <is>
          <t>Fläcknycklar</t>
        </is>
      </c>
      <c r="S44">
        <f>HYPERLINK("https://klasma.github.io/Logging_1981/artfynd/A 55995-2025 artfynd.xlsx", "A 55995-2025")</f>
        <v/>
      </c>
      <c r="T44">
        <f>HYPERLINK("https://klasma.github.io/Logging_1981/kartor/A 55995-2025 karta.png", "A 55995-2025")</f>
        <v/>
      </c>
      <c r="V44">
        <f>HYPERLINK("https://klasma.github.io/Logging_1981/klagomål/A 55995-2025 FSC-klagomål.docx", "A 55995-2025")</f>
        <v/>
      </c>
      <c r="W44">
        <f>HYPERLINK("https://klasma.github.io/Logging_1981/klagomålsmail/A 55995-2025 FSC-klagomål mail.docx", "A 55995-2025")</f>
        <v/>
      </c>
      <c r="X44">
        <f>HYPERLINK("https://klasma.github.io/Logging_1981/tillsyn/A 55995-2025 tillsynsbegäran.docx", "A 55995-2025")</f>
        <v/>
      </c>
      <c r="Y44">
        <f>HYPERLINK("https://klasma.github.io/Logging_1981/tillsynsmail/A 55995-2025 tillsynsbegäran mail.docx", "A 55995-2025")</f>
        <v/>
      </c>
    </row>
    <row r="45" ht="15" customHeight="1">
      <c r="A45" t="inlineStr">
        <is>
          <t>A 14775-2023</t>
        </is>
      </c>
      <c r="B45" s="1" t="n">
        <v>45014</v>
      </c>
      <c r="C45" s="1" t="n">
        <v>45986</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12509-2023</t>
        </is>
      </c>
      <c r="B46" s="1" t="n">
        <v>44999.95988425926</v>
      </c>
      <c r="C46" s="1" t="n">
        <v>45986</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48705-2025</t>
        </is>
      </c>
      <c r="B47" s="1" t="n">
        <v>45936.62290509259</v>
      </c>
      <c r="C47" s="1" t="n">
        <v>45986</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32594-2025</t>
        </is>
      </c>
      <c r="B48" s="1" t="n">
        <v>45838</v>
      </c>
      <c r="C48" s="1" t="n">
        <v>45986</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22350-2024</t>
        </is>
      </c>
      <c r="B49" s="1" t="n">
        <v>45446</v>
      </c>
      <c r="C49" s="1" t="n">
        <v>45986</v>
      </c>
      <c r="D49" t="inlineStr">
        <is>
          <t>VÄSTMANLANDS LÄN</t>
        </is>
      </c>
      <c r="E49" t="inlineStr">
        <is>
          <t>SALA</t>
        </is>
      </c>
      <c r="G49" t="n">
        <v>1.2</v>
      </c>
      <c r="H49" t="n">
        <v>1</v>
      </c>
      <c r="I49" t="n">
        <v>0</v>
      </c>
      <c r="J49" t="n">
        <v>0</v>
      </c>
      <c r="K49" t="n">
        <v>0</v>
      </c>
      <c r="L49" t="n">
        <v>0</v>
      </c>
      <c r="M49" t="n">
        <v>0</v>
      </c>
      <c r="N49" t="n">
        <v>0</v>
      </c>
      <c r="O49" t="n">
        <v>0</v>
      </c>
      <c r="P49" t="n">
        <v>0</v>
      </c>
      <c r="Q49" t="n">
        <v>1</v>
      </c>
      <c r="R49" s="2" t="inlineStr">
        <is>
          <t>Blåsippa</t>
        </is>
      </c>
      <c r="S49">
        <f>HYPERLINK("https://klasma.github.io/Logging_1981/artfynd/A 22350-2024 artfynd.xlsx", "A 22350-2024")</f>
        <v/>
      </c>
      <c r="T49">
        <f>HYPERLINK("https://klasma.github.io/Logging_1981/kartor/A 22350-2024 karta.png", "A 22350-2024")</f>
        <v/>
      </c>
      <c r="V49">
        <f>HYPERLINK("https://klasma.github.io/Logging_1981/klagomål/A 22350-2024 FSC-klagomål.docx", "A 22350-2024")</f>
        <v/>
      </c>
      <c r="W49">
        <f>HYPERLINK("https://klasma.github.io/Logging_1981/klagomålsmail/A 22350-2024 FSC-klagomål mail.docx", "A 22350-2024")</f>
        <v/>
      </c>
      <c r="X49">
        <f>HYPERLINK("https://klasma.github.io/Logging_1981/tillsyn/A 22350-2024 tillsynsbegäran.docx", "A 22350-2024")</f>
        <v/>
      </c>
      <c r="Y49">
        <f>HYPERLINK("https://klasma.github.io/Logging_1981/tillsynsmail/A 22350-2024 tillsynsbegäran mail.docx", "A 22350-2024")</f>
        <v/>
      </c>
    </row>
    <row r="50" ht="15" customHeight="1">
      <c r="A50" t="inlineStr">
        <is>
          <t>A 19361-2025</t>
        </is>
      </c>
      <c r="B50" s="1" t="n">
        <v>45769.63357638889</v>
      </c>
      <c r="C50" s="1" t="n">
        <v>45986</v>
      </c>
      <c r="D50" t="inlineStr">
        <is>
          <t>VÄSTMANLANDS LÄN</t>
        </is>
      </c>
      <c r="E50" t="inlineStr">
        <is>
          <t>SALA</t>
        </is>
      </c>
      <c r="F50" t="inlineStr">
        <is>
          <t>Bergvik skog öst AB</t>
        </is>
      </c>
      <c r="G50" t="n">
        <v>8.9</v>
      </c>
      <c r="H50" t="n">
        <v>0</v>
      </c>
      <c r="I50" t="n">
        <v>0</v>
      </c>
      <c r="J50" t="n">
        <v>1</v>
      </c>
      <c r="K50" t="n">
        <v>0</v>
      </c>
      <c r="L50" t="n">
        <v>0</v>
      </c>
      <c r="M50" t="n">
        <v>0</v>
      </c>
      <c r="N50" t="n">
        <v>0</v>
      </c>
      <c r="O50" t="n">
        <v>1</v>
      </c>
      <c r="P50" t="n">
        <v>0</v>
      </c>
      <c r="Q50" t="n">
        <v>1</v>
      </c>
      <c r="R50" s="2" t="inlineStr">
        <is>
          <t>Garnlav</t>
        </is>
      </c>
      <c r="S50">
        <f>HYPERLINK("https://klasma.github.io/Logging_1981/artfynd/A 19361-2025 artfynd.xlsx", "A 19361-2025")</f>
        <v/>
      </c>
      <c r="T50">
        <f>HYPERLINK("https://klasma.github.io/Logging_1981/kartor/A 19361-2025 karta.png", "A 19361-2025")</f>
        <v/>
      </c>
      <c r="V50">
        <f>HYPERLINK("https://klasma.github.io/Logging_1981/klagomål/A 19361-2025 FSC-klagomål.docx", "A 19361-2025")</f>
        <v/>
      </c>
      <c r="W50">
        <f>HYPERLINK("https://klasma.github.io/Logging_1981/klagomålsmail/A 19361-2025 FSC-klagomål mail.docx", "A 19361-2025")</f>
        <v/>
      </c>
      <c r="X50">
        <f>HYPERLINK("https://klasma.github.io/Logging_1981/tillsyn/A 19361-2025 tillsynsbegäran.docx", "A 19361-2025")</f>
        <v/>
      </c>
      <c r="Y50">
        <f>HYPERLINK("https://klasma.github.io/Logging_1981/tillsynsmail/A 19361-2025 tillsynsbegäran mail.docx", "A 19361-2025")</f>
        <v/>
      </c>
    </row>
    <row r="51" ht="15" customHeight="1">
      <c r="A51" t="inlineStr">
        <is>
          <t>A 41570-2021</t>
        </is>
      </c>
      <c r="B51" s="1" t="n">
        <v>44425</v>
      </c>
      <c r="C51" s="1" t="n">
        <v>45986</v>
      </c>
      <c r="D51" t="inlineStr">
        <is>
          <t>VÄSTMANLANDS LÄN</t>
        </is>
      </c>
      <c r="E51" t="inlineStr">
        <is>
          <t>SALA</t>
        </is>
      </c>
      <c r="G51" t="n">
        <v>1.4</v>
      </c>
      <c r="H51" t="n">
        <v>0</v>
      </c>
      <c r="I51" t="n">
        <v>0</v>
      </c>
      <c r="J51" t="n">
        <v>1</v>
      </c>
      <c r="K51" t="n">
        <v>0</v>
      </c>
      <c r="L51" t="n">
        <v>0</v>
      </c>
      <c r="M51" t="n">
        <v>0</v>
      </c>
      <c r="N51" t="n">
        <v>0</v>
      </c>
      <c r="O51" t="n">
        <v>1</v>
      </c>
      <c r="P51" t="n">
        <v>0</v>
      </c>
      <c r="Q51" t="n">
        <v>1</v>
      </c>
      <c r="R51" s="2" t="inlineStr">
        <is>
          <t>Vedtrappmossa</t>
        </is>
      </c>
      <c r="S51">
        <f>HYPERLINK("https://klasma.github.io/Logging_1981/artfynd/A 41570-2021 artfynd.xlsx", "A 41570-2021")</f>
        <v/>
      </c>
      <c r="T51">
        <f>HYPERLINK("https://klasma.github.io/Logging_1981/kartor/A 41570-2021 karta.png", "A 41570-2021")</f>
        <v/>
      </c>
      <c r="V51">
        <f>HYPERLINK("https://klasma.github.io/Logging_1981/klagomål/A 41570-2021 FSC-klagomål.docx", "A 41570-2021")</f>
        <v/>
      </c>
      <c r="W51">
        <f>HYPERLINK("https://klasma.github.io/Logging_1981/klagomålsmail/A 41570-2021 FSC-klagomål mail.docx", "A 41570-2021")</f>
        <v/>
      </c>
      <c r="X51">
        <f>HYPERLINK("https://klasma.github.io/Logging_1981/tillsyn/A 41570-2021 tillsynsbegäran.docx", "A 41570-2021")</f>
        <v/>
      </c>
      <c r="Y51">
        <f>HYPERLINK("https://klasma.github.io/Logging_1981/tillsynsmail/A 41570-2021 tillsynsbegäran mail.docx", "A 41570-2021")</f>
        <v/>
      </c>
    </row>
    <row r="52" ht="15" customHeight="1">
      <c r="A52" t="inlineStr">
        <is>
          <t>A 43175-2023</t>
        </is>
      </c>
      <c r="B52" s="1" t="n">
        <v>45183</v>
      </c>
      <c r="C52" s="1" t="n">
        <v>45986</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38255-2025</t>
        </is>
      </c>
      <c r="B53" s="1" t="n">
        <v>45883.38020833334</v>
      </c>
      <c r="C53" s="1" t="n">
        <v>45986</v>
      </c>
      <c r="D53" t="inlineStr">
        <is>
          <t>VÄSTMANLANDS LÄN</t>
        </is>
      </c>
      <c r="E53" t="inlineStr">
        <is>
          <t>SALA</t>
        </is>
      </c>
      <c r="G53" t="n">
        <v>0.9</v>
      </c>
      <c r="H53" t="n">
        <v>1</v>
      </c>
      <c r="I53" t="n">
        <v>0</v>
      </c>
      <c r="J53" t="n">
        <v>0</v>
      </c>
      <c r="K53" t="n">
        <v>1</v>
      </c>
      <c r="L53" t="n">
        <v>0</v>
      </c>
      <c r="M53" t="n">
        <v>0</v>
      </c>
      <c r="N53" t="n">
        <v>0</v>
      </c>
      <c r="O53" t="n">
        <v>1</v>
      </c>
      <c r="P53" t="n">
        <v>1</v>
      </c>
      <c r="Q53" t="n">
        <v>1</v>
      </c>
      <c r="R53" s="2" t="inlineStr">
        <is>
          <t>Knärot</t>
        </is>
      </c>
      <c r="S53">
        <f>HYPERLINK("https://klasma.github.io/Logging_1981/artfynd/A 38255-2025 artfynd.xlsx", "A 38255-2025")</f>
        <v/>
      </c>
      <c r="T53">
        <f>HYPERLINK("https://klasma.github.io/Logging_1981/kartor/A 38255-2025 karta.png", "A 38255-2025")</f>
        <v/>
      </c>
      <c r="U53">
        <f>HYPERLINK("https://klasma.github.io/Logging_1981/knärot/A 38255-2025 karta knärot.png", "A 38255-2025")</f>
        <v/>
      </c>
      <c r="V53">
        <f>HYPERLINK("https://klasma.github.io/Logging_1981/klagomål/A 38255-2025 FSC-klagomål.docx", "A 38255-2025")</f>
        <v/>
      </c>
      <c r="W53">
        <f>HYPERLINK("https://klasma.github.io/Logging_1981/klagomålsmail/A 38255-2025 FSC-klagomål mail.docx", "A 38255-2025")</f>
        <v/>
      </c>
      <c r="X53">
        <f>HYPERLINK("https://klasma.github.io/Logging_1981/tillsyn/A 38255-2025 tillsynsbegäran.docx", "A 38255-2025")</f>
        <v/>
      </c>
      <c r="Y53">
        <f>HYPERLINK("https://klasma.github.io/Logging_1981/tillsynsmail/A 38255-2025 tillsynsbegäran mail.docx", "A 38255-2025")</f>
        <v/>
      </c>
    </row>
    <row r="54" ht="15" customHeight="1">
      <c r="A54" t="inlineStr">
        <is>
          <t>A 60852-2024</t>
        </is>
      </c>
      <c r="B54" s="1" t="n">
        <v>45644</v>
      </c>
      <c r="C54" s="1" t="n">
        <v>45986</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55550-2023</t>
        </is>
      </c>
      <c r="B55" s="1" t="n">
        <v>45232</v>
      </c>
      <c r="C55" s="1" t="n">
        <v>45986</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41270-2024</t>
        </is>
      </c>
      <c r="B56" s="1" t="n">
        <v>45559</v>
      </c>
      <c r="C56" s="1" t="n">
        <v>45986</v>
      </c>
      <c r="D56" t="inlineStr">
        <is>
          <t>VÄSTMANLANDS LÄN</t>
        </is>
      </c>
      <c r="E56" t="inlineStr">
        <is>
          <t>SALA</t>
        </is>
      </c>
      <c r="G56" t="n">
        <v>15.2</v>
      </c>
      <c r="H56" t="n">
        <v>1</v>
      </c>
      <c r="I56" t="n">
        <v>0</v>
      </c>
      <c r="J56" t="n">
        <v>1</v>
      </c>
      <c r="K56" t="n">
        <v>0</v>
      </c>
      <c r="L56" t="n">
        <v>0</v>
      </c>
      <c r="M56" t="n">
        <v>0</v>
      </c>
      <c r="N56" t="n">
        <v>0</v>
      </c>
      <c r="O56" t="n">
        <v>1</v>
      </c>
      <c r="P56" t="n">
        <v>0</v>
      </c>
      <c r="Q56" t="n">
        <v>1</v>
      </c>
      <c r="R56" s="2" t="inlineStr">
        <is>
          <t>Havsörn</t>
        </is>
      </c>
      <c r="S56">
        <f>HYPERLINK("https://klasma.github.io/Logging_1981/artfynd/A 41270-2024 artfynd.xlsx", "A 41270-2024")</f>
        <v/>
      </c>
      <c r="T56">
        <f>HYPERLINK("https://klasma.github.io/Logging_1981/kartor/A 41270-2024 karta.png", "A 41270-2024")</f>
        <v/>
      </c>
      <c r="V56">
        <f>HYPERLINK("https://klasma.github.io/Logging_1981/klagomål/A 41270-2024 FSC-klagomål.docx", "A 41270-2024")</f>
        <v/>
      </c>
      <c r="W56">
        <f>HYPERLINK("https://klasma.github.io/Logging_1981/klagomålsmail/A 41270-2024 FSC-klagomål mail.docx", "A 41270-2024")</f>
        <v/>
      </c>
      <c r="X56">
        <f>HYPERLINK("https://klasma.github.io/Logging_1981/tillsyn/A 41270-2024 tillsynsbegäran.docx", "A 41270-2024")</f>
        <v/>
      </c>
      <c r="Y56">
        <f>HYPERLINK("https://klasma.github.io/Logging_1981/tillsynsmail/A 41270-2024 tillsynsbegäran mail.docx", "A 41270-2024")</f>
        <v/>
      </c>
      <c r="Z56">
        <f>HYPERLINK("https://klasma.github.io/Logging_1981/fåglar/A 41270-2024 prioriterade fågelarter.docx", "A 41270-2024")</f>
        <v/>
      </c>
    </row>
    <row r="57" ht="15" customHeight="1">
      <c r="A57" t="inlineStr">
        <is>
          <t>A 43068-2024</t>
        </is>
      </c>
      <c r="B57" s="1" t="n">
        <v>45567</v>
      </c>
      <c r="C57" s="1" t="n">
        <v>45986</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7919-2022</t>
        </is>
      </c>
      <c r="B58" s="1" t="n">
        <v>44608</v>
      </c>
      <c r="C58" s="1" t="n">
        <v>45986</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29985-2022</t>
        </is>
      </c>
      <c r="B59" s="1" t="n">
        <v>44756</v>
      </c>
      <c r="C59" s="1" t="n">
        <v>45986</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7731-2023</t>
        </is>
      </c>
      <c r="B60" s="1" t="n">
        <v>44973</v>
      </c>
      <c r="C60" s="1" t="n">
        <v>45986</v>
      </c>
      <c r="D60" t="inlineStr">
        <is>
          <t>VÄSTMANLANDS LÄN</t>
        </is>
      </c>
      <c r="E60" t="inlineStr">
        <is>
          <t>SALA</t>
        </is>
      </c>
      <c r="F60" t="inlineStr">
        <is>
          <t>Bergvik skog öst AB</t>
        </is>
      </c>
      <c r="G60" t="n">
        <v>1.7</v>
      </c>
      <c r="H60" t="n">
        <v>1</v>
      </c>
      <c r="I60" t="n">
        <v>0</v>
      </c>
      <c r="J60" t="n">
        <v>1</v>
      </c>
      <c r="K60" t="n">
        <v>0</v>
      </c>
      <c r="L60" t="n">
        <v>0</v>
      </c>
      <c r="M60" t="n">
        <v>0</v>
      </c>
      <c r="N60" t="n">
        <v>0</v>
      </c>
      <c r="O60" t="n">
        <v>1</v>
      </c>
      <c r="P60" t="n">
        <v>0</v>
      </c>
      <c r="Q60" t="n">
        <v>1</v>
      </c>
      <c r="R60" s="2" t="inlineStr">
        <is>
          <t>Ävjepilört</t>
        </is>
      </c>
      <c r="S60">
        <f>HYPERLINK("https://klasma.github.io/Logging_1981/artfynd/A 7731-2023 artfynd.xlsx", "A 7731-2023")</f>
        <v/>
      </c>
      <c r="T60">
        <f>HYPERLINK("https://klasma.github.io/Logging_1981/kartor/A 7731-2023 karta.png", "A 7731-2023")</f>
        <v/>
      </c>
      <c r="V60">
        <f>HYPERLINK("https://klasma.github.io/Logging_1981/klagomål/A 7731-2023 FSC-klagomål.docx", "A 7731-2023")</f>
        <v/>
      </c>
      <c r="W60">
        <f>HYPERLINK("https://klasma.github.io/Logging_1981/klagomålsmail/A 7731-2023 FSC-klagomål mail.docx", "A 7731-2023")</f>
        <v/>
      </c>
      <c r="X60">
        <f>HYPERLINK("https://klasma.github.io/Logging_1981/tillsyn/A 7731-2023 tillsynsbegäran.docx", "A 7731-2023")</f>
        <v/>
      </c>
      <c r="Y60">
        <f>HYPERLINK("https://klasma.github.io/Logging_1981/tillsynsmail/A 7731-2023 tillsynsbegäran mail.docx", "A 7731-2023")</f>
        <v/>
      </c>
    </row>
    <row r="61" ht="15" customHeight="1">
      <c r="A61" t="inlineStr">
        <is>
          <t>A 56704-2022</t>
        </is>
      </c>
      <c r="B61" s="1" t="n">
        <v>44893.78075231481</v>
      </c>
      <c r="C61" s="1" t="n">
        <v>45986</v>
      </c>
      <c r="D61" t="inlineStr">
        <is>
          <t>VÄSTMANLANDS LÄN</t>
        </is>
      </c>
      <c r="E61" t="inlineStr">
        <is>
          <t>SALA</t>
        </is>
      </c>
      <c r="G61" t="n">
        <v>3.2</v>
      </c>
      <c r="H61" t="n">
        <v>1</v>
      </c>
      <c r="I61" t="n">
        <v>0</v>
      </c>
      <c r="J61" t="n">
        <v>0</v>
      </c>
      <c r="K61" t="n">
        <v>1</v>
      </c>
      <c r="L61" t="n">
        <v>0</v>
      </c>
      <c r="M61" t="n">
        <v>0</v>
      </c>
      <c r="N61" t="n">
        <v>0</v>
      </c>
      <c r="O61" t="n">
        <v>1</v>
      </c>
      <c r="P61" t="n">
        <v>1</v>
      </c>
      <c r="Q61" t="n">
        <v>1</v>
      </c>
      <c r="R61" s="2" t="inlineStr">
        <is>
          <t>Knärot</t>
        </is>
      </c>
      <c r="S61">
        <f>HYPERLINK("https://klasma.github.io/Logging_1981/artfynd/A 56704-2022 artfynd.xlsx", "A 56704-2022")</f>
        <v/>
      </c>
      <c r="T61">
        <f>HYPERLINK("https://klasma.github.io/Logging_1981/kartor/A 56704-2022 karta.png", "A 56704-2022")</f>
        <v/>
      </c>
      <c r="U61">
        <f>HYPERLINK("https://klasma.github.io/Logging_1981/knärot/A 56704-2022 karta knärot.png", "A 56704-2022")</f>
        <v/>
      </c>
      <c r="V61">
        <f>HYPERLINK("https://klasma.github.io/Logging_1981/klagomål/A 56704-2022 FSC-klagomål.docx", "A 56704-2022")</f>
        <v/>
      </c>
      <c r="W61">
        <f>HYPERLINK("https://klasma.github.io/Logging_1981/klagomålsmail/A 56704-2022 FSC-klagomål mail.docx", "A 56704-2022")</f>
        <v/>
      </c>
      <c r="X61">
        <f>HYPERLINK("https://klasma.github.io/Logging_1981/tillsyn/A 56704-2022 tillsynsbegäran.docx", "A 56704-2022")</f>
        <v/>
      </c>
      <c r="Y61">
        <f>HYPERLINK("https://klasma.github.io/Logging_1981/tillsynsmail/A 56704-2022 tillsynsbegäran mail.docx", "A 56704-2022")</f>
        <v/>
      </c>
    </row>
    <row r="62" ht="15" customHeight="1">
      <c r="A62" t="inlineStr">
        <is>
          <t>A 21738-2025</t>
        </is>
      </c>
      <c r="B62" s="1" t="n">
        <v>45783.59173611111</v>
      </c>
      <c r="C62" s="1" t="n">
        <v>45986</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69194-2020</t>
        </is>
      </c>
      <c r="B63" s="1" t="n">
        <v>44191</v>
      </c>
      <c r="C63" s="1" t="n">
        <v>45986</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45986</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45986</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45986</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45986</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45986</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45986</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45986</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45986</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45986</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45986</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45986</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45986</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45986</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45986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45986</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45986</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45986</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45986</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45986</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45986</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45986</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45986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45986</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3050-2022</t>
        </is>
      </c>
      <c r="B87" s="1" t="n">
        <v>44582</v>
      </c>
      <c r="C87" s="1" t="n">
        <v>45986</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45986</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45986</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45986</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45986</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45986</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45986</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45986</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45986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45986</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45986</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45986</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45986</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45986</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45986</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45986</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45986</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45986</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45986</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45986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45986</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45986</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45986</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45986</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45986</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45986</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45986</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45986</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45986</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45986</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45986</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45986</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45986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45986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45986</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45986</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45986</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45986</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45986</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45986</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45986</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45986</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45986</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31452-2021</t>
        </is>
      </c>
      <c r="B130" s="1" t="n">
        <v>44369</v>
      </c>
      <c r="C130" s="1" t="n">
        <v>45986</v>
      </c>
      <c r="D130" t="inlineStr">
        <is>
          <t>VÄSTMANLANDS LÄN</t>
        </is>
      </c>
      <c r="E130" t="inlineStr">
        <is>
          <t>SALA</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45986</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45986</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45986</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45986</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45986</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45986</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45986</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45986</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45986</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45986</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45986</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45986</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45986</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45986</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45986</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45986</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45986</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45986</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45986</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45986</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45986</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45986</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45986</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45986</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45986</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45986</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45986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45986</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45986</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22562-2022</t>
        </is>
      </c>
      <c r="B160" s="1" t="n">
        <v>44713</v>
      </c>
      <c r="C160" s="1" t="n">
        <v>45986</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45986</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45986</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45986</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40094-2022</t>
        </is>
      </c>
      <c r="B164" s="1" t="n">
        <v>44819</v>
      </c>
      <c r="C164" s="1" t="n">
        <v>45986</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45986</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45986</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45986</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45986</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45986</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72805-2021</t>
        </is>
      </c>
      <c r="B170" s="1" t="n">
        <v>44546</v>
      </c>
      <c r="C170" s="1" t="n">
        <v>45986</v>
      </c>
      <c r="D170" t="inlineStr">
        <is>
          <t>VÄSTMANLANDS LÄN</t>
        </is>
      </c>
      <c r="E170" t="inlineStr">
        <is>
          <t>SALA</t>
        </is>
      </c>
      <c r="G170" t="n">
        <v>7.8</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45986</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45986</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45986</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45986</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45986</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45986</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45986</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45986</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45986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45986</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45986</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54910-2023</t>
        </is>
      </c>
      <c r="B182" s="1" t="n">
        <v>45229</v>
      </c>
      <c r="C182" s="1" t="n">
        <v>45986</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45986</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45986</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35462-2024</t>
        </is>
      </c>
      <c r="B185" s="1" t="n">
        <v>45531</v>
      </c>
      <c r="C185" s="1" t="n">
        <v>45986</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14024-2025</t>
        </is>
      </c>
      <c r="B186" s="1" t="n">
        <v>45740.34650462963</v>
      </c>
      <c r="C186" s="1" t="n">
        <v>45986</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56543-2024</t>
        </is>
      </c>
      <c r="B187" s="1" t="n">
        <v>45625</v>
      </c>
      <c r="C187" s="1" t="n">
        <v>45986</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31950-2023</t>
        </is>
      </c>
      <c r="B188" s="1" t="n">
        <v>45107</v>
      </c>
      <c r="C188" s="1" t="n">
        <v>45986</v>
      </c>
      <c r="D188" t="inlineStr">
        <is>
          <t>VÄSTMANLANDS LÄN</t>
        </is>
      </c>
      <c r="E188" t="inlineStr">
        <is>
          <t>SALA</t>
        </is>
      </c>
      <c r="G188" t="n">
        <v>1.9</v>
      </c>
      <c r="H188" t="n">
        <v>0</v>
      </c>
      <c r="I188" t="n">
        <v>0</v>
      </c>
      <c r="J188" t="n">
        <v>0</v>
      </c>
      <c r="K188" t="n">
        <v>0</v>
      </c>
      <c r="L188" t="n">
        <v>0</v>
      </c>
      <c r="M188" t="n">
        <v>0</v>
      </c>
      <c r="N188" t="n">
        <v>0</v>
      </c>
      <c r="O188" t="n">
        <v>0</v>
      </c>
      <c r="P188" t="n">
        <v>0</v>
      </c>
      <c r="Q188" t="n">
        <v>0</v>
      </c>
      <c r="R188" s="2" t="inlineStr"/>
    </row>
    <row r="189" ht="15" customHeight="1">
      <c r="A189" t="inlineStr">
        <is>
          <t>A 58107-2021</t>
        </is>
      </c>
      <c r="B189" s="1" t="n">
        <v>44487</v>
      </c>
      <c r="C189" s="1" t="n">
        <v>45986</v>
      </c>
      <c r="D189" t="inlineStr">
        <is>
          <t>VÄSTMANLANDS LÄN</t>
        </is>
      </c>
      <c r="E189" t="inlineStr">
        <is>
          <t>SALA</t>
        </is>
      </c>
      <c r="F189" t="inlineStr">
        <is>
          <t>Sveaskog</t>
        </is>
      </c>
      <c r="G189" t="n">
        <v>2.8</v>
      </c>
      <c r="H189" t="n">
        <v>0</v>
      </c>
      <c r="I189" t="n">
        <v>0</v>
      </c>
      <c r="J189" t="n">
        <v>0</v>
      </c>
      <c r="K189" t="n">
        <v>0</v>
      </c>
      <c r="L189" t="n">
        <v>0</v>
      </c>
      <c r="M189" t="n">
        <v>0</v>
      </c>
      <c r="N189" t="n">
        <v>0</v>
      </c>
      <c r="O189" t="n">
        <v>0</v>
      </c>
      <c r="P189" t="n">
        <v>0</v>
      </c>
      <c r="Q189" t="n">
        <v>0</v>
      </c>
      <c r="R189" s="2" t="inlineStr"/>
    </row>
    <row r="190" ht="15" customHeight="1">
      <c r="A190" t="inlineStr">
        <is>
          <t>A 26692-2023</t>
        </is>
      </c>
      <c r="B190" s="1" t="n">
        <v>45093.360625</v>
      </c>
      <c r="C190" s="1" t="n">
        <v>45986</v>
      </c>
      <c r="D190" t="inlineStr">
        <is>
          <t>VÄSTMANLANDS LÄN</t>
        </is>
      </c>
      <c r="E190" t="inlineStr">
        <is>
          <t>SALA</t>
        </is>
      </c>
      <c r="G190" t="n">
        <v>1.8</v>
      </c>
      <c r="H190" t="n">
        <v>0</v>
      </c>
      <c r="I190" t="n">
        <v>0</v>
      </c>
      <c r="J190" t="n">
        <v>0</v>
      </c>
      <c r="K190" t="n">
        <v>0</v>
      </c>
      <c r="L190" t="n">
        <v>0</v>
      </c>
      <c r="M190" t="n">
        <v>0</v>
      </c>
      <c r="N190" t="n">
        <v>0</v>
      </c>
      <c r="O190" t="n">
        <v>0</v>
      </c>
      <c r="P190" t="n">
        <v>0</v>
      </c>
      <c r="Q190" t="n">
        <v>0</v>
      </c>
      <c r="R190" s="2" t="inlineStr"/>
    </row>
    <row r="191" ht="15" customHeight="1">
      <c r="A191" t="inlineStr">
        <is>
          <t>A 16767-2024</t>
        </is>
      </c>
      <c r="B191" s="1" t="n">
        <v>45411.38171296296</v>
      </c>
      <c r="C191" s="1" t="n">
        <v>45986</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6097-2022</t>
        </is>
      </c>
      <c r="B192" s="1" t="n">
        <v>44599</v>
      </c>
      <c r="C192" s="1" t="n">
        <v>45986</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13022-2023</t>
        </is>
      </c>
      <c r="B193" s="1" t="n">
        <v>45002.33291666667</v>
      </c>
      <c r="C193" s="1" t="n">
        <v>45986</v>
      </c>
      <c r="D193" t="inlineStr">
        <is>
          <t>VÄSTMANLANDS LÄN</t>
        </is>
      </c>
      <c r="E193" t="inlineStr">
        <is>
          <t>SALA</t>
        </is>
      </c>
      <c r="G193" t="n">
        <v>1.5</v>
      </c>
      <c r="H193" t="n">
        <v>0</v>
      </c>
      <c r="I193" t="n">
        <v>0</v>
      </c>
      <c r="J193" t="n">
        <v>0</v>
      </c>
      <c r="K193" t="n">
        <v>0</v>
      </c>
      <c r="L193" t="n">
        <v>0</v>
      </c>
      <c r="M193" t="n">
        <v>0</v>
      </c>
      <c r="N193" t="n">
        <v>0</v>
      </c>
      <c r="O193" t="n">
        <v>0</v>
      </c>
      <c r="P193" t="n">
        <v>0</v>
      </c>
      <c r="Q193" t="n">
        <v>0</v>
      </c>
      <c r="R193" s="2" t="inlineStr"/>
    </row>
    <row r="194" ht="15" customHeight="1">
      <c r="A194" t="inlineStr">
        <is>
          <t>A 4853-2023</t>
        </is>
      </c>
      <c r="B194" s="1" t="n">
        <v>44957.73234953704</v>
      </c>
      <c r="C194" s="1" t="n">
        <v>45986</v>
      </c>
      <c r="D194" t="inlineStr">
        <is>
          <t>VÄSTMANLANDS LÄN</t>
        </is>
      </c>
      <c r="E194" t="inlineStr">
        <is>
          <t>SALA</t>
        </is>
      </c>
      <c r="G194" t="n">
        <v>2.7</v>
      </c>
      <c r="H194" t="n">
        <v>0</v>
      </c>
      <c r="I194" t="n">
        <v>0</v>
      </c>
      <c r="J194" t="n">
        <v>0</v>
      </c>
      <c r="K194" t="n">
        <v>0</v>
      </c>
      <c r="L194" t="n">
        <v>0</v>
      </c>
      <c r="M194" t="n">
        <v>0</v>
      </c>
      <c r="N194" t="n">
        <v>0</v>
      </c>
      <c r="O194" t="n">
        <v>0</v>
      </c>
      <c r="P194" t="n">
        <v>0</v>
      </c>
      <c r="Q194" t="n">
        <v>0</v>
      </c>
      <c r="R194" s="2" t="inlineStr"/>
    </row>
    <row r="195" ht="15" customHeight="1">
      <c r="A195" t="inlineStr">
        <is>
          <t>A 12246-2023</t>
        </is>
      </c>
      <c r="B195" s="1" t="n">
        <v>44995</v>
      </c>
      <c r="C195" s="1" t="n">
        <v>45986</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33732-2023</t>
        </is>
      </c>
      <c r="B196" s="1" t="n">
        <v>45133.32409722222</v>
      </c>
      <c r="C196" s="1" t="n">
        <v>45986</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45986</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42447-2022</t>
        </is>
      </c>
      <c r="B198" s="1" t="n">
        <v>44831</v>
      </c>
      <c r="C198" s="1" t="n">
        <v>45986</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37587-2024</t>
        </is>
      </c>
      <c r="B199" s="1" t="n">
        <v>45541</v>
      </c>
      <c r="C199" s="1" t="n">
        <v>45986</v>
      </c>
      <c r="D199" t="inlineStr">
        <is>
          <t>VÄSTMANLANDS LÄN</t>
        </is>
      </c>
      <c r="E199" t="inlineStr">
        <is>
          <t>SALA</t>
        </is>
      </c>
      <c r="G199" t="n">
        <v>1.2</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45986</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45986</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64724-2023</t>
        </is>
      </c>
      <c r="B202" s="1" t="n">
        <v>45281.7602662037</v>
      </c>
      <c r="C202" s="1" t="n">
        <v>45986</v>
      </c>
      <c r="D202" t="inlineStr">
        <is>
          <t>VÄSTMANLANDS LÄN</t>
        </is>
      </c>
      <c r="E202" t="inlineStr">
        <is>
          <t>SALA</t>
        </is>
      </c>
      <c r="G202" t="n">
        <v>2.3</v>
      </c>
      <c r="H202" t="n">
        <v>0</v>
      </c>
      <c r="I202" t="n">
        <v>0</v>
      </c>
      <c r="J202" t="n">
        <v>0</v>
      </c>
      <c r="K202" t="n">
        <v>0</v>
      </c>
      <c r="L202" t="n">
        <v>0</v>
      </c>
      <c r="M202" t="n">
        <v>0</v>
      </c>
      <c r="N202" t="n">
        <v>0</v>
      </c>
      <c r="O202" t="n">
        <v>0</v>
      </c>
      <c r="P202" t="n">
        <v>0</v>
      </c>
      <c r="Q202" t="n">
        <v>0</v>
      </c>
      <c r="R202" s="2" t="inlineStr"/>
    </row>
    <row r="203" ht="15" customHeight="1">
      <c r="A203" t="inlineStr">
        <is>
          <t>A 54603-2024</t>
        </is>
      </c>
      <c r="B203" s="1" t="n">
        <v>45617.68224537037</v>
      </c>
      <c r="C203" s="1" t="n">
        <v>45986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69232-2021</t>
        </is>
      </c>
      <c r="B204" s="1" t="n">
        <v>44531.39696759259</v>
      </c>
      <c r="C204" s="1" t="n">
        <v>45986</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7176-2023</t>
        </is>
      </c>
      <c r="B205" s="1" t="n">
        <v>44970</v>
      </c>
      <c r="C205" s="1" t="n">
        <v>45986</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19398-2025</t>
        </is>
      </c>
      <c r="B206" s="1" t="n">
        <v>45769</v>
      </c>
      <c r="C206" s="1" t="n">
        <v>45986</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43600-2024</t>
        </is>
      </c>
      <c r="B207" s="1" t="n">
        <v>45569</v>
      </c>
      <c r="C207" s="1" t="n">
        <v>45986</v>
      </c>
      <c r="D207" t="inlineStr">
        <is>
          <t>VÄSTMANLANDS LÄN</t>
        </is>
      </c>
      <c r="E207" t="inlineStr">
        <is>
          <t>SALA</t>
        </is>
      </c>
      <c r="G207" t="n">
        <v>0.9</v>
      </c>
      <c r="H207" t="n">
        <v>0</v>
      </c>
      <c r="I207" t="n">
        <v>0</v>
      </c>
      <c r="J207" t="n">
        <v>0</v>
      </c>
      <c r="K207" t="n">
        <v>0</v>
      </c>
      <c r="L207" t="n">
        <v>0</v>
      </c>
      <c r="M207" t="n">
        <v>0</v>
      </c>
      <c r="N207" t="n">
        <v>0</v>
      </c>
      <c r="O207" t="n">
        <v>0</v>
      </c>
      <c r="P207" t="n">
        <v>0</v>
      </c>
      <c r="Q207" t="n">
        <v>0</v>
      </c>
      <c r="R207" s="2" t="inlineStr"/>
    </row>
    <row r="208" ht="15" customHeight="1">
      <c r="A208" t="inlineStr">
        <is>
          <t>A 31405-2024</t>
        </is>
      </c>
      <c r="B208" s="1" t="n">
        <v>45505.5490625</v>
      </c>
      <c r="C208" s="1" t="n">
        <v>45986</v>
      </c>
      <c r="D208" t="inlineStr">
        <is>
          <t>VÄSTMANLANDS LÄN</t>
        </is>
      </c>
      <c r="E208" t="inlineStr">
        <is>
          <t>SALA</t>
        </is>
      </c>
      <c r="G208" t="n">
        <v>5.2</v>
      </c>
      <c r="H208" t="n">
        <v>0</v>
      </c>
      <c r="I208" t="n">
        <v>0</v>
      </c>
      <c r="J208" t="n">
        <v>0</v>
      </c>
      <c r="K208" t="n">
        <v>0</v>
      </c>
      <c r="L208" t="n">
        <v>0</v>
      </c>
      <c r="M208" t="n">
        <v>0</v>
      </c>
      <c r="N208" t="n">
        <v>0</v>
      </c>
      <c r="O208" t="n">
        <v>0</v>
      </c>
      <c r="P208" t="n">
        <v>0</v>
      </c>
      <c r="Q208" t="n">
        <v>0</v>
      </c>
      <c r="R208" s="2" t="inlineStr"/>
    </row>
    <row r="209" ht="15" customHeight="1">
      <c r="A209" t="inlineStr">
        <is>
          <t>A 22616-2025</t>
        </is>
      </c>
      <c r="B209" s="1" t="n">
        <v>45789.42752314815</v>
      </c>
      <c r="C209" s="1" t="n">
        <v>45986</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22353-2025</t>
        </is>
      </c>
      <c r="B210" s="1" t="n">
        <v>45786</v>
      </c>
      <c r="C210" s="1" t="n">
        <v>45986</v>
      </c>
      <c r="D210" t="inlineStr">
        <is>
          <t>VÄSTMANLANDS LÄN</t>
        </is>
      </c>
      <c r="E210" t="inlineStr">
        <is>
          <t>SALA</t>
        </is>
      </c>
      <c r="G210" t="n">
        <v>2.5</v>
      </c>
      <c r="H210" t="n">
        <v>0</v>
      </c>
      <c r="I210" t="n">
        <v>0</v>
      </c>
      <c r="J210" t="n">
        <v>0</v>
      </c>
      <c r="K210" t="n">
        <v>0</v>
      </c>
      <c r="L210" t="n">
        <v>0</v>
      </c>
      <c r="M210" t="n">
        <v>0</v>
      </c>
      <c r="N210" t="n">
        <v>0</v>
      </c>
      <c r="O210" t="n">
        <v>0</v>
      </c>
      <c r="P210" t="n">
        <v>0</v>
      </c>
      <c r="Q210" t="n">
        <v>0</v>
      </c>
      <c r="R210" s="2" t="inlineStr"/>
    </row>
    <row r="211" ht="15" customHeight="1">
      <c r="A211" t="inlineStr">
        <is>
          <t>A 22383-2025</t>
        </is>
      </c>
      <c r="B211" s="1" t="n">
        <v>45786</v>
      </c>
      <c r="C211" s="1" t="n">
        <v>45986</v>
      </c>
      <c r="D211" t="inlineStr">
        <is>
          <t>VÄSTMANLANDS LÄN</t>
        </is>
      </c>
      <c r="E211" t="inlineStr">
        <is>
          <t>SALA</t>
        </is>
      </c>
      <c r="G211" t="n">
        <v>2.2</v>
      </c>
      <c r="H211" t="n">
        <v>0</v>
      </c>
      <c r="I211" t="n">
        <v>0</v>
      </c>
      <c r="J211" t="n">
        <v>0</v>
      </c>
      <c r="K211" t="n">
        <v>0</v>
      </c>
      <c r="L211" t="n">
        <v>0</v>
      </c>
      <c r="M211" t="n">
        <v>0</v>
      </c>
      <c r="N211" t="n">
        <v>0</v>
      </c>
      <c r="O211" t="n">
        <v>0</v>
      </c>
      <c r="P211" t="n">
        <v>0</v>
      </c>
      <c r="Q211" t="n">
        <v>0</v>
      </c>
      <c r="R211" s="2" t="inlineStr"/>
    </row>
    <row r="212" ht="15" customHeight="1">
      <c r="A212" t="inlineStr">
        <is>
          <t>A 38574-2025</t>
        </is>
      </c>
      <c r="B212" s="1" t="n">
        <v>45884.46390046296</v>
      </c>
      <c r="C212" s="1" t="n">
        <v>45986</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22624-2025</t>
        </is>
      </c>
      <c r="B213" s="1" t="n">
        <v>45789.43327546296</v>
      </c>
      <c r="C213" s="1" t="n">
        <v>45986</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22370-2025</t>
        </is>
      </c>
      <c r="B214" s="1" t="n">
        <v>45786</v>
      </c>
      <c r="C214" s="1" t="n">
        <v>45986</v>
      </c>
      <c r="D214" t="inlineStr">
        <is>
          <t>VÄSTMANLANDS LÄN</t>
        </is>
      </c>
      <c r="E214" t="inlineStr">
        <is>
          <t>SALA</t>
        </is>
      </c>
      <c r="G214" t="n">
        <v>3.2</v>
      </c>
      <c r="H214" t="n">
        <v>0</v>
      </c>
      <c r="I214" t="n">
        <v>0</v>
      </c>
      <c r="J214" t="n">
        <v>0</v>
      </c>
      <c r="K214" t="n">
        <v>0</v>
      </c>
      <c r="L214" t="n">
        <v>0</v>
      </c>
      <c r="M214" t="n">
        <v>0</v>
      </c>
      <c r="N214" t="n">
        <v>0</v>
      </c>
      <c r="O214" t="n">
        <v>0</v>
      </c>
      <c r="P214" t="n">
        <v>0</v>
      </c>
      <c r="Q214" t="n">
        <v>0</v>
      </c>
      <c r="R214" s="2" t="inlineStr"/>
    </row>
    <row r="215" ht="15" customHeight="1">
      <c r="A215" t="inlineStr">
        <is>
          <t>A 31864-2025</t>
        </is>
      </c>
      <c r="B215" s="1" t="n">
        <v>45834.63819444444</v>
      </c>
      <c r="C215" s="1" t="n">
        <v>45986</v>
      </c>
      <c r="D215" t="inlineStr">
        <is>
          <t>VÄSTMANLANDS LÄN</t>
        </is>
      </c>
      <c r="E215" t="inlineStr">
        <is>
          <t>SALA</t>
        </is>
      </c>
      <c r="G215" t="n">
        <v>6.3</v>
      </c>
      <c r="H215" t="n">
        <v>0</v>
      </c>
      <c r="I215" t="n">
        <v>0</v>
      </c>
      <c r="J215" t="n">
        <v>0</v>
      </c>
      <c r="K215" t="n">
        <v>0</v>
      </c>
      <c r="L215" t="n">
        <v>0</v>
      </c>
      <c r="M215" t="n">
        <v>0</v>
      </c>
      <c r="N215" t="n">
        <v>0</v>
      </c>
      <c r="O215" t="n">
        <v>0</v>
      </c>
      <c r="P215" t="n">
        <v>0</v>
      </c>
      <c r="Q215" t="n">
        <v>0</v>
      </c>
      <c r="R215" s="2" t="inlineStr"/>
    </row>
    <row r="216" ht="15" customHeight="1">
      <c r="A216" t="inlineStr">
        <is>
          <t>A 13130-2025</t>
        </is>
      </c>
      <c r="B216" s="1" t="n">
        <v>45734</v>
      </c>
      <c r="C216" s="1" t="n">
        <v>45986</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16651-2021</t>
        </is>
      </c>
      <c r="B217" s="1" t="n">
        <v>44294.50096064815</v>
      </c>
      <c r="C217" s="1" t="n">
        <v>45986</v>
      </c>
      <c r="D217" t="inlineStr">
        <is>
          <t>VÄSTMANLANDS LÄN</t>
        </is>
      </c>
      <c r="E217" t="inlineStr">
        <is>
          <t>SALA</t>
        </is>
      </c>
      <c r="G217" t="n">
        <v>7.7</v>
      </c>
      <c r="H217" t="n">
        <v>0</v>
      </c>
      <c r="I217" t="n">
        <v>0</v>
      </c>
      <c r="J217" t="n">
        <v>0</v>
      </c>
      <c r="K217" t="n">
        <v>0</v>
      </c>
      <c r="L217" t="n">
        <v>0</v>
      </c>
      <c r="M217" t="n">
        <v>0</v>
      </c>
      <c r="N217" t="n">
        <v>0</v>
      </c>
      <c r="O217" t="n">
        <v>0</v>
      </c>
      <c r="P217" t="n">
        <v>0</v>
      </c>
      <c r="Q217" t="n">
        <v>0</v>
      </c>
      <c r="R217" s="2" t="inlineStr"/>
    </row>
    <row r="218" ht="15" customHeight="1">
      <c r="A218" t="inlineStr">
        <is>
          <t>A 39167-2025</t>
        </is>
      </c>
      <c r="B218" s="1" t="n">
        <v>45888</v>
      </c>
      <c r="C218" s="1" t="n">
        <v>45986</v>
      </c>
      <c r="D218" t="inlineStr">
        <is>
          <t>VÄSTMANLANDS LÄN</t>
        </is>
      </c>
      <c r="E218" t="inlineStr">
        <is>
          <t>SALA</t>
        </is>
      </c>
      <c r="G218" t="n">
        <v>5.5</v>
      </c>
      <c r="H218" t="n">
        <v>0</v>
      </c>
      <c r="I218" t="n">
        <v>0</v>
      </c>
      <c r="J218" t="n">
        <v>0</v>
      </c>
      <c r="K218" t="n">
        <v>0</v>
      </c>
      <c r="L218" t="n">
        <v>0</v>
      </c>
      <c r="M218" t="n">
        <v>0</v>
      </c>
      <c r="N218" t="n">
        <v>0</v>
      </c>
      <c r="O218" t="n">
        <v>0</v>
      </c>
      <c r="P218" t="n">
        <v>0</v>
      </c>
      <c r="Q218" t="n">
        <v>0</v>
      </c>
      <c r="R218" s="2" t="inlineStr"/>
    </row>
    <row r="219" ht="15" customHeight="1">
      <c r="A219" t="inlineStr">
        <is>
          <t>A 39182-2025</t>
        </is>
      </c>
      <c r="B219" s="1" t="n">
        <v>45888.66204861111</v>
      </c>
      <c r="C219" s="1" t="n">
        <v>45986</v>
      </c>
      <c r="D219" t="inlineStr">
        <is>
          <t>VÄSTMANLANDS LÄN</t>
        </is>
      </c>
      <c r="E219" t="inlineStr">
        <is>
          <t>SALA</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23804-2025</t>
        </is>
      </c>
      <c r="B220" s="1" t="n">
        <v>45793.55995370371</v>
      </c>
      <c r="C220" s="1" t="n">
        <v>45986</v>
      </c>
      <c r="D220" t="inlineStr">
        <is>
          <t>VÄSTMANLANDS LÄN</t>
        </is>
      </c>
      <c r="E220" t="inlineStr">
        <is>
          <t>SALA</t>
        </is>
      </c>
      <c r="G220" t="n">
        <v>1.9</v>
      </c>
      <c r="H220" t="n">
        <v>0</v>
      </c>
      <c r="I220" t="n">
        <v>0</v>
      </c>
      <c r="J220" t="n">
        <v>0</v>
      </c>
      <c r="K220" t="n">
        <v>0</v>
      </c>
      <c r="L220" t="n">
        <v>0</v>
      </c>
      <c r="M220" t="n">
        <v>0</v>
      </c>
      <c r="N220" t="n">
        <v>0</v>
      </c>
      <c r="O220" t="n">
        <v>0</v>
      </c>
      <c r="P220" t="n">
        <v>0</v>
      </c>
      <c r="Q220" t="n">
        <v>0</v>
      </c>
      <c r="R220" s="2" t="inlineStr"/>
    </row>
    <row r="221" ht="15" customHeight="1">
      <c r="A221" t="inlineStr">
        <is>
          <t>A 22126-2025</t>
        </is>
      </c>
      <c r="B221" s="1" t="n">
        <v>45785</v>
      </c>
      <c r="C221" s="1" t="n">
        <v>45986</v>
      </c>
      <c r="D221" t="inlineStr">
        <is>
          <t>VÄSTMANLANDS LÄN</t>
        </is>
      </c>
      <c r="E221" t="inlineStr">
        <is>
          <t>SALA</t>
        </is>
      </c>
      <c r="G221" t="n">
        <v>10.6</v>
      </c>
      <c r="H221" t="n">
        <v>0</v>
      </c>
      <c r="I221" t="n">
        <v>0</v>
      </c>
      <c r="J221" t="n">
        <v>0</v>
      </c>
      <c r="K221" t="n">
        <v>0</v>
      </c>
      <c r="L221" t="n">
        <v>0</v>
      </c>
      <c r="M221" t="n">
        <v>0</v>
      </c>
      <c r="N221" t="n">
        <v>0</v>
      </c>
      <c r="O221" t="n">
        <v>0</v>
      </c>
      <c r="P221" t="n">
        <v>0</v>
      </c>
      <c r="Q221" t="n">
        <v>0</v>
      </c>
      <c r="R221" s="2" t="inlineStr"/>
    </row>
    <row r="222" ht="15" customHeight="1">
      <c r="A222" t="inlineStr">
        <is>
          <t>A 19297-2025</t>
        </is>
      </c>
      <c r="B222" s="1" t="n">
        <v>45769.56261574074</v>
      </c>
      <c r="C222" s="1" t="n">
        <v>45986</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23810-2025</t>
        </is>
      </c>
      <c r="B223" s="1" t="n">
        <v>45793.56989583333</v>
      </c>
      <c r="C223" s="1" t="n">
        <v>45986</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4797-2023</t>
        </is>
      </c>
      <c r="B224" s="1" t="n">
        <v>44957</v>
      </c>
      <c r="C224" s="1" t="n">
        <v>45986</v>
      </c>
      <c r="D224" t="inlineStr">
        <is>
          <t>VÄSTMANLANDS LÄN</t>
        </is>
      </c>
      <c r="E224" t="inlineStr">
        <is>
          <t>SALA</t>
        </is>
      </c>
      <c r="G224" t="n">
        <v>5.7</v>
      </c>
      <c r="H224" t="n">
        <v>0</v>
      </c>
      <c r="I224" t="n">
        <v>0</v>
      </c>
      <c r="J224" t="n">
        <v>0</v>
      </c>
      <c r="K224" t="n">
        <v>0</v>
      </c>
      <c r="L224" t="n">
        <v>0</v>
      </c>
      <c r="M224" t="n">
        <v>0</v>
      </c>
      <c r="N224" t="n">
        <v>0</v>
      </c>
      <c r="O224" t="n">
        <v>0</v>
      </c>
      <c r="P224" t="n">
        <v>0</v>
      </c>
      <c r="Q224" t="n">
        <v>0</v>
      </c>
      <c r="R224" s="2" t="inlineStr"/>
    </row>
    <row r="225" ht="15" customHeight="1">
      <c r="A225" t="inlineStr">
        <is>
          <t>A 24169-2025</t>
        </is>
      </c>
      <c r="B225" s="1" t="n">
        <v>45796</v>
      </c>
      <c r="C225" s="1" t="n">
        <v>45986</v>
      </c>
      <c r="D225" t="inlineStr">
        <is>
          <t>VÄSTMANLANDS LÄN</t>
        </is>
      </c>
      <c r="E225" t="inlineStr">
        <is>
          <t>SALA</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52498-2022</t>
        </is>
      </c>
      <c r="B226" s="1" t="n">
        <v>44874.50152777778</v>
      </c>
      <c r="C226" s="1" t="n">
        <v>45986</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11210-2025</t>
        </is>
      </c>
      <c r="B227" s="1" t="n">
        <v>45726</v>
      </c>
      <c r="C227" s="1" t="n">
        <v>45986</v>
      </c>
      <c r="D227" t="inlineStr">
        <is>
          <t>VÄSTMANLANDS LÄN</t>
        </is>
      </c>
      <c r="E227" t="inlineStr">
        <is>
          <t>SALA</t>
        </is>
      </c>
      <c r="G227" t="n">
        <v>4.1</v>
      </c>
      <c r="H227" t="n">
        <v>0</v>
      </c>
      <c r="I227" t="n">
        <v>0</v>
      </c>
      <c r="J227" t="n">
        <v>0</v>
      </c>
      <c r="K227" t="n">
        <v>0</v>
      </c>
      <c r="L227" t="n">
        <v>0</v>
      </c>
      <c r="M227" t="n">
        <v>0</v>
      </c>
      <c r="N227" t="n">
        <v>0</v>
      </c>
      <c r="O227" t="n">
        <v>0</v>
      </c>
      <c r="P227" t="n">
        <v>0</v>
      </c>
      <c r="Q227" t="n">
        <v>0</v>
      </c>
      <c r="R227" s="2" t="inlineStr"/>
    </row>
    <row r="228" ht="15" customHeight="1">
      <c r="A228" t="inlineStr">
        <is>
          <t>A 24944-2023</t>
        </is>
      </c>
      <c r="B228" s="1" t="n">
        <v>45085</v>
      </c>
      <c r="C228" s="1" t="n">
        <v>45986</v>
      </c>
      <c r="D228" t="inlineStr">
        <is>
          <t>VÄSTMANLANDS LÄN</t>
        </is>
      </c>
      <c r="E228" t="inlineStr">
        <is>
          <t>SALA</t>
        </is>
      </c>
      <c r="G228" t="n">
        <v>3.8</v>
      </c>
      <c r="H228" t="n">
        <v>0</v>
      </c>
      <c r="I228" t="n">
        <v>0</v>
      </c>
      <c r="J228" t="n">
        <v>0</v>
      </c>
      <c r="K228" t="n">
        <v>0</v>
      </c>
      <c r="L228" t="n">
        <v>0</v>
      </c>
      <c r="M228" t="n">
        <v>0</v>
      </c>
      <c r="N228" t="n">
        <v>0</v>
      </c>
      <c r="O228" t="n">
        <v>0</v>
      </c>
      <c r="P228" t="n">
        <v>0</v>
      </c>
      <c r="Q228" t="n">
        <v>0</v>
      </c>
      <c r="R228" s="2" t="inlineStr"/>
    </row>
    <row r="229" ht="15" customHeight="1">
      <c r="A229" t="inlineStr">
        <is>
          <t>A 40559-2025</t>
        </is>
      </c>
      <c r="B229" s="1" t="n">
        <v>45896.45037037037</v>
      </c>
      <c r="C229" s="1" t="n">
        <v>45986</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40556-2025</t>
        </is>
      </c>
      <c r="B230" s="1" t="n">
        <v>45896.44944444444</v>
      </c>
      <c r="C230" s="1" t="n">
        <v>45986</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40620-2025</t>
        </is>
      </c>
      <c r="B231" s="1" t="n">
        <v>45896.58609953704</v>
      </c>
      <c r="C231" s="1" t="n">
        <v>45986</v>
      </c>
      <c r="D231" t="inlineStr">
        <is>
          <t>VÄSTMANLANDS LÄN</t>
        </is>
      </c>
      <c r="E231" t="inlineStr">
        <is>
          <t>SALA</t>
        </is>
      </c>
      <c r="G231" t="n">
        <v>6.7</v>
      </c>
      <c r="H231" t="n">
        <v>0</v>
      </c>
      <c r="I231" t="n">
        <v>0</v>
      </c>
      <c r="J231" t="n">
        <v>0</v>
      </c>
      <c r="K231" t="n">
        <v>0</v>
      </c>
      <c r="L231" t="n">
        <v>0</v>
      </c>
      <c r="M231" t="n">
        <v>0</v>
      </c>
      <c r="N231" t="n">
        <v>0</v>
      </c>
      <c r="O231" t="n">
        <v>0</v>
      </c>
      <c r="P231" t="n">
        <v>0</v>
      </c>
      <c r="Q231" t="n">
        <v>0</v>
      </c>
      <c r="R231" s="2" t="inlineStr"/>
    </row>
    <row r="232" ht="15" customHeight="1">
      <c r="A232" t="inlineStr">
        <is>
          <t>A 24460-2025</t>
        </is>
      </c>
      <c r="B232" s="1" t="n">
        <v>45798</v>
      </c>
      <c r="C232" s="1" t="n">
        <v>45986</v>
      </c>
      <c r="D232" t="inlineStr">
        <is>
          <t>VÄSTMANLANDS LÄN</t>
        </is>
      </c>
      <c r="E232" t="inlineStr">
        <is>
          <t>SALA</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24463-2025</t>
        </is>
      </c>
      <c r="B233" s="1" t="n">
        <v>45798</v>
      </c>
      <c r="C233" s="1" t="n">
        <v>45986</v>
      </c>
      <c r="D233" t="inlineStr">
        <is>
          <t>VÄSTMANLANDS LÄN</t>
        </is>
      </c>
      <c r="E233" t="inlineStr">
        <is>
          <t>SALA</t>
        </is>
      </c>
      <c r="F233" t="inlineStr">
        <is>
          <t>Bergvik skog öst AB</t>
        </is>
      </c>
      <c r="G233" t="n">
        <v>1.5</v>
      </c>
      <c r="H233" t="n">
        <v>0</v>
      </c>
      <c r="I233" t="n">
        <v>0</v>
      </c>
      <c r="J233" t="n">
        <v>0</v>
      </c>
      <c r="K233" t="n">
        <v>0</v>
      </c>
      <c r="L233" t="n">
        <v>0</v>
      </c>
      <c r="M233" t="n">
        <v>0</v>
      </c>
      <c r="N233" t="n">
        <v>0</v>
      </c>
      <c r="O233" t="n">
        <v>0</v>
      </c>
      <c r="P233" t="n">
        <v>0</v>
      </c>
      <c r="Q233" t="n">
        <v>0</v>
      </c>
      <c r="R233" s="2" t="inlineStr"/>
    </row>
    <row r="234" ht="15" customHeight="1">
      <c r="A234" t="inlineStr">
        <is>
          <t>A 41230-2025</t>
        </is>
      </c>
      <c r="B234" s="1" t="n">
        <v>45898</v>
      </c>
      <c r="C234" s="1" t="n">
        <v>45986</v>
      </c>
      <c r="D234" t="inlineStr">
        <is>
          <t>VÄSTMANLANDS LÄN</t>
        </is>
      </c>
      <c r="E234" t="inlineStr">
        <is>
          <t>SALA</t>
        </is>
      </c>
      <c r="G234" t="n">
        <v>2.3</v>
      </c>
      <c r="H234" t="n">
        <v>0</v>
      </c>
      <c r="I234" t="n">
        <v>0</v>
      </c>
      <c r="J234" t="n">
        <v>0</v>
      </c>
      <c r="K234" t="n">
        <v>0</v>
      </c>
      <c r="L234" t="n">
        <v>0</v>
      </c>
      <c r="M234" t="n">
        <v>0</v>
      </c>
      <c r="N234" t="n">
        <v>0</v>
      </c>
      <c r="O234" t="n">
        <v>0</v>
      </c>
      <c r="P234" t="n">
        <v>0</v>
      </c>
      <c r="Q234" t="n">
        <v>0</v>
      </c>
      <c r="R234" s="2" t="inlineStr"/>
    </row>
    <row r="235" ht="15" customHeight="1">
      <c r="A235" t="inlineStr">
        <is>
          <t>A 55065-2024</t>
        </is>
      </c>
      <c r="B235" s="1" t="n">
        <v>45618</v>
      </c>
      <c r="C235" s="1" t="n">
        <v>45986</v>
      </c>
      <c r="D235" t="inlineStr">
        <is>
          <t>VÄSTMANLANDS LÄN</t>
        </is>
      </c>
      <c r="E235" t="inlineStr">
        <is>
          <t>SALA</t>
        </is>
      </c>
      <c r="G235" t="n">
        <v>3.5</v>
      </c>
      <c r="H235" t="n">
        <v>0</v>
      </c>
      <c r="I235" t="n">
        <v>0</v>
      </c>
      <c r="J235" t="n">
        <v>0</v>
      </c>
      <c r="K235" t="n">
        <v>0</v>
      </c>
      <c r="L235" t="n">
        <v>0</v>
      </c>
      <c r="M235" t="n">
        <v>0</v>
      </c>
      <c r="N235" t="n">
        <v>0</v>
      </c>
      <c r="O235" t="n">
        <v>0</v>
      </c>
      <c r="P235" t="n">
        <v>0</v>
      </c>
      <c r="Q235" t="n">
        <v>0</v>
      </c>
      <c r="R235" s="2" t="inlineStr"/>
    </row>
    <row r="236" ht="15" customHeight="1">
      <c r="A236" t="inlineStr">
        <is>
          <t>A 24907-2025</t>
        </is>
      </c>
      <c r="B236" s="1" t="n">
        <v>45799</v>
      </c>
      <c r="C236" s="1" t="n">
        <v>45986</v>
      </c>
      <c r="D236" t="inlineStr">
        <is>
          <t>VÄSTMANLANDS LÄN</t>
        </is>
      </c>
      <c r="E236" t="inlineStr">
        <is>
          <t>SALA</t>
        </is>
      </c>
      <c r="G236" t="n">
        <v>3.5</v>
      </c>
      <c r="H236" t="n">
        <v>0</v>
      </c>
      <c r="I236" t="n">
        <v>0</v>
      </c>
      <c r="J236" t="n">
        <v>0</v>
      </c>
      <c r="K236" t="n">
        <v>0</v>
      </c>
      <c r="L236" t="n">
        <v>0</v>
      </c>
      <c r="M236" t="n">
        <v>0</v>
      </c>
      <c r="N236" t="n">
        <v>0</v>
      </c>
      <c r="O236" t="n">
        <v>0</v>
      </c>
      <c r="P236" t="n">
        <v>0</v>
      </c>
      <c r="Q236" t="n">
        <v>0</v>
      </c>
      <c r="R236" s="2" t="inlineStr"/>
    </row>
    <row r="237" ht="15" customHeight="1">
      <c r="A237" t="inlineStr">
        <is>
          <t>A 24910-2025</t>
        </is>
      </c>
      <c r="B237" s="1" t="n">
        <v>45799.53775462963</v>
      </c>
      <c r="C237" s="1" t="n">
        <v>45986</v>
      </c>
      <c r="D237" t="inlineStr">
        <is>
          <t>VÄSTMANLANDS LÄN</t>
        </is>
      </c>
      <c r="E237" t="inlineStr">
        <is>
          <t>SALA</t>
        </is>
      </c>
      <c r="G237" t="n">
        <v>3.5</v>
      </c>
      <c r="H237" t="n">
        <v>0</v>
      </c>
      <c r="I237" t="n">
        <v>0</v>
      </c>
      <c r="J237" t="n">
        <v>0</v>
      </c>
      <c r="K237" t="n">
        <v>0</v>
      </c>
      <c r="L237" t="n">
        <v>0</v>
      </c>
      <c r="M237" t="n">
        <v>0</v>
      </c>
      <c r="N237" t="n">
        <v>0</v>
      </c>
      <c r="O237" t="n">
        <v>0</v>
      </c>
      <c r="P237" t="n">
        <v>0</v>
      </c>
      <c r="Q237" t="n">
        <v>0</v>
      </c>
      <c r="R237" s="2" t="inlineStr"/>
    </row>
    <row r="238" ht="15" customHeight="1">
      <c r="A238" t="inlineStr">
        <is>
          <t>A 41414-2025</t>
        </is>
      </c>
      <c r="B238" s="1" t="n">
        <v>45901.360625</v>
      </c>
      <c r="C238" s="1" t="n">
        <v>45986</v>
      </c>
      <c r="D238" t="inlineStr">
        <is>
          <t>VÄSTMANLANDS LÄN</t>
        </is>
      </c>
      <c r="E238" t="inlineStr">
        <is>
          <t>SALA</t>
        </is>
      </c>
      <c r="G238" t="n">
        <v>8.800000000000001</v>
      </c>
      <c r="H238" t="n">
        <v>0</v>
      </c>
      <c r="I238" t="n">
        <v>0</v>
      </c>
      <c r="J238" t="n">
        <v>0</v>
      </c>
      <c r="K238" t="n">
        <v>0</v>
      </c>
      <c r="L238" t="n">
        <v>0</v>
      </c>
      <c r="M238" t="n">
        <v>0</v>
      </c>
      <c r="N238" t="n">
        <v>0</v>
      </c>
      <c r="O238" t="n">
        <v>0</v>
      </c>
      <c r="P238" t="n">
        <v>0</v>
      </c>
      <c r="Q238" t="n">
        <v>0</v>
      </c>
      <c r="R238" s="2" t="inlineStr"/>
    </row>
    <row r="239" ht="15" customHeight="1">
      <c r="A239" t="inlineStr">
        <is>
          <t>A 61717-2024</t>
        </is>
      </c>
      <c r="B239" s="1" t="n">
        <v>45648</v>
      </c>
      <c r="C239" s="1" t="n">
        <v>45986</v>
      </c>
      <c r="D239" t="inlineStr">
        <is>
          <t>VÄSTMANLANDS LÄN</t>
        </is>
      </c>
      <c r="E239" t="inlineStr">
        <is>
          <t>SALA</t>
        </is>
      </c>
      <c r="G239" t="n">
        <v>3.7</v>
      </c>
      <c r="H239" t="n">
        <v>0</v>
      </c>
      <c r="I239" t="n">
        <v>0</v>
      </c>
      <c r="J239" t="n">
        <v>0</v>
      </c>
      <c r="K239" t="n">
        <v>0</v>
      </c>
      <c r="L239" t="n">
        <v>0</v>
      </c>
      <c r="M239" t="n">
        <v>0</v>
      </c>
      <c r="N239" t="n">
        <v>0</v>
      </c>
      <c r="O239" t="n">
        <v>0</v>
      </c>
      <c r="P239" t="n">
        <v>0</v>
      </c>
      <c r="Q239" t="n">
        <v>0</v>
      </c>
      <c r="R239" s="2" t="inlineStr"/>
    </row>
    <row r="240" ht="15" customHeight="1">
      <c r="A240" t="inlineStr">
        <is>
          <t>A 53164-2024</t>
        </is>
      </c>
      <c r="B240" s="1" t="n">
        <v>45611.64887731482</v>
      </c>
      <c r="C240" s="1" t="n">
        <v>45986</v>
      </c>
      <c r="D240" t="inlineStr">
        <is>
          <t>VÄSTMANLANDS LÄN</t>
        </is>
      </c>
      <c r="E240" t="inlineStr">
        <is>
          <t>SALA</t>
        </is>
      </c>
      <c r="G240" t="n">
        <v>2.6</v>
      </c>
      <c r="H240" t="n">
        <v>0</v>
      </c>
      <c r="I240" t="n">
        <v>0</v>
      </c>
      <c r="J240" t="n">
        <v>0</v>
      </c>
      <c r="K240" t="n">
        <v>0</v>
      </c>
      <c r="L240" t="n">
        <v>0</v>
      </c>
      <c r="M240" t="n">
        <v>0</v>
      </c>
      <c r="N240" t="n">
        <v>0</v>
      </c>
      <c r="O240" t="n">
        <v>0</v>
      </c>
      <c r="P240" t="n">
        <v>0</v>
      </c>
      <c r="Q240" t="n">
        <v>0</v>
      </c>
      <c r="R240" s="2" t="inlineStr"/>
    </row>
    <row r="241" ht="15" customHeight="1">
      <c r="A241" t="inlineStr">
        <is>
          <t>A 41431-2025</t>
        </is>
      </c>
      <c r="B241" s="1" t="n">
        <v>45901.39347222223</v>
      </c>
      <c r="C241" s="1" t="n">
        <v>45986</v>
      </c>
      <c r="D241" t="inlineStr">
        <is>
          <t>VÄSTMANLANDS LÄN</t>
        </is>
      </c>
      <c r="E241" t="inlineStr">
        <is>
          <t>SALA</t>
        </is>
      </c>
      <c r="G241" t="n">
        <v>0.8</v>
      </c>
      <c r="H241" t="n">
        <v>0</v>
      </c>
      <c r="I241" t="n">
        <v>0</v>
      </c>
      <c r="J241" t="n">
        <v>0</v>
      </c>
      <c r="K241" t="n">
        <v>0</v>
      </c>
      <c r="L241" t="n">
        <v>0</v>
      </c>
      <c r="M241" t="n">
        <v>0</v>
      </c>
      <c r="N241" t="n">
        <v>0</v>
      </c>
      <c r="O241" t="n">
        <v>0</v>
      </c>
      <c r="P241" t="n">
        <v>0</v>
      </c>
      <c r="Q241" t="n">
        <v>0</v>
      </c>
      <c r="R241" s="2" t="inlineStr"/>
    </row>
    <row r="242" ht="15" customHeight="1">
      <c r="A242" t="inlineStr">
        <is>
          <t>A 61517-2024</t>
        </is>
      </c>
      <c r="B242" s="1" t="n">
        <v>45645</v>
      </c>
      <c r="C242" s="1" t="n">
        <v>45986</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50249-2025</t>
        </is>
      </c>
      <c r="B243" s="1" t="n">
        <v>45944.31508101852</v>
      </c>
      <c r="C243" s="1" t="n">
        <v>45986</v>
      </c>
      <c r="D243" t="inlineStr">
        <is>
          <t>VÄSTMANLANDS LÄN</t>
        </is>
      </c>
      <c r="E243" t="inlineStr">
        <is>
          <t>SALA</t>
        </is>
      </c>
      <c r="G243" t="n">
        <v>2.3</v>
      </c>
      <c r="H243" t="n">
        <v>0</v>
      </c>
      <c r="I243" t="n">
        <v>0</v>
      </c>
      <c r="J243" t="n">
        <v>0</v>
      </c>
      <c r="K243" t="n">
        <v>0</v>
      </c>
      <c r="L243" t="n">
        <v>0</v>
      </c>
      <c r="M243" t="n">
        <v>0</v>
      </c>
      <c r="N243" t="n">
        <v>0</v>
      </c>
      <c r="O243" t="n">
        <v>0</v>
      </c>
      <c r="P243" t="n">
        <v>0</v>
      </c>
      <c r="Q243" t="n">
        <v>0</v>
      </c>
      <c r="R243" s="2" t="inlineStr"/>
    </row>
    <row r="244" ht="15" customHeight="1">
      <c r="A244" t="inlineStr">
        <is>
          <t>A 1638-2023</t>
        </is>
      </c>
      <c r="B244" s="1" t="n">
        <v>44937</v>
      </c>
      <c r="C244" s="1" t="n">
        <v>45986</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15972-2024</t>
        </is>
      </c>
      <c r="B245" s="1" t="n">
        <v>45405.56498842593</v>
      </c>
      <c r="C245" s="1" t="n">
        <v>45986</v>
      </c>
      <c r="D245" t="inlineStr">
        <is>
          <t>VÄSTMANLANDS LÄN</t>
        </is>
      </c>
      <c r="E245" t="inlineStr">
        <is>
          <t>SALA</t>
        </is>
      </c>
      <c r="G245" t="n">
        <v>1.8</v>
      </c>
      <c r="H245" t="n">
        <v>0</v>
      </c>
      <c r="I245" t="n">
        <v>0</v>
      </c>
      <c r="J245" t="n">
        <v>0</v>
      </c>
      <c r="K245" t="n">
        <v>0</v>
      </c>
      <c r="L245" t="n">
        <v>0</v>
      </c>
      <c r="M245" t="n">
        <v>0</v>
      </c>
      <c r="N245" t="n">
        <v>0</v>
      </c>
      <c r="O245" t="n">
        <v>0</v>
      </c>
      <c r="P245" t="n">
        <v>0</v>
      </c>
      <c r="Q245" t="n">
        <v>0</v>
      </c>
      <c r="R245" s="2" t="inlineStr"/>
    </row>
    <row r="246" ht="15" customHeight="1">
      <c r="A246" t="inlineStr">
        <is>
          <t>A 37958-2024</t>
        </is>
      </c>
      <c r="B246" s="1" t="n">
        <v>45544</v>
      </c>
      <c r="C246" s="1" t="n">
        <v>45986</v>
      </c>
      <c r="D246" t="inlineStr">
        <is>
          <t>VÄSTMANLANDS LÄN</t>
        </is>
      </c>
      <c r="E246" t="inlineStr">
        <is>
          <t>SALA</t>
        </is>
      </c>
      <c r="G246" t="n">
        <v>5.6</v>
      </c>
      <c r="H246" t="n">
        <v>0</v>
      </c>
      <c r="I246" t="n">
        <v>0</v>
      </c>
      <c r="J246" t="n">
        <v>0</v>
      </c>
      <c r="K246" t="n">
        <v>0</v>
      </c>
      <c r="L246" t="n">
        <v>0</v>
      </c>
      <c r="M246" t="n">
        <v>0</v>
      </c>
      <c r="N246" t="n">
        <v>0</v>
      </c>
      <c r="O246" t="n">
        <v>0</v>
      </c>
      <c r="P246" t="n">
        <v>0</v>
      </c>
      <c r="Q246" t="n">
        <v>0</v>
      </c>
      <c r="R246" s="2" t="inlineStr"/>
    </row>
    <row r="247" ht="15" customHeight="1">
      <c r="A247" t="inlineStr">
        <is>
          <t>A 21968-2024</t>
        </is>
      </c>
      <c r="B247" s="1" t="n">
        <v>45443</v>
      </c>
      <c r="C247" s="1" t="n">
        <v>45986</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1555-2024</t>
        </is>
      </c>
      <c r="B248" s="1" t="n">
        <v>45306</v>
      </c>
      <c r="C248" s="1" t="n">
        <v>45986</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10909-2024</t>
        </is>
      </c>
      <c r="B249" s="1" t="n">
        <v>45370</v>
      </c>
      <c r="C249" s="1" t="n">
        <v>45986</v>
      </c>
      <c r="D249" t="inlineStr">
        <is>
          <t>VÄSTMANLANDS LÄN</t>
        </is>
      </c>
      <c r="E249" t="inlineStr">
        <is>
          <t>SALA</t>
        </is>
      </c>
      <c r="G249" t="n">
        <v>3.3</v>
      </c>
      <c r="H249" t="n">
        <v>0</v>
      </c>
      <c r="I249" t="n">
        <v>0</v>
      </c>
      <c r="J249" t="n">
        <v>0</v>
      </c>
      <c r="K249" t="n">
        <v>0</v>
      </c>
      <c r="L249" t="n">
        <v>0</v>
      </c>
      <c r="M249" t="n">
        <v>0</v>
      </c>
      <c r="N249" t="n">
        <v>0</v>
      </c>
      <c r="O249" t="n">
        <v>0</v>
      </c>
      <c r="P249" t="n">
        <v>0</v>
      </c>
      <c r="Q249" t="n">
        <v>0</v>
      </c>
      <c r="R249" s="2" t="inlineStr"/>
    </row>
    <row r="250" ht="15" customHeight="1">
      <c r="A250" t="inlineStr">
        <is>
          <t>A 51247-2025</t>
        </is>
      </c>
      <c r="B250" s="1" t="n">
        <v>45947.86487268518</v>
      </c>
      <c r="C250" s="1" t="n">
        <v>45986</v>
      </c>
      <c r="D250" t="inlineStr">
        <is>
          <t>VÄSTMANLANDS LÄN</t>
        </is>
      </c>
      <c r="E250" t="inlineStr">
        <is>
          <t>SALA</t>
        </is>
      </c>
      <c r="G250" t="n">
        <v>10.4</v>
      </c>
      <c r="H250" t="n">
        <v>0</v>
      </c>
      <c r="I250" t="n">
        <v>0</v>
      </c>
      <c r="J250" t="n">
        <v>0</v>
      </c>
      <c r="K250" t="n">
        <v>0</v>
      </c>
      <c r="L250" t="n">
        <v>0</v>
      </c>
      <c r="M250" t="n">
        <v>0</v>
      </c>
      <c r="N250" t="n">
        <v>0</v>
      </c>
      <c r="O250" t="n">
        <v>0</v>
      </c>
      <c r="P250" t="n">
        <v>0</v>
      </c>
      <c r="Q250" t="n">
        <v>0</v>
      </c>
      <c r="R250" s="2" t="inlineStr"/>
    </row>
    <row r="251" ht="15" customHeight="1">
      <c r="A251" t="inlineStr">
        <is>
          <t>A 42421-2025</t>
        </is>
      </c>
      <c r="B251" s="1" t="n">
        <v>45905.40067129629</v>
      </c>
      <c r="C251" s="1" t="n">
        <v>45986</v>
      </c>
      <c r="D251" t="inlineStr">
        <is>
          <t>VÄSTMANLANDS LÄN</t>
        </is>
      </c>
      <c r="E251" t="inlineStr">
        <is>
          <t>SALA</t>
        </is>
      </c>
      <c r="G251" t="n">
        <v>1.3</v>
      </c>
      <c r="H251" t="n">
        <v>0</v>
      </c>
      <c r="I251" t="n">
        <v>0</v>
      </c>
      <c r="J251" t="n">
        <v>0</v>
      </c>
      <c r="K251" t="n">
        <v>0</v>
      </c>
      <c r="L251" t="n">
        <v>0</v>
      </c>
      <c r="M251" t="n">
        <v>0</v>
      </c>
      <c r="N251" t="n">
        <v>0</v>
      </c>
      <c r="O251" t="n">
        <v>0</v>
      </c>
      <c r="P251" t="n">
        <v>0</v>
      </c>
      <c r="Q251" t="n">
        <v>0</v>
      </c>
      <c r="R251" s="2" t="inlineStr"/>
    </row>
    <row r="252" ht="15" customHeight="1">
      <c r="A252" t="inlineStr">
        <is>
          <t>A 17495-2024</t>
        </is>
      </c>
      <c r="B252" s="1" t="n">
        <v>45415</v>
      </c>
      <c r="C252" s="1" t="n">
        <v>45986</v>
      </c>
      <c r="D252" t="inlineStr">
        <is>
          <t>VÄSTMANLANDS LÄN</t>
        </is>
      </c>
      <c r="E252" t="inlineStr">
        <is>
          <t>SALA</t>
        </is>
      </c>
      <c r="G252" t="n">
        <v>3.1</v>
      </c>
      <c r="H252" t="n">
        <v>0</v>
      </c>
      <c r="I252" t="n">
        <v>0</v>
      </c>
      <c r="J252" t="n">
        <v>0</v>
      </c>
      <c r="K252" t="n">
        <v>0</v>
      </c>
      <c r="L252" t="n">
        <v>0</v>
      </c>
      <c r="M252" t="n">
        <v>0</v>
      </c>
      <c r="N252" t="n">
        <v>0</v>
      </c>
      <c r="O252" t="n">
        <v>0</v>
      </c>
      <c r="P252" t="n">
        <v>0</v>
      </c>
      <c r="Q252" t="n">
        <v>0</v>
      </c>
      <c r="R252" s="2" t="inlineStr"/>
    </row>
    <row r="253" ht="15" customHeight="1">
      <c r="A253" t="inlineStr">
        <is>
          <t>A 15756-2025</t>
        </is>
      </c>
      <c r="B253" s="1" t="n">
        <v>45748.56810185185</v>
      </c>
      <c r="C253" s="1" t="n">
        <v>45986</v>
      </c>
      <c r="D253" t="inlineStr">
        <is>
          <t>VÄSTMANLANDS LÄN</t>
        </is>
      </c>
      <c r="E253" t="inlineStr">
        <is>
          <t>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37263-2025</t>
        </is>
      </c>
      <c r="B254" s="1" t="n">
        <v>45876.4584837963</v>
      </c>
      <c r="C254" s="1" t="n">
        <v>45986</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51626-2025</t>
        </is>
      </c>
      <c r="B255" s="1" t="n">
        <v>45951.41769675926</v>
      </c>
      <c r="C255" s="1" t="n">
        <v>45986</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31000-2022</t>
        </is>
      </c>
      <c r="B256" s="1" t="n">
        <v>44768</v>
      </c>
      <c r="C256" s="1" t="n">
        <v>45986</v>
      </c>
      <c r="D256" t="inlineStr">
        <is>
          <t>VÄSTMANLANDS LÄN</t>
        </is>
      </c>
      <c r="E256" t="inlineStr">
        <is>
          <t>SALA</t>
        </is>
      </c>
      <c r="G256" t="n">
        <v>5.7</v>
      </c>
      <c r="H256" t="n">
        <v>0</v>
      </c>
      <c r="I256" t="n">
        <v>0</v>
      </c>
      <c r="J256" t="n">
        <v>0</v>
      </c>
      <c r="K256" t="n">
        <v>0</v>
      </c>
      <c r="L256" t="n">
        <v>0</v>
      </c>
      <c r="M256" t="n">
        <v>0</v>
      </c>
      <c r="N256" t="n">
        <v>0</v>
      </c>
      <c r="O256" t="n">
        <v>0</v>
      </c>
      <c r="P256" t="n">
        <v>0</v>
      </c>
      <c r="Q256" t="n">
        <v>0</v>
      </c>
      <c r="R256" s="2" t="inlineStr"/>
    </row>
    <row r="257" ht="15" customHeight="1">
      <c r="A257" t="inlineStr">
        <is>
          <t>A 43127-2025</t>
        </is>
      </c>
      <c r="B257" s="1" t="n">
        <v>45909</v>
      </c>
      <c r="C257" s="1" t="n">
        <v>45986</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37183-2024</t>
        </is>
      </c>
      <c r="B258" s="1" t="n">
        <v>45539</v>
      </c>
      <c r="C258" s="1" t="n">
        <v>45986</v>
      </c>
      <c r="D258" t="inlineStr">
        <is>
          <t>VÄSTMANLANDS LÄN</t>
        </is>
      </c>
      <c r="E258" t="inlineStr">
        <is>
          <t>SALA</t>
        </is>
      </c>
      <c r="G258" t="n">
        <v>1.2</v>
      </c>
      <c r="H258" t="n">
        <v>0</v>
      </c>
      <c r="I258" t="n">
        <v>0</v>
      </c>
      <c r="J258" t="n">
        <v>0</v>
      </c>
      <c r="K258" t="n">
        <v>0</v>
      </c>
      <c r="L258" t="n">
        <v>0</v>
      </c>
      <c r="M258" t="n">
        <v>0</v>
      </c>
      <c r="N258" t="n">
        <v>0</v>
      </c>
      <c r="O258" t="n">
        <v>0</v>
      </c>
      <c r="P258" t="n">
        <v>0</v>
      </c>
      <c r="Q258" t="n">
        <v>0</v>
      </c>
      <c r="R258" s="2" t="inlineStr"/>
    </row>
    <row r="259" ht="15" customHeight="1">
      <c r="A259" t="inlineStr">
        <is>
          <t>A 51804-2025</t>
        </is>
      </c>
      <c r="B259" s="1" t="n">
        <v>45951.77697916667</v>
      </c>
      <c r="C259" s="1" t="n">
        <v>45986</v>
      </c>
      <c r="D259" t="inlineStr">
        <is>
          <t>VÄSTMANLANDS LÄN</t>
        </is>
      </c>
      <c r="E259" t="inlineStr">
        <is>
          <t>SALA</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27229-2022</t>
        </is>
      </c>
      <c r="B260" s="1" t="n">
        <v>44741</v>
      </c>
      <c r="C260" s="1" t="n">
        <v>45986</v>
      </c>
      <c r="D260" t="inlineStr">
        <is>
          <t>VÄSTMANLANDS LÄN</t>
        </is>
      </c>
      <c r="E260" t="inlineStr">
        <is>
          <t>SALA</t>
        </is>
      </c>
      <c r="F260" t="inlineStr">
        <is>
          <t>Kommuner</t>
        </is>
      </c>
      <c r="G260" t="n">
        <v>1.4</v>
      </c>
      <c r="H260" t="n">
        <v>0</v>
      </c>
      <c r="I260" t="n">
        <v>0</v>
      </c>
      <c r="J260" t="n">
        <v>0</v>
      </c>
      <c r="K260" t="n">
        <v>0</v>
      </c>
      <c r="L260" t="n">
        <v>0</v>
      </c>
      <c r="M260" t="n">
        <v>0</v>
      </c>
      <c r="N260" t="n">
        <v>0</v>
      </c>
      <c r="O260" t="n">
        <v>0</v>
      </c>
      <c r="P260" t="n">
        <v>0</v>
      </c>
      <c r="Q260" t="n">
        <v>0</v>
      </c>
      <c r="R260" s="2" t="inlineStr"/>
    </row>
    <row r="261" ht="15" customHeight="1">
      <c r="A261" t="inlineStr">
        <is>
          <t>A 43128-2025</t>
        </is>
      </c>
      <c r="B261" s="1" t="n">
        <v>45909</v>
      </c>
      <c r="C261" s="1" t="n">
        <v>45986</v>
      </c>
      <c r="D261" t="inlineStr">
        <is>
          <t>VÄSTMANLANDS LÄN</t>
        </is>
      </c>
      <c r="E261" t="inlineStr">
        <is>
          <t>SALA</t>
        </is>
      </c>
      <c r="G261" t="n">
        <v>0.7</v>
      </c>
      <c r="H261" t="n">
        <v>0</v>
      </c>
      <c r="I261" t="n">
        <v>0</v>
      </c>
      <c r="J261" t="n">
        <v>0</v>
      </c>
      <c r="K261" t="n">
        <v>0</v>
      </c>
      <c r="L261" t="n">
        <v>0</v>
      </c>
      <c r="M261" t="n">
        <v>0</v>
      </c>
      <c r="N261" t="n">
        <v>0</v>
      </c>
      <c r="O261" t="n">
        <v>0</v>
      </c>
      <c r="P261" t="n">
        <v>0</v>
      </c>
      <c r="Q261" t="n">
        <v>0</v>
      </c>
      <c r="R261" s="2" t="inlineStr"/>
    </row>
    <row r="262" ht="15" customHeight="1">
      <c r="A262" t="inlineStr">
        <is>
          <t>A 40554-2025</t>
        </is>
      </c>
      <c r="B262" s="1" t="n">
        <v>45896.44506944445</v>
      </c>
      <c r="C262" s="1" t="n">
        <v>45986</v>
      </c>
      <c r="D262" t="inlineStr">
        <is>
          <t>VÄSTMANLANDS LÄN</t>
        </is>
      </c>
      <c r="E262" t="inlineStr">
        <is>
          <t>SALA</t>
        </is>
      </c>
      <c r="G262" t="n">
        <v>0.9</v>
      </c>
      <c r="H262" t="n">
        <v>0</v>
      </c>
      <c r="I262" t="n">
        <v>0</v>
      </c>
      <c r="J262" t="n">
        <v>0</v>
      </c>
      <c r="K262" t="n">
        <v>0</v>
      </c>
      <c r="L262" t="n">
        <v>0</v>
      </c>
      <c r="M262" t="n">
        <v>0</v>
      </c>
      <c r="N262" t="n">
        <v>0</v>
      </c>
      <c r="O262" t="n">
        <v>0</v>
      </c>
      <c r="P262" t="n">
        <v>0</v>
      </c>
      <c r="Q262" t="n">
        <v>0</v>
      </c>
      <c r="R262" s="2" t="inlineStr"/>
    </row>
    <row r="263" ht="15" customHeight="1">
      <c r="A263" t="inlineStr">
        <is>
          <t>A 51690-2025</t>
        </is>
      </c>
      <c r="B263" s="1" t="n">
        <v>45951.53462962963</v>
      </c>
      <c r="C263" s="1" t="n">
        <v>45986</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51764-2025</t>
        </is>
      </c>
      <c r="B264" s="1" t="n">
        <v>45951.63636574074</v>
      </c>
      <c r="C264" s="1" t="n">
        <v>45986</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43129-2025</t>
        </is>
      </c>
      <c r="B265" s="1" t="n">
        <v>45909</v>
      </c>
      <c r="C265" s="1" t="n">
        <v>45986</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43130-2025</t>
        </is>
      </c>
      <c r="B266" s="1" t="n">
        <v>45909</v>
      </c>
      <c r="C266" s="1" t="n">
        <v>45986</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51809-2025</t>
        </is>
      </c>
      <c r="B267" s="1" t="n">
        <v>45951.80116898148</v>
      </c>
      <c r="C267" s="1" t="n">
        <v>45986</v>
      </c>
      <c r="D267" t="inlineStr">
        <is>
          <t>VÄSTMANLANDS LÄN</t>
        </is>
      </c>
      <c r="E267" t="inlineStr">
        <is>
          <t>SALA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1793-2023</t>
        </is>
      </c>
      <c r="B268" s="1" t="n">
        <v>44937</v>
      </c>
      <c r="C268" s="1" t="n">
        <v>45986</v>
      </c>
      <c r="D268" t="inlineStr">
        <is>
          <t>VÄSTMANLANDS LÄN</t>
        </is>
      </c>
      <c r="E268" t="inlineStr">
        <is>
          <t>SALA</t>
        </is>
      </c>
      <c r="G268" t="n">
        <v>2.6</v>
      </c>
      <c r="H268" t="n">
        <v>0</v>
      </c>
      <c r="I268" t="n">
        <v>0</v>
      </c>
      <c r="J268" t="n">
        <v>0</v>
      </c>
      <c r="K268" t="n">
        <v>0</v>
      </c>
      <c r="L268" t="n">
        <v>0</v>
      </c>
      <c r="M268" t="n">
        <v>0</v>
      </c>
      <c r="N268" t="n">
        <v>0</v>
      </c>
      <c r="O268" t="n">
        <v>0</v>
      </c>
      <c r="P268" t="n">
        <v>0</v>
      </c>
      <c r="Q268" t="n">
        <v>0</v>
      </c>
      <c r="R268" s="2" t="inlineStr"/>
    </row>
    <row r="269" ht="15" customHeight="1">
      <c r="A269" t="inlineStr">
        <is>
          <t>A 51803-2025</t>
        </is>
      </c>
      <c r="B269" s="1" t="n">
        <v>45951.76818287037</v>
      </c>
      <c r="C269" s="1" t="n">
        <v>45986</v>
      </c>
      <c r="D269" t="inlineStr">
        <is>
          <t>VÄSTMANLANDS LÄN</t>
        </is>
      </c>
      <c r="E269" t="inlineStr">
        <is>
          <t>SALA</t>
        </is>
      </c>
      <c r="F269" t="inlineStr">
        <is>
          <t>Kommuner</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51808-2025</t>
        </is>
      </c>
      <c r="B270" s="1" t="n">
        <v>45951.79302083333</v>
      </c>
      <c r="C270" s="1" t="n">
        <v>45986</v>
      </c>
      <c r="D270" t="inlineStr">
        <is>
          <t>VÄSTMANLANDS LÄN</t>
        </is>
      </c>
      <c r="E270" t="inlineStr">
        <is>
          <t>SALA</t>
        </is>
      </c>
      <c r="F270" t="inlineStr">
        <is>
          <t>Kommuner</t>
        </is>
      </c>
      <c r="G270" t="n">
        <v>3</v>
      </c>
      <c r="H270" t="n">
        <v>0</v>
      </c>
      <c r="I270" t="n">
        <v>0</v>
      </c>
      <c r="J270" t="n">
        <v>0</v>
      </c>
      <c r="K270" t="n">
        <v>0</v>
      </c>
      <c r="L270" t="n">
        <v>0</v>
      </c>
      <c r="M270" t="n">
        <v>0</v>
      </c>
      <c r="N270" t="n">
        <v>0</v>
      </c>
      <c r="O270" t="n">
        <v>0</v>
      </c>
      <c r="P270" t="n">
        <v>0</v>
      </c>
      <c r="Q270" t="n">
        <v>0</v>
      </c>
      <c r="R270" s="2" t="inlineStr"/>
    </row>
    <row r="271" ht="15" customHeight="1">
      <c r="A271" t="inlineStr">
        <is>
          <t>A 51805-2025</t>
        </is>
      </c>
      <c r="B271" s="1" t="n">
        <v>45951.78359953704</v>
      </c>
      <c r="C271" s="1" t="n">
        <v>45986</v>
      </c>
      <c r="D271" t="inlineStr">
        <is>
          <t>VÄSTMANLANDS LÄN</t>
        </is>
      </c>
      <c r="E271" t="inlineStr">
        <is>
          <t>SALA</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43028-2025</t>
        </is>
      </c>
      <c r="B272" s="1" t="n">
        <v>45909.53472222222</v>
      </c>
      <c r="C272" s="1" t="n">
        <v>45986</v>
      </c>
      <c r="D272" t="inlineStr">
        <is>
          <t>VÄSTMANLANDS LÄN</t>
        </is>
      </c>
      <c r="E272" t="inlineStr">
        <is>
          <t>SALA</t>
        </is>
      </c>
      <c r="G272" t="n">
        <v>3.8</v>
      </c>
      <c r="H272" t="n">
        <v>0</v>
      </c>
      <c r="I272" t="n">
        <v>0</v>
      </c>
      <c r="J272" t="n">
        <v>0</v>
      </c>
      <c r="K272" t="n">
        <v>0</v>
      </c>
      <c r="L272" t="n">
        <v>0</v>
      </c>
      <c r="M272" t="n">
        <v>0</v>
      </c>
      <c r="N272" t="n">
        <v>0</v>
      </c>
      <c r="O272" t="n">
        <v>0</v>
      </c>
      <c r="P272" t="n">
        <v>0</v>
      </c>
      <c r="Q272" t="n">
        <v>0</v>
      </c>
      <c r="R272" s="2" t="inlineStr"/>
    </row>
    <row r="273" ht="15" customHeight="1">
      <c r="A273" t="inlineStr">
        <is>
          <t>A 29248-2022</t>
        </is>
      </c>
      <c r="B273" s="1" t="n">
        <v>44750</v>
      </c>
      <c r="C273" s="1" t="n">
        <v>45986</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43031-2025</t>
        </is>
      </c>
      <c r="B274" s="1" t="n">
        <v>45909.53856481481</v>
      </c>
      <c r="C274" s="1" t="n">
        <v>45986</v>
      </c>
      <c r="D274" t="inlineStr">
        <is>
          <t>VÄSTMANLANDS LÄN</t>
        </is>
      </c>
      <c r="E274" t="inlineStr">
        <is>
          <t>SALA</t>
        </is>
      </c>
      <c r="G274" t="n">
        <v>0.2</v>
      </c>
      <c r="H274" t="n">
        <v>0</v>
      </c>
      <c r="I274" t="n">
        <v>0</v>
      </c>
      <c r="J274" t="n">
        <v>0</v>
      </c>
      <c r="K274" t="n">
        <v>0</v>
      </c>
      <c r="L274" t="n">
        <v>0</v>
      </c>
      <c r="M274" t="n">
        <v>0</v>
      </c>
      <c r="N274" t="n">
        <v>0</v>
      </c>
      <c r="O274" t="n">
        <v>0</v>
      </c>
      <c r="P274" t="n">
        <v>0</v>
      </c>
      <c r="Q274" t="n">
        <v>0</v>
      </c>
      <c r="R274" s="2" t="inlineStr"/>
    </row>
    <row r="275" ht="15" customHeight="1">
      <c r="A275" t="inlineStr">
        <is>
          <t>A 22397-2022</t>
        </is>
      </c>
      <c r="B275" s="1" t="n">
        <v>44713</v>
      </c>
      <c r="C275" s="1" t="n">
        <v>45986</v>
      </c>
      <c r="D275" t="inlineStr">
        <is>
          <t>VÄSTMANLANDS LÄN</t>
        </is>
      </c>
      <c r="E275" t="inlineStr">
        <is>
          <t>SALA</t>
        </is>
      </c>
      <c r="G275" t="n">
        <v>2.1</v>
      </c>
      <c r="H275" t="n">
        <v>0</v>
      </c>
      <c r="I275" t="n">
        <v>0</v>
      </c>
      <c r="J275" t="n">
        <v>0</v>
      </c>
      <c r="K275" t="n">
        <v>0</v>
      </c>
      <c r="L275" t="n">
        <v>0</v>
      </c>
      <c r="M275" t="n">
        <v>0</v>
      </c>
      <c r="N275" t="n">
        <v>0</v>
      </c>
      <c r="O275" t="n">
        <v>0</v>
      </c>
      <c r="P275" t="n">
        <v>0</v>
      </c>
      <c r="Q275" t="n">
        <v>0</v>
      </c>
      <c r="R275" s="2" t="inlineStr"/>
    </row>
    <row r="276" ht="15" customHeight="1">
      <c r="A276" t="inlineStr">
        <is>
          <t>A 28863-2022</t>
        </is>
      </c>
      <c r="B276" s="1" t="n">
        <v>44749.50649305555</v>
      </c>
      <c r="C276" s="1" t="n">
        <v>45986</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43328-2025</t>
        </is>
      </c>
      <c r="B277" s="1" t="n">
        <v>45910</v>
      </c>
      <c r="C277" s="1" t="n">
        <v>45986</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7681-2021</t>
        </is>
      </c>
      <c r="B278" s="1" t="n">
        <v>44242</v>
      </c>
      <c r="C278" s="1" t="n">
        <v>45986</v>
      </c>
      <c r="D278" t="inlineStr">
        <is>
          <t>VÄSTMANLANDS LÄN</t>
        </is>
      </c>
      <c r="E278" t="inlineStr">
        <is>
          <t>SALA</t>
        </is>
      </c>
      <c r="F278" t="inlineStr">
        <is>
          <t>Sveaskog</t>
        </is>
      </c>
      <c r="G278" t="n">
        <v>16.1</v>
      </c>
      <c r="H278" t="n">
        <v>0</v>
      </c>
      <c r="I278" t="n">
        <v>0</v>
      </c>
      <c r="J278" t="n">
        <v>0</v>
      </c>
      <c r="K278" t="n">
        <v>0</v>
      </c>
      <c r="L278" t="n">
        <v>0</v>
      </c>
      <c r="M278" t="n">
        <v>0</v>
      </c>
      <c r="N278" t="n">
        <v>0</v>
      </c>
      <c r="O278" t="n">
        <v>0</v>
      </c>
      <c r="P278" t="n">
        <v>0</v>
      </c>
      <c r="Q278" t="n">
        <v>0</v>
      </c>
      <c r="R278" s="2" t="inlineStr"/>
    </row>
    <row r="279" ht="15" customHeight="1">
      <c r="A279" t="inlineStr">
        <is>
          <t>A 14919-2025</t>
        </is>
      </c>
      <c r="B279" s="1" t="n">
        <v>45743.54256944444</v>
      </c>
      <c r="C279" s="1" t="n">
        <v>45986</v>
      </c>
      <c r="D279" t="inlineStr">
        <is>
          <t>VÄSTMANLANDS LÄN</t>
        </is>
      </c>
      <c r="E279" t="inlineStr">
        <is>
          <t>SALA</t>
        </is>
      </c>
      <c r="G279" t="n">
        <v>0.6</v>
      </c>
      <c r="H279" t="n">
        <v>0</v>
      </c>
      <c r="I279" t="n">
        <v>0</v>
      </c>
      <c r="J279" t="n">
        <v>0</v>
      </c>
      <c r="K279" t="n">
        <v>0</v>
      </c>
      <c r="L279" t="n">
        <v>0</v>
      </c>
      <c r="M279" t="n">
        <v>0</v>
      </c>
      <c r="N279" t="n">
        <v>0</v>
      </c>
      <c r="O279" t="n">
        <v>0</v>
      </c>
      <c r="P279" t="n">
        <v>0</v>
      </c>
      <c r="Q279" t="n">
        <v>0</v>
      </c>
      <c r="R279" s="2" t="inlineStr"/>
    </row>
    <row r="280" ht="15" customHeight="1">
      <c r="A280" t="inlineStr">
        <is>
          <t>A 14920-2025</t>
        </is>
      </c>
      <c r="B280" s="1" t="n">
        <v>45743</v>
      </c>
      <c r="C280" s="1" t="n">
        <v>45986</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40398-2021</t>
        </is>
      </c>
      <c r="B281" s="1" t="n">
        <v>44419</v>
      </c>
      <c r="C281" s="1" t="n">
        <v>45986</v>
      </c>
      <c r="D281" t="inlineStr">
        <is>
          <t>VÄSTMANLANDS LÄN</t>
        </is>
      </c>
      <c r="E281" t="inlineStr">
        <is>
          <t>SALA</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43362-2023</t>
        </is>
      </c>
      <c r="B282" s="1" t="n">
        <v>45183</v>
      </c>
      <c r="C282" s="1" t="n">
        <v>45986</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26661-2025</t>
        </is>
      </c>
      <c r="B283" s="1" t="n">
        <v>45810</v>
      </c>
      <c r="C283" s="1" t="n">
        <v>45986</v>
      </c>
      <c r="D283" t="inlineStr">
        <is>
          <t>VÄSTMANLANDS LÄN</t>
        </is>
      </c>
      <c r="E283" t="inlineStr">
        <is>
          <t>SALA</t>
        </is>
      </c>
      <c r="G283" t="n">
        <v>3.5</v>
      </c>
      <c r="H283" t="n">
        <v>0</v>
      </c>
      <c r="I283" t="n">
        <v>0</v>
      </c>
      <c r="J283" t="n">
        <v>0</v>
      </c>
      <c r="K283" t="n">
        <v>0</v>
      </c>
      <c r="L283" t="n">
        <v>0</v>
      </c>
      <c r="M283" t="n">
        <v>0</v>
      </c>
      <c r="N283" t="n">
        <v>0</v>
      </c>
      <c r="O283" t="n">
        <v>0</v>
      </c>
      <c r="P283" t="n">
        <v>0</v>
      </c>
      <c r="Q283" t="n">
        <v>0</v>
      </c>
      <c r="R283" s="2" t="inlineStr"/>
    </row>
    <row r="284" ht="15" customHeight="1">
      <c r="A284" t="inlineStr">
        <is>
          <t>A 2900-2023</t>
        </is>
      </c>
      <c r="B284" s="1" t="n">
        <v>44943</v>
      </c>
      <c r="C284" s="1" t="n">
        <v>45986</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6030-2024</t>
        </is>
      </c>
      <c r="B285" s="1" t="n">
        <v>45336.62782407407</v>
      </c>
      <c r="C285" s="1" t="n">
        <v>45986</v>
      </c>
      <c r="D285" t="inlineStr">
        <is>
          <t>VÄSTMANLANDS LÄN</t>
        </is>
      </c>
      <c r="E285" t="inlineStr">
        <is>
          <t>SALA</t>
        </is>
      </c>
      <c r="G285" t="n">
        <v>3.9</v>
      </c>
      <c r="H285" t="n">
        <v>0</v>
      </c>
      <c r="I285" t="n">
        <v>0</v>
      </c>
      <c r="J285" t="n">
        <v>0</v>
      </c>
      <c r="K285" t="n">
        <v>0</v>
      </c>
      <c r="L285" t="n">
        <v>0</v>
      </c>
      <c r="M285" t="n">
        <v>0</v>
      </c>
      <c r="N285" t="n">
        <v>0</v>
      </c>
      <c r="O285" t="n">
        <v>0</v>
      </c>
      <c r="P285" t="n">
        <v>0</v>
      </c>
      <c r="Q285" t="n">
        <v>0</v>
      </c>
      <c r="R285" s="2" t="inlineStr"/>
    </row>
    <row r="286" ht="15" customHeight="1">
      <c r="A286" t="inlineStr">
        <is>
          <t>A 52630-2022</t>
        </is>
      </c>
      <c r="B286" s="1" t="n">
        <v>44874</v>
      </c>
      <c r="C286" s="1" t="n">
        <v>45986</v>
      </c>
      <c r="D286" t="inlineStr">
        <is>
          <t>VÄSTMANLANDS LÄN</t>
        </is>
      </c>
      <c r="E286" t="inlineStr">
        <is>
          <t>SALA</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14690-2025</t>
        </is>
      </c>
      <c r="B287" s="1" t="n">
        <v>45742.58212962963</v>
      </c>
      <c r="C287" s="1" t="n">
        <v>45986</v>
      </c>
      <c r="D287" t="inlineStr">
        <is>
          <t>VÄSTMANLANDS LÄN</t>
        </is>
      </c>
      <c r="E287" t="inlineStr">
        <is>
          <t>SALA</t>
        </is>
      </c>
      <c r="G287" t="n">
        <v>3.4</v>
      </c>
      <c r="H287" t="n">
        <v>0</v>
      </c>
      <c r="I287" t="n">
        <v>0</v>
      </c>
      <c r="J287" t="n">
        <v>0</v>
      </c>
      <c r="K287" t="n">
        <v>0</v>
      </c>
      <c r="L287" t="n">
        <v>0</v>
      </c>
      <c r="M287" t="n">
        <v>0</v>
      </c>
      <c r="N287" t="n">
        <v>0</v>
      </c>
      <c r="O287" t="n">
        <v>0</v>
      </c>
      <c r="P287" t="n">
        <v>0</v>
      </c>
      <c r="Q287" t="n">
        <v>0</v>
      </c>
      <c r="R287" s="2" t="inlineStr"/>
    </row>
    <row r="288" ht="15" customHeight="1">
      <c r="A288" t="inlineStr">
        <is>
          <t>A 44100-2025</t>
        </is>
      </c>
      <c r="B288" s="1" t="n">
        <v>45915.56707175926</v>
      </c>
      <c r="C288" s="1" t="n">
        <v>45986</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2521-2025</t>
        </is>
      </c>
      <c r="B289" s="1" t="n">
        <v>45674</v>
      </c>
      <c r="C289" s="1" t="n">
        <v>45986</v>
      </c>
      <c r="D289" t="inlineStr">
        <is>
          <t>VÄSTMANLANDS LÄN</t>
        </is>
      </c>
      <c r="E289" t="inlineStr">
        <is>
          <t>SALA</t>
        </is>
      </c>
      <c r="G289" t="n">
        <v>3.5</v>
      </c>
      <c r="H289" t="n">
        <v>0</v>
      </c>
      <c r="I289" t="n">
        <v>0</v>
      </c>
      <c r="J289" t="n">
        <v>0</v>
      </c>
      <c r="K289" t="n">
        <v>0</v>
      </c>
      <c r="L289" t="n">
        <v>0</v>
      </c>
      <c r="M289" t="n">
        <v>0</v>
      </c>
      <c r="N289" t="n">
        <v>0</v>
      </c>
      <c r="O289" t="n">
        <v>0</v>
      </c>
      <c r="P289" t="n">
        <v>0</v>
      </c>
      <c r="Q289" t="n">
        <v>0</v>
      </c>
      <c r="R289" s="2" t="inlineStr"/>
    </row>
    <row r="290" ht="15" customHeight="1">
      <c r="A290" t="inlineStr">
        <is>
          <t>A 4736-2021</t>
        </is>
      </c>
      <c r="B290" s="1" t="n">
        <v>44225</v>
      </c>
      <c r="C290" s="1" t="n">
        <v>45986</v>
      </c>
      <c r="D290" t="inlineStr">
        <is>
          <t>VÄSTMANLANDS LÄN</t>
        </is>
      </c>
      <c r="E290" t="inlineStr">
        <is>
          <t>SALA</t>
        </is>
      </c>
      <c r="G290" t="n">
        <v>4.2</v>
      </c>
      <c r="H290" t="n">
        <v>0</v>
      </c>
      <c r="I290" t="n">
        <v>0</v>
      </c>
      <c r="J290" t="n">
        <v>0</v>
      </c>
      <c r="K290" t="n">
        <v>0</v>
      </c>
      <c r="L290" t="n">
        <v>0</v>
      </c>
      <c r="M290" t="n">
        <v>0</v>
      </c>
      <c r="N290" t="n">
        <v>0</v>
      </c>
      <c r="O290" t="n">
        <v>0</v>
      </c>
      <c r="P290" t="n">
        <v>0</v>
      </c>
      <c r="Q290" t="n">
        <v>0</v>
      </c>
      <c r="R290" s="2" t="inlineStr"/>
    </row>
    <row r="291" ht="15" customHeight="1">
      <c r="A291" t="inlineStr">
        <is>
          <t>A 60548-2024</t>
        </is>
      </c>
      <c r="B291" s="1" t="n">
        <v>45643.80978009259</v>
      </c>
      <c r="C291" s="1" t="n">
        <v>45986</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26761-2023</t>
        </is>
      </c>
      <c r="B292" s="1" t="n">
        <v>45093</v>
      </c>
      <c r="C292" s="1" t="n">
        <v>45986</v>
      </c>
      <c r="D292" t="inlineStr">
        <is>
          <t>VÄSTMANLANDS LÄN</t>
        </is>
      </c>
      <c r="E292" t="inlineStr">
        <is>
          <t>SALA</t>
        </is>
      </c>
      <c r="G292" t="n">
        <v>4.3</v>
      </c>
      <c r="H292" t="n">
        <v>0</v>
      </c>
      <c r="I292" t="n">
        <v>0</v>
      </c>
      <c r="J292" t="n">
        <v>0</v>
      </c>
      <c r="K292" t="n">
        <v>0</v>
      </c>
      <c r="L292" t="n">
        <v>0</v>
      </c>
      <c r="M292" t="n">
        <v>0</v>
      </c>
      <c r="N292" t="n">
        <v>0</v>
      </c>
      <c r="O292" t="n">
        <v>0</v>
      </c>
      <c r="P292" t="n">
        <v>0</v>
      </c>
      <c r="Q292" t="n">
        <v>0</v>
      </c>
      <c r="R292" s="2" t="inlineStr"/>
    </row>
    <row r="293" ht="15" customHeight="1">
      <c r="A293" t="inlineStr">
        <is>
          <t>A 55035-2023</t>
        </is>
      </c>
      <c r="B293" s="1" t="n">
        <v>45229</v>
      </c>
      <c r="C293" s="1" t="n">
        <v>45986</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60249-2023</t>
        </is>
      </c>
      <c r="B294" s="1" t="n">
        <v>45258</v>
      </c>
      <c r="C294" s="1" t="n">
        <v>45986</v>
      </c>
      <c r="D294" t="inlineStr">
        <is>
          <t>VÄSTMANLANDS LÄN</t>
        </is>
      </c>
      <c r="E294" t="inlineStr">
        <is>
          <t>SALA</t>
        </is>
      </c>
      <c r="G294" t="n">
        <v>2</v>
      </c>
      <c r="H294" t="n">
        <v>0</v>
      </c>
      <c r="I294" t="n">
        <v>0</v>
      </c>
      <c r="J294" t="n">
        <v>0</v>
      </c>
      <c r="K294" t="n">
        <v>0</v>
      </c>
      <c r="L294" t="n">
        <v>0</v>
      </c>
      <c r="M294" t="n">
        <v>0</v>
      </c>
      <c r="N294" t="n">
        <v>0</v>
      </c>
      <c r="O294" t="n">
        <v>0</v>
      </c>
      <c r="P294" t="n">
        <v>0</v>
      </c>
      <c r="Q294" t="n">
        <v>0</v>
      </c>
      <c r="R294" s="2" t="inlineStr"/>
    </row>
    <row r="295" ht="15" customHeight="1">
      <c r="A295" t="inlineStr">
        <is>
          <t>A 44524-2025</t>
        </is>
      </c>
      <c r="B295" s="1" t="n">
        <v>45916.72920138889</v>
      </c>
      <c r="C295" s="1" t="n">
        <v>45986</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44486-2025</t>
        </is>
      </c>
      <c r="B296" s="1" t="n">
        <v>45916.65517361111</v>
      </c>
      <c r="C296" s="1" t="n">
        <v>45986</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27989-2025</t>
        </is>
      </c>
      <c r="B297" s="1" t="n">
        <v>45817.58716435185</v>
      </c>
      <c r="C297" s="1" t="n">
        <v>45986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27981-2025</t>
        </is>
      </c>
      <c r="B298" s="1" t="n">
        <v>45817.57471064815</v>
      </c>
      <c r="C298" s="1" t="n">
        <v>45986</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45177-2025</t>
        </is>
      </c>
      <c r="B299" s="1" t="n">
        <v>45919.52444444445</v>
      </c>
      <c r="C299" s="1" t="n">
        <v>45986</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28193-2025</t>
        </is>
      </c>
      <c r="B300" s="1" t="n">
        <v>45818.425625</v>
      </c>
      <c r="C300" s="1" t="n">
        <v>45986</v>
      </c>
      <c r="D300" t="inlineStr">
        <is>
          <t>VÄSTMANLANDS LÄN</t>
        </is>
      </c>
      <c r="E300" t="inlineStr">
        <is>
          <t>SALA</t>
        </is>
      </c>
      <c r="G300" t="n">
        <v>1.8</v>
      </c>
      <c r="H300" t="n">
        <v>0</v>
      </c>
      <c r="I300" t="n">
        <v>0</v>
      </c>
      <c r="J300" t="n">
        <v>0</v>
      </c>
      <c r="K300" t="n">
        <v>0</v>
      </c>
      <c r="L300" t="n">
        <v>0</v>
      </c>
      <c r="M300" t="n">
        <v>0</v>
      </c>
      <c r="N300" t="n">
        <v>0</v>
      </c>
      <c r="O300" t="n">
        <v>0</v>
      </c>
      <c r="P300" t="n">
        <v>0</v>
      </c>
      <c r="Q300" t="n">
        <v>0</v>
      </c>
      <c r="R300" s="2" t="inlineStr"/>
    </row>
    <row r="301" ht="15" customHeight="1">
      <c r="A301" t="inlineStr">
        <is>
          <t>A 31597-2024</t>
        </is>
      </c>
      <c r="B301" s="1" t="n">
        <v>45506</v>
      </c>
      <c r="C301" s="1" t="n">
        <v>45986</v>
      </c>
      <c r="D301" t="inlineStr">
        <is>
          <t>VÄSTMANLANDS LÄN</t>
        </is>
      </c>
      <c r="E301" t="inlineStr">
        <is>
          <t>SALA</t>
        </is>
      </c>
      <c r="G301" t="n">
        <v>2.4</v>
      </c>
      <c r="H301" t="n">
        <v>0</v>
      </c>
      <c r="I301" t="n">
        <v>0</v>
      </c>
      <c r="J301" t="n">
        <v>0</v>
      </c>
      <c r="K301" t="n">
        <v>0</v>
      </c>
      <c r="L301" t="n">
        <v>0</v>
      </c>
      <c r="M301" t="n">
        <v>0</v>
      </c>
      <c r="N301" t="n">
        <v>0</v>
      </c>
      <c r="O301" t="n">
        <v>0</v>
      </c>
      <c r="P301" t="n">
        <v>0</v>
      </c>
      <c r="Q301" t="n">
        <v>0</v>
      </c>
      <c r="R301" s="2" t="inlineStr"/>
    </row>
    <row r="302" ht="15" customHeight="1">
      <c r="A302" t="inlineStr">
        <is>
          <t>A 31599-2024</t>
        </is>
      </c>
      <c r="B302" s="1" t="n">
        <v>45506</v>
      </c>
      <c r="C302" s="1" t="n">
        <v>45986</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31601-2024</t>
        </is>
      </c>
      <c r="B303" s="1" t="n">
        <v>45506</v>
      </c>
      <c r="C303" s="1" t="n">
        <v>45986</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31608-2024</t>
        </is>
      </c>
      <c r="B304" s="1" t="n">
        <v>45506</v>
      </c>
      <c r="C304" s="1" t="n">
        <v>45986</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31612-2024</t>
        </is>
      </c>
      <c r="B305" s="1" t="n">
        <v>45506</v>
      </c>
      <c r="C305" s="1" t="n">
        <v>45986</v>
      </c>
      <c r="D305" t="inlineStr">
        <is>
          <t>VÄSTMANLANDS LÄN</t>
        </is>
      </c>
      <c r="E305" t="inlineStr">
        <is>
          <t>SALA</t>
        </is>
      </c>
      <c r="G305" t="n">
        <v>3.2</v>
      </c>
      <c r="H305" t="n">
        <v>0</v>
      </c>
      <c r="I305" t="n">
        <v>0</v>
      </c>
      <c r="J305" t="n">
        <v>0</v>
      </c>
      <c r="K305" t="n">
        <v>0</v>
      </c>
      <c r="L305" t="n">
        <v>0</v>
      </c>
      <c r="M305" t="n">
        <v>0</v>
      </c>
      <c r="N305" t="n">
        <v>0</v>
      </c>
      <c r="O305" t="n">
        <v>0</v>
      </c>
      <c r="P305" t="n">
        <v>0</v>
      </c>
      <c r="Q305" t="n">
        <v>0</v>
      </c>
      <c r="R305" s="2" t="inlineStr"/>
    </row>
    <row r="306" ht="15" customHeight="1">
      <c r="A306" t="inlineStr">
        <is>
          <t>A 28284-2025</t>
        </is>
      </c>
      <c r="B306" s="1" t="n">
        <v>45818.58893518519</v>
      </c>
      <c r="C306" s="1" t="n">
        <v>45986</v>
      </c>
      <c r="D306" t="inlineStr">
        <is>
          <t>VÄSTMANLANDS LÄN</t>
        </is>
      </c>
      <c r="E306" t="inlineStr">
        <is>
          <t>SALA</t>
        </is>
      </c>
      <c r="G306" t="n">
        <v>2.4</v>
      </c>
      <c r="H306" t="n">
        <v>0</v>
      </c>
      <c r="I306" t="n">
        <v>0</v>
      </c>
      <c r="J306" t="n">
        <v>0</v>
      </c>
      <c r="K306" t="n">
        <v>0</v>
      </c>
      <c r="L306" t="n">
        <v>0</v>
      </c>
      <c r="M306" t="n">
        <v>0</v>
      </c>
      <c r="N306" t="n">
        <v>0</v>
      </c>
      <c r="O306" t="n">
        <v>0</v>
      </c>
      <c r="P306" t="n">
        <v>0</v>
      </c>
      <c r="Q306" t="n">
        <v>0</v>
      </c>
      <c r="R306" s="2" t="inlineStr"/>
    </row>
    <row r="307" ht="15" customHeight="1">
      <c r="A307" t="inlineStr">
        <is>
          <t>A 52500-2024</t>
        </is>
      </c>
      <c r="B307" s="1" t="n">
        <v>45609</v>
      </c>
      <c r="C307" s="1" t="n">
        <v>45986</v>
      </c>
      <c r="D307" t="inlineStr">
        <is>
          <t>VÄSTMANLANDS LÄN</t>
        </is>
      </c>
      <c r="E307" t="inlineStr">
        <is>
          <t>SALA</t>
        </is>
      </c>
      <c r="G307" t="n">
        <v>1.3</v>
      </c>
      <c r="H307" t="n">
        <v>0</v>
      </c>
      <c r="I307" t="n">
        <v>0</v>
      </c>
      <c r="J307" t="n">
        <v>0</v>
      </c>
      <c r="K307" t="n">
        <v>0</v>
      </c>
      <c r="L307" t="n">
        <v>0</v>
      </c>
      <c r="M307" t="n">
        <v>0</v>
      </c>
      <c r="N307" t="n">
        <v>0</v>
      </c>
      <c r="O307" t="n">
        <v>0</v>
      </c>
      <c r="P307" t="n">
        <v>0</v>
      </c>
      <c r="Q307" t="n">
        <v>0</v>
      </c>
      <c r="R307" s="2" t="inlineStr"/>
    </row>
    <row r="308" ht="15" customHeight="1">
      <c r="A308" t="inlineStr">
        <is>
          <t>A 28278-2025</t>
        </is>
      </c>
      <c r="B308" s="1" t="n">
        <v>45818.58454861111</v>
      </c>
      <c r="C308" s="1" t="n">
        <v>45986</v>
      </c>
      <c r="D308" t="inlineStr">
        <is>
          <t>VÄSTMANLANDS LÄN</t>
        </is>
      </c>
      <c r="E308" t="inlineStr">
        <is>
          <t>SALA</t>
        </is>
      </c>
      <c r="G308" t="n">
        <v>7.6</v>
      </c>
      <c r="H308" t="n">
        <v>0</v>
      </c>
      <c r="I308" t="n">
        <v>0</v>
      </c>
      <c r="J308" t="n">
        <v>0</v>
      </c>
      <c r="K308" t="n">
        <v>0</v>
      </c>
      <c r="L308" t="n">
        <v>0</v>
      </c>
      <c r="M308" t="n">
        <v>0</v>
      </c>
      <c r="N308" t="n">
        <v>0</v>
      </c>
      <c r="O308" t="n">
        <v>0</v>
      </c>
      <c r="P308" t="n">
        <v>0</v>
      </c>
      <c r="Q308" t="n">
        <v>0</v>
      </c>
      <c r="R308" s="2" t="inlineStr"/>
    </row>
    <row r="309" ht="15" customHeight="1">
      <c r="A309" t="inlineStr">
        <is>
          <t>A 28628-2025</t>
        </is>
      </c>
      <c r="B309" s="1" t="n">
        <v>45819.62158564815</v>
      </c>
      <c r="C309" s="1" t="n">
        <v>45986</v>
      </c>
      <c r="D309" t="inlineStr">
        <is>
          <t>VÄSTMANLANDS LÄN</t>
        </is>
      </c>
      <c r="E309" t="inlineStr">
        <is>
          <t>SALA</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53724-2025</t>
        </is>
      </c>
      <c r="B310" s="1" t="n">
        <v>45960.63174768518</v>
      </c>
      <c r="C310" s="1" t="n">
        <v>45986</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56949-2023</t>
        </is>
      </c>
      <c r="B311" s="1" t="n">
        <v>45244.61589120371</v>
      </c>
      <c r="C311" s="1" t="n">
        <v>45986</v>
      </c>
      <c r="D311" t="inlineStr">
        <is>
          <t>VÄSTMANLANDS LÄN</t>
        </is>
      </c>
      <c r="E311" t="inlineStr">
        <is>
          <t>SALA</t>
        </is>
      </c>
      <c r="G311" t="n">
        <v>4.7</v>
      </c>
      <c r="H311" t="n">
        <v>0</v>
      </c>
      <c r="I311" t="n">
        <v>0</v>
      </c>
      <c r="J311" t="n">
        <v>0</v>
      </c>
      <c r="K311" t="n">
        <v>0</v>
      </c>
      <c r="L311" t="n">
        <v>0</v>
      </c>
      <c r="M311" t="n">
        <v>0</v>
      </c>
      <c r="N311" t="n">
        <v>0</v>
      </c>
      <c r="O311" t="n">
        <v>0</v>
      </c>
      <c r="P311" t="n">
        <v>0</v>
      </c>
      <c r="Q311" t="n">
        <v>0</v>
      </c>
      <c r="R311" s="2" t="inlineStr"/>
    </row>
    <row r="312" ht="15" customHeight="1">
      <c r="A312" t="inlineStr">
        <is>
          <t>A 28632-2025</t>
        </is>
      </c>
      <c r="B312" s="1" t="n">
        <v>45819.62344907408</v>
      </c>
      <c r="C312" s="1" t="n">
        <v>45986</v>
      </c>
      <c r="D312" t="inlineStr">
        <is>
          <t>VÄSTMANLANDS LÄN</t>
        </is>
      </c>
      <c r="E312" t="inlineStr">
        <is>
          <t>SALA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28630-2025</t>
        </is>
      </c>
      <c r="B313" s="1" t="n">
        <v>45819.62274305556</v>
      </c>
      <c r="C313" s="1" t="n">
        <v>45986</v>
      </c>
      <c r="D313" t="inlineStr">
        <is>
          <t>VÄSTMANLANDS LÄN</t>
        </is>
      </c>
      <c r="E313" t="inlineStr">
        <is>
          <t>SALA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43122-2025</t>
        </is>
      </c>
      <c r="B314" s="1" t="n">
        <v>45909</v>
      </c>
      <c r="C314" s="1" t="n">
        <v>45986</v>
      </c>
      <c r="D314" t="inlineStr">
        <is>
          <t>VÄSTMANLANDS LÄN</t>
        </is>
      </c>
      <c r="E314" t="inlineStr">
        <is>
          <t>SALA</t>
        </is>
      </c>
      <c r="G314" t="n">
        <v>3.2</v>
      </c>
      <c r="H314" t="n">
        <v>0</v>
      </c>
      <c r="I314" t="n">
        <v>0</v>
      </c>
      <c r="J314" t="n">
        <v>0</v>
      </c>
      <c r="K314" t="n">
        <v>0</v>
      </c>
      <c r="L314" t="n">
        <v>0</v>
      </c>
      <c r="M314" t="n">
        <v>0</v>
      </c>
      <c r="N314" t="n">
        <v>0</v>
      </c>
      <c r="O314" t="n">
        <v>0</v>
      </c>
      <c r="P314" t="n">
        <v>0</v>
      </c>
      <c r="Q314" t="n">
        <v>0</v>
      </c>
      <c r="R314" s="2" t="inlineStr"/>
    </row>
    <row r="315" ht="15" customHeight="1">
      <c r="A315" t="inlineStr">
        <is>
          <t>A 53744-2025</t>
        </is>
      </c>
      <c r="B315" s="1" t="n">
        <v>45960.64863425926</v>
      </c>
      <c r="C315" s="1" t="n">
        <v>45986</v>
      </c>
      <c r="D315" t="inlineStr">
        <is>
          <t>VÄSTMANLANDS LÄN</t>
        </is>
      </c>
      <c r="E315" t="inlineStr">
        <is>
          <t>SALA</t>
        </is>
      </c>
      <c r="G315" t="n">
        <v>2</v>
      </c>
      <c r="H315" t="n">
        <v>0</v>
      </c>
      <c r="I315" t="n">
        <v>0</v>
      </c>
      <c r="J315" t="n">
        <v>0</v>
      </c>
      <c r="K315" t="n">
        <v>0</v>
      </c>
      <c r="L315" t="n">
        <v>0</v>
      </c>
      <c r="M315" t="n">
        <v>0</v>
      </c>
      <c r="N315" t="n">
        <v>0</v>
      </c>
      <c r="O315" t="n">
        <v>0</v>
      </c>
      <c r="P315" t="n">
        <v>0</v>
      </c>
      <c r="Q315" t="n">
        <v>0</v>
      </c>
      <c r="R315" s="2" t="inlineStr"/>
    </row>
    <row r="316" ht="15" customHeight="1">
      <c r="A316" t="inlineStr">
        <is>
          <t>A 53725-2025</t>
        </is>
      </c>
      <c r="B316" s="1" t="n">
        <v>45960.63394675926</v>
      </c>
      <c r="C316" s="1" t="n">
        <v>45986</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96-2024</t>
        </is>
      </c>
      <c r="B317" s="1" t="n">
        <v>45293.85872685185</v>
      </c>
      <c r="C317" s="1" t="n">
        <v>45986</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28837-2025</t>
        </is>
      </c>
      <c r="B318" s="1" t="n">
        <v>45820.56243055555</v>
      </c>
      <c r="C318" s="1" t="n">
        <v>45986</v>
      </c>
      <c r="D318" t="inlineStr">
        <is>
          <t>VÄSTMANLANDS LÄN</t>
        </is>
      </c>
      <c r="E318" t="inlineStr">
        <is>
          <t>SALA</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28849-2025</t>
        </is>
      </c>
      <c r="B319" s="1" t="n">
        <v>45820</v>
      </c>
      <c r="C319" s="1" t="n">
        <v>45986</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54118-2023</t>
        </is>
      </c>
      <c r="B320" s="1" t="n">
        <v>45232</v>
      </c>
      <c r="C320" s="1" t="n">
        <v>45986</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54344-2025</t>
        </is>
      </c>
      <c r="B321" s="1" t="n">
        <v>45965.36462962963</v>
      </c>
      <c r="C321" s="1" t="n">
        <v>45986</v>
      </c>
      <c r="D321" t="inlineStr">
        <is>
          <t>VÄSTMANLANDS LÄN</t>
        </is>
      </c>
      <c r="E321" t="inlineStr">
        <is>
          <t>SALA</t>
        </is>
      </c>
      <c r="G321" t="n">
        <v>2</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45986</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54590-2025</t>
        </is>
      </c>
      <c r="B323" s="1" t="n">
        <v>45965.74199074074</v>
      </c>
      <c r="C323" s="1" t="n">
        <v>45986</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29085-2025</t>
        </is>
      </c>
      <c r="B324" s="1" t="n">
        <v>45821</v>
      </c>
      <c r="C324" s="1" t="n">
        <v>45986</v>
      </c>
      <c r="D324" t="inlineStr">
        <is>
          <t>VÄSTMANLANDS LÄN</t>
        </is>
      </c>
      <c r="E324" t="inlineStr">
        <is>
          <t>SALA</t>
        </is>
      </c>
      <c r="G324" t="n">
        <v>3.5</v>
      </c>
      <c r="H324" t="n">
        <v>0</v>
      </c>
      <c r="I324" t="n">
        <v>0</v>
      </c>
      <c r="J324" t="n">
        <v>0</v>
      </c>
      <c r="K324" t="n">
        <v>0</v>
      </c>
      <c r="L324" t="n">
        <v>0</v>
      </c>
      <c r="M324" t="n">
        <v>0</v>
      </c>
      <c r="N324" t="n">
        <v>0</v>
      </c>
      <c r="O324" t="n">
        <v>0</v>
      </c>
      <c r="P324" t="n">
        <v>0</v>
      </c>
      <c r="Q324" t="n">
        <v>0</v>
      </c>
      <c r="R324" s="2" t="inlineStr"/>
    </row>
    <row r="325" ht="15" customHeight="1">
      <c r="A325" t="inlineStr">
        <is>
          <t>A 25748-2022</t>
        </is>
      </c>
      <c r="B325" s="1" t="n">
        <v>44732</v>
      </c>
      <c r="C325" s="1" t="n">
        <v>45986</v>
      </c>
      <c r="D325" t="inlineStr">
        <is>
          <t>VÄSTMANLANDS LÄN</t>
        </is>
      </c>
      <c r="E325" t="inlineStr">
        <is>
          <t>SALA</t>
        </is>
      </c>
      <c r="G325" t="n">
        <v>7.7</v>
      </c>
      <c r="H325" t="n">
        <v>0</v>
      </c>
      <c r="I325" t="n">
        <v>0</v>
      </c>
      <c r="J325" t="n">
        <v>0</v>
      </c>
      <c r="K325" t="n">
        <v>0</v>
      </c>
      <c r="L325" t="n">
        <v>0</v>
      </c>
      <c r="M325" t="n">
        <v>0</v>
      </c>
      <c r="N325" t="n">
        <v>0</v>
      </c>
      <c r="O325" t="n">
        <v>0</v>
      </c>
      <c r="P325" t="n">
        <v>0</v>
      </c>
      <c r="Q325" t="n">
        <v>0</v>
      </c>
      <c r="R325" s="2" t="inlineStr"/>
    </row>
    <row r="326" ht="15" customHeight="1">
      <c r="A326" t="inlineStr">
        <is>
          <t>A 54201-2025</t>
        </is>
      </c>
      <c r="B326" s="1" t="n">
        <v>45964.58055555556</v>
      </c>
      <c r="C326" s="1" t="n">
        <v>45986</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45371-2025</t>
        </is>
      </c>
      <c r="B327" s="1" t="n">
        <v>45922.39001157408</v>
      </c>
      <c r="C327" s="1" t="n">
        <v>45986</v>
      </c>
      <c r="D327" t="inlineStr">
        <is>
          <t>VÄSTMANLANDS LÄN</t>
        </is>
      </c>
      <c r="E327" t="inlineStr">
        <is>
          <t>SALA</t>
        </is>
      </c>
      <c r="G327" t="n">
        <v>2.1</v>
      </c>
      <c r="H327" t="n">
        <v>0</v>
      </c>
      <c r="I327" t="n">
        <v>0</v>
      </c>
      <c r="J327" t="n">
        <v>0</v>
      </c>
      <c r="K327" t="n">
        <v>0</v>
      </c>
      <c r="L327" t="n">
        <v>0</v>
      </c>
      <c r="M327" t="n">
        <v>0</v>
      </c>
      <c r="N327" t="n">
        <v>0</v>
      </c>
      <c r="O327" t="n">
        <v>0</v>
      </c>
      <c r="P327" t="n">
        <v>0</v>
      </c>
      <c r="Q327" t="n">
        <v>0</v>
      </c>
      <c r="R327" s="2" t="inlineStr"/>
    </row>
    <row r="328" ht="15" customHeight="1">
      <c r="A328" t="inlineStr">
        <is>
          <t>A 3733-2023</t>
        </is>
      </c>
      <c r="B328" s="1" t="n">
        <v>44951.42501157407</v>
      </c>
      <c r="C328" s="1" t="n">
        <v>45986</v>
      </c>
      <c r="D328" t="inlineStr">
        <is>
          <t>VÄSTMANLANDS LÄN</t>
        </is>
      </c>
      <c r="E328" t="inlineStr">
        <is>
          <t>SALA</t>
        </is>
      </c>
      <c r="G328" t="n">
        <v>3.1</v>
      </c>
      <c r="H328" t="n">
        <v>0</v>
      </c>
      <c r="I328" t="n">
        <v>0</v>
      </c>
      <c r="J328" t="n">
        <v>0</v>
      </c>
      <c r="K328" t="n">
        <v>0</v>
      </c>
      <c r="L328" t="n">
        <v>0</v>
      </c>
      <c r="M328" t="n">
        <v>0</v>
      </c>
      <c r="N328" t="n">
        <v>0</v>
      </c>
      <c r="O328" t="n">
        <v>0</v>
      </c>
      <c r="P328" t="n">
        <v>0</v>
      </c>
      <c r="Q328" t="n">
        <v>0</v>
      </c>
      <c r="R328" s="2" t="inlineStr"/>
    </row>
    <row r="329" ht="15" customHeight="1">
      <c r="A329" t="inlineStr">
        <is>
          <t>A 6136-2025</t>
        </is>
      </c>
      <c r="B329" s="1" t="n">
        <v>45698.37601851852</v>
      </c>
      <c r="C329" s="1" t="n">
        <v>45986</v>
      </c>
      <c r="D329" t="inlineStr">
        <is>
          <t>VÄSTMANLANDS LÄN</t>
        </is>
      </c>
      <c r="E329" t="inlineStr">
        <is>
          <t>SALA</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6190-2025</t>
        </is>
      </c>
      <c r="B330" s="1" t="n">
        <v>45698</v>
      </c>
      <c r="C330" s="1" t="n">
        <v>45986</v>
      </c>
      <c r="D330" t="inlineStr">
        <is>
          <t>VÄSTMANLANDS LÄN</t>
        </is>
      </c>
      <c r="E330" t="inlineStr">
        <is>
          <t>SALA</t>
        </is>
      </c>
      <c r="F330" t="inlineStr">
        <is>
          <t>Bergvik skog öst AB</t>
        </is>
      </c>
      <c r="G330" t="n">
        <v>4.6</v>
      </c>
      <c r="H330" t="n">
        <v>0</v>
      </c>
      <c r="I330" t="n">
        <v>0</v>
      </c>
      <c r="J330" t="n">
        <v>0</v>
      </c>
      <c r="K330" t="n">
        <v>0</v>
      </c>
      <c r="L330" t="n">
        <v>0</v>
      </c>
      <c r="M330" t="n">
        <v>0</v>
      </c>
      <c r="N330" t="n">
        <v>0</v>
      </c>
      <c r="O330" t="n">
        <v>0</v>
      </c>
      <c r="P330" t="n">
        <v>0</v>
      </c>
      <c r="Q330" t="n">
        <v>0</v>
      </c>
      <c r="R330" s="2" t="inlineStr"/>
    </row>
    <row r="331" ht="15" customHeight="1">
      <c r="A331" t="inlineStr">
        <is>
          <t>A 16760-2024</t>
        </is>
      </c>
      <c r="B331" s="1" t="n">
        <v>45411</v>
      </c>
      <c r="C331" s="1" t="n">
        <v>45986</v>
      </c>
      <c r="D331" t="inlineStr">
        <is>
          <t>VÄSTMANLANDS LÄN</t>
        </is>
      </c>
      <c r="E331" t="inlineStr">
        <is>
          <t>SALA</t>
        </is>
      </c>
      <c r="G331" t="n">
        <v>2.6</v>
      </c>
      <c r="H331" t="n">
        <v>0</v>
      </c>
      <c r="I331" t="n">
        <v>0</v>
      </c>
      <c r="J331" t="n">
        <v>0</v>
      </c>
      <c r="K331" t="n">
        <v>0</v>
      </c>
      <c r="L331" t="n">
        <v>0</v>
      </c>
      <c r="M331" t="n">
        <v>0</v>
      </c>
      <c r="N331" t="n">
        <v>0</v>
      </c>
      <c r="O331" t="n">
        <v>0</v>
      </c>
      <c r="P331" t="n">
        <v>0</v>
      </c>
      <c r="Q331" t="n">
        <v>0</v>
      </c>
      <c r="R331" s="2" t="inlineStr"/>
    </row>
    <row r="332" ht="15" customHeight="1">
      <c r="A332" t="inlineStr">
        <is>
          <t>A 29691-2025</t>
        </is>
      </c>
      <c r="B332" s="1" t="n">
        <v>45825.53645833334</v>
      </c>
      <c r="C332" s="1" t="n">
        <v>45986</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60541-2024</t>
        </is>
      </c>
      <c r="B333" s="1" t="n">
        <v>45643</v>
      </c>
      <c r="C333" s="1" t="n">
        <v>45986</v>
      </c>
      <c r="D333" t="inlineStr">
        <is>
          <t>VÄSTMANLANDS LÄN</t>
        </is>
      </c>
      <c r="E333" t="inlineStr">
        <is>
          <t>SALA</t>
        </is>
      </c>
      <c r="G333" t="n">
        <v>10.6</v>
      </c>
      <c r="H333" t="n">
        <v>0</v>
      </c>
      <c r="I333" t="n">
        <v>0</v>
      </c>
      <c r="J333" t="n">
        <v>0</v>
      </c>
      <c r="K333" t="n">
        <v>0</v>
      </c>
      <c r="L333" t="n">
        <v>0</v>
      </c>
      <c r="M333" t="n">
        <v>0</v>
      </c>
      <c r="N333" t="n">
        <v>0</v>
      </c>
      <c r="O333" t="n">
        <v>0</v>
      </c>
      <c r="P333" t="n">
        <v>0</v>
      </c>
      <c r="Q333" t="n">
        <v>0</v>
      </c>
      <c r="R333" s="2" t="inlineStr"/>
    </row>
    <row r="334" ht="15" customHeight="1">
      <c r="A334" t="inlineStr">
        <is>
          <t>A 54893-2025</t>
        </is>
      </c>
      <c r="B334" s="1" t="n">
        <v>45967.36383101852</v>
      </c>
      <c r="C334" s="1" t="n">
        <v>45986</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45914-2025</t>
        </is>
      </c>
      <c r="B335" s="1" t="n">
        <v>45923.82582175926</v>
      </c>
      <c r="C335" s="1" t="n">
        <v>45986</v>
      </c>
      <c r="D335" t="inlineStr">
        <is>
          <t>VÄSTMANLANDS LÄN</t>
        </is>
      </c>
      <c r="E335" t="inlineStr">
        <is>
          <t>SALA</t>
        </is>
      </c>
      <c r="F335" t="inlineStr">
        <is>
          <t>Kommuner</t>
        </is>
      </c>
      <c r="G335" t="n">
        <v>18.2</v>
      </c>
      <c r="H335" t="n">
        <v>0</v>
      </c>
      <c r="I335" t="n">
        <v>0</v>
      </c>
      <c r="J335" t="n">
        <v>0</v>
      </c>
      <c r="K335" t="n">
        <v>0</v>
      </c>
      <c r="L335" t="n">
        <v>0</v>
      </c>
      <c r="M335" t="n">
        <v>0</v>
      </c>
      <c r="N335" t="n">
        <v>0</v>
      </c>
      <c r="O335" t="n">
        <v>0</v>
      </c>
      <c r="P335" t="n">
        <v>0</v>
      </c>
      <c r="Q335" t="n">
        <v>0</v>
      </c>
      <c r="R335" s="2" t="inlineStr"/>
    </row>
    <row r="336" ht="15" customHeight="1">
      <c r="A336" t="inlineStr">
        <is>
          <t>A 6127-2025</t>
        </is>
      </c>
      <c r="B336" s="1" t="n">
        <v>45698</v>
      </c>
      <c r="C336" s="1" t="n">
        <v>45986</v>
      </c>
      <c r="D336" t="inlineStr">
        <is>
          <t>VÄSTMANLANDS LÄN</t>
        </is>
      </c>
      <c r="E336" t="inlineStr">
        <is>
          <t>SALA</t>
        </is>
      </c>
      <c r="F336" t="inlineStr">
        <is>
          <t>Bergvik skog öst AB</t>
        </is>
      </c>
      <c r="G336" t="n">
        <v>4.3</v>
      </c>
      <c r="H336" t="n">
        <v>0</v>
      </c>
      <c r="I336" t="n">
        <v>0</v>
      </c>
      <c r="J336" t="n">
        <v>0</v>
      </c>
      <c r="K336" t="n">
        <v>0</v>
      </c>
      <c r="L336" t="n">
        <v>0</v>
      </c>
      <c r="M336" t="n">
        <v>0</v>
      </c>
      <c r="N336" t="n">
        <v>0</v>
      </c>
      <c r="O336" t="n">
        <v>0</v>
      </c>
      <c r="P336" t="n">
        <v>0</v>
      </c>
      <c r="Q336" t="n">
        <v>0</v>
      </c>
      <c r="R336" s="2" t="inlineStr"/>
    </row>
    <row r="337" ht="15" customHeight="1">
      <c r="A337" t="inlineStr">
        <is>
          <t>A 988-2025</t>
        </is>
      </c>
      <c r="B337" s="1" t="n">
        <v>45666.44038194444</v>
      </c>
      <c r="C337" s="1" t="n">
        <v>45986</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60328-2024</t>
        </is>
      </c>
      <c r="B338" s="1" t="n">
        <v>45643.38416666666</v>
      </c>
      <c r="C338" s="1" t="n">
        <v>45986</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45909-2025</t>
        </is>
      </c>
      <c r="B339" s="1" t="n">
        <v>45923.75078703704</v>
      </c>
      <c r="C339" s="1" t="n">
        <v>45986</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35016-2024</t>
        </is>
      </c>
      <c r="B340" s="1" t="n">
        <v>45527.59115740741</v>
      </c>
      <c r="C340" s="1" t="n">
        <v>45986</v>
      </c>
      <c r="D340" t="inlineStr">
        <is>
          <t>VÄSTMANLANDS LÄN</t>
        </is>
      </c>
      <c r="E340" t="inlineStr">
        <is>
          <t>SALA</t>
        </is>
      </c>
      <c r="G340" t="n">
        <v>0.4</v>
      </c>
      <c r="H340" t="n">
        <v>0</v>
      </c>
      <c r="I340" t="n">
        <v>0</v>
      </c>
      <c r="J340" t="n">
        <v>0</v>
      </c>
      <c r="K340" t="n">
        <v>0</v>
      </c>
      <c r="L340" t="n">
        <v>0</v>
      </c>
      <c r="M340" t="n">
        <v>0</v>
      </c>
      <c r="N340" t="n">
        <v>0</v>
      </c>
      <c r="O340" t="n">
        <v>0</v>
      </c>
      <c r="P340" t="n">
        <v>0</v>
      </c>
      <c r="Q340" t="n">
        <v>0</v>
      </c>
      <c r="R340" s="2" t="inlineStr"/>
    </row>
    <row r="341" ht="15" customHeight="1">
      <c r="A341" t="inlineStr">
        <is>
          <t>A 25897-2024</t>
        </is>
      </c>
      <c r="B341" s="1" t="n">
        <v>45467.54435185185</v>
      </c>
      <c r="C341" s="1" t="n">
        <v>45986</v>
      </c>
      <c r="D341" t="inlineStr">
        <is>
          <t>VÄSTMANLANDS LÄN</t>
        </is>
      </c>
      <c r="E341" t="inlineStr">
        <is>
          <t>SALA</t>
        </is>
      </c>
      <c r="G341" t="n">
        <v>9.9</v>
      </c>
      <c r="H341" t="n">
        <v>0</v>
      </c>
      <c r="I341" t="n">
        <v>0</v>
      </c>
      <c r="J341" t="n">
        <v>0</v>
      </c>
      <c r="K341" t="n">
        <v>0</v>
      </c>
      <c r="L341" t="n">
        <v>0</v>
      </c>
      <c r="M341" t="n">
        <v>0</v>
      </c>
      <c r="N341" t="n">
        <v>0</v>
      </c>
      <c r="O341" t="n">
        <v>0</v>
      </c>
      <c r="P341" t="n">
        <v>0</v>
      </c>
      <c r="Q341" t="n">
        <v>0</v>
      </c>
      <c r="R341" s="2" t="inlineStr"/>
    </row>
    <row r="342" ht="15" customHeight="1">
      <c r="A342" t="inlineStr">
        <is>
          <t>A 29826-2025</t>
        </is>
      </c>
      <c r="B342" s="1" t="n">
        <v>45825.85761574074</v>
      </c>
      <c r="C342" s="1" t="n">
        <v>45986</v>
      </c>
      <c r="D342" t="inlineStr">
        <is>
          <t>VÄSTMANLANDS LÄN</t>
        </is>
      </c>
      <c r="E342" t="inlineStr">
        <is>
          <t>SALA</t>
        </is>
      </c>
      <c r="G342" t="n">
        <v>1.9</v>
      </c>
      <c r="H342" t="n">
        <v>0</v>
      </c>
      <c r="I342" t="n">
        <v>0</v>
      </c>
      <c r="J342" t="n">
        <v>0</v>
      </c>
      <c r="K342" t="n">
        <v>0</v>
      </c>
      <c r="L342" t="n">
        <v>0</v>
      </c>
      <c r="M342" t="n">
        <v>0</v>
      </c>
      <c r="N342" t="n">
        <v>0</v>
      </c>
      <c r="O342" t="n">
        <v>0</v>
      </c>
      <c r="P342" t="n">
        <v>0</v>
      </c>
      <c r="Q342" t="n">
        <v>0</v>
      </c>
      <c r="R342" s="2" t="inlineStr"/>
    </row>
    <row r="343" ht="15" customHeight="1">
      <c r="A343" t="inlineStr">
        <is>
          <t>A 31072-2021</t>
        </is>
      </c>
      <c r="B343" s="1" t="n">
        <v>44368</v>
      </c>
      <c r="C343" s="1" t="n">
        <v>45986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57371-2022</t>
        </is>
      </c>
      <c r="B344" s="1" t="n">
        <v>44896.43832175926</v>
      </c>
      <c r="C344" s="1" t="n">
        <v>45986</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22019-2021</t>
        </is>
      </c>
      <c r="B345" s="1" t="n">
        <v>44323</v>
      </c>
      <c r="C345" s="1" t="n">
        <v>45986</v>
      </c>
      <c r="D345" t="inlineStr">
        <is>
          <t>VÄSTMANLANDS LÄN</t>
        </is>
      </c>
      <c r="E345" t="inlineStr">
        <is>
          <t>SALA</t>
        </is>
      </c>
      <c r="G345" t="n">
        <v>1.9</v>
      </c>
      <c r="H345" t="n">
        <v>0</v>
      </c>
      <c r="I345" t="n">
        <v>0</v>
      </c>
      <c r="J345" t="n">
        <v>0</v>
      </c>
      <c r="K345" t="n">
        <v>0</v>
      </c>
      <c r="L345" t="n">
        <v>0</v>
      </c>
      <c r="M345" t="n">
        <v>0</v>
      </c>
      <c r="N345" t="n">
        <v>0</v>
      </c>
      <c r="O345" t="n">
        <v>0</v>
      </c>
      <c r="P345" t="n">
        <v>0</v>
      </c>
      <c r="Q345" t="n">
        <v>0</v>
      </c>
      <c r="R345" s="2" t="inlineStr"/>
    </row>
    <row r="346" ht="15" customHeight="1">
      <c r="A346" t="inlineStr">
        <is>
          <t>A 55784-2024</t>
        </is>
      </c>
      <c r="B346" s="1" t="n">
        <v>45623</v>
      </c>
      <c r="C346" s="1" t="n">
        <v>45986</v>
      </c>
      <c r="D346" t="inlineStr">
        <is>
          <t>VÄSTMANLANDS LÄN</t>
        </is>
      </c>
      <c r="E346" t="inlineStr">
        <is>
          <t>SALA</t>
        </is>
      </c>
      <c r="F346" t="inlineStr">
        <is>
          <t>Bergvik skog öst AB</t>
        </is>
      </c>
      <c r="G346" t="n">
        <v>28.4</v>
      </c>
      <c r="H346" t="n">
        <v>0</v>
      </c>
      <c r="I346" t="n">
        <v>0</v>
      </c>
      <c r="J346" t="n">
        <v>0</v>
      </c>
      <c r="K346" t="n">
        <v>0</v>
      </c>
      <c r="L346" t="n">
        <v>0</v>
      </c>
      <c r="M346" t="n">
        <v>0</v>
      </c>
      <c r="N346" t="n">
        <v>0</v>
      </c>
      <c r="O346" t="n">
        <v>0</v>
      </c>
      <c r="P346" t="n">
        <v>0</v>
      </c>
      <c r="Q346" t="n">
        <v>0</v>
      </c>
      <c r="R346" s="2" t="inlineStr"/>
    </row>
    <row r="347" ht="15" customHeight="1">
      <c r="A347" t="inlineStr">
        <is>
          <t>A 16651-2021</t>
        </is>
      </c>
      <c r="B347" s="1" t="n">
        <v>44294.50096064815</v>
      </c>
      <c r="C347" s="1" t="n">
        <v>45986</v>
      </c>
      <c r="D347" t="inlineStr">
        <is>
          <t>VÄSTMANLANDS LÄN</t>
        </is>
      </c>
      <c r="E347" t="inlineStr">
        <is>
          <t>SALA</t>
        </is>
      </c>
      <c r="G347" t="n">
        <v>7.7</v>
      </c>
      <c r="H347" t="n">
        <v>0</v>
      </c>
      <c r="I347" t="n">
        <v>0</v>
      </c>
      <c r="J347" t="n">
        <v>0</v>
      </c>
      <c r="K347" t="n">
        <v>0</v>
      </c>
      <c r="L347" t="n">
        <v>0</v>
      </c>
      <c r="M347" t="n">
        <v>0</v>
      </c>
      <c r="N347" t="n">
        <v>0</v>
      </c>
      <c r="O347" t="n">
        <v>0</v>
      </c>
      <c r="P347" t="n">
        <v>0</v>
      </c>
      <c r="Q347" t="n">
        <v>0</v>
      </c>
      <c r="R347" s="2" t="inlineStr"/>
    </row>
    <row r="348" ht="15" customHeight="1">
      <c r="A348" t="inlineStr">
        <is>
          <t>A 46915-2025</t>
        </is>
      </c>
      <c r="B348" s="1" t="n">
        <v>45929.42114583333</v>
      </c>
      <c r="C348" s="1" t="n">
        <v>45986</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19803-2024</t>
        </is>
      </c>
      <c r="B349" s="1" t="n">
        <v>45432</v>
      </c>
      <c r="C349" s="1" t="n">
        <v>45986</v>
      </c>
      <c r="D349" t="inlineStr">
        <is>
          <t>VÄSTMANLANDS LÄN</t>
        </is>
      </c>
      <c r="E349" t="inlineStr">
        <is>
          <t>SALA</t>
        </is>
      </c>
      <c r="G349" t="n">
        <v>3.1</v>
      </c>
      <c r="H349" t="n">
        <v>0</v>
      </c>
      <c r="I349" t="n">
        <v>0</v>
      </c>
      <c r="J349" t="n">
        <v>0</v>
      </c>
      <c r="K349" t="n">
        <v>0</v>
      </c>
      <c r="L349" t="n">
        <v>0</v>
      </c>
      <c r="M349" t="n">
        <v>0</v>
      </c>
      <c r="N349" t="n">
        <v>0</v>
      </c>
      <c r="O349" t="n">
        <v>0</v>
      </c>
      <c r="P349" t="n">
        <v>0</v>
      </c>
      <c r="Q349" t="n">
        <v>0</v>
      </c>
      <c r="R349" s="2" t="inlineStr"/>
    </row>
    <row r="350" ht="15" customHeight="1">
      <c r="A350" t="inlineStr">
        <is>
          <t>A 46597-2025</t>
        </is>
      </c>
      <c r="B350" s="1" t="n">
        <v>45926.40113425926</v>
      </c>
      <c r="C350" s="1" t="n">
        <v>45986</v>
      </c>
      <c r="D350" t="inlineStr">
        <is>
          <t>VÄSTMANLANDS LÄN</t>
        </is>
      </c>
      <c r="E350" t="inlineStr">
        <is>
          <t>SALA</t>
        </is>
      </c>
      <c r="G350" t="n">
        <v>3.4</v>
      </c>
      <c r="H350" t="n">
        <v>0</v>
      </c>
      <c r="I350" t="n">
        <v>0</v>
      </c>
      <c r="J350" t="n">
        <v>0</v>
      </c>
      <c r="K350" t="n">
        <v>0</v>
      </c>
      <c r="L350" t="n">
        <v>0</v>
      </c>
      <c r="M350" t="n">
        <v>0</v>
      </c>
      <c r="N350" t="n">
        <v>0</v>
      </c>
      <c r="O350" t="n">
        <v>0</v>
      </c>
      <c r="P350" t="n">
        <v>0</v>
      </c>
      <c r="Q350" t="n">
        <v>0</v>
      </c>
      <c r="R350" s="2" t="inlineStr"/>
    </row>
    <row r="351" ht="15" customHeight="1">
      <c r="A351" t="inlineStr">
        <is>
          <t>A 7196-2025</t>
        </is>
      </c>
      <c r="B351" s="1" t="n">
        <v>45702</v>
      </c>
      <c r="C351" s="1" t="n">
        <v>45986</v>
      </c>
      <c r="D351" t="inlineStr">
        <is>
          <t>VÄSTMANLANDS LÄN</t>
        </is>
      </c>
      <c r="E351" t="inlineStr">
        <is>
          <t>SALA</t>
        </is>
      </c>
      <c r="G351" t="n">
        <v>1.3</v>
      </c>
      <c r="H351" t="n">
        <v>0</v>
      </c>
      <c r="I351" t="n">
        <v>0</v>
      </c>
      <c r="J351" t="n">
        <v>0</v>
      </c>
      <c r="K351" t="n">
        <v>0</v>
      </c>
      <c r="L351" t="n">
        <v>0</v>
      </c>
      <c r="M351" t="n">
        <v>0</v>
      </c>
      <c r="N351" t="n">
        <v>0</v>
      </c>
      <c r="O351" t="n">
        <v>0</v>
      </c>
      <c r="P351" t="n">
        <v>0</v>
      </c>
      <c r="Q351" t="n">
        <v>0</v>
      </c>
      <c r="R351" s="2" t="inlineStr"/>
    </row>
    <row r="352" ht="15" customHeight="1">
      <c r="A352" t="inlineStr">
        <is>
          <t>A 40597-2022</t>
        </is>
      </c>
      <c r="B352" s="1" t="n">
        <v>44823.84862268518</v>
      </c>
      <c r="C352" s="1" t="n">
        <v>45986</v>
      </c>
      <c r="D352" t="inlineStr">
        <is>
          <t>VÄSTMANLANDS LÄN</t>
        </is>
      </c>
      <c r="E352" t="inlineStr">
        <is>
          <t>SALA</t>
        </is>
      </c>
      <c r="G352" t="n">
        <v>3.5</v>
      </c>
      <c r="H352" t="n">
        <v>0</v>
      </c>
      <c r="I352" t="n">
        <v>0</v>
      </c>
      <c r="J352" t="n">
        <v>0</v>
      </c>
      <c r="K352" t="n">
        <v>0</v>
      </c>
      <c r="L352" t="n">
        <v>0</v>
      </c>
      <c r="M352" t="n">
        <v>0</v>
      </c>
      <c r="N352" t="n">
        <v>0</v>
      </c>
      <c r="O352" t="n">
        <v>0</v>
      </c>
      <c r="P352" t="n">
        <v>0</v>
      </c>
      <c r="Q352" t="n">
        <v>0</v>
      </c>
      <c r="R352" s="2" t="inlineStr"/>
    </row>
    <row r="353" ht="15" customHeight="1">
      <c r="A353" t="inlineStr">
        <is>
          <t>A 64925-2023</t>
        </is>
      </c>
      <c r="B353" s="1" t="n">
        <v>45282</v>
      </c>
      <c r="C353" s="1" t="n">
        <v>45986</v>
      </c>
      <c r="D353" t="inlineStr">
        <is>
          <t>VÄSTMANLANDS LÄN</t>
        </is>
      </c>
      <c r="E353" t="inlineStr">
        <is>
          <t>SALA</t>
        </is>
      </c>
      <c r="G353" t="n">
        <v>2.5</v>
      </c>
      <c r="H353" t="n">
        <v>0</v>
      </c>
      <c r="I353" t="n">
        <v>0</v>
      </c>
      <c r="J353" t="n">
        <v>0</v>
      </c>
      <c r="K353" t="n">
        <v>0</v>
      </c>
      <c r="L353" t="n">
        <v>0</v>
      </c>
      <c r="M353" t="n">
        <v>0</v>
      </c>
      <c r="N353" t="n">
        <v>0</v>
      </c>
      <c r="O353" t="n">
        <v>0</v>
      </c>
      <c r="P353" t="n">
        <v>0</v>
      </c>
      <c r="Q353" t="n">
        <v>0</v>
      </c>
      <c r="R353" s="2" t="inlineStr"/>
    </row>
    <row r="354" ht="15" customHeight="1">
      <c r="A354" t="inlineStr">
        <is>
          <t>A 47577-2025</t>
        </is>
      </c>
      <c r="B354" s="1" t="n">
        <v>45931.4047337963</v>
      </c>
      <c r="C354" s="1" t="n">
        <v>45986</v>
      </c>
      <c r="D354" t="inlineStr">
        <is>
          <t>VÄSTMANLANDS LÄN</t>
        </is>
      </c>
      <c r="E354" t="inlineStr">
        <is>
          <t>SALA</t>
        </is>
      </c>
      <c r="G354" t="n">
        <v>3.7</v>
      </c>
      <c r="H354" t="n">
        <v>0</v>
      </c>
      <c r="I354" t="n">
        <v>0</v>
      </c>
      <c r="J354" t="n">
        <v>0</v>
      </c>
      <c r="K354" t="n">
        <v>0</v>
      </c>
      <c r="L354" t="n">
        <v>0</v>
      </c>
      <c r="M354" t="n">
        <v>0</v>
      </c>
      <c r="N354" t="n">
        <v>0</v>
      </c>
      <c r="O354" t="n">
        <v>0</v>
      </c>
      <c r="P354" t="n">
        <v>0</v>
      </c>
      <c r="Q354" t="n">
        <v>0</v>
      </c>
      <c r="R354" s="2" t="inlineStr"/>
    </row>
    <row r="355" ht="15" customHeight="1">
      <c r="A355" t="inlineStr">
        <is>
          <t>A 55997-2025</t>
        </is>
      </c>
      <c r="B355" s="1" t="n">
        <v>45973.56833333334</v>
      </c>
      <c r="C355" s="1" t="n">
        <v>45986</v>
      </c>
      <c r="D355" t="inlineStr">
        <is>
          <t>VÄSTMANLANDS LÄN</t>
        </is>
      </c>
      <c r="E355" t="inlineStr">
        <is>
          <t>SALA</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23406-2024</t>
        </is>
      </c>
      <c r="B356" s="1" t="n">
        <v>45453.58296296297</v>
      </c>
      <c r="C356" s="1" t="n">
        <v>45986</v>
      </c>
      <c r="D356" t="inlineStr">
        <is>
          <t>VÄSTMANLANDS LÄN</t>
        </is>
      </c>
      <c r="E356" t="inlineStr">
        <is>
          <t>SALA</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16133-2025</t>
        </is>
      </c>
      <c r="B357" s="1" t="n">
        <v>45750</v>
      </c>
      <c r="C357" s="1" t="n">
        <v>45986</v>
      </c>
      <c r="D357" t="inlineStr">
        <is>
          <t>VÄSTMANLANDS LÄN</t>
        </is>
      </c>
      <c r="E357" t="inlineStr">
        <is>
          <t>SALA</t>
        </is>
      </c>
      <c r="G357" t="n">
        <v>0.9</v>
      </c>
      <c r="H357" t="n">
        <v>0</v>
      </c>
      <c r="I357" t="n">
        <v>0</v>
      </c>
      <c r="J357" t="n">
        <v>0</v>
      </c>
      <c r="K357" t="n">
        <v>0</v>
      </c>
      <c r="L357" t="n">
        <v>0</v>
      </c>
      <c r="M357" t="n">
        <v>0</v>
      </c>
      <c r="N357" t="n">
        <v>0</v>
      </c>
      <c r="O357" t="n">
        <v>0</v>
      </c>
      <c r="P357" t="n">
        <v>0</v>
      </c>
      <c r="Q357" t="n">
        <v>0</v>
      </c>
      <c r="R357" s="2" t="inlineStr"/>
    </row>
    <row r="358" ht="15" customHeight="1">
      <c r="A358" t="inlineStr">
        <is>
          <t>A 31608-2025</t>
        </is>
      </c>
      <c r="B358" s="1" t="n">
        <v>45833</v>
      </c>
      <c r="C358" s="1" t="n">
        <v>45986</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15099-2025</t>
        </is>
      </c>
      <c r="B359" s="1" t="n">
        <v>45744.3434837963</v>
      </c>
      <c r="C359" s="1" t="n">
        <v>45986</v>
      </c>
      <c r="D359" t="inlineStr">
        <is>
          <t>VÄSTMANLANDS LÄN</t>
        </is>
      </c>
      <c r="E359" t="inlineStr">
        <is>
          <t>SALA</t>
        </is>
      </c>
      <c r="F359" t="inlineStr">
        <is>
          <t>Sveaskog</t>
        </is>
      </c>
      <c r="G359" t="n">
        <v>14.4</v>
      </c>
      <c r="H359" t="n">
        <v>0</v>
      </c>
      <c r="I359" t="n">
        <v>0</v>
      </c>
      <c r="J359" t="n">
        <v>0</v>
      </c>
      <c r="K359" t="n">
        <v>0</v>
      </c>
      <c r="L359" t="n">
        <v>0</v>
      </c>
      <c r="M359" t="n">
        <v>0</v>
      </c>
      <c r="N359" t="n">
        <v>0</v>
      </c>
      <c r="O359" t="n">
        <v>0</v>
      </c>
      <c r="P359" t="n">
        <v>0</v>
      </c>
      <c r="Q359" t="n">
        <v>0</v>
      </c>
      <c r="R359" s="2" t="inlineStr"/>
    </row>
    <row r="360" ht="15" customHeight="1">
      <c r="A360" t="inlineStr">
        <is>
          <t>A 46661-2025</t>
        </is>
      </c>
      <c r="B360" s="1" t="n">
        <v>45926</v>
      </c>
      <c r="C360" s="1" t="n">
        <v>45986</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30866-2025</t>
        </is>
      </c>
      <c r="B361" s="1" t="n">
        <v>45832.3246875</v>
      </c>
      <c r="C361" s="1" t="n">
        <v>45986</v>
      </c>
      <c r="D361" t="inlineStr">
        <is>
          <t>VÄSTMANLANDS LÄN</t>
        </is>
      </c>
      <c r="E361" t="inlineStr">
        <is>
          <t>SALA</t>
        </is>
      </c>
      <c r="G361" t="n">
        <v>14.3</v>
      </c>
      <c r="H361" t="n">
        <v>0</v>
      </c>
      <c r="I361" t="n">
        <v>0</v>
      </c>
      <c r="J361" t="n">
        <v>0</v>
      </c>
      <c r="K361" t="n">
        <v>0</v>
      </c>
      <c r="L361" t="n">
        <v>0</v>
      </c>
      <c r="M361" t="n">
        <v>0</v>
      </c>
      <c r="N361" t="n">
        <v>0</v>
      </c>
      <c r="O361" t="n">
        <v>0</v>
      </c>
      <c r="P361" t="n">
        <v>0</v>
      </c>
      <c r="Q361" t="n">
        <v>0</v>
      </c>
      <c r="R361" s="2" t="inlineStr"/>
    </row>
    <row r="362" ht="15" customHeight="1">
      <c r="A362" t="inlineStr">
        <is>
          <t>A 30874-2025</t>
        </is>
      </c>
      <c r="B362" s="1" t="n">
        <v>45832.34430555555</v>
      </c>
      <c r="C362" s="1" t="n">
        <v>45986</v>
      </c>
      <c r="D362" t="inlineStr">
        <is>
          <t>VÄSTMANLANDS LÄN</t>
        </is>
      </c>
      <c r="E362" t="inlineStr">
        <is>
          <t>SALA</t>
        </is>
      </c>
      <c r="G362" t="n">
        <v>8.4</v>
      </c>
      <c r="H362" t="n">
        <v>0</v>
      </c>
      <c r="I362" t="n">
        <v>0</v>
      </c>
      <c r="J362" t="n">
        <v>0</v>
      </c>
      <c r="K362" t="n">
        <v>0</v>
      </c>
      <c r="L362" t="n">
        <v>0</v>
      </c>
      <c r="M362" t="n">
        <v>0</v>
      </c>
      <c r="N362" t="n">
        <v>0</v>
      </c>
      <c r="O362" t="n">
        <v>0</v>
      </c>
      <c r="P362" t="n">
        <v>0</v>
      </c>
      <c r="Q362" t="n">
        <v>0</v>
      </c>
      <c r="R362" s="2" t="inlineStr"/>
    </row>
    <row r="363" ht="15" customHeight="1">
      <c r="A363" t="inlineStr">
        <is>
          <t>A 60036-2024</t>
        </is>
      </c>
      <c r="B363" s="1" t="n">
        <v>45642.46434027778</v>
      </c>
      <c r="C363" s="1" t="n">
        <v>45986</v>
      </c>
      <c r="D363" t="inlineStr">
        <is>
          <t>VÄSTMANLANDS LÄN</t>
        </is>
      </c>
      <c r="E363" t="inlineStr">
        <is>
          <t>SALA</t>
        </is>
      </c>
      <c r="G363" t="n">
        <v>2.5</v>
      </c>
      <c r="H363" t="n">
        <v>0</v>
      </c>
      <c r="I363" t="n">
        <v>0</v>
      </c>
      <c r="J363" t="n">
        <v>0</v>
      </c>
      <c r="K363" t="n">
        <v>0</v>
      </c>
      <c r="L363" t="n">
        <v>0</v>
      </c>
      <c r="M363" t="n">
        <v>0</v>
      </c>
      <c r="N363" t="n">
        <v>0</v>
      </c>
      <c r="O363" t="n">
        <v>0</v>
      </c>
      <c r="P363" t="n">
        <v>0</v>
      </c>
      <c r="Q363" t="n">
        <v>0</v>
      </c>
      <c r="R363" s="2" t="inlineStr"/>
    </row>
    <row r="364" ht="15" customHeight="1">
      <c r="A364" t="inlineStr">
        <is>
          <t>A 52827-2024</t>
        </is>
      </c>
      <c r="B364" s="1" t="n">
        <v>45610</v>
      </c>
      <c r="C364" s="1" t="n">
        <v>45986</v>
      </c>
      <c r="D364" t="inlineStr">
        <is>
          <t>VÄSTMANLANDS LÄN</t>
        </is>
      </c>
      <c r="E364" t="inlineStr">
        <is>
          <t>SALA</t>
        </is>
      </c>
      <c r="G364" t="n">
        <v>0.2</v>
      </c>
      <c r="H364" t="n">
        <v>0</v>
      </c>
      <c r="I364" t="n">
        <v>0</v>
      </c>
      <c r="J364" t="n">
        <v>0</v>
      </c>
      <c r="K364" t="n">
        <v>0</v>
      </c>
      <c r="L364" t="n">
        <v>0</v>
      </c>
      <c r="M364" t="n">
        <v>0</v>
      </c>
      <c r="N364" t="n">
        <v>0</v>
      </c>
      <c r="O364" t="n">
        <v>0</v>
      </c>
      <c r="P364" t="n">
        <v>0</v>
      </c>
      <c r="Q364" t="n">
        <v>0</v>
      </c>
      <c r="R364" s="2" t="inlineStr"/>
    </row>
    <row r="365" ht="15" customHeight="1">
      <c r="A365" t="inlineStr">
        <is>
          <t>A 31573-2025</t>
        </is>
      </c>
      <c r="B365" s="1" t="n">
        <v>45833</v>
      </c>
      <c r="C365" s="1" t="n">
        <v>45986</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31288-2025</t>
        </is>
      </c>
      <c r="B366" s="1" t="n">
        <v>45833</v>
      </c>
      <c r="C366" s="1" t="n">
        <v>45986</v>
      </c>
      <c r="D366" t="inlineStr">
        <is>
          <t>VÄSTMANLANDS LÄN</t>
        </is>
      </c>
      <c r="E366" t="inlineStr">
        <is>
          <t>SALA</t>
        </is>
      </c>
      <c r="G366" t="n">
        <v>3.1</v>
      </c>
      <c r="H366" t="n">
        <v>0</v>
      </c>
      <c r="I366" t="n">
        <v>0</v>
      </c>
      <c r="J366" t="n">
        <v>0</v>
      </c>
      <c r="K366" t="n">
        <v>0</v>
      </c>
      <c r="L366" t="n">
        <v>0</v>
      </c>
      <c r="M366" t="n">
        <v>0</v>
      </c>
      <c r="N366" t="n">
        <v>0</v>
      </c>
      <c r="O366" t="n">
        <v>0</v>
      </c>
      <c r="P366" t="n">
        <v>0</v>
      </c>
      <c r="Q366" t="n">
        <v>0</v>
      </c>
      <c r="R366" s="2" t="inlineStr"/>
    </row>
    <row r="367" ht="15" customHeight="1">
      <c r="A367" t="inlineStr">
        <is>
          <t>A 31554-2025</t>
        </is>
      </c>
      <c r="B367" s="1" t="n">
        <v>45833</v>
      </c>
      <c r="C367" s="1" t="n">
        <v>45986</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30899-2025</t>
        </is>
      </c>
      <c r="B368" s="1" t="n">
        <v>45832.35767361111</v>
      </c>
      <c r="C368" s="1" t="n">
        <v>45986</v>
      </c>
      <c r="D368" t="inlineStr">
        <is>
          <t>VÄSTMANLANDS LÄN</t>
        </is>
      </c>
      <c r="E368" t="inlineStr">
        <is>
          <t>SALA</t>
        </is>
      </c>
      <c r="G368" t="n">
        <v>3.1</v>
      </c>
      <c r="H368" t="n">
        <v>0</v>
      </c>
      <c r="I368" t="n">
        <v>0</v>
      </c>
      <c r="J368" t="n">
        <v>0</v>
      </c>
      <c r="K368" t="n">
        <v>0</v>
      </c>
      <c r="L368" t="n">
        <v>0</v>
      </c>
      <c r="M368" t="n">
        <v>0</v>
      </c>
      <c r="N368" t="n">
        <v>0</v>
      </c>
      <c r="O368" t="n">
        <v>0</v>
      </c>
      <c r="P368" t="n">
        <v>0</v>
      </c>
      <c r="Q368" t="n">
        <v>0</v>
      </c>
      <c r="R368" s="2" t="inlineStr"/>
    </row>
    <row r="369" ht="15" customHeight="1">
      <c r="A369" t="inlineStr">
        <is>
          <t>A 55714-2025</t>
        </is>
      </c>
      <c r="B369" s="1" t="n">
        <v>45972.49131944445</v>
      </c>
      <c r="C369" s="1" t="n">
        <v>45986</v>
      </c>
      <c r="D369" t="inlineStr">
        <is>
          <t>VÄSTMANLANDS LÄN</t>
        </is>
      </c>
      <c r="E369" t="inlineStr">
        <is>
          <t>SALA</t>
        </is>
      </c>
      <c r="G369" t="n">
        <v>6.6</v>
      </c>
      <c r="H369" t="n">
        <v>0</v>
      </c>
      <c r="I369" t="n">
        <v>0</v>
      </c>
      <c r="J369" t="n">
        <v>0</v>
      </c>
      <c r="K369" t="n">
        <v>0</v>
      </c>
      <c r="L369" t="n">
        <v>0</v>
      </c>
      <c r="M369" t="n">
        <v>0</v>
      </c>
      <c r="N369" t="n">
        <v>0</v>
      </c>
      <c r="O369" t="n">
        <v>0</v>
      </c>
      <c r="P369" t="n">
        <v>0</v>
      </c>
      <c r="Q369" t="n">
        <v>0</v>
      </c>
      <c r="R369" s="2" t="inlineStr"/>
    </row>
    <row r="370" ht="15" customHeight="1">
      <c r="A370" t="inlineStr">
        <is>
          <t>A 16328-2025</t>
        </is>
      </c>
      <c r="B370" s="1" t="n">
        <v>45751</v>
      </c>
      <c r="C370" s="1" t="n">
        <v>45986</v>
      </c>
      <c r="D370" t="inlineStr">
        <is>
          <t>VÄSTMANLANDS LÄN</t>
        </is>
      </c>
      <c r="E370" t="inlineStr">
        <is>
          <t>SALA</t>
        </is>
      </c>
      <c r="G370" t="n">
        <v>2.9</v>
      </c>
      <c r="H370" t="n">
        <v>0</v>
      </c>
      <c r="I370" t="n">
        <v>0</v>
      </c>
      <c r="J370" t="n">
        <v>0</v>
      </c>
      <c r="K370" t="n">
        <v>0</v>
      </c>
      <c r="L370" t="n">
        <v>0</v>
      </c>
      <c r="M370" t="n">
        <v>0</v>
      </c>
      <c r="N370" t="n">
        <v>0</v>
      </c>
      <c r="O370" t="n">
        <v>0</v>
      </c>
      <c r="P370" t="n">
        <v>0</v>
      </c>
      <c r="Q370" t="n">
        <v>0</v>
      </c>
      <c r="R370" s="2" t="inlineStr"/>
    </row>
    <row r="371" ht="15" customHeight="1">
      <c r="A371" t="inlineStr">
        <is>
          <t>A 31065-2025</t>
        </is>
      </c>
      <c r="B371" s="1" t="n">
        <v>45832.57571759259</v>
      </c>
      <c r="C371" s="1" t="n">
        <v>45986</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66908-2021</t>
        </is>
      </c>
      <c r="B372" s="1" t="n">
        <v>44522</v>
      </c>
      <c r="C372" s="1" t="n">
        <v>45986</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73835-2021</t>
        </is>
      </c>
      <c r="B373" s="1" t="n">
        <v>44552.92112268518</v>
      </c>
      <c r="C373" s="1" t="n">
        <v>45986</v>
      </c>
      <c r="D373" t="inlineStr">
        <is>
          <t>VÄSTMANLANDS LÄN</t>
        </is>
      </c>
      <c r="E373" t="inlineStr">
        <is>
          <t>SALA</t>
        </is>
      </c>
      <c r="G373" t="n">
        <v>2</v>
      </c>
      <c r="H373" t="n">
        <v>0</v>
      </c>
      <c r="I373" t="n">
        <v>0</v>
      </c>
      <c r="J373" t="n">
        <v>0</v>
      </c>
      <c r="K373" t="n">
        <v>0</v>
      </c>
      <c r="L373" t="n">
        <v>0</v>
      </c>
      <c r="M373" t="n">
        <v>0</v>
      </c>
      <c r="N373" t="n">
        <v>0</v>
      </c>
      <c r="O373" t="n">
        <v>0</v>
      </c>
      <c r="P373" t="n">
        <v>0</v>
      </c>
      <c r="Q373" t="n">
        <v>0</v>
      </c>
      <c r="R373" s="2" t="inlineStr"/>
    </row>
    <row r="374" ht="15" customHeight="1">
      <c r="A374" t="inlineStr">
        <is>
          <t>A 3810-2023</t>
        </is>
      </c>
      <c r="B374" s="1" t="n">
        <v>44951.60454861111</v>
      </c>
      <c r="C374" s="1" t="n">
        <v>45986</v>
      </c>
      <c r="D374" t="inlineStr">
        <is>
          <t>VÄSTMANLANDS LÄN</t>
        </is>
      </c>
      <c r="E374" t="inlineStr">
        <is>
          <t>SALA</t>
        </is>
      </c>
      <c r="G374" t="n">
        <v>4.2</v>
      </c>
      <c r="H374" t="n">
        <v>0</v>
      </c>
      <c r="I374" t="n">
        <v>0</v>
      </c>
      <c r="J374" t="n">
        <v>0</v>
      </c>
      <c r="K374" t="n">
        <v>0</v>
      </c>
      <c r="L374" t="n">
        <v>0</v>
      </c>
      <c r="M374" t="n">
        <v>0</v>
      </c>
      <c r="N374" t="n">
        <v>0</v>
      </c>
      <c r="O374" t="n">
        <v>0</v>
      </c>
      <c r="P374" t="n">
        <v>0</v>
      </c>
      <c r="Q374" t="n">
        <v>0</v>
      </c>
      <c r="R374" s="2" t="inlineStr"/>
    </row>
    <row r="375" ht="15" customHeight="1">
      <c r="A375" t="inlineStr">
        <is>
          <t>A 56645-2025</t>
        </is>
      </c>
      <c r="B375" s="1" t="n">
        <v>45975.63063657407</v>
      </c>
      <c r="C375" s="1" t="n">
        <v>45986</v>
      </c>
      <c r="D375" t="inlineStr">
        <is>
          <t>VÄSTMANLANDS LÄN</t>
        </is>
      </c>
      <c r="E375" t="inlineStr">
        <is>
          <t>SALA</t>
        </is>
      </c>
      <c r="F375" t="inlineStr">
        <is>
          <t>Bergvik skog öst AB</t>
        </is>
      </c>
      <c r="G375" t="n">
        <v>5.3</v>
      </c>
      <c r="H375" t="n">
        <v>0</v>
      </c>
      <c r="I375" t="n">
        <v>0</v>
      </c>
      <c r="J375" t="n">
        <v>0</v>
      </c>
      <c r="K375" t="n">
        <v>0</v>
      </c>
      <c r="L375" t="n">
        <v>0</v>
      </c>
      <c r="M375" t="n">
        <v>0</v>
      </c>
      <c r="N375" t="n">
        <v>0</v>
      </c>
      <c r="O375" t="n">
        <v>0</v>
      </c>
      <c r="P375" t="n">
        <v>0</v>
      </c>
      <c r="Q375" t="n">
        <v>0</v>
      </c>
      <c r="R375" s="2" t="inlineStr"/>
    </row>
    <row r="376" ht="15" customHeight="1">
      <c r="A376" t="inlineStr">
        <is>
          <t>A 31296-2025</t>
        </is>
      </c>
      <c r="B376" s="1" t="n">
        <v>45833.36765046296</v>
      </c>
      <c r="C376" s="1" t="n">
        <v>45986</v>
      </c>
      <c r="D376" t="inlineStr">
        <is>
          <t>VÄSTMANLANDS LÄN</t>
        </is>
      </c>
      <c r="E376" t="inlineStr">
        <is>
          <t>SALA</t>
        </is>
      </c>
      <c r="G376" t="n">
        <v>3.7</v>
      </c>
      <c r="H376" t="n">
        <v>0</v>
      </c>
      <c r="I376" t="n">
        <v>0</v>
      </c>
      <c r="J376" t="n">
        <v>0</v>
      </c>
      <c r="K376" t="n">
        <v>0</v>
      </c>
      <c r="L376" t="n">
        <v>0</v>
      </c>
      <c r="M376" t="n">
        <v>0</v>
      </c>
      <c r="N376" t="n">
        <v>0</v>
      </c>
      <c r="O376" t="n">
        <v>0</v>
      </c>
      <c r="P376" t="n">
        <v>0</v>
      </c>
      <c r="Q376" t="n">
        <v>0</v>
      </c>
      <c r="R376" s="2" t="inlineStr"/>
    </row>
    <row r="377" ht="15" customHeight="1">
      <c r="A377" t="inlineStr">
        <is>
          <t>A 31748-2025</t>
        </is>
      </c>
      <c r="B377" s="1" t="n">
        <v>45834</v>
      </c>
      <c r="C377" s="1" t="n">
        <v>45986</v>
      </c>
      <c r="D377" t="inlineStr">
        <is>
          <t>VÄSTMANLANDS LÄN</t>
        </is>
      </c>
      <c r="E377" t="inlineStr">
        <is>
          <t>SALA</t>
        </is>
      </c>
      <c r="G377" t="n">
        <v>2</v>
      </c>
      <c r="H377" t="n">
        <v>0</v>
      </c>
      <c r="I377" t="n">
        <v>0</v>
      </c>
      <c r="J377" t="n">
        <v>0</v>
      </c>
      <c r="K377" t="n">
        <v>0</v>
      </c>
      <c r="L377" t="n">
        <v>0</v>
      </c>
      <c r="M377" t="n">
        <v>0</v>
      </c>
      <c r="N377" t="n">
        <v>0</v>
      </c>
      <c r="O377" t="n">
        <v>0</v>
      </c>
      <c r="P377" t="n">
        <v>0</v>
      </c>
      <c r="Q377" t="n">
        <v>0</v>
      </c>
      <c r="R377" s="2" t="inlineStr"/>
    </row>
    <row r="378" ht="15" customHeight="1">
      <c r="A378" t="inlineStr">
        <is>
          <t>A 48057-2025</t>
        </is>
      </c>
      <c r="B378" s="1" t="n">
        <v>45932.67947916667</v>
      </c>
      <c r="C378" s="1" t="n">
        <v>45986</v>
      </c>
      <c r="D378" t="inlineStr">
        <is>
          <t>VÄSTMANLANDS LÄN</t>
        </is>
      </c>
      <c r="E378" t="inlineStr">
        <is>
          <t>SALA</t>
        </is>
      </c>
      <c r="G378" t="n">
        <v>4.3</v>
      </c>
      <c r="H378" t="n">
        <v>0</v>
      </c>
      <c r="I378" t="n">
        <v>0</v>
      </c>
      <c r="J378" t="n">
        <v>0</v>
      </c>
      <c r="K378" t="n">
        <v>0</v>
      </c>
      <c r="L378" t="n">
        <v>0</v>
      </c>
      <c r="M378" t="n">
        <v>0</v>
      </c>
      <c r="N378" t="n">
        <v>0</v>
      </c>
      <c r="O378" t="n">
        <v>0</v>
      </c>
      <c r="P378" t="n">
        <v>0</v>
      </c>
      <c r="Q378" t="n">
        <v>0</v>
      </c>
      <c r="R378" s="2" t="inlineStr"/>
    </row>
    <row r="379" ht="15" customHeight="1">
      <c r="A379" t="inlineStr">
        <is>
          <t>A 32210-2025</t>
        </is>
      </c>
      <c r="B379" s="1" t="n">
        <v>45835</v>
      </c>
      <c r="C379" s="1" t="n">
        <v>45986</v>
      </c>
      <c r="D379" t="inlineStr">
        <is>
          <t>VÄSTMANLANDS LÄN</t>
        </is>
      </c>
      <c r="E379" t="inlineStr">
        <is>
          <t>SALA</t>
        </is>
      </c>
      <c r="F379" t="inlineStr">
        <is>
          <t>Bergvik skog öst AB</t>
        </is>
      </c>
      <c r="G379" t="n">
        <v>1.5</v>
      </c>
      <c r="H379" t="n">
        <v>0</v>
      </c>
      <c r="I379" t="n">
        <v>0</v>
      </c>
      <c r="J379" t="n">
        <v>0</v>
      </c>
      <c r="K379" t="n">
        <v>0</v>
      </c>
      <c r="L379" t="n">
        <v>0</v>
      </c>
      <c r="M379" t="n">
        <v>0</v>
      </c>
      <c r="N379" t="n">
        <v>0</v>
      </c>
      <c r="O379" t="n">
        <v>0</v>
      </c>
      <c r="P379" t="n">
        <v>0</v>
      </c>
      <c r="Q379" t="n">
        <v>0</v>
      </c>
      <c r="R379" s="2" t="inlineStr"/>
    </row>
    <row r="380" ht="15" customHeight="1">
      <c r="A380" t="inlineStr">
        <is>
          <t>A 12252-2023</t>
        </is>
      </c>
      <c r="B380" s="1" t="n">
        <v>44995</v>
      </c>
      <c r="C380" s="1" t="n">
        <v>45986</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56614-2025</t>
        </is>
      </c>
      <c r="B381" s="1" t="n">
        <v>45975.59288194445</v>
      </c>
      <c r="C381" s="1" t="n">
        <v>45986</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31610-2025</t>
        </is>
      </c>
      <c r="B382" s="1" t="n">
        <v>45833.78650462963</v>
      </c>
      <c r="C382" s="1" t="n">
        <v>45986</v>
      </c>
      <c r="D382" t="inlineStr">
        <is>
          <t>VÄSTMANLANDS LÄN</t>
        </is>
      </c>
      <c r="E382" t="inlineStr">
        <is>
          <t>SALA</t>
        </is>
      </c>
      <c r="G382" t="n">
        <v>8</v>
      </c>
      <c r="H382" t="n">
        <v>0</v>
      </c>
      <c r="I382" t="n">
        <v>0</v>
      </c>
      <c r="J382" t="n">
        <v>0</v>
      </c>
      <c r="K382" t="n">
        <v>0</v>
      </c>
      <c r="L382" t="n">
        <v>0</v>
      </c>
      <c r="M382" t="n">
        <v>0</v>
      </c>
      <c r="N382" t="n">
        <v>0</v>
      </c>
      <c r="O382" t="n">
        <v>0</v>
      </c>
      <c r="P382" t="n">
        <v>0</v>
      </c>
      <c r="Q382" t="n">
        <v>0</v>
      </c>
      <c r="R382" s="2" t="inlineStr"/>
    </row>
    <row r="383" ht="15" customHeight="1">
      <c r="A383" t="inlineStr">
        <is>
          <t>A 32201-2025</t>
        </is>
      </c>
      <c r="B383" s="1" t="n">
        <v>45835</v>
      </c>
      <c r="C383" s="1" t="n">
        <v>45986</v>
      </c>
      <c r="D383" t="inlineStr">
        <is>
          <t>VÄSTMANLANDS LÄN</t>
        </is>
      </c>
      <c r="E383" t="inlineStr">
        <is>
          <t>SALA</t>
        </is>
      </c>
      <c r="F383" t="inlineStr">
        <is>
          <t>Bergvik skog öst AB</t>
        </is>
      </c>
      <c r="G383" t="n">
        <v>1.8</v>
      </c>
      <c r="H383" t="n">
        <v>0</v>
      </c>
      <c r="I383" t="n">
        <v>0</v>
      </c>
      <c r="J383" t="n">
        <v>0</v>
      </c>
      <c r="K383" t="n">
        <v>0</v>
      </c>
      <c r="L383" t="n">
        <v>0</v>
      </c>
      <c r="M383" t="n">
        <v>0</v>
      </c>
      <c r="N383" t="n">
        <v>0</v>
      </c>
      <c r="O383" t="n">
        <v>0</v>
      </c>
      <c r="P383" t="n">
        <v>0</v>
      </c>
      <c r="Q383" t="n">
        <v>0</v>
      </c>
      <c r="R383" s="2" t="inlineStr"/>
    </row>
    <row r="384" ht="15" customHeight="1">
      <c r="A384" t="inlineStr">
        <is>
          <t>A 31612-2025</t>
        </is>
      </c>
      <c r="B384" s="1" t="n">
        <v>45833.80056712963</v>
      </c>
      <c r="C384" s="1" t="n">
        <v>45986</v>
      </c>
      <c r="D384" t="inlineStr">
        <is>
          <t>VÄSTMANLANDS LÄN</t>
        </is>
      </c>
      <c r="E384" t="inlineStr">
        <is>
          <t>SALA</t>
        </is>
      </c>
      <c r="G384" t="n">
        <v>6.3</v>
      </c>
      <c r="H384" t="n">
        <v>0</v>
      </c>
      <c r="I384" t="n">
        <v>0</v>
      </c>
      <c r="J384" t="n">
        <v>0</v>
      </c>
      <c r="K384" t="n">
        <v>0</v>
      </c>
      <c r="L384" t="n">
        <v>0</v>
      </c>
      <c r="M384" t="n">
        <v>0</v>
      </c>
      <c r="N384" t="n">
        <v>0</v>
      </c>
      <c r="O384" t="n">
        <v>0</v>
      </c>
      <c r="P384" t="n">
        <v>0</v>
      </c>
      <c r="Q384" t="n">
        <v>0</v>
      </c>
      <c r="R384" s="2" t="inlineStr"/>
    </row>
    <row r="385" ht="15" customHeight="1">
      <c r="A385" t="inlineStr">
        <is>
          <t>A 56593-2025</t>
        </is>
      </c>
      <c r="B385" s="1" t="n">
        <v>45975</v>
      </c>
      <c r="C385" s="1" t="n">
        <v>45986</v>
      </c>
      <c r="D385" t="inlineStr">
        <is>
          <t>VÄSTMANLANDS LÄN</t>
        </is>
      </c>
      <c r="E385" t="inlineStr">
        <is>
          <t>SALA</t>
        </is>
      </c>
      <c r="F385" t="inlineStr">
        <is>
          <t>Kyrkan</t>
        </is>
      </c>
      <c r="G385" t="n">
        <v>0.1</v>
      </c>
      <c r="H385" t="n">
        <v>0</v>
      </c>
      <c r="I385" t="n">
        <v>0</v>
      </c>
      <c r="J385" t="n">
        <v>0</v>
      </c>
      <c r="K385" t="n">
        <v>0</v>
      </c>
      <c r="L385" t="n">
        <v>0</v>
      </c>
      <c r="M385" t="n">
        <v>0</v>
      </c>
      <c r="N385" t="n">
        <v>0</v>
      </c>
      <c r="O385" t="n">
        <v>0</v>
      </c>
      <c r="P385" t="n">
        <v>0</v>
      </c>
      <c r="Q385" t="n">
        <v>0</v>
      </c>
      <c r="R385" s="2" t="inlineStr"/>
    </row>
    <row r="386" ht="15" customHeight="1">
      <c r="A386" t="inlineStr">
        <is>
          <t>A 32207-2025</t>
        </is>
      </c>
      <c r="B386" s="1" t="n">
        <v>45835</v>
      </c>
      <c r="C386" s="1" t="n">
        <v>45986</v>
      </c>
      <c r="D386" t="inlineStr">
        <is>
          <t>VÄSTMANLANDS LÄN</t>
        </is>
      </c>
      <c r="E386" t="inlineStr">
        <is>
          <t>SALA</t>
        </is>
      </c>
      <c r="F386" t="inlineStr">
        <is>
          <t>Bergvik skog öst AB</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57014-2025</t>
        </is>
      </c>
      <c r="B387" s="1" t="n">
        <v>45978</v>
      </c>
      <c r="C387" s="1" t="n">
        <v>45986</v>
      </c>
      <c r="D387" t="inlineStr">
        <is>
          <t>VÄSTMANLANDS LÄN</t>
        </is>
      </c>
      <c r="E387" t="inlineStr">
        <is>
          <t>SALA</t>
        </is>
      </c>
      <c r="G387" t="n">
        <v>2.2</v>
      </c>
      <c r="H387" t="n">
        <v>0</v>
      </c>
      <c r="I387" t="n">
        <v>0</v>
      </c>
      <c r="J387" t="n">
        <v>0</v>
      </c>
      <c r="K387" t="n">
        <v>0</v>
      </c>
      <c r="L387" t="n">
        <v>0</v>
      </c>
      <c r="M387" t="n">
        <v>0</v>
      </c>
      <c r="N387" t="n">
        <v>0</v>
      </c>
      <c r="O387" t="n">
        <v>0</v>
      </c>
      <c r="P387" t="n">
        <v>0</v>
      </c>
      <c r="Q387" t="n">
        <v>0</v>
      </c>
      <c r="R387" s="2" t="inlineStr"/>
    </row>
    <row r="388" ht="15" customHeight="1">
      <c r="A388" t="inlineStr">
        <is>
          <t>A 25260-2023</t>
        </is>
      </c>
      <c r="B388" s="1" t="n">
        <v>45086</v>
      </c>
      <c r="C388" s="1" t="n">
        <v>45986</v>
      </c>
      <c r="D388" t="inlineStr">
        <is>
          <t>VÄSTMANLANDS LÄN</t>
        </is>
      </c>
      <c r="E388" t="inlineStr">
        <is>
          <t>SALA</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31762-2025</t>
        </is>
      </c>
      <c r="B389" s="1" t="n">
        <v>45834.49288194445</v>
      </c>
      <c r="C389" s="1" t="n">
        <v>45986</v>
      </c>
      <c r="D389" t="inlineStr">
        <is>
          <t>VÄSTMANLANDS LÄN</t>
        </is>
      </c>
      <c r="E389" t="inlineStr">
        <is>
          <t>SALA</t>
        </is>
      </c>
      <c r="G389" t="n">
        <v>5.9</v>
      </c>
      <c r="H389" t="n">
        <v>0</v>
      </c>
      <c r="I389" t="n">
        <v>0</v>
      </c>
      <c r="J389" t="n">
        <v>0</v>
      </c>
      <c r="K389" t="n">
        <v>0</v>
      </c>
      <c r="L389" t="n">
        <v>0</v>
      </c>
      <c r="M389" t="n">
        <v>0</v>
      </c>
      <c r="N389" t="n">
        <v>0</v>
      </c>
      <c r="O389" t="n">
        <v>0</v>
      </c>
      <c r="P389" t="n">
        <v>0</v>
      </c>
      <c r="Q389" t="n">
        <v>0</v>
      </c>
      <c r="R389" s="2" t="inlineStr"/>
    </row>
    <row r="390" ht="15" customHeight="1">
      <c r="A390" t="inlineStr">
        <is>
          <t>A 31771-2025</t>
        </is>
      </c>
      <c r="B390" s="1" t="n">
        <v>45834.50910879629</v>
      </c>
      <c r="C390" s="1" t="n">
        <v>45986</v>
      </c>
      <c r="D390" t="inlineStr">
        <is>
          <t>VÄSTMANLANDS LÄN</t>
        </is>
      </c>
      <c r="E390" t="inlineStr">
        <is>
          <t>SALA</t>
        </is>
      </c>
      <c r="G390" t="n">
        <v>5.1</v>
      </c>
      <c r="H390" t="n">
        <v>0</v>
      </c>
      <c r="I390" t="n">
        <v>0</v>
      </c>
      <c r="J390" t="n">
        <v>0</v>
      </c>
      <c r="K390" t="n">
        <v>0</v>
      </c>
      <c r="L390" t="n">
        <v>0</v>
      </c>
      <c r="M390" t="n">
        <v>0</v>
      </c>
      <c r="N390" t="n">
        <v>0</v>
      </c>
      <c r="O390" t="n">
        <v>0</v>
      </c>
      <c r="P390" t="n">
        <v>0</v>
      </c>
      <c r="Q390" t="n">
        <v>0</v>
      </c>
      <c r="R390" s="2" t="inlineStr"/>
    </row>
    <row r="391" ht="15" customHeight="1">
      <c r="A391" t="inlineStr">
        <is>
          <t>A 32205-2025</t>
        </is>
      </c>
      <c r="B391" s="1" t="n">
        <v>45835</v>
      </c>
      <c r="C391" s="1" t="n">
        <v>45986</v>
      </c>
      <c r="D391" t="inlineStr">
        <is>
          <t>VÄSTMANLANDS LÄN</t>
        </is>
      </c>
      <c r="E391" t="inlineStr">
        <is>
          <t>SALA</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56611-2025</t>
        </is>
      </c>
      <c r="B392" s="1" t="n">
        <v>45975</v>
      </c>
      <c r="C392" s="1" t="n">
        <v>45986</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32286-2025</t>
        </is>
      </c>
      <c r="B393" s="1" t="n">
        <v>45835</v>
      </c>
      <c r="C393" s="1" t="n">
        <v>45986</v>
      </c>
      <c r="D393" t="inlineStr">
        <is>
          <t>VÄSTMANLANDS LÄN</t>
        </is>
      </c>
      <c r="E393" t="inlineStr">
        <is>
          <t>SALA</t>
        </is>
      </c>
      <c r="G393" t="n">
        <v>6.4</v>
      </c>
      <c r="H393" t="n">
        <v>0</v>
      </c>
      <c r="I393" t="n">
        <v>0</v>
      </c>
      <c r="J393" t="n">
        <v>0</v>
      </c>
      <c r="K393" t="n">
        <v>0</v>
      </c>
      <c r="L393" t="n">
        <v>0</v>
      </c>
      <c r="M393" t="n">
        <v>0</v>
      </c>
      <c r="N393" t="n">
        <v>0</v>
      </c>
      <c r="O393" t="n">
        <v>0</v>
      </c>
      <c r="P393" t="n">
        <v>0</v>
      </c>
      <c r="Q393" t="n">
        <v>0</v>
      </c>
      <c r="R393" s="2" t="inlineStr"/>
    </row>
    <row r="394" ht="15" customHeight="1">
      <c r="A394" t="inlineStr">
        <is>
          <t>A 57404-2024</t>
        </is>
      </c>
      <c r="B394" s="1" t="n">
        <v>45629.71967592592</v>
      </c>
      <c r="C394" s="1" t="n">
        <v>45986</v>
      </c>
      <c r="D394" t="inlineStr">
        <is>
          <t>VÄSTMANLANDS LÄN</t>
        </is>
      </c>
      <c r="E394" t="inlineStr">
        <is>
          <t>SALA</t>
        </is>
      </c>
      <c r="G394" t="n">
        <v>0.3</v>
      </c>
      <c r="H394" t="n">
        <v>0</v>
      </c>
      <c r="I394" t="n">
        <v>0</v>
      </c>
      <c r="J394" t="n">
        <v>0</v>
      </c>
      <c r="K394" t="n">
        <v>0</v>
      </c>
      <c r="L394" t="n">
        <v>0</v>
      </c>
      <c r="M394" t="n">
        <v>0</v>
      </c>
      <c r="N394" t="n">
        <v>0</v>
      </c>
      <c r="O394" t="n">
        <v>0</v>
      </c>
      <c r="P394" t="n">
        <v>0</v>
      </c>
      <c r="Q394" t="n">
        <v>0</v>
      </c>
      <c r="R394" s="2" t="inlineStr"/>
    </row>
    <row r="395" ht="15" customHeight="1">
      <c r="A395" t="inlineStr">
        <is>
          <t>A 48710-2025</t>
        </is>
      </c>
      <c r="B395" s="1" t="n">
        <v>45936.63184027778</v>
      </c>
      <c r="C395" s="1" t="n">
        <v>45986</v>
      </c>
      <c r="D395" t="inlineStr">
        <is>
          <t>VÄSTMANLANDS LÄN</t>
        </is>
      </c>
      <c r="E395" t="inlineStr">
        <is>
          <t>SALA</t>
        </is>
      </c>
      <c r="G395" t="n">
        <v>2.7</v>
      </c>
      <c r="H395" t="n">
        <v>0</v>
      </c>
      <c r="I395" t="n">
        <v>0</v>
      </c>
      <c r="J395" t="n">
        <v>0</v>
      </c>
      <c r="K395" t="n">
        <v>0</v>
      </c>
      <c r="L395" t="n">
        <v>0</v>
      </c>
      <c r="M395" t="n">
        <v>0</v>
      </c>
      <c r="N395" t="n">
        <v>0</v>
      </c>
      <c r="O395" t="n">
        <v>0</v>
      </c>
      <c r="P395" t="n">
        <v>0</v>
      </c>
      <c r="Q395" t="n">
        <v>0</v>
      </c>
      <c r="R395" s="2" t="inlineStr"/>
    </row>
    <row r="396" ht="15" customHeight="1">
      <c r="A396" t="inlineStr">
        <is>
          <t>A 13128-2023</t>
        </is>
      </c>
      <c r="B396" s="1" t="n">
        <v>45002</v>
      </c>
      <c r="C396" s="1" t="n">
        <v>45986</v>
      </c>
      <c r="D396" t="inlineStr">
        <is>
          <t>VÄSTMANLANDS LÄN</t>
        </is>
      </c>
      <c r="E396" t="inlineStr">
        <is>
          <t>SALA</t>
        </is>
      </c>
      <c r="G396" t="n">
        <v>7.9</v>
      </c>
      <c r="H396" t="n">
        <v>0</v>
      </c>
      <c r="I396" t="n">
        <v>0</v>
      </c>
      <c r="J396" t="n">
        <v>0</v>
      </c>
      <c r="K396" t="n">
        <v>0</v>
      </c>
      <c r="L396" t="n">
        <v>0</v>
      </c>
      <c r="M396" t="n">
        <v>0</v>
      </c>
      <c r="N396" t="n">
        <v>0</v>
      </c>
      <c r="O396" t="n">
        <v>0</v>
      </c>
      <c r="P396" t="n">
        <v>0</v>
      </c>
      <c r="Q396" t="n">
        <v>0</v>
      </c>
      <c r="R396" s="2" t="inlineStr"/>
    </row>
    <row r="397" ht="15" customHeight="1">
      <c r="A397" t="inlineStr">
        <is>
          <t>A 56502-2025</t>
        </is>
      </c>
      <c r="B397" s="1" t="n">
        <v>45975</v>
      </c>
      <c r="C397" s="1" t="n">
        <v>45986</v>
      </c>
      <c r="D397" t="inlineStr">
        <is>
          <t>VÄSTMANLANDS LÄN</t>
        </is>
      </c>
      <c r="E397" t="inlineStr">
        <is>
          <t>SALA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32902-2025</t>
        </is>
      </c>
      <c r="B398" s="1" t="n">
        <v>45839</v>
      </c>
      <c r="C398" s="1" t="n">
        <v>45986</v>
      </c>
      <c r="D398" t="inlineStr">
        <is>
          <t>VÄSTMANLANDS LÄN</t>
        </is>
      </c>
      <c r="E398" t="inlineStr">
        <is>
          <t>SALA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24864-2024</t>
        </is>
      </c>
      <c r="B399" s="1" t="n">
        <v>45461.48888888889</v>
      </c>
      <c r="C399" s="1" t="n">
        <v>45986</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24755-2021</t>
        </is>
      </c>
      <c r="B400" s="1" t="n">
        <v>44340</v>
      </c>
      <c r="C400" s="1" t="n">
        <v>45986</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48910-2025</t>
        </is>
      </c>
      <c r="B401" s="1" t="n">
        <v>45937.48649305556</v>
      </c>
      <c r="C401" s="1" t="n">
        <v>45986</v>
      </c>
      <c r="D401" t="inlineStr">
        <is>
          <t>VÄSTMANLANDS LÄN</t>
        </is>
      </c>
      <c r="E401" t="inlineStr">
        <is>
          <t>SALA</t>
        </is>
      </c>
      <c r="G401" t="n">
        <v>7.8</v>
      </c>
      <c r="H401" t="n">
        <v>0</v>
      </c>
      <c r="I401" t="n">
        <v>0</v>
      </c>
      <c r="J401" t="n">
        <v>0</v>
      </c>
      <c r="K401" t="n">
        <v>0</v>
      </c>
      <c r="L401" t="n">
        <v>0</v>
      </c>
      <c r="M401" t="n">
        <v>0</v>
      </c>
      <c r="N401" t="n">
        <v>0</v>
      </c>
      <c r="O401" t="n">
        <v>0</v>
      </c>
      <c r="P401" t="n">
        <v>0</v>
      </c>
      <c r="Q401" t="n">
        <v>0</v>
      </c>
      <c r="R401" s="2" t="inlineStr"/>
    </row>
    <row r="402" ht="15" customHeight="1">
      <c r="A402" t="inlineStr">
        <is>
          <t>A 57414-2025</t>
        </is>
      </c>
      <c r="B402" s="1" t="n">
        <v>45980.45003472222</v>
      </c>
      <c r="C402" s="1" t="n">
        <v>45986</v>
      </c>
      <c r="D402" t="inlineStr">
        <is>
          <t>VÄSTMANLANDS LÄN</t>
        </is>
      </c>
      <c r="E402" t="inlineStr">
        <is>
          <t>SALA</t>
        </is>
      </c>
      <c r="F402" t="inlineStr">
        <is>
          <t>Bergvik skog öst AB</t>
        </is>
      </c>
      <c r="G402" t="n">
        <v>2</v>
      </c>
      <c r="H402" t="n">
        <v>0</v>
      </c>
      <c r="I402" t="n">
        <v>0</v>
      </c>
      <c r="J402" t="n">
        <v>0</v>
      </c>
      <c r="K402" t="n">
        <v>0</v>
      </c>
      <c r="L402" t="n">
        <v>0</v>
      </c>
      <c r="M402" t="n">
        <v>0</v>
      </c>
      <c r="N402" t="n">
        <v>0</v>
      </c>
      <c r="O402" t="n">
        <v>0</v>
      </c>
      <c r="P402" t="n">
        <v>0</v>
      </c>
      <c r="Q402" t="n">
        <v>0</v>
      </c>
      <c r="R402" s="2" t="inlineStr"/>
    </row>
    <row r="403" ht="15" customHeight="1">
      <c r="A403" t="inlineStr">
        <is>
          <t>A 57415-2025</t>
        </is>
      </c>
      <c r="B403" s="1" t="n">
        <v>45980.45099537037</v>
      </c>
      <c r="C403" s="1" t="n">
        <v>45986</v>
      </c>
      <c r="D403" t="inlineStr">
        <is>
          <t>VÄSTMANLANDS LÄN</t>
        </is>
      </c>
      <c r="E403" t="inlineStr">
        <is>
          <t>SALA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49585-2025</t>
        </is>
      </c>
      <c r="B404" s="1" t="n">
        <v>45939.5043287037</v>
      </c>
      <c r="C404" s="1" t="n">
        <v>45986</v>
      </c>
      <c r="D404" t="inlineStr">
        <is>
          <t>VÄSTMANLANDS LÄN</t>
        </is>
      </c>
      <c r="E404" t="inlineStr">
        <is>
          <t>SALA</t>
        </is>
      </c>
      <c r="G404" t="n">
        <v>2.2</v>
      </c>
      <c r="H404" t="n">
        <v>0</v>
      </c>
      <c r="I404" t="n">
        <v>0</v>
      </c>
      <c r="J404" t="n">
        <v>0</v>
      </c>
      <c r="K404" t="n">
        <v>0</v>
      </c>
      <c r="L404" t="n">
        <v>0</v>
      </c>
      <c r="M404" t="n">
        <v>0</v>
      </c>
      <c r="N404" t="n">
        <v>0</v>
      </c>
      <c r="O404" t="n">
        <v>0</v>
      </c>
      <c r="P404" t="n">
        <v>0</v>
      </c>
      <c r="Q404" t="n">
        <v>0</v>
      </c>
      <c r="R404" s="2" t="inlineStr"/>
    </row>
    <row r="405" ht="15" customHeight="1">
      <c r="A405" t="inlineStr">
        <is>
          <t>A 28696-2023</t>
        </is>
      </c>
      <c r="B405" s="1" t="n">
        <v>45103.71759259259</v>
      </c>
      <c r="C405" s="1" t="n">
        <v>45986</v>
      </c>
      <c r="D405" t="inlineStr">
        <is>
          <t>VÄSTMANLANDS LÄN</t>
        </is>
      </c>
      <c r="E405" t="inlineStr">
        <is>
          <t>SALA</t>
        </is>
      </c>
      <c r="F405" t="inlineStr">
        <is>
          <t>Kommuner</t>
        </is>
      </c>
      <c r="G405" t="n">
        <v>5.9</v>
      </c>
      <c r="H405" t="n">
        <v>0</v>
      </c>
      <c r="I405" t="n">
        <v>0</v>
      </c>
      <c r="J405" t="n">
        <v>0</v>
      </c>
      <c r="K405" t="n">
        <v>0</v>
      </c>
      <c r="L405" t="n">
        <v>0</v>
      </c>
      <c r="M405" t="n">
        <v>0</v>
      </c>
      <c r="N405" t="n">
        <v>0</v>
      </c>
      <c r="O405" t="n">
        <v>0</v>
      </c>
      <c r="P405" t="n">
        <v>0</v>
      </c>
      <c r="Q405" t="n">
        <v>0</v>
      </c>
      <c r="R405" s="2" t="inlineStr"/>
    </row>
    <row r="406" ht="15" customHeight="1">
      <c r="A406" t="inlineStr">
        <is>
          <t>A 49640-2025</t>
        </is>
      </c>
      <c r="B406" s="1" t="n">
        <v>45939.61459490741</v>
      </c>
      <c r="C406" s="1" t="n">
        <v>45986</v>
      </c>
      <c r="D406" t="inlineStr">
        <is>
          <t>VÄSTMANLANDS LÄN</t>
        </is>
      </c>
      <c r="E406" t="inlineStr">
        <is>
          <t>SALA</t>
        </is>
      </c>
      <c r="F406" t="inlineStr">
        <is>
          <t>Kommuner</t>
        </is>
      </c>
      <c r="G406" t="n">
        <v>18.8</v>
      </c>
      <c r="H406" t="n">
        <v>0</v>
      </c>
      <c r="I406" t="n">
        <v>0</v>
      </c>
      <c r="J406" t="n">
        <v>0</v>
      </c>
      <c r="K406" t="n">
        <v>0</v>
      </c>
      <c r="L406" t="n">
        <v>0</v>
      </c>
      <c r="M406" t="n">
        <v>0</v>
      </c>
      <c r="N406" t="n">
        <v>0</v>
      </c>
      <c r="O406" t="n">
        <v>0</v>
      </c>
      <c r="P406" t="n">
        <v>0</v>
      </c>
      <c r="Q406" t="n">
        <v>0</v>
      </c>
      <c r="R406" s="2" t="inlineStr"/>
    </row>
    <row r="407" ht="15" customHeight="1">
      <c r="A407" t="inlineStr">
        <is>
          <t>A 6691-2025</t>
        </is>
      </c>
      <c r="B407" s="1" t="n">
        <v>45700.50625</v>
      </c>
      <c r="C407" s="1" t="n">
        <v>45986</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1934-2023</t>
        </is>
      </c>
      <c r="B408" s="1" t="n">
        <v>44939.43024305555</v>
      </c>
      <c r="C408" s="1" t="n">
        <v>45986</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57412-2025</t>
        </is>
      </c>
      <c r="B409" s="1" t="n">
        <v>45980.44883101852</v>
      </c>
      <c r="C409" s="1" t="n">
        <v>45986</v>
      </c>
      <c r="D409" t="inlineStr">
        <is>
          <t>VÄSTMANLANDS LÄN</t>
        </is>
      </c>
      <c r="E409" t="inlineStr">
        <is>
          <t>SALA</t>
        </is>
      </c>
      <c r="F409" t="inlineStr">
        <is>
          <t>Bergvik skog öst AB</t>
        </is>
      </c>
      <c r="G409" t="n">
        <v>4.5</v>
      </c>
      <c r="H409" t="n">
        <v>0</v>
      </c>
      <c r="I409" t="n">
        <v>0</v>
      </c>
      <c r="J409" t="n">
        <v>0</v>
      </c>
      <c r="K409" t="n">
        <v>0</v>
      </c>
      <c r="L409" t="n">
        <v>0</v>
      </c>
      <c r="M409" t="n">
        <v>0</v>
      </c>
      <c r="N409" t="n">
        <v>0</v>
      </c>
      <c r="O409" t="n">
        <v>0</v>
      </c>
      <c r="P409" t="n">
        <v>0</v>
      </c>
      <c r="Q409" t="n">
        <v>0</v>
      </c>
      <c r="R409" s="2" t="inlineStr"/>
    </row>
    <row r="410" ht="15" customHeight="1">
      <c r="A410" t="inlineStr">
        <is>
          <t>A 35519-2024</t>
        </is>
      </c>
      <c r="B410" s="1" t="n">
        <v>45531</v>
      </c>
      <c r="C410" s="1" t="n">
        <v>45986</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50241-2023</t>
        </is>
      </c>
      <c r="B411" s="1" t="n">
        <v>45216</v>
      </c>
      <c r="C411" s="1" t="n">
        <v>45986</v>
      </c>
      <c r="D411" t="inlineStr">
        <is>
          <t>VÄSTMANLANDS LÄN</t>
        </is>
      </c>
      <c r="E411" t="inlineStr">
        <is>
          <t>SALA</t>
        </is>
      </c>
      <c r="G411" t="n">
        <v>1.9</v>
      </c>
      <c r="H411" t="n">
        <v>0</v>
      </c>
      <c r="I411" t="n">
        <v>0</v>
      </c>
      <c r="J411" t="n">
        <v>0</v>
      </c>
      <c r="K411" t="n">
        <v>0</v>
      </c>
      <c r="L411" t="n">
        <v>0</v>
      </c>
      <c r="M411" t="n">
        <v>0</v>
      </c>
      <c r="N411" t="n">
        <v>0</v>
      </c>
      <c r="O411" t="n">
        <v>0</v>
      </c>
      <c r="P411" t="n">
        <v>0</v>
      </c>
      <c r="Q411" t="n">
        <v>0</v>
      </c>
      <c r="R411" s="2" t="inlineStr"/>
    </row>
    <row r="412" ht="15" customHeight="1">
      <c r="A412" t="inlineStr">
        <is>
          <t>A 30971-2022</t>
        </is>
      </c>
      <c r="B412" s="1" t="n">
        <v>44768.46725694444</v>
      </c>
      <c r="C412" s="1" t="n">
        <v>45986</v>
      </c>
      <c r="D412" t="inlineStr">
        <is>
          <t>VÄSTMANLANDS LÄN</t>
        </is>
      </c>
      <c r="E412" t="inlineStr">
        <is>
          <t>SALA</t>
        </is>
      </c>
      <c r="G412" t="n">
        <v>2.4</v>
      </c>
      <c r="H412" t="n">
        <v>0</v>
      </c>
      <c r="I412" t="n">
        <v>0</v>
      </c>
      <c r="J412" t="n">
        <v>0</v>
      </c>
      <c r="K412" t="n">
        <v>0</v>
      </c>
      <c r="L412" t="n">
        <v>0</v>
      </c>
      <c r="M412" t="n">
        <v>0</v>
      </c>
      <c r="N412" t="n">
        <v>0</v>
      </c>
      <c r="O412" t="n">
        <v>0</v>
      </c>
      <c r="P412" t="n">
        <v>0</v>
      </c>
      <c r="Q412" t="n">
        <v>0</v>
      </c>
      <c r="R412" s="2" t="inlineStr"/>
    </row>
    <row r="413" ht="15" customHeight="1">
      <c r="A413" t="inlineStr">
        <is>
          <t>A 35637-2022</t>
        </is>
      </c>
      <c r="B413" s="1" t="n">
        <v>44799.55194444444</v>
      </c>
      <c r="C413" s="1" t="n">
        <v>45986</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58357-2025</t>
        </is>
      </c>
      <c r="B414" s="1" t="n">
        <v>45985.51518518518</v>
      </c>
      <c r="C414" s="1" t="n">
        <v>45986</v>
      </c>
      <c r="D414" t="inlineStr">
        <is>
          <t>VÄSTMANLANDS LÄN</t>
        </is>
      </c>
      <c r="E414" t="inlineStr">
        <is>
          <t>SALA</t>
        </is>
      </c>
      <c r="G414" t="n">
        <v>3</v>
      </c>
      <c r="H414" t="n">
        <v>0</v>
      </c>
      <c r="I414" t="n">
        <v>0</v>
      </c>
      <c r="J414" t="n">
        <v>0</v>
      </c>
      <c r="K414" t="n">
        <v>0</v>
      </c>
      <c r="L414" t="n">
        <v>0</v>
      </c>
      <c r="M414" t="n">
        <v>0</v>
      </c>
      <c r="N414" t="n">
        <v>0</v>
      </c>
      <c r="O414" t="n">
        <v>0</v>
      </c>
      <c r="P414" t="n">
        <v>0</v>
      </c>
      <c r="Q414" t="n">
        <v>0</v>
      </c>
      <c r="R414" s="2" t="inlineStr"/>
    </row>
    <row r="415" ht="15" customHeight="1">
      <c r="A415" t="inlineStr">
        <is>
          <t>A 19304-2025</t>
        </is>
      </c>
      <c r="B415" s="1" t="n">
        <v>45769</v>
      </c>
      <c r="C415" s="1" t="n">
        <v>45986</v>
      </c>
      <c r="D415" t="inlineStr">
        <is>
          <t>VÄSTMANLANDS LÄN</t>
        </is>
      </c>
      <c r="E415" t="inlineStr">
        <is>
          <t>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58359-2025</t>
        </is>
      </c>
      <c r="B416" s="1" t="n">
        <v>45985.51594907408</v>
      </c>
      <c r="C416" s="1" t="n">
        <v>45986</v>
      </c>
      <c r="D416" t="inlineStr">
        <is>
          <t>VÄSTMANLANDS LÄN</t>
        </is>
      </c>
      <c r="E416" t="inlineStr">
        <is>
          <t>SALA</t>
        </is>
      </c>
      <c r="G416" t="n">
        <v>3.7</v>
      </c>
      <c r="H416" t="n">
        <v>0</v>
      </c>
      <c r="I416" t="n">
        <v>0</v>
      </c>
      <c r="J416" t="n">
        <v>0</v>
      </c>
      <c r="K416" t="n">
        <v>0</v>
      </c>
      <c r="L416" t="n">
        <v>0</v>
      </c>
      <c r="M416" t="n">
        <v>0</v>
      </c>
      <c r="N416" t="n">
        <v>0</v>
      </c>
      <c r="O416" t="n">
        <v>0</v>
      </c>
      <c r="P416" t="n">
        <v>0</v>
      </c>
      <c r="Q416" t="n">
        <v>0</v>
      </c>
      <c r="R416" s="2" t="inlineStr"/>
    </row>
    <row r="417" ht="15" customHeight="1">
      <c r="A417" t="inlineStr">
        <is>
          <t>A 27038-2023</t>
        </is>
      </c>
      <c r="B417" s="1" t="n">
        <v>45095</v>
      </c>
      <c r="C417" s="1" t="n">
        <v>45986</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23182-2022</t>
        </is>
      </c>
      <c r="B418" s="1" t="n">
        <v>44719.79707175926</v>
      </c>
      <c r="C418" s="1" t="n">
        <v>45986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31859-2023</t>
        </is>
      </c>
      <c r="B419" s="1" t="n">
        <v>45118</v>
      </c>
      <c r="C419" s="1" t="n">
        <v>45986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c r="U419">
        <f>HYPERLINK("https://klasma.github.io/Logging_1981/knärot/A 31859-2023 karta knärot.png", "A 31859-2023")</f>
        <v/>
      </c>
      <c r="V419">
        <f>HYPERLINK("https://klasma.github.io/Logging_1981/klagomål/A 31859-2023 FSC-klagomål.docx", "A 31859-2023")</f>
        <v/>
      </c>
      <c r="W419">
        <f>HYPERLINK("https://klasma.github.io/Logging_1981/klagomålsmail/A 31859-2023 FSC-klagomål mail.docx", "A 31859-2023")</f>
        <v/>
      </c>
      <c r="X419">
        <f>HYPERLINK("https://klasma.github.io/Logging_1981/tillsyn/A 31859-2023 tillsynsbegäran.docx", "A 31859-2023")</f>
        <v/>
      </c>
      <c r="Y419">
        <f>HYPERLINK("https://klasma.github.io/Logging_1981/tillsynsmail/A 31859-2023 tillsynsbegäran mail.docx", "A 31859-2023")</f>
        <v/>
      </c>
    </row>
    <row r="420" ht="15" customHeight="1">
      <c r="A420" t="inlineStr">
        <is>
          <t>A 7469-2025</t>
        </is>
      </c>
      <c r="B420" s="1" t="n">
        <v>45705</v>
      </c>
      <c r="C420" s="1" t="n">
        <v>45986</v>
      </c>
      <c r="D420" t="inlineStr">
        <is>
          <t>VÄSTMANLANDS LÄN</t>
        </is>
      </c>
      <c r="E420" t="inlineStr">
        <is>
          <t>SALA</t>
        </is>
      </c>
      <c r="G420" t="n">
        <v>2.1</v>
      </c>
      <c r="H420" t="n">
        <v>0</v>
      </c>
      <c r="I420" t="n">
        <v>0</v>
      </c>
      <c r="J420" t="n">
        <v>0</v>
      </c>
      <c r="K420" t="n">
        <v>0</v>
      </c>
      <c r="L420" t="n">
        <v>0</v>
      </c>
      <c r="M420" t="n">
        <v>0</v>
      </c>
      <c r="N420" t="n">
        <v>0</v>
      </c>
      <c r="O420" t="n">
        <v>0</v>
      </c>
      <c r="P420" t="n">
        <v>0</v>
      </c>
      <c r="Q420" t="n">
        <v>0</v>
      </c>
      <c r="R420" s="2" t="inlineStr"/>
    </row>
    <row r="421" ht="15" customHeight="1">
      <c r="A421" t="inlineStr">
        <is>
          <t>A 50128-2025</t>
        </is>
      </c>
      <c r="B421" s="1" t="n">
        <v>45943.55318287037</v>
      </c>
      <c r="C421" s="1" t="n">
        <v>45986</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34069-2025</t>
        </is>
      </c>
      <c r="B422" s="1" t="n">
        <v>45845.43560185185</v>
      </c>
      <c r="C422" s="1" t="n">
        <v>45986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c r="U422">
        <f>HYPERLINK("https://klasma.github.io/Logging_1981/knärot/A 34069-2025 karta knärot.png", "A 34069-2025")</f>
        <v/>
      </c>
      <c r="V422">
        <f>HYPERLINK("https://klasma.github.io/Logging_1981/klagomål/A 34069-2025 FSC-klagomål.docx", "A 34069-2025")</f>
        <v/>
      </c>
      <c r="W422">
        <f>HYPERLINK("https://klasma.github.io/Logging_1981/klagomålsmail/A 34069-2025 FSC-klagomål mail.docx", "A 34069-2025")</f>
        <v/>
      </c>
      <c r="X422">
        <f>HYPERLINK("https://klasma.github.io/Logging_1981/tillsyn/A 34069-2025 tillsynsbegäran.docx", "A 34069-2025")</f>
        <v/>
      </c>
      <c r="Y422">
        <f>HYPERLINK("https://klasma.github.io/Logging_1981/tillsynsmail/A 34069-2025 tillsynsbegäran mail.docx", "A 34069-2025")</f>
        <v/>
      </c>
    </row>
    <row r="423" ht="15" customHeight="1">
      <c r="A423" t="inlineStr">
        <is>
          <t>A 60034-2024</t>
        </is>
      </c>
      <c r="B423" s="1" t="n">
        <v>45642.46261574074</v>
      </c>
      <c r="C423" s="1" t="n">
        <v>45986</v>
      </c>
      <c r="D423" t="inlineStr">
        <is>
          <t>VÄSTMANLANDS LÄN</t>
        </is>
      </c>
      <c r="E423" t="inlineStr">
        <is>
          <t>SALA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58282-2025</t>
        </is>
      </c>
      <c r="B424" s="1" t="n">
        <v>45985.44309027777</v>
      </c>
      <c r="C424" s="1" t="n">
        <v>45986</v>
      </c>
      <c r="D424" t="inlineStr">
        <is>
          <t>VÄSTMANLANDS LÄN</t>
        </is>
      </c>
      <c r="E424" t="inlineStr">
        <is>
          <t>SALA</t>
        </is>
      </c>
      <c r="G424" t="n">
        <v>8.9</v>
      </c>
      <c r="H424" t="n">
        <v>0</v>
      </c>
      <c r="I424" t="n">
        <v>0</v>
      </c>
      <c r="J424" t="n">
        <v>0</v>
      </c>
      <c r="K424" t="n">
        <v>0</v>
      </c>
      <c r="L424" t="n">
        <v>0</v>
      </c>
      <c r="M424" t="n">
        <v>0</v>
      </c>
      <c r="N424" t="n">
        <v>0</v>
      </c>
      <c r="O424" t="n">
        <v>0</v>
      </c>
      <c r="P424" t="n">
        <v>0</v>
      </c>
      <c r="Q424" t="n">
        <v>0</v>
      </c>
      <c r="R424" s="2" t="inlineStr"/>
    </row>
    <row r="425" ht="15" customHeight="1">
      <c r="A425" t="inlineStr">
        <is>
          <t>A 50119-2025</t>
        </is>
      </c>
      <c r="B425" s="1" t="n">
        <v>45943.54883101852</v>
      </c>
      <c r="C425" s="1" t="n">
        <v>45986</v>
      </c>
      <c r="D425" t="inlineStr">
        <is>
          <t>VÄSTMANLANDS LÄN</t>
        </is>
      </c>
      <c r="E425" t="inlineStr">
        <is>
          <t>SALA</t>
        </is>
      </c>
      <c r="G425" t="n">
        <v>3.3</v>
      </c>
      <c r="H425" t="n">
        <v>0</v>
      </c>
      <c r="I425" t="n">
        <v>0</v>
      </c>
      <c r="J425" t="n">
        <v>0</v>
      </c>
      <c r="K425" t="n">
        <v>0</v>
      </c>
      <c r="L425" t="n">
        <v>0</v>
      </c>
      <c r="M425" t="n">
        <v>0</v>
      </c>
      <c r="N425" t="n">
        <v>0</v>
      </c>
      <c r="O425" t="n">
        <v>0</v>
      </c>
      <c r="P425" t="n">
        <v>0</v>
      </c>
      <c r="Q425" t="n">
        <v>0</v>
      </c>
      <c r="R425" s="2" t="inlineStr"/>
    </row>
    <row r="426" ht="15" customHeight="1">
      <c r="A426" t="inlineStr">
        <is>
          <t>A 58365-2025</t>
        </is>
      </c>
      <c r="B426" s="1" t="n">
        <v>45985.52288194445</v>
      </c>
      <c r="C426" s="1" t="n">
        <v>45986</v>
      </c>
      <c r="D426" t="inlineStr">
        <is>
          <t>VÄSTMANLANDS LÄN</t>
        </is>
      </c>
      <c r="E426" t="inlineStr">
        <is>
          <t>SALA</t>
        </is>
      </c>
      <c r="G426" t="n">
        <v>3.9</v>
      </c>
      <c r="H426" t="n">
        <v>0</v>
      </c>
      <c r="I426" t="n">
        <v>0</v>
      </c>
      <c r="J426" t="n">
        <v>0</v>
      </c>
      <c r="K426" t="n">
        <v>0</v>
      </c>
      <c r="L426" t="n">
        <v>0</v>
      </c>
      <c r="M426" t="n">
        <v>0</v>
      </c>
      <c r="N426" t="n">
        <v>0</v>
      </c>
      <c r="O426" t="n">
        <v>0</v>
      </c>
      <c r="P426" t="n">
        <v>0</v>
      </c>
      <c r="Q426" t="n">
        <v>0</v>
      </c>
      <c r="R426" s="2" t="inlineStr"/>
    </row>
    <row r="427" ht="15" customHeight="1">
      <c r="A427" t="inlineStr">
        <is>
          <t>A 50059-2025</t>
        </is>
      </c>
      <c r="B427" s="1" t="n">
        <v>45943.44125</v>
      </c>
      <c r="C427" s="1" t="n">
        <v>45986</v>
      </c>
      <c r="D427" t="inlineStr">
        <is>
          <t>VÄSTMANLANDS LÄN</t>
        </is>
      </c>
      <c r="E427" t="inlineStr">
        <is>
          <t>SALA</t>
        </is>
      </c>
      <c r="G427" t="n">
        <v>4.4</v>
      </c>
      <c r="H427" t="n">
        <v>0</v>
      </c>
      <c r="I427" t="n">
        <v>0</v>
      </c>
      <c r="J427" t="n">
        <v>0</v>
      </c>
      <c r="K427" t="n">
        <v>0</v>
      </c>
      <c r="L427" t="n">
        <v>0</v>
      </c>
      <c r="M427" t="n">
        <v>0</v>
      </c>
      <c r="N427" t="n">
        <v>0</v>
      </c>
      <c r="O427" t="n">
        <v>0</v>
      </c>
      <c r="P427" t="n">
        <v>0</v>
      </c>
      <c r="Q427" t="n">
        <v>0</v>
      </c>
      <c r="R427" s="2" t="inlineStr"/>
    </row>
    <row r="428" ht="15" customHeight="1">
      <c r="A428" t="inlineStr">
        <is>
          <t>A 58364-2025</t>
        </is>
      </c>
      <c r="B428" s="1" t="n">
        <v>45985.5228125</v>
      </c>
      <c r="C428" s="1" t="n">
        <v>45986</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34867-2023</t>
        </is>
      </c>
      <c r="B429" s="1" t="n">
        <v>45142.33481481481</v>
      </c>
      <c r="C429" s="1" t="n">
        <v>45986</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15744-2025</t>
        </is>
      </c>
      <c r="B430" s="1" t="n">
        <v>45748</v>
      </c>
      <c r="C430" s="1" t="n">
        <v>45986</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11631-2023</t>
        </is>
      </c>
      <c r="B431" s="1" t="n">
        <v>44994.44001157407</v>
      </c>
      <c r="C431" s="1" t="n">
        <v>45986</v>
      </c>
      <c r="D431" t="inlineStr">
        <is>
          <t>VÄSTMANLANDS LÄN</t>
        </is>
      </c>
      <c r="E431" t="inlineStr">
        <is>
          <t>SALA</t>
        </is>
      </c>
      <c r="F431" t="inlineStr">
        <is>
          <t>Kommuner</t>
        </is>
      </c>
      <c r="G431" t="n">
        <v>1.9</v>
      </c>
      <c r="H431" t="n">
        <v>0</v>
      </c>
      <c r="I431" t="n">
        <v>0</v>
      </c>
      <c r="J431" t="n">
        <v>0</v>
      </c>
      <c r="K431" t="n">
        <v>0</v>
      </c>
      <c r="L431" t="n">
        <v>0</v>
      </c>
      <c r="M431" t="n">
        <v>0</v>
      </c>
      <c r="N431" t="n">
        <v>0</v>
      </c>
      <c r="O431" t="n">
        <v>0</v>
      </c>
      <c r="P431" t="n">
        <v>0</v>
      </c>
      <c r="Q431" t="n">
        <v>0</v>
      </c>
      <c r="R431" s="2" t="inlineStr"/>
    </row>
    <row r="432" ht="15" customHeight="1">
      <c r="A432" t="inlineStr">
        <is>
          <t>A 8775-2024</t>
        </is>
      </c>
      <c r="B432" s="1" t="n">
        <v>45356</v>
      </c>
      <c r="C432" s="1" t="n">
        <v>45986</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48710-2024</t>
        </is>
      </c>
      <c r="B433" s="1" t="n">
        <v>45593.53636574074</v>
      </c>
      <c r="C433" s="1" t="n">
        <v>45986</v>
      </c>
      <c r="D433" t="inlineStr">
        <is>
          <t>VÄSTMANLANDS LÄN</t>
        </is>
      </c>
      <c r="E433" t="inlineStr">
        <is>
          <t>SALA</t>
        </is>
      </c>
      <c r="G433" t="n">
        <v>6.5</v>
      </c>
      <c r="H433" t="n">
        <v>0</v>
      </c>
      <c r="I433" t="n">
        <v>0</v>
      </c>
      <c r="J433" t="n">
        <v>0</v>
      </c>
      <c r="K433" t="n">
        <v>0</v>
      </c>
      <c r="L433" t="n">
        <v>0</v>
      </c>
      <c r="M433" t="n">
        <v>0</v>
      </c>
      <c r="N433" t="n">
        <v>0</v>
      </c>
      <c r="O433" t="n">
        <v>0</v>
      </c>
      <c r="P433" t="n">
        <v>0</v>
      </c>
      <c r="Q433" t="n">
        <v>0</v>
      </c>
      <c r="R433" s="2" t="inlineStr"/>
    </row>
    <row r="434" ht="15" customHeight="1">
      <c r="A434" t="inlineStr">
        <is>
          <t>A 16404-2022</t>
        </is>
      </c>
      <c r="B434" s="1" t="n">
        <v>44671</v>
      </c>
      <c r="C434" s="1" t="n">
        <v>45986</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24248-2023</t>
        </is>
      </c>
      <c r="B435" s="1" t="n">
        <v>45079</v>
      </c>
      <c r="C435" s="1" t="n">
        <v>45986</v>
      </c>
      <c r="D435" t="inlineStr">
        <is>
          <t>VÄSTMANLANDS LÄN</t>
        </is>
      </c>
      <c r="E435" t="inlineStr">
        <is>
          <t>SALA</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35775-2025</t>
        </is>
      </c>
      <c r="B436" s="1" t="n">
        <v>45860</v>
      </c>
      <c r="C436" s="1" t="n">
        <v>45986</v>
      </c>
      <c r="D436" t="inlineStr">
        <is>
          <t>VÄSTMANLANDS LÄN</t>
        </is>
      </c>
      <c r="E436" t="inlineStr">
        <is>
          <t>SALA</t>
        </is>
      </c>
      <c r="G436" t="n">
        <v>2.6</v>
      </c>
      <c r="H436" t="n">
        <v>0</v>
      </c>
      <c r="I436" t="n">
        <v>0</v>
      </c>
      <c r="J436" t="n">
        <v>0</v>
      </c>
      <c r="K436" t="n">
        <v>0</v>
      </c>
      <c r="L436" t="n">
        <v>0</v>
      </c>
      <c r="M436" t="n">
        <v>0</v>
      </c>
      <c r="N436" t="n">
        <v>0</v>
      </c>
      <c r="O436" t="n">
        <v>0</v>
      </c>
      <c r="P436" t="n">
        <v>0</v>
      </c>
      <c r="Q436" t="n">
        <v>0</v>
      </c>
      <c r="R436" s="2" t="inlineStr"/>
    </row>
    <row r="437" ht="15" customHeight="1">
      <c r="A437" t="inlineStr">
        <is>
          <t>A 35779-2025</t>
        </is>
      </c>
      <c r="B437" s="1" t="n">
        <v>45860.69495370371</v>
      </c>
      <c r="C437" s="1" t="n">
        <v>45986</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10559-2024</t>
        </is>
      </c>
      <c r="B438" s="1" t="n">
        <v>45366</v>
      </c>
      <c r="C438" s="1" t="n">
        <v>45986</v>
      </c>
      <c r="D438" t="inlineStr">
        <is>
          <t>VÄSTMANLANDS LÄN</t>
        </is>
      </c>
      <c r="E438" t="inlineStr">
        <is>
          <t>SALA</t>
        </is>
      </c>
      <c r="G438" t="n">
        <v>0.3</v>
      </c>
      <c r="H438" t="n">
        <v>0</v>
      </c>
      <c r="I438" t="n">
        <v>0</v>
      </c>
      <c r="J438" t="n">
        <v>0</v>
      </c>
      <c r="K438" t="n">
        <v>0</v>
      </c>
      <c r="L438" t="n">
        <v>0</v>
      </c>
      <c r="M438" t="n">
        <v>0</v>
      </c>
      <c r="N438" t="n">
        <v>0</v>
      </c>
      <c r="O438" t="n">
        <v>0</v>
      </c>
      <c r="P438" t="n">
        <v>0</v>
      </c>
      <c r="Q438" t="n">
        <v>0</v>
      </c>
      <c r="R438" s="2" t="inlineStr"/>
    </row>
    <row r="439" ht="15" customHeight="1">
      <c r="A439" t="inlineStr">
        <is>
          <t>A 35776-2025</t>
        </is>
      </c>
      <c r="B439" s="1" t="n">
        <v>45860.69211805556</v>
      </c>
      <c r="C439" s="1" t="n">
        <v>45986</v>
      </c>
      <c r="D439" t="inlineStr">
        <is>
          <t>VÄSTMANLANDS LÄN</t>
        </is>
      </c>
      <c r="E439" t="inlineStr">
        <is>
          <t>SALA</t>
        </is>
      </c>
      <c r="G439" t="n">
        <v>14.2</v>
      </c>
      <c r="H439" t="n">
        <v>0</v>
      </c>
      <c r="I439" t="n">
        <v>0</v>
      </c>
      <c r="J439" t="n">
        <v>0</v>
      </c>
      <c r="K439" t="n">
        <v>0</v>
      </c>
      <c r="L439" t="n">
        <v>0</v>
      </c>
      <c r="M439" t="n">
        <v>0</v>
      </c>
      <c r="N439" t="n">
        <v>0</v>
      </c>
      <c r="O439" t="n">
        <v>0</v>
      </c>
      <c r="P439" t="n">
        <v>0</v>
      </c>
      <c r="Q439" t="n">
        <v>0</v>
      </c>
      <c r="R439" s="2" t="inlineStr"/>
    </row>
    <row r="440" ht="15" customHeight="1">
      <c r="A440" t="inlineStr">
        <is>
          <t>A 40214-2023</t>
        </is>
      </c>
      <c r="B440" s="1" t="n">
        <v>45169.45173611111</v>
      </c>
      <c r="C440" s="1" t="n">
        <v>45986</v>
      </c>
      <c r="D440" t="inlineStr">
        <is>
          <t>VÄSTMANLANDS LÄN</t>
        </is>
      </c>
      <c r="E440" t="inlineStr">
        <is>
          <t>SALA</t>
        </is>
      </c>
      <c r="G440" t="n">
        <v>5.5</v>
      </c>
      <c r="H440" t="n">
        <v>0</v>
      </c>
      <c r="I440" t="n">
        <v>0</v>
      </c>
      <c r="J440" t="n">
        <v>0</v>
      </c>
      <c r="K440" t="n">
        <v>0</v>
      </c>
      <c r="L440" t="n">
        <v>0</v>
      </c>
      <c r="M440" t="n">
        <v>0</v>
      </c>
      <c r="N440" t="n">
        <v>0</v>
      </c>
      <c r="O440" t="n">
        <v>0</v>
      </c>
      <c r="P440" t="n">
        <v>0</v>
      </c>
      <c r="Q440" t="n">
        <v>0</v>
      </c>
      <c r="R440" s="2" t="inlineStr"/>
    </row>
    <row r="441" ht="15" customHeight="1">
      <c r="A441" t="inlineStr">
        <is>
          <t>A 35715-2025</t>
        </is>
      </c>
      <c r="B441" s="1" t="n">
        <v>45860.42148148148</v>
      </c>
      <c r="C441" s="1" t="n">
        <v>45986</v>
      </c>
      <c r="D441" t="inlineStr">
        <is>
          <t>VÄSTMANLANDS LÄN</t>
        </is>
      </c>
      <c r="E441" t="inlineStr">
        <is>
          <t>SALA</t>
        </is>
      </c>
      <c r="G441" t="n">
        <v>3.8</v>
      </c>
      <c r="H441" t="n">
        <v>0</v>
      </c>
      <c r="I441" t="n">
        <v>0</v>
      </c>
      <c r="J441" t="n">
        <v>0</v>
      </c>
      <c r="K441" t="n">
        <v>0</v>
      </c>
      <c r="L441" t="n">
        <v>0</v>
      </c>
      <c r="M441" t="n">
        <v>0</v>
      </c>
      <c r="N441" t="n">
        <v>0</v>
      </c>
      <c r="O441" t="n">
        <v>0</v>
      </c>
      <c r="P441" t="n">
        <v>0</v>
      </c>
      <c r="Q441" t="n">
        <v>0</v>
      </c>
      <c r="R441" s="2" t="inlineStr"/>
    </row>
    <row r="442" ht="15" customHeight="1">
      <c r="A442" t="inlineStr">
        <is>
          <t>A 9856-2022</t>
        </is>
      </c>
      <c r="B442" s="1" t="n">
        <v>44620</v>
      </c>
      <c r="C442" s="1" t="n">
        <v>45986</v>
      </c>
      <c r="D442" t="inlineStr">
        <is>
          <t>VÄSTMANLANDS LÄN</t>
        </is>
      </c>
      <c r="E442" t="inlineStr">
        <is>
          <t>SALA</t>
        </is>
      </c>
      <c r="G442" t="n">
        <v>2.4</v>
      </c>
      <c r="H442" t="n">
        <v>0</v>
      </c>
      <c r="I442" t="n">
        <v>0</v>
      </c>
      <c r="J442" t="n">
        <v>0</v>
      </c>
      <c r="K442" t="n">
        <v>0</v>
      </c>
      <c r="L442" t="n">
        <v>0</v>
      </c>
      <c r="M442" t="n">
        <v>0</v>
      </c>
      <c r="N442" t="n">
        <v>0</v>
      </c>
      <c r="O442" t="n">
        <v>0</v>
      </c>
      <c r="P442" t="n">
        <v>0</v>
      </c>
      <c r="Q442" t="n">
        <v>0</v>
      </c>
      <c r="R442" s="2" t="inlineStr"/>
    </row>
    <row r="443" ht="15" customHeight="1">
      <c r="A443" t="inlineStr">
        <is>
          <t>A 18100-2023</t>
        </is>
      </c>
      <c r="B443" s="1" t="n">
        <v>45040</v>
      </c>
      <c r="C443" s="1" t="n">
        <v>45986</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35651-2025</t>
        </is>
      </c>
      <c r="B444" s="1" t="n">
        <v>45859.52435185185</v>
      </c>
      <c r="C444" s="1" t="n">
        <v>45986</v>
      </c>
      <c r="D444" t="inlineStr">
        <is>
          <t>VÄSTMANLANDS LÄN</t>
        </is>
      </c>
      <c r="E444" t="inlineStr">
        <is>
          <t>SALA</t>
        </is>
      </c>
      <c r="G444" t="n">
        <v>6.3</v>
      </c>
      <c r="H444" t="n">
        <v>0</v>
      </c>
      <c r="I444" t="n">
        <v>0</v>
      </c>
      <c r="J444" t="n">
        <v>0</v>
      </c>
      <c r="K444" t="n">
        <v>0</v>
      </c>
      <c r="L444" t="n">
        <v>0</v>
      </c>
      <c r="M444" t="n">
        <v>0</v>
      </c>
      <c r="N444" t="n">
        <v>0</v>
      </c>
      <c r="O444" t="n">
        <v>0</v>
      </c>
      <c r="P444" t="n">
        <v>0</v>
      </c>
      <c r="Q444" t="n">
        <v>0</v>
      </c>
      <c r="R444" s="2" t="inlineStr"/>
    </row>
    <row r="445" ht="15" customHeight="1">
      <c r="A445" t="inlineStr">
        <is>
          <t>A 35774-2025</t>
        </is>
      </c>
      <c r="B445" s="1" t="n">
        <v>45860.68780092592</v>
      </c>
      <c r="C445" s="1" t="n">
        <v>45986</v>
      </c>
      <c r="D445" t="inlineStr">
        <is>
          <t>VÄSTMANLANDS LÄN</t>
        </is>
      </c>
      <c r="E445" t="inlineStr">
        <is>
          <t>SALA</t>
        </is>
      </c>
      <c r="G445" t="n">
        <v>6.5</v>
      </c>
      <c r="H445" t="n">
        <v>0</v>
      </c>
      <c r="I445" t="n">
        <v>0</v>
      </c>
      <c r="J445" t="n">
        <v>0</v>
      </c>
      <c r="K445" t="n">
        <v>0</v>
      </c>
      <c r="L445" t="n">
        <v>0</v>
      </c>
      <c r="M445" t="n">
        <v>0</v>
      </c>
      <c r="N445" t="n">
        <v>0</v>
      </c>
      <c r="O445" t="n">
        <v>0</v>
      </c>
      <c r="P445" t="n">
        <v>0</v>
      </c>
      <c r="Q445" t="n">
        <v>0</v>
      </c>
      <c r="R445" s="2" t="inlineStr"/>
    </row>
    <row r="446" ht="15" customHeight="1">
      <c r="A446" t="inlineStr">
        <is>
          <t>A 23374-2023</t>
        </is>
      </c>
      <c r="B446" s="1" t="n">
        <v>45076.4399537037</v>
      </c>
      <c r="C446" s="1" t="n">
        <v>45986</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36060-2025</t>
        </is>
      </c>
      <c r="B447" s="1" t="n">
        <v>45866.39469907407</v>
      </c>
      <c r="C447" s="1" t="n">
        <v>45986</v>
      </c>
      <c r="D447" t="inlineStr">
        <is>
          <t>VÄSTMANLANDS LÄN</t>
        </is>
      </c>
      <c r="E447" t="inlineStr">
        <is>
          <t>SALA</t>
        </is>
      </c>
      <c r="F447" t="inlineStr">
        <is>
          <t>Kommuner</t>
        </is>
      </c>
      <c r="G447" t="n">
        <v>4.3</v>
      </c>
      <c r="H447" t="n">
        <v>0</v>
      </c>
      <c r="I447" t="n">
        <v>0</v>
      </c>
      <c r="J447" t="n">
        <v>0</v>
      </c>
      <c r="K447" t="n">
        <v>0</v>
      </c>
      <c r="L447" t="n">
        <v>0</v>
      </c>
      <c r="M447" t="n">
        <v>0</v>
      </c>
      <c r="N447" t="n">
        <v>0</v>
      </c>
      <c r="O447" t="n">
        <v>0</v>
      </c>
      <c r="P447" t="n">
        <v>0</v>
      </c>
      <c r="Q447" t="n">
        <v>0</v>
      </c>
      <c r="R447" s="2" t="inlineStr"/>
    </row>
    <row r="448" ht="15" customHeight="1">
      <c r="A448" t="inlineStr">
        <is>
          <t>A 36031-2025</t>
        </is>
      </c>
      <c r="B448" s="1" t="n">
        <v>45865.46111111111</v>
      </c>
      <c r="C448" s="1" t="n">
        <v>45986</v>
      </c>
      <c r="D448" t="inlineStr">
        <is>
          <t>VÄSTMANLANDS LÄN</t>
        </is>
      </c>
      <c r="E448" t="inlineStr">
        <is>
          <t>SALA</t>
        </is>
      </c>
      <c r="G448" t="n">
        <v>7.2</v>
      </c>
      <c r="H448" t="n">
        <v>0</v>
      </c>
      <c r="I448" t="n">
        <v>0</v>
      </c>
      <c r="J448" t="n">
        <v>0</v>
      </c>
      <c r="K448" t="n">
        <v>0</v>
      </c>
      <c r="L448" t="n">
        <v>0</v>
      </c>
      <c r="M448" t="n">
        <v>0</v>
      </c>
      <c r="N448" t="n">
        <v>0</v>
      </c>
      <c r="O448" t="n">
        <v>0</v>
      </c>
      <c r="P448" t="n">
        <v>0</v>
      </c>
      <c r="Q448" t="n">
        <v>0</v>
      </c>
      <c r="R448" s="2" t="inlineStr"/>
    </row>
    <row r="449" ht="15" customHeight="1">
      <c r="A449" t="inlineStr">
        <is>
          <t>A 36043-2025</t>
        </is>
      </c>
      <c r="B449" s="1" t="n">
        <v>45866.35333333333</v>
      </c>
      <c r="C449" s="1" t="n">
        <v>45986</v>
      </c>
      <c r="D449" t="inlineStr">
        <is>
          <t>VÄSTMANLANDS LÄN</t>
        </is>
      </c>
      <c r="E449" t="inlineStr">
        <is>
          <t>SALA</t>
        </is>
      </c>
      <c r="F449" t="inlineStr">
        <is>
          <t>Kommuner</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6134-2024</t>
        </is>
      </c>
      <c r="B450" s="1" t="n">
        <v>45337</v>
      </c>
      <c r="C450" s="1" t="n">
        <v>45986</v>
      </c>
      <c r="D450" t="inlineStr">
        <is>
          <t>VÄSTMANLANDS LÄN</t>
        </is>
      </c>
      <c r="E450" t="inlineStr">
        <is>
          <t>SALA</t>
        </is>
      </c>
      <c r="G450" t="n">
        <v>1.8</v>
      </c>
      <c r="H450" t="n">
        <v>0</v>
      </c>
      <c r="I450" t="n">
        <v>0</v>
      </c>
      <c r="J450" t="n">
        <v>0</v>
      </c>
      <c r="K450" t="n">
        <v>0</v>
      </c>
      <c r="L450" t="n">
        <v>0</v>
      </c>
      <c r="M450" t="n">
        <v>0</v>
      </c>
      <c r="N450" t="n">
        <v>0</v>
      </c>
      <c r="O450" t="n">
        <v>0</v>
      </c>
      <c r="P450" t="n">
        <v>0</v>
      </c>
      <c r="Q450" t="n">
        <v>0</v>
      </c>
      <c r="R450" s="2" t="inlineStr"/>
    </row>
    <row r="451" ht="15" customHeight="1">
      <c r="A451" t="inlineStr">
        <is>
          <t>A 48117-2024</t>
        </is>
      </c>
      <c r="B451" s="1" t="n">
        <v>45589</v>
      </c>
      <c r="C451" s="1" t="n">
        <v>45986</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36032-2025</t>
        </is>
      </c>
      <c r="B452" s="1" t="n">
        <v>45865.48740740741</v>
      </c>
      <c r="C452" s="1" t="n">
        <v>45986</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36049-2025</t>
        </is>
      </c>
      <c r="B453" s="1" t="n">
        <v>45866.37065972222</v>
      </c>
      <c r="C453" s="1" t="n">
        <v>45986</v>
      </c>
      <c r="D453" t="inlineStr">
        <is>
          <t>VÄSTMANLANDS LÄN</t>
        </is>
      </c>
      <c r="E453" t="inlineStr">
        <is>
          <t>SALA</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31082-2021</t>
        </is>
      </c>
      <c r="B454" s="1" t="n">
        <v>44368</v>
      </c>
      <c r="C454" s="1" t="n">
        <v>45986</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36045-2025</t>
        </is>
      </c>
      <c r="B455" s="1" t="n">
        <v>45866.36200231482</v>
      </c>
      <c r="C455" s="1" t="n">
        <v>45986</v>
      </c>
      <c r="D455" t="inlineStr">
        <is>
          <t>VÄSTMANLANDS LÄN</t>
        </is>
      </c>
      <c r="E455" t="inlineStr">
        <is>
          <t>SALA</t>
        </is>
      </c>
      <c r="F455" t="inlineStr">
        <is>
          <t>Kommuner</t>
        </is>
      </c>
      <c r="G455" t="n">
        <v>1.7</v>
      </c>
      <c r="H455" t="n">
        <v>0</v>
      </c>
      <c r="I455" t="n">
        <v>0</v>
      </c>
      <c r="J455" t="n">
        <v>0</v>
      </c>
      <c r="K455" t="n">
        <v>0</v>
      </c>
      <c r="L455" t="n">
        <v>0</v>
      </c>
      <c r="M455" t="n">
        <v>0</v>
      </c>
      <c r="N455" t="n">
        <v>0</v>
      </c>
      <c r="O455" t="n">
        <v>0</v>
      </c>
      <c r="P455" t="n">
        <v>0</v>
      </c>
      <c r="Q455" t="n">
        <v>0</v>
      </c>
      <c r="R455" s="2" t="inlineStr"/>
    </row>
    <row r="456" ht="15" customHeight="1">
      <c r="A456" t="inlineStr">
        <is>
          <t>A 31470-2021</t>
        </is>
      </c>
      <c r="B456" s="1" t="n">
        <v>44369</v>
      </c>
      <c r="C456" s="1" t="n">
        <v>45986</v>
      </c>
      <c r="D456" t="inlineStr">
        <is>
          <t>VÄSTMANLANDS LÄN</t>
        </is>
      </c>
      <c r="E456" t="inlineStr">
        <is>
          <t>SALA</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24175-2024</t>
        </is>
      </c>
      <c r="B457" s="1" t="n">
        <v>45456</v>
      </c>
      <c r="C457" s="1" t="n">
        <v>45986</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28328-2023</t>
        </is>
      </c>
      <c r="B458" s="1" t="n">
        <v>45099.71063657408</v>
      </c>
      <c r="C458" s="1" t="n">
        <v>45986</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17766-2025</t>
        </is>
      </c>
      <c r="B459" s="1" t="n">
        <v>45758</v>
      </c>
      <c r="C459" s="1" t="n">
        <v>45986</v>
      </c>
      <c r="D459" t="inlineStr">
        <is>
          <t>VÄSTMANLANDS LÄN</t>
        </is>
      </c>
      <c r="E459" t="inlineStr">
        <is>
          <t>SALA</t>
        </is>
      </c>
      <c r="G459" t="n">
        <v>16.5</v>
      </c>
      <c r="H459" t="n">
        <v>0</v>
      </c>
      <c r="I459" t="n">
        <v>0</v>
      </c>
      <c r="J459" t="n">
        <v>0</v>
      </c>
      <c r="K459" t="n">
        <v>0</v>
      </c>
      <c r="L459" t="n">
        <v>0</v>
      </c>
      <c r="M459" t="n">
        <v>0</v>
      </c>
      <c r="N459" t="n">
        <v>0</v>
      </c>
      <c r="O459" t="n">
        <v>0</v>
      </c>
      <c r="P459" t="n">
        <v>0</v>
      </c>
      <c r="Q459" t="n">
        <v>0</v>
      </c>
      <c r="R459" s="2" t="inlineStr"/>
    </row>
    <row r="460" ht="15" customHeight="1">
      <c r="A460" t="inlineStr">
        <is>
          <t>A 31863-2025</t>
        </is>
      </c>
      <c r="B460" s="1" t="n">
        <v>45834.63303240741</v>
      </c>
      <c r="C460" s="1" t="n">
        <v>45986</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61715-2024</t>
        </is>
      </c>
      <c r="B461" s="1" t="n">
        <v>45648.89519675926</v>
      </c>
      <c r="C461" s="1" t="n">
        <v>45986</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3546-2025</t>
        </is>
      </c>
      <c r="B462" s="1" t="n">
        <v>45680</v>
      </c>
      <c r="C462" s="1" t="n">
        <v>45986</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38195-2021</t>
        </is>
      </c>
      <c r="B463" s="1" t="n">
        <v>44405</v>
      </c>
      <c r="C463" s="1" t="n">
        <v>45986</v>
      </c>
      <c r="D463" t="inlineStr">
        <is>
          <t>VÄSTMANLANDS LÄN</t>
        </is>
      </c>
      <c r="E463" t="inlineStr">
        <is>
          <t>SALA</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31869-2025</t>
        </is>
      </c>
      <c r="B464" s="1" t="n">
        <v>45834.64555555556</v>
      </c>
      <c r="C464" s="1" t="n">
        <v>45986</v>
      </c>
      <c r="D464" t="inlineStr">
        <is>
          <t>VÄSTMANLANDS LÄN</t>
        </is>
      </c>
      <c r="E464" t="inlineStr">
        <is>
          <t>SALA</t>
        </is>
      </c>
      <c r="G464" t="n">
        <v>17.5</v>
      </c>
      <c r="H464" t="n">
        <v>0</v>
      </c>
      <c r="I464" t="n">
        <v>0</v>
      </c>
      <c r="J464" t="n">
        <v>0</v>
      </c>
      <c r="K464" t="n">
        <v>0</v>
      </c>
      <c r="L464" t="n">
        <v>0</v>
      </c>
      <c r="M464" t="n">
        <v>0</v>
      </c>
      <c r="N464" t="n">
        <v>0</v>
      </c>
      <c r="O464" t="n">
        <v>0</v>
      </c>
      <c r="P464" t="n">
        <v>0</v>
      </c>
      <c r="Q464" t="n">
        <v>0</v>
      </c>
      <c r="R464" s="2" t="inlineStr"/>
    </row>
    <row r="465" ht="15" customHeight="1">
      <c r="A465" t="inlineStr">
        <is>
          <t>A 7664-2023</t>
        </is>
      </c>
      <c r="B465" s="1" t="n">
        <v>44972</v>
      </c>
      <c r="C465" s="1" t="n">
        <v>45986</v>
      </c>
      <c r="D465" t="inlineStr">
        <is>
          <t>VÄSTMANLANDS LÄN</t>
        </is>
      </c>
      <c r="E465" t="inlineStr">
        <is>
          <t>SALA</t>
        </is>
      </c>
      <c r="G465" t="n">
        <v>1.4</v>
      </c>
      <c r="H465" t="n">
        <v>0</v>
      </c>
      <c r="I465" t="n">
        <v>0</v>
      </c>
      <c r="J465" t="n">
        <v>0</v>
      </c>
      <c r="K465" t="n">
        <v>0</v>
      </c>
      <c r="L465" t="n">
        <v>0</v>
      </c>
      <c r="M465" t="n">
        <v>0</v>
      </c>
      <c r="N465" t="n">
        <v>0</v>
      </c>
      <c r="O465" t="n">
        <v>0</v>
      </c>
      <c r="P465" t="n">
        <v>0</v>
      </c>
      <c r="Q465" t="n">
        <v>0</v>
      </c>
      <c r="R465" s="2" t="inlineStr"/>
    </row>
    <row r="466" ht="15" customHeight="1">
      <c r="A466" t="inlineStr">
        <is>
          <t>A 17985-2025</t>
        </is>
      </c>
      <c r="B466" s="1" t="n">
        <v>45761</v>
      </c>
      <c r="C466" s="1" t="n">
        <v>45986</v>
      </c>
      <c r="D466" t="inlineStr">
        <is>
          <t>VÄSTMANLANDS LÄN</t>
        </is>
      </c>
      <c r="E466" t="inlineStr">
        <is>
          <t>SALA</t>
        </is>
      </c>
      <c r="G466" t="n">
        <v>12.5</v>
      </c>
      <c r="H466" t="n">
        <v>0</v>
      </c>
      <c r="I466" t="n">
        <v>0</v>
      </c>
      <c r="J466" t="n">
        <v>0</v>
      </c>
      <c r="K466" t="n">
        <v>0</v>
      </c>
      <c r="L466" t="n">
        <v>0</v>
      </c>
      <c r="M466" t="n">
        <v>0</v>
      </c>
      <c r="N466" t="n">
        <v>0</v>
      </c>
      <c r="O466" t="n">
        <v>0</v>
      </c>
      <c r="P466" t="n">
        <v>0</v>
      </c>
      <c r="Q466" t="n">
        <v>0</v>
      </c>
      <c r="R466" s="2" t="inlineStr"/>
    </row>
    <row r="467" ht="15" customHeight="1">
      <c r="A467" t="inlineStr">
        <is>
          <t>A 6132-2025</t>
        </is>
      </c>
      <c r="B467" s="1" t="n">
        <v>45698</v>
      </c>
      <c r="C467" s="1" t="n">
        <v>45986</v>
      </c>
      <c r="D467" t="inlineStr">
        <is>
          <t>VÄSTMANLANDS LÄN</t>
        </is>
      </c>
      <c r="E467" t="inlineStr">
        <is>
          <t>SALA</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21777-2022</t>
        </is>
      </c>
      <c r="B468" s="1" t="n">
        <v>44708.48194444444</v>
      </c>
      <c r="C468" s="1" t="n">
        <v>45986</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11389-2024</t>
        </is>
      </c>
      <c r="B469" s="1" t="n">
        <v>45372.45016203704</v>
      </c>
      <c r="C469" s="1" t="n">
        <v>45986</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37103-2025</t>
        </is>
      </c>
      <c r="B470" s="1" t="n">
        <v>45875.47743055555</v>
      </c>
      <c r="C470" s="1" t="n">
        <v>45986</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37017-2025</t>
        </is>
      </c>
      <c r="B471" s="1" t="n">
        <v>45874</v>
      </c>
      <c r="C471" s="1" t="n">
        <v>45986</v>
      </c>
      <c r="D471" t="inlineStr">
        <is>
          <t>VÄSTMANLANDS LÄN</t>
        </is>
      </c>
      <c r="E471" t="inlineStr">
        <is>
          <t>SALA</t>
        </is>
      </c>
      <c r="G471" t="n">
        <v>11.1</v>
      </c>
      <c r="H471" t="n">
        <v>0</v>
      </c>
      <c r="I471" t="n">
        <v>0</v>
      </c>
      <c r="J471" t="n">
        <v>0</v>
      </c>
      <c r="K471" t="n">
        <v>0</v>
      </c>
      <c r="L471" t="n">
        <v>0</v>
      </c>
      <c r="M471" t="n">
        <v>0</v>
      </c>
      <c r="N471" t="n">
        <v>0</v>
      </c>
      <c r="O471" t="n">
        <v>0</v>
      </c>
      <c r="P471" t="n">
        <v>0</v>
      </c>
      <c r="Q471" t="n">
        <v>0</v>
      </c>
      <c r="R471" s="2" t="inlineStr"/>
    </row>
    <row r="472" ht="15" customHeight="1">
      <c r="A472" t="inlineStr">
        <is>
          <t>A 2925-2024</t>
        </is>
      </c>
      <c r="B472" s="1" t="n">
        <v>45315.58909722222</v>
      </c>
      <c r="C472" s="1" t="n">
        <v>45986</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37246-2025</t>
        </is>
      </c>
      <c r="B473" s="1" t="n">
        <v>45876.39435185185</v>
      </c>
      <c r="C473" s="1" t="n">
        <v>45986</v>
      </c>
      <c r="D473" t="inlineStr">
        <is>
          <t>VÄSTMANLANDS LÄN</t>
        </is>
      </c>
      <c r="E473" t="inlineStr">
        <is>
          <t>SALA</t>
        </is>
      </c>
      <c r="G473" t="n">
        <v>2.3</v>
      </c>
      <c r="H473" t="n">
        <v>0</v>
      </c>
      <c r="I473" t="n">
        <v>0</v>
      </c>
      <c r="J473" t="n">
        <v>0</v>
      </c>
      <c r="K473" t="n">
        <v>0</v>
      </c>
      <c r="L473" t="n">
        <v>0</v>
      </c>
      <c r="M473" t="n">
        <v>0</v>
      </c>
      <c r="N473" t="n">
        <v>0</v>
      </c>
      <c r="O473" t="n">
        <v>0</v>
      </c>
      <c r="P473" t="n">
        <v>0</v>
      </c>
      <c r="Q473" t="n">
        <v>0</v>
      </c>
      <c r="R473" s="2" t="inlineStr"/>
    </row>
    <row r="474" ht="15" customHeight="1">
      <c r="A474" t="inlineStr">
        <is>
          <t>A 39439-2021</t>
        </is>
      </c>
      <c r="B474" s="1" t="n">
        <v>44414</v>
      </c>
      <c r="C474" s="1" t="n">
        <v>45986</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37590-2025</t>
        </is>
      </c>
      <c r="B475" s="1" t="n">
        <v>45880.41138888889</v>
      </c>
      <c r="C475" s="1" t="n">
        <v>45986</v>
      </c>
      <c r="D475" t="inlineStr">
        <is>
          <t>VÄSTMANLANDS LÄN</t>
        </is>
      </c>
      <c r="E475" t="inlineStr">
        <is>
          <t>SALA</t>
        </is>
      </c>
      <c r="G475" t="n">
        <v>2.2</v>
      </c>
      <c r="H475" t="n">
        <v>0</v>
      </c>
      <c r="I475" t="n">
        <v>0</v>
      </c>
      <c r="J475" t="n">
        <v>0</v>
      </c>
      <c r="K475" t="n">
        <v>0</v>
      </c>
      <c r="L475" t="n">
        <v>0</v>
      </c>
      <c r="M475" t="n">
        <v>0</v>
      </c>
      <c r="N475" t="n">
        <v>0</v>
      </c>
      <c r="O475" t="n">
        <v>0</v>
      </c>
      <c r="P475" t="n">
        <v>0</v>
      </c>
      <c r="Q475" t="n">
        <v>0</v>
      </c>
      <c r="R475" s="2" t="inlineStr"/>
    </row>
    <row r="476" ht="15" customHeight="1">
      <c r="A476" t="inlineStr">
        <is>
          <t>A 37593-2025</t>
        </is>
      </c>
      <c r="B476" s="1" t="n">
        <v>45880.41325231481</v>
      </c>
      <c r="C476" s="1" t="n">
        <v>45986</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3332-2024</t>
        </is>
      </c>
      <c r="B477" s="1" t="n">
        <v>45317</v>
      </c>
      <c r="C477" s="1" t="n">
        <v>45986</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2529-2022</t>
        </is>
      </c>
      <c r="B478" s="1" t="n">
        <v>44579.86452546297</v>
      </c>
      <c r="C478" s="1" t="n">
        <v>45986</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17722-2025</t>
        </is>
      </c>
      <c r="B479" s="1" t="n">
        <v>45758</v>
      </c>
      <c r="C479" s="1" t="n">
        <v>45986</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13471-2025</t>
        </is>
      </c>
      <c r="B480" s="1" t="n">
        <v>45736.40579861111</v>
      </c>
      <c r="C480" s="1" t="n">
        <v>45986</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15681-2025</t>
        </is>
      </c>
      <c r="B481" s="1" t="n">
        <v>45748.45454861111</v>
      </c>
      <c r="C481" s="1" t="n">
        <v>45986</v>
      </c>
      <c r="D481" t="inlineStr">
        <is>
          <t>VÄSTMANLANDS LÄN</t>
        </is>
      </c>
      <c r="E481" t="inlineStr">
        <is>
          <t>SALA</t>
        </is>
      </c>
      <c r="F481" t="inlineStr">
        <is>
          <t>Bergvik skog öst AB</t>
        </is>
      </c>
      <c r="G481" t="n">
        <v>4.3</v>
      </c>
      <c r="H481" t="n">
        <v>0</v>
      </c>
      <c r="I481" t="n">
        <v>0</v>
      </c>
      <c r="J481" t="n">
        <v>0</v>
      </c>
      <c r="K481" t="n">
        <v>0</v>
      </c>
      <c r="L481" t="n">
        <v>0</v>
      </c>
      <c r="M481" t="n">
        <v>0</v>
      </c>
      <c r="N481" t="n">
        <v>0</v>
      </c>
      <c r="O481" t="n">
        <v>0</v>
      </c>
      <c r="P481" t="n">
        <v>0</v>
      </c>
      <c r="Q481" t="n">
        <v>0</v>
      </c>
      <c r="R481" s="2" t="inlineStr"/>
    </row>
    <row r="482" ht="15" customHeight="1">
      <c r="A482" t="inlineStr">
        <is>
          <t>A 18431-2023</t>
        </is>
      </c>
      <c r="B482" s="1" t="n">
        <v>45042</v>
      </c>
      <c r="C482" s="1" t="n">
        <v>45986</v>
      </c>
      <c r="D482" t="inlineStr">
        <is>
          <t>VÄSTMANLANDS LÄN</t>
        </is>
      </c>
      <c r="E482" t="inlineStr">
        <is>
          <t>SALA</t>
        </is>
      </c>
      <c r="G482" t="n">
        <v>1.9</v>
      </c>
      <c r="H482" t="n">
        <v>0</v>
      </c>
      <c r="I482" t="n">
        <v>0</v>
      </c>
      <c r="J482" t="n">
        <v>0</v>
      </c>
      <c r="K482" t="n">
        <v>0</v>
      </c>
      <c r="L482" t="n">
        <v>0</v>
      </c>
      <c r="M482" t="n">
        <v>0</v>
      </c>
      <c r="N482" t="n">
        <v>0</v>
      </c>
      <c r="O482" t="n">
        <v>0</v>
      </c>
      <c r="P482" t="n">
        <v>0</v>
      </c>
      <c r="Q482" t="n">
        <v>0</v>
      </c>
      <c r="R482" s="2" t="inlineStr"/>
    </row>
    <row r="483" ht="15" customHeight="1">
      <c r="A483" t="inlineStr">
        <is>
          <t>A 27424-2023</t>
        </is>
      </c>
      <c r="B483" s="1" t="n">
        <v>45097.37690972222</v>
      </c>
      <c r="C483" s="1" t="n">
        <v>45986</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58701-2021</t>
        </is>
      </c>
      <c r="B484" s="1" t="n">
        <v>44489.46454861111</v>
      </c>
      <c r="C484" s="1" t="n">
        <v>45986</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38294-2025</t>
        </is>
      </c>
      <c r="B485" s="1" t="n">
        <v>45883.44854166666</v>
      </c>
      <c r="C485" s="1" t="n">
        <v>45986</v>
      </c>
      <c r="D485" t="inlineStr">
        <is>
          <t>VÄSTMANLANDS LÄN</t>
        </is>
      </c>
      <c r="E485" t="inlineStr">
        <is>
          <t>SALA</t>
        </is>
      </c>
      <c r="G485" t="n">
        <v>1.5</v>
      </c>
      <c r="H485" t="n">
        <v>0</v>
      </c>
      <c r="I485" t="n">
        <v>0</v>
      </c>
      <c r="J485" t="n">
        <v>0</v>
      </c>
      <c r="K485" t="n">
        <v>0</v>
      </c>
      <c r="L485" t="n">
        <v>0</v>
      </c>
      <c r="M485" t="n">
        <v>0</v>
      </c>
      <c r="N485" t="n">
        <v>0</v>
      </c>
      <c r="O485" t="n">
        <v>0</v>
      </c>
      <c r="P485" t="n">
        <v>0</v>
      </c>
      <c r="Q485" t="n">
        <v>0</v>
      </c>
      <c r="R485" s="2" t="inlineStr"/>
    </row>
    <row r="486" ht="15" customHeight="1">
      <c r="A486" t="inlineStr">
        <is>
          <t>A 11244-2024</t>
        </is>
      </c>
      <c r="B486" s="1" t="n">
        <v>45371</v>
      </c>
      <c r="C486" s="1" t="n">
        <v>45986</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43359-2024</t>
        </is>
      </c>
      <c r="B487" s="1" t="n">
        <v>45568.57724537037</v>
      </c>
      <c r="C487" s="1" t="n">
        <v>45986</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29972-2025</t>
        </is>
      </c>
      <c r="B488" s="1" t="n">
        <v>45826</v>
      </c>
      <c r="C488" s="1" t="n">
        <v>45986</v>
      </c>
      <c r="D488" t="inlineStr">
        <is>
          <t>VÄSTMANLANDS LÄN</t>
        </is>
      </c>
      <c r="E488" t="inlineStr">
        <is>
          <t>SALA</t>
        </is>
      </c>
      <c r="G488" t="n">
        <v>2.7</v>
      </c>
      <c r="H488" t="n">
        <v>0</v>
      </c>
      <c r="I488" t="n">
        <v>0</v>
      </c>
      <c r="J488" t="n">
        <v>0</v>
      </c>
      <c r="K488" t="n">
        <v>0</v>
      </c>
      <c r="L488" t="n">
        <v>0</v>
      </c>
      <c r="M488" t="n">
        <v>0</v>
      </c>
      <c r="N488" t="n">
        <v>0</v>
      </c>
      <c r="O488" t="n">
        <v>0</v>
      </c>
      <c r="P488" t="n">
        <v>0</v>
      </c>
      <c r="Q488" t="n">
        <v>0</v>
      </c>
      <c r="R488" s="2" t="inlineStr"/>
    </row>
    <row r="489" ht="15" customHeight="1">
      <c r="A489" t="inlineStr">
        <is>
          <t>A 12225-2023</t>
        </is>
      </c>
      <c r="B489" s="1" t="n">
        <v>44995</v>
      </c>
      <c r="C489" s="1" t="n">
        <v>45986</v>
      </c>
      <c r="D489" t="inlineStr">
        <is>
          <t>VÄSTMANLANDS LÄN</t>
        </is>
      </c>
      <c r="E489" t="inlineStr">
        <is>
          <t>SALA</t>
        </is>
      </c>
      <c r="G489" t="n">
        <v>0.9</v>
      </c>
      <c r="H489" t="n">
        <v>0</v>
      </c>
      <c r="I489" t="n">
        <v>0</v>
      </c>
      <c r="J489" t="n">
        <v>0</v>
      </c>
      <c r="K489" t="n">
        <v>0</v>
      </c>
      <c r="L489" t="n">
        <v>0</v>
      </c>
      <c r="M489" t="n">
        <v>0</v>
      </c>
      <c r="N489" t="n">
        <v>0</v>
      </c>
      <c r="O489" t="n">
        <v>0</v>
      </c>
      <c r="P489" t="n">
        <v>0</v>
      </c>
      <c r="Q489" t="n">
        <v>0</v>
      </c>
      <c r="R489" s="2" t="inlineStr"/>
    </row>
    <row r="490" ht="15" customHeight="1">
      <c r="A490" t="inlineStr">
        <is>
          <t>A 61874-2021</t>
        </is>
      </c>
      <c r="B490" s="1" t="n">
        <v>44502</v>
      </c>
      <c r="C490" s="1" t="n">
        <v>45986</v>
      </c>
      <c r="D490" t="inlineStr">
        <is>
          <t>VÄSTMANLANDS LÄN</t>
        </is>
      </c>
      <c r="E490" t="inlineStr">
        <is>
          <t>SALA</t>
        </is>
      </c>
      <c r="F490" t="inlineStr">
        <is>
          <t>Kyrkan</t>
        </is>
      </c>
      <c r="G490" t="n">
        <v>1.3</v>
      </c>
      <c r="H490" t="n">
        <v>0</v>
      </c>
      <c r="I490" t="n">
        <v>0</v>
      </c>
      <c r="J490" t="n">
        <v>0</v>
      </c>
      <c r="K490" t="n">
        <v>0</v>
      </c>
      <c r="L490" t="n">
        <v>0</v>
      </c>
      <c r="M490" t="n">
        <v>0</v>
      </c>
      <c r="N490" t="n">
        <v>0</v>
      </c>
      <c r="O490" t="n">
        <v>0</v>
      </c>
      <c r="P490" t="n">
        <v>0</v>
      </c>
      <c r="Q490" t="n">
        <v>0</v>
      </c>
      <c r="R490" s="2" t="inlineStr"/>
    </row>
    <row r="491" ht="15" customHeight="1">
      <c r="A491" t="inlineStr">
        <is>
          <t>A 46279-2021</t>
        </is>
      </c>
      <c r="B491" s="1" t="n">
        <v>44442.57797453704</v>
      </c>
      <c r="C491" s="1" t="n">
        <v>45986</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62651-2022</t>
        </is>
      </c>
      <c r="B492" s="1" t="n">
        <v>44917</v>
      </c>
      <c r="C492" s="1" t="n">
        <v>45986</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15968-2024</t>
        </is>
      </c>
      <c r="B493" s="1" t="n">
        <v>45405.56021990741</v>
      </c>
      <c r="C493" s="1" t="n">
        <v>45986</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60730-2023</t>
        </is>
      </c>
      <c r="B494" s="1" t="n">
        <v>45260</v>
      </c>
      <c r="C494" s="1" t="n">
        <v>45986</v>
      </c>
      <c r="D494" t="inlineStr">
        <is>
          <t>VÄSTMANLANDS LÄN</t>
        </is>
      </c>
      <c r="E494" t="inlineStr">
        <is>
          <t>SALA</t>
        </is>
      </c>
      <c r="G494" t="n">
        <v>1.3</v>
      </c>
      <c r="H494" t="n">
        <v>0</v>
      </c>
      <c r="I494" t="n">
        <v>0</v>
      </c>
      <c r="J494" t="n">
        <v>0</v>
      </c>
      <c r="K494" t="n">
        <v>0</v>
      </c>
      <c r="L494" t="n">
        <v>0</v>
      </c>
      <c r="M494" t="n">
        <v>0</v>
      </c>
      <c r="N494" t="n">
        <v>0</v>
      </c>
      <c r="O494" t="n">
        <v>0</v>
      </c>
      <c r="P494" t="n">
        <v>0</v>
      </c>
      <c r="Q494" t="n">
        <v>0</v>
      </c>
      <c r="R494" s="2" t="inlineStr"/>
    </row>
    <row r="495" ht="15" customHeight="1">
      <c r="A495" t="inlineStr">
        <is>
          <t>A 60731-2023</t>
        </is>
      </c>
      <c r="B495" s="1" t="n">
        <v>45260</v>
      </c>
      <c r="C495" s="1" t="n">
        <v>45986</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18461-2024</t>
        </is>
      </c>
      <c r="B496" s="1" t="n">
        <v>45425.47435185185</v>
      </c>
      <c r="C496" s="1" t="n">
        <v>45986</v>
      </c>
      <c r="D496" t="inlineStr">
        <is>
          <t>VÄSTMANLANDS LÄN</t>
        </is>
      </c>
      <c r="E496" t="inlineStr">
        <is>
          <t>SALA</t>
        </is>
      </c>
      <c r="G496" t="n">
        <v>1.7</v>
      </c>
      <c r="H496" t="n">
        <v>0</v>
      </c>
      <c r="I496" t="n">
        <v>0</v>
      </c>
      <c r="J496" t="n">
        <v>0</v>
      </c>
      <c r="K496" t="n">
        <v>0</v>
      </c>
      <c r="L496" t="n">
        <v>0</v>
      </c>
      <c r="M496" t="n">
        <v>0</v>
      </c>
      <c r="N496" t="n">
        <v>0</v>
      </c>
      <c r="O496" t="n">
        <v>0</v>
      </c>
      <c r="P496" t="n">
        <v>0</v>
      </c>
      <c r="Q496" t="n">
        <v>0</v>
      </c>
      <c r="R496" s="2" t="inlineStr"/>
    </row>
    <row r="497" ht="15" customHeight="1">
      <c r="A497" t="inlineStr">
        <is>
          <t>A 4663-2022</t>
        </is>
      </c>
      <c r="B497" s="1" t="n">
        <v>44592.45429398148</v>
      </c>
      <c r="C497" s="1" t="n">
        <v>45986</v>
      </c>
      <c r="D497" t="inlineStr">
        <is>
          <t>VÄSTMANLANDS LÄN</t>
        </is>
      </c>
      <c r="E497" t="inlineStr">
        <is>
          <t>SALA</t>
        </is>
      </c>
      <c r="G497" t="n">
        <v>2.5</v>
      </c>
      <c r="H497" t="n">
        <v>0</v>
      </c>
      <c r="I497" t="n">
        <v>0</v>
      </c>
      <c r="J497" t="n">
        <v>0</v>
      </c>
      <c r="K497" t="n">
        <v>0</v>
      </c>
      <c r="L497" t="n">
        <v>0</v>
      </c>
      <c r="M497" t="n">
        <v>0</v>
      </c>
      <c r="N497" t="n">
        <v>0</v>
      </c>
      <c r="O497" t="n">
        <v>0</v>
      </c>
      <c r="P497" t="n">
        <v>0</v>
      </c>
      <c r="Q497" t="n">
        <v>0</v>
      </c>
      <c r="R497" s="2" t="inlineStr"/>
    </row>
    <row r="498" ht="15" customHeight="1">
      <c r="A498" t="inlineStr">
        <is>
          <t>A 73673-2021</t>
        </is>
      </c>
      <c r="B498" s="1" t="n">
        <v>44552.46501157407</v>
      </c>
      <c r="C498" s="1" t="n">
        <v>45986</v>
      </c>
      <c r="D498" t="inlineStr">
        <is>
          <t>VÄSTMANLANDS LÄN</t>
        </is>
      </c>
      <c r="E498" t="inlineStr">
        <is>
          <t>SALA</t>
        </is>
      </c>
      <c r="G498" t="n">
        <v>11.4</v>
      </c>
      <c r="H498" t="n">
        <v>0</v>
      </c>
      <c r="I498" t="n">
        <v>0</v>
      </c>
      <c r="J498" t="n">
        <v>0</v>
      </c>
      <c r="K498" t="n">
        <v>0</v>
      </c>
      <c r="L498" t="n">
        <v>0</v>
      </c>
      <c r="M498" t="n">
        <v>0</v>
      </c>
      <c r="N498" t="n">
        <v>0</v>
      </c>
      <c r="O498" t="n">
        <v>0</v>
      </c>
      <c r="P498" t="n">
        <v>0</v>
      </c>
      <c r="Q498" t="n">
        <v>0</v>
      </c>
      <c r="R498" s="2" t="inlineStr"/>
    </row>
    <row r="499" ht="15" customHeight="1">
      <c r="A499" t="inlineStr">
        <is>
          <t>A 6032-2025</t>
        </is>
      </c>
      <c r="B499" s="1" t="n">
        <v>45695.6371875</v>
      </c>
      <c r="C499" s="1" t="n">
        <v>45986</v>
      </c>
      <c r="D499" t="inlineStr">
        <is>
          <t>VÄSTMANLANDS LÄN</t>
        </is>
      </c>
      <c r="E499" t="inlineStr">
        <is>
          <t>SALA</t>
        </is>
      </c>
      <c r="F499" t="inlineStr">
        <is>
          <t>Bergvik skog öst AB</t>
        </is>
      </c>
      <c r="G499" t="n">
        <v>8.1</v>
      </c>
      <c r="H499" t="n">
        <v>0</v>
      </c>
      <c r="I499" t="n">
        <v>0</v>
      </c>
      <c r="J499" t="n">
        <v>0</v>
      </c>
      <c r="K499" t="n">
        <v>0</v>
      </c>
      <c r="L499" t="n">
        <v>0</v>
      </c>
      <c r="M499" t="n">
        <v>0</v>
      </c>
      <c r="N499" t="n">
        <v>0</v>
      </c>
      <c r="O499" t="n">
        <v>0</v>
      </c>
      <c r="P499" t="n">
        <v>0</v>
      </c>
      <c r="Q499" t="n">
        <v>0</v>
      </c>
      <c r="R499" s="2" t="inlineStr"/>
    </row>
    <row r="500" ht="15" customHeight="1">
      <c r="A500" t="inlineStr">
        <is>
          <t>A 2766-2024</t>
        </is>
      </c>
      <c r="B500" s="1" t="n">
        <v>45314.60950231482</v>
      </c>
      <c r="C500" s="1" t="n">
        <v>45986</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6351-2023</t>
        </is>
      </c>
      <c r="B501" s="1" t="n">
        <v>44965</v>
      </c>
      <c r="C501" s="1" t="n">
        <v>45986</v>
      </c>
      <c r="D501" t="inlineStr">
        <is>
          <t>VÄSTMANLANDS LÄN</t>
        </is>
      </c>
      <c r="E501" t="inlineStr">
        <is>
          <t>SALA</t>
        </is>
      </c>
      <c r="F501" t="inlineStr">
        <is>
          <t>Kommuner</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45187-2024</t>
        </is>
      </c>
      <c r="B502" s="1" t="n">
        <v>45575</v>
      </c>
      <c r="C502" s="1" t="n">
        <v>45986</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33527-2023</t>
        </is>
      </c>
      <c r="B503" s="1" t="n">
        <v>45131</v>
      </c>
      <c r="C503" s="1" t="n">
        <v>45986</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7377-2023</t>
        </is>
      </c>
      <c r="B504" s="1" t="n">
        <v>44971</v>
      </c>
      <c r="C504" s="1" t="n">
        <v>45986</v>
      </c>
      <c r="D504" t="inlineStr">
        <is>
          <t>VÄSTMANLANDS LÄN</t>
        </is>
      </c>
      <c r="E504" t="inlineStr">
        <is>
          <t>SALA</t>
        </is>
      </c>
      <c r="G504" t="n">
        <v>0.9</v>
      </c>
      <c r="H504" t="n">
        <v>0</v>
      </c>
      <c r="I504" t="n">
        <v>0</v>
      </c>
      <c r="J504" t="n">
        <v>0</v>
      </c>
      <c r="K504" t="n">
        <v>0</v>
      </c>
      <c r="L504" t="n">
        <v>0</v>
      </c>
      <c r="M504" t="n">
        <v>0</v>
      </c>
      <c r="N504" t="n">
        <v>0</v>
      </c>
      <c r="O504" t="n">
        <v>0</v>
      </c>
      <c r="P504" t="n">
        <v>0</v>
      </c>
      <c r="Q504" t="n">
        <v>0</v>
      </c>
      <c r="R504" s="2" t="inlineStr"/>
    </row>
    <row r="505" ht="15" customHeight="1">
      <c r="A505" t="inlineStr">
        <is>
          <t>A 6308-2021</t>
        </is>
      </c>
      <c r="B505" s="1" t="n">
        <v>44235</v>
      </c>
      <c r="C505" s="1" t="n">
        <v>45986</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21159-2022</t>
        </is>
      </c>
      <c r="B506" s="1" t="n">
        <v>44704</v>
      </c>
      <c r="C506" s="1" t="n">
        <v>45986</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56688-2024</t>
        </is>
      </c>
      <c r="B507" s="1" t="n">
        <v>45627.66478009259</v>
      </c>
      <c r="C507" s="1" t="n">
        <v>45986</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16159-2024</t>
        </is>
      </c>
      <c r="B508" s="1" t="n">
        <v>45406</v>
      </c>
      <c r="C508" s="1" t="n">
        <v>45986</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66307-2021</t>
        </is>
      </c>
      <c r="B509" s="1" t="n">
        <v>44518.48670138889</v>
      </c>
      <c r="C509" s="1" t="n">
        <v>45986</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27262-2024</t>
        </is>
      </c>
      <c r="B510" s="1" t="n">
        <v>45471</v>
      </c>
      <c r="C510" s="1" t="n">
        <v>45986</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10913-2025</t>
        </is>
      </c>
      <c r="B511" s="1" t="n">
        <v>45722.73423611111</v>
      </c>
      <c r="C511" s="1" t="n">
        <v>45986</v>
      </c>
      <c r="D511" t="inlineStr">
        <is>
          <t>VÄSTMANLANDS LÄN</t>
        </is>
      </c>
      <c r="E511" t="inlineStr">
        <is>
          <t>SALA</t>
        </is>
      </c>
      <c r="G511" t="n">
        <v>7.6</v>
      </c>
      <c r="H511" t="n">
        <v>0</v>
      </c>
      <c r="I511" t="n">
        <v>0</v>
      </c>
      <c r="J511" t="n">
        <v>0</v>
      </c>
      <c r="K511" t="n">
        <v>0</v>
      </c>
      <c r="L511" t="n">
        <v>0</v>
      </c>
      <c r="M511" t="n">
        <v>0</v>
      </c>
      <c r="N511" t="n">
        <v>0</v>
      </c>
      <c r="O511" t="n">
        <v>0</v>
      </c>
      <c r="P511" t="n">
        <v>0</v>
      </c>
      <c r="Q511" t="n">
        <v>0</v>
      </c>
      <c r="R511" s="2" t="inlineStr"/>
    </row>
    <row r="512" ht="15" customHeight="1">
      <c r="A512" t="inlineStr">
        <is>
          <t>A 35410-2022</t>
        </is>
      </c>
      <c r="B512" s="1" t="n">
        <v>44798.62576388889</v>
      </c>
      <c r="C512" s="1" t="n">
        <v>45986</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1118-2024</t>
        </is>
      </c>
      <c r="B513" s="1" t="n">
        <v>45302</v>
      </c>
      <c r="C513" s="1" t="n">
        <v>45986</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19033-2025</t>
        </is>
      </c>
      <c r="B514" s="1" t="n">
        <v>45764.65796296296</v>
      </c>
      <c r="C514" s="1" t="n">
        <v>45986</v>
      </c>
      <c r="D514" t="inlineStr">
        <is>
          <t>VÄSTMANLANDS LÄN</t>
        </is>
      </c>
      <c r="E514" t="inlineStr">
        <is>
          <t>SALA</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53864-2022</t>
        </is>
      </c>
      <c r="B515" s="1" t="n">
        <v>44880.64016203704</v>
      </c>
      <c r="C515" s="1" t="n">
        <v>45986</v>
      </c>
      <c r="D515" t="inlineStr">
        <is>
          <t>VÄSTMANLANDS LÄN</t>
        </is>
      </c>
      <c r="E515" t="inlineStr">
        <is>
          <t>SALA</t>
        </is>
      </c>
      <c r="G515" t="n">
        <v>5.9</v>
      </c>
      <c r="H515" t="n">
        <v>0</v>
      </c>
      <c r="I515" t="n">
        <v>0</v>
      </c>
      <c r="J515" t="n">
        <v>0</v>
      </c>
      <c r="K515" t="n">
        <v>0</v>
      </c>
      <c r="L515" t="n">
        <v>0</v>
      </c>
      <c r="M515" t="n">
        <v>0</v>
      </c>
      <c r="N515" t="n">
        <v>0</v>
      </c>
      <c r="O515" t="n">
        <v>0</v>
      </c>
      <c r="P515" t="n">
        <v>0</v>
      </c>
      <c r="Q515" t="n">
        <v>0</v>
      </c>
      <c r="R515" s="2" t="inlineStr"/>
    </row>
    <row r="516" ht="15" customHeight="1">
      <c r="A516" t="inlineStr">
        <is>
          <t>A 40085-2024</t>
        </is>
      </c>
      <c r="B516" s="1" t="n">
        <v>45554</v>
      </c>
      <c r="C516" s="1" t="n">
        <v>45986</v>
      </c>
      <c r="D516" t="inlineStr">
        <is>
          <t>VÄSTMANLANDS LÄN</t>
        </is>
      </c>
      <c r="E516" t="inlineStr">
        <is>
          <t>SALA</t>
        </is>
      </c>
      <c r="G516" t="n">
        <v>2.8</v>
      </c>
      <c r="H516" t="n">
        <v>0</v>
      </c>
      <c r="I516" t="n">
        <v>0</v>
      </c>
      <c r="J516" t="n">
        <v>0</v>
      </c>
      <c r="K516" t="n">
        <v>0</v>
      </c>
      <c r="L516" t="n">
        <v>0</v>
      </c>
      <c r="M516" t="n">
        <v>0</v>
      </c>
      <c r="N516" t="n">
        <v>0</v>
      </c>
      <c r="O516" t="n">
        <v>0</v>
      </c>
      <c r="P516" t="n">
        <v>0</v>
      </c>
      <c r="Q516" t="n">
        <v>0</v>
      </c>
      <c r="R516" s="2" t="inlineStr"/>
    </row>
    <row r="517" ht="15" customHeight="1">
      <c r="A517" t="inlineStr">
        <is>
          <t>A 3551-2024</t>
        </is>
      </c>
      <c r="B517" s="1" t="n">
        <v>45320.61099537037</v>
      </c>
      <c r="C517" s="1" t="n">
        <v>45986</v>
      </c>
      <c r="D517" t="inlineStr">
        <is>
          <t>VÄSTMANLANDS LÄN</t>
        </is>
      </c>
      <c r="E517" t="inlineStr">
        <is>
          <t>SALA</t>
        </is>
      </c>
      <c r="F517" t="inlineStr">
        <is>
          <t>Kommuner</t>
        </is>
      </c>
      <c r="G517" t="n">
        <v>6</v>
      </c>
      <c r="H517" t="n">
        <v>0</v>
      </c>
      <c r="I517" t="n">
        <v>0</v>
      </c>
      <c r="J517" t="n">
        <v>0</v>
      </c>
      <c r="K517" t="n">
        <v>0</v>
      </c>
      <c r="L517" t="n">
        <v>0</v>
      </c>
      <c r="M517" t="n">
        <v>0</v>
      </c>
      <c r="N517" t="n">
        <v>0</v>
      </c>
      <c r="O517" t="n">
        <v>0</v>
      </c>
      <c r="P517" t="n">
        <v>0</v>
      </c>
      <c r="Q517" t="n">
        <v>0</v>
      </c>
      <c r="R517" s="2" t="inlineStr"/>
    </row>
    <row r="518" ht="15" customHeight="1">
      <c r="A518" t="inlineStr">
        <is>
          <t>A 22961-2023</t>
        </is>
      </c>
      <c r="B518" s="1" t="n">
        <v>45072</v>
      </c>
      <c r="C518" s="1" t="n">
        <v>45986</v>
      </c>
      <c r="D518" t="inlineStr">
        <is>
          <t>VÄSTMANLANDS LÄN</t>
        </is>
      </c>
      <c r="E518" t="inlineStr">
        <is>
          <t>SALA</t>
        </is>
      </c>
      <c r="G518" t="n">
        <v>2.7</v>
      </c>
      <c r="H518" t="n">
        <v>0</v>
      </c>
      <c r="I518" t="n">
        <v>0</v>
      </c>
      <c r="J518" t="n">
        <v>0</v>
      </c>
      <c r="K518" t="n">
        <v>0</v>
      </c>
      <c r="L518" t="n">
        <v>0</v>
      </c>
      <c r="M518" t="n">
        <v>0</v>
      </c>
      <c r="N518" t="n">
        <v>0</v>
      </c>
      <c r="O518" t="n">
        <v>0</v>
      </c>
      <c r="P518" t="n">
        <v>0</v>
      </c>
      <c r="Q518" t="n">
        <v>0</v>
      </c>
      <c r="R518" s="2" t="inlineStr"/>
    </row>
    <row r="519" ht="15" customHeight="1">
      <c r="A519" t="inlineStr">
        <is>
          <t>A 22963-2023</t>
        </is>
      </c>
      <c r="B519" s="1" t="n">
        <v>45072</v>
      </c>
      <c r="C519" s="1" t="n">
        <v>45986</v>
      </c>
      <c r="D519" t="inlineStr">
        <is>
          <t>VÄSTMANLANDS LÄN</t>
        </is>
      </c>
      <c r="E519" t="inlineStr">
        <is>
          <t>SALA</t>
        </is>
      </c>
      <c r="G519" t="n">
        <v>1.2</v>
      </c>
      <c r="H519" t="n">
        <v>0</v>
      </c>
      <c r="I519" t="n">
        <v>0</v>
      </c>
      <c r="J519" t="n">
        <v>0</v>
      </c>
      <c r="K519" t="n">
        <v>0</v>
      </c>
      <c r="L519" t="n">
        <v>0</v>
      </c>
      <c r="M519" t="n">
        <v>0</v>
      </c>
      <c r="N519" t="n">
        <v>0</v>
      </c>
      <c r="O519" t="n">
        <v>0</v>
      </c>
      <c r="P519" t="n">
        <v>0</v>
      </c>
      <c r="Q519" t="n">
        <v>0</v>
      </c>
      <c r="R519" s="2" t="inlineStr"/>
    </row>
    <row r="520" ht="15" customHeight="1">
      <c r="A520" t="inlineStr">
        <is>
          <t>A 54960-2024</t>
        </is>
      </c>
      <c r="B520" s="1" t="n">
        <v>45619.85208333333</v>
      </c>
      <c r="C520" s="1" t="n">
        <v>45986</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27228-2023</t>
        </is>
      </c>
      <c r="B521" s="1" t="n">
        <v>45096.59189814814</v>
      </c>
      <c r="C521" s="1" t="n">
        <v>45986</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26507-2023</t>
        </is>
      </c>
      <c r="B522" s="1" t="n">
        <v>45092</v>
      </c>
      <c r="C522" s="1" t="n">
        <v>45986</v>
      </c>
      <c r="D522" t="inlineStr">
        <is>
          <t>VÄSTMANLANDS LÄN</t>
        </is>
      </c>
      <c r="E522" t="inlineStr">
        <is>
          <t>SALA</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6183-2025</t>
        </is>
      </c>
      <c r="B523" s="1" t="n">
        <v>45698</v>
      </c>
      <c r="C523" s="1" t="n">
        <v>45986</v>
      </c>
      <c r="D523" t="inlineStr">
        <is>
          <t>VÄSTMANLANDS LÄN</t>
        </is>
      </c>
      <c r="E523" t="inlineStr">
        <is>
          <t>SALA</t>
        </is>
      </c>
      <c r="F523" t="inlineStr">
        <is>
          <t>Bergvik skog öst AB</t>
        </is>
      </c>
      <c r="G523" t="n">
        <v>2.3</v>
      </c>
      <c r="H523" t="n">
        <v>0</v>
      </c>
      <c r="I523" t="n">
        <v>0</v>
      </c>
      <c r="J523" t="n">
        <v>0</v>
      </c>
      <c r="K523" t="n">
        <v>0</v>
      </c>
      <c r="L523" t="n">
        <v>0</v>
      </c>
      <c r="M523" t="n">
        <v>0</v>
      </c>
      <c r="N523" t="n">
        <v>0</v>
      </c>
      <c r="O523" t="n">
        <v>0</v>
      </c>
      <c r="P523" t="n">
        <v>0</v>
      </c>
      <c r="Q523" t="n">
        <v>0</v>
      </c>
      <c r="R523" s="2" t="inlineStr"/>
    </row>
    <row r="524" ht="15" customHeight="1">
      <c r="A524" t="inlineStr">
        <is>
          <t>A 16543-2023</t>
        </is>
      </c>
      <c r="B524" s="1" t="n">
        <v>45029</v>
      </c>
      <c r="C524" s="1" t="n">
        <v>45986</v>
      </c>
      <c r="D524" t="inlineStr">
        <is>
          <t>VÄSTMANLANDS LÄN</t>
        </is>
      </c>
      <c r="E524" t="inlineStr">
        <is>
          <t>SALA</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43176-2023</t>
        </is>
      </c>
      <c r="B525" s="1" t="n">
        <v>45183</v>
      </c>
      <c r="C525" s="1" t="n">
        <v>45986</v>
      </c>
      <c r="D525" t="inlineStr">
        <is>
          <t>VÄSTMANLANDS LÄN</t>
        </is>
      </c>
      <c r="E525" t="inlineStr">
        <is>
          <t>SALA</t>
        </is>
      </c>
      <c r="G525" t="n">
        <v>1.2</v>
      </c>
      <c r="H525" t="n">
        <v>0</v>
      </c>
      <c r="I525" t="n">
        <v>0</v>
      </c>
      <c r="J525" t="n">
        <v>0</v>
      </c>
      <c r="K525" t="n">
        <v>0</v>
      </c>
      <c r="L525" t="n">
        <v>0</v>
      </c>
      <c r="M525" t="n">
        <v>0</v>
      </c>
      <c r="N525" t="n">
        <v>0</v>
      </c>
      <c r="O525" t="n">
        <v>0</v>
      </c>
      <c r="P525" t="n">
        <v>0</v>
      </c>
      <c r="Q525" t="n">
        <v>0</v>
      </c>
      <c r="R525" s="2" t="inlineStr"/>
    </row>
    <row r="526" ht="15" customHeight="1">
      <c r="A526" t="inlineStr">
        <is>
          <t>A 37624-2024</t>
        </is>
      </c>
      <c r="B526" s="1" t="n">
        <v>45541</v>
      </c>
      <c r="C526" s="1" t="n">
        <v>45986</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57895-2024</t>
        </is>
      </c>
      <c r="B527" s="1" t="n">
        <v>45631</v>
      </c>
      <c r="C527" s="1" t="n">
        <v>45986</v>
      </c>
      <c r="D527" t="inlineStr">
        <is>
          <t>VÄSTMANLANDS LÄN</t>
        </is>
      </c>
      <c r="E527" t="inlineStr">
        <is>
          <t>SALA</t>
        </is>
      </c>
      <c r="G527" t="n">
        <v>1</v>
      </c>
      <c r="H527" t="n">
        <v>0</v>
      </c>
      <c r="I527" t="n">
        <v>0</v>
      </c>
      <c r="J527" t="n">
        <v>0</v>
      </c>
      <c r="K527" t="n">
        <v>0</v>
      </c>
      <c r="L527" t="n">
        <v>0</v>
      </c>
      <c r="M527" t="n">
        <v>0</v>
      </c>
      <c r="N527" t="n">
        <v>0</v>
      </c>
      <c r="O527" t="n">
        <v>0</v>
      </c>
      <c r="P527" t="n">
        <v>0</v>
      </c>
      <c r="Q527" t="n">
        <v>0</v>
      </c>
      <c r="R527" s="2" t="inlineStr"/>
    </row>
    <row r="528" ht="15" customHeight="1">
      <c r="A528" t="inlineStr">
        <is>
          <t>A 47086-2022</t>
        </is>
      </c>
      <c r="B528" s="1" t="n">
        <v>44852</v>
      </c>
      <c r="C528" s="1" t="n">
        <v>45986</v>
      </c>
      <c r="D528" t="inlineStr">
        <is>
          <t>VÄSTMANLANDS LÄN</t>
        </is>
      </c>
      <c r="E528" t="inlineStr">
        <is>
          <t>SALA</t>
        </is>
      </c>
      <c r="G528" t="n">
        <v>12.5</v>
      </c>
      <c r="H528" t="n">
        <v>0</v>
      </c>
      <c r="I528" t="n">
        <v>0</v>
      </c>
      <c r="J528" t="n">
        <v>0</v>
      </c>
      <c r="K528" t="n">
        <v>0</v>
      </c>
      <c r="L528" t="n">
        <v>0</v>
      </c>
      <c r="M528" t="n">
        <v>0</v>
      </c>
      <c r="N528" t="n">
        <v>0</v>
      </c>
      <c r="O528" t="n">
        <v>0</v>
      </c>
      <c r="P528" t="n">
        <v>0</v>
      </c>
      <c r="Q528" t="n">
        <v>0</v>
      </c>
      <c r="R528" s="2" t="inlineStr"/>
    </row>
    <row r="529" ht="15" customHeight="1">
      <c r="A529" t="inlineStr">
        <is>
          <t>A 14010-2021</t>
        </is>
      </c>
      <c r="B529" s="1" t="n">
        <v>44277.63396990741</v>
      </c>
      <c r="C529" s="1" t="n">
        <v>45986</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56687-2024</t>
        </is>
      </c>
      <c r="B530" s="1" t="n">
        <v>45627.63271990741</v>
      </c>
      <c r="C530" s="1" t="n">
        <v>45986</v>
      </c>
      <c r="D530" t="inlineStr">
        <is>
          <t>VÄSTMANLANDS LÄN</t>
        </is>
      </c>
      <c r="E530" t="inlineStr">
        <is>
          <t>SALA</t>
        </is>
      </c>
      <c r="G530" t="n">
        <v>1.2</v>
      </c>
      <c r="H530" t="n">
        <v>0</v>
      </c>
      <c r="I530" t="n">
        <v>0</v>
      </c>
      <c r="J530" t="n">
        <v>0</v>
      </c>
      <c r="K530" t="n">
        <v>0</v>
      </c>
      <c r="L530" t="n">
        <v>0</v>
      </c>
      <c r="M530" t="n">
        <v>0</v>
      </c>
      <c r="N530" t="n">
        <v>0</v>
      </c>
      <c r="O530" t="n">
        <v>0</v>
      </c>
      <c r="P530" t="n">
        <v>0</v>
      </c>
      <c r="Q530" t="n">
        <v>0</v>
      </c>
      <c r="R530" s="2" t="inlineStr"/>
    </row>
    <row r="531" ht="15" customHeight="1">
      <c r="A531" t="inlineStr">
        <is>
          <t>A 54347-2024</t>
        </is>
      </c>
      <c r="B531" s="1" t="n">
        <v>45617.39325231482</v>
      </c>
      <c r="C531" s="1" t="n">
        <v>45986</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64693-2023</t>
        </is>
      </c>
      <c r="B532" s="1" t="n">
        <v>45281.63850694444</v>
      </c>
      <c r="C532" s="1" t="n">
        <v>45986</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64695-2023</t>
        </is>
      </c>
      <c r="B533" s="1" t="n">
        <v>45281.64099537037</v>
      </c>
      <c r="C533" s="1" t="n">
        <v>45986</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27486-2022</t>
        </is>
      </c>
      <c r="B534" s="1" t="n">
        <v>44742.60846064815</v>
      </c>
      <c r="C534" s="1" t="n">
        <v>45986</v>
      </c>
      <c r="D534" t="inlineStr">
        <is>
          <t>VÄSTMANLANDS LÄN</t>
        </is>
      </c>
      <c r="E534" t="inlineStr">
        <is>
          <t>SALA</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35003-2024</t>
        </is>
      </c>
      <c r="B535" s="1" t="n">
        <v>45527.56790509259</v>
      </c>
      <c r="C535" s="1" t="n">
        <v>45986</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48688-2024</t>
        </is>
      </c>
      <c r="B536" s="1" t="n">
        <v>45593.50541666667</v>
      </c>
      <c r="C536" s="1" t="n">
        <v>45986</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15354-2021</t>
        </is>
      </c>
      <c r="B537" s="1" t="n">
        <v>44284</v>
      </c>
      <c r="C537" s="1" t="n">
        <v>45986</v>
      </c>
      <c r="D537" t="inlineStr">
        <is>
          <t>VÄSTMANLANDS LÄN</t>
        </is>
      </c>
      <c r="E537" t="inlineStr">
        <is>
          <t>SALA</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63933-2023</t>
        </is>
      </c>
      <c r="B538" s="1" t="n">
        <v>45278</v>
      </c>
      <c r="C538" s="1" t="n">
        <v>45986</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44746-2024</t>
        </is>
      </c>
      <c r="B539" s="1" t="n">
        <v>45574.59813657407</v>
      </c>
      <c r="C539" s="1" t="n">
        <v>45986</v>
      </c>
      <c r="D539" t="inlineStr">
        <is>
          <t>VÄSTMANLANDS LÄN</t>
        </is>
      </c>
      <c r="E539" t="inlineStr">
        <is>
          <t>SALA</t>
        </is>
      </c>
      <c r="G539" t="n">
        <v>6.7</v>
      </c>
      <c r="H539" t="n">
        <v>0</v>
      </c>
      <c r="I539" t="n">
        <v>0</v>
      </c>
      <c r="J539" t="n">
        <v>0</v>
      </c>
      <c r="K539" t="n">
        <v>0</v>
      </c>
      <c r="L539" t="n">
        <v>0</v>
      </c>
      <c r="M539" t="n">
        <v>0</v>
      </c>
      <c r="N539" t="n">
        <v>0</v>
      </c>
      <c r="O539" t="n">
        <v>0</v>
      </c>
      <c r="P539" t="n">
        <v>0</v>
      </c>
      <c r="Q539" t="n">
        <v>0</v>
      </c>
      <c r="R539" s="2" t="inlineStr"/>
    </row>
    <row r="540" ht="15" customHeight="1">
      <c r="A540" t="inlineStr">
        <is>
          <t>A 33273-2023</t>
        </is>
      </c>
      <c r="B540" s="1" t="n">
        <v>45127</v>
      </c>
      <c r="C540" s="1" t="n">
        <v>45986</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11696-2025</t>
        </is>
      </c>
      <c r="B541" s="1" t="n">
        <v>45727</v>
      </c>
      <c r="C541" s="1" t="n">
        <v>45986</v>
      </c>
      <c r="D541" t="inlineStr">
        <is>
          <t>VÄSTMANLANDS LÄN</t>
        </is>
      </c>
      <c r="E541" t="inlineStr">
        <is>
          <t>SALA</t>
        </is>
      </c>
      <c r="F541" t="inlineStr">
        <is>
          <t>Bergvik skog öst AB</t>
        </is>
      </c>
      <c r="G541" t="n">
        <v>1.6</v>
      </c>
      <c r="H541" t="n">
        <v>0</v>
      </c>
      <c r="I541" t="n">
        <v>0</v>
      </c>
      <c r="J541" t="n">
        <v>0</v>
      </c>
      <c r="K541" t="n">
        <v>0</v>
      </c>
      <c r="L541" t="n">
        <v>0</v>
      </c>
      <c r="M541" t="n">
        <v>0</v>
      </c>
      <c r="N541" t="n">
        <v>0</v>
      </c>
      <c r="O541" t="n">
        <v>0</v>
      </c>
      <c r="P541" t="n">
        <v>0</v>
      </c>
      <c r="Q541" t="n">
        <v>0</v>
      </c>
      <c r="R541" s="2" t="inlineStr"/>
    </row>
    <row r="542" ht="15" customHeight="1">
      <c r="A542" t="inlineStr">
        <is>
          <t>A 60545-2024</t>
        </is>
      </c>
      <c r="B542" s="1" t="n">
        <v>45643</v>
      </c>
      <c r="C542" s="1" t="n">
        <v>45986</v>
      </c>
      <c r="D542" t="inlineStr">
        <is>
          <t>VÄSTMANLANDS LÄN</t>
        </is>
      </c>
      <c r="E542" t="inlineStr">
        <is>
          <t>SALA</t>
        </is>
      </c>
      <c r="G542" t="n">
        <v>3.3</v>
      </c>
      <c r="H542" t="n">
        <v>0</v>
      </c>
      <c r="I542" t="n">
        <v>0</v>
      </c>
      <c r="J542" t="n">
        <v>0</v>
      </c>
      <c r="K542" t="n">
        <v>0</v>
      </c>
      <c r="L542" t="n">
        <v>0</v>
      </c>
      <c r="M542" t="n">
        <v>0</v>
      </c>
      <c r="N542" t="n">
        <v>0</v>
      </c>
      <c r="O542" t="n">
        <v>0</v>
      </c>
      <c r="P542" t="n">
        <v>0</v>
      </c>
      <c r="Q542" t="n">
        <v>0</v>
      </c>
      <c r="R542" s="2" t="inlineStr"/>
    </row>
    <row r="543" ht="15" customHeight="1">
      <c r="A543" t="inlineStr">
        <is>
          <t>A 60547-2024</t>
        </is>
      </c>
      <c r="B543" s="1" t="n">
        <v>45643</v>
      </c>
      <c r="C543" s="1" t="n">
        <v>45986</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1985-2022</t>
        </is>
      </c>
      <c r="B544" s="1" t="n">
        <v>44575</v>
      </c>
      <c r="C544" s="1" t="n">
        <v>45986</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27261-2024</t>
        </is>
      </c>
      <c r="B545" s="1" t="n">
        <v>45471</v>
      </c>
      <c r="C545" s="1" t="n">
        <v>45986</v>
      </c>
      <c r="D545" t="inlineStr">
        <is>
          <t>VÄSTMANLANDS LÄN</t>
        </is>
      </c>
      <c r="E545" t="inlineStr">
        <is>
          <t>SALA</t>
        </is>
      </c>
      <c r="G545" t="n">
        <v>6.1</v>
      </c>
      <c r="H545" t="n">
        <v>0</v>
      </c>
      <c r="I545" t="n">
        <v>0</v>
      </c>
      <c r="J545" t="n">
        <v>0</v>
      </c>
      <c r="K545" t="n">
        <v>0</v>
      </c>
      <c r="L545" t="n">
        <v>0</v>
      </c>
      <c r="M545" t="n">
        <v>0</v>
      </c>
      <c r="N545" t="n">
        <v>0</v>
      </c>
      <c r="O545" t="n">
        <v>0</v>
      </c>
      <c r="P545" t="n">
        <v>0</v>
      </c>
      <c r="Q545" t="n">
        <v>0</v>
      </c>
      <c r="R545" s="2" t="inlineStr"/>
    </row>
    <row r="546" ht="15" customHeight="1">
      <c r="A546" t="inlineStr">
        <is>
          <t>A 35976-2024</t>
        </is>
      </c>
      <c r="B546" s="1" t="n">
        <v>45533.49555555556</v>
      </c>
      <c r="C546" s="1" t="n">
        <v>45986</v>
      </c>
      <c r="D546" t="inlineStr">
        <is>
          <t>VÄSTMANLANDS LÄN</t>
        </is>
      </c>
      <c r="E546" t="inlineStr">
        <is>
          <t>SALA</t>
        </is>
      </c>
      <c r="G546" t="n">
        <v>2.3</v>
      </c>
      <c r="H546" t="n">
        <v>0</v>
      </c>
      <c r="I546" t="n">
        <v>0</v>
      </c>
      <c r="J546" t="n">
        <v>0</v>
      </c>
      <c r="K546" t="n">
        <v>0</v>
      </c>
      <c r="L546" t="n">
        <v>0</v>
      </c>
      <c r="M546" t="n">
        <v>0</v>
      </c>
      <c r="N546" t="n">
        <v>0</v>
      </c>
      <c r="O546" t="n">
        <v>0</v>
      </c>
      <c r="P546" t="n">
        <v>0</v>
      </c>
      <c r="Q546" t="n">
        <v>0</v>
      </c>
      <c r="R546" s="2" t="inlineStr"/>
    </row>
    <row r="547" ht="15" customHeight="1">
      <c r="A547" t="inlineStr">
        <is>
          <t>A 55556-2023</t>
        </is>
      </c>
      <c r="B547" s="1" t="n">
        <v>45232</v>
      </c>
      <c r="C547" s="1" t="n">
        <v>45986</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57650-2024</t>
        </is>
      </c>
      <c r="B548" s="1" t="n">
        <v>45630</v>
      </c>
      <c r="C548" s="1" t="n">
        <v>45986</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50479-2022</t>
        </is>
      </c>
      <c r="B549" s="1" t="n">
        <v>44861</v>
      </c>
      <c r="C549" s="1" t="n">
        <v>45986</v>
      </c>
      <c r="D549" t="inlineStr">
        <is>
          <t>VÄSTMANLANDS LÄN</t>
        </is>
      </c>
      <c r="E549" t="inlineStr">
        <is>
          <t>SALA</t>
        </is>
      </c>
      <c r="G549" t="n">
        <v>0.9</v>
      </c>
      <c r="H549" t="n">
        <v>0</v>
      </c>
      <c r="I549" t="n">
        <v>0</v>
      </c>
      <c r="J549" t="n">
        <v>0</v>
      </c>
      <c r="K549" t="n">
        <v>0</v>
      </c>
      <c r="L549" t="n">
        <v>0</v>
      </c>
      <c r="M549" t="n">
        <v>0</v>
      </c>
      <c r="N549" t="n">
        <v>0</v>
      </c>
      <c r="O549" t="n">
        <v>0</v>
      </c>
      <c r="P549" t="n">
        <v>0</v>
      </c>
      <c r="Q549" t="n">
        <v>0</v>
      </c>
      <c r="R549" s="2" t="inlineStr"/>
    </row>
    <row r="550" ht="15" customHeight="1">
      <c r="A550" t="inlineStr">
        <is>
          <t>A 45790-2023</t>
        </is>
      </c>
      <c r="B550" s="1" t="n">
        <v>45195.45958333334</v>
      </c>
      <c r="C550" s="1" t="n">
        <v>45986</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2928-2024</t>
        </is>
      </c>
      <c r="B551" s="1" t="n">
        <v>45315.59041666667</v>
      </c>
      <c r="C551" s="1" t="n">
        <v>45986</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73673-2021</t>
        </is>
      </c>
      <c r="B552" s="1" t="n">
        <v>44552.46501157407</v>
      </c>
      <c r="C552" s="1" t="n">
        <v>45986</v>
      </c>
      <c r="D552" t="inlineStr">
        <is>
          <t>VÄSTMANLANDS LÄN</t>
        </is>
      </c>
      <c r="E552" t="inlineStr">
        <is>
          <t>SALA</t>
        </is>
      </c>
      <c r="G552" t="n">
        <v>11.4</v>
      </c>
      <c r="H552" t="n">
        <v>0</v>
      </c>
      <c r="I552" t="n">
        <v>0</v>
      </c>
      <c r="J552" t="n">
        <v>0</v>
      </c>
      <c r="K552" t="n">
        <v>0</v>
      </c>
      <c r="L552" t="n">
        <v>0</v>
      </c>
      <c r="M552" t="n">
        <v>0</v>
      </c>
      <c r="N552" t="n">
        <v>0</v>
      </c>
      <c r="O552" t="n">
        <v>0</v>
      </c>
      <c r="P552" t="n">
        <v>0</v>
      </c>
      <c r="Q552" t="n">
        <v>0</v>
      </c>
      <c r="R552" s="2" t="inlineStr"/>
    </row>
    <row r="553" ht="15" customHeight="1">
      <c r="A553" t="inlineStr">
        <is>
          <t>A 40871-2021</t>
        </is>
      </c>
      <c r="B553" s="1" t="n">
        <v>44421</v>
      </c>
      <c r="C553" s="1" t="n">
        <v>45986</v>
      </c>
      <c r="D553" t="inlineStr">
        <is>
          <t>VÄSTMANLANDS LÄN</t>
        </is>
      </c>
      <c r="E553" t="inlineStr">
        <is>
          <t>SALA</t>
        </is>
      </c>
      <c r="G553" t="n">
        <v>1.4</v>
      </c>
      <c r="H553" t="n">
        <v>0</v>
      </c>
      <c r="I553" t="n">
        <v>0</v>
      </c>
      <c r="J553" t="n">
        <v>0</v>
      </c>
      <c r="K553" t="n">
        <v>0</v>
      </c>
      <c r="L553" t="n">
        <v>0</v>
      </c>
      <c r="M553" t="n">
        <v>0</v>
      </c>
      <c r="N553" t="n">
        <v>0</v>
      </c>
      <c r="O553" t="n">
        <v>0</v>
      </c>
      <c r="P553" t="n">
        <v>0</v>
      </c>
      <c r="Q553" t="n">
        <v>0</v>
      </c>
      <c r="R553" s="2" t="inlineStr"/>
    </row>
    <row r="554" ht="15" customHeight="1">
      <c r="A554" t="inlineStr">
        <is>
          <t>A 14271-2025</t>
        </is>
      </c>
      <c r="B554" s="1" t="n">
        <v>45740.64129629629</v>
      </c>
      <c r="C554" s="1" t="n">
        <v>45986</v>
      </c>
      <c r="D554" t="inlineStr">
        <is>
          <t>VÄSTMANLANDS LÄN</t>
        </is>
      </c>
      <c r="E554" t="inlineStr">
        <is>
          <t>SALA</t>
        </is>
      </c>
      <c r="G554" t="n">
        <v>0.8</v>
      </c>
      <c r="H554" t="n">
        <v>0</v>
      </c>
      <c r="I554" t="n">
        <v>0</v>
      </c>
      <c r="J554" t="n">
        <v>0</v>
      </c>
      <c r="K554" t="n">
        <v>0</v>
      </c>
      <c r="L554" t="n">
        <v>0</v>
      </c>
      <c r="M554" t="n">
        <v>0</v>
      </c>
      <c r="N554" t="n">
        <v>0</v>
      </c>
      <c r="O554" t="n">
        <v>0</v>
      </c>
      <c r="P554" t="n">
        <v>0</v>
      </c>
      <c r="Q554" t="n">
        <v>0</v>
      </c>
      <c r="R554" s="2" t="inlineStr"/>
    </row>
    <row r="555" ht="15" customHeight="1">
      <c r="A555" t="inlineStr">
        <is>
          <t>A 54199-2024</t>
        </is>
      </c>
      <c r="B555" s="1" t="n">
        <v>45616.64703703704</v>
      </c>
      <c r="C555" s="1" t="n">
        <v>45986</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6312-2025</t>
        </is>
      </c>
      <c r="B556" s="1" t="n">
        <v>45698</v>
      </c>
      <c r="C556" s="1" t="n">
        <v>45986</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44857-2023</t>
        </is>
      </c>
      <c r="B557" s="1" t="n">
        <v>45190.58479166667</v>
      </c>
      <c r="C557" s="1" t="n">
        <v>45986</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62654-2022</t>
        </is>
      </c>
      <c r="B558" s="1" t="n">
        <v>44917</v>
      </c>
      <c r="C558" s="1" t="n">
        <v>45986</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43188-2023</t>
        </is>
      </c>
      <c r="B559" s="1" t="n">
        <v>45183</v>
      </c>
      <c r="C559" s="1" t="n">
        <v>45986</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43205-2023</t>
        </is>
      </c>
      <c r="B560" s="1" t="n">
        <v>45183</v>
      </c>
      <c r="C560" s="1" t="n">
        <v>45986</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61892-2021</t>
        </is>
      </c>
      <c r="B561" s="1" t="n">
        <v>44502</v>
      </c>
      <c r="C561" s="1" t="n">
        <v>45986</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29213-2022</t>
        </is>
      </c>
      <c r="B562" s="1" t="n">
        <v>44750.57474537037</v>
      </c>
      <c r="C562" s="1" t="n">
        <v>45986</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59483-2022</t>
        </is>
      </c>
      <c r="B563" s="1" t="n">
        <v>44907.45679398148</v>
      </c>
      <c r="C563" s="1" t="n">
        <v>45986</v>
      </c>
      <c r="D563" t="inlineStr">
        <is>
          <t>VÄSTMANLANDS LÄN</t>
        </is>
      </c>
      <c r="E563" t="inlineStr">
        <is>
          <t>SALA</t>
        </is>
      </c>
      <c r="G563" t="n">
        <v>5.2</v>
      </c>
      <c r="H563" t="n">
        <v>0</v>
      </c>
      <c r="I563" t="n">
        <v>0</v>
      </c>
      <c r="J563" t="n">
        <v>0</v>
      </c>
      <c r="K563" t="n">
        <v>0</v>
      </c>
      <c r="L563" t="n">
        <v>0</v>
      </c>
      <c r="M563" t="n">
        <v>0</v>
      </c>
      <c r="N563" t="n">
        <v>0</v>
      </c>
      <c r="O563" t="n">
        <v>0</v>
      </c>
      <c r="P563" t="n">
        <v>0</v>
      </c>
      <c r="Q563" t="n">
        <v>0</v>
      </c>
      <c r="R563" s="2" t="inlineStr"/>
    </row>
    <row r="564" ht="15" customHeight="1">
      <c r="A564" t="inlineStr">
        <is>
          <t>A 16160-2024</t>
        </is>
      </c>
      <c r="B564" s="1" t="n">
        <v>45406</v>
      </c>
      <c r="C564" s="1" t="n">
        <v>45986</v>
      </c>
      <c r="D564" t="inlineStr">
        <is>
          <t>VÄSTMANLANDS LÄN</t>
        </is>
      </c>
      <c r="E564" t="inlineStr">
        <is>
          <t>SALA</t>
        </is>
      </c>
      <c r="G564" t="n">
        <v>1.1</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45986</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22921-2023</t>
        </is>
      </c>
      <c r="B566" s="1" t="n">
        <v>45070</v>
      </c>
      <c r="C566" s="1" t="n">
        <v>45986</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36858-2023</t>
        </is>
      </c>
      <c r="B567" s="1" t="n">
        <v>45154.55184027777</v>
      </c>
      <c r="C567" s="1" t="n">
        <v>45986</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55024-2023</t>
        </is>
      </c>
      <c r="B568" s="1" t="n">
        <v>45229</v>
      </c>
      <c r="C568" s="1" t="n">
        <v>45986</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55032-2023</t>
        </is>
      </c>
      <c r="B569" s="1" t="n">
        <v>45229</v>
      </c>
      <c r="C569" s="1" t="n">
        <v>45986</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20352-2022</t>
        </is>
      </c>
      <c r="B570" s="1" t="n">
        <v>44699.37318287037</v>
      </c>
      <c r="C570" s="1" t="n">
        <v>45986</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5032-2025</t>
        </is>
      </c>
      <c r="B571" s="1" t="n">
        <v>45691</v>
      </c>
      <c r="C571" s="1" t="n">
        <v>45986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17117-2023</t>
        </is>
      </c>
      <c r="B572" s="1" t="n">
        <v>45034</v>
      </c>
      <c r="C572" s="1" t="n">
        <v>45986</v>
      </c>
      <c r="D572" t="inlineStr">
        <is>
          <t>VÄSTMANLANDS LÄN</t>
        </is>
      </c>
      <c r="E572" t="inlineStr">
        <is>
          <t>SALA</t>
        </is>
      </c>
      <c r="G572" t="n">
        <v>0.4</v>
      </c>
      <c r="H572" t="n">
        <v>0</v>
      </c>
      <c r="I572" t="n">
        <v>0</v>
      </c>
      <c r="J572" t="n">
        <v>0</v>
      </c>
      <c r="K572" t="n">
        <v>0</v>
      </c>
      <c r="L572" t="n">
        <v>0</v>
      </c>
      <c r="M572" t="n">
        <v>0</v>
      </c>
      <c r="N572" t="n">
        <v>0</v>
      </c>
      <c r="O572" t="n">
        <v>0</v>
      </c>
      <c r="P572" t="n">
        <v>0</v>
      </c>
      <c r="Q572" t="n">
        <v>0</v>
      </c>
      <c r="R572" s="2" t="inlineStr"/>
    </row>
    <row r="573" ht="15" customHeight="1">
      <c r="A573" t="inlineStr">
        <is>
          <t>A 19243-2025</t>
        </is>
      </c>
      <c r="B573" s="1" t="n">
        <v>45769</v>
      </c>
      <c r="C573" s="1" t="n">
        <v>45986</v>
      </c>
      <c r="D573" t="inlineStr">
        <is>
          <t>VÄSTMANLANDS LÄN</t>
        </is>
      </c>
      <c r="E573" t="inlineStr">
        <is>
          <t>SALA</t>
        </is>
      </c>
      <c r="F573" t="inlineStr">
        <is>
          <t>Bergvik skog öst AB</t>
        </is>
      </c>
      <c r="G573" t="n">
        <v>1.5</v>
      </c>
      <c r="H573" t="n">
        <v>0</v>
      </c>
      <c r="I573" t="n">
        <v>0</v>
      </c>
      <c r="J573" t="n">
        <v>0</v>
      </c>
      <c r="K573" t="n">
        <v>0</v>
      </c>
      <c r="L573" t="n">
        <v>0</v>
      </c>
      <c r="M573" t="n">
        <v>0</v>
      </c>
      <c r="N573" t="n">
        <v>0</v>
      </c>
      <c r="O573" t="n">
        <v>0</v>
      </c>
      <c r="P573" t="n">
        <v>0</v>
      </c>
      <c r="Q573" t="n">
        <v>0</v>
      </c>
      <c r="R573" s="2" t="inlineStr"/>
    </row>
    <row r="574" ht="15" customHeight="1">
      <c r="A574" t="inlineStr">
        <is>
          <t>A 7166-2025</t>
        </is>
      </c>
      <c r="B574" s="1" t="n">
        <v>45702</v>
      </c>
      <c r="C574" s="1" t="n">
        <v>45986</v>
      </c>
      <c r="D574" t="inlineStr">
        <is>
          <t>VÄSTMANLANDS LÄN</t>
        </is>
      </c>
      <c r="E574" t="inlineStr">
        <is>
          <t>SALA</t>
        </is>
      </c>
      <c r="G574" t="n">
        <v>6.1</v>
      </c>
      <c r="H574" t="n">
        <v>0</v>
      </c>
      <c r="I574" t="n">
        <v>0</v>
      </c>
      <c r="J574" t="n">
        <v>0</v>
      </c>
      <c r="K574" t="n">
        <v>0</v>
      </c>
      <c r="L574" t="n">
        <v>0</v>
      </c>
      <c r="M574" t="n">
        <v>0</v>
      </c>
      <c r="N574" t="n">
        <v>0</v>
      </c>
      <c r="O574" t="n">
        <v>0</v>
      </c>
      <c r="P574" t="n">
        <v>0</v>
      </c>
      <c r="Q574" t="n">
        <v>0</v>
      </c>
      <c r="R574" s="2" t="inlineStr"/>
    </row>
    <row r="575" ht="15" customHeight="1">
      <c r="A575" t="inlineStr">
        <is>
          <t>A 36393-2023</t>
        </is>
      </c>
      <c r="B575" s="1" t="n">
        <v>45152</v>
      </c>
      <c r="C575" s="1" t="n">
        <v>45986</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26416-2023</t>
        </is>
      </c>
      <c r="B576" s="1" t="n">
        <v>45092.38087962963</v>
      </c>
      <c r="C576" s="1" t="n">
        <v>45986</v>
      </c>
      <c r="D576" t="inlineStr">
        <is>
          <t>VÄSTMANLANDS LÄN</t>
        </is>
      </c>
      <c r="E576" t="inlineStr">
        <is>
          <t>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66821-2020</t>
        </is>
      </c>
      <c r="B577" s="1" t="n">
        <v>44179.88008101852</v>
      </c>
      <c r="C577" s="1" t="n">
        <v>45986</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28661-2024</t>
        </is>
      </c>
      <c r="B578" s="1" t="n">
        <v>45478</v>
      </c>
      <c r="C578" s="1" t="n">
        <v>45986</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27255-2023</t>
        </is>
      </c>
      <c r="B579" s="1" t="n">
        <v>45096</v>
      </c>
      <c r="C579" s="1" t="n">
        <v>45986</v>
      </c>
      <c r="D579" t="inlineStr">
        <is>
          <t>VÄSTMANLANDS LÄN</t>
        </is>
      </c>
      <c r="E579" t="inlineStr">
        <is>
          <t>SALA</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7197-2025</t>
        </is>
      </c>
      <c r="B580" s="1" t="n">
        <v>45702</v>
      </c>
      <c r="C580" s="1" t="n">
        <v>45986</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13752-2025</t>
        </is>
      </c>
      <c r="B581" s="1" t="n">
        <v>45737.41416666667</v>
      </c>
      <c r="C581" s="1" t="n">
        <v>45986</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2927-2024</t>
        </is>
      </c>
      <c r="B582" s="1" t="n">
        <v>45315.58989583333</v>
      </c>
      <c r="C582" s="1" t="n">
        <v>45986</v>
      </c>
      <c r="D582" t="inlineStr">
        <is>
          <t>VÄSTMANLANDS LÄN</t>
        </is>
      </c>
      <c r="E582" t="inlineStr">
        <is>
          <t>SALA</t>
        </is>
      </c>
      <c r="G582" t="n">
        <v>2.5</v>
      </c>
      <c r="H582" t="n">
        <v>0</v>
      </c>
      <c r="I582" t="n">
        <v>0</v>
      </c>
      <c r="J582" t="n">
        <v>0</v>
      </c>
      <c r="K582" t="n">
        <v>0</v>
      </c>
      <c r="L582" t="n">
        <v>0</v>
      </c>
      <c r="M582" t="n">
        <v>0</v>
      </c>
      <c r="N582" t="n">
        <v>0</v>
      </c>
      <c r="O582" t="n">
        <v>0</v>
      </c>
      <c r="P582" t="n">
        <v>0</v>
      </c>
      <c r="Q582" t="n">
        <v>0</v>
      </c>
      <c r="R582" s="2" t="inlineStr"/>
    </row>
    <row r="583" ht="15" customHeight="1">
      <c r="A583" t="inlineStr">
        <is>
          <t>A 26854-2024</t>
        </is>
      </c>
      <c r="B583" s="1" t="n">
        <v>45470</v>
      </c>
      <c r="C583" s="1" t="n">
        <v>45986</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48570-2024</t>
        </is>
      </c>
      <c r="B584" s="1" t="n">
        <v>45591</v>
      </c>
      <c r="C584" s="1" t="n">
        <v>45986</v>
      </c>
      <c r="D584" t="inlineStr">
        <is>
          <t>VÄSTMANLANDS LÄN</t>
        </is>
      </c>
      <c r="E584" t="inlineStr">
        <is>
          <t>SALA</t>
        </is>
      </c>
      <c r="G584" t="n">
        <v>3</v>
      </c>
      <c r="H584" t="n">
        <v>0</v>
      </c>
      <c r="I584" t="n">
        <v>0</v>
      </c>
      <c r="J584" t="n">
        <v>0</v>
      </c>
      <c r="K584" t="n">
        <v>0</v>
      </c>
      <c r="L584" t="n">
        <v>0</v>
      </c>
      <c r="M584" t="n">
        <v>0</v>
      </c>
      <c r="N584" t="n">
        <v>0</v>
      </c>
      <c r="O584" t="n">
        <v>0</v>
      </c>
      <c r="P584" t="n">
        <v>0</v>
      </c>
      <c r="Q584" t="n">
        <v>0</v>
      </c>
      <c r="R584" s="2" t="inlineStr"/>
    </row>
    <row r="585" ht="15" customHeight="1">
      <c r="A585" t="inlineStr">
        <is>
          <t>A 10812-2021</t>
        </is>
      </c>
      <c r="B585" s="1" t="n">
        <v>44259</v>
      </c>
      <c r="C585" s="1" t="n">
        <v>45986</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57883-2024</t>
        </is>
      </c>
      <c r="B586" s="1" t="n">
        <v>45630</v>
      </c>
      <c r="C586" s="1" t="n">
        <v>45986</v>
      </c>
      <c r="D586" t="inlineStr">
        <is>
          <t>VÄSTMANLANDS LÄN</t>
        </is>
      </c>
      <c r="E586" t="inlineStr">
        <is>
          <t>SALA</t>
        </is>
      </c>
      <c r="G586" t="n">
        <v>5.4</v>
      </c>
      <c r="H586" t="n">
        <v>0</v>
      </c>
      <c r="I586" t="n">
        <v>0</v>
      </c>
      <c r="J586" t="n">
        <v>0</v>
      </c>
      <c r="K586" t="n">
        <v>0</v>
      </c>
      <c r="L586" t="n">
        <v>0</v>
      </c>
      <c r="M586" t="n">
        <v>0</v>
      </c>
      <c r="N586" t="n">
        <v>0</v>
      </c>
      <c r="O586" t="n">
        <v>0</v>
      </c>
      <c r="P586" t="n">
        <v>0</v>
      </c>
      <c r="Q586" t="n">
        <v>0</v>
      </c>
      <c r="R586" s="2" t="inlineStr"/>
    </row>
    <row r="587" ht="15" customHeight="1">
      <c r="A587" t="inlineStr">
        <is>
          <t>A 16769-2024</t>
        </is>
      </c>
      <c r="B587" s="1" t="n">
        <v>45411.38738425926</v>
      </c>
      <c r="C587" s="1" t="n">
        <v>45986</v>
      </c>
      <c r="D587" t="inlineStr">
        <is>
          <t>VÄSTMANLANDS LÄN</t>
        </is>
      </c>
      <c r="E587" t="inlineStr">
        <is>
          <t>SALA</t>
        </is>
      </c>
      <c r="G587" t="n">
        <v>12</v>
      </c>
      <c r="H587" t="n">
        <v>0</v>
      </c>
      <c r="I587" t="n">
        <v>0</v>
      </c>
      <c r="J587" t="n">
        <v>0</v>
      </c>
      <c r="K587" t="n">
        <v>0</v>
      </c>
      <c r="L587" t="n">
        <v>0</v>
      </c>
      <c r="M587" t="n">
        <v>0</v>
      </c>
      <c r="N587" t="n">
        <v>0</v>
      </c>
      <c r="O587" t="n">
        <v>0</v>
      </c>
      <c r="P587" t="n">
        <v>0</v>
      </c>
      <c r="Q587" t="n">
        <v>0</v>
      </c>
      <c r="R587" s="2" t="inlineStr"/>
    </row>
    <row r="588" ht="15" customHeight="1">
      <c r="A588" t="inlineStr">
        <is>
          <t>A 18877-2023</t>
        </is>
      </c>
      <c r="B588" s="1" t="n">
        <v>45044</v>
      </c>
      <c r="C588" s="1" t="n">
        <v>45986</v>
      </c>
      <c r="D588" t="inlineStr">
        <is>
          <t>VÄSTMANLANDS LÄN</t>
        </is>
      </c>
      <c r="E588" t="inlineStr">
        <is>
          <t>SALA</t>
        </is>
      </c>
      <c r="F588" t="inlineStr">
        <is>
          <t>Kommuner</t>
        </is>
      </c>
      <c r="G588" t="n">
        <v>4.4</v>
      </c>
      <c r="H588" t="n">
        <v>0</v>
      </c>
      <c r="I588" t="n">
        <v>0</v>
      </c>
      <c r="J588" t="n">
        <v>0</v>
      </c>
      <c r="K588" t="n">
        <v>0</v>
      </c>
      <c r="L588" t="n">
        <v>0</v>
      </c>
      <c r="M588" t="n">
        <v>0</v>
      </c>
      <c r="N588" t="n">
        <v>0</v>
      </c>
      <c r="O588" t="n">
        <v>0</v>
      </c>
      <c r="P588" t="n">
        <v>0</v>
      </c>
      <c r="Q588" t="n">
        <v>0</v>
      </c>
      <c r="R588" s="2" t="inlineStr"/>
    </row>
    <row r="589" ht="15" customHeight="1">
      <c r="A589" t="inlineStr">
        <is>
          <t>A 44544-2024</t>
        </is>
      </c>
      <c r="B589" s="1" t="n">
        <v>45574.46119212963</v>
      </c>
      <c r="C589" s="1" t="n">
        <v>45986</v>
      </c>
      <c r="D589" t="inlineStr">
        <is>
          <t>VÄSTMANLANDS LÄN</t>
        </is>
      </c>
      <c r="E589" t="inlineStr">
        <is>
          <t>SALA</t>
        </is>
      </c>
      <c r="G589" t="n">
        <v>3.3</v>
      </c>
      <c r="H589" t="n">
        <v>0</v>
      </c>
      <c r="I589" t="n">
        <v>0</v>
      </c>
      <c r="J589" t="n">
        <v>0</v>
      </c>
      <c r="K589" t="n">
        <v>0</v>
      </c>
      <c r="L589" t="n">
        <v>0</v>
      </c>
      <c r="M589" t="n">
        <v>0</v>
      </c>
      <c r="N589" t="n">
        <v>0</v>
      </c>
      <c r="O589" t="n">
        <v>0</v>
      </c>
      <c r="P589" t="n">
        <v>0</v>
      </c>
      <c r="Q589" t="n">
        <v>0</v>
      </c>
      <c r="R589" s="2" t="inlineStr"/>
    </row>
    <row r="590" ht="15" customHeight="1">
      <c r="A590" t="inlineStr">
        <is>
          <t>A 60379-2022</t>
        </is>
      </c>
      <c r="B590" s="1" t="n">
        <v>44910</v>
      </c>
      <c r="C590" s="1" t="n">
        <v>45986</v>
      </c>
      <c r="D590" t="inlineStr">
        <is>
          <t>VÄSTMANLANDS LÄN</t>
        </is>
      </c>
      <c r="E590" t="inlineStr">
        <is>
          <t>SALA</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44893.48284722222</v>
      </c>
      <c r="C591" s="1" t="n">
        <v>45986</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29542-2023</t>
        </is>
      </c>
      <c r="B592" s="1" t="n">
        <v>45098</v>
      </c>
      <c r="C592" s="1" t="n">
        <v>45986</v>
      </c>
      <c r="D592" t="inlineStr">
        <is>
          <t>VÄSTMANLANDS LÄN</t>
        </is>
      </c>
      <c r="E592" t="inlineStr">
        <is>
          <t>SALA</t>
        </is>
      </c>
      <c r="G592" t="n">
        <v>4.8</v>
      </c>
      <c r="H592" t="n">
        <v>0</v>
      </c>
      <c r="I592" t="n">
        <v>0</v>
      </c>
      <c r="J592" t="n">
        <v>0</v>
      </c>
      <c r="K592" t="n">
        <v>0</v>
      </c>
      <c r="L592" t="n">
        <v>0</v>
      </c>
      <c r="M592" t="n">
        <v>0</v>
      </c>
      <c r="N592" t="n">
        <v>0</v>
      </c>
      <c r="O592" t="n">
        <v>0</v>
      </c>
      <c r="P592" t="n">
        <v>0</v>
      </c>
      <c r="Q592" t="n">
        <v>0</v>
      </c>
      <c r="R592" s="2" t="inlineStr"/>
    </row>
    <row r="593" ht="15" customHeight="1">
      <c r="A593" t="inlineStr">
        <is>
          <t>A 16638-2023</t>
        </is>
      </c>
      <c r="B593" s="1" t="n">
        <v>45027</v>
      </c>
      <c r="C593" s="1" t="n">
        <v>45986</v>
      </c>
      <c r="D593" t="inlineStr">
        <is>
          <t>VÄSTMANLANDS LÄN</t>
        </is>
      </c>
      <c r="E593" t="inlineStr">
        <is>
          <t>SALA</t>
        </is>
      </c>
      <c r="G593" t="n">
        <v>14.8</v>
      </c>
      <c r="H593" t="n">
        <v>0</v>
      </c>
      <c r="I593" t="n">
        <v>0</v>
      </c>
      <c r="J593" t="n">
        <v>0</v>
      </c>
      <c r="K593" t="n">
        <v>0</v>
      </c>
      <c r="L593" t="n">
        <v>0</v>
      </c>
      <c r="M593" t="n">
        <v>0</v>
      </c>
      <c r="N593" t="n">
        <v>0</v>
      </c>
      <c r="O593" t="n">
        <v>0</v>
      </c>
      <c r="P593" t="n">
        <v>0</v>
      </c>
      <c r="Q593" t="n">
        <v>0</v>
      </c>
      <c r="R593" s="2" t="inlineStr"/>
    </row>
    <row r="594" ht="15" customHeight="1">
      <c r="A594" t="inlineStr">
        <is>
          <t>A 37190-2024</t>
        </is>
      </c>
      <c r="B594" s="1" t="n">
        <v>45539</v>
      </c>
      <c r="C594" s="1" t="n">
        <v>45986</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23222-2023</t>
        </is>
      </c>
      <c r="B595" s="1" t="n">
        <v>45075</v>
      </c>
      <c r="C595" s="1" t="n">
        <v>45986</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23224-2023</t>
        </is>
      </c>
      <c r="B596" s="1" t="n">
        <v>45075.65040509259</v>
      </c>
      <c r="C596" s="1" t="n">
        <v>45986</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22026-2021</t>
        </is>
      </c>
      <c r="B597" s="1" t="n">
        <v>44323</v>
      </c>
      <c r="C597" s="1" t="n">
        <v>45986</v>
      </c>
      <c r="D597" t="inlineStr">
        <is>
          <t>VÄSTMANLANDS LÄN</t>
        </is>
      </c>
      <c r="E597" t="inlineStr">
        <is>
          <t>SALA</t>
        </is>
      </c>
      <c r="G597" t="n">
        <v>2.9</v>
      </c>
      <c r="H597" t="n">
        <v>0</v>
      </c>
      <c r="I597" t="n">
        <v>0</v>
      </c>
      <c r="J597" t="n">
        <v>0</v>
      </c>
      <c r="K597" t="n">
        <v>0</v>
      </c>
      <c r="L597" t="n">
        <v>0</v>
      </c>
      <c r="M597" t="n">
        <v>0</v>
      </c>
      <c r="N597" t="n">
        <v>0</v>
      </c>
      <c r="O597" t="n">
        <v>0</v>
      </c>
      <c r="P597" t="n">
        <v>0</v>
      </c>
      <c r="Q597" t="n">
        <v>0</v>
      </c>
      <c r="R597" s="2" t="inlineStr"/>
    </row>
    <row r="598" ht="15" customHeight="1">
      <c r="A598" t="inlineStr">
        <is>
          <t>A 68864-2021</t>
        </is>
      </c>
      <c r="B598" s="1" t="n">
        <v>44530</v>
      </c>
      <c r="C598" s="1" t="n">
        <v>45986</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19065-2022</t>
        </is>
      </c>
      <c r="B599" s="1" t="n">
        <v>44691.44309027777</v>
      </c>
      <c r="C599" s="1" t="n">
        <v>45986</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37612-2024</t>
        </is>
      </c>
      <c r="B600" s="1" t="n">
        <v>45541</v>
      </c>
      <c r="C600" s="1" t="n">
        <v>45986</v>
      </c>
      <c r="D600" t="inlineStr">
        <is>
          <t>VÄSTMANLANDS LÄN</t>
        </is>
      </c>
      <c r="E600" t="inlineStr">
        <is>
          <t>SALA</t>
        </is>
      </c>
      <c r="G600" t="n">
        <v>2.2</v>
      </c>
      <c r="H600" t="n">
        <v>0</v>
      </c>
      <c r="I600" t="n">
        <v>0</v>
      </c>
      <c r="J600" t="n">
        <v>0</v>
      </c>
      <c r="K600" t="n">
        <v>0</v>
      </c>
      <c r="L600" t="n">
        <v>0</v>
      </c>
      <c r="M600" t="n">
        <v>0</v>
      </c>
      <c r="N600" t="n">
        <v>0</v>
      </c>
      <c r="O600" t="n">
        <v>0</v>
      </c>
      <c r="P600" t="n">
        <v>0</v>
      </c>
      <c r="Q600" t="n">
        <v>0</v>
      </c>
      <c r="R600" s="2" t="inlineStr"/>
    </row>
    <row r="601" ht="15" customHeight="1">
      <c r="A601" t="inlineStr">
        <is>
          <t>A 37615-2024</t>
        </is>
      </c>
      <c r="B601" s="1" t="n">
        <v>45541.50673611111</v>
      </c>
      <c r="C601" s="1" t="n">
        <v>45986</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18158-2025</t>
        </is>
      </c>
      <c r="B602" s="1" t="n">
        <v>45761</v>
      </c>
      <c r="C602" s="1" t="n">
        <v>45986</v>
      </c>
      <c r="D602" t="inlineStr">
        <is>
          <t>VÄSTMANLANDS LÄN</t>
        </is>
      </c>
      <c r="E602" t="inlineStr">
        <is>
          <t>SALA</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9962-2025</t>
        </is>
      </c>
      <c r="B603" s="1" t="n">
        <v>45719.37072916667</v>
      </c>
      <c r="C603" s="1" t="n">
        <v>45986</v>
      </c>
      <c r="D603" t="inlineStr">
        <is>
          <t>VÄSTMANLANDS LÄN</t>
        </is>
      </c>
      <c r="E603" t="inlineStr">
        <is>
          <t>SALA</t>
        </is>
      </c>
      <c r="G603" t="n">
        <v>4.5</v>
      </c>
      <c r="H603" t="n">
        <v>0</v>
      </c>
      <c r="I603" t="n">
        <v>0</v>
      </c>
      <c r="J603" t="n">
        <v>0</v>
      </c>
      <c r="K603" t="n">
        <v>0</v>
      </c>
      <c r="L603" t="n">
        <v>0</v>
      </c>
      <c r="M603" t="n">
        <v>0</v>
      </c>
      <c r="N603" t="n">
        <v>0</v>
      </c>
      <c r="O603" t="n">
        <v>0</v>
      </c>
      <c r="P603" t="n">
        <v>0</v>
      </c>
      <c r="Q603" t="n">
        <v>0</v>
      </c>
      <c r="R603" s="2" t="inlineStr"/>
    </row>
    <row r="604" ht="15" customHeight="1">
      <c r="A604" t="inlineStr">
        <is>
          <t>A 37602-2024</t>
        </is>
      </c>
      <c r="B604" s="1" t="n">
        <v>45541</v>
      </c>
      <c r="C604" s="1" t="n">
        <v>45986</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18762-2024</t>
        </is>
      </c>
      <c r="B605" s="1" t="n">
        <v>45426.55240740741</v>
      </c>
      <c r="C605" s="1" t="n">
        <v>45986</v>
      </c>
      <c r="D605" t="inlineStr">
        <is>
          <t>VÄSTMANLANDS LÄN</t>
        </is>
      </c>
      <c r="E605" t="inlineStr">
        <is>
          <t>SALA</t>
        </is>
      </c>
      <c r="G605" t="n">
        <v>6.2</v>
      </c>
      <c r="H605" t="n">
        <v>0</v>
      </c>
      <c r="I605" t="n">
        <v>0</v>
      </c>
      <c r="J605" t="n">
        <v>0</v>
      </c>
      <c r="K605" t="n">
        <v>0</v>
      </c>
      <c r="L605" t="n">
        <v>0</v>
      </c>
      <c r="M605" t="n">
        <v>0</v>
      </c>
      <c r="N605" t="n">
        <v>0</v>
      </c>
      <c r="O605" t="n">
        <v>0</v>
      </c>
      <c r="P605" t="n">
        <v>0</v>
      </c>
      <c r="Q605" t="n">
        <v>0</v>
      </c>
      <c r="R605" s="2" t="inlineStr"/>
    </row>
    <row r="606" ht="15" customHeight="1">
      <c r="A606" t="inlineStr">
        <is>
          <t>A 39011-2023</t>
        </is>
      </c>
      <c r="B606" s="1" t="n">
        <v>45162</v>
      </c>
      <c r="C606" s="1" t="n">
        <v>45986</v>
      </c>
      <c r="D606" t="inlineStr">
        <is>
          <t>VÄSTMANLANDS LÄN</t>
        </is>
      </c>
      <c r="E606" t="inlineStr">
        <is>
          <t>SALA</t>
        </is>
      </c>
      <c r="G606" t="n">
        <v>1.6</v>
      </c>
      <c r="H606" t="n">
        <v>0</v>
      </c>
      <c r="I606" t="n">
        <v>0</v>
      </c>
      <c r="J606" t="n">
        <v>0</v>
      </c>
      <c r="K606" t="n">
        <v>0</v>
      </c>
      <c r="L606" t="n">
        <v>0</v>
      </c>
      <c r="M606" t="n">
        <v>0</v>
      </c>
      <c r="N606" t="n">
        <v>0</v>
      </c>
      <c r="O606" t="n">
        <v>0</v>
      </c>
      <c r="P606" t="n">
        <v>0</v>
      </c>
      <c r="Q606" t="n">
        <v>0</v>
      </c>
      <c r="R606" s="2" t="inlineStr"/>
    </row>
    <row r="607" ht="15" customHeight="1">
      <c r="A607" t="inlineStr">
        <is>
          <t>A 46352-2023</t>
        </is>
      </c>
      <c r="B607" s="1" t="n">
        <v>45192</v>
      </c>
      <c r="C607" s="1" t="n">
        <v>45986</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43751-2021</t>
        </is>
      </c>
      <c r="B608" s="1" t="n">
        <v>44433</v>
      </c>
      <c r="C608" s="1" t="n">
        <v>45986</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1128-2025</t>
        </is>
      </c>
      <c r="B609" s="1" t="n">
        <v>45666.68469907407</v>
      </c>
      <c r="C609" s="1" t="n">
        <v>45986</v>
      </c>
      <c r="D609" t="inlineStr">
        <is>
          <t>VÄSTMANLANDS LÄN</t>
        </is>
      </c>
      <c r="E609" t="inlineStr">
        <is>
          <t>SALA</t>
        </is>
      </c>
      <c r="G609" t="n">
        <v>2.5</v>
      </c>
      <c r="H609" t="n">
        <v>0</v>
      </c>
      <c r="I609" t="n">
        <v>0</v>
      </c>
      <c r="J609" t="n">
        <v>0</v>
      </c>
      <c r="K609" t="n">
        <v>0</v>
      </c>
      <c r="L609" t="n">
        <v>0</v>
      </c>
      <c r="M609" t="n">
        <v>0</v>
      </c>
      <c r="N609" t="n">
        <v>0</v>
      </c>
      <c r="O609" t="n">
        <v>0</v>
      </c>
      <c r="P609" t="n">
        <v>0</v>
      </c>
      <c r="Q609" t="n">
        <v>0</v>
      </c>
      <c r="R609" s="2" t="inlineStr"/>
    </row>
    <row r="610" ht="15" customHeight="1">
      <c r="A610" t="inlineStr">
        <is>
          <t>A 31950-2023</t>
        </is>
      </c>
      <c r="B610" s="1" t="n">
        <v>45107</v>
      </c>
      <c r="C610" s="1" t="n">
        <v>45986</v>
      </c>
      <c r="D610" t="inlineStr">
        <is>
          <t>VÄSTMANLANDS LÄN</t>
        </is>
      </c>
      <c r="E610" t="inlineStr">
        <is>
          <t>SALA</t>
        </is>
      </c>
      <c r="G610" t="n">
        <v>0.1</v>
      </c>
      <c r="H610" t="n">
        <v>0</v>
      </c>
      <c r="I610" t="n">
        <v>0</v>
      </c>
      <c r="J610" t="n">
        <v>0</v>
      </c>
      <c r="K610" t="n">
        <v>0</v>
      </c>
      <c r="L610" t="n">
        <v>0</v>
      </c>
      <c r="M610" t="n">
        <v>0</v>
      </c>
      <c r="N610" t="n">
        <v>0</v>
      </c>
      <c r="O610" t="n">
        <v>0</v>
      </c>
      <c r="P610" t="n">
        <v>0</v>
      </c>
      <c r="Q610" t="n">
        <v>0</v>
      </c>
      <c r="R610" s="2" t="inlineStr"/>
    </row>
    <row r="611" ht="15" customHeight="1">
      <c r="A611" t="inlineStr">
        <is>
          <t>A 56540-2024</t>
        </is>
      </c>
      <c r="B611" s="1" t="n">
        <v>45625</v>
      </c>
      <c r="C611" s="1" t="n">
        <v>45986</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6116-2023</t>
        </is>
      </c>
      <c r="B612" s="1" t="n">
        <v>44964</v>
      </c>
      <c r="C612" s="1" t="n">
        <v>45986</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25860-2024</t>
        </is>
      </c>
      <c r="B613" s="1" t="n">
        <v>45467.46278935186</v>
      </c>
      <c r="C613" s="1" t="n">
        <v>45986</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10154-2021</t>
        </is>
      </c>
      <c r="B614" s="1" t="n">
        <v>44256</v>
      </c>
      <c r="C614" s="1" t="n">
        <v>45986</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56916-2022</t>
        </is>
      </c>
      <c r="B615" s="1" t="n">
        <v>44888</v>
      </c>
      <c r="C615" s="1" t="n">
        <v>45986</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71471-2021</t>
        </is>
      </c>
      <c r="B616" s="1" t="n">
        <v>44540.53421296296</v>
      </c>
      <c r="C616" s="1" t="n">
        <v>45986</v>
      </c>
      <c r="D616" t="inlineStr">
        <is>
          <t>VÄSTMANLANDS LÄN</t>
        </is>
      </c>
      <c r="E616" t="inlineStr">
        <is>
          <t>SALA</t>
        </is>
      </c>
      <c r="G616" t="n">
        <v>13</v>
      </c>
      <c r="H616" t="n">
        <v>0</v>
      </c>
      <c r="I616" t="n">
        <v>0</v>
      </c>
      <c r="J616" t="n">
        <v>0</v>
      </c>
      <c r="K616" t="n">
        <v>0</v>
      </c>
      <c r="L616" t="n">
        <v>0</v>
      </c>
      <c r="M616" t="n">
        <v>0</v>
      </c>
      <c r="N616" t="n">
        <v>0</v>
      </c>
      <c r="O616" t="n">
        <v>0</v>
      </c>
      <c r="P616" t="n">
        <v>0</v>
      </c>
      <c r="Q616" t="n">
        <v>0</v>
      </c>
      <c r="R616" s="2" t="inlineStr"/>
    </row>
    <row r="617" ht="15" customHeight="1">
      <c r="A617" t="inlineStr">
        <is>
          <t>A 13987-2023</t>
        </is>
      </c>
      <c r="B617" s="1" t="n">
        <v>45007</v>
      </c>
      <c r="C617" s="1" t="n">
        <v>45986</v>
      </c>
      <c r="D617" t="inlineStr">
        <is>
          <t>VÄSTMANLANDS LÄN</t>
        </is>
      </c>
      <c r="E617" t="inlineStr">
        <is>
          <t>SALA</t>
        </is>
      </c>
      <c r="G617" t="n">
        <v>3.2</v>
      </c>
      <c r="H617" t="n">
        <v>0</v>
      </c>
      <c r="I617" t="n">
        <v>0</v>
      </c>
      <c r="J617" t="n">
        <v>0</v>
      </c>
      <c r="K617" t="n">
        <v>0</v>
      </c>
      <c r="L617" t="n">
        <v>0</v>
      </c>
      <c r="M617" t="n">
        <v>0</v>
      </c>
      <c r="N617" t="n">
        <v>0</v>
      </c>
      <c r="O617" t="n">
        <v>0</v>
      </c>
      <c r="P617" t="n">
        <v>0</v>
      </c>
      <c r="Q617" t="n">
        <v>0</v>
      </c>
      <c r="R617" s="2" t="inlineStr"/>
    </row>
    <row r="618" ht="15" customHeight="1">
      <c r="A618" t="inlineStr">
        <is>
          <t>A 13990-2023</t>
        </is>
      </c>
      <c r="B618" s="1" t="n">
        <v>45007</v>
      </c>
      <c r="C618" s="1" t="n">
        <v>45986</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1993-2022</t>
        </is>
      </c>
      <c r="B619" s="1" t="n">
        <v>44575</v>
      </c>
      <c r="C619" s="1" t="n">
        <v>45986</v>
      </c>
      <c r="D619" t="inlineStr">
        <is>
          <t>VÄSTMANLANDS LÄN</t>
        </is>
      </c>
      <c r="E619" t="inlineStr">
        <is>
          <t>SALA</t>
        </is>
      </c>
      <c r="G619" t="n">
        <v>1.6</v>
      </c>
      <c r="H619" t="n">
        <v>0</v>
      </c>
      <c r="I619" t="n">
        <v>0</v>
      </c>
      <c r="J619" t="n">
        <v>0</v>
      </c>
      <c r="K619" t="n">
        <v>0</v>
      </c>
      <c r="L619" t="n">
        <v>0</v>
      </c>
      <c r="M619" t="n">
        <v>0</v>
      </c>
      <c r="N619" t="n">
        <v>0</v>
      </c>
      <c r="O619" t="n">
        <v>0</v>
      </c>
      <c r="P619" t="n">
        <v>0</v>
      </c>
      <c r="Q619" t="n">
        <v>0</v>
      </c>
      <c r="R619" s="2" t="inlineStr"/>
    </row>
    <row r="620" ht="15" customHeight="1">
      <c r="A620" t="inlineStr">
        <is>
          <t>A 17051-2025</t>
        </is>
      </c>
      <c r="B620" s="1" t="n">
        <v>45755</v>
      </c>
      <c r="C620" s="1" t="n">
        <v>45986</v>
      </c>
      <c r="D620" t="inlineStr">
        <is>
          <t>VÄSTMANLANDS LÄN</t>
        </is>
      </c>
      <c r="E620" t="inlineStr">
        <is>
          <t>SALA</t>
        </is>
      </c>
      <c r="G620" t="n">
        <v>2.9</v>
      </c>
      <c r="H620" t="n">
        <v>0</v>
      </c>
      <c r="I620" t="n">
        <v>0</v>
      </c>
      <c r="J620" t="n">
        <v>0</v>
      </c>
      <c r="K620" t="n">
        <v>0</v>
      </c>
      <c r="L620" t="n">
        <v>0</v>
      </c>
      <c r="M620" t="n">
        <v>0</v>
      </c>
      <c r="N620" t="n">
        <v>0</v>
      </c>
      <c r="O620" t="n">
        <v>0</v>
      </c>
      <c r="P620" t="n">
        <v>0</v>
      </c>
      <c r="Q620" t="n">
        <v>0</v>
      </c>
      <c r="R620" s="2" t="inlineStr"/>
    </row>
    <row r="621" ht="15" customHeight="1">
      <c r="A621" t="inlineStr">
        <is>
          <t>A 43509-2021</t>
        </is>
      </c>
      <c r="B621" s="1" t="n">
        <v>44433</v>
      </c>
      <c r="C621" s="1" t="n">
        <v>45986</v>
      </c>
      <c r="D621" t="inlineStr">
        <is>
          <t>VÄSTMANLANDS LÄN</t>
        </is>
      </c>
      <c r="E621" t="inlineStr">
        <is>
          <t>SALA</t>
        </is>
      </c>
      <c r="G621" t="n">
        <v>0.8</v>
      </c>
      <c r="H621" t="n">
        <v>0</v>
      </c>
      <c r="I621" t="n">
        <v>0</v>
      </c>
      <c r="J621" t="n">
        <v>0</v>
      </c>
      <c r="K621" t="n">
        <v>0</v>
      </c>
      <c r="L621" t="n">
        <v>0</v>
      </c>
      <c r="M621" t="n">
        <v>0</v>
      </c>
      <c r="N621" t="n">
        <v>0</v>
      </c>
      <c r="O621" t="n">
        <v>0</v>
      </c>
      <c r="P621" t="n">
        <v>0</v>
      </c>
      <c r="Q621" t="n">
        <v>0</v>
      </c>
      <c r="R621" s="2" t="inlineStr"/>
    </row>
    <row r="622" ht="15" customHeight="1">
      <c r="A622" t="inlineStr">
        <is>
          <t>A 54959-2024</t>
        </is>
      </c>
      <c r="B622" s="1" t="n">
        <v>45619</v>
      </c>
      <c r="C622" s="1" t="n">
        <v>45986</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56964-2023</t>
        </is>
      </c>
      <c r="B623" s="1" t="n">
        <v>45244.63140046296</v>
      </c>
      <c r="C623" s="1" t="n">
        <v>45986</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37337-2024</t>
        </is>
      </c>
      <c r="B624" s="1" t="n">
        <v>45540</v>
      </c>
      <c r="C624" s="1" t="n">
        <v>45986</v>
      </c>
      <c r="D624" t="inlineStr">
        <is>
          <t>VÄSTMANLANDS LÄN</t>
        </is>
      </c>
      <c r="E624" t="inlineStr">
        <is>
          <t>SALA</t>
        </is>
      </c>
      <c r="G624" t="n">
        <v>6.5</v>
      </c>
      <c r="H624" t="n">
        <v>0</v>
      </c>
      <c r="I624" t="n">
        <v>0</v>
      </c>
      <c r="J624" t="n">
        <v>0</v>
      </c>
      <c r="K624" t="n">
        <v>0</v>
      </c>
      <c r="L624" t="n">
        <v>0</v>
      </c>
      <c r="M624" t="n">
        <v>0</v>
      </c>
      <c r="N624" t="n">
        <v>0</v>
      </c>
      <c r="O624" t="n">
        <v>0</v>
      </c>
      <c r="P624" t="n">
        <v>0</v>
      </c>
      <c r="Q624" t="n">
        <v>0</v>
      </c>
      <c r="R624" s="2" t="inlineStr"/>
    </row>
    <row r="625" ht="15" customHeight="1">
      <c r="A625" t="inlineStr">
        <is>
          <t>A 17120-2023</t>
        </is>
      </c>
      <c r="B625" s="1" t="n">
        <v>45034</v>
      </c>
      <c r="C625" s="1" t="n">
        <v>45986</v>
      </c>
      <c r="D625" t="inlineStr">
        <is>
          <t>VÄSTMANLANDS LÄN</t>
        </is>
      </c>
      <c r="E625" t="inlineStr">
        <is>
          <t>SALA</t>
        </is>
      </c>
      <c r="G625" t="n">
        <v>0.1</v>
      </c>
      <c r="H625" t="n">
        <v>0</v>
      </c>
      <c r="I625" t="n">
        <v>0</v>
      </c>
      <c r="J625" t="n">
        <v>0</v>
      </c>
      <c r="K625" t="n">
        <v>0</v>
      </c>
      <c r="L625" t="n">
        <v>0</v>
      </c>
      <c r="M625" t="n">
        <v>0</v>
      </c>
      <c r="N625" t="n">
        <v>0</v>
      </c>
      <c r="O625" t="n">
        <v>0</v>
      </c>
      <c r="P625" t="n">
        <v>0</v>
      </c>
      <c r="Q625" t="n">
        <v>0</v>
      </c>
      <c r="R625" s="2" t="inlineStr"/>
    </row>
    <row r="626" ht="15" customHeight="1">
      <c r="A626" t="inlineStr">
        <is>
          <t>A 34494-2023</t>
        </is>
      </c>
      <c r="B626" s="1" t="n">
        <v>45133</v>
      </c>
      <c r="C626" s="1" t="n">
        <v>45986</v>
      </c>
      <c r="D626" t="inlineStr">
        <is>
          <t>VÄSTMANLANDS LÄN</t>
        </is>
      </c>
      <c r="E626" t="inlineStr">
        <is>
          <t>SALA</t>
        </is>
      </c>
      <c r="G626" t="n">
        <v>0.8</v>
      </c>
      <c r="H626" t="n">
        <v>0</v>
      </c>
      <c r="I626" t="n">
        <v>0</v>
      </c>
      <c r="J626" t="n">
        <v>0</v>
      </c>
      <c r="K626" t="n">
        <v>0</v>
      </c>
      <c r="L626" t="n">
        <v>0</v>
      </c>
      <c r="M626" t="n">
        <v>0</v>
      </c>
      <c r="N626" t="n">
        <v>0</v>
      </c>
      <c r="O626" t="n">
        <v>0</v>
      </c>
      <c r="P626" t="n">
        <v>0</v>
      </c>
      <c r="Q626" t="n">
        <v>0</v>
      </c>
      <c r="R626" s="2" t="inlineStr"/>
    </row>
    <row r="627" ht="15" customHeight="1">
      <c r="A627" t="inlineStr">
        <is>
          <t>A 10579-2022</t>
        </is>
      </c>
      <c r="B627" s="1" t="n">
        <v>44624</v>
      </c>
      <c r="C627" s="1" t="n">
        <v>45986</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9335-2022</t>
        </is>
      </c>
      <c r="B628" s="1" t="n">
        <v>44616.56579861111</v>
      </c>
      <c r="C628" s="1" t="n">
        <v>45986</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45313-2024</t>
        </is>
      </c>
      <c r="B629" s="1" t="n">
        <v>45576</v>
      </c>
      <c r="C629" s="1" t="n">
        <v>45986</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23119-2022</t>
        </is>
      </c>
      <c r="B630" s="1" t="n">
        <v>44719.56697916667</v>
      </c>
      <c r="C630" s="1" t="n">
        <v>45986</v>
      </c>
      <c r="D630" t="inlineStr">
        <is>
          <t>VÄSTMANLANDS LÄN</t>
        </is>
      </c>
      <c r="E630" t="inlineStr">
        <is>
          <t>SALA</t>
        </is>
      </c>
      <c r="G630" t="n">
        <v>7</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44935.82290509259</v>
      </c>
      <c r="C631" s="1" t="n">
        <v>45986</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52503-2024</t>
        </is>
      </c>
      <c r="B632" s="1" t="n">
        <v>45609.58806712963</v>
      </c>
      <c r="C632" s="1" t="n">
        <v>45986</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7953-2024</t>
        </is>
      </c>
      <c r="B633" s="1" t="n">
        <v>45350</v>
      </c>
      <c r="C633" s="1" t="n">
        <v>45986</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30028-2024</t>
        </is>
      </c>
      <c r="B634" s="1" t="n">
        <v>45485</v>
      </c>
      <c r="C634" s="1" t="n">
        <v>45986</v>
      </c>
      <c r="D634" t="inlineStr">
        <is>
          <t>VÄSTMANLANDS LÄN</t>
        </is>
      </c>
      <c r="E634" t="inlineStr">
        <is>
          <t>SALA</t>
        </is>
      </c>
      <c r="G634" t="n">
        <v>2.6</v>
      </c>
      <c r="H634" t="n">
        <v>0</v>
      </c>
      <c r="I634" t="n">
        <v>0</v>
      </c>
      <c r="J634" t="n">
        <v>0</v>
      </c>
      <c r="K634" t="n">
        <v>0</v>
      </c>
      <c r="L634" t="n">
        <v>0</v>
      </c>
      <c r="M634" t="n">
        <v>0</v>
      </c>
      <c r="N634" t="n">
        <v>0</v>
      </c>
      <c r="O634" t="n">
        <v>0</v>
      </c>
      <c r="P634" t="n">
        <v>0</v>
      </c>
      <c r="Q634" t="n">
        <v>0</v>
      </c>
      <c r="R634" s="2" t="inlineStr"/>
    </row>
    <row r="635" ht="15" customHeight="1">
      <c r="A635" t="inlineStr">
        <is>
          <t>A 7950-2025</t>
        </is>
      </c>
      <c r="B635" s="1" t="n">
        <v>45707.41799768519</v>
      </c>
      <c r="C635" s="1" t="n">
        <v>45986</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27657-2023</t>
        </is>
      </c>
      <c r="B636" s="1" t="n">
        <v>45097.76631944445</v>
      </c>
      <c r="C636" s="1" t="n">
        <v>45986</v>
      </c>
      <c r="D636" t="inlineStr">
        <is>
          <t>VÄSTMANLANDS LÄN</t>
        </is>
      </c>
      <c r="E636" t="inlineStr">
        <is>
          <t>SALA</t>
        </is>
      </c>
      <c r="G636" t="n">
        <v>0.1</v>
      </c>
      <c r="H636" t="n">
        <v>0</v>
      </c>
      <c r="I636" t="n">
        <v>0</v>
      </c>
      <c r="J636" t="n">
        <v>0</v>
      </c>
      <c r="K636" t="n">
        <v>0</v>
      </c>
      <c r="L636" t="n">
        <v>0</v>
      </c>
      <c r="M636" t="n">
        <v>0</v>
      </c>
      <c r="N636" t="n">
        <v>0</v>
      </c>
      <c r="O636" t="n">
        <v>0</v>
      </c>
      <c r="P636" t="n">
        <v>0</v>
      </c>
      <c r="Q636" t="n">
        <v>0</v>
      </c>
      <c r="R636" s="2" t="inlineStr"/>
    </row>
    <row r="637" ht="15" customHeight="1">
      <c r="A637" t="inlineStr">
        <is>
          <t>A 13855-2023</t>
        </is>
      </c>
      <c r="B637" s="1" t="n">
        <v>45007</v>
      </c>
      <c r="C637" s="1" t="n">
        <v>45986</v>
      </c>
      <c r="D637" t="inlineStr">
        <is>
          <t>VÄSTMANLANDS LÄN</t>
        </is>
      </c>
      <c r="E637" t="inlineStr">
        <is>
          <t>SALA</t>
        </is>
      </c>
      <c r="G637" t="n">
        <v>2.9</v>
      </c>
      <c r="H637" t="n">
        <v>0</v>
      </c>
      <c r="I637" t="n">
        <v>0</v>
      </c>
      <c r="J637" t="n">
        <v>0</v>
      </c>
      <c r="K637" t="n">
        <v>0</v>
      </c>
      <c r="L637" t="n">
        <v>0</v>
      </c>
      <c r="M637" t="n">
        <v>0</v>
      </c>
      <c r="N637" t="n">
        <v>0</v>
      </c>
      <c r="O637" t="n">
        <v>0</v>
      </c>
      <c r="P637" t="n">
        <v>0</v>
      </c>
      <c r="Q637" t="n">
        <v>0</v>
      </c>
      <c r="R637" s="2" t="inlineStr"/>
    </row>
    <row r="638" ht="15" customHeight="1">
      <c r="A638" t="inlineStr">
        <is>
          <t>A 33309-2022</t>
        </is>
      </c>
      <c r="B638" s="1" t="n">
        <v>44788.40986111111</v>
      </c>
      <c r="C638" s="1" t="n">
        <v>45986</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47909-2022</t>
        </is>
      </c>
      <c r="B639" s="1" t="n">
        <v>44855</v>
      </c>
      <c r="C639" s="1" t="n">
        <v>45986</v>
      </c>
      <c r="D639" t="inlineStr">
        <is>
          <t>VÄSTMANLANDS LÄN</t>
        </is>
      </c>
      <c r="E639" t="inlineStr">
        <is>
          <t>SALA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15272-2025</t>
        </is>
      </c>
      <c r="B640" s="1" t="n">
        <v>45744</v>
      </c>
      <c r="C640" s="1" t="n">
        <v>45986</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44992.57782407408</v>
      </c>
      <c r="C641" s="1" t="n">
        <v>45986</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45986</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53838-2022</t>
        </is>
      </c>
      <c r="B643" s="1" t="n">
        <v>44880.59363425926</v>
      </c>
      <c r="C643" s="1" t="n">
        <v>45986</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6088-2021</t>
        </is>
      </c>
      <c r="B644" s="1" t="n">
        <v>44232</v>
      </c>
      <c r="C644" s="1" t="n">
        <v>45986</v>
      </c>
      <c r="D644" t="inlineStr">
        <is>
          <t>VÄSTMANLANDS LÄN</t>
        </is>
      </c>
      <c r="E644" t="inlineStr">
        <is>
          <t>SALA</t>
        </is>
      </c>
      <c r="G644" t="n">
        <v>0.2</v>
      </c>
      <c r="H644" t="n">
        <v>0</v>
      </c>
      <c r="I644" t="n">
        <v>0</v>
      </c>
      <c r="J644" t="n">
        <v>0</v>
      </c>
      <c r="K644" t="n">
        <v>0</v>
      </c>
      <c r="L644" t="n">
        <v>0</v>
      </c>
      <c r="M644" t="n">
        <v>0</v>
      </c>
      <c r="N644" t="n">
        <v>0</v>
      </c>
      <c r="O644" t="n">
        <v>0</v>
      </c>
      <c r="P644" t="n">
        <v>0</v>
      </c>
      <c r="Q644" t="n">
        <v>0</v>
      </c>
      <c r="R644" s="2" t="inlineStr"/>
    </row>
    <row r="645" ht="15" customHeight="1">
      <c r="A645" t="inlineStr">
        <is>
          <t>A 53166-2024</t>
        </is>
      </c>
      <c r="B645" s="1" t="n">
        <v>45611</v>
      </c>
      <c r="C645" s="1" t="n">
        <v>45986</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28827-2022</t>
        </is>
      </c>
      <c r="B646" s="1" t="n">
        <v>44749.45561342593</v>
      </c>
      <c r="C646" s="1" t="n">
        <v>45986</v>
      </c>
      <c r="D646" t="inlineStr">
        <is>
          <t>VÄSTMANLANDS LÄN</t>
        </is>
      </c>
      <c r="E646" t="inlineStr">
        <is>
          <t>SALA</t>
        </is>
      </c>
      <c r="F646" t="inlineStr">
        <is>
          <t>Kommuner</t>
        </is>
      </c>
      <c r="G646" t="n">
        <v>11.9</v>
      </c>
      <c r="H646" t="n">
        <v>0</v>
      </c>
      <c r="I646" t="n">
        <v>0</v>
      </c>
      <c r="J646" t="n">
        <v>0</v>
      </c>
      <c r="K646" t="n">
        <v>0</v>
      </c>
      <c r="L646" t="n">
        <v>0</v>
      </c>
      <c r="M646" t="n">
        <v>0</v>
      </c>
      <c r="N646" t="n">
        <v>0</v>
      </c>
      <c r="O646" t="n">
        <v>0</v>
      </c>
      <c r="P646" t="n">
        <v>0</v>
      </c>
      <c r="Q646" t="n">
        <v>0</v>
      </c>
      <c r="R646" s="2" t="inlineStr"/>
    </row>
    <row r="647" ht="15" customHeight="1">
      <c r="A647" t="inlineStr">
        <is>
          <t>A 17866-2025</t>
        </is>
      </c>
      <c r="B647" s="1" t="n">
        <v>45758</v>
      </c>
      <c r="C647" s="1" t="n">
        <v>45986</v>
      </c>
      <c r="D647" t="inlineStr">
        <is>
          <t>VÄSTMANLANDS LÄN</t>
        </is>
      </c>
      <c r="E647" t="inlineStr">
        <is>
          <t>SALA</t>
        </is>
      </c>
      <c r="F647" t="inlineStr">
        <is>
          <t>Bergvik skog öst AB</t>
        </is>
      </c>
      <c r="G647" t="n">
        <v>2.1</v>
      </c>
      <c r="H647" t="n">
        <v>0</v>
      </c>
      <c r="I647" t="n">
        <v>0</v>
      </c>
      <c r="J647" t="n">
        <v>0</v>
      </c>
      <c r="K647" t="n">
        <v>0</v>
      </c>
      <c r="L647" t="n">
        <v>0</v>
      </c>
      <c r="M647" t="n">
        <v>0</v>
      </c>
      <c r="N647" t="n">
        <v>0</v>
      </c>
      <c r="O647" t="n">
        <v>0</v>
      </c>
      <c r="P647" t="n">
        <v>0</v>
      </c>
      <c r="Q647" t="n">
        <v>0</v>
      </c>
      <c r="R647" s="2" t="inlineStr"/>
    </row>
    <row r="648" ht="15" customHeight="1">
      <c r="A648" t="inlineStr">
        <is>
          <t>A 54836-2024</t>
        </is>
      </c>
      <c r="B648" s="1" t="n">
        <v>45618</v>
      </c>
      <c r="C648" s="1" t="n">
        <v>45986</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64729-2023</t>
        </is>
      </c>
      <c r="B649" s="1" t="n">
        <v>45281</v>
      </c>
      <c r="C649" s="1" t="n">
        <v>45986</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10585-2022</t>
        </is>
      </c>
      <c r="B650" s="1" t="n">
        <v>44624</v>
      </c>
      <c r="C650" s="1" t="n">
        <v>45986</v>
      </c>
      <c r="D650" t="inlineStr">
        <is>
          <t>VÄSTMANLANDS LÄN</t>
        </is>
      </c>
      <c r="E650" t="inlineStr">
        <is>
          <t>SALA</t>
        </is>
      </c>
      <c r="G650" t="n">
        <v>2</v>
      </c>
      <c r="H650" t="n">
        <v>0</v>
      </c>
      <c r="I650" t="n">
        <v>0</v>
      </c>
      <c r="J650" t="n">
        <v>0</v>
      </c>
      <c r="K650" t="n">
        <v>0</v>
      </c>
      <c r="L650" t="n">
        <v>0</v>
      </c>
      <c r="M650" t="n">
        <v>0</v>
      </c>
      <c r="N650" t="n">
        <v>0</v>
      </c>
      <c r="O650" t="n">
        <v>0</v>
      </c>
      <c r="P650" t="n">
        <v>0</v>
      </c>
      <c r="Q650" t="n">
        <v>0</v>
      </c>
      <c r="R650" s="2" t="inlineStr"/>
    </row>
    <row r="651" ht="15" customHeight="1">
      <c r="A651" t="inlineStr">
        <is>
          <t>A 22523-2023</t>
        </is>
      </c>
      <c r="B651" s="1" t="n">
        <v>45069</v>
      </c>
      <c r="C651" s="1" t="n">
        <v>45986</v>
      </c>
      <c r="D651" t="inlineStr">
        <is>
          <t>VÄSTMANLANDS LÄN</t>
        </is>
      </c>
      <c r="E651" t="inlineStr">
        <is>
          <t>SALA</t>
        </is>
      </c>
      <c r="G651" t="n">
        <v>2.4</v>
      </c>
      <c r="H651" t="n">
        <v>0</v>
      </c>
      <c r="I651" t="n">
        <v>0</v>
      </c>
      <c r="J651" t="n">
        <v>0</v>
      </c>
      <c r="K651" t="n">
        <v>0</v>
      </c>
      <c r="L651" t="n">
        <v>0</v>
      </c>
      <c r="M651" t="n">
        <v>0</v>
      </c>
      <c r="N651" t="n">
        <v>0</v>
      </c>
      <c r="O651" t="n">
        <v>0</v>
      </c>
      <c r="P651" t="n">
        <v>0</v>
      </c>
      <c r="Q651" t="n">
        <v>0</v>
      </c>
      <c r="R651" s="2" t="inlineStr"/>
    </row>
    <row r="652" ht="15" customHeight="1">
      <c r="A652" t="inlineStr">
        <is>
          <t>A 31609-2024</t>
        </is>
      </c>
      <c r="B652" s="1" t="n">
        <v>45506</v>
      </c>
      <c r="C652" s="1" t="n">
        <v>45986</v>
      </c>
      <c r="D652" t="inlineStr">
        <is>
          <t>VÄSTMANLANDS LÄN</t>
        </is>
      </c>
      <c r="E652" t="inlineStr">
        <is>
          <t>SALA</t>
        </is>
      </c>
      <c r="G652" t="n">
        <v>0.8</v>
      </c>
      <c r="H652" t="n">
        <v>0</v>
      </c>
      <c r="I652" t="n">
        <v>0</v>
      </c>
      <c r="J652" t="n">
        <v>0</v>
      </c>
      <c r="K652" t="n">
        <v>0</v>
      </c>
      <c r="L652" t="n">
        <v>0</v>
      </c>
      <c r="M652" t="n">
        <v>0</v>
      </c>
      <c r="N652" t="n">
        <v>0</v>
      </c>
      <c r="O652" t="n">
        <v>0</v>
      </c>
      <c r="P652" t="n">
        <v>0</v>
      </c>
      <c r="Q652" t="n">
        <v>0</v>
      </c>
      <c r="R652" s="2" t="inlineStr"/>
    </row>
    <row r="653" ht="15" customHeight="1">
      <c r="A653" t="inlineStr">
        <is>
          <t>A 56057-2023</t>
        </is>
      </c>
      <c r="B653" s="1" t="n">
        <v>45233</v>
      </c>
      <c r="C653" s="1" t="n">
        <v>45986</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62635-2022</t>
        </is>
      </c>
      <c r="B654" s="1" t="n">
        <v>44917</v>
      </c>
      <c r="C654" s="1" t="n">
        <v>45986</v>
      </c>
      <c r="D654" t="inlineStr">
        <is>
          <t>VÄSTMANLANDS LÄN</t>
        </is>
      </c>
      <c r="E654" t="inlineStr">
        <is>
          <t>SALA</t>
        </is>
      </c>
      <c r="G654" t="n">
        <v>0.4</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44957.72496527778</v>
      </c>
      <c r="C655" s="1" t="n">
        <v>45986</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39714-2023</t>
        </is>
      </c>
      <c r="B656" s="1" t="n">
        <v>45167.62133101852</v>
      </c>
      <c r="C656" s="1" t="n">
        <v>45986</v>
      </c>
      <c r="D656" t="inlineStr">
        <is>
          <t>VÄSTMANLANDS LÄN</t>
        </is>
      </c>
      <c r="E656" t="inlineStr">
        <is>
          <t>SALA</t>
        </is>
      </c>
      <c r="G656" t="n">
        <v>1.3</v>
      </c>
      <c r="H656" t="n">
        <v>0</v>
      </c>
      <c r="I656" t="n">
        <v>0</v>
      </c>
      <c r="J656" t="n">
        <v>0</v>
      </c>
      <c r="K656" t="n">
        <v>0</v>
      </c>
      <c r="L656" t="n">
        <v>0</v>
      </c>
      <c r="M656" t="n">
        <v>0</v>
      </c>
      <c r="N656" t="n">
        <v>0</v>
      </c>
      <c r="O656" t="n">
        <v>0</v>
      </c>
      <c r="P656" t="n">
        <v>0</v>
      </c>
      <c r="Q656" t="n">
        <v>0</v>
      </c>
      <c r="R656" s="2" t="inlineStr"/>
    </row>
    <row r="657" ht="15" customHeight="1">
      <c r="A657" t="inlineStr">
        <is>
          <t>A 42984-2023</t>
        </is>
      </c>
      <c r="B657" s="1" t="n">
        <v>45179</v>
      </c>
      <c r="C657" s="1" t="n">
        <v>45986</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38636-2024</t>
        </is>
      </c>
      <c r="B658" s="1" t="n">
        <v>45546</v>
      </c>
      <c r="C658" s="1" t="n">
        <v>45986</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56535-2022</t>
        </is>
      </c>
      <c r="B659" s="1" t="n">
        <v>44893.47173611111</v>
      </c>
      <c r="C659" s="1" t="n">
        <v>45986</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60550-2024</t>
        </is>
      </c>
      <c r="B660" s="1" t="n">
        <v>45643</v>
      </c>
      <c r="C660" s="1" t="n">
        <v>45986</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13746-2025</t>
        </is>
      </c>
      <c r="B661" s="1" t="n">
        <v>45737.40944444444</v>
      </c>
      <c r="C661" s="1" t="n">
        <v>45986</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29230-2022</t>
        </is>
      </c>
      <c r="B662" s="1" t="n">
        <v>44750</v>
      </c>
      <c r="C662" s="1" t="n">
        <v>45986</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59175-2022</t>
        </is>
      </c>
      <c r="B663" s="1" t="n">
        <v>44904.48502314815</v>
      </c>
      <c r="C663" s="1" t="n">
        <v>45986</v>
      </c>
      <c r="D663" t="inlineStr">
        <is>
          <t>VÄSTMANLANDS LÄN</t>
        </is>
      </c>
      <c r="E663" t="inlineStr">
        <is>
          <t>SALA</t>
        </is>
      </c>
      <c r="G663" t="n">
        <v>2.1</v>
      </c>
      <c r="H663" t="n">
        <v>0</v>
      </c>
      <c r="I663" t="n">
        <v>0</v>
      </c>
      <c r="J663" t="n">
        <v>0</v>
      </c>
      <c r="K663" t="n">
        <v>0</v>
      </c>
      <c r="L663" t="n">
        <v>0</v>
      </c>
      <c r="M663" t="n">
        <v>0</v>
      </c>
      <c r="N663" t="n">
        <v>0</v>
      </c>
      <c r="O663" t="n">
        <v>0</v>
      </c>
      <c r="P663" t="n">
        <v>0</v>
      </c>
      <c r="Q663" t="n">
        <v>0</v>
      </c>
      <c r="R663" s="2" t="inlineStr"/>
    </row>
    <row r="664" ht="15" customHeight="1">
      <c r="A664" t="inlineStr">
        <is>
          <t>A 19381-2025</t>
        </is>
      </c>
      <c r="B664" s="1" t="n">
        <v>45769</v>
      </c>
      <c r="C664" s="1" t="n">
        <v>45986</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42938-2023</t>
        </is>
      </c>
      <c r="B665" s="1" t="n">
        <v>45179</v>
      </c>
      <c r="C665" s="1" t="n">
        <v>45986</v>
      </c>
      <c r="D665" t="inlineStr">
        <is>
          <t>VÄSTMANLANDS LÄN</t>
        </is>
      </c>
      <c r="E665" t="inlineStr">
        <is>
          <t>SALA</t>
        </is>
      </c>
      <c r="G665" t="n">
        <v>10.9</v>
      </c>
      <c r="H665" t="n">
        <v>0</v>
      </c>
      <c r="I665" t="n">
        <v>0</v>
      </c>
      <c r="J665" t="n">
        <v>0</v>
      </c>
      <c r="K665" t="n">
        <v>0</v>
      </c>
      <c r="L665" t="n">
        <v>0</v>
      </c>
      <c r="M665" t="n">
        <v>0</v>
      </c>
      <c r="N665" t="n">
        <v>0</v>
      </c>
      <c r="O665" t="n">
        <v>0</v>
      </c>
      <c r="P665" t="n">
        <v>0</v>
      </c>
      <c r="Q665" t="n">
        <v>0</v>
      </c>
      <c r="R665" s="2" t="inlineStr"/>
    </row>
    <row r="666" ht="15" customHeight="1">
      <c r="A666" t="inlineStr">
        <is>
          <t>A 19222-2025</t>
        </is>
      </c>
      <c r="B666" s="1" t="n">
        <v>45769</v>
      </c>
      <c r="C666" s="1" t="n">
        <v>45986</v>
      </c>
      <c r="D666" t="inlineStr">
        <is>
          <t>VÄSTMANLANDS LÄN</t>
        </is>
      </c>
      <c r="E666" t="inlineStr">
        <is>
          <t>SALA</t>
        </is>
      </c>
      <c r="G666" t="n">
        <v>1.8</v>
      </c>
      <c r="H666" t="n">
        <v>0</v>
      </c>
      <c r="I666" t="n">
        <v>0</v>
      </c>
      <c r="J666" t="n">
        <v>0</v>
      </c>
      <c r="K666" t="n">
        <v>0</v>
      </c>
      <c r="L666" t="n">
        <v>0</v>
      </c>
      <c r="M666" t="n">
        <v>0</v>
      </c>
      <c r="N666" t="n">
        <v>0</v>
      </c>
      <c r="O666" t="n">
        <v>0</v>
      </c>
      <c r="P666" t="n">
        <v>0</v>
      </c>
      <c r="Q666" t="n">
        <v>0</v>
      </c>
      <c r="R666" s="2" t="inlineStr"/>
    </row>
    <row r="667" ht="15" customHeight="1">
      <c r="A667" t="inlineStr">
        <is>
          <t>A 19241-2025</t>
        </is>
      </c>
      <c r="B667" s="1" t="n">
        <v>45769</v>
      </c>
      <c r="C667" s="1" t="n">
        <v>45986</v>
      </c>
      <c r="D667" t="inlineStr">
        <is>
          <t>VÄSTMANLANDS LÄN</t>
        </is>
      </c>
      <c r="E667" t="inlineStr">
        <is>
          <t>SALA</t>
        </is>
      </c>
      <c r="G667" t="n">
        <v>3.6</v>
      </c>
      <c r="H667" t="n">
        <v>0</v>
      </c>
      <c r="I667" t="n">
        <v>0</v>
      </c>
      <c r="J667" t="n">
        <v>0</v>
      </c>
      <c r="K667" t="n">
        <v>0</v>
      </c>
      <c r="L667" t="n">
        <v>0</v>
      </c>
      <c r="M667" t="n">
        <v>0</v>
      </c>
      <c r="N667" t="n">
        <v>0</v>
      </c>
      <c r="O667" t="n">
        <v>0</v>
      </c>
      <c r="P667" t="n">
        <v>0</v>
      </c>
      <c r="Q667" t="n">
        <v>0</v>
      </c>
      <c r="R667" s="2" t="inlineStr"/>
    </row>
    <row r="668" ht="15" customHeight="1">
      <c r="A668" t="inlineStr">
        <is>
          <t>A 60823-2024</t>
        </is>
      </c>
      <c r="B668" s="1" t="n">
        <v>45644</v>
      </c>
      <c r="C668" s="1" t="n">
        <v>45986</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61681-2024</t>
        </is>
      </c>
      <c r="B669" s="1" t="n">
        <v>45647</v>
      </c>
      <c r="C669" s="1" t="n">
        <v>45986</v>
      </c>
      <c r="D669" t="inlineStr">
        <is>
          <t>VÄSTMANLANDS LÄN</t>
        </is>
      </c>
      <c r="E669" t="inlineStr">
        <is>
          <t>SALA</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49661-2024</t>
        </is>
      </c>
      <c r="B670" s="1" t="n">
        <v>45596</v>
      </c>
      <c r="C670" s="1" t="n">
        <v>45986</v>
      </c>
      <c r="D670" t="inlineStr">
        <is>
          <t>VÄSTMANLANDS LÄN</t>
        </is>
      </c>
      <c r="E670" t="inlineStr">
        <is>
          <t>SALA</t>
        </is>
      </c>
      <c r="G670" t="n">
        <v>6.7</v>
      </c>
      <c r="H670" t="n">
        <v>0</v>
      </c>
      <c r="I670" t="n">
        <v>0</v>
      </c>
      <c r="J670" t="n">
        <v>0</v>
      </c>
      <c r="K670" t="n">
        <v>0</v>
      </c>
      <c r="L670" t="n">
        <v>0</v>
      </c>
      <c r="M670" t="n">
        <v>0</v>
      </c>
      <c r="N670" t="n">
        <v>0</v>
      </c>
      <c r="O670" t="n">
        <v>0</v>
      </c>
      <c r="P670" t="n">
        <v>0</v>
      </c>
      <c r="Q670" t="n">
        <v>0</v>
      </c>
      <c r="R670" s="2" t="inlineStr"/>
    </row>
    <row r="671" ht="15" customHeight="1">
      <c r="A671" t="inlineStr">
        <is>
          <t>A 59297-2023</t>
        </is>
      </c>
      <c r="B671" s="1" t="n">
        <v>45253</v>
      </c>
      <c r="C671" s="1" t="n">
        <v>45986</v>
      </c>
      <c r="D671" t="inlineStr">
        <is>
          <t>VÄSTMANLANDS LÄN</t>
        </is>
      </c>
      <c r="E671" t="inlineStr">
        <is>
          <t>SALA</t>
        </is>
      </c>
      <c r="G671" t="n">
        <v>2</v>
      </c>
      <c r="H671" t="n">
        <v>0</v>
      </c>
      <c r="I671" t="n">
        <v>0</v>
      </c>
      <c r="J671" t="n">
        <v>0</v>
      </c>
      <c r="K671" t="n">
        <v>0</v>
      </c>
      <c r="L671" t="n">
        <v>0</v>
      </c>
      <c r="M671" t="n">
        <v>0</v>
      </c>
      <c r="N671" t="n">
        <v>0</v>
      </c>
      <c r="O671" t="n">
        <v>0</v>
      </c>
      <c r="P671" t="n">
        <v>0</v>
      </c>
      <c r="Q671" t="n">
        <v>0</v>
      </c>
      <c r="R671" s="2" t="inlineStr"/>
    </row>
    <row r="672" ht="15" customHeight="1">
      <c r="A672" t="inlineStr">
        <is>
          <t>A 15965-2024</t>
        </is>
      </c>
      <c r="B672" s="1" t="n">
        <v>45405.55740740741</v>
      </c>
      <c r="C672" s="1" t="n">
        <v>45986</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23180-2022</t>
        </is>
      </c>
      <c r="B673" s="1" t="n">
        <v>44719.79344907407</v>
      </c>
      <c r="C673" s="1" t="n">
        <v>45986</v>
      </c>
      <c r="D673" t="inlineStr">
        <is>
          <t>VÄSTMANLANDS LÄN</t>
        </is>
      </c>
      <c r="E673" t="inlineStr">
        <is>
          <t>SALA</t>
        </is>
      </c>
      <c r="G673" t="n">
        <v>1.2</v>
      </c>
      <c r="H673" t="n">
        <v>0</v>
      </c>
      <c r="I673" t="n">
        <v>0</v>
      </c>
      <c r="J673" t="n">
        <v>0</v>
      </c>
      <c r="K673" t="n">
        <v>0</v>
      </c>
      <c r="L673" t="n">
        <v>0</v>
      </c>
      <c r="M673" t="n">
        <v>0</v>
      </c>
      <c r="N673" t="n">
        <v>0</v>
      </c>
      <c r="O673" t="n">
        <v>0</v>
      </c>
      <c r="P673" t="n">
        <v>0</v>
      </c>
      <c r="Q673" t="n">
        <v>0</v>
      </c>
      <c r="R673" s="2" t="inlineStr"/>
    </row>
    <row r="674" ht="15" customHeight="1">
      <c r="A674" t="inlineStr">
        <is>
          <t>A 21455-2023</t>
        </is>
      </c>
      <c r="B674" s="1" t="n">
        <v>45058</v>
      </c>
      <c r="C674" s="1" t="n">
        <v>45986</v>
      </c>
      <c r="D674" t="inlineStr">
        <is>
          <t>VÄSTMANLANDS LÄN</t>
        </is>
      </c>
      <c r="E674" t="inlineStr">
        <is>
          <t>SALA</t>
        </is>
      </c>
      <c r="G674" t="n">
        <v>6.4</v>
      </c>
      <c r="H674" t="n">
        <v>0</v>
      </c>
      <c r="I674" t="n">
        <v>0</v>
      </c>
      <c r="J674" t="n">
        <v>0</v>
      </c>
      <c r="K674" t="n">
        <v>0</v>
      </c>
      <c r="L674" t="n">
        <v>0</v>
      </c>
      <c r="M674" t="n">
        <v>0</v>
      </c>
      <c r="N674" t="n">
        <v>0</v>
      </c>
      <c r="O674" t="n">
        <v>0</v>
      </c>
      <c r="P674" t="n">
        <v>0</v>
      </c>
      <c r="Q674" t="n">
        <v>0</v>
      </c>
      <c r="R674" s="2" t="inlineStr"/>
    </row>
    <row r="675" ht="15" customHeight="1">
      <c r="A675" t="inlineStr">
        <is>
          <t>A 21053-2022</t>
        </is>
      </c>
      <c r="B675" s="1" t="n">
        <v>44704</v>
      </c>
      <c r="C675" s="1" t="n">
        <v>45986</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11927-2025</t>
        </is>
      </c>
      <c r="B676" s="1" t="n">
        <v>45728.5137962963</v>
      </c>
      <c r="C676" s="1" t="n">
        <v>45986</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50876-2023</t>
        </is>
      </c>
      <c r="B677" s="1" t="n">
        <v>45211</v>
      </c>
      <c r="C677" s="1" t="n">
        <v>45986</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10255-2024</t>
        </is>
      </c>
      <c r="B678" s="1" t="n">
        <v>45365</v>
      </c>
      <c r="C678" s="1" t="n">
        <v>45986</v>
      </c>
      <c r="D678" t="inlineStr">
        <is>
          <t>VÄSTMANLANDS LÄN</t>
        </is>
      </c>
      <c r="E678" t="inlineStr">
        <is>
          <t>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62648-2022</t>
        </is>
      </c>
      <c r="B679" s="1" t="n">
        <v>44917</v>
      </c>
      <c r="C679" s="1" t="n">
        <v>45986</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56548-2024</t>
        </is>
      </c>
      <c r="B680" s="1" t="n">
        <v>45625</v>
      </c>
      <c r="C680" s="1" t="n">
        <v>45986</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5477-2024</t>
        </is>
      </c>
      <c r="B681" s="1" t="n">
        <v>45333.67833333334</v>
      </c>
      <c r="C681" s="1" t="n">
        <v>45986</v>
      </c>
      <c r="D681" t="inlineStr">
        <is>
          <t>VÄSTMANLANDS LÄN</t>
        </is>
      </c>
      <c r="E681" t="inlineStr">
        <is>
          <t>SALA</t>
        </is>
      </c>
      <c r="G681" t="n">
        <v>2.3</v>
      </c>
      <c r="H681" t="n">
        <v>0</v>
      </c>
      <c r="I681" t="n">
        <v>0</v>
      </c>
      <c r="J681" t="n">
        <v>0</v>
      </c>
      <c r="K681" t="n">
        <v>0</v>
      </c>
      <c r="L681" t="n">
        <v>0</v>
      </c>
      <c r="M681" t="n">
        <v>0</v>
      </c>
      <c r="N681" t="n">
        <v>0</v>
      </c>
      <c r="O681" t="n">
        <v>0</v>
      </c>
      <c r="P681" t="n">
        <v>0</v>
      </c>
      <c r="Q681" t="n">
        <v>0</v>
      </c>
      <c r="R681" s="2" t="inlineStr"/>
    </row>
    <row r="682" ht="15" customHeight="1">
      <c r="A682" t="inlineStr">
        <is>
          <t>A 39451-2022</t>
        </is>
      </c>
      <c r="B682" s="1" t="n">
        <v>44818.36606481481</v>
      </c>
      <c r="C682" s="1" t="n">
        <v>45986</v>
      </c>
      <c r="D682" t="inlineStr">
        <is>
          <t>VÄSTMANLANDS LÄN</t>
        </is>
      </c>
      <c r="E682" t="inlineStr">
        <is>
          <t>SALA</t>
        </is>
      </c>
      <c r="G682" t="n">
        <v>9.4</v>
      </c>
      <c r="H682" t="n">
        <v>0</v>
      </c>
      <c r="I682" t="n">
        <v>0</v>
      </c>
      <c r="J682" t="n">
        <v>0</v>
      </c>
      <c r="K682" t="n">
        <v>0</v>
      </c>
      <c r="L682" t="n">
        <v>0</v>
      </c>
      <c r="M682" t="n">
        <v>0</v>
      </c>
      <c r="N682" t="n">
        <v>0</v>
      </c>
      <c r="O682" t="n">
        <v>0</v>
      </c>
      <c r="P682" t="n">
        <v>0</v>
      </c>
      <c r="Q682" t="n">
        <v>0</v>
      </c>
      <c r="R682" s="2" t="inlineStr"/>
    </row>
    <row r="683" ht="15" customHeight="1">
      <c r="A683" t="inlineStr">
        <is>
          <t>A 7772-2023</t>
        </is>
      </c>
      <c r="B683" s="1" t="n">
        <v>44973.40076388889</v>
      </c>
      <c r="C683" s="1" t="n">
        <v>45986</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19751-2022</t>
        </is>
      </c>
      <c r="B684" s="1" t="n">
        <v>44694</v>
      </c>
      <c r="C684" s="1" t="n">
        <v>45986</v>
      </c>
      <c r="D684" t="inlineStr">
        <is>
          <t>VÄSTMANLANDS LÄN</t>
        </is>
      </c>
      <c r="E684" t="inlineStr">
        <is>
          <t>SALA</t>
        </is>
      </c>
      <c r="G684" t="n">
        <v>2.7</v>
      </c>
      <c r="H684" t="n">
        <v>0</v>
      </c>
      <c r="I684" t="n">
        <v>0</v>
      </c>
      <c r="J684" t="n">
        <v>0</v>
      </c>
      <c r="K684" t="n">
        <v>0</v>
      </c>
      <c r="L684" t="n">
        <v>0</v>
      </c>
      <c r="M684" t="n">
        <v>0</v>
      </c>
      <c r="N684" t="n">
        <v>0</v>
      </c>
      <c r="O684" t="n">
        <v>0</v>
      </c>
      <c r="P684" t="n">
        <v>0</v>
      </c>
      <c r="Q684" t="n">
        <v>0</v>
      </c>
      <c r="R684" s="2" t="inlineStr"/>
    </row>
    <row r="685" ht="15" customHeight="1">
      <c r="A685" t="inlineStr">
        <is>
          <t>A 44713-2023</t>
        </is>
      </c>
      <c r="B685" s="1" t="n">
        <v>45184</v>
      </c>
      <c r="C685" s="1" t="n">
        <v>45986</v>
      </c>
      <c r="D685" t="inlineStr">
        <is>
          <t>VÄSTMANLANDS LÄN</t>
        </is>
      </c>
      <c r="E685" t="inlineStr">
        <is>
          <t>SALA</t>
        </is>
      </c>
      <c r="F685" t="inlineStr">
        <is>
          <t>Kyrkan</t>
        </is>
      </c>
      <c r="G685" t="n">
        <v>7.6</v>
      </c>
      <c r="H685" t="n">
        <v>0</v>
      </c>
      <c r="I685" t="n">
        <v>0</v>
      </c>
      <c r="J685" t="n">
        <v>0</v>
      </c>
      <c r="K685" t="n">
        <v>0</v>
      </c>
      <c r="L685" t="n">
        <v>0</v>
      </c>
      <c r="M685" t="n">
        <v>0</v>
      </c>
      <c r="N685" t="n">
        <v>0</v>
      </c>
      <c r="O685" t="n">
        <v>0</v>
      </c>
      <c r="P685" t="n">
        <v>0</v>
      </c>
      <c r="Q685" t="n">
        <v>0</v>
      </c>
      <c r="R685" s="2" t="inlineStr"/>
    </row>
    <row r="686" ht="15" customHeight="1">
      <c r="A686" t="inlineStr">
        <is>
          <t>A 18713-2025</t>
        </is>
      </c>
      <c r="B686" s="1" t="n">
        <v>45763</v>
      </c>
      <c r="C686" s="1" t="n">
        <v>45986</v>
      </c>
      <c r="D686" t="inlineStr">
        <is>
          <t>VÄSTMANLANDS LÄN</t>
        </is>
      </c>
      <c r="E686" t="inlineStr">
        <is>
          <t>SALA</t>
        </is>
      </c>
      <c r="F686" t="inlineStr">
        <is>
          <t>Bergvik skog öst AB</t>
        </is>
      </c>
      <c r="G686" t="n">
        <v>11.6</v>
      </c>
      <c r="H686" t="n">
        <v>0</v>
      </c>
      <c r="I686" t="n">
        <v>0</v>
      </c>
      <c r="J686" t="n">
        <v>0</v>
      </c>
      <c r="K686" t="n">
        <v>0</v>
      </c>
      <c r="L686" t="n">
        <v>0</v>
      </c>
      <c r="M686" t="n">
        <v>0</v>
      </c>
      <c r="N686" t="n">
        <v>0</v>
      </c>
      <c r="O686" t="n">
        <v>0</v>
      </c>
      <c r="P686" t="n">
        <v>0</v>
      </c>
      <c r="Q686" t="n">
        <v>0</v>
      </c>
      <c r="R686" s="2" t="inlineStr"/>
    </row>
    <row r="687" ht="15" customHeight="1">
      <c r="A687" t="inlineStr">
        <is>
          <t>A 47479-2024</t>
        </is>
      </c>
      <c r="B687" s="1" t="n">
        <v>45587</v>
      </c>
      <c r="C687" s="1" t="n">
        <v>45986</v>
      </c>
      <c r="D687" t="inlineStr">
        <is>
          <t>VÄSTMANLANDS LÄN</t>
        </is>
      </c>
      <c r="E687" t="inlineStr">
        <is>
          <t>SALA</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69236-2021</t>
        </is>
      </c>
      <c r="B688" s="1" t="n">
        <v>44531.4047337963</v>
      </c>
      <c r="C688" s="1" t="n">
        <v>45986</v>
      </c>
      <c r="D688" t="inlineStr">
        <is>
          <t>VÄSTMANLANDS LÄN</t>
        </is>
      </c>
      <c r="E688" t="inlineStr">
        <is>
          <t>SALA</t>
        </is>
      </c>
      <c r="G688" t="n">
        <v>2.8</v>
      </c>
      <c r="H688" t="n">
        <v>0</v>
      </c>
      <c r="I688" t="n">
        <v>0</v>
      </c>
      <c r="J688" t="n">
        <v>0</v>
      </c>
      <c r="K688" t="n">
        <v>0</v>
      </c>
      <c r="L688" t="n">
        <v>0</v>
      </c>
      <c r="M688" t="n">
        <v>0</v>
      </c>
      <c r="N688" t="n">
        <v>0</v>
      </c>
      <c r="O688" t="n">
        <v>0</v>
      </c>
      <c r="P688" t="n">
        <v>0</v>
      </c>
      <c r="Q688" t="n">
        <v>0</v>
      </c>
      <c r="R688" s="2" t="inlineStr"/>
    </row>
    <row r="689" ht="15" customHeight="1">
      <c r="A689" t="inlineStr">
        <is>
          <t>A 25541-2024</t>
        </is>
      </c>
      <c r="B689" s="1" t="n">
        <v>45463.56337962963</v>
      </c>
      <c r="C689" s="1" t="n">
        <v>45986</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5728-2022</t>
        </is>
      </c>
      <c r="B690" s="1" t="n">
        <v>44596.42082175926</v>
      </c>
      <c r="C690" s="1" t="n">
        <v>45986</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10250-2025</t>
        </is>
      </c>
      <c r="B691" s="1" t="n">
        <v>45720.36165509259</v>
      </c>
      <c r="C691" s="1" t="n">
        <v>45986</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49512-2024</t>
        </is>
      </c>
      <c r="B692" s="1" t="n">
        <v>45591</v>
      </c>
      <c r="C692" s="1" t="n">
        <v>45986</v>
      </c>
      <c r="D692" t="inlineStr">
        <is>
          <t>VÄSTMANLANDS LÄN</t>
        </is>
      </c>
      <c r="E692" t="inlineStr">
        <is>
          <t>SALA</t>
        </is>
      </c>
      <c r="G692" t="n">
        <v>8.1</v>
      </c>
      <c r="H692" t="n">
        <v>0</v>
      </c>
      <c r="I692" t="n">
        <v>0</v>
      </c>
      <c r="J692" t="n">
        <v>0</v>
      </c>
      <c r="K692" t="n">
        <v>0</v>
      </c>
      <c r="L692" t="n">
        <v>0</v>
      </c>
      <c r="M692" t="n">
        <v>0</v>
      </c>
      <c r="N692" t="n">
        <v>0</v>
      </c>
      <c r="O692" t="n">
        <v>0</v>
      </c>
      <c r="P692" t="n">
        <v>0</v>
      </c>
      <c r="Q692" t="n">
        <v>0</v>
      </c>
      <c r="R692" s="2" t="inlineStr"/>
    </row>
    <row r="693" ht="15" customHeight="1">
      <c r="A693" t="inlineStr">
        <is>
          <t>A 42416-2022</t>
        </is>
      </c>
      <c r="B693" s="1" t="n">
        <v>44831</v>
      </c>
      <c r="C693" s="1" t="n">
        <v>45986</v>
      </c>
      <c r="D693" t="inlineStr">
        <is>
          <t>VÄSTMANLANDS LÄN</t>
        </is>
      </c>
      <c r="E693" t="inlineStr">
        <is>
          <t>SALA</t>
        </is>
      </c>
      <c r="G693" t="n">
        <v>2.2</v>
      </c>
      <c r="H693" t="n">
        <v>0</v>
      </c>
      <c r="I693" t="n">
        <v>0</v>
      </c>
      <c r="J693" t="n">
        <v>0</v>
      </c>
      <c r="K693" t="n">
        <v>0</v>
      </c>
      <c r="L693" t="n">
        <v>0</v>
      </c>
      <c r="M693" t="n">
        <v>0</v>
      </c>
      <c r="N693" t="n">
        <v>0</v>
      </c>
      <c r="O693" t="n">
        <v>0</v>
      </c>
      <c r="P693" t="n">
        <v>0</v>
      </c>
      <c r="Q693" t="n">
        <v>0</v>
      </c>
      <c r="R693" s="2" t="inlineStr"/>
    </row>
    <row r="694" ht="15" customHeight="1">
      <c r="A694" t="inlineStr">
        <is>
          <t>A 6135-2023</t>
        </is>
      </c>
      <c r="B694" s="1" t="n">
        <v>44964.62628472222</v>
      </c>
      <c r="C694" s="1" t="n">
        <v>45986</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16693-2023</t>
        </is>
      </c>
      <c r="B695" s="1" t="n">
        <v>45028</v>
      </c>
      <c r="C695" s="1" t="n">
        <v>45986</v>
      </c>
      <c r="D695" t="inlineStr">
        <is>
          <t>VÄSTMANLANDS LÄN</t>
        </is>
      </c>
      <c r="E695" t="inlineStr">
        <is>
          <t>SALA</t>
        </is>
      </c>
      <c r="G695" t="n">
        <v>1.5</v>
      </c>
      <c r="H695" t="n">
        <v>0</v>
      </c>
      <c r="I695" t="n">
        <v>0</v>
      </c>
      <c r="J695" t="n">
        <v>0</v>
      </c>
      <c r="K695" t="n">
        <v>0</v>
      </c>
      <c r="L695" t="n">
        <v>0</v>
      </c>
      <c r="M695" t="n">
        <v>0</v>
      </c>
      <c r="N695" t="n">
        <v>0</v>
      </c>
      <c r="O695" t="n">
        <v>0</v>
      </c>
      <c r="P695" t="n">
        <v>0</v>
      </c>
      <c r="Q695" t="n">
        <v>0</v>
      </c>
      <c r="R695" s="2" t="inlineStr"/>
    </row>
    <row r="696" ht="15" customHeight="1">
      <c r="A696" t="inlineStr">
        <is>
          <t>A 8285-2025</t>
        </is>
      </c>
      <c r="B696" s="1" t="n">
        <v>45708</v>
      </c>
      <c r="C696" s="1" t="n">
        <v>45986</v>
      </c>
      <c r="D696" t="inlineStr">
        <is>
          <t>VÄSTMANLANDS LÄN</t>
        </is>
      </c>
      <c r="E696" t="inlineStr">
        <is>
          <t>SALA</t>
        </is>
      </c>
      <c r="G696" t="n">
        <v>5.7</v>
      </c>
      <c r="H696" t="n">
        <v>0</v>
      </c>
      <c r="I696" t="n">
        <v>0</v>
      </c>
      <c r="J696" t="n">
        <v>0</v>
      </c>
      <c r="K696" t="n">
        <v>0</v>
      </c>
      <c r="L696" t="n">
        <v>0</v>
      </c>
      <c r="M696" t="n">
        <v>0</v>
      </c>
      <c r="N696" t="n">
        <v>0</v>
      </c>
      <c r="O696" t="n">
        <v>0</v>
      </c>
      <c r="P696" t="n">
        <v>0</v>
      </c>
      <c r="Q696" t="n">
        <v>0</v>
      </c>
      <c r="R696" s="2" t="inlineStr"/>
    </row>
    <row r="697" ht="15" customHeight="1">
      <c r="A697" t="inlineStr">
        <is>
          <t>A 15584-2021</t>
        </is>
      </c>
      <c r="B697" s="1" t="n">
        <v>44285</v>
      </c>
      <c r="C697" s="1" t="n">
        <v>45986</v>
      </c>
      <c r="D697" t="inlineStr">
        <is>
          <t>VÄSTMANLANDS LÄN</t>
        </is>
      </c>
      <c r="E697" t="inlineStr">
        <is>
          <t>SALA</t>
        </is>
      </c>
      <c r="G697" t="n">
        <v>3.4</v>
      </c>
      <c r="H697" t="n">
        <v>0</v>
      </c>
      <c r="I697" t="n">
        <v>0</v>
      </c>
      <c r="J697" t="n">
        <v>0</v>
      </c>
      <c r="K697" t="n">
        <v>0</v>
      </c>
      <c r="L697" t="n">
        <v>0</v>
      </c>
      <c r="M697" t="n">
        <v>0</v>
      </c>
      <c r="N697" t="n">
        <v>0</v>
      </c>
      <c r="O697" t="n">
        <v>0</v>
      </c>
      <c r="P697" t="n">
        <v>0</v>
      </c>
      <c r="Q697" t="n">
        <v>0</v>
      </c>
      <c r="R697" s="2" t="inlineStr"/>
    </row>
    <row r="698" ht="15" customHeight="1">
      <c r="A698" t="inlineStr">
        <is>
          <t>A 18340-2025</t>
        </is>
      </c>
      <c r="B698" s="1" t="n">
        <v>45762</v>
      </c>
      <c r="C698" s="1" t="n">
        <v>45986</v>
      </c>
      <c r="D698" t="inlineStr">
        <is>
          <t>VÄSTMANLANDS LÄN</t>
        </is>
      </c>
      <c r="E698" t="inlineStr">
        <is>
          <t>SALA</t>
        </is>
      </c>
      <c r="G698" t="n">
        <v>2.1</v>
      </c>
      <c r="H698" t="n">
        <v>0</v>
      </c>
      <c r="I698" t="n">
        <v>0</v>
      </c>
      <c r="J698" t="n">
        <v>0</v>
      </c>
      <c r="K698" t="n">
        <v>0</v>
      </c>
      <c r="L698" t="n">
        <v>0</v>
      </c>
      <c r="M698" t="n">
        <v>0</v>
      </c>
      <c r="N698" t="n">
        <v>0</v>
      </c>
      <c r="O698" t="n">
        <v>0</v>
      </c>
      <c r="P698" t="n">
        <v>0</v>
      </c>
      <c r="Q698" t="n">
        <v>0</v>
      </c>
      <c r="R698" s="2" t="inlineStr"/>
    </row>
    <row r="699" ht="15" customHeight="1">
      <c r="A699" t="inlineStr">
        <is>
          <t>A 56706-2022</t>
        </is>
      </c>
      <c r="B699" s="1" t="n">
        <v>44893.78893518518</v>
      </c>
      <c r="C699" s="1" t="n">
        <v>45986</v>
      </c>
      <c r="D699" t="inlineStr">
        <is>
          <t>VÄSTMANLANDS LÄN</t>
        </is>
      </c>
      <c r="E699" t="inlineStr">
        <is>
          <t>SALA</t>
        </is>
      </c>
      <c r="G699" t="n">
        <v>4.5</v>
      </c>
      <c r="H699" t="n">
        <v>0</v>
      </c>
      <c r="I699" t="n">
        <v>0</v>
      </c>
      <c r="J699" t="n">
        <v>0</v>
      </c>
      <c r="K699" t="n">
        <v>0</v>
      </c>
      <c r="L699" t="n">
        <v>0</v>
      </c>
      <c r="M699" t="n">
        <v>0</v>
      </c>
      <c r="N699" t="n">
        <v>0</v>
      </c>
      <c r="O699" t="n">
        <v>0</v>
      </c>
      <c r="P699" t="n">
        <v>0</v>
      </c>
      <c r="Q699" t="n">
        <v>0</v>
      </c>
      <c r="R699" s="2" t="inlineStr"/>
    </row>
    <row r="700" ht="15" customHeight="1">
      <c r="A700" t="inlineStr">
        <is>
          <t>A 56707-2022</t>
        </is>
      </c>
      <c r="B700" s="1" t="n">
        <v>44893.79412037037</v>
      </c>
      <c r="C700" s="1" t="n">
        <v>45986</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48571-2024</t>
        </is>
      </c>
      <c r="B701" s="1" t="n">
        <v>45591</v>
      </c>
      <c r="C701" s="1" t="n">
        <v>45986</v>
      </c>
      <c r="D701" t="inlineStr">
        <is>
          <t>VÄSTMANLANDS LÄN</t>
        </is>
      </c>
      <c r="E701" t="inlineStr">
        <is>
          <t>SALA</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13188-2025</t>
        </is>
      </c>
      <c r="B702" s="1" t="n">
        <v>45735.39246527778</v>
      </c>
      <c r="C702" s="1" t="n">
        <v>45986</v>
      </c>
      <c r="D702" t="inlineStr">
        <is>
          <t>VÄSTMANLANDS LÄN</t>
        </is>
      </c>
      <c r="E702" t="inlineStr">
        <is>
          <t>SALA</t>
        </is>
      </c>
      <c r="F702" t="inlineStr">
        <is>
          <t>Naturvårdsverket</t>
        </is>
      </c>
      <c r="G702" t="n">
        <v>18.4</v>
      </c>
      <c r="H702" t="n">
        <v>0</v>
      </c>
      <c r="I702" t="n">
        <v>0</v>
      </c>
      <c r="J702" t="n">
        <v>0</v>
      </c>
      <c r="K702" t="n">
        <v>0</v>
      </c>
      <c r="L702" t="n">
        <v>0</v>
      </c>
      <c r="M702" t="n">
        <v>0</v>
      </c>
      <c r="N702" t="n">
        <v>0</v>
      </c>
      <c r="O702" t="n">
        <v>0</v>
      </c>
      <c r="P702" t="n">
        <v>0</v>
      </c>
      <c r="Q702" t="n">
        <v>0</v>
      </c>
      <c r="R702" s="2" t="inlineStr"/>
    </row>
    <row r="703" ht="15" customHeight="1">
      <c r="A703" t="inlineStr">
        <is>
          <t>A 23431-2024</t>
        </is>
      </c>
      <c r="B703" s="1" t="n">
        <v>45453</v>
      </c>
      <c r="C703" s="1" t="n">
        <v>45986</v>
      </c>
      <c r="D703" t="inlineStr">
        <is>
          <t>VÄSTMANLANDS LÄN</t>
        </is>
      </c>
      <c r="E703" t="inlineStr">
        <is>
          <t>SALA</t>
        </is>
      </c>
      <c r="G703" t="n">
        <v>1.6</v>
      </c>
      <c r="H703" t="n">
        <v>0</v>
      </c>
      <c r="I703" t="n">
        <v>0</v>
      </c>
      <c r="J703" t="n">
        <v>0</v>
      </c>
      <c r="K703" t="n">
        <v>0</v>
      </c>
      <c r="L703" t="n">
        <v>0</v>
      </c>
      <c r="M703" t="n">
        <v>0</v>
      </c>
      <c r="N703" t="n">
        <v>0</v>
      </c>
      <c r="O703" t="n">
        <v>0</v>
      </c>
      <c r="P703" t="n">
        <v>0</v>
      </c>
      <c r="Q703" t="n">
        <v>0</v>
      </c>
      <c r="R703" s="2" t="inlineStr"/>
    </row>
    <row r="704" ht="15" customHeight="1">
      <c r="A704" t="inlineStr">
        <is>
          <t>A 21168-2025</t>
        </is>
      </c>
      <c r="B704" s="1" t="n">
        <v>45777</v>
      </c>
      <c r="C704" s="1" t="n">
        <v>45986</v>
      </c>
      <c r="D704" t="inlineStr">
        <is>
          <t>VÄSTMANLANDS LÄN</t>
        </is>
      </c>
      <c r="E704" t="inlineStr">
        <is>
          <t>SALA</t>
        </is>
      </c>
      <c r="G704" t="n">
        <v>4.5</v>
      </c>
      <c r="H704" t="n">
        <v>0</v>
      </c>
      <c r="I704" t="n">
        <v>0</v>
      </c>
      <c r="J704" t="n">
        <v>0</v>
      </c>
      <c r="K704" t="n">
        <v>0</v>
      </c>
      <c r="L704" t="n">
        <v>0</v>
      </c>
      <c r="M704" t="n">
        <v>0</v>
      </c>
      <c r="N704" t="n">
        <v>0</v>
      </c>
      <c r="O704" t="n">
        <v>0</v>
      </c>
      <c r="P704" t="n">
        <v>0</v>
      </c>
      <c r="Q704" t="n">
        <v>0</v>
      </c>
      <c r="R704" s="2" t="inlineStr"/>
    </row>
    <row r="705" ht="15" customHeight="1">
      <c r="A705" t="inlineStr">
        <is>
          <t>A 21754-2025</t>
        </is>
      </c>
      <c r="B705" s="1" t="n">
        <v>45783.61837962963</v>
      </c>
      <c r="C705" s="1" t="n">
        <v>45986</v>
      </c>
      <c r="D705" t="inlineStr">
        <is>
          <t>VÄSTMANLANDS LÄN</t>
        </is>
      </c>
      <c r="E705" t="inlineStr">
        <is>
          <t>SALA</t>
        </is>
      </c>
      <c r="G705" t="n">
        <v>8.699999999999999</v>
      </c>
      <c r="H705" t="n">
        <v>0</v>
      </c>
      <c r="I705" t="n">
        <v>0</v>
      </c>
      <c r="J705" t="n">
        <v>0</v>
      </c>
      <c r="K705" t="n">
        <v>0</v>
      </c>
      <c r="L705" t="n">
        <v>0</v>
      </c>
      <c r="M705" t="n">
        <v>0</v>
      </c>
      <c r="N705" t="n">
        <v>0</v>
      </c>
      <c r="O705" t="n">
        <v>0</v>
      </c>
      <c r="P705" t="n">
        <v>0</v>
      </c>
      <c r="Q705" t="n">
        <v>0</v>
      </c>
      <c r="R705" s="2" t="inlineStr"/>
    </row>
    <row r="706">
      <c r="A706" t="inlineStr">
        <is>
          <t>A 21751-2025</t>
        </is>
      </c>
      <c r="B706" s="1" t="n">
        <v>45783.61372685185</v>
      </c>
      <c r="C706" s="1" t="n">
        <v>45986</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2025-11-25T10:20:14Z</dcterms:created>
  <dcterms:modified xmlns:dcterms="http://purl.org/dc/terms/" xmlns:xsi="http://www.w3.org/2001/XMLSchema-instance" xsi:type="dcterms:W3CDTF">2025-11-25T10:20:15Z</dcterms:modified>
</cp:coreProperties>
</file>