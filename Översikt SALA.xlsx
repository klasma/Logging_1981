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45674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45674</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45674</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45674</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45674</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45674</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45674</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45674</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45674</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45674</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45674</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45674</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45674</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45674</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45674</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45674</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45674</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45674</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45674</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45674</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45674</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45674</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45674</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45674</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45674</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45674</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45674</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45674</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45674</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45674</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45674</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45674</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45674</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45674</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45674</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45674</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45674</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1357-2025</t>
        </is>
      </c>
      <c r="B39" s="1" t="n">
        <v>45667</v>
      </c>
      <c r="C39" s="1" t="n">
        <v>45674</v>
      </c>
      <c r="D39" t="inlineStr">
        <is>
          <t>VÄSTMANLANDS LÄN</t>
        </is>
      </c>
      <c r="E39" t="inlineStr">
        <is>
          <t>SALA</t>
        </is>
      </c>
      <c r="G39" t="n">
        <v>8.4</v>
      </c>
      <c r="H39" t="n">
        <v>2</v>
      </c>
      <c r="I39" t="n">
        <v>0</v>
      </c>
      <c r="J39" t="n">
        <v>1</v>
      </c>
      <c r="K39" t="n">
        <v>0</v>
      </c>
      <c r="L39" t="n">
        <v>0</v>
      </c>
      <c r="M39" t="n">
        <v>0</v>
      </c>
      <c r="N39" t="n">
        <v>0</v>
      </c>
      <c r="O39" t="n">
        <v>1</v>
      </c>
      <c r="P39" t="n">
        <v>0</v>
      </c>
      <c r="Q39" t="n">
        <v>3</v>
      </c>
      <c r="R39" s="2" t="inlineStr">
        <is>
          <t>Tallticka
Fläcknycklar
Blåsippa</t>
        </is>
      </c>
      <c r="S39">
        <f>HYPERLINK("https://klasma.github.io/Logging_1981/artfynd/A 1357-2025 artfynd.xlsx", "A 1357-2025")</f>
        <v/>
      </c>
      <c r="T39">
        <f>HYPERLINK("https://klasma.github.io/Logging_1981/kartor/A 1357-2025 karta.png", "A 1357-2025")</f>
        <v/>
      </c>
      <c r="V39">
        <f>HYPERLINK("https://klasma.github.io/Logging_1981/klagomål/A 1357-2025 FSC-klagomål.docx", "A 1357-2025")</f>
        <v/>
      </c>
      <c r="W39">
        <f>HYPERLINK("https://klasma.github.io/Logging_1981/klagomålsmail/A 1357-2025 FSC-klagomål mail.docx", "A 1357-2025")</f>
        <v/>
      </c>
      <c r="X39">
        <f>HYPERLINK("https://klasma.github.io/Logging_1981/tillsyn/A 1357-2025 tillsynsbegäran.docx", "A 1357-2025")</f>
        <v/>
      </c>
      <c r="Y39">
        <f>HYPERLINK("https://klasma.github.io/Logging_1981/tillsynsmail/A 1357-2025 tillsynsbegäran mail.docx", "A 1357-2025")</f>
        <v/>
      </c>
    </row>
    <row r="40" ht="15" customHeight="1">
      <c r="A40" t="inlineStr">
        <is>
          <t>A 35213-2019</t>
        </is>
      </c>
      <c r="B40" s="1" t="n">
        <v>43662</v>
      </c>
      <c r="C40" s="1" t="n">
        <v>45674</v>
      </c>
      <c r="D40" t="inlineStr">
        <is>
          <t>VÄSTMANLANDS LÄN</t>
        </is>
      </c>
      <c r="E40" t="inlineStr">
        <is>
          <t>SALA</t>
        </is>
      </c>
      <c r="G40" t="n">
        <v>44.3</v>
      </c>
      <c r="H40" t="n">
        <v>1</v>
      </c>
      <c r="I40" t="n">
        <v>1</v>
      </c>
      <c r="J40" t="n">
        <v>1</v>
      </c>
      <c r="K40" t="n">
        <v>0</v>
      </c>
      <c r="L40" t="n">
        <v>0</v>
      </c>
      <c r="M40" t="n">
        <v>0</v>
      </c>
      <c r="N40" t="n">
        <v>0</v>
      </c>
      <c r="O40" t="n">
        <v>1</v>
      </c>
      <c r="P40" t="n">
        <v>0</v>
      </c>
      <c r="Q40" t="n">
        <v>2</v>
      </c>
      <c r="R40" s="2" t="inlineStr">
        <is>
          <t>Järpe
Mörk husmossa</t>
        </is>
      </c>
      <c r="S40">
        <f>HYPERLINK("https://klasma.github.io/Logging_1981/artfynd/A 35213-2019 artfynd.xlsx", "A 35213-2019")</f>
        <v/>
      </c>
      <c r="T40">
        <f>HYPERLINK("https://klasma.github.io/Logging_1981/kartor/A 35213-2019 karta.png", "A 35213-2019")</f>
        <v/>
      </c>
      <c r="U40">
        <f>HYPERLINK("https://klasma.github.io/Logging_1981/knärot/A 35213-2019 karta knärot.png", "A 35213-2019")</f>
        <v/>
      </c>
      <c r="V40">
        <f>HYPERLINK("https://klasma.github.io/Logging_1981/klagomål/A 35213-2019 FSC-klagomål.docx", "A 35213-2019")</f>
        <v/>
      </c>
      <c r="W40">
        <f>HYPERLINK("https://klasma.github.io/Logging_1981/klagomålsmail/A 35213-2019 FSC-klagomål mail.docx", "A 35213-2019")</f>
        <v/>
      </c>
      <c r="X40">
        <f>HYPERLINK("https://klasma.github.io/Logging_1981/tillsyn/A 35213-2019 tillsynsbegäran.docx", "A 35213-2019")</f>
        <v/>
      </c>
      <c r="Y40">
        <f>HYPERLINK("https://klasma.github.io/Logging_1981/tillsynsmail/A 35213-2019 tillsynsbegäran mail.docx", "A 35213-2019")</f>
        <v/>
      </c>
      <c r="Z40">
        <f>HYPERLINK("https://klasma.github.io/Logging_1981/fåglar/A 35213-2019 prioriterade fågelarter.docx", "A 35213-2019")</f>
        <v/>
      </c>
    </row>
    <row r="41" ht="15" customHeight="1">
      <c r="A41" t="inlineStr">
        <is>
          <t>A 39483-2019</t>
        </is>
      </c>
      <c r="B41" s="1" t="n">
        <v>43691</v>
      </c>
      <c r="C41" s="1" t="n">
        <v>45674</v>
      </c>
      <c r="D41" t="inlineStr">
        <is>
          <t>VÄSTMANLANDS LÄN</t>
        </is>
      </c>
      <c r="E41" t="inlineStr">
        <is>
          <t>SALA</t>
        </is>
      </c>
      <c r="G41" t="n">
        <v>4.6</v>
      </c>
      <c r="H41" t="n">
        <v>2</v>
      </c>
      <c r="I41" t="n">
        <v>0</v>
      </c>
      <c r="J41" t="n">
        <v>1</v>
      </c>
      <c r="K41" t="n">
        <v>0</v>
      </c>
      <c r="L41" t="n">
        <v>0</v>
      </c>
      <c r="M41" t="n">
        <v>0</v>
      </c>
      <c r="N41" t="n">
        <v>0</v>
      </c>
      <c r="O41" t="n">
        <v>1</v>
      </c>
      <c r="P41" t="n">
        <v>0</v>
      </c>
      <c r="Q41" t="n">
        <v>2</v>
      </c>
      <c r="R41" s="2" t="inlineStr">
        <is>
          <t>Nordfladdermus
Vattenfladdermus</t>
        </is>
      </c>
      <c r="S41">
        <f>HYPERLINK("https://klasma.github.io/Logging_1981/artfynd/A 39483-2019 artfynd.xlsx", "A 39483-2019")</f>
        <v/>
      </c>
      <c r="T41">
        <f>HYPERLINK("https://klasma.github.io/Logging_1981/kartor/A 39483-2019 karta.png", "A 39483-2019")</f>
        <v/>
      </c>
      <c r="V41">
        <f>HYPERLINK("https://klasma.github.io/Logging_1981/klagomål/A 39483-2019 FSC-klagomål.docx", "A 39483-2019")</f>
        <v/>
      </c>
      <c r="W41">
        <f>HYPERLINK("https://klasma.github.io/Logging_1981/klagomålsmail/A 39483-2019 FSC-klagomål mail.docx", "A 39483-2019")</f>
        <v/>
      </c>
      <c r="X41">
        <f>HYPERLINK("https://klasma.github.io/Logging_1981/tillsyn/A 39483-2019 tillsynsbegäran.docx", "A 39483-2019")</f>
        <v/>
      </c>
      <c r="Y41">
        <f>HYPERLINK("https://klasma.github.io/Logging_1981/tillsynsmail/A 39483-2019 tillsynsbegäran mail.docx", "A 39483-2019")</f>
        <v/>
      </c>
    </row>
    <row r="42" ht="15" customHeight="1">
      <c r="A42" t="inlineStr">
        <is>
          <t>A 59152-2019</t>
        </is>
      </c>
      <c r="B42" s="1" t="n">
        <v>43775</v>
      </c>
      <c r="C42" s="1" t="n">
        <v>45674</v>
      </c>
      <c r="D42" t="inlineStr">
        <is>
          <t>VÄSTMANLANDS LÄN</t>
        </is>
      </c>
      <c r="E42" t="inlineStr">
        <is>
          <t>SALA</t>
        </is>
      </c>
      <c r="F42" t="inlineStr">
        <is>
          <t>Övriga Aktiebolag</t>
        </is>
      </c>
      <c r="G42" t="n">
        <v>4.6</v>
      </c>
      <c r="H42" t="n">
        <v>0</v>
      </c>
      <c r="I42" t="n">
        <v>1</v>
      </c>
      <c r="J42" t="n">
        <v>1</v>
      </c>
      <c r="K42" t="n">
        <v>0</v>
      </c>
      <c r="L42" t="n">
        <v>0</v>
      </c>
      <c r="M42" t="n">
        <v>0</v>
      </c>
      <c r="N42" t="n">
        <v>0</v>
      </c>
      <c r="O42" t="n">
        <v>1</v>
      </c>
      <c r="P42" t="n">
        <v>0</v>
      </c>
      <c r="Q42" t="n">
        <v>2</v>
      </c>
      <c r="R42" s="2" t="inlineStr">
        <is>
          <t>Svart taggsvamp
Vedticka</t>
        </is>
      </c>
      <c r="S42">
        <f>HYPERLINK("https://klasma.github.io/Logging_1981/artfynd/A 59152-2019 artfynd.xlsx", "A 59152-2019")</f>
        <v/>
      </c>
      <c r="T42">
        <f>HYPERLINK("https://klasma.github.io/Logging_1981/kartor/A 59152-2019 karta.png", "A 59152-2019")</f>
        <v/>
      </c>
      <c r="V42">
        <f>HYPERLINK("https://klasma.github.io/Logging_1981/klagomål/A 59152-2019 FSC-klagomål.docx", "A 59152-2019")</f>
        <v/>
      </c>
      <c r="W42">
        <f>HYPERLINK("https://klasma.github.io/Logging_1981/klagomålsmail/A 59152-2019 FSC-klagomål mail.docx", "A 59152-2019")</f>
        <v/>
      </c>
      <c r="X42">
        <f>HYPERLINK("https://klasma.github.io/Logging_1981/tillsyn/A 59152-2019 tillsynsbegäran.docx", "A 59152-2019")</f>
        <v/>
      </c>
      <c r="Y42">
        <f>HYPERLINK("https://klasma.github.io/Logging_1981/tillsynsmail/A 59152-2019 tillsynsbegäran mail.docx", "A 59152-2019")</f>
        <v/>
      </c>
    </row>
    <row r="43" ht="15" customHeight="1">
      <c r="A43" t="inlineStr">
        <is>
          <t>A 32975-2020</t>
        </is>
      </c>
      <c r="B43" s="1" t="n">
        <v>44020</v>
      </c>
      <c r="C43" s="1" t="n">
        <v>45674</v>
      </c>
      <c r="D43" t="inlineStr">
        <is>
          <t>VÄSTMANLANDS LÄN</t>
        </is>
      </c>
      <c r="E43" t="inlineStr">
        <is>
          <t>SALA</t>
        </is>
      </c>
      <c r="G43" t="n">
        <v>10.1</v>
      </c>
      <c r="H43" t="n">
        <v>2</v>
      </c>
      <c r="I43" t="n">
        <v>0</v>
      </c>
      <c r="J43" t="n">
        <v>0</v>
      </c>
      <c r="K43" t="n">
        <v>1</v>
      </c>
      <c r="L43" t="n">
        <v>0</v>
      </c>
      <c r="M43" t="n">
        <v>0</v>
      </c>
      <c r="N43" t="n">
        <v>0</v>
      </c>
      <c r="O43" t="n">
        <v>1</v>
      </c>
      <c r="P43" t="n">
        <v>1</v>
      </c>
      <c r="Q43" t="n">
        <v>2</v>
      </c>
      <c r="R43" s="2" t="inlineStr">
        <is>
          <t>Knärot
Revlummer</t>
        </is>
      </c>
      <c r="S43">
        <f>HYPERLINK("https://klasma.github.io/Logging_1981/artfynd/A 32975-2020 artfynd.xlsx", "A 32975-2020")</f>
        <v/>
      </c>
      <c r="T43">
        <f>HYPERLINK("https://klasma.github.io/Logging_1981/kartor/A 32975-2020 karta.png", "A 32975-2020")</f>
        <v/>
      </c>
      <c r="U43">
        <f>HYPERLINK("https://klasma.github.io/Logging_1981/knärot/A 32975-2020 karta knärot.png", "A 32975-2020")</f>
        <v/>
      </c>
      <c r="V43">
        <f>HYPERLINK("https://klasma.github.io/Logging_1981/klagomål/A 32975-2020 FSC-klagomål.docx", "A 32975-2020")</f>
        <v/>
      </c>
      <c r="W43">
        <f>HYPERLINK("https://klasma.github.io/Logging_1981/klagomålsmail/A 32975-2020 FSC-klagomål mail.docx", "A 32975-2020")</f>
        <v/>
      </c>
      <c r="X43">
        <f>HYPERLINK("https://klasma.github.io/Logging_1981/tillsyn/A 32975-2020 tillsynsbegäran.docx", "A 32975-2020")</f>
        <v/>
      </c>
      <c r="Y43">
        <f>HYPERLINK("https://klasma.github.io/Logging_1981/tillsynsmail/A 32975-2020 tillsynsbegäran mail.docx", "A 32975-2020")</f>
        <v/>
      </c>
    </row>
    <row r="44" ht="15" customHeight="1">
      <c r="A44" t="inlineStr">
        <is>
          <t>A 54555-2021</t>
        </is>
      </c>
      <c r="B44" s="1" t="n">
        <v>44473</v>
      </c>
      <c r="C44" s="1" t="n">
        <v>45674</v>
      </c>
      <c r="D44" t="inlineStr">
        <is>
          <t>VÄSTMANLANDS LÄN</t>
        </is>
      </c>
      <c r="E44" t="inlineStr">
        <is>
          <t>SALA</t>
        </is>
      </c>
      <c r="G44" t="n">
        <v>13</v>
      </c>
      <c r="H44" t="n">
        <v>0</v>
      </c>
      <c r="I44" t="n">
        <v>1</v>
      </c>
      <c r="J44" t="n">
        <v>1</v>
      </c>
      <c r="K44" t="n">
        <v>0</v>
      </c>
      <c r="L44" t="n">
        <v>0</v>
      </c>
      <c r="M44" t="n">
        <v>0</v>
      </c>
      <c r="N44" t="n">
        <v>0</v>
      </c>
      <c r="O44" t="n">
        <v>1</v>
      </c>
      <c r="P44" t="n">
        <v>0</v>
      </c>
      <c r="Q44" t="n">
        <v>2</v>
      </c>
      <c r="R44" s="2" t="inlineStr">
        <is>
          <t>Storgröe
Stubbspretmossa</t>
        </is>
      </c>
      <c r="S44">
        <f>HYPERLINK("https://klasma.github.io/Logging_1981/artfynd/A 54555-2021 artfynd.xlsx", "A 54555-2021")</f>
        <v/>
      </c>
      <c r="T44">
        <f>HYPERLINK("https://klasma.github.io/Logging_1981/kartor/A 54555-2021 karta.png", "A 54555-2021")</f>
        <v/>
      </c>
      <c r="V44">
        <f>HYPERLINK("https://klasma.github.io/Logging_1981/klagomål/A 54555-2021 FSC-klagomål.docx", "A 54555-2021")</f>
        <v/>
      </c>
      <c r="W44">
        <f>HYPERLINK("https://klasma.github.io/Logging_1981/klagomålsmail/A 54555-2021 FSC-klagomål mail.docx", "A 54555-2021")</f>
        <v/>
      </c>
      <c r="X44">
        <f>HYPERLINK("https://klasma.github.io/Logging_1981/tillsyn/A 54555-2021 tillsynsbegäran.docx", "A 54555-2021")</f>
        <v/>
      </c>
      <c r="Y44">
        <f>HYPERLINK("https://klasma.github.io/Logging_1981/tillsynsmail/A 54555-2021 tillsynsbegäran mail.docx", "A 54555-2021")</f>
        <v/>
      </c>
    </row>
    <row r="45" ht="15" customHeight="1">
      <c r="A45" t="inlineStr">
        <is>
          <t>A 73598-2021</t>
        </is>
      </c>
      <c r="B45" s="1" t="n">
        <v>44552</v>
      </c>
      <c r="C45" s="1" t="n">
        <v>45674</v>
      </c>
      <c r="D45" t="inlineStr">
        <is>
          <t>VÄSTMANLANDS LÄN</t>
        </is>
      </c>
      <c r="E45" t="inlineStr">
        <is>
          <t>SALA</t>
        </is>
      </c>
      <c r="G45" t="n">
        <v>1.3</v>
      </c>
      <c r="H45" t="n">
        <v>1</v>
      </c>
      <c r="I45" t="n">
        <v>1</v>
      </c>
      <c r="J45" t="n">
        <v>0</v>
      </c>
      <c r="K45" t="n">
        <v>0</v>
      </c>
      <c r="L45" t="n">
        <v>0</v>
      </c>
      <c r="M45" t="n">
        <v>0</v>
      </c>
      <c r="N45" t="n">
        <v>0</v>
      </c>
      <c r="O45" t="n">
        <v>0</v>
      </c>
      <c r="P45" t="n">
        <v>0</v>
      </c>
      <c r="Q45" t="n">
        <v>2</v>
      </c>
      <c r="R45" s="2" t="inlineStr">
        <is>
          <t>Kryddspindling
Blåsippa</t>
        </is>
      </c>
      <c r="S45">
        <f>HYPERLINK("https://klasma.github.io/Logging_1981/artfynd/A 73598-2021 artfynd.xlsx", "A 73598-2021")</f>
        <v/>
      </c>
      <c r="T45">
        <f>HYPERLINK("https://klasma.github.io/Logging_1981/kartor/A 73598-2021 karta.png", "A 73598-2021")</f>
        <v/>
      </c>
      <c r="V45">
        <f>HYPERLINK("https://klasma.github.io/Logging_1981/klagomål/A 73598-2021 FSC-klagomål.docx", "A 73598-2021")</f>
        <v/>
      </c>
      <c r="W45">
        <f>HYPERLINK("https://klasma.github.io/Logging_1981/klagomålsmail/A 73598-2021 FSC-klagomål mail.docx", "A 73598-2021")</f>
        <v/>
      </c>
      <c r="X45">
        <f>HYPERLINK("https://klasma.github.io/Logging_1981/tillsyn/A 73598-2021 tillsynsbegäran.docx", "A 73598-2021")</f>
        <v/>
      </c>
      <c r="Y45">
        <f>HYPERLINK("https://klasma.github.io/Logging_1981/tillsynsmail/A 73598-2021 tillsynsbegäran mail.docx", "A 73598-2021")</f>
        <v/>
      </c>
    </row>
    <row r="46" ht="15" customHeight="1">
      <c r="A46" t="inlineStr">
        <is>
          <t>A 1500-2022</t>
        </is>
      </c>
      <c r="B46" s="1" t="n">
        <v>44573</v>
      </c>
      <c r="C46" s="1" t="n">
        <v>45674</v>
      </c>
      <c r="D46" t="inlineStr">
        <is>
          <t>VÄSTMANLANDS LÄN</t>
        </is>
      </c>
      <c r="E46" t="inlineStr">
        <is>
          <t>SALA</t>
        </is>
      </c>
      <c r="G46" t="n">
        <v>5.8</v>
      </c>
      <c r="H46" t="n">
        <v>2</v>
      </c>
      <c r="I46" t="n">
        <v>0</v>
      </c>
      <c r="J46" t="n">
        <v>0</v>
      </c>
      <c r="K46" t="n">
        <v>1</v>
      </c>
      <c r="L46" t="n">
        <v>0</v>
      </c>
      <c r="M46" t="n">
        <v>0</v>
      </c>
      <c r="N46" t="n">
        <v>0</v>
      </c>
      <c r="O46" t="n">
        <v>1</v>
      </c>
      <c r="P46" t="n">
        <v>1</v>
      </c>
      <c r="Q46" t="n">
        <v>2</v>
      </c>
      <c r="R46" s="2" t="inlineStr">
        <is>
          <t>Knärot
Revlummer</t>
        </is>
      </c>
      <c r="S46">
        <f>HYPERLINK("https://klasma.github.io/Logging_1981/artfynd/A 1500-2022 artfynd.xlsx", "A 1500-2022")</f>
        <v/>
      </c>
      <c r="T46">
        <f>HYPERLINK("https://klasma.github.io/Logging_1981/kartor/A 1500-2022 karta.png", "A 1500-2022")</f>
        <v/>
      </c>
      <c r="U46">
        <f>HYPERLINK("https://klasma.github.io/Logging_1981/knärot/A 1500-2022 karta knärot.png", "A 1500-2022")</f>
        <v/>
      </c>
      <c r="V46">
        <f>HYPERLINK("https://klasma.github.io/Logging_1981/klagomål/A 1500-2022 FSC-klagomål.docx", "A 1500-2022")</f>
        <v/>
      </c>
      <c r="W46">
        <f>HYPERLINK("https://klasma.github.io/Logging_1981/klagomålsmail/A 1500-2022 FSC-klagomål mail.docx", "A 1500-2022")</f>
        <v/>
      </c>
      <c r="X46">
        <f>HYPERLINK("https://klasma.github.io/Logging_1981/tillsyn/A 1500-2022 tillsynsbegäran.docx", "A 1500-2022")</f>
        <v/>
      </c>
      <c r="Y46">
        <f>HYPERLINK("https://klasma.github.io/Logging_1981/tillsynsmail/A 1500-2022 tillsynsbegäran mail.docx", "A 1500-2022")</f>
        <v/>
      </c>
    </row>
    <row r="47" ht="15" customHeight="1">
      <c r="A47" t="inlineStr">
        <is>
          <t>A 40042-2022</t>
        </is>
      </c>
      <c r="B47" s="1" t="n">
        <v>44819</v>
      </c>
      <c r="C47" s="1" t="n">
        <v>45674</v>
      </c>
      <c r="D47" t="inlineStr">
        <is>
          <t>VÄSTMANLANDS LÄN</t>
        </is>
      </c>
      <c r="E47" t="inlineStr">
        <is>
          <t>SALA</t>
        </is>
      </c>
      <c r="G47" t="n">
        <v>1.7</v>
      </c>
      <c r="H47" t="n">
        <v>2</v>
      </c>
      <c r="I47" t="n">
        <v>0</v>
      </c>
      <c r="J47" t="n">
        <v>0</v>
      </c>
      <c r="K47" t="n">
        <v>1</v>
      </c>
      <c r="L47" t="n">
        <v>0</v>
      </c>
      <c r="M47" t="n">
        <v>0</v>
      </c>
      <c r="N47" t="n">
        <v>0</v>
      </c>
      <c r="O47" t="n">
        <v>1</v>
      </c>
      <c r="P47" t="n">
        <v>1</v>
      </c>
      <c r="Q47" t="n">
        <v>2</v>
      </c>
      <c r="R47" s="2" t="inlineStr">
        <is>
          <t>Knärot
Revlummer</t>
        </is>
      </c>
      <c r="S47">
        <f>HYPERLINK("https://klasma.github.io/Logging_1981/artfynd/A 40042-2022 artfynd.xlsx", "A 40042-2022")</f>
        <v/>
      </c>
      <c r="T47">
        <f>HYPERLINK("https://klasma.github.io/Logging_1981/kartor/A 40042-2022 karta.png", "A 40042-2022")</f>
        <v/>
      </c>
      <c r="U47">
        <f>HYPERLINK("https://klasma.github.io/Logging_1981/knärot/A 40042-2022 karta knärot.png", "A 40042-2022")</f>
        <v/>
      </c>
      <c r="V47">
        <f>HYPERLINK("https://klasma.github.io/Logging_1981/klagomål/A 40042-2022 FSC-klagomål.docx", "A 40042-2022")</f>
        <v/>
      </c>
      <c r="W47">
        <f>HYPERLINK("https://klasma.github.io/Logging_1981/klagomålsmail/A 40042-2022 FSC-klagomål mail.docx", "A 40042-2022")</f>
        <v/>
      </c>
      <c r="X47">
        <f>HYPERLINK("https://klasma.github.io/Logging_1981/tillsyn/A 40042-2022 tillsynsbegäran.docx", "A 40042-2022")</f>
        <v/>
      </c>
      <c r="Y47">
        <f>HYPERLINK("https://klasma.github.io/Logging_1981/tillsynsmail/A 40042-2022 tillsynsbegäran mail.docx", "A 40042-2022")</f>
        <v/>
      </c>
    </row>
    <row r="48" ht="15" customHeight="1">
      <c r="A48" t="inlineStr">
        <is>
          <t>A 52909-2022</t>
        </is>
      </c>
      <c r="B48" s="1" t="n">
        <v>44875</v>
      </c>
      <c r="C48" s="1" t="n">
        <v>45674</v>
      </c>
      <c r="D48" t="inlineStr">
        <is>
          <t>VÄSTMANLANDS LÄN</t>
        </is>
      </c>
      <c r="E48" t="inlineStr">
        <is>
          <t>SALA</t>
        </is>
      </c>
      <c r="G48" t="n">
        <v>0.5</v>
      </c>
      <c r="H48" t="n">
        <v>1</v>
      </c>
      <c r="I48" t="n">
        <v>0</v>
      </c>
      <c r="J48" t="n">
        <v>1</v>
      </c>
      <c r="K48" t="n">
        <v>0</v>
      </c>
      <c r="L48" t="n">
        <v>0</v>
      </c>
      <c r="M48" t="n">
        <v>0</v>
      </c>
      <c r="N48" t="n">
        <v>0</v>
      </c>
      <c r="O48" t="n">
        <v>1</v>
      </c>
      <c r="P48" t="n">
        <v>0</v>
      </c>
      <c r="Q48" t="n">
        <v>2</v>
      </c>
      <c r="R48" s="2" t="inlineStr">
        <is>
          <t>Svinrot
Nattviol</t>
        </is>
      </c>
      <c r="S48">
        <f>HYPERLINK("https://klasma.github.io/Logging_1981/artfynd/A 52909-2022 artfynd.xlsx", "A 52909-2022")</f>
        <v/>
      </c>
      <c r="T48">
        <f>HYPERLINK("https://klasma.github.io/Logging_1981/kartor/A 52909-2022 karta.png", "A 52909-2022")</f>
        <v/>
      </c>
      <c r="V48">
        <f>HYPERLINK("https://klasma.github.io/Logging_1981/klagomål/A 52909-2022 FSC-klagomål.docx", "A 52909-2022")</f>
        <v/>
      </c>
      <c r="W48">
        <f>HYPERLINK("https://klasma.github.io/Logging_1981/klagomålsmail/A 52909-2022 FSC-klagomål mail.docx", "A 52909-2022")</f>
        <v/>
      </c>
      <c r="X48">
        <f>HYPERLINK("https://klasma.github.io/Logging_1981/tillsyn/A 52909-2022 tillsynsbegäran.docx", "A 52909-2022")</f>
        <v/>
      </c>
      <c r="Y48">
        <f>HYPERLINK("https://klasma.github.io/Logging_1981/tillsynsmail/A 52909-2022 tillsynsbegäran mail.docx", "A 52909-2022")</f>
        <v/>
      </c>
    </row>
    <row r="49" ht="15" customHeight="1">
      <c r="A49" t="inlineStr">
        <is>
          <t>A 7747-2023</t>
        </is>
      </c>
      <c r="B49" s="1" t="n">
        <v>44973</v>
      </c>
      <c r="C49" s="1" t="n">
        <v>45674</v>
      </c>
      <c r="D49" t="inlineStr">
        <is>
          <t>VÄSTMANLANDS LÄN</t>
        </is>
      </c>
      <c r="E49" t="inlineStr">
        <is>
          <t>SALA</t>
        </is>
      </c>
      <c r="F49" t="inlineStr">
        <is>
          <t>Övriga Aktiebolag</t>
        </is>
      </c>
      <c r="G49" t="n">
        <v>3.1</v>
      </c>
      <c r="H49" t="n">
        <v>1</v>
      </c>
      <c r="I49" t="n">
        <v>0</v>
      </c>
      <c r="J49" t="n">
        <v>2</v>
      </c>
      <c r="K49" t="n">
        <v>0</v>
      </c>
      <c r="L49" t="n">
        <v>0</v>
      </c>
      <c r="M49" t="n">
        <v>0</v>
      </c>
      <c r="N49" t="n">
        <v>0</v>
      </c>
      <c r="O49" t="n">
        <v>2</v>
      </c>
      <c r="P49" t="n">
        <v>0</v>
      </c>
      <c r="Q49" t="n">
        <v>2</v>
      </c>
      <c r="R49" s="2" t="inlineStr">
        <is>
          <t>Mindre timmerman
Talltita</t>
        </is>
      </c>
      <c r="S49">
        <f>HYPERLINK("https://klasma.github.io/Logging_1981/artfynd/A 7747-2023 artfynd.xlsx", "A 7747-2023")</f>
        <v/>
      </c>
      <c r="T49">
        <f>HYPERLINK("https://klasma.github.io/Logging_1981/kartor/A 7747-2023 karta.png", "A 7747-2023")</f>
        <v/>
      </c>
      <c r="V49">
        <f>HYPERLINK("https://klasma.github.io/Logging_1981/klagomål/A 7747-2023 FSC-klagomål.docx", "A 7747-2023")</f>
        <v/>
      </c>
      <c r="W49">
        <f>HYPERLINK("https://klasma.github.io/Logging_1981/klagomålsmail/A 7747-2023 FSC-klagomål mail.docx", "A 7747-2023")</f>
        <v/>
      </c>
      <c r="X49">
        <f>HYPERLINK("https://klasma.github.io/Logging_1981/tillsyn/A 7747-2023 tillsynsbegäran.docx", "A 7747-2023")</f>
        <v/>
      </c>
      <c r="Y49">
        <f>HYPERLINK("https://klasma.github.io/Logging_1981/tillsynsmail/A 7747-2023 tillsynsbegäran mail.docx", "A 7747-2023")</f>
        <v/>
      </c>
      <c r="Z49">
        <f>HYPERLINK("https://klasma.github.io/Logging_1981/fåglar/A 7747-2023 prioriterade fågelarter.docx", "A 7747-2023")</f>
        <v/>
      </c>
    </row>
    <row r="50" ht="15" customHeight="1">
      <c r="A50" t="inlineStr">
        <is>
          <t>A 13029-2023</t>
        </is>
      </c>
      <c r="B50" s="1" t="n">
        <v>45001</v>
      </c>
      <c r="C50" s="1" t="n">
        <v>45674</v>
      </c>
      <c r="D50" t="inlineStr">
        <is>
          <t>VÄSTMANLANDS LÄN</t>
        </is>
      </c>
      <c r="E50" t="inlineStr">
        <is>
          <t>SALA</t>
        </is>
      </c>
      <c r="G50" t="n">
        <v>2</v>
      </c>
      <c r="H50" t="n">
        <v>0</v>
      </c>
      <c r="I50" t="n">
        <v>0</v>
      </c>
      <c r="J50" t="n">
        <v>2</v>
      </c>
      <c r="K50" t="n">
        <v>0</v>
      </c>
      <c r="L50" t="n">
        <v>0</v>
      </c>
      <c r="M50" t="n">
        <v>0</v>
      </c>
      <c r="N50" t="n">
        <v>0</v>
      </c>
      <c r="O50" t="n">
        <v>2</v>
      </c>
      <c r="P50" t="n">
        <v>0</v>
      </c>
      <c r="Q50" t="n">
        <v>2</v>
      </c>
      <c r="R50" s="2" t="inlineStr">
        <is>
          <t>Krusfrö
Linmåra/småsnärjmåra</t>
        </is>
      </c>
      <c r="S50">
        <f>HYPERLINK("https://klasma.github.io/Logging_1981/artfynd/A 13029-2023 artfynd.xlsx", "A 13029-2023")</f>
        <v/>
      </c>
      <c r="T50">
        <f>HYPERLINK("https://klasma.github.io/Logging_1981/kartor/A 13029-2023 karta.png", "A 13029-2023")</f>
        <v/>
      </c>
      <c r="V50">
        <f>HYPERLINK("https://klasma.github.io/Logging_1981/klagomål/A 13029-2023 FSC-klagomål.docx", "A 13029-2023")</f>
        <v/>
      </c>
      <c r="W50">
        <f>HYPERLINK("https://klasma.github.io/Logging_1981/klagomålsmail/A 13029-2023 FSC-klagomål mail.docx", "A 13029-2023")</f>
        <v/>
      </c>
      <c r="X50">
        <f>HYPERLINK("https://klasma.github.io/Logging_1981/tillsyn/A 13029-2023 tillsynsbegäran.docx", "A 13029-2023")</f>
        <v/>
      </c>
      <c r="Y50">
        <f>HYPERLINK("https://klasma.github.io/Logging_1981/tillsynsmail/A 13029-2023 tillsynsbegäran mail.docx", "A 13029-2023")</f>
        <v/>
      </c>
    </row>
    <row r="51" ht="15" customHeight="1">
      <c r="A51" t="inlineStr">
        <is>
          <t>A 34752-2023</t>
        </is>
      </c>
      <c r="B51" s="1" t="n">
        <v>45141</v>
      </c>
      <c r="C51" s="1" t="n">
        <v>45674</v>
      </c>
      <c r="D51" t="inlineStr">
        <is>
          <t>VÄSTMANLANDS LÄN</t>
        </is>
      </c>
      <c r="E51" t="inlineStr">
        <is>
          <t>SALA</t>
        </is>
      </c>
      <c r="G51" t="n">
        <v>4.9</v>
      </c>
      <c r="H51" t="n">
        <v>1</v>
      </c>
      <c r="I51" t="n">
        <v>0</v>
      </c>
      <c r="J51" t="n">
        <v>0</v>
      </c>
      <c r="K51" t="n">
        <v>2</v>
      </c>
      <c r="L51" t="n">
        <v>0</v>
      </c>
      <c r="M51" t="n">
        <v>0</v>
      </c>
      <c r="N51" t="n">
        <v>0</v>
      </c>
      <c r="O51" t="n">
        <v>2</v>
      </c>
      <c r="P51" t="n">
        <v>2</v>
      </c>
      <c r="Q51" t="n">
        <v>2</v>
      </c>
      <c r="R51" s="2" t="inlineStr">
        <is>
          <t>Knärot
Sprickporing</t>
        </is>
      </c>
      <c r="S51">
        <f>HYPERLINK("https://klasma.github.io/Logging_1981/artfynd/A 34752-2023 artfynd.xlsx", "A 34752-2023")</f>
        <v/>
      </c>
      <c r="T51">
        <f>HYPERLINK("https://klasma.github.io/Logging_1981/kartor/A 34752-2023 karta.png", "A 34752-2023")</f>
        <v/>
      </c>
      <c r="U51">
        <f>HYPERLINK("https://klasma.github.io/Logging_1981/knärot/A 34752-2023 karta knärot.png", "A 34752-2023")</f>
        <v/>
      </c>
      <c r="V51">
        <f>HYPERLINK("https://klasma.github.io/Logging_1981/klagomål/A 34752-2023 FSC-klagomål.docx", "A 34752-2023")</f>
        <v/>
      </c>
      <c r="W51">
        <f>HYPERLINK("https://klasma.github.io/Logging_1981/klagomålsmail/A 34752-2023 FSC-klagomål mail.docx", "A 34752-2023")</f>
        <v/>
      </c>
      <c r="X51">
        <f>HYPERLINK("https://klasma.github.io/Logging_1981/tillsyn/A 34752-2023 tillsynsbegäran.docx", "A 34752-2023")</f>
        <v/>
      </c>
      <c r="Y51">
        <f>HYPERLINK("https://klasma.github.io/Logging_1981/tillsynsmail/A 34752-2023 tillsynsbegäran mail.docx", "A 34752-2023")</f>
        <v/>
      </c>
    </row>
    <row r="52" ht="15" customHeight="1">
      <c r="A52" t="inlineStr">
        <is>
          <t>A 59780-2023</t>
        </is>
      </c>
      <c r="B52" s="1" t="n">
        <v>45257</v>
      </c>
      <c r="C52" s="1" t="n">
        <v>45674</v>
      </c>
      <c r="D52" t="inlineStr">
        <is>
          <t>VÄSTMANLANDS LÄN</t>
        </is>
      </c>
      <c r="E52" t="inlineStr">
        <is>
          <t>SALA</t>
        </is>
      </c>
      <c r="G52" t="n">
        <v>5.9</v>
      </c>
      <c r="H52" t="n">
        <v>1</v>
      </c>
      <c r="I52" t="n">
        <v>0</v>
      </c>
      <c r="J52" t="n">
        <v>1</v>
      </c>
      <c r="K52" t="n">
        <v>1</v>
      </c>
      <c r="L52" t="n">
        <v>0</v>
      </c>
      <c r="M52" t="n">
        <v>0</v>
      </c>
      <c r="N52" t="n">
        <v>0</v>
      </c>
      <c r="O52" t="n">
        <v>2</v>
      </c>
      <c r="P52" t="n">
        <v>1</v>
      </c>
      <c r="Q52" t="n">
        <v>2</v>
      </c>
      <c r="R52" s="2" t="inlineStr">
        <is>
          <t>Knärot
Vedtrappmossa</t>
        </is>
      </c>
      <c r="S52">
        <f>HYPERLINK("https://klasma.github.io/Logging_1981/artfynd/A 59780-2023 artfynd.xlsx", "A 59780-2023")</f>
        <v/>
      </c>
      <c r="T52">
        <f>HYPERLINK("https://klasma.github.io/Logging_1981/kartor/A 59780-2023 karta.png", "A 59780-2023")</f>
        <v/>
      </c>
      <c r="U52">
        <f>HYPERLINK("https://klasma.github.io/Logging_1981/knärot/A 59780-2023 karta knärot.png", "A 59780-2023")</f>
        <v/>
      </c>
      <c r="V52">
        <f>HYPERLINK("https://klasma.github.io/Logging_1981/klagomål/A 59780-2023 FSC-klagomål.docx", "A 59780-2023")</f>
        <v/>
      </c>
      <c r="W52">
        <f>HYPERLINK("https://klasma.github.io/Logging_1981/klagomålsmail/A 59780-2023 FSC-klagomål mail.docx", "A 59780-2023")</f>
        <v/>
      </c>
      <c r="X52">
        <f>HYPERLINK("https://klasma.github.io/Logging_1981/tillsyn/A 59780-2023 tillsynsbegäran.docx", "A 59780-2023")</f>
        <v/>
      </c>
      <c r="Y52">
        <f>HYPERLINK("https://klasma.github.io/Logging_1981/tillsynsmail/A 59780-2023 tillsynsbegäran mail.docx", "A 59780-2023")</f>
        <v/>
      </c>
    </row>
    <row r="53" ht="15" customHeight="1">
      <c r="A53" t="inlineStr">
        <is>
          <t>A 4261-2024</t>
        </is>
      </c>
      <c r="B53" s="1" t="n">
        <v>45324</v>
      </c>
      <c r="C53" s="1" t="n">
        <v>45674</v>
      </c>
      <c r="D53" t="inlineStr">
        <is>
          <t>VÄSTMANLANDS LÄN</t>
        </is>
      </c>
      <c r="E53" t="inlineStr">
        <is>
          <t>SALA</t>
        </is>
      </c>
      <c r="G53" t="n">
        <v>5.7</v>
      </c>
      <c r="H53" t="n">
        <v>0</v>
      </c>
      <c r="I53" t="n">
        <v>1</v>
      </c>
      <c r="J53" t="n">
        <v>1</v>
      </c>
      <c r="K53" t="n">
        <v>0</v>
      </c>
      <c r="L53" t="n">
        <v>0</v>
      </c>
      <c r="M53" t="n">
        <v>0</v>
      </c>
      <c r="N53" t="n">
        <v>0</v>
      </c>
      <c r="O53" t="n">
        <v>1</v>
      </c>
      <c r="P53" t="n">
        <v>0</v>
      </c>
      <c r="Q53" t="n">
        <v>2</v>
      </c>
      <c r="R53" s="2" t="inlineStr">
        <is>
          <t>Ullticka
Västlig hakmossa</t>
        </is>
      </c>
      <c r="S53">
        <f>HYPERLINK("https://klasma.github.io/Logging_1981/artfynd/A 4261-2024 artfynd.xlsx", "A 4261-2024")</f>
        <v/>
      </c>
      <c r="T53">
        <f>HYPERLINK("https://klasma.github.io/Logging_1981/kartor/A 4261-2024 karta.png", "A 4261-2024")</f>
        <v/>
      </c>
      <c r="V53">
        <f>HYPERLINK("https://klasma.github.io/Logging_1981/klagomål/A 4261-2024 FSC-klagomål.docx", "A 4261-2024")</f>
        <v/>
      </c>
      <c r="W53">
        <f>HYPERLINK("https://klasma.github.io/Logging_1981/klagomålsmail/A 4261-2024 FSC-klagomål mail.docx", "A 4261-2024")</f>
        <v/>
      </c>
      <c r="X53">
        <f>HYPERLINK("https://klasma.github.io/Logging_1981/tillsyn/A 4261-2024 tillsynsbegäran.docx", "A 4261-2024")</f>
        <v/>
      </c>
      <c r="Y53">
        <f>HYPERLINK("https://klasma.github.io/Logging_1981/tillsynsmail/A 4261-2024 tillsynsbegäran mail.docx", "A 4261-2024")</f>
        <v/>
      </c>
    </row>
    <row r="54" ht="15" customHeight="1">
      <c r="A54" t="inlineStr">
        <is>
          <t>A 9921-2024</t>
        </is>
      </c>
      <c r="B54" s="1" t="n">
        <v>45363</v>
      </c>
      <c r="C54" s="1" t="n">
        <v>45674</v>
      </c>
      <c r="D54" t="inlineStr">
        <is>
          <t>VÄSTMANLANDS LÄN</t>
        </is>
      </c>
      <c r="E54" t="inlineStr">
        <is>
          <t>SALA</t>
        </is>
      </c>
      <c r="G54" t="n">
        <v>5.6</v>
      </c>
      <c r="H54" t="n">
        <v>0</v>
      </c>
      <c r="I54" t="n">
        <v>1</v>
      </c>
      <c r="J54" t="n">
        <v>1</v>
      </c>
      <c r="K54" t="n">
        <v>0</v>
      </c>
      <c r="L54" t="n">
        <v>0</v>
      </c>
      <c r="M54" t="n">
        <v>0</v>
      </c>
      <c r="N54" t="n">
        <v>0</v>
      </c>
      <c r="O54" t="n">
        <v>1</v>
      </c>
      <c r="P54" t="n">
        <v>0</v>
      </c>
      <c r="Q54" t="n">
        <v>2</v>
      </c>
      <c r="R54" s="2" t="inlineStr">
        <is>
          <t>Leptoporus erubescens
Vedticka</t>
        </is>
      </c>
      <c r="S54">
        <f>HYPERLINK("https://klasma.github.io/Logging_1981/artfynd/A 9921-2024 artfynd.xlsx", "A 9921-2024")</f>
        <v/>
      </c>
      <c r="T54">
        <f>HYPERLINK("https://klasma.github.io/Logging_1981/kartor/A 9921-2024 karta.png", "A 9921-2024")</f>
        <v/>
      </c>
      <c r="U54">
        <f>HYPERLINK("https://klasma.github.io/Logging_1981/knärot/A 9921-2024 karta knärot.png", "A 9921-2024")</f>
        <v/>
      </c>
      <c r="V54">
        <f>HYPERLINK("https://klasma.github.io/Logging_1981/klagomål/A 9921-2024 FSC-klagomål.docx", "A 9921-2024")</f>
        <v/>
      </c>
      <c r="W54">
        <f>HYPERLINK("https://klasma.github.io/Logging_1981/klagomålsmail/A 9921-2024 FSC-klagomål mail.docx", "A 9921-2024")</f>
        <v/>
      </c>
      <c r="X54">
        <f>HYPERLINK("https://klasma.github.io/Logging_1981/tillsyn/A 9921-2024 tillsynsbegäran.docx", "A 9921-2024")</f>
        <v/>
      </c>
      <c r="Y54">
        <f>HYPERLINK("https://klasma.github.io/Logging_1981/tillsynsmail/A 9921-2024 tillsynsbegäran mail.docx", "A 9921-2024")</f>
        <v/>
      </c>
    </row>
    <row r="55" ht="15" customHeight="1">
      <c r="A55" t="inlineStr">
        <is>
          <t>A 10552-2024</t>
        </is>
      </c>
      <c r="B55" s="1" t="n">
        <v>45366</v>
      </c>
      <c r="C55" s="1" t="n">
        <v>45674</v>
      </c>
      <c r="D55" t="inlineStr">
        <is>
          <t>VÄSTMANLANDS LÄN</t>
        </is>
      </c>
      <c r="E55" t="inlineStr">
        <is>
          <t>SALA</t>
        </is>
      </c>
      <c r="G55" t="n">
        <v>6.5</v>
      </c>
      <c r="H55" t="n">
        <v>2</v>
      </c>
      <c r="I55" t="n">
        <v>1</v>
      </c>
      <c r="J55" t="n">
        <v>0</v>
      </c>
      <c r="K55" t="n">
        <v>0</v>
      </c>
      <c r="L55" t="n">
        <v>0</v>
      </c>
      <c r="M55" t="n">
        <v>0</v>
      </c>
      <c r="N55" t="n">
        <v>0</v>
      </c>
      <c r="O55" t="n">
        <v>0</v>
      </c>
      <c r="P55" t="n">
        <v>0</v>
      </c>
      <c r="Q55" t="n">
        <v>2</v>
      </c>
      <c r="R55" s="2" t="inlineStr">
        <is>
          <t>Plattlummer
Fläcknycklar</t>
        </is>
      </c>
      <c r="S55">
        <f>HYPERLINK("https://klasma.github.io/Logging_1981/artfynd/A 10552-2024 artfynd.xlsx", "A 10552-2024")</f>
        <v/>
      </c>
      <c r="T55">
        <f>HYPERLINK("https://klasma.github.io/Logging_1981/kartor/A 10552-2024 karta.png", "A 10552-2024")</f>
        <v/>
      </c>
      <c r="V55">
        <f>HYPERLINK("https://klasma.github.io/Logging_1981/klagomål/A 10552-2024 FSC-klagomål.docx", "A 10552-2024")</f>
        <v/>
      </c>
      <c r="W55">
        <f>HYPERLINK("https://klasma.github.io/Logging_1981/klagomålsmail/A 10552-2024 FSC-klagomål mail.docx", "A 10552-2024")</f>
        <v/>
      </c>
      <c r="X55">
        <f>HYPERLINK("https://klasma.github.io/Logging_1981/tillsyn/A 10552-2024 tillsynsbegäran.docx", "A 10552-2024")</f>
        <v/>
      </c>
      <c r="Y55">
        <f>HYPERLINK("https://klasma.github.io/Logging_1981/tillsynsmail/A 10552-2024 tillsynsbegäran mail.docx", "A 10552-2024")</f>
        <v/>
      </c>
    </row>
    <row r="56" ht="15" customHeight="1">
      <c r="A56" t="inlineStr">
        <is>
          <t>A 11846-2024</t>
        </is>
      </c>
      <c r="B56" s="1" t="n">
        <v>45376</v>
      </c>
      <c r="C56" s="1" t="n">
        <v>45674</v>
      </c>
      <c r="D56" t="inlineStr">
        <is>
          <t>VÄSTMANLANDS LÄN</t>
        </is>
      </c>
      <c r="E56" t="inlineStr">
        <is>
          <t>SALA</t>
        </is>
      </c>
      <c r="G56" t="n">
        <v>8</v>
      </c>
      <c r="H56" t="n">
        <v>0</v>
      </c>
      <c r="I56" t="n">
        <v>2</v>
      </c>
      <c r="J56" t="n">
        <v>0</v>
      </c>
      <c r="K56" t="n">
        <v>0</v>
      </c>
      <c r="L56" t="n">
        <v>0</v>
      </c>
      <c r="M56" t="n">
        <v>0</v>
      </c>
      <c r="N56" t="n">
        <v>0</v>
      </c>
      <c r="O56" t="n">
        <v>0</v>
      </c>
      <c r="P56" t="n">
        <v>0</v>
      </c>
      <c r="Q56" t="n">
        <v>2</v>
      </c>
      <c r="R56" s="2" t="inlineStr">
        <is>
          <t>Bronshjon
Vågbandad barkbock</t>
        </is>
      </c>
      <c r="S56">
        <f>HYPERLINK("https://klasma.github.io/Logging_1981/artfynd/A 11846-2024 artfynd.xlsx", "A 11846-2024")</f>
        <v/>
      </c>
      <c r="T56">
        <f>HYPERLINK("https://klasma.github.io/Logging_1981/kartor/A 11846-2024 karta.png", "A 11846-2024")</f>
        <v/>
      </c>
      <c r="V56">
        <f>HYPERLINK("https://klasma.github.io/Logging_1981/klagomål/A 11846-2024 FSC-klagomål.docx", "A 11846-2024")</f>
        <v/>
      </c>
      <c r="W56">
        <f>HYPERLINK("https://klasma.github.io/Logging_1981/klagomålsmail/A 11846-2024 FSC-klagomål mail.docx", "A 11846-2024")</f>
        <v/>
      </c>
      <c r="X56">
        <f>HYPERLINK("https://klasma.github.io/Logging_1981/tillsyn/A 11846-2024 tillsynsbegäran.docx", "A 11846-2024")</f>
        <v/>
      </c>
      <c r="Y56">
        <f>HYPERLINK("https://klasma.github.io/Logging_1981/tillsynsmail/A 11846-2024 tillsynsbegäran mail.docx", "A 11846-2024")</f>
        <v/>
      </c>
    </row>
    <row r="57" ht="15" customHeight="1">
      <c r="A57" t="inlineStr">
        <is>
          <t>A 12444-2024</t>
        </is>
      </c>
      <c r="B57" s="1" t="n">
        <v>45379</v>
      </c>
      <c r="C57" s="1" t="n">
        <v>45674</v>
      </c>
      <c r="D57" t="inlineStr">
        <is>
          <t>VÄSTMANLANDS LÄN</t>
        </is>
      </c>
      <c r="E57" t="inlineStr">
        <is>
          <t>SALA</t>
        </is>
      </c>
      <c r="G57" t="n">
        <v>5.5</v>
      </c>
      <c r="H57" t="n">
        <v>0</v>
      </c>
      <c r="I57" t="n">
        <v>1</v>
      </c>
      <c r="J57" t="n">
        <v>1</v>
      </c>
      <c r="K57" t="n">
        <v>0</v>
      </c>
      <c r="L57" t="n">
        <v>0</v>
      </c>
      <c r="M57" t="n">
        <v>0</v>
      </c>
      <c r="N57" t="n">
        <v>0</v>
      </c>
      <c r="O57" t="n">
        <v>1</v>
      </c>
      <c r="P57" t="n">
        <v>0</v>
      </c>
      <c r="Q57" t="n">
        <v>2</v>
      </c>
      <c r="R57" s="2" t="inlineStr">
        <is>
          <t>Ullticka
Stuplav</t>
        </is>
      </c>
      <c r="S57">
        <f>HYPERLINK("https://klasma.github.io/Logging_1981/artfynd/A 12444-2024 artfynd.xlsx", "A 12444-2024")</f>
        <v/>
      </c>
      <c r="T57">
        <f>HYPERLINK("https://klasma.github.io/Logging_1981/kartor/A 12444-2024 karta.png", "A 12444-2024")</f>
        <v/>
      </c>
      <c r="U57">
        <f>HYPERLINK("https://klasma.github.io/Logging_1981/knärot/A 12444-2024 karta knärot.png", "A 12444-2024")</f>
        <v/>
      </c>
      <c r="V57">
        <f>HYPERLINK("https://klasma.github.io/Logging_1981/klagomål/A 12444-2024 FSC-klagomål.docx", "A 12444-2024")</f>
        <v/>
      </c>
      <c r="W57">
        <f>HYPERLINK("https://klasma.github.io/Logging_1981/klagomålsmail/A 12444-2024 FSC-klagomål mail.docx", "A 12444-2024")</f>
        <v/>
      </c>
      <c r="X57">
        <f>HYPERLINK("https://klasma.github.io/Logging_1981/tillsyn/A 12444-2024 tillsynsbegäran.docx", "A 12444-2024")</f>
        <v/>
      </c>
      <c r="Y57">
        <f>HYPERLINK("https://klasma.github.io/Logging_1981/tillsynsmail/A 12444-2024 tillsynsbegäran mail.docx", "A 12444-2024")</f>
        <v/>
      </c>
    </row>
    <row r="58" ht="15" customHeight="1">
      <c r="A58" t="inlineStr">
        <is>
          <t>A 40493-2024</t>
        </is>
      </c>
      <c r="B58" s="1" t="n">
        <v>45555</v>
      </c>
      <c r="C58" s="1" t="n">
        <v>45674</v>
      </c>
      <c r="D58" t="inlineStr">
        <is>
          <t>VÄSTMANLANDS LÄN</t>
        </is>
      </c>
      <c r="E58" t="inlineStr">
        <is>
          <t>SALA</t>
        </is>
      </c>
      <c r="G58" t="n">
        <v>3.8</v>
      </c>
      <c r="H58" t="n">
        <v>0</v>
      </c>
      <c r="I58" t="n">
        <v>1</v>
      </c>
      <c r="J58" t="n">
        <v>1</v>
      </c>
      <c r="K58" t="n">
        <v>0</v>
      </c>
      <c r="L58" t="n">
        <v>0</v>
      </c>
      <c r="M58" t="n">
        <v>0</v>
      </c>
      <c r="N58" t="n">
        <v>0</v>
      </c>
      <c r="O58" t="n">
        <v>1</v>
      </c>
      <c r="P58" t="n">
        <v>0</v>
      </c>
      <c r="Q58" t="n">
        <v>2</v>
      </c>
      <c r="R58" s="2" t="inlineStr">
        <is>
          <t>Vedskivlav
Dropptaggsvamp</t>
        </is>
      </c>
      <c r="S58">
        <f>HYPERLINK("https://klasma.github.io/Logging_1981/artfynd/A 40493-2024 artfynd.xlsx", "A 40493-2024")</f>
        <v/>
      </c>
      <c r="T58">
        <f>HYPERLINK("https://klasma.github.io/Logging_1981/kartor/A 40493-2024 karta.png", "A 40493-2024")</f>
        <v/>
      </c>
      <c r="V58">
        <f>HYPERLINK("https://klasma.github.io/Logging_1981/klagomål/A 40493-2024 FSC-klagomål.docx", "A 40493-2024")</f>
        <v/>
      </c>
      <c r="W58">
        <f>HYPERLINK("https://klasma.github.io/Logging_1981/klagomålsmail/A 40493-2024 FSC-klagomål mail.docx", "A 40493-2024")</f>
        <v/>
      </c>
      <c r="X58">
        <f>HYPERLINK("https://klasma.github.io/Logging_1981/tillsyn/A 40493-2024 tillsynsbegäran.docx", "A 40493-2024")</f>
        <v/>
      </c>
      <c r="Y58">
        <f>HYPERLINK("https://klasma.github.io/Logging_1981/tillsynsmail/A 40493-2024 tillsynsbegäran mail.docx", "A 40493-2024")</f>
        <v/>
      </c>
    </row>
    <row r="59" ht="15" customHeight="1">
      <c r="A59" t="inlineStr">
        <is>
          <t>A 61454-2024</t>
        </is>
      </c>
      <c r="B59" s="1" t="n">
        <v>45646</v>
      </c>
      <c r="C59" s="1" t="n">
        <v>45674</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45674</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45674</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45674</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45674</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45674</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45674</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45674</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45674</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45674</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45674</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45674</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45674</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45674</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45674</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45674</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45674</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45674</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45674</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45674</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45674</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45674</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45674</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45674</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45674</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45674</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45674</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45674</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45674</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45674</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45674</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45674</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45674</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45674</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45674</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45674</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45674</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45674</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45674</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45674</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45674</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45674</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45674</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45674</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45674</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45674</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45674</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45674</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45674</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45674</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45674</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45674</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45674</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45674</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45674</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45674</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45674</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45674</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45674</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45674</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45674</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45674</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45674</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45674</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45674</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45674</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45674</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45674</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45674</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45674</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45674</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45674</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45674</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45674</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45674</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45674</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45674</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45674</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45674</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45674</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45674</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45674</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45674</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45674</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45674</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45674</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45674</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45674</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45674</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45674</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45674</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45674</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45674</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45674</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45674</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45674</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45674</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45674</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45674</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45674</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45674</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45674</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45674</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45674</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45674</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45674</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45674</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45674</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45674</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45674</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45674</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45674</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45674</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45674</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45674</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45674</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45674</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45674</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45674</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45674</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45674</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45674</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45674</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45674</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45674</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45674</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45674</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45674</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45674</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45674</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45674</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45674</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45674</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45674</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45674</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45674</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45674</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45674</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45674</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45674</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45674</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45674</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45674</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45674</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45674</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45674</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45674</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45674</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45674</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45674</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45674</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45674</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45674</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45674</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45674</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45674</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45674</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45674</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45674</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45674</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45674</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45674</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45674</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45674</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45674</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45674</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45674</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45674</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45674</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45674</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45674</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45674</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45674</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45674</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45674</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45674</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45674</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45674</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45674</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45674</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45674</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45674</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45674</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45674</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45674</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45674</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45674</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45674</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45674</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45674</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45674</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45674</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45674</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45674</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45674</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45674</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45674</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45674</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45674</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45674</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45674</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45674</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45674</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45674</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45674</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45674</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45674</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45674</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45674</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45674</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45674</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45674</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45674</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45674</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45674</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45674</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45674</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45674</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45674</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45674</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45674</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45674</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45674</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45674</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45674</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45674</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45674</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45674</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45674</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45674</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45674</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45674</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45674</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45674</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45674</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45674</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45674</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45674</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45674</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45674</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45674</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45674</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45674</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45674</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45674</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45674</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45674</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45674</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45674</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45674</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45674</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45674</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45674</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45674</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45674</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45674</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45674</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45674</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45674</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45674</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45674</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45674</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45674</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45674</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45674</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45674</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45674</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45674</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45674</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45674</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45674</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45674</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45674</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45674</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45674</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45674</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45674</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45674</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45674</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45674</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45674</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45674</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45674</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45674</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45674</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45674</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45674</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45674</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45674</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45674</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45674</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45674</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45674</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45674</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45674</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45674</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45674</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45674</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45674</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45674</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45674</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45674</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45674</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45674</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45674</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45674</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45674</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45674</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45674</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45674</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45674</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45674</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45674</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45674</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45674</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45674</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45674</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45674</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45674</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45674</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45674</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45674</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45674</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45674</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45674</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45674</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45674</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45674</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45674</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45674</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45674</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45674</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45674</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45674</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45674</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45674</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45674</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45674</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45674</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45674</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45674</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45674</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45674</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45674</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45674</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45674</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45674</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45674</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45674</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45674</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45674</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45674</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45674</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45674</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45674</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45674</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45674</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45674</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45674</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45674</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45674</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45674</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45674</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45674</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45674</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45674</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45674</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45674</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45674</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45674</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45674</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45674</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45674</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45674</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45674</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45674</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45674</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45674</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45674</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45674</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45674</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45674</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45674</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45674</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45674</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45674</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45674</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45674</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45674</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45674</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45674</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45674</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45674</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45674</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45674</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45674</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45674</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45674</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45674</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45674</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45674</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45674</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45674</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45674</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45674</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45674</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45674</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45674</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45674</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45674</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45674</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45674</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45674</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45674</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45674</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45674</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45674</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45674</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45674</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45674</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45674</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45674</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45674</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45674</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45674</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45674</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45674</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45674</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45674</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45674</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45674</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45674</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45674</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45674</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45674</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45674</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45674</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45674</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45674</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45674</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45674</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45674</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45674</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45674</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45674</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45674</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45674</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45674</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45674</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45674</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45674</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45674</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45674</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45674</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45674</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45674</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45674</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45674</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45674</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45674</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45674</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45674</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45674</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45674</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45674</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45674</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45674</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45674</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45674</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45674</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45674</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45674</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45674</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45674</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45674</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45674</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45674</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45674</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45674</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45674</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45674</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45674</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45674</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45674</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45674</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45674</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45674</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45674</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45674</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45674</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45674</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45674</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45674</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45674</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45674</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45674</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45674</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45674</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45674</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45674</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45674</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45674</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45674</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45674</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45674</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45674</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45674</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45674</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45674</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45674</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45674</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45674</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45674</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45674</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45674</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45674</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45674</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45674</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45674</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45674</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45674</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45674</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45674</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45674</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45674</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45674</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45674</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45674</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45674</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45674</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45674</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45674</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45674</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45674</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45674</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45674</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45674</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45674</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45674</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45674</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45674</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45674</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45674</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45674</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45674</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45674</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45674</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45674</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45674</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45674</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45674</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45674</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45674</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45674</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45674</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45674</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45674</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45674</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45674</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45674</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45674</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45674</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45674</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45674</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45674</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45674</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45674</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45674</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45674</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45674</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45674</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45674</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45674</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45674</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45674</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45674</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45674</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45674</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45674</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45674</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45674</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45674</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45674</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45674</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45674</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45674</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45674</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45674</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45674</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45674</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45674</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45674</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45674</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45674</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45674</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45674</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45674</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45674</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45674</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45674</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45674</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45674</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45674</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45674</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45674</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45674</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45674</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45674</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45674</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45674</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45674</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45674</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45674</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45674</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45674</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45674</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45674</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45674</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45674</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45674</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45674</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45674</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45674</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45674</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45674</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45674</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45674</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45674</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45674</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45674</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45674</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45674</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45674</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45674</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45674</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45674</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45674</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45674</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45674</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45674</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45674</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45674</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45674</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45674</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45674</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45674</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45674</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45674</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45674</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45674</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45674</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45674</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45674</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45674</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45674</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45674</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45674</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45674</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45674</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45674</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45674</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45674</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45674</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45674</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45674</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45674</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45674</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45674</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45674</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45674</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45674</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45674</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45674</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45674</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45674</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45674</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45674</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45674</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45674</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45674</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45674</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45674</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45674</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45674</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45674</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45674</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45674</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45674</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45674</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45674</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45674</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45674</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45674</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45674</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45674</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45674</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45674</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45674</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45674</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45674</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45674</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45674</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45674</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45674</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45674</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45674</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45674</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45674</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45674</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45674</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45674</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45674</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45674</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45674</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45674</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45674</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45674</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45674</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45674</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45674</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45674</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45674</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45674</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45674</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45674</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45674</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45674</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45674</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45674</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45674</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45674</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45674</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45674</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45674</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45674</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45674</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45674</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45674</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45674</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45674</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45674</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45674</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45674</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45674</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45674</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45674</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45674</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45674</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45674</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45674</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45674</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45674</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45674</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45674</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45674</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45674</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45674</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45674</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45674</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45674</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45674</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45674</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45674</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45674</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45674</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45674</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45674</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45674</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45674</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45674</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45674</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45674</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45674</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45674</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45674</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45674</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45674</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45674</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45674</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45674</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45674</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45674</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45674</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45674</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45674</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45674</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45674</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45674</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45674</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45674</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45674</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45674</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45674</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45674</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45674</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45674</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45674</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45674</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45674</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45674</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45674</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45674</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45674</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45674</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45674</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45674</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45674</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45674</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45674</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45674</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45674</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45674</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45674</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45674</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45674</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45674</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45674</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45674</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45674</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45674</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45674</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45674</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45674</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45674</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45674</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45674</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45674</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45674</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45674</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45674</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45674</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45674</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45674</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45674</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45674</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45674</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45674</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45674</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45674</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45674</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45674</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45674</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45674</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45674</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45674</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45674</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45674</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45674</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45674</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45674</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45674</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45674</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45674</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45674</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45674</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45674</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45674</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45674</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45674</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45674</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45674</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45674</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45674</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45674</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45674</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45674</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45674</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45674</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45674</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45674</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45674</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45674</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45674</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45674</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45674</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45674</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45674</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45674</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45674</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45674</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45674</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45674</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45674</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45674</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45674</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45674</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45674</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45674</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45674</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45674</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45674</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45674</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45674</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45674</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45674</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45674</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45674</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45674</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45674</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45674</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45674</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45674</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45674</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45674</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45674</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45674</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45674</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45674</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45674</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45674</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45674</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45674</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45674</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45674</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45674</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45674</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45674</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45674</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45674</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45674</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45674</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45674</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45674</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45674</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45674</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45674</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45674</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45674</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45674</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45674</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45674</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45674</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45674</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45674</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45674</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45674</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45674</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45674</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45674</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45674</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45674</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45674</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45674</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45674</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45674</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45674</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45674</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45674</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45674</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45674</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45674</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45674</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45674</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45674</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45674</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45674</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45674</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45674</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45674</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45674</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45674</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45674</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45674</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45674</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45674</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45674</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45674</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45674</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45674</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45674</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45674</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45674</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45674</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45674</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45674</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45674</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45674</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45674</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45674</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45674</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45674</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45674</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45674</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45674</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45674</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45674</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45674</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45674</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45674</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45674</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45674</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45674</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45674</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45674</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45674</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45674</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45674</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45674</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45674</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45674</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45674</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45674</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45674</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45674</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45674</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45674</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45674</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45674</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45674</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45674</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45674</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45674</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45674</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45674</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45674</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45674</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45674</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45674</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45674</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45674</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45674</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45674</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45674</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45674</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45674</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45674</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45674</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45674</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45674</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45674</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45674</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45674</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45674</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45674</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45674</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45674</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45674</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45674</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45674</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45674</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45674</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45674</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45674</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45674</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45674</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45674</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45674</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45674</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45674</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45674</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45674</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45674</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45674</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45674</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45674</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45674</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45674</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45674</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45674</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45674</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45674</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45674</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45674</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45674</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45674</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45674</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45674</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45674</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45674</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45674</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45674</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45674</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45674</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45674</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45674</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45674</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45674</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45674</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45674</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45674</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45674</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45674</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45674</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45674</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45674</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45674</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45674</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45674</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45674</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45674</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45674</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61683-2024</t>
        </is>
      </c>
      <c r="B1150" s="1" t="n">
        <v>45647</v>
      </c>
      <c r="C1150" s="1" t="n">
        <v>45674</v>
      </c>
      <c r="D1150" t="inlineStr">
        <is>
          <t>VÄSTMANLANDS LÄN</t>
        </is>
      </c>
      <c r="E1150" t="inlineStr">
        <is>
          <t>SALA</t>
        </is>
      </c>
      <c r="F1150" t="inlineStr">
        <is>
          <t>Kommuner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61681-2024</t>
        </is>
      </c>
      <c r="B1151" s="1" t="n">
        <v>45647</v>
      </c>
      <c r="C1151" s="1" t="n">
        <v>45674</v>
      </c>
      <c r="D1151" t="inlineStr">
        <is>
          <t>VÄSTMANLANDS LÄN</t>
        </is>
      </c>
      <c r="E1151" t="inlineStr">
        <is>
          <t>SALA</t>
        </is>
      </c>
      <c r="F1151" t="inlineStr">
        <is>
          <t>Kommuner</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61717-2024</t>
        </is>
      </c>
      <c r="B1152" s="1" t="n">
        <v>45648</v>
      </c>
      <c r="C1152" s="1" t="n">
        <v>45674</v>
      </c>
      <c r="D1152" t="inlineStr">
        <is>
          <t>VÄSTMANLANDS LÄN</t>
        </is>
      </c>
      <c r="E1152" t="inlineStr">
        <is>
          <t>SALA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61715-2024</t>
        </is>
      </c>
      <c r="B1153" s="1" t="n">
        <v>45648</v>
      </c>
      <c r="C1153" s="1" t="n">
        <v>45674</v>
      </c>
      <c r="D1153" t="inlineStr">
        <is>
          <t>VÄSTMANLANDS LÄN</t>
        </is>
      </c>
      <c r="E1153" t="inlineStr">
        <is>
          <t>SALA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45674</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45674</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45674</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45674</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45674</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45674</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45674</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45674</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45674</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c r="A1163" t="inlineStr">
        <is>
          <t>A 2271-2025</t>
        </is>
      </c>
      <c r="B1163" s="1" t="n">
        <v>45673</v>
      </c>
      <c r="C1163" s="1" t="n">
        <v>45674</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2025-01-17T16:13:51Z</dcterms:created>
  <dcterms:modified xmlns:dcterms="http://purl.org/dc/terms/" xmlns:xsi="http://www.w3.org/2001/XMLSchema-instance" xsi:type="dcterms:W3CDTF">2025-01-17T16:13:52Z</dcterms:modified>
</cp:coreProperties>
</file>