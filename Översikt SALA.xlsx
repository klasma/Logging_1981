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45891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45891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45891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45891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45891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45891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45891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45891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45891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45891</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45891</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45891</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45891</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45891</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45891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45891</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3567-2024</t>
        </is>
      </c>
      <c r="B18" s="1" t="n">
        <v>45320.63706018519</v>
      </c>
      <c r="C18" s="1" t="n">
        <v>45891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45891</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45891</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45891</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45891</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35461-2024</t>
        </is>
      </c>
      <c r="B23" s="1" t="n">
        <v>45531</v>
      </c>
      <c r="C23" s="1" t="n">
        <v>45891</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34065-2025</t>
        </is>
      </c>
      <c r="B24" s="1" t="n">
        <v>45845.42806712963</v>
      </c>
      <c r="C24" s="1" t="n">
        <v>45891</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52909-2022</t>
        </is>
      </c>
      <c r="B25" s="1" t="n">
        <v>44875</v>
      </c>
      <c r="C25" s="1" t="n">
        <v>45891</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45891</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45891</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1500-2022</t>
        </is>
      </c>
      <c r="B28" s="1" t="n">
        <v>44573.54357638889</v>
      </c>
      <c r="C28" s="1" t="n">
        <v>45891</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12444-2024</t>
        </is>
      </c>
      <c r="B29" s="1" t="n">
        <v>45379.46285879629</v>
      </c>
      <c r="C29" s="1" t="n">
        <v>45891</v>
      </c>
      <c r="D29" t="inlineStr">
        <is>
          <t>VÄSTMANLANDS LÄN</t>
        </is>
      </c>
      <c r="E29" t="inlineStr">
        <is>
          <t>SALA</t>
        </is>
      </c>
      <c r="G29" t="n">
        <v>5.5</v>
      </c>
      <c r="H29" t="n">
        <v>0</v>
      </c>
      <c r="I29" t="n">
        <v>1</v>
      </c>
      <c r="J29" t="n">
        <v>1</v>
      </c>
      <c r="K29" t="n">
        <v>0</v>
      </c>
      <c r="L29" t="n">
        <v>0</v>
      </c>
      <c r="M29" t="n">
        <v>0</v>
      </c>
      <c r="N29" t="n">
        <v>0</v>
      </c>
      <c r="O29" t="n">
        <v>1</v>
      </c>
      <c r="P29" t="n">
        <v>0</v>
      </c>
      <c r="Q29" t="n">
        <v>2</v>
      </c>
      <c r="R29" s="2" t="inlineStr">
        <is>
          <t>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24872-2025</t>
        </is>
      </c>
      <c r="B30" s="1" t="n">
        <v>45799.49038194444</v>
      </c>
      <c r="C30" s="1" t="n">
        <v>45891</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45891</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61454-2024</t>
        </is>
      </c>
      <c r="B32" s="1" t="n">
        <v>45646</v>
      </c>
      <c r="C32" s="1" t="n">
        <v>45891</v>
      </c>
      <c r="D32" t="inlineStr">
        <is>
          <t>VÄSTMANLANDS LÄN</t>
        </is>
      </c>
      <c r="E32" t="inlineStr">
        <is>
          <t>SALA</t>
        </is>
      </c>
      <c r="G32" t="n">
        <v>15</v>
      </c>
      <c r="H32" t="n">
        <v>2</v>
      </c>
      <c r="I32" t="n">
        <v>0</v>
      </c>
      <c r="J32" t="n">
        <v>0</v>
      </c>
      <c r="K32" t="n">
        <v>1</v>
      </c>
      <c r="L32" t="n">
        <v>0</v>
      </c>
      <c r="M32" t="n">
        <v>0</v>
      </c>
      <c r="N32" t="n">
        <v>0</v>
      </c>
      <c r="O32" t="n">
        <v>1</v>
      </c>
      <c r="P32" t="n">
        <v>1</v>
      </c>
      <c r="Q32" t="n">
        <v>2</v>
      </c>
      <c r="R32" s="2" t="inlineStr">
        <is>
          <t>Knärot
Mindre vattensalamander</t>
        </is>
      </c>
      <c r="S32">
        <f>HYPERLINK("https://klasma.github.io/Logging_1981/artfynd/A 61454-2024 artfynd.xlsx", "A 61454-2024")</f>
        <v/>
      </c>
      <c r="T32">
        <f>HYPERLINK("https://klasma.github.io/Logging_1981/kartor/A 61454-2024 karta.png", "A 61454-2024")</f>
        <v/>
      </c>
      <c r="U32">
        <f>HYPERLINK("https://klasma.github.io/Logging_1981/knärot/A 61454-2024 karta knärot.png", "A 61454-2024")</f>
        <v/>
      </c>
      <c r="V32">
        <f>HYPERLINK("https://klasma.github.io/Logging_1981/klagomål/A 61454-2024 FSC-klagomål.docx", "A 61454-2024")</f>
        <v/>
      </c>
      <c r="W32">
        <f>HYPERLINK("https://klasma.github.io/Logging_1981/klagomålsmail/A 61454-2024 FSC-klagomål mail.docx", "A 61454-2024")</f>
        <v/>
      </c>
      <c r="X32">
        <f>HYPERLINK("https://klasma.github.io/Logging_1981/tillsyn/A 61454-2024 tillsynsbegäran.docx", "A 61454-2024")</f>
        <v/>
      </c>
      <c r="Y32">
        <f>HYPERLINK("https://klasma.github.io/Logging_1981/tillsynsmail/A 61454-2024 tillsynsbegäran mail.docx", "A 61454-2024")</f>
        <v/>
      </c>
    </row>
    <row r="33" ht="15" customHeight="1">
      <c r="A33" t="inlineStr">
        <is>
          <t>A 15102-2025</t>
        </is>
      </c>
      <c r="B33" s="1" t="n">
        <v>45744.34585648148</v>
      </c>
      <c r="C33" s="1" t="n">
        <v>45891</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44970-2021</t>
        </is>
      </c>
      <c r="B34" s="1" t="n">
        <v>44438.74399305556</v>
      </c>
      <c r="C34" s="1" t="n">
        <v>45891</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45891</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45891</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45891</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14775-2023</t>
        </is>
      </c>
      <c r="B38" s="1" t="n">
        <v>45014</v>
      </c>
      <c r="C38" s="1" t="n">
        <v>45891</v>
      </c>
      <c r="D38" t="inlineStr">
        <is>
          <t>VÄSTMANLANDS LÄN</t>
        </is>
      </c>
      <c r="E38" t="inlineStr">
        <is>
          <t>SALA</t>
        </is>
      </c>
      <c r="G38" t="n">
        <v>1.3</v>
      </c>
      <c r="H38" t="n">
        <v>1</v>
      </c>
      <c r="I38" t="n">
        <v>0</v>
      </c>
      <c r="J38" t="n">
        <v>0</v>
      </c>
      <c r="K38" t="n">
        <v>1</v>
      </c>
      <c r="L38" t="n">
        <v>0</v>
      </c>
      <c r="M38" t="n">
        <v>0</v>
      </c>
      <c r="N38" t="n">
        <v>0</v>
      </c>
      <c r="O38" t="n">
        <v>1</v>
      </c>
      <c r="P38" t="n">
        <v>1</v>
      </c>
      <c r="Q38" t="n">
        <v>1</v>
      </c>
      <c r="R38" s="2" t="inlineStr">
        <is>
          <t>Knärot</t>
        </is>
      </c>
      <c r="S38">
        <f>HYPERLINK("https://klasma.github.io/Logging_1981/artfynd/A 14775-2023 artfynd.xlsx", "A 14775-2023")</f>
        <v/>
      </c>
      <c r="T38">
        <f>HYPERLINK("https://klasma.github.io/Logging_1981/kartor/A 14775-2023 karta.png", "A 14775-2023")</f>
        <v/>
      </c>
      <c r="U38">
        <f>HYPERLINK("https://klasma.github.io/Logging_1981/knärot/A 14775-2023 karta knärot.png", "A 14775-2023")</f>
        <v/>
      </c>
      <c r="V38">
        <f>HYPERLINK("https://klasma.github.io/Logging_1981/klagomål/A 14775-2023 FSC-klagomål.docx", "A 14775-2023")</f>
        <v/>
      </c>
      <c r="W38">
        <f>HYPERLINK("https://klasma.github.io/Logging_1981/klagomålsmail/A 14775-2023 FSC-klagomål mail.docx", "A 14775-2023")</f>
        <v/>
      </c>
      <c r="X38">
        <f>HYPERLINK("https://klasma.github.io/Logging_1981/tillsyn/A 14775-2023 tillsynsbegäran.docx", "A 14775-2023")</f>
        <v/>
      </c>
      <c r="Y38">
        <f>HYPERLINK("https://klasma.github.io/Logging_1981/tillsynsmail/A 14775-2023 tillsynsbegäran mail.docx", "A 14775-2023")</f>
        <v/>
      </c>
    </row>
    <row r="39" ht="15" customHeight="1">
      <c r="A39" t="inlineStr">
        <is>
          <t>A 19361-2025</t>
        </is>
      </c>
      <c r="B39" s="1" t="n">
        <v>45769.63357638889</v>
      </c>
      <c r="C39" s="1" t="n">
        <v>45891</v>
      </c>
      <c r="D39" t="inlineStr">
        <is>
          <t>VÄSTMANLANDS LÄN</t>
        </is>
      </c>
      <c r="E39" t="inlineStr">
        <is>
          <t>SALA</t>
        </is>
      </c>
      <c r="F39" t="inlineStr">
        <is>
          <t>Bergvik skog öst AB</t>
        </is>
      </c>
      <c r="G39" t="n">
        <v>8.9</v>
      </c>
      <c r="H39" t="n">
        <v>0</v>
      </c>
      <c r="I39" t="n">
        <v>0</v>
      </c>
      <c r="J39" t="n">
        <v>1</v>
      </c>
      <c r="K39" t="n">
        <v>0</v>
      </c>
      <c r="L39" t="n">
        <v>0</v>
      </c>
      <c r="M39" t="n">
        <v>0</v>
      </c>
      <c r="N39" t="n">
        <v>0</v>
      </c>
      <c r="O39" t="n">
        <v>1</v>
      </c>
      <c r="P39" t="n">
        <v>0</v>
      </c>
      <c r="Q39" t="n">
        <v>1</v>
      </c>
      <c r="R39" s="2" t="inlineStr">
        <is>
          <t>Garnlav</t>
        </is>
      </c>
      <c r="S39">
        <f>HYPERLINK("https://klasma.github.io/Logging_1981/artfynd/A 19361-2025 artfynd.xlsx", "A 19361-2025")</f>
        <v/>
      </c>
      <c r="T39">
        <f>HYPERLINK("https://klasma.github.io/Logging_1981/kartor/A 19361-2025 karta.png", "A 19361-2025")</f>
        <v/>
      </c>
      <c r="V39">
        <f>HYPERLINK("https://klasma.github.io/Logging_1981/klagomål/A 19361-2025 FSC-klagomål.docx", "A 19361-2025")</f>
        <v/>
      </c>
      <c r="W39">
        <f>HYPERLINK("https://klasma.github.io/Logging_1981/klagomålsmail/A 19361-2025 FSC-klagomål mail.docx", "A 19361-2025")</f>
        <v/>
      </c>
      <c r="X39">
        <f>HYPERLINK("https://klasma.github.io/Logging_1981/tillsyn/A 19361-2025 tillsynsbegäran.docx", "A 19361-2025")</f>
        <v/>
      </c>
      <c r="Y39">
        <f>HYPERLINK("https://klasma.github.io/Logging_1981/tillsynsmail/A 19361-2025 tillsynsbegäran mail.docx", "A 19361-2025")</f>
        <v/>
      </c>
    </row>
    <row r="40" ht="15" customHeight="1">
      <c r="A40" t="inlineStr">
        <is>
          <t>A 41570-2021</t>
        </is>
      </c>
      <c r="B40" s="1" t="n">
        <v>44425</v>
      </c>
      <c r="C40" s="1" t="n">
        <v>45891</v>
      </c>
      <c r="D40" t="inlineStr">
        <is>
          <t>VÄSTMANLANDS LÄN</t>
        </is>
      </c>
      <c r="E40" t="inlineStr">
        <is>
          <t>SALA</t>
        </is>
      </c>
      <c r="G40" t="n">
        <v>1.4</v>
      </c>
      <c r="H40" t="n">
        <v>0</v>
      </c>
      <c r="I40" t="n">
        <v>0</v>
      </c>
      <c r="J40" t="n">
        <v>1</v>
      </c>
      <c r="K40" t="n">
        <v>0</v>
      </c>
      <c r="L40" t="n">
        <v>0</v>
      </c>
      <c r="M40" t="n">
        <v>0</v>
      </c>
      <c r="N40" t="n">
        <v>0</v>
      </c>
      <c r="O40" t="n">
        <v>1</v>
      </c>
      <c r="P40" t="n">
        <v>0</v>
      </c>
      <c r="Q40" t="n">
        <v>1</v>
      </c>
      <c r="R40" s="2" t="inlineStr">
        <is>
          <t>Vedtrappmossa</t>
        </is>
      </c>
      <c r="S40">
        <f>HYPERLINK("https://klasma.github.io/Logging_1981/artfynd/A 41570-2021 artfynd.xlsx", "A 41570-2021")</f>
        <v/>
      </c>
      <c r="T40">
        <f>HYPERLINK("https://klasma.github.io/Logging_1981/kartor/A 41570-2021 karta.png", "A 41570-2021")</f>
        <v/>
      </c>
      <c r="V40">
        <f>HYPERLINK("https://klasma.github.io/Logging_1981/klagomål/A 41570-2021 FSC-klagomål.docx", "A 41570-2021")</f>
        <v/>
      </c>
      <c r="W40">
        <f>HYPERLINK("https://klasma.github.io/Logging_1981/klagomålsmail/A 41570-2021 FSC-klagomål mail.docx", "A 41570-2021")</f>
        <v/>
      </c>
      <c r="X40">
        <f>HYPERLINK("https://klasma.github.io/Logging_1981/tillsyn/A 41570-2021 tillsynsbegäran.docx", "A 41570-2021")</f>
        <v/>
      </c>
      <c r="Y40">
        <f>HYPERLINK("https://klasma.github.io/Logging_1981/tillsynsmail/A 41570-2021 tillsynsbegäran mail.docx", "A 41570-2021")</f>
        <v/>
      </c>
    </row>
    <row r="41" ht="15" customHeight="1">
      <c r="A41" t="inlineStr">
        <is>
          <t>A 56704-2022</t>
        </is>
      </c>
      <c r="B41" s="1" t="n">
        <v>44893.78075231481</v>
      </c>
      <c r="C41" s="1" t="n">
        <v>45891</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39800-2020</t>
        </is>
      </c>
      <c r="B42" s="1" t="n">
        <v>44067</v>
      </c>
      <c r="C42" s="1" t="n">
        <v>45891</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37166-2024</t>
        </is>
      </c>
      <c r="B43" s="1" t="n">
        <v>45539</v>
      </c>
      <c r="C43" s="1" t="n">
        <v>45891</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55550-2023</t>
        </is>
      </c>
      <c r="B44" s="1" t="n">
        <v>45232</v>
      </c>
      <c r="C44" s="1" t="n">
        <v>45891</v>
      </c>
      <c r="D44" t="inlineStr">
        <is>
          <t>VÄSTMANLANDS LÄN</t>
        </is>
      </c>
      <c r="E44" t="inlineStr">
        <is>
          <t>SALA</t>
        </is>
      </c>
      <c r="G44" t="n">
        <v>9.9</v>
      </c>
      <c r="H44" t="n">
        <v>1</v>
      </c>
      <c r="I44" t="n">
        <v>0</v>
      </c>
      <c r="J44" t="n">
        <v>0</v>
      </c>
      <c r="K44" t="n">
        <v>1</v>
      </c>
      <c r="L44" t="n">
        <v>0</v>
      </c>
      <c r="M44" t="n">
        <v>0</v>
      </c>
      <c r="N44" t="n">
        <v>0</v>
      </c>
      <c r="O44" t="n">
        <v>1</v>
      </c>
      <c r="P44" t="n">
        <v>1</v>
      </c>
      <c r="Q44" t="n">
        <v>1</v>
      </c>
      <c r="R44" s="2" t="inlineStr">
        <is>
          <t>Knärot</t>
        </is>
      </c>
      <c r="S44">
        <f>HYPERLINK("https://klasma.github.io/Logging_1981/artfynd/A 55550-2023 artfynd.xlsx", "A 55550-2023")</f>
        <v/>
      </c>
      <c r="T44">
        <f>HYPERLINK("https://klasma.github.io/Logging_1981/kartor/A 55550-2023 karta.png", "A 55550-2023")</f>
        <v/>
      </c>
      <c r="U44">
        <f>HYPERLINK("https://klasma.github.io/Logging_1981/knärot/A 55550-2023 karta knärot.png", "A 55550-2023")</f>
        <v/>
      </c>
      <c r="V44">
        <f>HYPERLINK("https://klasma.github.io/Logging_1981/klagomål/A 55550-2023 FSC-klagomål.docx", "A 55550-2023")</f>
        <v/>
      </c>
      <c r="W44">
        <f>HYPERLINK("https://klasma.github.io/Logging_1981/klagomålsmail/A 55550-2023 FSC-klagomål mail.docx", "A 55550-2023")</f>
        <v/>
      </c>
      <c r="X44">
        <f>HYPERLINK("https://klasma.github.io/Logging_1981/tillsyn/A 55550-2023 tillsynsbegäran.docx", "A 55550-2023")</f>
        <v/>
      </c>
      <c r="Y44">
        <f>HYPERLINK("https://klasma.github.io/Logging_1981/tillsynsmail/A 55550-2023 tillsynsbegäran mail.docx", "A 55550-2023")</f>
        <v/>
      </c>
    </row>
    <row r="45" ht="15" customHeight="1">
      <c r="A45" t="inlineStr">
        <is>
          <t>A 60852-2024</t>
        </is>
      </c>
      <c r="B45" s="1" t="n">
        <v>45644</v>
      </c>
      <c r="C45" s="1" t="n">
        <v>45891</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43175-2023</t>
        </is>
      </c>
      <c r="B46" s="1" t="n">
        <v>45183</v>
      </c>
      <c r="C46" s="1" t="n">
        <v>45891</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22950-2025</t>
        </is>
      </c>
      <c r="B47" s="1" t="n">
        <v>45790.50728009259</v>
      </c>
      <c r="C47" s="1" t="n">
        <v>45891</v>
      </c>
      <c r="D47" t="inlineStr">
        <is>
          <t>VÄSTMANLANDS LÄN</t>
        </is>
      </c>
      <c r="E47" t="inlineStr">
        <is>
          <t>SALA</t>
        </is>
      </c>
      <c r="G47" t="n">
        <v>6.2</v>
      </c>
      <c r="H47" t="n">
        <v>1</v>
      </c>
      <c r="I47" t="n">
        <v>0</v>
      </c>
      <c r="J47" t="n">
        <v>1</v>
      </c>
      <c r="K47" t="n">
        <v>0</v>
      </c>
      <c r="L47" t="n">
        <v>0</v>
      </c>
      <c r="M47" t="n">
        <v>0</v>
      </c>
      <c r="N47" t="n">
        <v>0</v>
      </c>
      <c r="O47" t="n">
        <v>1</v>
      </c>
      <c r="P47" t="n">
        <v>0</v>
      </c>
      <c r="Q47" t="n">
        <v>1</v>
      </c>
      <c r="R47" s="2" t="inlineStr">
        <is>
          <t>Svartvit flugsnappare</t>
        </is>
      </c>
      <c r="S47">
        <f>HYPERLINK("https://klasma.github.io/Logging_1981/artfynd/A 22950-2025 artfynd.xlsx", "A 22950-2025")</f>
        <v/>
      </c>
      <c r="T47">
        <f>HYPERLINK("https://klasma.github.io/Logging_1981/kartor/A 22950-2025 karta.png", "A 22950-2025")</f>
        <v/>
      </c>
      <c r="V47">
        <f>HYPERLINK("https://klasma.github.io/Logging_1981/klagomål/A 22950-2025 FSC-klagomål.docx", "A 22950-2025")</f>
        <v/>
      </c>
      <c r="W47">
        <f>HYPERLINK("https://klasma.github.io/Logging_1981/klagomålsmail/A 22950-2025 FSC-klagomål mail.docx", "A 22950-2025")</f>
        <v/>
      </c>
      <c r="X47">
        <f>HYPERLINK("https://klasma.github.io/Logging_1981/tillsyn/A 22950-2025 tillsynsbegäran.docx", "A 22950-2025")</f>
        <v/>
      </c>
      <c r="Y47">
        <f>HYPERLINK("https://klasma.github.io/Logging_1981/tillsynsmail/A 22950-2025 tillsynsbegäran mail.docx", "A 22950-2025")</f>
        <v/>
      </c>
      <c r="Z47">
        <f>HYPERLINK("https://klasma.github.io/Logging_1981/fåglar/A 22950-2025 prioriterade fågelarter.docx", "A 22950-2025")</f>
        <v/>
      </c>
    </row>
    <row r="48" ht="15" customHeight="1">
      <c r="A48" t="inlineStr">
        <is>
          <t>A 41270-2024</t>
        </is>
      </c>
      <c r="B48" s="1" t="n">
        <v>45559</v>
      </c>
      <c r="C48" s="1" t="n">
        <v>45891</v>
      </c>
      <c r="D48" t="inlineStr">
        <is>
          <t>VÄSTMANLANDS LÄN</t>
        </is>
      </c>
      <c r="E48" t="inlineStr">
        <is>
          <t>SALA</t>
        </is>
      </c>
      <c r="G48" t="n">
        <v>15.2</v>
      </c>
      <c r="H48" t="n">
        <v>1</v>
      </c>
      <c r="I48" t="n">
        <v>0</v>
      </c>
      <c r="J48" t="n">
        <v>1</v>
      </c>
      <c r="K48" t="n">
        <v>0</v>
      </c>
      <c r="L48" t="n">
        <v>0</v>
      </c>
      <c r="M48" t="n">
        <v>0</v>
      </c>
      <c r="N48" t="n">
        <v>0</v>
      </c>
      <c r="O48" t="n">
        <v>1</v>
      </c>
      <c r="P48" t="n">
        <v>0</v>
      </c>
      <c r="Q48" t="n">
        <v>1</v>
      </c>
      <c r="R48" s="2" t="inlineStr">
        <is>
          <t>Havsörn</t>
        </is>
      </c>
      <c r="S48">
        <f>HYPERLINK("https://klasma.github.io/Logging_1981/artfynd/A 41270-2024 artfynd.xlsx", "A 41270-2024")</f>
        <v/>
      </c>
      <c r="T48">
        <f>HYPERLINK("https://klasma.github.io/Logging_1981/kartor/A 41270-2024 karta.png", "A 41270-2024")</f>
        <v/>
      </c>
      <c r="V48">
        <f>HYPERLINK("https://klasma.github.io/Logging_1981/klagomål/A 41270-2024 FSC-klagomål.docx", "A 41270-2024")</f>
        <v/>
      </c>
      <c r="W48">
        <f>HYPERLINK("https://klasma.github.io/Logging_1981/klagomålsmail/A 41270-2024 FSC-klagomål mail.docx", "A 41270-2024")</f>
        <v/>
      </c>
      <c r="X48">
        <f>HYPERLINK("https://klasma.github.io/Logging_1981/tillsyn/A 41270-2024 tillsynsbegäran.docx", "A 41270-2024")</f>
        <v/>
      </c>
      <c r="Y48">
        <f>HYPERLINK("https://klasma.github.io/Logging_1981/tillsynsmail/A 41270-2024 tillsynsbegäran mail.docx", "A 41270-2024")</f>
        <v/>
      </c>
      <c r="Z48">
        <f>HYPERLINK("https://klasma.github.io/Logging_1981/fåglar/A 41270-2024 prioriterade fågelarter.docx", "A 41270-2024")</f>
        <v/>
      </c>
    </row>
    <row r="49" ht="15" customHeight="1">
      <c r="A49" t="inlineStr">
        <is>
          <t>A 43068-2024</t>
        </is>
      </c>
      <c r="B49" s="1" t="n">
        <v>45567</v>
      </c>
      <c r="C49" s="1" t="n">
        <v>45891</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7731-2023</t>
        </is>
      </c>
      <c r="B50" s="1" t="n">
        <v>44973</v>
      </c>
      <c r="C50" s="1" t="n">
        <v>45891</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29985-2022</t>
        </is>
      </c>
      <c r="B51" s="1" t="n">
        <v>44756</v>
      </c>
      <c r="C51" s="1" t="n">
        <v>45891</v>
      </c>
      <c r="D51" t="inlineStr">
        <is>
          <t>VÄSTMANLANDS LÄN</t>
        </is>
      </c>
      <c r="E51" t="inlineStr">
        <is>
          <t>SALA</t>
        </is>
      </c>
      <c r="F51" t="inlineStr">
        <is>
          <t>Kommuner</t>
        </is>
      </c>
      <c r="G51" t="n">
        <v>1</v>
      </c>
      <c r="H51" t="n">
        <v>1</v>
      </c>
      <c r="I51" t="n">
        <v>1</v>
      </c>
      <c r="J51" t="n">
        <v>0</v>
      </c>
      <c r="K51" t="n">
        <v>0</v>
      </c>
      <c r="L51" t="n">
        <v>0</v>
      </c>
      <c r="M51" t="n">
        <v>0</v>
      </c>
      <c r="N51" t="n">
        <v>0</v>
      </c>
      <c r="O51" t="n">
        <v>0</v>
      </c>
      <c r="P51" t="n">
        <v>0</v>
      </c>
      <c r="Q51" t="n">
        <v>1</v>
      </c>
      <c r="R51" s="2" t="inlineStr">
        <is>
          <t>Skogsknipprot</t>
        </is>
      </c>
      <c r="S51">
        <f>HYPERLINK("https://klasma.github.io/Logging_1981/artfynd/A 29985-2022 artfynd.xlsx", "A 29985-2022")</f>
        <v/>
      </c>
      <c r="T51">
        <f>HYPERLINK("https://klasma.github.io/Logging_1981/kartor/A 29985-2022 karta.png", "A 29985-2022")</f>
        <v/>
      </c>
      <c r="V51">
        <f>HYPERLINK("https://klasma.github.io/Logging_1981/klagomål/A 29985-2022 FSC-klagomål.docx", "A 29985-2022")</f>
        <v/>
      </c>
      <c r="W51">
        <f>HYPERLINK("https://klasma.github.io/Logging_1981/klagomålsmail/A 29985-2022 FSC-klagomål mail.docx", "A 29985-2022")</f>
        <v/>
      </c>
      <c r="X51">
        <f>HYPERLINK("https://klasma.github.io/Logging_1981/tillsyn/A 29985-2022 tillsynsbegäran.docx", "A 29985-2022")</f>
        <v/>
      </c>
      <c r="Y51">
        <f>HYPERLINK("https://klasma.github.io/Logging_1981/tillsynsmail/A 29985-2022 tillsynsbegäran mail.docx", "A 29985-2022")</f>
        <v/>
      </c>
    </row>
    <row r="52" ht="15" customHeight="1">
      <c r="A52" t="inlineStr">
        <is>
          <t>A 12509-2023</t>
        </is>
      </c>
      <c r="B52" s="1" t="n">
        <v>44999.95988425926</v>
      </c>
      <c r="C52" s="1" t="n">
        <v>45891</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7919-2022</t>
        </is>
      </c>
      <c r="B53" s="1" t="n">
        <v>44608</v>
      </c>
      <c r="C53" s="1" t="n">
        <v>45891</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42352-2020</t>
        </is>
      </c>
      <c r="B54" s="1" t="n">
        <v>44076</v>
      </c>
      <c r="C54" s="1" t="n">
        <v>45891</v>
      </c>
      <c r="D54" t="inlineStr">
        <is>
          <t>VÄSTMANLANDS LÄN</t>
        </is>
      </c>
      <c r="E54" t="inlineStr">
        <is>
          <t>SALA</t>
        </is>
      </c>
      <c r="G54" t="n">
        <v>8.6</v>
      </c>
      <c r="H54" t="n">
        <v>1</v>
      </c>
      <c r="I54" t="n">
        <v>0</v>
      </c>
      <c r="J54" t="n">
        <v>0</v>
      </c>
      <c r="K54" t="n">
        <v>0</v>
      </c>
      <c r="L54" t="n">
        <v>0</v>
      </c>
      <c r="M54" t="n">
        <v>0</v>
      </c>
      <c r="N54" t="n">
        <v>0</v>
      </c>
      <c r="O54" t="n">
        <v>0</v>
      </c>
      <c r="P54" t="n">
        <v>0</v>
      </c>
      <c r="Q54" t="n">
        <v>1</v>
      </c>
      <c r="R54" s="2" t="inlineStr">
        <is>
          <t>Mattlummer</t>
        </is>
      </c>
      <c r="S54">
        <f>HYPERLINK("https://klasma.github.io/Logging_1981/artfynd/A 42352-2020 artfynd.xlsx", "A 42352-2020")</f>
        <v/>
      </c>
      <c r="T54">
        <f>HYPERLINK("https://klasma.github.io/Logging_1981/kartor/A 42352-2020 karta.png", "A 42352-2020")</f>
        <v/>
      </c>
      <c r="V54">
        <f>HYPERLINK("https://klasma.github.io/Logging_1981/klagomål/A 42352-2020 FSC-klagomål.docx", "A 42352-2020")</f>
        <v/>
      </c>
      <c r="W54">
        <f>HYPERLINK("https://klasma.github.io/Logging_1981/klagomålsmail/A 42352-2020 FSC-klagomål mail.docx", "A 42352-2020")</f>
        <v/>
      </c>
      <c r="X54">
        <f>HYPERLINK("https://klasma.github.io/Logging_1981/tillsyn/A 42352-2020 tillsynsbegäran.docx", "A 42352-2020")</f>
        <v/>
      </c>
      <c r="Y54">
        <f>HYPERLINK("https://klasma.github.io/Logging_1981/tillsynsmail/A 42352-2020 tillsynsbegäran mail.docx", "A 42352-2020")</f>
        <v/>
      </c>
    </row>
    <row r="55" ht="15" customHeight="1">
      <c r="A55" t="inlineStr">
        <is>
          <t>A 32594-2025</t>
        </is>
      </c>
      <c r="B55" s="1" t="n">
        <v>45838</v>
      </c>
      <c r="C55" s="1" t="n">
        <v>45891</v>
      </c>
      <c r="D55" t="inlineStr">
        <is>
          <t>VÄSTMANLANDS LÄN</t>
        </is>
      </c>
      <c r="E55" t="inlineStr">
        <is>
          <t>SALA</t>
        </is>
      </c>
      <c r="F55" t="inlineStr">
        <is>
          <t>Bergvik skog öst AB</t>
        </is>
      </c>
      <c r="G55" t="n">
        <v>0.9</v>
      </c>
      <c r="H55" t="n">
        <v>1</v>
      </c>
      <c r="I55" t="n">
        <v>0</v>
      </c>
      <c r="J55" t="n">
        <v>0</v>
      </c>
      <c r="K55" t="n">
        <v>0</v>
      </c>
      <c r="L55" t="n">
        <v>0</v>
      </c>
      <c r="M55" t="n">
        <v>0</v>
      </c>
      <c r="N55" t="n">
        <v>0</v>
      </c>
      <c r="O55" t="n">
        <v>0</v>
      </c>
      <c r="P55" t="n">
        <v>0</v>
      </c>
      <c r="Q55" t="n">
        <v>1</v>
      </c>
      <c r="R55" s="2" t="inlineStr">
        <is>
          <t>Blåsippa</t>
        </is>
      </c>
      <c r="S55">
        <f>HYPERLINK("https://klasma.github.io/Logging_1981/artfynd/A 32594-2025 artfynd.xlsx", "A 32594-2025")</f>
        <v/>
      </c>
      <c r="T55">
        <f>HYPERLINK("https://klasma.github.io/Logging_1981/kartor/A 32594-2025 karta.png", "A 32594-2025")</f>
        <v/>
      </c>
      <c r="V55">
        <f>HYPERLINK("https://klasma.github.io/Logging_1981/klagomål/A 32594-2025 FSC-klagomål.docx", "A 32594-2025")</f>
        <v/>
      </c>
      <c r="W55">
        <f>HYPERLINK("https://klasma.github.io/Logging_1981/klagomålsmail/A 32594-2025 FSC-klagomål mail.docx", "A 32594-2025")</f>
        <v/>
      </c>
      <c r="X55">
        <f>HYPERLINK("https://klasma.github.io/Logging_1981/tillsyn/A 32594-2025 tillsynsbegäran.docx", "A 32594-2025")</f>
        <v/>
      </c>
      <c r="Y55">
        <f>HYPERLINK("https://klasma.github.io/Logging_1981/tillsynsmail/A 32594-2025 tillsynsbegäran mail.docx", "A 32594-2025")</f>
        <v/>
      </c>
    </row>
    <row r="56" ht="15" customHeight="1">
      <c r="A56" t="inlineStr">
        <is>
          <t>A 38255-2025</t>
        </is>
      </c>
      <c r="B56" s="1" t="n">
        <v>45883.38020833334</v>
      </c>
      <c r="C56" s="1" t="n">
        <v>45891</v>
      </c>
      <c r="D56" t="inlineStr">
        <is>
          <t>VÄSTMANLANDS LÄN</t>
        </is>
      </c>
      <c r="E56" t="inlineStr">
        <is>
          <t>SALA</t>
        </is>
      </c>
      <c r="G56" t="n">
        <v>0.9</v>
      </c>
      <c r="H56" t="n">
        <v>1</v>
      </c>
      <c r="I56" t="n">
        <v>0</v>
      </c>
      <c r="J56" t="n">
        <v>0</v>
      </c>
      <c r="K56" t="n">
        <v>1</v>
      </c>
      <c r="L56" t="n">
        <v>0</v>
      </c>
      <c r="M56" t="n">
        <v>0</v>
      </c>
      <c r="N56" t="n">
        <v>0</v>
      </c>
      <c r="O56" t="n">
        <v>1</v>
      </c>
      <c r="P56" t="n">
        <v>1</v>
      </c>
      <c r="Q56" t="n">
        <v>1</v>
      </c>
      <c r="R56" s="2" t="inlineStr">
        <is>
          <t>Knärot</t>
        </is>
      </c>
      <c r="S56">
        <f>HYPERLINK("https://klasma.github.io/Logging_1981/artfynd/A 38255-2025 artfynd.xlsx", "A 38255-2025")</f>
        <v/>
      </c>
      <c r="T56">
        <f>HYPERLINK("https://klasma.github.io/Logging_1981/kartor/A 38255-2025 karta.png", "A 38255-2025")</f>
        <v/>
      </c>
      <c r="U56">
        <f>HYPERLINK("https://klasma.github.io/Logging_1981/knärot/A 38255-2025 karta knärot.png", "A 38255-2025")</f>
        <v/>
      </c>
      <c r="V56">
        <f>HYPERLINK("https://klasma.github.io/Logging_1981/klagomål/A 38255-2025 FSC-klagomål.docx", "A 38255-2025")</f>
        <v/>
      </c>
      <c r="W56">
        <f>HYPERLINK("https://klasma.github.io/Logging_1981/klagomålsmail/A 38255-2025 FSC-klagomål mail.docx", "A 38255-2025")</f>
        <v/>
      </c>
      <c r="X56">
        <f>HYPERLINK("https://klasma.github.io/Logging_1981/tillsyn/A 38255-2025 tillsynsbegäran.docx", "A 38255-2025")</f>
        <v/>
      </c>
      <c r="Y56">
        <f>HYPERLINK("https://klasma.github.io/Logging_1981/tillsynsmail/A 38255-2025 tillsynsbegäran mail.docx", "A 38255-2025")</f>
        <v/>
      </c>
    </row>
    <row r="57" ht="15" customHeight="1">
      <c r="A57" t="inlineStr">
        <is>
          <t>A 56014-2020</t>
        </is>
      </c>
      <c r="B57" s="1" t="n">
        <v>44132</v>
      </c>
      <c r="C57" s="1" t="n">
        <v>45891</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29727-2023</t>
        </is>
      </c>
      <c r="B58" s="1" t="n">
        <v>45107</v>
      </c>
      <c r="C58" s="1" t="n">
        <v>45891</v>
      </c>
      <c r="D58" t="inlineStr">
        <is>
          <t>VÄSTMANLANDS LÄN</t>
        </is>
      </c>
      <c r="E58" t="inlineStr">
        <is>
          <t>SALA</t>
        </is>
      </c>
      <c r="G58" t="n">
        <v>1.9</v>
      </c>
      <c r="H58" t="n">
        <v>0</v>
      </c>
      <c r="I58" t="n">
        <v>0</v>
      </c>
      <c r="J58" t="n">
        <v>1</v>
      </c>
      <c r="K58" t="n">
        <v>0</v>
      </c>
      <c r="L58" t="n">
        <v>0</v>
      </c>
      <c r="M58" t="n">
        <v>0</v>
      </c>
      <c r="N58" t="n">
        <v>0</v>
      </c>
      <c r="O58" t="n">
        <v>1</v>
      </c>
      <c r="P58" t="n">
        <v>0</v>
      </c>
      <c r="Q58" t="n">
        <v>1</v>
      </c>
      <c r="R58" s="2" t="inlineStr">
        <is>
          <t>Vedtrappmossa</t>
        </is>
      </c>
      <c r="S58">
        <f>HYPERLINK("https://klasma.github.io/Logging_1981/artfynd/A 29727-2023 artfynd.xlsx", "A 29727-2023")</f>
        <v/>
      </c>
      <c r="T58">
        <f>HYPERLINK("https://klasma.github.io/Logging_1981/kartor/A 29727-2023 karta.png", "A 29727-2023")</f>
        <v/>
      </c>
      <c r="V58">
        <f>HYPERLINK("https://klasma.github.io/Logging_1981/klagomål/A 29727-2023 FSC-klagomål.docx", "A 29727-2023")</f>
        <v/>
      </c>
      <c r="W58">
        <f>HYPERLINK("https://klasma.github.io/Logging_1981/klagomålsmail/A 29727-2023 FSC-klagomål mail.docx", "A 29727-2023")</f>
        <v/>
      </c>
      <c r="X58">
        <f>HYPERLINK("https://klasma.github.io/Logging_1981/tillsyn/A 29727-2023 tillsynsbegäran.docx", "A 29727-2023")</f>
        <v/>
      </c>
      <c r="Y58">
        <f>HYPERLINK("https://klasma.github.io/Logging_1981/tillsynsmail/A 29727-2023 tillsynsbegäran mail.docx", "A 29727-2023")</f>
        <v/>
      </c>
    </row>
    <row r="59" ht="15" customHeight="1">
      <c r="A59" t="inlineStr">
        <is>
          <t>A 22350-2024</t>
        </is>
      </c>
      <c r="B59" s="1" t="n">
        <v>45446</v>
      </c>
      <c r="C59" s="1" t="n">
        <v>45891</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Blåsippa</t>
        </is>
      </c>
      <c r="S59">
        <f>HYPERLINK("https://klasma.github.io/Logging_1981/artfynd/A 22350-2024 artfynd.xlsx", "A 22350-2024")</f>
        <v/>
      </c>
      <c r="T59">
        <f>HYPERLINK("https://klasma.github.io/Logging_1981/kartor/A 22350-2024 karta.png", "A 22350-2024")</f>
        <v/>
      </c>
      <c r="V59">
        <f>HYPERLINK("https://klasma.github.io/Logging_1981/klagomål/A 22350-2024 FSC-klagomål.docx", "A 22350-2024")</f>
        <v/>
      </c>
      <c r="W59">
        <f>HYPERLINK("https://klasma.github.io/Logging_1981/klagomålsmail/A 22350-2024 FSC-klagomål mail.docx", "A 22350-2024")</f>
        <v/>
      </c>
      <c r="X59">
        <f>HYPERLINK("https://klasma.github.io/Logging_1981/tillsyn/A 22350-2024 tillsynsbegäran.docx", "A 22350-2024")</f>
        <v/>
      </c>
      <c r="Y59">
        <f>HYPERLINK("https://klasma.github.io/Logging_1981/tillsynsmail/A 22350-2024 tillsynsbegäran mail.docx", "A 22350-2024")</f>
        <v/>
      </c>
    </row>
    <row r="60" ht="15" customHeight="1">
      <c r="A60" t="inlineStr">
        <is>
          <t>A 58314-2020</t>
        </is>
      </c>
      <c r="B60" s="1" t="n">
        <v>44145</v>
      </c>
      <c r="C60" s="1" t="n">
        <v>45891</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45891</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45891</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45891</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45891</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45891</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45891</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45891</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45891</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45891</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45891</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45891</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45891</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45891</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45891</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45891</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45891</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45891</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45891</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45891</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45891</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45891</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45891</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45891</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45891</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45891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45891</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45891</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45891</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45891</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45891</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45891</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45891</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45891</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45891</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45891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45891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45891</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45891</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45891</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45891</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45891</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45891</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45891</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45891</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45891</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45891</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45891</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4237-2022</t>
        </is>
      </c>
      <c r="B108" s="1" t="n">
        <v>44588.64377314815</v>
      </c>
      <c r="C108" s="1" t="n">
        <v>45891</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45891</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45891</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44318-2022</t>
        </is>
      </c>
      <c r="B111" s="1" t="n">
        <v>44839.64516203704</v>
      </c>
      <c r="C111" s="1" t="n">
        <v>45891</v>
      </c>
      <c r="D111" t="inlineStr">
        <is>
          <t>VÄSTMANLANDS LÄN</t>
        </is>
      </c>
      <c r="E111" t="inlineStr">
        <is>
          <t>SALA</t>
        </is>
      </c>
      <c r="G111" t="n">
        <v>0.6</v>
      </c>
      <c r="H111" t="n">
        <v>0</v>
      </c>
      <c r="I111" t="n">
        <v>0</v>
      </c>
      <c r="J111" t="n">
        <v>0</v>
      </c>
      <c r="K111" t="n">
        <v>0</v>
      </c>
      <c r="L111" t="n">
        <v>0</v>
      </c>
      <c r="M111" t="n">
        <v>0</v>
      </c>
      <c r="N111" t="n">
        <v>0</v>
      </c>
      <c r="O111" t="n">
        <v>0</v>
      </c>
      <c r="P111" t="n">
        <v>0</v>
      </c>
      <c r="Q111" t="n">
        <v>0</v>
      </c>
      <c r="R111" s="2" t="inlineStr"/>
    </row>
    <row r="112" ht="15" customHeight="1">
      <c r="A112" t="inlineStr">
        <is>
          <t>A 46965-2020</t>
        </is>
      </c>
      <c r="B112" s="1" t="n">
        <v>44096</v>
      </c>
      <c r="C112" s="1" t="n">
        <v>45891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45891</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45891</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18378-2021</t>
        </is>
      </c>
      <c r="B115" s="1" t="n">
        <v>44305</v>
      </c>
      <c r="C115" s="1" t="n">
        <v>45891</v>
      </c>
      <c r="D115" t="inlineStr">
        <is>
          <t>VÄSTMANLANDS LÄN</t>
        </is>
      </c>
      <c r="E115" t="inlineStr">
        <is>
          <t>SALA</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45891</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45891</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18259-2021</t>
        </is>
      </c>
      <c r="B118" s="1" t="n">
        <v>44305</v>
      </c>
      <c r="C118" s="1" t="n">
        <v>45891</v>
      </c>
      <c r="D118" t="inlineStr">
        <is>
          <t>VÄSTMANLANDS LÄN</t>
        </is>
      </c>
      <c r="E118" t="inlineStr">
        <is>
          <t>SALA</t>
        </is>
      </c>
      <c r="G118" t="n">
        <v>0</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45891</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45891</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45891</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45891</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31904-2021</t>
        </is>
      </c>
      <c r="B123" s="1" t="n">
        <v>44370.46853009259</v>
      </c>
      <c r="C123" s="1" t="n">
        <v>45891</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61897-2021</t>
        </is>
      </c>
      <c r="B124" s="1" t="n">
        <v>44502</v>
      </c>
      <c r="C124" s="1" t="n">
        <v>45891</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44217-2022</t>
        </is>
      </c>
      <c r="B125" s="1" t="n">
        <v>44839.49953703704</v>
      </c>
      <c r="C125" s="1" t="n">
        <v>45891</v>
      </c>
      <c r="D125" t="inlineStr">
        <is>
          <t>VÄSTMANLANDS LÄN</t>
        </is>
      </c>
      <c r="E125" t="inlineStr">
        <is>
          <t>SALA</t>
        </is>
      </c>
      <c r="G125" t="n">
        <v>0.4</v>
      </c>
      <c r="H125" t="n">
        <v>0</v>
      </c>
      <c r="I125" t="n">
        <v>0</v>
      </c>
      <c r="J125" t="n">
        <v>0</v>
      </c>
      <c r="K125" t="n">
        <v>0</v>
      </c>
      <c r="L125" t="n">
        <v>0</v>
      </c>
      <c r="M125" t="n">
        <v>0</v>
      </c>
      <c r="N125" t="n">
        <v>0</v>
      </c>
      <c r="O125" t="n">
        <v>0</v>
      </c>
      <c r="P125" t="n">
        <v>0</v>
      </c>
      <c r="Q125" t="n">
        <v>0</v>
      </c>
      <c r="R125" s="2" t="inlineStr"/>
    </row>
    <row r="126" ht="15" customHeight="1">
      <c r="A126" t="inlineStr">
        <is>
          <t>A 43482-2020</t>
        </is>
      </c>
      <c r="B126" s="1" t="n">
        <v>44082</v>
      </c>
      <c r="C126" s="1" t="n">
        <v>45891</v>
      </c>
      <c r="D126" t="inlineStr">
        <is>
          <t>VÄSTMANLANDS LÄN</t>
        </is>
      </c>
      <c r="E126" t="inlineStr">
        <is>
          <t>SALA</t>
        </is>
      </c>
      <c r="G126" t="n">
        <v>4.7</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45891</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44950-2020</t>
        </is>
      </c>
      <c r="B128" s="1" t="n">
        <v>44088</v>
      </c>
      <c r="C128" s="1" t="n">
        <v>45891</v>
      </c>
      <c r="D128" t="inlineStr">
        <is>
          <t>VÄSTMANLANDS LÄN</t>
        </is>
      </c>
      <c r="E128" t="inlineStr">
        <is>
          <t>SALA</t>
        </is>
      </c>
      <c r="G128" t="n">
        <v>9</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45891</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45891</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45891</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44722.37339120371</v>
      </c>
      <c r="C132" s="1" t="n">
        <v>45891</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40113-2022</t>
        </is>
      </c>
      <c r="B133" s="1" t="n">
        <v>44819</v>
      </c>
      <c r="C133" s="1" t="n">
        <v>45891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70218-2021</t>
        </is>
      </c>
      <c r="B134" s="1" t="n">
        <v>44535.6571412037</v>
      </c>
      <c r="C134" s="1" t="n">
        <v>45891</v>
      </c>
      <c r="D134" t="inlineStr">
        <is>
          <t>VÄSTMANLANDS LÄN</t>
        </is>
      </c>
      <c r="E134" t="inlineStr">
        <is>
          <t>SALA</t>
        </is>
      </c>
      <c r="G134" t="n">
        <v>0.4</v>
      </c>
      <c r="H134" t="n">
        <v>0</v>
      </c>
      <c r="I134" t="n">
        <v>0</v>
      </c>
      <c r="J134" t="n">
        <v>0</v>
      </c>
      <c r="K134" t="n">
        <v>0</v>
      </c>
      <c r="L134" t="n">
        <v>0</v>
      </c>
      <c r="M134" t="n">
        <v>0</v>
      </c>
      <c r="N134" t="n">
        <v>0</v>
      </c>
      <c r="O134" t="n">
        <v>0</v>
      </c>
      <c r="P134" t="n">
        <v>0</v>
      </c>
      <c r="Q134" t="n">
        <v>0</v>
      </c>
      <c r="R134" s="2" t="inlineStr"/>
    </row>
    <row r="135" ht="15" customHeight="1">
      <c r="A135" t="inlineStr">
        <is>
          <t>A 44652-2020</t>
        </is>
      </c>
      <c r="B135" s="1" t="n">
        <v>44085</v>
      </c>
      <c r="C135" s="1" t="n">
        <v>45891</v>
      </c>
      <c r="D135" t="inlineStr">
        <is>
          <t>VÄSTMANLANDS LÄN</t>
        </is>
      </c>
      <c r="E135" t="inlineStr">
        <is>
          <t>SALA</t>
        </is>
      </c>
      <c r="G135" t="n">
        <v>1.8</v>
      </c>
      <c r="H135" t="n">
        <v>0</v>
      </c>
      <c r="I135" t="n">
        <v>0</v>
      </c>
      <c r="J135" t="n">
        <v>0</v>
      </c>
      <c r="K135" t="n">
        <v>0</v>
      </c>
      <c r="L135" t="n">
        <v>0</v>
      </c>
      <c r="M135" t="n">
        <v>0</v>
      </c>
      <c r="N135" t="n">
        <v>0</v>
      </c>
      <c r="O135" t="n">
        <v>0</v>
      </c>
      <c r="P135" t="n">
        <v>0</v>
      </c>
      <c r="Q135" t="n">
        <v>0</v>
      </c>
      <c r="R135" s="2" t="inlineStr"/>
    </row>
    <row r="136" ht="15" customHeight="1">
      <c r="A136" t="inlineStr">
        <is>
          <t>A 3204-2022</t>
        </is>
      </c>
      <c r="B136" s="1" t="n">
        <v>44582</v>
      </c>
      <c r="C136" s="1" t="n">
        <v>45891</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30915-2021</t>
        </is>
      </c>
      <c r="B137" s="1" t="n">
        <v>44365</v>
      </c>
      <c r="C137" s="1" t="n">
        <v>45891</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30918-2021</t>
        </is>
      </c>
      <c r="B138" s="1" t="n">
        <v>44365.60569444444</v>
      </c>
      <c r="C138" s="1" t="n">
        <v>45891</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22562-2022</t>
        </is>
      </c>
      <c r="B139" s="1" t="n">
        <v>44713</v>
      </c>
      <c r="C139" s="1" t="n">
        <v>45891</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30904-2021</t>
        </is>
      </c>
      <c r="B140" s="1" t="n">
        <v>44365.5983449074</v>
      </c>
      <c r="C140" s="1" t="n">
        <v>45891</v>
      </c>
      <c r="D140" t="inlineStr">
        <is>
          <t>VÄSTMANLANDS LÄN</t>
        </is>
      </c>
      <c r="E140" t="inlineStr">
        <is>
          <t>SALA</t>
        </is>
      </c>
      <c r="G140" t="n">
        <v>1.9</v>
      </c>
      <c r="H140" t="n">
        <v>0</v>
      </c>
      <c r="I140" t="n">
        <v>0</v>
      </c>
      <c r="J140" t="n">
        <v>0</v>
      </c>
      <c r="K140" t="n">
        <v>0</v>
      </c>
      <c r="L140" t="n">
        <v>0</v>
      </c>
      <c r="M140" t="n">
        <v>0</v>
      </c>
      <c r="N140" t="n">
        <v>0</v>
      </c>
      <c r="O140" t="n">
        <v>0</v>
      </c>
      <c r="P140" t="n">
        <v>0</v>
      </c>
      <c r="Q140" t="n">
        <v>0</v>
      </c>
      <c r="R140" s="2" t="inlineStr"/>
    </row>
    <row r="141" ht="15" customHeight="1">
      <c r="A141" t="inlineStr">
        <is>
          <t>A 29233-2022</t>
        </is>
      </c>
      <c r="B141" s="1" t="n">
        <v>44750</v>
      </c>
      <c r="C141" s="1" t="n">
        <v>45891</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45891</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51596-2022</t>
        </is>
      </c>
      <c r="B143" s="1" t="n">
        <v>44871</v>
      </c>
      <c r="C143" s="1" t="n">
        <v>45891</v>
      </c>
      <c r="D143" t="inlineStr">
        <is>
          <t>VÄSTMANLANDS LÄN</t>
        </is>
      </c>
      <c r="E143" t="inlineStr">
        <is>
          <t>SALA</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66508-2021</t>
        </is>
      </c>
      <c r="B144" s="1" t="n">
        <v>44519.33401620371</v>
      </c>
      <c r="C144" s="1" t="n">
        <v>45891</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31452-2021</t>
        </is>
      </c>
      <c r="B145" s="1" t="n">
        <v>44369</v>
      </c>
      <c r="C145" s="1" t="n">
        <v>45891</v>
      </c>
      <c r="D145" t="inlineStr">
        <is>
          <t>VÄSTMANLANDS LÄN</t>
        </is>
      </c>
      <c r="E145" t="inlineStr">
        <is>
          <t>SALA</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60951-2021</t>
        </is>
      </c>
      <c r="B146" s="1" t="n">
        <v>44497.51435185185</v>
      </c>
      <c r="C146" s="1" t="n">
        <v>45891</v>
      </c>
      <c r="D146" t="inlineStr">
        <is>
          <t>VÄSTMANLANDS LÄN</t>
        </is>
      </c>
      <c r="E146" t="inlineStr">
        <is>
          <t>SALA</t>
        </is>
      </c>
      <c r="G146" t="n">
        <v>1.4</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44615.47800925926</v>
      </c>
      <c r="C147" s="1" t="n">
        <v>45891</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22811-2022</t>
        </is>
      </c>
      <c r="B148" s="1" t="n">
        <v>44715</v>
      </c>
      <c r="C148" s="1" t="n">
        <v>45891</v>
      </c>
      <c r="D148" t="inlineStr">
        <is>
          <t>VÄSTMANLANDS LÄN</t>
        </is>
      </c>
      <c r="E148" t="inlineStr">
        <is>
          <t>SALA</t>
        </is>
      </c>
      <c r="G148" t="n">
        <v>5</v>
      </c>
      <c r="H148" t="n">
        <v>0</v>
      </c>
      <c r="I148" t="n">
        <v>0</v>
      </c>
      <c r="J148" t="n">
        <v>0</v>
      </c>
      <c r="K148" t="n">
        <v>0</v>
      </c>
      <c r="L148" t="n">
        <v>0</v>
      </c>
      <c r="M148" t="n">
        <v>0</v>
      </c>
      <c r="N148" t="n">
        <v>0</v>
      </c>
      <c r="O148" t="n">
        <v>0</v>
      </c>
      <c r="P148" t="n">
        <v>0</v>
      </c>
      <c r="Q148" t="n">
        <v>0</v>
      </c>
      <c r="R148" s="2" t="inlineStr"/>
    </row>
    <row r="149" ht="15" customHeight="1">
      <c r="A149" t="inlineStr">
        <is>
          <t>A 65213-2021</t>
        </is>
      </c>
      <c r="B149" s="1" t="n">
        <v>44515</v>
      </c>
      <c r="C149" s="1" t="n">
        <v>45891</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29002-2022</t>
        </is>
      </c>
      <c r="B150" s="1" t="n">
        <v>44749</v>
      </c>
      <c r="C150" s="1" t="n">
        <v>45891</v>
      </c>
      <c r="D150" t="inlineStr">
        <is>
          <t>VÄSTMANLANDS LÄN</t>
        </is>
      </c>
      <c r="E150" t="inlineStr">
        <is>
          <t>SALA</t>
        </is>
      </c>
      <c r="G150" t="n">
        <v>5.4</v>
      </c>
      <c r="H150" t="n">
        <v>0</v>
      </c>
      <c r="I150" t="n">
        <v>0</v>
      </c>
      <c r="J150" t="n">
        <v>0</v>
      </c>
      <c r="K150" t="n">
        <v>0</v>
      </c>
      <c r="L150" t="n">
        <v>0</v>
      </c>
      <c r="M150" t="n">
        <v>0</v>
      </c>
      <c r="N150" t="n">
        <v>0</v>
      </c>
      <c r="O150" t="n">
        <v>0</v>
      </c>
      <c r="P150" t="n">
        <v>0</v>
      </c>
      <c r="Q150" t="n">
        <v>0</v>
      </c>
      <c r="R150" s="2" t="inlineStr"/>
    </row>
    <row r="151" ht="15" customHeight="1">
      <c r="A151" t="inlineStr">
        <is>
          <t>A 23181-2022</t>
        </is>
      </c>
      <c r="B151" s="1" t="n">
        <v>44719.79537037037</v>
      </c>
      <c r="C151" s="1" t="n">
        <v>45891</v>
      </c>
      <c r="D151" t="inlineStr">
        <is>
          <t>VÄSTMANLANDS LÄN</t>
        </is>
      </c>
      <c r="E151" t="inlineStr">
        <is>
          <t>SALA</t>
        </is>
      </c>
      <c r="G151" t="n">
        <v>0.8</v>
      </c>
      <c r="H151" t="n">
        <v>0</v>
      </c>
      <c r="I151" t="n">
        <v>0</v>
      </c>
      <c r="J151" t="n">
        <v>0</v>
      </c>
      <c r="K151" t="n">
        <v>0</v>
      </c>
      <c r="L151" t="n">
        <v>0</v>
      </c>
      <c r="M151" t="n">
        <v>0</v>
      </c>
      <c r="N151" t="n">
        <v>0</v>
      </c>
      <c r="O151" t="n">
        <v>0</v>
      </c>
      <c r="P151" t="n">
        <v>0</v>
      </c>
      <c r="Q151" t="n">
        <v>0</v>
      </c>
      <c r="R151" s="2" t="inlineStr"/>
    </row>
    <row r="152" ht="15" customHeight="1">
      <c r="A152" t="inlineStr">
        <is>
          <t>A 65860-2021</t>
        </is>
      </c>
      <c r="B152" s="1" t="n">
        <v>44517.38163194444</v>
      </c>
      <c r="C152" s="1" t="n">
        <v>45891</v>
      </c>
      <c r="D152" t="inlineStr">
        <is>
          <t>VÄSTMANLANDS LÄN</t>
        </is>
      </c>
      <c r="E152" t="inlineStr">
        <is>
          <t>SALA</t>
        </is>
      </c>
      <c r="G152" t="n">
        <v>0.9</v>
      </c>
      <c r="H152" t="n">
        <v>0</v>
      </c>
      <c r="I152" t="n">
        <v>0</v>
      </c>
      <c r="J152" t="n">
        <v>0</v>
      </c>
      <c r="K152" t="n">
        <v>0</v>
      </c>
      <c r="L152" t="n">
        <v>0</v>
      </c>
      <c r="M152" t="n">
        <v>0</v>
      </c>
      <c r="N152" t="n">
        <v>0</v>
      </c>
      <c r="O152" t="n">
        <v>0</v>
      </c>
      <c r="P152" t="n">
        <v>0</v>
      </c>
      <c r="Q152" t="n">
        <v>0</v>
      </c>
      <c r="R152" s="2" t="inlineStr"/>
    </row>
    <row r="153" ht="15" customHeight="1">
      <c r="A153" t="inlineStr">
        <is>
          <t>A 65353-2021</t>
        </is>
      </c>
      <c r="B153" s="1" t="n">
        <v>44515</v>
      </c>
      <c r="C153" s="1" t="n">
        <v>45891</v>
      </c>
      <c r="D153" t="inlineStr">
        <is>
          <t>VÄSTMANLANDS LÄN</t>
        </is>
      </c>
      <c r="E153" t="inlineStr">
        <is>
          <t>SALA</t>
        </is>
      </c>
      <c r="G153" t="n">
        <v>1.5</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45891</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45891</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45891</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45015-2022</t>
        </is>
      </c>
      <c r="B157" s="1" t="n">
        <v>44841.63766203704</v>
      </c>
      <c r="C157" s="1" t="n">
        <v>45891</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66830-2021</t>
        </is>
      </c>
      <c r="B158" s="1" t="n">
        <v>44522.40886574074</v>
      </c>
      <c r="C158" s="1" t="n">
        <v>45891</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45891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8130-2022</t>
        </is>
      </c>
      <c r="B160" s="1" t="n">
        <v>44609.5984837963</v>
      </c>
      <c r="C160" s="1" t="n">
        <v>45891</v>
      </c>
      <c r="D160" t="inlineStr">
        <is>
          <t>VÄSTMANLANDS LÄN</t>
        </is>
      </c>
      <c r="E160" t="inlineStr">
        <is>
          <t>SALA</t>
        </is>
      </c>
      <c r="G160" t="n">
        <v>3.5</v>
      </c>
      <c r="H160" t="n">
        <v>0</v>
      </c>
      <c r="I160" t="n">
        <v>0</v>
      </c>
      <c r="J160" t="n">
        <v>0</v>
      </c>
      <c r="K160" t="n">
        <v>0</v>
      </c>
      <c r="L160" t="n">
        <v>0</v>
      </c>
      <c r="M160" t="n">
        <v>0</v>
      </c>
      <c r="N160" t="n">
        <v>0</v>
      </c>
      <c r="O160" t="n">
        <v>0</v>
      </c>
      <c r="P160" t="n">
        <v>0</v>
      </c>
      <c r="Q160" t="n">
        <v>0</v>
      </c>
      <c r="R160" s="2" t="inlineStr"/>
    </row>
    <row r="161" ht="15" customHeight="1">
      <c r="A161" t="inlineStr">
        <is>
          <t>A 58912-2020</t>
        </is>
      </c>
      <c r="B161" s="1" t="n">
        <v>44146</v>
      </c>
      <c r="C161" s="1" t="n">
        <v>45891</v>
      </c>
      <c r="D161" t="inlineStr">
        <is>
          <t>VÄSTMANLANDS LÄN</t>
        </is>
      </c>
      <c r="E161" t="inlineStr">
        <is>
          <t>SALA</t>
        </is>
      </c>
      <c r="G161" t="n">
        <v>1.1</v>
      </c>
      <c r="H161" t="n">
        <v>0</v>
      </c>
      <c r="I161" t="n">
        <v>0</v>
      </c>
      <c r="J161" t="n">
        <v>0</v>
      </c>
      <c r="K161" t="n">
        <v>0</v>
      </c>
      <c r="L161" t="n">
        <v>0</v>
      </c>
      <c r="M161" t="n">
        <v>0</v>
      </c>
      <c r="N161" t="n">
        <v>0</v>
      </c>
      <c r="O161" t="n">
        <v>0</v>
      </c>
      <c r="P161" t="n">
        <v>0</v>
      </c>
      <c r="Q161" t="n">
        <v>0</v>
      </c>
      <c r="R161" s="2" t="inlineStr"/>
    </row>
    <row r="162" ht="15" customHeight="1">
      <c r="A162" t="inlineStr">
        <is>
          <t>A 28402-2022</t>
        </is>
      </c>
      <c r="B162" s="1" t="n">
        <v>44747</v>
      </c>
      <c r="C162" s="1" t="n">
        <v>45891</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65818-2021</t>
        </is>
      </c>
      <c r="B163" s="1" t="n">
        <v>44517</v>
      </c>
      <c r="C163" s="1" t="n">
        <v>45891</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40094-2022</t>
        </is>
      </c>
      <c r="B164" s="1" t="n">
        <v>44819</v>
      </c>
      <c r="C164" s="1" t="n">
        <v>45891</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73606-2021</t>
        </is>
      </c>
      <c r="B165" s="1" t="n">
        <v>44552</v>
      </c>
      <c r="C165" s="1" t="n">
        <v>45891</v>
      </c>
      <c r="D165" t="inlineStr">
        <is>
          <t>VÄSTMANLANDS LÄN</t>
        </is>
      </c>
      <c r="E165" t="inlineStr">
        <is>
          <t>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55881-2020</t>
        </is>
      </c>
      <c r="B166" s="1" t="n">
        <v>44132</v>
      </c>
      <c r="C166" s="1" t="n">
        <v>45891</v>
      </c>
      <c r="D166" t="inlineStr">
        <is>
          <t>VÄSTMANLANDS LÄN</t>
        </is>
      </c>
      <c r="E166" t="inlineStr">
        <is>
          <t>SALA</t>
        </is>
      </c>
      <c r="G166" t="n">
        <v>3</v>
      </c>
      <c r="H166" t="n">
        <v>0</v>
      </c>
      <c r="I166" t="n">
        <v>0</v>
      </c>
      <c r="J166" t="n">
        <v>0</v>
      </c>
      <c r="K166" t="n">
        <v>0</v>
      </c>
      <c r="L166" t="n">
        <v>0</v>
      </c>
      <c r="M166" t="n">
        <v>0</v>
      </c>
      <c r="N166" t="n">
        <v>0</v>
      </c>
      <c r="O166" t="n">
        <v>0</v>
      </c>
      <c r="P166" t="n">
        <v>0</v>
      </c>
      <c r="Q166" t="n">
        <v>0</v>
      </c>
      <c r="R166" s="2" t="inlineStr"/>
    </row>
    <row r="167" ht="15" customHeight="1">
      <c r="A167" t="inlineStr">
        <is>
          <t>A 10168-2022</t>
        </is>
      </c>
      <c r="B167" s="1" t="n">
        <v>44622.37693287037</v>
      </c>
      <c r="C167" s="1" t="n">
        <v>45891</v>
      </c>
      <c r="D167" t="inlineStr">
        <is>
          <t>VÄSTMANLANDS LÄN</t>
        </is>
      </c>
      <c r="E167" t="inlineStr">
        <is>
          <t>SALA</t>
        </is>
      </c>
      <c r="G167" t="n">
        <v>2.1</v>
      </c>
      <c r="H167" t="n">
        <v>0</v>
      </c>
      <c r="I167" t="n">
        <v>0</v>
      </c>
      <c r="J167" t="n">
        <v>0</v>
      </c>
      <c r="K167" t="n">
        <v>0</v>
      </c>
      <c r="L167" t="n">
        <v>0</v>
      </c>
      <c r="M167" t="n">
        <v>0</v>
      </c>
      <c r="N167" t="n">
        <v>0</v>
      </c>
      <c r="O167" t="n">
        <v>0</v>
      </c>
      <c r="P167" t="n">
        <v>0</v>
      </c>
      <c r="Q167" t="n">
        <v>0</v>
      </c>
      <c r="R167" s="2" t="inlineStr"/>
    </row>
    <row r="168" ht="15" customHeight="1">
      <c r="A168" t="inlineStr">
        <is>
          <t>A 69192-2020</t>
        </is>
      </c>
      <c r="B168" s="1" t="n">
        <v>44191</v>
      </c>
      <c r="C168" s="1" t="n">
        <v>45891</v>
      </c>
      <c r="D168" t="inlineStr">
        <is>
          <t>VÄSTMANLANDS LÄN</t>
        </is>
      </c>
      <c r="E168" t="inlineStr">
        <is>
          <t>SALA</t>
        </is>
      </c>
      <c r="G168" t="n">
        <v>0.8</v>
      </c>
      <c r="H168" t="n">
        <v>0</v>
      </c>
      <c r="I168" t="n">
        <v>0</v>
      </c>
      <c r="J168" t="n">
        <v>0</v>
      </c>
      <c r="K168" t="n">
        <v>0</v>
      </c>
      <c r="L168" t="n">
        <v>0</v>
      </c>
      <c r="M168" t="n">
        <v>0</v>
      </c>
      <c r="N168" t="n">
        <v>0</v>
      </c>
      <c r="O168" t="n">
        <v>0</v>
      </c>
      <c r="P168" t="n">
        <v>0</v>
      </c>
      <c r="Q168" t="n">
        <v>0</v>
      </c>
      <c r="R168" s="2" t="inlineStr"/>
    </row>
    <row r="169" ht="15" customHeight="1">
      <c r="A169" t="inlineStr">
        <is>
          <t>A 53735-2022</t>
        </is>
      </c>
      <c r="B169" s="1" t="n">
        <v>44880.42752314815</v>
      </c>
      <c r="C169" s="1" t="n">
        <v>45891</v>
      </c>
      <c r="D169" t="inlineStr">
        <is>
          <t>VÄSTMANLANDS LÄN</t>
        </is>
      </c>
      <c r="E169" t="inlineStr">
        <is>
          <t>SALA</t>
        </is>
      </c>
      <c r="F169" t="inlineStr">
        <is>
          <t>Bergvik skog öst AB</t>
        </is>
      </c>
      <c r="G169" t="n">
        <v>1.8</v>
      </c>
      <c r="H169" t="n">
        <v>0</v>
      </c>
      <c r="I169" t="n">
        <v>0</v>
      </c>
      <c r="J169" t="n">
        <v>0</v>
      </c>
      <c r="K169" t="n">
        <v>0</v>
      </c>
      <c r="L169" t="n">
        <v>0</v>
      </c>
      <c r="M169" t="n">
        <v>0</v>
      </c>
      <c r="N169" t="n">
        <v>0</v>
      </c>
      <c r="O169" t="n">
        <v>0</v>
      </c>
      <c r="P169" t="n">
        <v>0</v>
      </c>
      <c r="Q169" t="n">
        <v>0</v>
      </c>
      <c r="R169" s="2" t="inlineStr"/>
    </row>
    <row r="170" ht="15" customHeight="1">
      <c r="A170" t="inlineStr">
        <is>
          <t>A 14047-2021</t>
        </is>
      </c>
      <c r="B170" s="1" t="n">
        <v>44277</v>
      </c>
      <c r="C170" s="1" t="n">
        <v>45891</v>
      </c>
      <c r="D170" t="inlineStr">
        <is>
          <t>VÄSTMANLANDS LÄN</t>
        </is>
      </c>
      <c r="E170" t="inlineStr">
        <is>
          <t>SALA</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9050-2022</t>
        </is>
      </c>
      <c r="B171" s="1" t="n">
        <v>44615.45451388889</v>
      </c>
      <c r="C171" s="1" t="n">
        <v>45891</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43349-2020</t>
        </is>
      </c>
      <c r="B172" s="1" t="n">
        <v>44081</v>
      </c>
      <c r="C172" s="1" t="n">
        <v>45891</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53630-2022</t>
        </is>
      </c>
      <c r="B173" s="1" t="n">
        <v>44879.87533564815</v>
      </c>
      <c r="C173" s="1" t="n">
        <v>45891</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49254-2022</t>
        </is>
      </c>
      <c r="B174" s="1" t="n">
        <v>44861</v>
      </c>
      <c r="C174" s="1" t="n">
        <v>45891</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65856-2021</t>
        </is>
      </c>
      <c r="B175" s="1" t="n">
        <v>44517</v>
      </c>
      <c r="C175" s="1" t="n">
        <v>45891</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47054-2020</t>
        </is>
      </c>
      <c r="B176" s="1" t="n">
        <v>44096</v>
      </c>
      <c r="C176" s="1" t="n">
        <v>45891</v>
      </c>
      <c r="D176" t="inlineStr">
        <is>
          <t>VÄSTMANLANDS LÄN</t>
        </is>
      </c>
      <c r="E176" t="inlineStr">
        <is>
          <t>SALA</t>
        </is>
      </c>
      <c r="F176" t="inlineStr">
        <is>
          <t>Kommuner</t>
        </is>
      </c>
      <c r="G176" t="n">
        <v>1.1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45891</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44224-2022</t>
        </is>
      </c>
      <c r="B178" s="1" t="n">
        <v>44839.506875</v>
      </c>
      <c r="C178" s="1" t="n">
        <v>45891</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11370-2022</t>
        </is>
      </c>
      <c r="B179" s="1" t="n">
        <v>44630</v>
      </c>
      <c r="C179" s="1" t="n">
        <v>45891</v>
      </c>
      <c r="D179" t="inlineStr">
        <is>
          <t>VÄSTMANLANDS LÄN</t>
        </is>
      </c>
      <c r="E179" t="inlineStr">
        <is>
          <t>SALA</t>
        </is>
      </c>
      <c r="G179" t="n">
        <v>4.3</v>
      </c>
      <c r="H179" t="n">
        <v>0</v>
      </c>
      <c r="I179" t="n">
        <v>0</v>
      </c>
      <c r="J179" t="n">
        <v>0</v>
      </c>
      <c r="K179" t="n">
        <v>0</v>
      </c>
      <c r="L179" t="n">
        <v>0</v>
      </c>
      <c r="M179" t="n">
        <v>0</v>
      </c>
      <c r="N179" t="n">
        <v>0</v>
      </c>
      <c r="O179" t="n">
        <v>0</v>
      </c>
      <c r="P179" t="n">
        <v>0</v>
      </c>
      <c r="Q179" t="n">
        <v>0</v>
      </c>
      <c r="R179" s="2" t="inlineStr"/>
    </row>
    <row r="180" ht="15" customHeight="1">
      <c r="A180" t="inlineStr">
        <is>
          <t>A 58781-2020</t>
        </is>
      </c>
      <c r="B180" s="1" t="n">
        <v>44146</v>
      </c>
      <c r="C180" s="1" t="n">
        <v>45891</v>
      </c>
      <c r="D180" t="inlineStr">
        <is>
          <t>VÄSTMANLANDS LÄN</t>
        </is>
      </c>
      <c r="E180" t="inlineStr">
        <is>
          <t>SALA</t>
        </is>
      </c>
      <c r="G180" t="n">
        <v>1.2</v>
      </c>
      <c r="H180" t="n">
        <v>0</v>
      </c>
      <c r="I180" t="n">
        <v>0</v>
      </c>
      <c r="J180" t="n">
        <v>0</v>
      </c>
      <c r="K180" t="n">
        <v>0</v>
      </c>
      <c r="L180" t="n">
        <v>0</v>
      </c>
      <c r="M180" t="n">
        <v>0</v>
      </c>
      <c r="N180" t="n">
        <v>0</v>
      </c>
      <c r="O180" t="n">
        <v>0</v>
      </c>
      <c r="P180" t="n">
        <v>0</v>
      </c>
      <c r="Q180" t="n">
        <v>0</v>
      </c>
      <c r="R180" s="2" t="inlineStr"/>
    </row>
    <row r="181" ht="15" customHeight="1">
      <c r="A181" t="inlineStr">
        <is>
          <t>A 26579-2021</t>
        </is>
      </c>
      <c r="B181" s="1" t="n">
        <v>44348</v>
      </c>
      <c r="C181" s="1" t="n">
        <v>45891</v>
      </c>
      <c r="D181" t="inlineStr">
        <is>
          <t>VÄSTMANLANDS LÄN</t>
        </is>
      </c>
      <c r="E181" t="inlineStr">
        <is>
          <t>SALA</t>
        </is>
      </c>
      <c r="G181" t="n">
        <v>1.6</v>
      </c>
      <c r="H181" t="n">
        <v>0</v>
      </c>
      <c r="I181" t="n">
        <v>0</v>
      </c>
      <c r="J181" t="n">
        <v>0</v>
      </c>
      <c r="K181" t="n">
        <v>0</v>
      </c>
      <c r="L181" t="n">
        <v>0</v>
      </c>
      <c r="M181" t="n">
        <v>0</v>
      </c>
      <c r="N181" t="n">
        <v>0</v>
      </c>
      <c r="O181" t="n">
        <v>0</v>
      </c>
      <c r="P181" t="n">
        <v>0</v>
      </c>
      <c r="Q181" t="n">
        <v>0</v>
      </c>
      <c r="R181" s="2" t="inlineStr"/>
    </row>
    <row r="182" ht="15" customHeight="1">
      <c r="A182" t="inlineStr">
        <is>
          <t>A 25603-2022</t>
        </is>
      </c>
      <c r="B182" s="1" t="n">
        <v>44732</v>
      </c>
      <c r="C182" s="1" t="n">
        <v>45891</v>
      </c>
      <c r="D182" t="inlineStr">
        <is>
          <t>VÄSTMANLANDS LÄN</t>
        </is>
      </c>
      <c r="E182" t="inlineStr">
        <is>
          <t>SALA</t>
        </is>
      </c>
      <c r="G182" t="n">
        <v>2</v>
      </c>
      <c r="H182" t="n">
        <v>0</v>
      </c>
      <c r="I182" t="n">
        <v>0</v>
      </c>
      <c r="J182" t="n">
        <v>0</v>
      </c>
      <c r="K182" t="n">
        <v>0</v>
      </c>
      <c r="L182" t="n">
        <v>0</v>
      </c>
      <c r="M182" t="n">
        <v>0</v>
      </c>
      <c r="N182" t="n">
        <v>0</v>
      </c>
      <c r="O182" t="n">
        <v>0</v>
      </c>
      <c r="P182" t="n">
        <v>0</v>
      </c>
      <c r="Q182" t="n">
        <v>0</v>
      </c>
      <c r="R182" s="2" t="inlineStr"/>
    </row>
    <row r="183" ht="15" customHeight="1">
      <c r="A183" t="inlineStr">
        <is>
          <t>A 72405-2021</t>
        </is>
      </c>
      <c r="B183" s="1" t="n">
        <v>44545</v>
      </c>
      <c r="C183" s="1" t="n">
        <v>45891</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63290-2021</t>
        </is>
      </c>
      <c r="B184" s="1" t="n">
        <v>44505</v>
      </c>
      <c r="C184" s="1" t="n">
        <v>45891</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67962-2021</t>
        </is>
      </c>
      <c r="B185" s="1" t="n">
        <v>44525</v>
      </c>
      <c r="C185" s="1" t="n">
        <v>45891</v>
      </c>
      <c r="D185" t="inlineStr">
        <is>
          <t>VÄSTMANLANDS LÄN</t>
        </is>
      </c>
      <c r="E185" t="inlineStr">
        <is>
          <t>SALA</t>
        </is>
      </c>
      <c r="G185" t="n">
        <v>1.4</v>
      </c>
      <c r="H185" t="n">
        <v>0</v>
      </c>
      <c r="I185" t="n">
        <v>0</v>
      </c>
      <c r="J185" t="n">
        <v>0</v>
      </c>
      <c r="K185" t="n">
        <v>0</v>
      </c>
      <c r="L185" t="n">
        <v>0</v>
      </c>
      <c r="M185" t="n">
        <v>0</v>
      </c>
      <c r="N185" t="n">
        <v>0</v>
      </c>
      <c r="O185" t="n">
        <v>0</v>
      </c>
      <c r="P185" t="n">
        <v>0</v>
      </c>
      <c r="Q185" t="n">
        <v>0</v>
      </c>
      <c r="R185" s="2" t="inlineStr"/>
    </row>
    <row r="186" ht="15" customHeight="1">
      <c r="A186" t="inlineStr">
        <is>
          <t>A 53628-2022</t>
        </is>
      </c>
      <c r="B186" s="1" t="n">
        <v>44879.87171296297</v>
      </c>
      <c r="C186" s="1" t="n">
        <v>45891</v>
      </c>
      <c r="D186" t="inlineStr">
        <is>
          <t>VÄSTMANLANDS LÄN</t>
        </is>
      </c>
      <c r="E186" t="inlineStr">
        <is>
          <t>SALA</t>
        </is>
      </c>
      <c r="G186" t="n">
        <v>2.7</v>
      </c>
      <c r="H186" t="n">
        <v>0</v>
      </c>
      <c r="I186" t="n">
        <v>0</v>
      </c>
      <c r="J186" t="n">
        <v>0</v>
      </c>
      <c r="K186" t="n">
        <v>0</v>
      </c>
      <c r="L186" t="n">
        <v>0</v>
      </c>
      <c r="M186" t="n">
        <v>0</v>
      </c>
      <c r="N186" t="n">
        <v>0</v>
      </c>
      <c r="O186" t="n">
        <v>0</v>
      </c>
      <c r="P186" t="n">
        <v>0</v>
      </c>
      <c r="Q186" t="n">
        <v>0</v>
      </c>
      <c r="R186" s="2" t="inlineStr"/>
    </row>
    <row r="187" ht="15" customHeight="1">
      <c r="A187" t="inlineStr">
        <is>
          <t>A 64932-2021</t>
        </is>
      </c>
      <c r="B187" s="1" t="n">
        <v>44512</v>
      </c>
      <c r="C187" s="1" t="n">
        <v>45891</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47208-2020</t>
        </is>
      </c>
      <c r="B188" s="1" t="n">
        <v>44097.41038194444</v>
      </c>
      <c r="C188" s="1" t="n">
        <v>45891</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23847-2022</t>
        </is>
      </c>
      <c r="B189" s="1" t="n">
        <v>44722</v>
      </c>
      <c r="C189" s="1" t="n">
        <v>45891</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73519-2021</t>
        </is>
      </c>
      <c r="B190" s="1" t="n">
        <v>44551</v>
      </c>
      <c r="C190" s="1" t="n">
        <v>45891</v>
      </c>
      <c r="D190" t="inlineStr">
        <is>
          <t>VÄSTMANLANDS LÄN</t>
        </is>
      </c>
      <c r="E190" t="inlineStr">
        <is>
          <t>SALA</t>
        </is>
      </c>
      <c r="G190" t="n">
        <v>0.3</v>
      </c>
      <c r="H190" t="n">
        <v>0</v>
      </c>
      <c r="I190" t="n">
        <v>0</v>
      </c>
      <c r="J190" t="n">
        <v>0</v>
      </c>
      <c r="K190" t="n">
        <v>0</v>
      </c>
      <c r="L190" t="n">
        <v>0</v>
      </c>
      <c r="M190" t="n">
        <v>0</v>
      </c>
      <c r="N190" t="n">
        <v>0</v>
      </c>
      <c r="O190" t="n">
        <v>0</v>
      </c>
      <c r="P190" t="n">
        <v>0</v>
      </c>
      <c r="Q190" t="n">
        <v>0</v>
      </c>
      <c r="R190" s="2" t="inlineStr"/>
    </row>
    <row r="191" ht="15" customHeight="1">
      <c r="A191" t="inlineStr">
        <is>
          <t>A 13746-2025</t>
        </is>
      </c>
      <c r="B191" s="1" t="n">
        <v>45737.40944444444</v>
      </c>
      <c r="C191" s="1" t="n">
        <v>45891</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56688-2024</t>
        </is>
      </c>
      <c r="B192" s="1" t="n">
        <v>45627.66478009259</v>
      </c>
      <c r="C192" s="1" t="n">
        <v>45891</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61415-2020</t>
        </is>
      </c>
      <c r="B193" s="1" t="n">
        <v>44156</v>
      </c>
      <c r="C193" s="1" t="n">
        <v>45891</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37881-2021</t>
        </is>
      </c>
      <c r="B194" s="1" t="n">
        <v>44403</v>
      </c>
      <c r="C194" s="1" t="n">
        <v>45891</v>
      </c>
      <c r="D194" t="inlineStr">
        <is>
          <t>VÄSTMANLANDS LÄN</t>
        </is>
      </c>
      <c r="E194" t="inlineStr">
        <is>
          <t>SALA</t>
        </is>
      </c>
      <c r="G194" t="n">
        <v>4.6</v>
      </c>
      <c r="H194" t="n">
        <v>0</v>
      </c>
      <c r="I194" t="n">
        <v>0</v>
      </c>
      <c r="J194" t="n">
        <v>0</v>
      </c>
      <c r="K194" t="n">
        <v>0</v>
      </c>
      <c r="L194" t="n">
        <v>0</v>
      </c>
      <c r="M194" t="n">
        <v>0</v>
      </c>
      <c r="N194" t="n">
        <v>0</v>
      </c>
      <c r="O194" t="n">
        <v>0</v>
      </c>
      <c r="P194" t="n">
        <v>0</v>
      </c>
      <c r="Q194" t="n">
        <v>0</v>
      </c>
      <c r="R194" s="2" t="inlineStr"/>
    </row>
    <row r="195" ht="15" customHeight="1">
      <c r="A195" t="inlineStr">
        <is>
          <t>A 27261-2024</t>
        </is>
      </c>
      <c r="B195" s="1" t="n">
        <v>45471</v>
      </c>
      <c r="C195" s="1" t="n">
        <v>45891</v>
      </c>
      <c r="D195" t="inlineStr">
        <is>
          <t>VÄSTMANLANDS LÄN</t>
        </is>
      </c>
      <c r="E195" t="inlineStr">
        <is>
          <t>SALA</t>
        </is>
      </c>
      <c r="G195" t="n">
        <v>6.1</v>
      </c>
      <c r="H195" t="n">
        <v>0</v>
      </c>
      <c r="I195" t="n">
        <v>0</v>
      </c>
      <c r="J195" t="n">
        <v>0</v>
      </c>
      <c r="K195" t="n">
        <v>0</v>
      </c>
      <c r="L195" t="n">
        <v>0</v>
      </c>
      <c r="M195" t="n">
        <v>0</v>
      </c>
      <c r="N195" t="n">
        <v>0</v>
      </c>
      <c r="O195" t="n">
        <v>0</v>
      </c>
      <c r="P195" t="n">
        <v>0</v>
      </c>
      <c r="Q195" t="n">
        <v>0</v>
      </c>
      <c r="R195" s="2" t="inlineStr"/>
    </row>
    <row r="196" ht="15" customHeight="1">
      <c r="A196" t="inlineStr">
        <is>
          <t>A 72805-2021</t>
        </is>
      </c>
      <c r="B196" s="1" t="n">
        <v>44546</v>
      </c>
      <c r="C196" s="1" t="n">
        <v>45891</v>
      </c>
      <c r="D196" t="inlineStr">
        <is>
          <t>VÄSTMANLANDS LÄN</t>
        </is>
      </c>
      <c r="E196" t="inlineStr">
        <is>
          <t>SALA</t>
        </is>
      </c>
      <c r="G196" t="n">
        <v>7.8</v>
      </c>
      <c r="H196" t="n">
        <v>0</v>
      </c>
      <c r="I196" t="n">
        <v>0</v>
      </c>
      <c r="J196" t="n">
        <v>0</v>
      </c>
      <c r="K196" t="n">
        <v>0</v>
      </c>
      <c r="L196" t="n">
        <v>0</v>
      </c>
      <c r="M196" t="n">
        <v>0</v>
      </c>
      <c r="N196" t="n">
        <v>0</v>
      </c>
      <c r="O196" t="n">
        <v>0</v>
      </c>
      <c r="P196" t="n">
        <v>0</v>
      </c>
      <c r="Q196" t="n">
        <v>0</v>
      </c>
      <c r="R196" s="2" t="inlineStr"/>
    </row>
    <row r="197" ht="15" customHeight="1">
      <c r="A197" t="inlineStr">
        <is>
          <t>A 72808-2021</t>
        </is>
      </c>
      <c r="B197" s="1" t="n">
        <v>44546</v>
      </c>
      <c r="C197" s="1" t="n">
        <v>45891</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18713-2025</t>
        </is>
      </c>
      <c r="B198" s="1" t="n">
        <v>45763</v>
      </c>
      <c r="C198" s="1" t="n">
        <v>45891</v>
      </c>
      <c r="D198" t="inlineStr">
        <is>
          <t>VÄSTMANLANDS LÄN</t>
        </is>
      </c>
      <c r="E198" t="inlineStr">
        <is>
          <t>SALA</t>
        </is>
      </c>
      <c r="F198" t="inlineStr">
        <is>
          <t>Bergvik skog öst AB</t>
        </is>
      </c>
      <c r="G198" t="n">
        <v>11.6</v>
      </c>
      <c r="H198" t="n">
        <v>0</v>
      </c>
      <c r="I198" t="n">
        <v>0</v>
      </c>
      <c r="J198" t="n">
        <v>0</v>
      </c>
      <c r="K198" t="n">
        <v>0</v>
      </c>
      <c r="L198" t="n">
        <v>0</v>
      </c>
      <c r="M198" t="n">
        <v>0</v>
      </c>
      <c r="N198" t="n">
        <v>0</v>
      </c>
      <c r="O198" t="n">
        <v>0</v>
      </c>
      <c r="P198" t="n">
        <v>0</v>
      </c>
      <c r="Q198" t="n">
        <v>0</v>
      </c>
      <c r="R198" s="2" t="inlineStr"/>
    </row>
    <row r="199" ht="15" customHeight="1">
      <c r="A199" t="inlineStr">
        <is>
          <t>A 25897-2024</t>
        </is>
      </c>
      <c r="B199" s="1" t="n">
        <v>45467.54435185185</v>
      </c>
      <c r="C199" s="1" t="n">
        <v>45891</v>
      </c>
      <c r="D199" t="inlineStr">
        <is>
          <t>VÄSTMANLANDS LÄN</t>
        </is>
      </c>
      <c r="E199" t="inlineStr">
        <is>
          <t>SALA</t>
        </is>
      </c>
      <c r="G199" t="n">
        <v>9.9</v>
      </c>
      <c r="H199" t="n">
        <v>0</v>
      </c>
      <c r="I199" t="n">
        <v>0</v>
      </c>
      <c r="J199" t="n">
        <v>0</v>
      </c>
      <c r="K199" t="n">
        <v>0</v>
      </c>
      <c r="L199" t="n">
        <v>0</v>
      </c>
      <c r="M199" t="n">
        <v>0</v>
      </c>
      <c r="N199" t="n">
        <v>0</v>
      </c>
      <c r="O199" t="n">
        <v>0</v>
      </c>
      <c r="P199" t="n">
        <v>0</v>
      </c>
      <c r="Q199" t="n">
        <v>0</v>
      </c>
      <c r="R199" s="2" t="inlineStr"/>
    </row>
    <row r="200" ht="15" customHeight="1">
      <c r="A200" t="inlineStr">
        <is>
          <t>A 54959-2024</t>
        </is>
      </c>
      <c r="B200" s="1" t="n">
        <v>45619</v>
      </c>
      <c r="C200" s="1" t="n">
        <v>45891</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23222-2023</t>
        </is>
      </c>
      <c r="B201" s="1" t="n">
        <v>45075</v>
      </c>
      <c r="C201" s="1" t="n">
        <v>45891</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23224-2023</t>
        </is>
      </c>
      <c r="B202" s="1" t="n">
        <v>45075.65040509259</v>
      </c>
      <c r="C202" s="1" t="n">
        <v>45891</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24882-2022</t>
        </is>
      </c>
      <c r="B203" s="1" t="n">
        <v>44728.56488425926</v>
      </c>
      <c r="C203" s="1" t="n">
        <v>45891</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50479-2022</t>
        </is>
      </c>
      <c r="B204" s="1" t="n">
        <v>44861</v>
      </c>
      <c r="C204" s="1" t="n">
        <v>45891</v>
      </c>
      <c r="D204" t="inlineStr">
        <is>
          <t>VÄSTMANLANDS LÄN</t>
        </is>
      </c>
      <c r="E204" t="inlineStr">
        <is>
          <t>SALA</t>
        </is>
      </c>
      <c r="G204" t="n">
        <v>0.9</v>
      </c>
      <c r="H204" t="n">
        <v>0</v>
      </c>
      <c r="I204" t="n">
        <v>0</v>
      </c>
      <c r="J204" t="n">
        <v>0</v>
      </c>
      <c r="K204" t="n">
        <v>0</v>
      </c>
      <c r="L204" t="n">
        <v>0</v>
      </c>
      <c r="M204" t="n">
        <v>0</v>
      </c>
      <c r="N204" t="n">
        <v>0</v>
      </c>
      <c r="O204" t="n">
        <v>0</v>
      </c>
      <c r="P204" t="n">
        <v>0</v>
      </c>
      <c r="Q204" t="n">
        <v>0</v>
      </c>
      <c r="R204" s="2" t="inlineStr"/>
    </row>
    <row r="205" ht="15" customHeight="1">
      <c r="A205" t="inlineStr">
        <is>
          <t>A 27486-2022</t>
        </is>
      </c>
      <c r="B205" s="1" t="n">
        <v>44742.60846064815</v>
      </c>
      <c r="C205" s="1" t="n">
        <v>45891</v>
      </c>
      <c r="D205" t="inlineStr">
        <is>
          <t>VÄSTMANLANDS LÄN</t>
        </is>
      </c>
      <c r="E205" t="inlineStr">
        <is>
          <t>SALA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45891</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23180-2022</t>
        </is>
      </c>
      <c r="B207" s="1" t="n">
        <v>44719.79344907407</v>
      </c>
      <c r="C207" s="1" t="n">
        <v>45891</v>
      </c>
      <c r="D207" t="inlineStr">
        <is>
          <t>VÄSTMANLANDS LÄN</t>
        </is>
      </c>
      <c r="E207" t="inlineStr">
        <is>
          <t>SALA</t>
        </is>
      </c>
      <c r="G207" t="n">
        <v>1.2</v>
      </c>
      <c r="H207" t="n">
        <v>0</v>
      </c>
      <c r="I207" t="n">
        <v>0</v>
      </c>
      <c r="J207" t="n">
        <v>0</v>
      </c>
      <c r="K207" t="n">
        <v>0</v>
      </c>
      <c r="L207" t="n">
        <v>0</v>
      </c>
      <c r="M207" t="n">
        <v>0</v>
      </c>
      <c r="N207" t="n">
        <v>0</v>
      </c>
      <c r="O207" t="n">
        <v>0</v>
      </c>
      <c r="P207" t="n">
        <v>0</v>
      </c>
      <c r="Q207" t="n">
        <v>0</v>
      </c>
      <c r="R207" s="2" t="inlineStr"/>
    </row>
    <row r="208" ht="15" customHeight="1">
      <c r="A208" t="inlineStr">
        <is>
          <t>A 21053-2022</t>
        </is>
      </c>
      <c r="B208" s="1" t="n">
        <v>44704</v>
      </c>
      <c r="C208" s="1" t="n">
        <v>45891</v>
      </c>
      <c r="D208" t="inlineStr">
        <is>
          <t>VÄSTMANLANDS LÄN</t>
        </is>
      </c>
      <c r="E208" t="inlineStr">
        <is>
          <t>SALA</t>
        </is>
      </c>
      <c r="G208" t="n">
        <v>2</v>
      </c>
      <c r="H208" t="n">
        <v>0</v>
      </c>
      <c r="I208" t="n">
        <v>0</v>
      </c>
      <c r="J208" t="n">
        <v>0</v>
      </c>
      <c r="K208" t="n">
        <v>0</v>
      </c>
      <c r="L208" t="n">
        <v>0</v>
      </c>
      <c r="M208" t="n">
        <v>0</v>
      </c>
      <c r="N208" t="n">
        <v>0</v>
      </c>
      <c r="O208" t="n">
        <v>0</v>
      </c>
      <c r="P208" t="n">
        <v>0</v>
      </c>
      <c r="Q208" t="n">
        <v>0</v>
      </c>
      <c r="R208" s="2" t="inlineStr"/>
    </row>
    <row r="209" ht="15" customHeight="1">
      <c r="A209" t="inlineStr">
        <is>
          <t>A 50818-2020</t>
        </is>
      </c>
      <c r="B209" s="1" t="n">
        <v>44111</v>
      </c>
      <c r="C209" s="1" t="n">
        <v>45891</v>
      </c>
      <c r="D209" t="inlineStr">
        <is>
          <t>VÄSTMANLANDS LÄN</t>
        </is>
      </c>
      <c r="E209" t="inlineStr">
        <is>
          <t>SALA</t>
        </is>
      </c>
      <c r="G209" t="n">
        <v>0.4</v>
      </c>
      <c r="H209" t="n">
        <v>0</v>
      </c>
      <c r="I209" t="n">
        <v>0</v>
      </c>
      <c r="J209" t="n">
        <v>0</v>
      </c>
      <c r="K209" t="n">
        <v>0</v>
      </c>
      <c r="L209" t="n">
        <v>0</v>
      </c>
      <c r="M209" t="n">
        <v>0</v>
      </c>
      <c r="N209" t="n">
        <v>0</v>
      </c>
      <c r="O209" t="n">
        <v>0</v>
      </c>
      <c r="P209" t="n">
        <v>0</v>
      </c>
      <c r="Q209" t="n">
        <v>0</v>
      </c>
      <c r="R209" s="2" t="inlineStr"/>
    </row>
    <row r="210" ht="15" customHeight="1">
      <c r="A210" t="inlineStr">
        <is>
          <t>A 6134-2024</t>
        </is>
      </c>
      <c r="B210" s="1" t="n">
        <v>45337</v>
      </c>
      <c r="C210" s="1" t="n">
        <v>45891</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14919-2025</t>
        </is>
      </c>
      <c r="B211" s="1" t="n">
        <v>45743.54256944444</v>
      </c>
      <c r="C211" s="1" t="n">
        <v>45891</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14920-2025</t>
        </is>
      </c>
      <c r="B212" s="1" t="n">
        <v>45743</v>
      </c>
      <c r="C212" s="1" t="n">
        <v>45891</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15354-2021</t>
        </is>
      </c>
      <c r="B213" s="1" t="n">
        <v>44284</v>
      </c>
      <c r="C213" s="1" t="n">
        <v>45891</v>
      </c>
      <c r="D213" t="inlineStr">
        <is>
          <t>VÄSTMANLANDS LÄN</t>
        </is>
      </c>
      <c r="E213" t="inlineStr">
        <is>
          <t>SALA</t>
        </is>
      </c>
      <c r="F213" t="inlineStr">
        <is>
          <t>Kyrkan</t>
        </is>
      </c>
      <c r="G213" t="n">
        <v>8.5</v>
      </c>
      <c r="H213" t="n">
        <v>0</v>
      </c>
      <c r="I213" t="n">
        <v>0</v>
      </c>
      <c r="J213" t="n">
        <v>0</v>
      </c>
      <c r="K213" t="n">
        <v>0</v>
      </c>
      <c r="L213" t="n">
        <v>0</v>
      </c>
      <c r="M213" t="n">
        <v>0</v>
      </c>
      <c r="N213" t="n">
        <v>0</v>
      </c>
      <c r="O213" t="n">
        <v>0</v>
      </c>
      <c r="P213" t="n">
        <v>0</v>
      </c>
      <c r="Q213" t="n">
        <v>0</v>
      </c>
      <c r="R213" s="2" t="inlineStr"/>
    </row>
    <row r="214" ht="15" customHeight="1">
      <c r="A214" t="inlineStr">
        <is>
          <t>A 18340-2025</t>
        </is>
      </c>
      <c r="B214" s="1" t="n">
        <v>45762</v>
      </c>
      <c r="C214" s="1" t="n">
        <v>45891</v>
      </c>
      <c r="D214" t="inlineStr">
        <is>
          <t>VÄSTMANLANDS LÄN</t>
        </is>
      </c>
      <c r="E214" t="inlineStr">
        <is>
          <t>SALA</t>
        </is>
      </c>
      <c r="G214" t="n">
        <v>2.1</v>
      </c>
      <c r="H214" t="n">
        <v>0</v>
      </c>
      <c r="I214" t="n">
        <v>0</v>
      </c>
      <c r="J214" t="n">
        <v>0</v>
      </c>
      <c r="K214" t="n">
        <v>0</v>
      </c>
      <c r="L214" t="n">
        <v>0</v>
      </c>
      <c r="M214" t="n">
        <v>0</v>
      </c>
      <c r="N214" t="n">
        <v>0</v>
      </c>
      <c r="O214" t="n">
        <v>0</v>
      </c>
      <c r="P214" t="n">
        <v>0</v>
      </c>
      <c r="Q214" t="n">
        <v>0</v>
      </c>
      <c r="R214" s="2" t="inlineStr"/>
    </row>
    <row r="215" ht="15" customHeight="1">
      <c r="A215" t="inlineStr">
        <is>
          <t>A 3546-2025</t>
        </is>
      </c>
      <c r="B215" s="1" t="n">
        <v>45680</v>
      </c>
      <c r="C215" s="1" t="n">
        <v>45891</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16638-2023</t>
        </is>
      </c>
      <c r="B216" s="1" t="n">
        <v>45027</v>
      </c>
      <c r="C216" s="1" t="n">
        <v>45891</v>
      </c>
      <c r="D216" t="inlineStr">
        <is>
          <t>VÄSTMANLANDS LÄN</t>
        </is>
      </c>
      <c r="E216" t="inlineStr">
        <is>
          <t>SALA</t>
        </is>
      </c>
      <c r="G216" t="n">
        <v>14.8</v>
      </c>
      <c r="H216" t="n">
        <v>0</v>
      </c>
      <c r="I216" t="n">
        <v>0</v>
      </c>
      <c r="J216" t="n">
        <v>0</v>
      </c>
      <c r="K216" t="n">
        <v>0</v>
      </c>
      <c r="L216" t="n">
        <v>0</v>
      </c>
      <c r="M216" t="n">
        <v>0</v>
      </c>
      <c r="N216" t="n">
        <v>0</v>
      </c>
      <c r="O216" t="n">
        <v>0</v>
      </c>
      <c r="P216" t="n">
        <v>0</v>
      </c>
      <c r="Q216" t="n">
        <v>0</v>
      </c>
      <c r="R216" s="2" t="inlineStr"/>
    </row>
    <row r="217" ht="15" customHeight="1">
      <c r="A217" t="inlineStr">
        <is>
          <t>A 6154-2025</t>
        </is>
      </c>
      <c r="B217" s="1" t="n">
        <v>45698.40719907408</v>
      </c>
      <c r="C217" s="1" t="n">
        <v>45891</v>
      </c>
      <c r="D217" t="inlineStr">
        <is>
          <t>VÄSTMANLANDS LÄN</t>
        </is>
      </c>
      <c r="E217" t="inlineStr">
        <is>
          <t>SALA</t>
        </is>
      </c>
      <c r="F217" t="inlineStr">
        <is>
          <t>Bergvik skog öst AB</t>
        </is>
      </c>
      <c r="G217" t="n">
        <v>3.9</v>
      </c>
      <c r="H217" t="n">
        <v>0</v>
      </c>
      <c r="I217" t="n">
        <v>0</v>
      </c>
      <c r="J217" t="n">
        <v>0</v>
      </c>
      <c r="K217" t="n">
        <v>0</v>
      </c>
      <c r="L217" t="n">
        <v>0</v>
      </c>
      <c r="M217" t="n">
        <v>0</v>
      </c>
      <c r="N217" t="n">
        <v>0</v>
      </c>
      <c r="O217" t="n">
        <v>0</v>
      </c>
      <c r="P217" t="n">
        <v>0</v>
      </c>
      <c r="Q217" t="n">
        <v>0</v>
      </c>
      <c r="R217" s="2" t="inlineStr"/>
    </row>
    <row r="218" ht="15" customHeight="1">
      <c r="A218" t="inlineStr">
        <is>
          <t>A 13855-2023</t>
        </is>
      </c>
      <c r="B218" s="1" t="n">
        <v>45007</v>
      </c>
      <c r="C218" s="1" t="n">
        <v>45891</v>
      </c>
      <c r="D218" t="inlineStr">
        <is>
          <t>VÄSTMANLANDS LÄN</t>
        </is>
      </c>
      <c r="E218" t="inlineStr">
        <is>
          <t>SALA</t>
        </is>
      </c>
      <c r="G218" t="n">
        <v>2.9</v>
      </c>
      <c r="H218" t="n">
        <v>0</v>
      </c>
      <c r="I218" t="n">
        <v>0</v>
      </c>
      <c r="J218" t="n">
        <v>0</v>
      </c>
      <c r="K218" t="n">
        <v>0</v>
      </c>
      <c r="L218" t="n">
        <v>0</v>
      </c>
      <c r="M218" t="n">
        <v>0</v>
      </c>
      <c r="N218" t="n">
        <v>0</v>
      </c>
      <c r="O218" t="n">
        <v>0</v>
      </c>
      <c r="P218" t="n">
        <v>0</v>
      </c>
      <c r="Q218" t="n">
        <v>0</v>
      </c>
      <c r="R218" s="2" t="inlineStr"/>
    </row>
    <row r="219" ht="15" customHeight="1">
      <c r="A219" t="inlineStr">
        <is>
          <t>A 39597-2022</t>
        </is>
      </c>
      <c r="B219" s="1" t="n">
        <v>44818</v>
      </c>
      <c r="C219" s="1" t="n">
        <v>45891</v>
      </c>
      <c r="D219" t="inlineStr">
        <is>
          <t>VÄSTMANLANDS LÄN</t>
        </is>
      </c>
      <c r="E219" t="inlineStr">
        <is>
          <t>SALA</t>
        </is>
      </c>
      <c r="G219" t="n">
        <v>2.3</v>
      </c>
      <c r="H219" t="n">
        <v>0</v>
      </c>
      <c r="I219" t="n">
        <v>0</v>
      </c>
      <c r="J219" t="n">
        <v>0</v>
      </c>
      <c r="K219" t="n">
        <v>0</v>
      </c>
      <c r="L219" t="n">
        <v>0</v>
      </c>
      <c r="M219" t="n">
        <v>0</v>
      </c>
      <c r="N219" t="n">
        <v>0</v>
      </c>
      <c r="O219" t="n">
        <v>0</v>
      </c>
      <c r="P219" t="n">
        <v>0</v>
      </c>
      <c r="Q219" t="n">
        <v>0</v>
      </c>
      <c r="R219" s="2" t="inlineStr"/>
    </row>
    <row r="220" ht="15" customHeight="1">
      <c r="A220" t="inlineStr">
        <is>
          <t>A 52498-2022</t>
        </is>
      </c>
      <c r="B220" s="1" t="n">
        <v>44874.50152777778</v>
      </c>
      <c r="C220" s="1" t="n">
        <v>45891</v>
      </c>
      <c r="D220" t="inlineStr">
        <is>
          <t>VÄSTMANLANDS LÄN</t>
        </is>
      </c>
      <c r="E220" t="inlineStr">
        <is>
          <t>SALA</t>
        </is>
      </c>
      <c r="G220" t="n">
        <v>2.1</v>
      </c>
      <c r="H220" t="n">
        <v>0</v>
      </c>
      <c r="I220" t="n">
        <v>0</v>
      </c>
      <c r="J220" t="n">
        <v>0</v>
      </c>
      <c r="K220" t="n">
        <v>0</v>
      </c>
      <c r="L220" t="n">
        <v>0</v>
      </c>
      <c r="M220" t="n">
        <v>0</v>
      </c>
      <c r="N220" t="n">
        <v>0</v>
      </c>
      <c r="O220" t="n">
        <v>0</v>
      </c>
      <c r="P220" t="n">
        <v>0</v>
      </c>
      <c r="Q220" t="n">
        <v>0</v>
      </c>
      <c r="R220" s="2" t="inlineStr"/>
    </row>
    <row r="221" ht="15" customHeight="1">
      <c r="A221" t="inlineStr">
        <is>
          <t>A 18877-2023</t>
        </is>
      </c>
      <c r="B221" s="1" t="n">
        <v>45044</v>
      </c>
      <c r="C221" s="1" t="n">
        <v>45891</v>
      </c>
      <c r="D221" t="inlineStr">
        <is>
          <t>VÄSTMANLANDS LÄN</t>
        </is>
      </c>
      <c r="E221" t="inlineStr">
        <is>
          <t>SALA</t>
        </is>
      </c>
      <c r="F221" t="inlineStr">
        <is>
          <t>Kommuner</t>
        </is>
      </c>
      <c r="G221" t="n">
        <v>4.4</v>
      </c>
      <c r="H221" t="n">
        <v>0</v>
      </c>
      <c r="I221" t="n">
        <v>0</v>
      </c>
      <c r="J221" t="n">
        <v>0</v>
      </c>
      <c r="K221" t="n">
        <v>0</v>
      </c>
      <c r="L221" t="n">
        <v>0</v>
      </c>
      <c r="M221" t="n">
        <v>0</v>
      </c>
      <c r="N221" t="n">
        <v>0</v>
      </c>
      <c r="O221" t="n">
        <v>0</v>
      </c>
      <c r="P221" t="n">
        <v>0</v>
      </c>
      <c r="Q221" t="n">
        <v>0</v>
      </c>
      <c r="R221" s="2" t="inlineStr"/>
    </row>
    <row r="222" ht="15" customHeight="1">
      <c r="A222" t="inlineStr">
        <is>
          <t>A 55556-2023</t>
        </is>
      </c>
      <c r="B222" s="1" t="n">
        <v>45232</v>
      </c>
      <c r="C222" s="1" t="n">
        <v>45891</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25860-2024</t>
        </is>
      </c>
      <c r="B223" s="1" t="n">
        <v>45467.46278935186</v>
      </c>
      <c r="C223" s="1" t="n">
        <v>45891</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34494-2023</t>
        </is>
      </c>
      <c r="B224" s="1" t="n">
        <v>45133</v>
      </c>
      <c r="C224" s="1" t="n">
        <v>45891</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17117-2023</t>
        </is>
      </c>
      <c r="B225" s="1" t="n">
        <v>45034</v>
      </c>
      <c r="C225" s="1" t="n">
        <v>45891</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15650-2025</t>
        </is>
      </c>
      <c r="B226" s="1" t="n">
        <v>45748.40172453703</v>
      </c>
      <c r="C226" s="1" t="n">
        <v>45891</v>
      </c>
      <c r="D226" t="inlineStr">
        <is>
          <t>VÄSTMANLANDS LÄN</t>
        </is>
      </c>
      <c r="E226" t="inlineStr">
        <is>
          <t>SALA</t>
        </is>
      </c>
      <c r="F226" t="inlineStr">
        <is>
          <t>Bergvik skog öst AB</t>
        </is>
      </c>
      <c r="G226" t="n">
        <v>3</v>
      </c>
      <c r="H226" t="n">
        <v>0</v>
      </c>
      <c r="I226" t="n">
        <v>0</v>
      </c>
      <c r="J226" t="n">
        <v>0</v>
      </c>
      <c r="K226" t="n">
        <v>0</v>
      </c>
      <c r="L226" t="n">
        <v>0</v>
      </c>
      <c r="M226" t="n">
        <v>0</v>
      </c>
      <c r="N226" t="n">
        <v>0</v>
      </c>
      <c r="O226" t="n">
        <v>0</v>
      </c>
      <c r="P226" t="n">
        <v>0</v>
      </c>
      <c r="Q226" t="n">
        <v>0</v>
      </c>
      <c r="R226" s="2" t="inlineStr"/>
    </row>
    <row r="227" ht="15" customHeight="1">
      <c r="A227" t="inlineStr">
        <is>
          <t>A 13752-2025</t>
        </is>
      </c>
      <c r="B227" s="1" t="n">
        <v>45737.41416666667</v>
      </c>
      <c r="C227" s="1" t="n">
        <v>45891</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59909-2024</t>
        </is>
      </c>
      <c r="B228" s="1" t="n">
        <v>45641</v>
      </c>
      <c r="C228" s="1" t="n">
        <v>45891</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22026-2021</t>
        </is>
      </c>
      <c r="B229" s="1" t="n">
        <v>44323</v>
      </c>
      <c r="C229" s="1" t="n">
        <v>45891</v>
      </c>
      <c r="D229" t="inlineStr">
        <is>
          <t>VÄSTMANLANDS LÄN</t>
        </is>
      </c>
      <c r="E229" t="inlineStr">
        <is>
          <t>SALA</t>
        </is>
      </c>
      <c r="G229" t="n">
        <v>2.9</v>
      </c>
      <c r="H229" t="n">
        <v>0</v>
      </c>
      <c r="I229" t="n">
        <v>0</v>
      </c>
      <c r="J229" t="n">
        <v>0</v>
      </c>
      <c r="K229" t="n">
        <v>0</v>
      </c>
      <c r="L229" t="n">
        <v>0</v>
      </c>
      <c r="M229" t="n">
        <v>0</v>
      </c>
      <c r="N229" t="n">
        <v>0</v>
      </c>
      <c r="O229" t="n">
        <v>0</v>
      </c>
      <c r="P229" t="n">
        <v>0</v>
      </c>
      <c r="Q229" t="n">
        <v>0</v>
      </c>
      <c r="R229" s="2" t="inlineStr"/>
    </row>
    <row r="230" ht="15" customHeight="1">
      <c r="A230" t="inlineStr">
        <is>
          <t>A 30028-2024</t>
        </is>
      </c>
      <c r="B230" s="1" t="n">
        <v>45485</v>
      </c>
      <c r="C230" s="1" t="n">
        <v>45891</v>
      </c>
      <c r="D230" t="inlineStr">
        <is>
          <t>VÄSTMANLANDS LÄN</t>
        </is>
      </c>
      <c r="E230" t="inlineStr">
        <is>
          <t>SALA</t>
        </is>
      </c>
      <c r="G230" t="n">
        <v>2.6</v>
      </c>
      <c r="H230" t="n">
        <v>0</v>
      </c>
      <c r="I230" t="n">
        <v>0</v>
      </c>
      <c r="J230" t="n">
        <v>0</v>
      </c>
      <c r="K230" t="n">
        <v>0</v>
      </c>
      <c r="L230" t="n">
        <v>0</v>
      </c>
      <c r="M230" t="n">
        <v>0</v>
      </c>
      <c r="N230" t="n">
        <v>0</v>
      </c>
      <c r="O230" t="n">
        <v>0</v>
      </c>
      <c r="P230" t="n">
        <v>0</v>
      </c>
      <c r="Q230" t="n">
        <v>0</v>
      </c>
      <c r="R230" s="2" t="inlineStr"/>
    </row>
    <row r="231" ht="15" customHeight="1">
      <c r="A231" t="inlineStr">
        <is>
          <t>A 19398-2025</t>
        </is>
      </c>
      <c r="B231" s="1" t="n">
        <v>45769</v>
      </c>
      <c r="C231" s="1" t="n">
        <v>45891</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33309-2022</t>
        </is>
      </c>
      <c r="B232" s="1" t="n">
        <v>44788.40986111111</v>
      </c>
      <c r="C232" s="1" t="n">
        <v>45891</v>
      </c>
      <c r="D232" t="inlineStr">
        <is>
          <t>VÄSTMANLANDS LÄN</t>
        </is>
      </c>
      <c r="E232" t="inlineStr">
        <is>
          <t>SALA</t>
        </is>
      </c>
      <c r="G232" t="n">
        <v>2.6</v>
      </c>
      <c r="H232" t="n">
        <v>0</v>
      </c>
      <c r="I232" t="n">
        <v>0</v>
      </c>
      <c r="J232" t="n">
        <v>0</v>
      </c>
      <c r="K232" t="n">
        <v>0</v>
      </c>
      <c r="L232" t="n">
        <v>0</v>
      </c>
      <c r="M232" t="n">
        <v>0</v>
      </c>
      <c r="N232" t="n">
        <v>0</v>
      </c>
      <c r="O232" t="n">
        <v>0</v>
      </c>
      <c r="P232" t="n">
        <v>0</v>
      </c>
      <c r="Q232" t="n">
        <v>0</v>
      </c>
      <c r="R232" s="2" t="inlineStr"/>
    </row>
    <row r="233" ht="15" customHeight="1">
      <c r="A233" t="inlineStr">
        <is>
          <t>A 7377-2023</t>
        </is>
      </c>
      <c r="B233" s="1" t="n">
        <v>44971</v>
      </c>
      <c r="C233" s="1" t="n">
        <v>45891</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27229-2022</t>
        </is>
      </c>
      <c r="B234" s="1" t="n">
        <v>44741</v>
      </c>
      <c r="C234" s="1" t="n">
        <v>45891</v>
      </c>
      <c r="D234" t="inlineStr">
        <is>
          <t>VÄSTMANLANDS LÄN</t>
        </is>
      </c>
      <c r="E234" t="inlineStr">
        <is>
          <t>SALA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22921-2023</t>
        </is>
      </c>
      <c r="B235" s="1" t="n">
        <v>45070</v>
      </c>
      <c r="C235" s="1" t="n">
        <v>45891</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16160-2024</t>
        </is>
      </c>
      <c r="B236" s="1" t="n">
        <v>45406</v>
      </c>
      <c r="C236" s="1" t="n">
        <v>45891</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16133-2025</t>
        </is>
      </c>
      <c r="B237" s="1" t="n">
        <v>45750</v>
      </c>
      <c r="C237" s="1" t="n">
        <v>45891</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40597-2022</t>
        </is>
      </c>
      <c r="B238" s="1" t="n">
        <v>44823.84862268518</v>
      </c>
      <c r="C238" s="1" t="n">
        <v>45891</v>
      </c>
      <c r="D238" t="inlineStr">
        <is>
          <t>VÄSTMANLANDS LÄN</t>
        </is>
      </c>
      <c r="E238" t="inlineStr">
        <is>
          <t>SALA</t>
        </is>
      </c>
      <c r="G238" t="n">
        <v>3.5</v>
      </c>
      <c r="H238" t="n">
        <v>0</v>
      </c>
      <c r="I238" t="n">
        <v>0</v>
      </c>
      <c r="J238" t="n">
        <v>0</v>
      </c>
      <c r="K238" t="n">
        <v>0</v>
      </c>
      <c r="L238" t="n">
        <v>0</v>
      </c>
      <c r="M238" t="n">
        <v>0</v>
      </c>
      <c r="N238" t="n">
        <v>0</v>
      </c>
      <c r="O238" t="n">
        <v>0</v>
      </c>
      <c r="P238" t="n">
        <v>0</v>
      </c>
      <c r="Q238" t="n">
        <v>0</v>
      </c>
      <c r="R238" s="2" t="inlineStr"/>
    </row>
    <row r="239" ht="15" customHeight="1">
      <c r="A239" t="inlineStr">
        <is>
          <t>A 24755-2021</t>
        </is>
      </c>
      <c r="B239" s="1" t="n">
        <v>44340</v>
      </c>
      <c r="C239" s="1" t="n">
        <v>45891</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34867-2023</t>
        </is>
      </c>
      <c r="B240" s="1" t="n">
        <v>45142.33481481481</v>
      </c>
      <c r="C240" s="1" t="n">
        <v>45891</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7196-2025</t>
        </is>
      </c>
      <c r="B241" s="1" t="n">
        <v>45702</v>
      </c>
      <c r="C241" s="1" t="n">
        <v>45891</v>
      </c>
      <c r="D241" t="inlineStr">
        <is>
          <t>VÄSTMANLANDS LÄN</t>
        </is>
      </c>
      <c r="E241" t="inlineStr">
        <is>
          <t>SALA</t>
        </is>
      </c>
      <c r="G241" t="n">
        <v>1.3</v>
      </c>
      <c r="H241" t="n">
        <v>0</v>
      </c>
      <c r="I241" t="n">
        <v>0</v>
      </c>
      <c r="J241" t="n">
        <v>0</v>
      </c>
      <c r="K241" t="n">
        <v>0</v>
      </c>
      <c r="L241" t="n">
        <v>0</v>
      </c>
      <c r="M241" t="n">
        <v>0</v>
      </c>
      <c r="N241" t="n">
        <v>0</v>
      </c>
      <c r="O241" t="n">
        <v>0</v>
      </c>
      <c r="P241" t="n">
        <v>0</v>
      </c>
      <c r="Q241" t="n">
        <v>0</v>
      </c>
      <c r="R241" s="2" t="inlineStr"/>
    </row>
    <row r="242" ht="15" customHeight="1">
      <c r="A242" t="inlineStr">
        <is>
          <t>A 25748-2022</t>
        </is>
      </c>
      <c r="B242" s="1" t="n">
        <v>44732</v>
      </c>
      <c r="C242" s="1" t="n">
        <v>45891</v>
      </c>
      <c r="D242" t="inlineStr">
        <is>
          <t>VÄSTMANLANDS LÄN</t>
        </is>
      </c>
      <c r="E242" t="inlineStr">
        <is>
          <t>SALA</t>
        </is>
      </c>
      <c r="G242" t="n">
        <v>7.7</v>
      </c>
      <c r="H242" t="n">
        <v>0</v>
      </c>
      <c r="I242" t="n">
        <v>0</v>
      </c>
      <c r="J242" t="n">
        <v>0</v>
      </c>
      <c r="K242" t="n">
        <v>0</v>
      </c>
      <c r="L242" t="n">
        <v>0</v>
      </c>
      <c r="M242" t="n">
        <v>0</v>
      </c>
      <c r="N242" t="n">
        <v>0</v>
      </c>
      <c r="O242" t="n">
        <v>0</v>
      </c>
      <c r="P242" t="n">
        <v>0</v>
      </c>
      <c r="Q242" t="n">
        <v>0</v>
      </c>
      <c r="R242" s="2" t="inlineStr"/>
    </row>
    <row r="243" ht="15" customHeight="1">
      <c r="A243" t="inlineStr">
        <is>
          <t>A 6183-2025</t>
        </is>
      </c>
      <c r="B243" s="1" t="n">
        <v>45698</v>
      </c>
      <c r="C243" s="1" t="n">
        <v>45891</v>
      </c>
      <c r="D243" t="inlineStr">
        <is>
          <t>VÄSTMANLANDS LÄN</t>
        </is>
      </c>
      <c r="E243" t="inlineStr">
        <is>
          <t>SALA</t>
        </is>
      </c>
      <c r="F243" t="inlineStr">
        <is>
          <t>Bergvik skog öst AB</t>
        </is>
      </c>
      <c r="G243" t="n">
        <v>2.3</v>
      </c>
      <c r="H243" t="n">
        <v>0</v>
      </c>
      <c r="I243" t="n">
        <v>0</v>
      </c>
      <c r="J243" t="n">
        <v>0</v>
      </c>
      <c r="K243" t="n">
        <v>0</v>
      </c>
      <c r="L243" t="n">
        <v>0</v>
      </c>
      <c r="M243" t="n">
        <v>0</v>
      </c>
      <c r="N243" t="n">
        <v>0</v>
      </c>
      <c r="O243" t="n">
        <v>0</v>
      </c>
      <c r="P243" t="n">
        <v>0</v>
      </c>
      <c r="Q243" t="n">
        <v>0</v>
      </c>
      <c r="R243" s="2" t="inlineStr"/>
    </row>
    <row r="244" ht="15" customHeight="1">
      <c r="A244" t="inlineStr">
        <is>
          <t>A 12921-2025</t>
        </is>
      </c>
      <c r="B244" s="1" t="n">
        <v>45734.28016203704</v>
      </c>
      <c r="C244" s="1" t="n">
        <v>45891</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40871-2021</t>
        </is>
      </c>
      <c r="B245" s="1" t="n">
        <v>44421</v>
      </c>
      <c r="C245" s="1" t="n">
        <v>45891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6127-2025</t>
        </is>
      </c>
      <c r="B246" s="1" t="n">
        <v>45698</v>
      </c>
      <c r="C246" s="1" t="n">
        <v>45891</v>
      </c>
      <c r="D246" t="inlineStr">
        <is>
          <t>VÄSTMANLANDS LÄN</t>
        </is>
      </c>
      <c r="E246" t="inlineStr">
        <is>
          <t>SALA</t>
        </is>
      </c>
      <c r="F246" t="inlineStr">
        <is>
          <t>Bergvik skog öst AB</t>
        </is>
      </c>
      <c r="G246" t="n">
        <v>4.3</v>
      </c>
      <c r="H246" t="n">
        <v>0</v>
      </c>
      <c r="I246" t="n">
        <v>0</v>
      </c>
      <c r="J246" t="n">
        <v>0</v>
      </c>
      <c r="K246" t="n">
        <v>0</v>
      </c>
      <c r="L246" t="n">
        <v>0</v>
      </c>
      <c r="M246" t="n">
        <v>0</v>
      </c>
      <c r="N246" t="n">
        <v>0</v>
      </c>
      <c r="O246" t="n">
        <v>0</v>
      </c>
      <c r="P246" t="n">
        <v>0</v>
      </c>
      <c r="Q246" t="n">
        <v>0</v>
      </c>
      <c r="R246" s="2" t="inlineStr"/>
    </row>
    <row r="247" ht="15" customHeight="1">
      <c r="A247" t="inlineStr">
        <is>
          <t>A 15272-2025</t>
        </is>
      </c>
      <c r="B247" s="1" t="n">
        <v>45744</v>
      </c>
      <c r="C247" s="1" t="n">
        <v>45891</v>
      </c>
      <c r="D247" t="inlineStr">
        <is>
          <t>VÄSTMANLANDS LÄN</t>
        </is>
      </c>
      <c r="E247" t="inlineStr">
        <is>
          <t>SALA</t>
        </is>
      </c>
      <c r="G247" t="n">
        <v>0.7</v>
      </c>
      <c r="H247" t="n">
        <v>0</v>
      </c>
      <c r="I247" t="n">
        <v>0</v>
      </c>
      <c r="J247" t="n">
        <v>0</v>
      </c>
      <c r="K247" t="n">
        <v>0</v>
      </c>
      <c r="L247" t="n">
        <v>0</v>
      </c>
      <c r="M247" t="n">
        <v>0</v>
      </c>
      <c r="N247" t="n">
        <v>0</v>
      </c>
      <c r="O247" t="n">
        <v>0</v>
      </c>
      <c r="P247" t="n">
        <v>0</v>
      </c>
      <c r="Q247" t="n">
        <v>0</v>
      </c>
      <c r="R247" s="2" t="inlineStr"/>
    </row>
    <row r="248" ht="15" customHeight="1">
      <c r="A248" t="inlineStr">
        <is>
          <t>A 19803-2024</t>
        </is>
      </c>
      <c r="B248" s="1" t="n">
        <v>45432</v>
      </c>
      <c r="C248" s="1" t="n">
        <v>45891</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24248-2023</t>
        </is>
      </c>
      <c r="B249" s="1" t="n">
        <v>45079</v>
      </c>
      <c r="C249" s="1" t="n">
        <v>45891</v>
      </c>
      <c r="D249" t="inlineStr">
        <is>
          <t>VÄSTMANLANDS LÄN</t>
        </is>
      </c>
      <c r="E249" t="inlineStr">
        <is>
          <t>SALA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49512-2024</t>
        </is>
      </c>
      <c r="B250" s="1" t="n">
        <v>45591</v>
      </c>
      <c r="C250" s="1" t="n">
        <v>45891</v>
      </c>
      <c r="D250" t="inlineStr">
        <is>
          <t>VÄSTMANLANDS LÄN</t>
        </is>
      </c>
      <c r="E250" t="inlineStr">
        <is>
          <t>SALA</t>
        </is>
      </c>
      <c r="G250" t="n">
        <v>8.1</v>
      </c>
      <c r="H250" t="n">
        <v>0</v>
      </c>
      <c r="I250" t="n">
        <v>0</v>
      </c>
      <c r="J250" t="n">
        <v>0</v>
      </c>
      <c r="K250" t="n">
        <v>0</v>
      </c>
      <c r="L250" t="n">
        <v>0</v>
      </c>
      <c r="M250" t="n">
        <v>0</v>
      </c>
      <c r="N250" t="n">
        <v>0</v>
      </c>
      <c r="O250" t="n">
        <v>0</v>
      </c>
      <c r="P250" t="n">
        <v>0</v>
      </c>
      <c r="Q250" t="n">
        <v>0</v>
      </c>
      <c r="R250" s="2" t="inlineStr"/>
    </row>
    <row r="251" ht="15" customHeight="1">
      <c r="A251" t="inlineStr">
        <is>
          <t>A 38195-2021</t>
        </is>
      </c>
      <c r="B251" s="1" t="n">
        <v>44405</v>
      </c>
      <c r="C251" s="1" t="n">
        <v>45891</v>
      </c>
      <c r="D251" t="inlineStr">
        <is>
          <t>VÄSTMANLANDS LÄN</t>
        </is>
      </c>
      <c r="E251" t="inlineStr">
        <is>
          <t>SALA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27228-2023</t>
        </is>
      </c>
      <c r="B252" s="1" t="n">
        <v>45096.59189814814</v>
      </c>
      <c r="C252" s="1" t="n">
        <v>45891</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19396-2025</t>
        </is>
      </c>
      <c r="B253" s="1" t="n">
        <v>45769</v>
      </c>
      <c r="C253" s="1" t="n">
        <v>45891</v>
      </c>
      <c r="D253" t="inlineStr">
        <is>
          <t>VÄSTMANLANDS LÄN</t>
        </is>
      </c>
      <c r="E253" t="inlineStr">
        <is>
          <t>SALA</t>
        </is>
      </c>
      <c r="G253" t="n">
        <v>1.5</v>
      </c>
      <c r="H253" t="n">
        <v>0</v>
      </c>
      <c r="I253" t="n">
        <v>0</v>
      </c>
      <c r="J253" t="n">
        <v>0</v>
      </c>
      <c r="K253" t="n">
        <v>0</v>
      </c>
      <c r="L253" t="n">
        <v>0</v>
      </c>
      <c r="M253" t="n">
        <v>0</v>
      </c>
      <c r="N253" t="n">
        <v>0</v>
      </c>
      <c r="O253" t="n">
        <v>0</v>
      </c>
      <c r="P253" t="n">
        <v>0</v>
      </c>
      <c r="Q253" t="n">
        <v>0</v>
      </c>
      <c r="R253" s="2" t="inlineStr"/>
    </row>
    <row r="254" ht="15" customHeight="1">
      <c r="A254" t="inlineStr">
        <is>
          <t>A 13128-2023</t>
        </is>
      </c>
      <c r="B254" s="1" t="n">
        <v>45002</v>
      </c>
      <c r="C254" s="1" t="n">
        <v>45891</v>
      </c>
      <c r="D254" t="inlineStr">
        <is>
          <t>VÄSTMANLANDS LÄN</t>
        </is>
      </c>
      <c r="E254" t="inlineStr">
        <is>
          <t>SALA</t>
        </is>
      </c>
      <c r="G254" t="n">
        <v>7.9</v>
      </c>
      <c r="H254" t="n">
        <v>0</v>
      </c>
      <c r="I254" t="n">
        <v>0</v>
      </c>
      <c r="J254" t="n">
        <v>0</v>
      </c>
      <c r="K254" t="n">
        <v>0</v>
      </c>
      <c r="L254" t="n">
        <v>0</v>
      </c>
      <c r="M254" t="n">
        <v>0</v>
      </c>
      <c r="N254" t="n">
        <v>0</v>
      </c>
      <c r="O254" t="n">
        <v>0</v>
      </c>
      <c r="P254" t="n">
        <v>0</v>
      </c>
      <c r="Q254" t="n">
        <v>0</v>
      </c>
      <c r="R254" s="2" t="inlineStr"/>
    </row>
    <row r="255" ht="15" customHeight="1">
      <c r="A255" t="inlineStr">
        <is>
          <t>A 37958-2024</t>
        </is>
      </c>
      <c r="B255" s="1" t="n">
        <v>45544</v>
      </c>
      <c r="C255" s="1" t="n">
        <v>45891</v>
      </c>
      <c r="D255" t="inlineStr">
        <is>
          <t>VÄSTMANLANDS LÄN</t>
        </is>
      </c>
      <c r="E255" t="inlineStr">
        <is>
          <t>SALA</t>
        </is>
      </c>
      <c r="G255" t="n">
        <v>5.6</v>
      </c>
      <c r="H255" t="n">
        <v>0</v>
      </c>
      <c r="I255" t="n">
        <v>0</v>
      </c>
      <c r="J255" t="n">
        <v>0</v>
      </c>
      <c r="K255" t="n">
        <v>0</v>
      </c>
      <c r="L255" t="n">
        <v>0</v>
      </c>
      <c r="M255" t="n">
        <v>0</v>
      </c>
      <c r="N255" t="n">
        <v>0</v>
      </c>
      <c r="O255" t="n">
        <v>0</v>
      </c>
      <c r="P255" t="n">
        <v>0</v>
      </c>
      <c r="Q255" t="n">
        <v>0</v>
      </c>
      <c r="R255" s="2" t="inlineStr"/>
    </row>
    <row r="256" ht="15" customHeight="1">
      <c r="A256" t="inlineStr">
        <is>
          <t>A 24864-2024</t>
        </is>
      </c>
      <c r="B256" s="1" t="n">
        <v>45461.48888888889</v>
      </c>
      <c r="C256" s="1" t="n">
        <v>45891</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17719-2025</t>
        </is>
      </c>
      <c r="B257" s="1" t="n">
        <v>45758.45111111111</v>
      </c>
      <c r="C257" s="1" t="n">
        <v>45891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1118-2024</t>
        </is>
      </c>
      <c r="B258" s="1" t="n">
        <v>45302</v>
      </c>
      <c r="C258" s="1" t="n">
        <v>45891</v>
      </c>
      <c r="D258" t="inlineStr">
        <is>
          <t>VÄSTMANLANDS LÄN</t>
        </is>
      </c>
      <c r="E258" t="inlineStr">
        <is>
          <t>SALA</t>
        </is>
      </c>
      <c r="G258" t="n">
        <v>1.9</v>
      </c>
      <c r="H258" t="n">
        <v>0</v>
      </c>
      <c r="I258" t="n">
        <v>0</v>
      </c>
      <c r="J258" t="n">
        <v>0</v>
      </c>
      <c r="K258" t="n">
        <v>0</v>
      </c>
      <c r="L258" t="n">
        <v>0</v>
      </c>
      <c r="M258" t="n">
        <v>0</v>
      </c>
      <c r="N258" t="n">
        <v>0</v>
      </c>
      <c r="O258" t="n">
        <v>0</v>
      </c>
      <c r="P258" t="n">
        <v>0</v>
      </c>
      <c r="Q258" t="n">
        <v>0</v>
      </c>
      <c r="R258" s="2" t="inlineStr"/>
    </row>
    <row r="259" ht="15" customHeight="1">
      <c r="A259" t="inlineStr">
        <is>
          <t>A 63933-2023</t>
        </is>
      </c>
      <c r="B259" s="1" t="n">
        <v>45278</v>
      </c>
      <c r="C259" s="1" t="n">
        <v>45891</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18431-2023</t>
        </is>
      </c>
      <c r="B260" s="1" t="n">
        <v>45042</v>
      </c>
      <c r="C260" s="1" t="n">
        <v>45891</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53838-2022</t>
        </is>
      </c>
      <c r="B261" s="1" t="n">
        <v>44880.59363425926</v>
      </c>
      <c r="C261" s="1" t="n">
        <v>45891</v>
      </c>
      <c r="D261" t="inlineStr">
        <is>
          <t>VÄSTMANLANDS LÄN</t>
        </is>
      </c>
      <c r="E261" t="inlineStr">
        <is>
          <t>SALA</t>
        </is>
      </c>
      <c r="G261" t="n">
        <v>3.9</v>
      </c>
      <c r="H261" t="n">
        <v>0</v>
      </c>
      <c r="I261" t="n">
        <v>0</v>
      </c>
      <c r="J261" t="n">
        <v>0</v>
      </c>
      <c r="K261" t="n">
        <v>0</v>
      </c>
      <c r="L261" t="n">
        <v>0</v>
      </c>
      <c r="M261" t="n">
        <v>0</v>
      </c>
      <c r="N261" t="n">
        <v>0</v>
      </c>
      <c r="O261" t="n">
        <v>0</v>
      </c>
      <c r="P261" t="n">
        <v>0</v>
      </c>
      <c r="Q261" t="n">
        <v>0</v>
      </c>
      <c r="R261" s="2" t="inlineStr"/>
    </row>
    <row r="262" ht="15" customHeight="1">
      <c r="A262" t="inlineStr">
        <is>
          <t>A 37190-2024</t>
        </is>
      </c>
      <c r="B262" s="1" t="n">
        <v>45539</v>
      </c>
      <c r="C262" s="1" t="n">
        <v>45891</v>
      </c>
      <c r="D262" t="inlineStr">
        <is>
          <t>VÄSTMANLANDS LÄN</t>
        </is>
      </c>
      <c r="E262" t="inlineStr">
        <is>
          <t>SALA</t>
        </is>
      </c>
      <c r="G262" t="n">
        <v>0.9</v>
      </c>
      <c r="H262" t="n">
        <v>0</v>
      </c>
      <c r="I262" t="n">
        <v>0</v>
      </c>
      <c r="J262" t="n">
        <v>0</v>
      </c>
      <c r="K262" t="n">
        <v>0</v>
      </c>
      <c r="L262" t="n">
        <v>0</v>
      </c>
      <c r="M262" t="n">
        <v>0</v>
      </c>
      <c r="N262" t="n">
        <v>0</v>
      </c>
      <c r="O262" t="n">
        <v>0</v>
      </c>
      <c r="P262" t="n">
        <v>0</v>
      </c>
      <c r="Q262" t="n">
        <v>0</v>
      </c>
      <c r="R262" s="2" t="inlineStr"/>
    </row>
    <row r="263" ht="15" customHeight="1">
      <c r="A263" t="inlineStr">
        <is>
          <t>A 17985-2025</t>
        </is>
      </c>
      <c r="B263" s="1" t="n">
        <v>45761</v>
      </c>
      <c r="C263" s="1" t="n">
        <v>45891</v>
      </c>
      <c r="D263" t="inlineStr">
        <is>
          <t>VÄSTMANLANDS LÄN</t>
        </is>
      </c>
      <c r="E263" t="inlineStr">
        <is>
          <t>SALA</t>
        </is>
      </c>
      <c r="G263" t="n">
        <v>12.5</v>
      </c>
      <c r="H263" t="n">
        <v>0</v>
      </c>
      <c r="I263" t="n">
        <v>0</v>
      </c>
      <c r="J263" t="n">
        <v>0</v>
      </c>
      <c r="K263" t="n">
        <v>0</v>
      </c>
      <c r="L263" t="n">
        <v>0</v>
      </c>
      <c r="M263" t="n">
        <v>0</v>
      </c>
      <c r="N263" t="n">
        <v>0</v>
      </c>
      <c r="O263" t="n">
        <v>0</v>
      </c>
      <c r="P263" t="n">
        <v>0</v>
      </c>
      <c r="Q263" t="n">
        <v>0</v>
      </c>
      <c r="R263" s="2" t="inlineStr"/>
    </row>
    <row r="264" ht="15" customHeight="1">
      <c r="A264" t="inlineStr">
        <is>
          <t>A 39439-2021</t>
        </is>
      </c>
      <c r="B264" s="1" t="n">
        <v>44414</v>
      </c>
      <c r="C264" s="1" t="n">
        <v>45891</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54923-2020</t>
        </is>
      </c>
      <c r="B265" s="1" t="n">
        <v>44127</v>
      </c>
      <c r="C265" s="1" t="n">
        <v>45891</v>
      </c>
      <c r="D265" t="inlineStr">
        <is>
          <t>VÄSTMANLANDS LÄN</t>
        </is>
      </c>
      <c r="E265" t="inlineStr">
        <is>
          <t>SALA</t>
        </is>
      </c>
      <c r="G265" t="n">
        <v>4.9</v>
      </c>
      <c r="H265" t="n">
        <v>0</v>
      </c>
      <c r="I265" t="n">
        <v>0</v>
      </c>
      <c r="J265" t="n">
        <v>0</v>
      </c>
      <c r="K265" t="n">
        <v>0</v>
      </c>
      <c r="L265" t="n">
        <v>0</v>
      </c>
      <c r="M265" t="n">
        <v>0</v>
      </c>
      <c r="N265" t="n">
        <v>0</v>
      </c>
      <c r="O265" t="n">
        <v>0</v>
      </c>
      <c r="P265" t="n">
        <v>0</v>
      </c>
      <c r="Q265" t="n">
        <v>0</v>
      </c>
      <c r="R265" s="2" t="inlineStr"/>
    </row>
    <row r="266" ht="15" customHeight="1">
      <c r="A266" t="inlineStr">
        <is>
          <t>A 54771-2024</t>
        </is>
      </c>
      <c r="B266" s="1" t="n">
        <v>45618</v>
      </c>
      <c r="C266" s="1" t="n">
        <v>45891</v>
      </c>
      <c r="D266" t="inlineStr">
        <is>
          <t>VÄSTMANLANDS LÄN</t>
        </is>
      </c>
      <c r="E266" t="inlineStr">
        <is>
          <t>SALA</t>
        </is>
      </c>
      <c r="G266" t="n">
        <v>2.8</v>
      </c>
      <c r="H266" t="n">
        <v>0</v>
      </c>
      <c r="I266" t="n">
        <v>0</v>
      </c>
      <c r="J266" t="n">
        <v>0</v>
      </c>
      <c r="K266" t="n">
        <v>0</v>
      </c>
      <c r="L266" t="n">
        <v>0</v>
      </c>
      <c r="M266" t="n">
        <v>0</v>
      </c>
      <c r="N266" t="n">
        <v>0</v>
      </c>
      <c r="O266" t="n">
        <v>0</v>
      </c>
      <c r="P266" t="n">
        <v>0</v>
      </c>
      <c r="Q266" t="n">
        <v>0</v>
      </c>
      <c r="R266" s="2" t="inlineStr"/>
    </row>
    <row r="267" ht="15" customHeight="1">
      <c r="A267" t="inlineStr">
        <is>
          <t>A 25260-2023</t>
        </is>
      </c>
      <c r="B267" s="1" t="n">
        <v>45086</v>
      </c>
      <c r="C267" s="1" t="n">
        <v>45891</v>
      </c>
      <c r="D267" t="inlineStr">
        <is>
          <t>VÄSTMANLANDS LÄN</t>
        </is>
      </c>
      <c r="E267" t="inlineStr">
        <is>
          <t>SALA</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57650-2024</t>
        </is>
      </c>
      <c r="B268" s="1" t="n">
        <v>45630</v>
      </c>
      <c r="C268" s="1" t="n">
        <v>45891</v>
      </c>
      <c r="D268" t="inlineStr">
        <is>
          <t>VÄSTMANLANDS LÄN</t>
        </is>
      </c>
      <c r="E268" t="inlineStr">
        <is>
          <t>SALA</t>
        </is>
      </c>
      <c r="G268" t="n">
        <v>0.6</v>
      </c>
      <c r="H268" t="n">
        <v>0</v>
      </c>
      <c r="I268" t="n">
        <v>0</v>
      </c>
      <c r="J268" t="n">
        <v>0</v>
      </c>
      <c r="K268" t="n">
        <v>0</v>
      </c>
      <c r="L268" t="n">
        <v>0</v>
      </c>
      <c r="M268" t="n">
        <v>0</v>
      </c>
      <c r="N268" t="n">
        <v>0</v>
      </c>
      <c r="O268" t="n">
        <v>0</v>
      </c>
      <c r="P268" t="n">
        <v>0</v>
      </c>
      <c r="Q268" t="n">
        <v>0</v>
      </c>
      <c r="R268" s="2" t="inlineStr"/>
    </row>
    <row r="269" ht="15" customHeight="1">
      <c r="A269" t="inlineStr">
        <is>
          <t>A 16769-2024</t>
        </is>
      </c>
      <c r="B269" s="1" t="n">
        <v>45411.38738425926</v>
      </c>
      <c r="C269" s="1" t="n">
        <v>45891</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10255-2024</t>
        </is>
      </c>
      <c r="B270" s="1" t="n">
        <v>45365</v>
      </c>
      <c r="C270" s="1" t="n">
        <v>45891</v>
      </c>
      <c r="D270" t="inlineStr">
        <is>
          <t>VÄSTMANLANDS LÄN</t>
        </is>
      </c>
      <c r="E270" t="inlineStr">
        <is>
          <t>SALA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60249-2023</t>
        </is>
      </c>
      <c r="B271" s="1" t="n">
        <v>45258</v>
      </c>
      <c r="C271" s="1" t="n">
        <v>45891</v>
      </c>
      <c r="D271" t="inlineStr">
        <is>
          <t>VÄSTMANLANDS LÄN</t>
        </is>
      </c>
      <c r="E271" t="inlineStr">
        <is>
          <t>SALA</t>
        </is>
      </c>
      <c r="G271" t="n">
        <v>2</v>
      </c>
      <c r="H271" t="n">
        <v>0</v>
      </c>
      <c r="I271" t="n">
        <v>0</v>
      </c>
      <c r="J271" t="n">
        <v>0</v>
      </c>
      <c r="K271" t="n">
        <v>0</v>
      </c>
      <c r="L271" t="n">
        <v>0</v>
      </c>
      <c r="M271" t="n">
        <v>0</v>
      </c>
      <c r="N271" t="n">
        <v>0</v>
      </c>
      <c r="O271" t="n">
        <v>0</v>
      </c>
      <c r="P271" t="n">
        <v>0</v>
      </c>
      <c r="Q271" t="n">
        <v>0</v>
      </c>
      <c r="R271" s="2" t="inlineStr"/>
    </row>
    <row r="272" ht="15" customHeight="1">
      <c r="A272" t="inlineStr">
        <is>
          <t>A 14271-2025</t>
        </is>
      </c>
      <c r="B272" s="1" t="n">
        <v>45740.64129629629</v>
      </c>
      <c r="C272" s="1" t="n">
        <v>45891</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69232-2021</t>
        </is>
      </c>
      <c r="B273" s="1" t="n">
        <v>44531.39696759259</v>
      </c>
      <c r="C273" s="1" t="n">
        <v>45891</v>
      </c>
      <c r="D273" t="inlineStr">
        <is>
          <t>VÄSTMANLANDS LÄN</t>
        </is>
      </c>
      <c r="E273" t="inlineStr">
        <is>
          <t>SALA</t>
        </is>
      </c>
      <c r="G273" t="n">
        <v>2.3</v>
      </c>
      <c r="H273" t="n">
        <v>0</v>
      </c>
      <c r="I273" t="n">
        <v>0</v>
      </c>
      <c r="J273" t="n">
        <v>0</v>
      </c>
      <c r="K273" t="n">
        <v>0</v>
      </c>
      <c r="L273" t="n">
        <v>0</v>
      </c>
      <c r="M273" t="n">
        <v>0</v>
      </c>
      <c r="N273" t="n">
        <v>0</v>
      </c>
      <c r="O273" t="n">
        <v>0</v>
      </c>
      <c r="P273" t="n">
        <v>0</v>
      </c>
      <c r="Q273" t="n">
        <v>0</v>
      </c>
      <c r="R273" s="2" t="inlineStr"/>
    </row>
    <row r="274" ht="15" customHeight="1">
      <c r="A274" t="inlineStr">
        <is>
          <t>A 11389-2024</t>
        </is>
      </c>
      <c r="B274" s="1" t="n">
        <v>45372.45016203704</v>
      </c>
      <c r="C274" s="1" t="n">
        <v>45891</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56706-2022</t>
        </is>
      </c>
      <c r="B275" s="1" t="n">
        <v>44893.78893518518</v>
      </c>
      <c r="C275" s="1" t="n">
        <v>45891</v>
      </c>
      <c r="D275" t="inlineStr">
        <is>
          <t>VÄSTMANLANDS LÄN</t>
        </is>
      </c>
      <c r="E275" t="inlineStr">
        <is>
          <t>SALA</t>
        </is>
      </c>
      <c r="G275" t="n">
        <v>4.5</v>
      </c>
      <c r="H275" t="n">
        <v>0</v>
      </c>
      <c r="I275" t="n">
        <v>0</v>
      </c>
      <c r="J275" t="n">
        <v>0</v>
      </c>
      <c r="K275" t="n">
        <v>0</v>
      </c>
      <c r="L275" t="n">
        <v>0</v>
      </c>
      <c r="M275" t="n">
        <v>0</v>
      </c>
      <c r="N275" t="n">
        <v>0</v>
      </c>
      <c r="O275" t="n">
        <v>0</v>
      </c>
      <c r="P275" t="n">
        <v>0</v>
      </c>
      <c r="Q275" t="n">
        <v>0</v>
      </c>
      <c r="R275" s="2" t="inlineStr"/>
    </row>
    <row r="276" ht="15" customHeight="1">
      <c r="A276" t="inlineStr">
        <is>
          <t>A 56707-2022</t>
        </is>
      </c>
      <c r="B276" s="1" t="n">
        <v>44893.79412037037</v>
      </c>
      <c r="C276" s="1" t="n">
        <v>45891</v>
      </c>
      <c r="D276" t="inlineStr">
        <is>
          <t>VÄSTMANLANDS LÄN</t>
        </is>
      </c>
      <c r="E276" t="inlineStr">
        <is>
          <t>SALA</t>
        </is>
      </c>
      <c r="G276" t="n">
        <v>1</v>
      </c>
      <c r="H276" t="n">
        <v>0</v>
      </c>
      <c r="I276" t="n">
        <v>0</v>
      </c>
      <c r="J276" t="n">
        <v>0</v>
      </c>
      <c r="K276" t="n">
        <v>0</v>
      </c>
      <c r="L276" t="n">
        <v>0</v>
      </c>
      <c r="M276" t="n">
        <v>0</v>
      </c>
      <c r="N276" t="n">
        <v>0</v>
      </c>
      <c r="O276" t="n">
        <v>0</v>
      </c>
      <c r="P276" t="n">
        <v>0</v>
      </c>
      <c r="Q276" t="n">
        <v>0</v>
      </c>
      <c r="R276" s="2" t="inlineStr"/>
    </row>
    <row r="277" ht="15" customHeight="1">
      <c r="A277" t="inlineStr">
        <is>
          <t>A 30971-2022</t>
        </is>
      </c>
      <c r="B277" s="1" t="n">
        <v>44768.46725694444</v>
      </c>
      <c r="C277" s="1" t="n">
        <v>45891</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28328-2023</t>
        </is>
      </c>
      <c r="B278" s="1" t="n">
        <v>45099.71063657408</v>
      </c>
      <c r="C278" s="1" t="n">
        <v>45891</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28696-2023</t>
        </is>
      </c>
      <c r="B279" s="1" t="n">
        <v>45103.71759259259</v>
      </c>
      <c r="C279" s="1" t="n">
        <v>45891</v>
      </c>
      <c r="D279" t="inlineStr">
        <is>
          <t>VÄSTMANLANDS LÄN</t>
        </is>
      </c>
      <c r="E279" t="inlineStr">
        <is>
          <t>SALA</t>
        </is>
      </c>
      <c r="F279" t="inlineStr">
        <is>
          <t>Kommuner</t>
        </is>
      </c>
      <c r="G279" t="n">
        <v>5.9</v>
      </c>
      <c r="H279" t="n">
        <v>0</v>
      </c>
      <c r="I279" t="n">
        <v>0</v>
      </c>
      <c r="J279" t="n">
        <v>0</v>
      </c>
      <c r="K279" t="n">
        <v>0</v>
      </c>
      <c r="L279" t="n">
        <v>0</v>
      </c>
      <c r="M279" t="n">
        <v>0</v>
      </c>
      <c r="N279" t="n">
        <v>0</v>
      </c>
      <c r="O279" t="n">
        <v>0</v>
      </c>
      <c r="P279" t="n">
        <v>0</v>
      </c>
      <c r="Q279" t="n">
        <v>0</v>
      </c>
      <c r="R279" s="2" t="inlineStr"/>
    </row>
    <row r="280" ht="15" customHeight="1">
      <c r="A280" t="inlineStr">
        <is>
          <t>A 40085-2024</t>
        </is>
      </c>
      <c r="B280" s="1" t="n">
        <v>45554</v>
      </c>
      <c r="C280" s="1" t="n">
        <v>45891</v>
      </c>
      <c r="D280" t="inlineStr">
        <is>
          <t>VÄSTMANLANDS LÄN</t>
        </is>
      </c>
      <c r="E280" t="inlineStr">
        <is>
          <t>SALA</t>
        </is>
      </c>
      <c r="G280" t="n">
        <v>2.8</v>
      </c>
      <c r="H280" t="n">
        <v>0</v>
      </c>
      <c r="I280" t="n">
        <v>0</v>
      </c>
      <c r="J280" t="n">
        <v>0</v>
      </c>
      <c r="K280" t="n">
        <v>0</v>
      </c>
      <c r="L280" t="n">
        <v>0</v>
      </c>
      <c r="M280" t="n">
        <v>0</v>
      </c>
      <c r="N280" t="n">
        <v>0</v>
      </c>
      <c r="O280" t="n">
        <v>0</v>
      </c>
      <c r="P280" t="n">
        <v>0</v>
      </c>
      <c r="Q280" t="n">
        <v>0</v>
      </c>
      <c r="R280" s="2" t="inlineStr"/>
    </row>
    <row r="281" ht="15" customHeight="1">
      <c r="A281" t="inlineStr">
        <is>
          <t>A 31072-2021</t>
        </is>
      </c>
      <c r="B281" s="1" t="n">
        <v>44368</v>
      </c>
      <c r="C281" s="1" t="n">
        <v>45891</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16543-2023</t>
        </is>
      </c>
      <c r="B282" s="1" t="n">
        <v>45029</v>
      </c>
      <c r="C282" s="1" t="n">
        <v>45891</v>
      </c>
      <c r="D282" t="inlineStr">
        <is>
          <t>VÄSTMANLANDS LÄN</t>
        </is>
      </c>
      <c r="E282" t="inlineStr">
        <is>
          <t>SALA</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39818-2020</t>
        </is>
      </c>
      <c r="B283" s="1" t="n">
        <v>44067</v>
      </c>
      <c r="C283" s="1" t="n">
        <v>45891</v>
      </c>
      <c r="D283" t="inlineStr">
        <is>
          <t>VÄSTMANLANDS LÄN</t>
        </is>
      </c>
      <c r="E283" t="inlineStr">
        <is>
          <t>SALA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22523-2023</t>
        </is>
      </c>
      <c r="B284" s="1" t="n">
        <v>45069</v>
      </c>
      <c r="C284" s="1" t="n">
        <v>45891</v>
      </c>
      <c r="D284" t="inlineStr">
        <is>
          <t>VÄSTMANLANDS LÄN</t>
        </is>
      </c>
      <c r="E284" t="inlineStr">
        <is>
          <t>SALA</t>
        </is>
      </c>
      <c r="G284" t="n">
        <v>2.4</v>
      </c>
      <c r="H284" t="n">
        <v>0</v>
      </c>
      <c r="I284" t="n">
        <v>0</v>
      </c>
      <c r="J284" t="n">
        <v>0</v>
      </c>
      <c r="K284" t="n">
        <v>0</v>
      </c>
      <c r="L284" t="n">
        <v>0</v>
      </c>
      <c r="M284" t="n">
        <v>0</v>
      </c>
      <c r="N284" t="n">
        <v>0</v>
      </c>
      <c r="O284" t="n">
        <v>0</v>
      </c>
      <c r="P284" t="n">
        <v>0</v>
      </c>
      <c r="Q284" t="n">
        <v>0</v>
      </c>
      <c r="R284" s="2" t="inlineStr"/>
    </row>
    <row r="285" ht="15" customHeight="1">
      <c r="A285" t="inlineStr">
        <is>
          <t>A 18158-2025</t>
        </is>
      </c>
      <c r="B285" s="1" t="n">
        <v>45761</v>
      </c>
      <c r="C285" s="1" t="n">
        <v>45891</v>
      </c>
      <c r="D285" t="inlineStr">
        <is>
          <t>VÄSTMANLANDS LÄN</t>
        </is>
      </c>
      <c r="E285" t="inlineStr">
        <is>
          <t>SALA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49661-2024</t>
        </is>
      </c>
      <c r="B286" s="1" t="n">
        <v>45596</v>
      </c>
      <c r="C286" s="1" t="n">
        <v>45891</v>
      </c>
      <c r="D286" t="inlineStr">
        <is>
          <t>VÄSTMANLANDS LÄN</t>
        </is>
      </c>
      <c r="E286" t="inlineStr">
        <is>
          <t>SALA</t>
        </is>
      </c>
      <c r="G286" t="n">
        <v>6.7</v>
      </c>
      <c r="H286" t="n">
        <v>0</v>
      </c>
      <c r="I286" t="n">
        <v>0</v>
      </c>
      <c r="J286" t="n">
        <v>0</v>
      </c>
      <c r="K286" t="n">
        <v>0</v>
      </c>
      <c r="L286" t="n">
        <v>0</v>
      </c>
      <c r="M286" t="n">
        <v>0</v>
      </c>
      <c r="N286" t="n">
        <v>0</v>
      </c>
      <c r="O286" t="n">
        <v>0</v>
      </c>
      <c r="P286" t="n">
        <v>0</v>
      </c>
      <c r="Q286" t="n">
        <v>0</v>
      </c>
      <c r="R286" s="2" t="inlineStr"/>
    </row>
    <row r="287" ht="15" customHeight="1">
      <c r="A287" t="inlineStr">
        <is>
          <t>A 4663-2022</t>
        </is>
      </c>
      <c r="B287" s="1" t="n">
        <v>44592.45429398148</v>
      </c>
      <c r="C287" s="1" t="n">
        <v>45891</v>
      </c>
      <c r="D287" t="inlineStr">
        <is>
          <t>VÄSTMANLANDS LÄN</t>
        </is>
      </c>
      <c r="E287" t="inlineStr">
        <is>
          <t>SALA</t>
        </is>
      </c>
      <c r="G287" t="n">
        <v>2.5</v>
      </c>
      <c r="H287" t="n">
        <v>0</v>
      </c>
      <c r="I287" t="n">
        <v>0</v>
      </c>
      <c r="J287" t="n">
        <v>0</v>
      </c>
      <c r="K287" t="n">
        <v>0</v>
      </c>
      <c r="L287" t="n">
        <v>0</v>
      </c>
      <c r="M287" t="n">
        <v>0</v>
      </c>
      <c r="N287" t="n">
        <v>0</v>
      </c>
      <c r="O287" t="n">
        <v>0</v>
      </c>
      <c r="P287" t="n">
        <v>0</v>
      </c>
      <c r="Q287" t="n">
        <v>0</v>
      </c>
      <c r="R287" s="2" t="inlineStr"/>
    </row>
    <row r="288" ht="15" customHeight="1">
      <c r="A288" t="inlineStr">
        <is>
          <t>A 6132-2025</t>
        </is>
      </c>
      <c r="B288" s="1" t="n">
        <v>45698</v>
      </c>
      <c r="C288" s="1" t="n">
        <v>45891</v>
      </c>
      <c r="D288" t="inlineStr">
        <is>
          <t>VÄSTMANLANDS LÄN</t>
        </is>
      </c>
      <c r="E288" t="inlineStr">
        <is>
          <t>SALA</t>
        </is>
      </c>
      <c r="F288" t="inlineStr">
        <is>
          <t>Bergvik skog öst AB</t>
        </is>
      </c>
      <c r="G288" t="n">
        <v>1.5</v>
      </c>
      <c r="H288" t="n">
        <v>0</v>
      </c>
      <c r="I288" t="n">
        <v>0</v>
      </c>
      <c r="J288" t="n">
        <v>0</v>
      </c>
      <c r="K288" t="n">
        <v>0</v>
      </c>
      <c r="L288" t="n">
        <v>0</v>
      </c>
      <c r="M288" t="n">
        <v>0</v>
      </c>
      <c r="N288" t="n">
        <v>0</v>
      </c>
      <c r="O288" t="n">
        <v>0</v>
      </c>
      <c r="P288" t="n">
        <v>0</v>
      </c>
      <c r="Q288" t="n">
        <v>0</v>
      </c>
      <c r="R288" s="2" t="inlineStr"/>
    </row>
    <row r="289" ht="15" customHeight="1">
      <c r="A289" t="inlineStr">
        <is>
          <t>A 2900-2023</t>
        </is>
      </c>
      <c r="B289" s="1" t="n">
        <v>44943</v>
      </c>
      <c r="C289" s="1" t="n">
        <v>45891</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31859-2023</t>
        </is>
      </c>
      <c r="B290" s="1" t="n">
        <v>45118</v>
      </c>
      <c r="C290" s="1" t="n">
        <v>45891</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c r="U290">
        <f>HYPERLINK("https://klasma.github.io/Logging_1981/knärot/A 31859-2023 karta knärot.png", "A 31859-2023")</f>
        <v/>
      </c>
      <c r="V290">
        <f>HYPERLINK("https://klasma.github.io/Logging_1981/klagomål/A 31859-2023 FSC-klagomål.docx", "A 31859-2023")</f>
        <v/>
      </c>
      <c r="W290">
        <f>HYPERLINK("https://klasma.github.io/Logging_1981/klagomålsmail/A 31859-2023 FSC-klagomål mail.docx", "A 31859-2023")</f>
        <v/>
      </c>
      <c r="X290">
        <f>HYPERLINK("https://klasma.github.io/Logging_1981/tillsyn/A 31859-2023 tillsynsbegäran.docx", "A 31859-2023")</f>
        <v/>
      </c>
      <c r="Y290">
        <f>HYPERLINK("https://klasma.github.io/Logging_1981/tillsynsmail/A 31859-2023 tillsynsbegäran mail.docx", "A 31859-2023")</f>
        <v/>
      </c>
    </row>
    <row r="291" ht="15" customHeight="1">
      <c r="A291" t="inlineStr">
        <is>
          <t>A 61681-2024</t>
        </is>
      </c>
      <c r="B291" s="1" t="n">
        <v>45647</v>
      </c>
      <c r="C291" s="1" t="n">
        <v>45891</v>
      </c>
      <c r="D291" t="inlineStr">
        <is>
          <t>VÄSTMANLANDS LÄN</t>
        </is>
      </c>
      <c r="E291" t="inlineStr">
        <is>
          <t>SALA</t>
        </is>
      </c>
      <c r="F291" t="inlineStr">
        <is>
          <t>Kommuner</t>
        </is>
      </c>
      <c r="G291" t="n">
        <v>1</v>
      </c>
      <c r="H291" t="n">
        <v>0</v>
      </c>
      <c r="I291" t="n">
        <v>0</v>
      </c>
      <c r="J291" t="n">
        <v>0</v>
      </c>
      <c r="K291" t="n">
        <v>0</v>
      </c>
      <c r="L291" t="n">
        <v>0</v>
      </c>
      <c r="M291" t="n">
        <v>0</v>
      </c>
      <c r="N291" t="n">
        <v>0</v>
      </c>
      <c r="O291" t="n">
        <v>0</v>
      </c>
      <c r="P291" t="n">
        <v>0</v>
      </c>
      <c r="Q291" t="n">
        <v>0</v>
      </c>
      <c r="R291" s="2" t="inlineStr"/>
    </row>
    <row r="292" ht="15" customHeight="1">
      <c r="A292" t="inlineStr">
        <is>
          <t>A 54960-2024</t>
        </is>
      </c>
      <c r="B292" s="1" t="n">
        <v>45619.85208333333</v>
      </c>
      <c r="C292" s="1" t="n">
        <v>45891</v>
      </c>
      <c r="D292" t="inlineStr">
        <is>
          <t>VÄSTMANLANDS LÄN</t>
        </is>
      </c>
      <c r="E292" t="inlineStr">
        <is>
          <t>SALA</t>
        </is>
      </c>
      <c r="G292" t="n">
        <v>2.6</v>
      </c>
      <c r="H292" t="n">
        <v>0</v>
      </c>
      <c r="I292" t="n">
        <v>0</v>
      </c>
      <c r="J292" t="n">
        <v>0</v>
      </c>
      <c r="K292" t="n">
        <v>0</v>
      </c>
      <c r="L292" t="n">
        <v>0</v>
      </c>
      <c r="M292" t="n">
        <v>0</v>
      </c>
      <c r="N292" t="n">
        <v>0</v>
      </c>
      <c r="O292" t="n">
        <v>0</v>
      </c>
      <c r="P292" t="n">
        <v>0</v>
      </c>
      <c r="Q292" t="n">
        <v>0</v>
      </c>
      <c r="R292" s="2" t="inlineStr"/>
    </row>
    <row r="293" ht="15" customHeight="1">
      <c r="A293" t="inlineStr">
        <is>
          <t>A 35519-2024</t>
        </is>
      </c>
      <c r="B293" s="1" t="n">
        <v>45531</v>
      </c>
      <c r="C293" s="1" t="n">
        <v>45891</v>
      </c>
      <c r="D293" t="inlineStr">
        <is>
          <t>VÄSTMANLANDS LÄN</t>
        </is>
      </c>
      <c r="E293" t="inlineStr">
        <is>
          <t>SALA</t>
        </is>
      </c>
      <c r="G293" t="n">
        <v>1.8</v>
      </c>
      <c r="H293" t="n">
        <v>0</v>
      </c>
      <c r="I293" t="n">
        <v>0</v>
      </c>
      <c r="J293" t="n">
        <v>0</v>
      </c>
      <c r="K293" t="n">
        <v>0</v>
      </c>
      <c r="L293" t="n">
        <v>0</v>
      </c>
      <c r="M293" t="n">
        <v>0</v>
      </c>
      <c r="N293" t="n">
        <v>0</v>
      </c>
      <c r="O293" t="n">
        <v>0</v>
      </c>
      <c r="P293" t="n">
        <v>0</v>
      </c>
      <c r="Q293" t="n">
        <v>0</v>
      </c>
      <c r="R293" s="2" t="inlineStr"/>
    </row>
    <row r="294" ht="15" customHeight="1">
      <c r="A294" t="inlineStr">
        <is>
          <t>A 60730-2023</t>
        </is>
      </c>
      <c r="B294" s="1" t="n">
        <v>45260</v>
      </c>
      <c r="C294" s="1" t="n">
        <v>45891</v>
      </c>
      <c r="D294" t="inlineStr">
        <is>
          <t>VÄSTMANLANDS LÄN</t>
        </is>
      </c>
      <c r="E294" t="inlineStr">
        <is>
          <t>SALA</t>
        </is>
      </c>
      <c r="G294" t="n">
        <v>1.3</v>
      </c>
      <c r="H294" t="n">
        <v>0</v>
      </c>
      <c r="I294" t="n">
        <v>0</v>
      </c>
      <c r="J294" t="n">
        <v>0</v>
      </c>
      <c r="K294" t="n">
        <v>0</v>
      </c>
      <c r="L294" t="n">
        <v>0</v>
      </c>
      <c r="M294" t="n">
        <v>0</v>
      </c>
      <c r="N294" t="n">
        <v>0</v>
      </c>
      <c r="O294" t="n">
        <v>0</v>
      </c>
      <c r="P294" t="n">
        <v>0</v>
      </c>
      <c r="Q294" t="n">
        <v>0</v>
      </c>
      <c r="R294" s="2" t="inlineStr"/>
    </row>
    <row r="295" ht="15" customHeight="1">
      <c r="A295" t="inlineStr">
        <is>
          <t>A 60731-2023</t>
        </is>
      </c>
      <c r="B295" s="1" t="n">
        <v>45260</v>
      </c>
      <c r="C295" s="1" t="n">
        <v>45891</v>
      </c>
      <c r="D295" t="inlineStr">
        <is>
          <t>VÄSTMANLANDS LÄN</t>
        </is>
      </c>
      <c r="E295" t="inlineStr">
        <is>
          <t>SALA</t>
        </is>
      </c>
      <c r="G295" t="n">
        <v>1</v>
      </c>
      <c r="H295" t="n">
        <v>0</v>
      </c>
      <c r="I295" t="n">
        <v>0</v>
      </c>
      <c r="J295" t="n">
        <v>0</v>
      </c>
      <c r="K295" t="n">
        <v>0</v>
      </c>
      <c r="L295" t="n">
        <v>0</v>
      </c>
      <c r="M295" t="n">
        <v>0</v>
      </c>
      <c r="N295" t="n">
        <v>0</v>
      </c>
      <c r="O295" t="n">
        <v>0</v>
      </c>
      <c r="P295" t="n">
        <v>0</v>
      </c>
      <c r="Q295" t="n">
        <v>0</v>
      </c>
      <c r="R295" s="2" t="inlineStr"/>
    </row>
    <row r="296" ht="15" customHeight="1">
      <c r="A296" t="inlineStr">
        <is>
          <t>A 42345-2020</t>
        </is>
      </c>
      <c r="B296" s="1" t="n">
        <v>44076</v>
      </c>
      <c r="C296" s="1" t="n">
        <v>45891</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21968-2024</t>
        </is>
      </c>
      <c r="B297" s="1" t="n">
        <v>45443</v>
      </c>
      <c r="C297" s="1" t="n">
        <v>45891</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54347-2024</t>
        </is>
      </c>
      <c r="B298" s="1" t="n">
        <v>45617.39325231482</v>
      </c>
      <c r="C298" s="1" t="n">
        <v>45891</v>
      </c>
      <c r="D298" t="inlineStr">
        <is>
          <t>VÄSTMANLANDS LÄN</t>
        </is>
      </c>
      <c r="E298" t="inlineStr">
        <is>
          <t>SALA</t>
        </is>
      </c>
      <c r="G298" t="n">
        <v>2</v>
      </c>
      <c r="H298" t="n">
        <v>0</v>
      </c>
      <c r="I298" t="n">
        <v>0</v>
      </c>
      <c r="J298" t="n">
        <v>0</v>
      </c>
      <c r="K298" t="n">
        <v>0</v>
      </c>
      <c r="L298" t="n">
        <v>0</v>
      </c>
      <c r="M298" t="n">
        <v>0</v>
      </c>
      <c r="N298" t="n">
        <v>0</v>
      </c>
      <c r="O298" t="n">
        <v>0</v>
      </c>
      <c r="P298" t="n">
        <v>0</v>
      </c>
      <c r="Q298" t="n">
        <v>0</v>
      </c>
      <c r="R298" s="2" t="inlineStr"/>
    </row>
    <row r="299" ht="15" customHeight="1">
      <c r="A299" t="inlineStr">
        <is>
          <t>A 31082-2021</t>
        </is>
      </c>
      <c r="B299" s="1" t="n">
        <v>44368</v>
      </c>
      <c r="C299" s="1" t="n">
        <v>45891</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20352-2022</t>
        </is>
      </c>
      <c r="B300" s="1" t="n">
        <v>44699.37318287037</v>
      </c>
      <c r="C300" s="1" t="n">
        <v>45891</v>
      </c>
      <c r="D300" t="inlineStr">
        <is>
          <t>VÄSTMANLANDS LÄN</t>
        </is>
      </c>
      <c r="E300" t="inlineStr">
        <is>
          <t>SALA</t>
        </is>
      </c>
      <c r="G300" t="n">
        <v>1.3</v>
      </c>
      <c r="H300" t="n">
        <v>0</v>
      </c>
      <c r="I300" t="n">
        <v>0</v>
      </c>
      <c r="J300" t="n">
        <v>0</v>
      </c>
      <c r="K300" t="n">
        <v>0</v>
      </c>
      <c r="L300" t="n">
        <v>0</v>
      </c>
      <c r="M300" t="n">
        <v>0</v>
      </c>
      <c r="N300" t="n">
        <v>0</v>
      </c>
      <c r="O300" t="n">
        <v>0</v>
      </c>
      <c r="P300" t="n">
        <v>0</v>
      </c>
      <c r="Q300" t="n">
        <v>0</v>
      </c>
      <c r="R300" s="2" t="inlineStr"/>
    </row>
    <row r="301" ht="15" customHeight="1">
      <c r="A301" t="inlineStr">
        <is>
          <t>A 13022-2023</t>
        </is>
      </c>
      <c r="B301" s="1" t="n">
        <v>45002.33291666667</v>
      </c>
      <c r="C301" s="1" t="n">
        <v>45891</v>
      </c>
      <c r="D301" t="inlineStr">
        <is>
          <t>VÄSTMANLANDS LÄN</t>
        </is>
      </c>
      <c r="E301" t="inlineStr">
        <is>
          <t>SALA</t>
        </is>
      </c>
      <c r="G301" t="n">
        <v>1.5</v>
      </c>
      <c r="H301" t="n">
        <v>0</v>
      </c>
      <c r="I301" t="n">
        <v>0</v>
      </c>
      <c r="J301" t="n">
        <v>0</v>
      </c>
      <c r="K301" t="n">
        <v>0</v>
      </c>
      <c r="L301" t="n">
        <v>0</v>
      </c>
      <c r="M301" t="n">
        <v>0</v>
      </c>
      <c r="N301" t="n">
        <v>0</v>
      </c>
      <c r="O301" t="n">
        <v>0</v>
      </c>
      <c r="P301" t="n">
        <v>0</v>
      </c>
      <c r="Q301" t="n">
        <v>0</v>
      </c>
      <c r="R301" s="2" t="inlineStr"/>
    </row>
    <row r="302" ht="15" customHeight="1">
      <c r="A302" t="inlineStr">
        <is>
          <t>A 35003-2024</t>
        </is>
      </c>
      <c r="B302" s="1" t="n">
        <v>45527.56790509259</v>
      </c>
      <c r="C302" s="1" t="n">
        <v>45891</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66307-2021</t>
        </is>
      </c>
      <c r="B303" s="1" t="n">
        <v>44518.48670138889</v>
      </c>
      <c r="C303" s="1" t="n">
        <v>45891</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6030-2024</t>
        </is>
      </c>
      <c r="B304" s="1" t="n">
        <v>45336.62782407407</v>
      </c>
      <c r="C304" s="1" t="n">
        <v>45891</v>
      </c>
      <c r="D304" t="inlineStr">
        <is>
          <t>VÄSTMANLANDS LÄN</t>
        </is>
      </c>
      <c r="E304" t="inlineStr">
        <is>
          <t>SALA</t>
        </is>
      </c>
      <c r="G304" t="n">
        <v>3.9</v>
      </c>
      <c r="H304" t="n">
        <v>0</v>
      </c>
      <c r="I304" t="n">
        <v>0</v>
      </c>
      <c r="J304" t="n">
        <v>0</v>
      </c>
      <c r="K304" t="n">
        <v>0</v>
      </c>
      <c r="L304" t="n">
        <v>0</v>
      </c>
      <c r="M304" t="n">
        <v>0</v>
      </c>
      <c r="N304" t="n">
        <v>0</v>
      </c>
      <c r="O304" t="n">
        <v>0</v>
      </c>
      <c r="P304" t="n">
        <v>0</v>
      </c>
      <c r="Q304" t="n">
        <v>0</v>
      </c>
      <c r="R304" s="2" t="inlineStr"/>
    </row>
    <row r="305" ht="15" customHeight="1">
      <c r="A305" t="inlineStr">
        <is>
          <t>A 26761-2023</t>
        </is>
      </c>
      <c r="B305" s="1" t="n">
        <v>45093</v>
      </c>
      <c r="C305" s="1" t="n">
        <v>45891</v>
      </c>
      <c r="D305" t="inlineStr">
        <is>
          <t>VÄSTMANLANDS LÄN</t>
        </is>
      </c>
      <c r="E305" t="inlineStr">
        <is>
          <t>SALA</t>
        </is>
      </c>
      <c r="G305" t="n">
        <v>4.3</v>
      </c>
      <c r="H305" t="n">
        <v>0</v>
      </c>
      <c r="I305" t="n">
        <v>0</v>
      </c>
      <c r="J305" t="n">
        <v>0</v>
      </c>
      <c r="K305" t="n">
        <v>0</v>
      </c>
      <c r="L305" t="n">
        <v>0</v>
      </c>
      <c r="M305" t="n">
        <v>0</v>
      </c>
      <c r="N305" t="n">
        <v>0</v>
      </c>
      <c r="O305" t="n">
        <v>0</v>
      </c>
      <c r="P305" t="n">
        <v>0</v>
      </c>
      <c r="Q305" t="n">
        <v>0</v>
      </c>
      <c r="R305" s="2" t="inlineStr"/>
    </row>
    <row r="306" ht="15" customHeight="1">
      <c r="A306" t="inlineStr">
        <is>
          <t>A 61892-2021</t>
        </is>
      </c>
      <c r="B306" s="1" t="n">
        <v>44502</v>
      </c>
      <c r="C306" s="1" t="n">
        <v>45891</v>
      </c>
      <c r="D306" t="inlineStr">
        <is>
          <t>VÄSTMANLANDS LÄN</t>
        </is>
      </c>
      <c r="E306" t="inlineStr">
        <is>
          <t>SALA</t>
        </is>
      </c>
      <c r="G306" t="n">
        <v>1.4</v>
      </c>
      <c r="H306" t="n">
        <v>0</v>
      </c>
      <c r="I306" t="n">
        <v>0</v>
      </c>
      <c r="J306" t="n">
        <v>0</v>
      </c>
      <c r="K306" t="n">
        <v>0</v>
      </c>
      <c r="L306" t="n">
        <v>0</v>
      </c>
      <c r="M306" t="n">
        <v>0</v>
      </c>
      <c r="N306" t="n">
        <v>0</v>
      </c>
      <c r="O306" t="n">
        <v>0</v>
      </c>
      <c r="P306" t="n">
        <v>0</v>
      </c>
      <c r="Q306" t="n">
        <v>0</v>
      </c>
      <c r="R306" s="2" t="inlineStr"/>
    </row>
    <row r="307" ht="15" customHeight="1">
      <c r="A307" t="inlineStr">
        <is>
          <t>A 27657-2023</t>
        </is>
      </c>
      <c r="B307" s="1" t="n">
        <v>45097.76631944445</v>
      </c>
      <c r="C307" s="1" t="n">
        <v>45891</v>
      </c>
      <c r="D307" t="inlineStr">
        <is>
          <t>VÄSTMANLANDS LÄN</t>
        </is>
      </c>
      <c r="E307" t="inlineStr">
        <is>
          <t>SALA</t>
        </is>
      </c>
      <c r="G307" t="n">
        <v>0.1</v>
      </c>
      <c r="H307" t="n">
        <v>0</v>
      </c>
      <c r="I307" t="n">
        <v>0</v>
      </c>
      <c r="J307" t="n">
        <v>0</v>
      </c>
      <c r="K307" t="n">
        <v>0</v>
      </c>
      <c r="L307" t="n">
        <v>0</v>
      </c>
      <c r="M307" t="n">
        <v>0</v>
      </c>
      <c r="N307" t="n">
        <v>0</v>
      </c>
      <c r="O307" t="n">
        <v>0</v>
      </c>
      <c r="P307" t="n">
        <v>0</v>
      </c>
      <c r="Q307" t="n">
        <v>0</v>
      </c>
      <c r="R307" s="2" t="inlineStr"/>
    </row>
    <row r="308" ht="15" customHeight="1">
      <c r="A308" t="inlineStr">
        <is>
          <t>A 2766-2024</t>
        </is>
      </c>
      <c r="B308" s="1" t="n">
        <v>45314.60950231482</v>
      </c>
      <c r="C308" s="1" t="n">
        <v>45891</v>
      </c>
      <c r="D308" t="inlineStr">
        <is>
          <t>VÄSTMANLANDS LÄN</t>
        </is>
      </c>
      <c r="E308" t="inlineStr">
        <is>
          <t>SALA</t>
        </is>
      </c>
      <c r="G308" t="n">
        <v>2.8</v>
      </c>
      <c r="H308" t="n">
        <v>0</v>
      </c>
      <c r="I308" t="n">
        <v>0</v>
      </c>
      <c r="J308" t="n">
        <v>0</v>
      </c>
      <c r="K308" t="n">
        <v>0</v>
      </c>
      <c r="L308" t="n">
        <v>0</v>
      </c>
      <c r="M308" t="n">
        <v>0</v>
      </c>
      <c r="N308" t="n">
        <v>0</v>
      </c>
      <c r="O308" t="n">
        <v>0</v>
      </c>
      <c r="P308" t="n">
        <v>0</v>
      </c>
      <c r="Q308" t="n">
        <v>0</v>
      </c>
      <c r="R308" s="2" t="inlineStr"/>
    </row>
    <row r="309" ht="15" customHeight="1">
      <c r="A309" t="inlineStr">
        <is>
          <t>A 56098-2020</t>
        </is>
      </c>
      <c r="B309" s="1" t="n">
        <v>44132</v>
      </c>
      <c r="C309" s="1" t="n">
        <v>45891</v>
      </c>
      <c r="D309" t="inlineStr">
        <is>
          <t>VÄSTMANLANDS LÄN</t>
        </is>
      </c>
      <c r="E309" t="inlineStr">
        <is>
          <t>SALA</t>
        </is>
      </c>
      <c r="G309" t="n">
        <v>1.9</v>
      </c>
      <c r="H309" t="n">
        <v>0</v>
      </c>
      <c r="I309" t="n">
        <v>0</v>
      </c>
      <c r="J309" t="n">
        <v>0</v>
      </c>
      <c r="K309" t="n">
        <v>0</v>
      </c>
      <c r="L309" t="n">
        <v>0</v>
      </c>
      <c r="M309" t="n">
        <v>0</v>
      </c>
      <c r="N309" t="n">
        <v>0</v>
      </c>
      <c r="O309" t="n">
        <v>0</v>
      </c>
      <c r="P309" t="n">
        <v>0</v>
      </c>
      <c r="Q309" t="n">
        <v>0</v>
      </c>
      <c r="R309" s="2" t="inlineStr"/>
    </row>
    <row r="310" ht="15" customHeight="1">
      <c r="A310" t="inlineStr">
        <is>
          <t>A 60550-2024</t>
        </is>
      </c>
      <c r="B310" s="1" t="n">
        <v>45643</v>
      </c>
      <c r="C310" s="1" t="n">
        <v>45891</v>
      </c>
      <c r="D310" t="inlineStr">
        <is>
          <t>VÄSTMANLANDS LÄN</t>
        </is>
      </c>
      <c r="E310" t="inlineStr">
        <is>
          <t>SALA</t>
        </is>
      </c>
      <c r="G310" t="n">
        <v>0.6</v>
      </c>
      <c r="H310" t="n">
        <v>0</v>
      </c>
      <c r="I310" t="n">
        <v>0</v>
      </c>
      <c r="J310" t="n">
        <v>0</v>
      </c>
      <c r="K310" t="n">
        <v>0</v>
      </c>
      <c r="L310" t="n">
        <v>0</v>
      </c>
      <c r="M310" t="n">
        <v>0</v>
      </c>
      <c r="N310" t="n">
        <v>0</v>
      </c>
      <c r="O310" t="n">
        <v>0</v>
      </c>
      <c r="P310" t="n">
        <v>0</v>
      </c>
      <c r="Q310" t="n">
        <v>0</v>
      </c>
      <c r="R310" s="2" t="inlineStr"/>
    </row>
    <row r="311" ht="15" customHeight="1">
      <c r="A311" t="inlineStr">
        <is>
          <t>A 14690-2025</t>
        </is>
      </c>
      <c r="B311" s="1" t="n">
        <v>45742.58212962963</v>
      </c>
      <c r="C311" s="1" t="n">
        <v>45891</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24175-2024</t>
        </is>
      </c>
      <c r="B312" s="1" t="n">
        <v>45456</v>
      </c>
      <c r="C312" s="1" t="n">
        <v>45891</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62449-2023</t>
        </is>
      </c>
      <c r="B313" s="1" t="n">
        <v>45268.49008101852</v>
      </c>
      <c r="C313" s="1" t="n">
        <v>45891</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7772-2023</t>
        </is>
      </c>
      <c r="B314" s="1" t="n">
        <v>44973.40076388889</v>
      </c>
      <c r="C314" s="1" t="n">
        <v>45891</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54910-2023</t>
        </is>
      </c>
      <c r="B315" s="1" t="n">
        <v>45229</v>
      </c>
      <c r="C315" s="1" t="n">
        <v>45891</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19222-2025</t>
        </is>
      </c>
      <c r="B316" s="1" t="n">
        <v>45769</v>
      </c>
      <c r="C316" s="1" t="n">
        <v>45891</v>
      </c>
      <c r="D316" t="inlineStr">
        <is>
          <t>VÄSTMANLANDS LÄN</t>
        </is>
      </c>
      <c r="E316" t="inlineStr">
        <is>
          <t>SALA</t>
        </is>
      </c>
      <c r="G316" t="n">
        <v>1.8</v>
      </c>
      <c r="H316" t="n">
        <v>0</v>
      </c>
      <c r="I316" t="n">
        <v>0</v>
      </c>
      <c r="J316" t="n">
        <v>0</v>
      </c>
      <c r="K316" t="n">
        <v>0</v>
      </c>
      <c r="L316" t="n">
        <v>0</v>
      </c>
      <c r="M316" t="n">
        <v>0</v>
      </c>
      <c r="N316" t="n">
        <v>0</v>
      </c>
      <c r="O316" t="n">
        <v>0</v>
      </c>
      <c r="P316" t="n">
        <v>0</v>
      </c>
      <c r="Q316" t="n">
        <v>0</v>
      </c>
      <c r="R316" s="2" t="inlineStr"/>
    </row>
    <row r="317" ht="15" customHeight="1">
      <c r="A317" t="inlineStr">
        <is>
          <t>A 19241-2025</t>
        </is>
      </c>
      <c r="B317" s="1" t="n">
        <v>45769</v>
      </c>
      <c r="C317" s="1" t="n">
        <v>45891</v>
      </c>
      <c r="D317" t="inlineStr">
        <is>
          <t>VÄSTMANLANDS LÄN</t>
        </is>
      </c>
      <c r="E317" t="inlineStr">
        <is>
          <t>SALA</t>
        </is>
      </c>
      <c r="G317" t="n">
        <v>3.6</v>
      </c>
      <c r="H317" t="n">
        <v>0</v>
      </c>
      <c r="I317" t="n">
        <v>0</v>
      </c>
      <c r="J317" t="n">
        <v>0</v>
      </c>
      <c r="K317" t="n">
        <v>0</v>
      </c>
      <c r="L317" t="n">
        <v>0</v>
      </c>
      <c r="M317" t="n">
        <v>0</v>
      </c>
      <c r="N317" t="n">
        <v>0</v>
      </c>
      <c r="O317" t="n">
        <v>0</v>
      </c>
      <c r="P317" t="n">
        <v>0</v>
      </c>
      <c r="Q317" t="n">
        <v>0</v>
      </c>
      <c r="R317" s="2" t="inlineStr"/>
    </row>
    <row r="318" ht="15" customHeight="1">
      <c r="A318" t="inlineStr">
        <is>
          <t>A 35976-2024</t>
        </is>
      </c>
      <c r="B318" s="1" t="n">
        <v>45533.49555555556</v>
      </c>
      <c r="C318" s="1" t="n">
        <v>45891</v>
      </c>
      <c r="D318" t="inlineStr">
        <is>
          <t>VÄSTMANLANDS LÄN</t>
        </is>
      </c>
      <c r="E318" t="inlineStr">
        <is>
          <t>SALA</t>
        </is>
      </c>
      <c r="G318" t="n">
        <v>2.3</v>
      </c>
      <c r="H318" t="n">
        <v>0</v>
      </c>
      <c r="I318" t="n">
        <v>0</v>
      </c>
      <c r="J318" t="n">
        <v>0</v>
      </c>
      <c r="K318" t="n">
        <v>0</v>
      </c>
      <c r="L318" t="n">
        <v>0</v>
      </c>
      <c r="M318" t="n">
        <v>0</v>
      </c>
      <c r="N318" t="n">
        <v>0</v>
      </c>
      <c r="O318" t="n">
        <v>0</v>
      </c>
      <c r="P318" t="n">
        <v>0</v>
      </c>
      <c r="Q318" t="n">
        <v>0</v>
      </c>
      <c r="R318" s="2" t="inlineStr"/>
    </row>
    <row r="319" ht="15" customHeight="1">
      <c r="A319" t="inlineStr">
        <is>
          <t>A 42416-2022</t>
        </is>
      </c>
      <c r="B319" s="1" t="n">
        <v>44831</v>
      </c>
      <c r="C319" s="1" t="n">
        <v>45891</v>
      </c>
      <c r="D319" t="inlineStr">
        <is>
          <t>VÄSTMANLANDS LÄN</t>
        </is>
      </c>
      <c r="E319" t="inlineStr">
        <is>
          <t>SALA</t>
        </is>
      </c>
      <c r="G319" t="n">
        <v>2.2</v>
      </c>
      <c r="H319" t="n">
        <v>0</v>
      </c>
      <c r="I319" t="n">
        <v>0</v>
      </c>
      <c r="J319" t="n">
        <v>0</v>
      </c>
      <c r="K319" t="n">
        <v>0</v>
      </c>
      <c r="L319" t="n">
        <v>0</v>
      </c>
      <c r="M319" t="n">
        <v>0</v>
      </c>
      <c r="N319" t="n">
        <v>0</v>
      </c>
      <c r="O319" t="n">
        <v>0</v>
      </c>
      <c r="P319" t="n">
        <v>0</v>
      </c>
      <c r="Q319" t="n">
        <v>0</v>
      </c>
      <c r="R319" s="2" t="inlineStr"/>
    </row>
    <row r="320" ht="15" customHeight="1">
      <c r="A320" t="inlineStr">
        <is>
          <t>A 19381-2025</t>
        </is>
      </c>
      <c r="B320" s="1" t="n">
        <v>45769</v>
      </c>
      <c r="C320" s="1" t="n">
        <v>45891</v>
      </c>
      <c r="D320" t="inlineStr">
        <is>
          <t>VÄSTMANLANDS LÄN</t>
        </is>
      </c>
      <c r="E320" t="inlineStr">
        <is>
          <t>SALA</t>
        </is>
      </c>
      <c r="G320" t="n">
        <v>0.6</v>
      </c>
      <c r="H320" t="n">
        <v>0</v>
      </c>
      <c r="I320" t="n">
        <v>0</v>
      </c>
      <c r="J320" t="n">
        <v>0</v>
      </c>
      <c r="K320" t="n">
        <v>0</v>
      </c>
      <c r="L320" t="n">
        <v>0</v>
      </c>
      <c r="M320" t="n">
        <v>0</v>
      </c>
      <c r="N320" t="n">
        <v>0</v>
      </c>
      <c r="O320" t="n">
        <v>0</v>
      </c>
      <c r="P320" t="n">
        <v>0</v>
      </c>
      <c r="Q320" t="n">
        <v>0</v>
      </c>
      <c r="R320" s="2" t="inlineStr"/>
    </row>
    <row r="321" ht="15" customHeight="1">
      <c r="A321" t="inlineStr">
        <is>
          <t>A 48688-2024</t>
        </is>
      </c>
      <c r="B321" s="1" t="n">
        <v>45593.50541666667</v>
      </c>
      <c r="C321" s="1" t="n">
        <v>45891</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38636-2024</t>
        </is>
      </c>
      <c r="B322" s="1" t="n">
        <v>45546</v>
      </c>
      <c r="C322" s="1" t="n">
        <v>45891</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25891-2024</t>
        </is>
      </c>
      <c r="B323" s="1" t="n">
        <v>45467.53137731482</v>
      </c>
      <c r="C323" s="1" t="n">
        <v>45891</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26416-2023</t>
        </is>
      </c>
      <c r="B324" s="1" t="n">
        <v>45092.38087962963</v>
      </c>
      <c r="C324" s="1" t="n">
        <v>45891</v>
      </c>
      <c r="D324" t="inlineStr">
        <is>
          <t>VÄSTMANLANDS LÄN</t>
        </is>
      </c>
      <c r="E324" t="inlineStr">
        <is>
          <t>SALA</t>
        </is>
      </c>
      <c r="G324" t="n">
        <v>2.9</v>
      </c>
      <c r="H324" t="n">
        <v>0</v>
      </c>
      <c r="I324" t="n">
        <v>0</v>
      </c>
      <c r="J324" t="n">
        <v>0</v>
      </c>
      <c r="K324" t="n">
        <v>0</v>
      </c>
      <c r="L324" t="n">
        <v>0</v>
      </c>
      <c r="M324" t="n">
        <v>0</v>
      </c>
      <c r="N324" t="n">
        <v>0</v>
      </c>
      <c r="O324" t="n">
        <v>0</v>
      </c>
      <c r="P324" t="n">
        <v>0</v>
      </c>
      <c r="Q324" t="n">
        <v>0</v>
      </c>
      <c r="R324" s="2" t="inlineStr"/>
    </row>
    <row r="325" ht="15" customHeight="1">
      <c r="A325" t="inlineStr">
        <is>
          <t>A 26692-2023</t>
        </is>
      </c>
      <c r="B325" s="1" t="n">
        <v>45093.360625</v>
      </c>
      <c r="C325" s="1" t="n">
        <v>45891</v>
      </c>
      <c r="D325" t="inlineStr">
        <is>
          <t>VÄSTMANLANDS LÄN</t>
        </is>
      </c>
      <c r="E325" t="inlineStr">
        <is>
          <t>SALA</t>
        </is>
      </c>
      <c r="G325" t="n">
        <v>1.8</v>
      </c>
      <c r="H325" t="n">
        <v>0</v>
      </c>
      <c r="I325" t="n">
        <v>0</v>
      </c>
      <c r="J325" t="n">
        <v>0</v>
      </c>
      <c r="K325" t="n">
        <v>0</v>
      </c>
      <c r="L325" t="n">
        <v>0</v>
      </c>
      <c r="M325" t="n">
        <v>0</v>
      </c>
      <c r="N325" t="n">
        <v>0</v>
      </c>
      <c r="O325" t="n">
        <v>0</v>
      </c>
      <c r="P325" t="n">
        <v>0</v>
      </c>
      <c r="Q325" t="n">
        <v>0</v>
      </c>
      <c r="R325" s="2" t="inlineStr"/>
    </row>
    <row r="326" ht="15" customHeight="1">
      <c r="A326" t="inlineStr">
        <is>
          <t>A 25868-2024</t>
        </is>
      </c>
      <c r="B326" s="1" t="n">
        <v>45467.47506944444</v>
      </c>
      <c r="C326" s="1" t="n">
        <v>45891</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15681-2025</t>
        </is>
      </c>
      <c r="B327" s="1" t="n">
        <v>45748.45454861111</v>
      </c>
      <c r="C327" s="1" t="n">
        <v>45891</v>
      </c>
      <c r="D327" t="inlineStr">
        <is>
          <t>VÄSTMANLANDS LÄN</t>
        </is>
      </c>
      <c r="E327" t="inlineStr">
        <is>
          <t>SALA</t>
        </is>
      </c>
      <c r="F327" t="inlineStr">
        <is>
          <t>Bergvik skog öst AB</t>
        </is>
      </c>
      <c r="G327" t="n">
        <v>4.3</v>
      </c>
      <c r="H327" t="n">
        <v>0</v>
      </c>
      <c r="I327" t="n">
        <v>0</v>
      </c>
      <c r="J327" t="n">
        <v>0</v>
      </c>
      <c r="K327" t="n">
        <v>0</v>
      </c>
      <c r="L327" t="n">
        <v>0</v>
      </c>
      <c r="M327" t="n">
        <v>0</v>
      </c>
      <c r="N327" t="n">
        <v>0</v>
      </c>
      <c r="O327" t="n">
        <v>0</v>
      </c>
      <c r="P327" t="n">
        <v>0</v>
      </c>
      <c r="Q327" t="n">
        <v>0</v>
      </c>
      <c r="R327" s="2" t="inlineStr"/>
    </row>
    <row r="328" ht="15" customHeight="1">
      <c r="A328" t="inlineStr">
        <is>
          <t>A 41485-2020</t>
        </is>
      </c>
      <c r="B328" s="1" t="n">
        <v>44074</v>
      </c>
      <c r="C328" s="1" t="n">
        <v>45891</v>
      </c>
      <c r="D328" t="inlineStr">
        <is>
          <t>VÄSTMANLANDS LÄN</t>
        </is>
      </c>
      <c r="E328" t="inlineStr">
        <is>
          <t>SALA</t>
        </is>
      </c>
      <c r="G328" t="n">
        <v>4.7</v>
      </c>
      <c r="H328" t="n">
        <v>0</v>
      </c>
      <c r="I328" t="n">
        <v>0</v>
      </c>
      <c r="J328" t="n">
        <v>0</v>
      </c>
      <c r="K328" t="n">
        <v>0</v>
      </c>
      <c r="L328" t="n">
        <v>0</v>
      </c>
      <c r="M328" t="n">
        <v>0</v>
      </c>
      <c r="N328" t="n">
        <v>0</v>
      </c>
      <c r="O328" t="n">
        <v>0</v>
      </c>
      <c r="P328" t="n">
        <v>0</v>
      </c>
      <c r="Q328" t="n">
        <v>0</v>
      </c>
      <c r="R328" s="2" t="inlineStr"/>
    </row>
    <row r="329" ht="15" customHeight="1">
      <c r="A329" t="inlineStr">
        <is>
          <t>A 71471-2021</t>
        </is>
      </c>
      <c r="B329" s="1" t="n">
        <v>44540.53421296296</v>
      </c>
      <c r="C329" s="1" t="n">
        <v>45891</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8775-2024</t>
        </is>
      </c>
      <c r="B330" s="1" t="n">
        <v>45356</v>
      </c>
      <c r="C330" s="1" t="n">
        <v>45891</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17495-2024</t>
        </is>
      </c>
      <c r="B331" s="1" t="n">
        <v>45415</v>
      </c>
      <c r="C331" s="1" t="n">
        <v>45891</v>
      </c>
      <c r="D331" t="inlineStr">
        <is>
          <t>VÄSTMANLANDS LÄN</t>
        </is>
      </c>
      <c r="E331" t="inlineStr">
        <is>
          <t>SALA</t>
        </is>
      </c>
      <c r="G331" t="n">
        <v>3.1</v>
      </c>
      <c r="H331" t="n">
        <v>0</v>
      </c>
      <c r="I331" t="n">
        <v>0</v>
      </c>
      <c r="J331" t="n">
        <v>0</v>
      </c>
      <c r="K331" t="n">
        <v>0</v>
      </c>
      <c r="L331" t="n">
        <v>0</v>
      </c>
      <c r="M331" t="n">
        <v>0</v>
      </c>
      <c r="N331" t="n">
        <v>0</v>
      </c>
      <c r="O331" t="n">
        <v>0</v>
      </c>
      <c r="P331" t="n">
        <v>0</v>
      </c>
      <c r="Q331" t="n">
        <v>0</v>
      </c>
      <c r="R331" s="2" t="inlineStr"/>
    </row>
    <row r="332" ht="15" customHeight="1">
      <c r="A332" t="inlineStr">
        <is>
          <t>A 45187-2024</t>
        </is>
      </c>
      <c r="B332" s="1" t="n">
        <v>45575</v>
      </c>
      <c r="C332" s="1" t="n">
        <v>45891</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39011-2023</t>
        </is>
      </c>
      <c r="B333" s="1" t="n">
        <v>45162</v>
      </c>
      <c r="C333" s="1" t="n">
        <v>45891</v>
      </c>
      <c r="D333" t="inlineStr">
        <is>
          <t>VÄSTMANLANDS LÄN</t>
        </is>
      </c>
      <c r="E333" t="inlineStr">
        <is>
          <t>SALA</t>
        </is>
      </c>
      <c r="G333" t="n">
        <v>1.6</v>
      </c>
      <c r="H333" t="n">
        <v>0</v>
      </c>
      <c r="I333" t="n">
        <v>0</v>
      </c>
      <c r="J333" t="n">
        <v>0</v>
      </c>
      <c r="K333" t="n">
        <v>0</v>
      </c>
      <c r="L333" t="n">
        <v>0</v>
      </c>
      <c r="M333" t="n">
        <v>0</v>
      </c>
      <c r="N333" t="n">
        <v>0</v>
      </c>
      <c r="O333" t="n">
        <v>0</v>
      </c>
      <c r="P333" t="n">
        <v>0</v>
      </c>
      <c r="Q333" t="n">
        <v>0</v>
      </c>
      <c r="R333" s="2" t="inlineStr"/>
    </row>
    <row r="334" ht="15" customHeight="1">
      <c r="A334" t="inlineStr">
        <is>
          <t>A 15968-2024</t>
        </is>
      </c>
      <c r="B334" s="1" t="n">
        <v>45405.56021990741</v>
      </c>
      <c r="C334" s="1" t="n">
        <v>45891</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3733-2023</t>
        </is>
      </c>
      <c r="B335" s="1" t="n">
        <v>44951.42501157407</v>
      </c>
      <c r="C335" s="1" t="n">
        <v>45891</v>
      </c>
      <c r="D335" t="inlineStr">
        <is>
          <t>VÄSTMANLANDS LÄN</t>
        </is>
      </c>
      <c r="E335" t="inlineStr">
        <is>
          <t>SALA</t>
        </is>
      </c>
      <c r="G335" t="n">
        <v>3.1</v>
      </c>
      <c r="H335" t="n">
        <v>0</v>
      </c>
      <c r="I335" t="n">
        <v>0</v>
      </c>
      <c r="J335" t="n">
        <v>0</v>
      </c>
      <c r="K335" t="n">
        <v>0</v>
      </c>
      <c r="L335" t="n">
        <v>0</v>
      </c>
      <c r="M335" t="n">
        <v>0</v>
      </c>
      <c r="N335" t="n">
        <v>0</v>
      </c>
      <c r="O335" t="n">
        <v>0</v>
      </c>
      <c r="P335" t="n">
        <v>0</v>
      </c>
      <c r="Q335" t="n">
        <v>0</v>
      </c>
      <c r="R335" s="2" t="inlineStr"/>
    </row>
    <row r="336" ht="15" customHeight="1">
      <c r="A336" t="inlineStr">
        <is>
          <t>A 56547-2022</t>
        </is>
      </c>
      <c r="B336" s="1" t="n">
        <v>44893.48284722222</v>
      </c>
      <c r="C336" s="1" t="n">
        <v>45891</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2925-2024</t>
        </is>
      </c>
      <c r="B337" s="1" t="n">
        <v>45315.58909722222</v>
      </c>
      <c r="C337" s="1" t="n">
        <v>45891</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44544-2024</t>
        </is>
      </c>
      <c r="B338" s="1" t="n">
        <v>45574.46119212963</v>
      </c>
      <c r="C338" s="1" t="n">
        <v>45891</v>
      </c>
      <c r="D338" t="inlineStr">
        <is>
          <t>VÄSTMANLANDS LÄN</t>
        </is>
      </c>
      <c r="E338" t="inlineStr">
        <is>
          <t>SALA</t>
        </is>
      </c>
      <c r="G338" t="n">
        <v>3.3</v>
      </c>
      <c r="H338" t="n">
        <v>0</v>
      </c>
      <c r="I338" t="n">
        <v>0</v>
      </c>
      <c r="J338" t="n">
        <v>0</v>
      </c>
      <c r="K338" t="n">
        <v>0</v>
      </c>
      <c r="L338" t="n">
        <v>0</v>
      </c>
      <c r="M338" t="n">
        <v>0</v>
      </c>
      <c r="N338" t="n">
        <v>0</v>
      </c>
      <c r="O338" t="n">
        <v>0</v>
      </c>
      <c r="P338" t="n">
        <v>0</v>
      </c>
      <c r="Q338" t="n">
        <v>0</v>
      </c>
      <c r="R338" s="2" t="inlineStr"/>
    </row>
    <row r="339" ht="15" customHeight="1">
      <c r="A339" t="inlineStr">
        <is>
          <t>A 44746-2024</t>
        </is>
      </c>
      <c r="B339" s="1" t="n">
        <v>45574.59813657407</v>
      </c>
      <c r="C339" s="1" t="n">
        <v>45891</v>
      </c>
      <c r="D339" t="inlineStr">
        <is>
          <t>VÄSTMANLANDS LÄN</t>
        </is>
      </c>
      <c r="E339" t="inlineStr">
        <is>
          <t>SALA</t>
        </is>
      </c>
      <c r="G339" t="n">
        <v>6.7</v>
      </c>
      <c r="H339" t="n">
        <v>0</v>
      </c>
      <c r="I339" t="n">
        <v>0</v>
      </c>
      <c r="J339" t="n">
        <v>0</v>
      </c>
      <c r="K339" t="n">
        <v>0</v>
      </c>
      <c r="L339" t="n">
        <v>0</v>
      </c>
      <c r="M339" t="n">
        <v>0</v>
      </c>
      <c r="N339" t="n">
        <v>0</v>
      </c>
      <c r="O339" t="n">
        <v>0</v>
      </c>
      <c r="P339" t="n">
        <v>0</v>
      </c>
      <c r="Q339" t="n">
        <v>0</v>
      </c>
      <c r="R339" s="2" t="inlineStr"/>
    </row>
    <row r="340" ht="15" customHeight="1">
      <c r="A340" t="inlineStr">
        <is>
          <t>A 44713-2023</t>
        </is>
      </c>
      <c r="B340" s="1" t="n">
        <v>45184</v>
      </c>
      <c r="C340" s="1" t="n">
        <v>45891</v>
      </c>
      <c r="D340" t="inlineStr">
        <is>
          <t>VÄSTMANLANDS LÄN</t>
        </is>
      </c>
      <c r="E340" t="inlineStr">
        <is>
          <t>SALA</t>
        </is>
      </c>
      <c r="F340" t="inlineStr">
        <is>
          <t>Kyrkan</t>
        </is>
      </c>
      <c r="G340" t="n">
        <v>7.6</v>
      </c>
      <c r="H340" t="n">
        <v>0</v>
      </c>
      <c r="I340" t="n">
        <v>0</v>
      </c>
      <c r="J340" t="n">
        <v>0</v>
      </c>
      <c r="K340" t="n">
        <v>0</v>
      </c>
      <c r="L340" t="n">
        <v>0</v>
      </c>
      <c r="M340" t="n">
        <v>0</v>
      </c>
      <c r="N340" t="n">
        <v>0</v>
      </c>
      <c r="O340" t="n">
        <v>0</v>
      </c>
      <c r="P340" t="n">
        <v>0</v>
      </c>
      <c r="Q340" t="n">
        <v>0</v>
      </c>
      <c r="R340" s="2" t="inlineStr"/>
    </row>
    <row r="341" ht="15" customHeight="1">
      <c r="A341" t="inlineStr">
        <is>
          <t>A 64729-2023</t>
        </is>
      </c>
      <c r="B341" s="1" t="n">
        <v>45281</v>
      </c>
      <c r="C341" s="1" t="n">
        <v>45891</v>
      </c>
      <c r="D341" t="inlineStr">
        <is>
          <t>VÄSTMANLANDS LÄN</t>
        </is>
      </c>
      <c r="E341" t="inlineStr">
        <is>
          <t>SALA</t>
        </is>
      </c>
      <c r="G341" t="n">
        <v>1.8</v>
      </c>
      <c r="H341" t="n">
        <v>0</v>
      </c>
      <c r="I341" t="n">
        <v>0</v>
      </c>
      <c r="J341" t="n">
        <v>0</v>
      </c>
      <c r="K341" t="n">
        <v>0</v>
      </c>
      <c r="L341" t="n">
        <v>0</v>
      </c>
      <c r="M341" t="n">
        <v>0</v>
      </c>
      <c r="N341" t="n">
        <v>0</v>
      </c>
      <c r="O341" t="n">
        <v>0</v>
      </c>
      <c r="P341" t="n">
        <v>0</v>
      </c>
      <c r="Q341" t="n">
        <v>0</v>
      </c>
      <c r="R341" s="2" t="inlineStr"/>
    </row>
    <row r="342" ht="15" customHeight="1">
      <c r="A342" t="inlineStr">
        <is>
          <t>A 56916-2022</t>
        </is>
      </c>
      <c r="B342" s="1" t="n">
        <v>44888</v>
      </c>
      <c r="C342" s="1" t="n">
        <v>45891</v>
      </c>
      <c r="D342" t="inlineStr">
        <is>
          <t>VÄSTMANLANDS LÄN</t>
        </is>
      </c>
      <c r="E342" t="inlineStr">
        <is>
          <t>SALA</t>
        </is>
      </c>
      <c r="G342" t="n">
        <v>1.7</v>
      </c>
      <c r="H342" t="n">
        <v>0</v>
      </c>
      <c r="I342" t="n">
        <v>0</v>
      </c>
      <c r="J342" t="n">
        <v>0</v>
      </c>
      <c r="K342" t="n">
        <v>0</v>
      </c>
      <c r="L342" t="n">
        <v>0</v>
      </c>
      <c r="M342" t="n">
        <v>0</v>
      </c>
      <c r="N342" t="n">
        <v>0</v>
      </c>
      <c r="O342" t="n">
        <v>0</v>
      </c>
      <c r="P342" t="n">
        <v>0</v>
      </c>
      <c r="Q342" t="n">
        <v>0</v>
      </c>
      <c r="R342" s="2" t="inlineStr"/>
    </row>
    <row r="343" ht="15" customHeight="1">
      <c r="A343" t="inlineStr">
        <is>
          <t>A 23431-2024</t>
        </is>
      </c>
      <c r="B343" s="1" t="n">
        <v>45453</v>
      </c>
      <c r="C343" s="1" t="n">
        <v>45891</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68864-2021</t>
        </is>
      </c>
      <c r="B344" s="1" t="n">
        <v>44530</v>
      </c>
      <c r="C344" s="1" t="n">
        <v>45891</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21168-2025</t>
        </is>
      </c>
      <c r="B345" s="1" t="n">
        <v>45777</v>
      </c>
      <c r="C345" s="1" t="n">
        <v>45891</v>
      </c>
      <c r="D345" t="inlineStr">
        <is>
          <t>VÄSTMANLANDS LÄN</t>
        </is>
      </c>
      <c r="E345" t="inlineStr">
        <is>
          <t>SALA</t>
        </is>
      </c>
      <c r="G345" t="n">
        <v>4.5</v>
      </c>
      <c r="H345" t="n">
        <v>0</v>
      </c>
      <c r="I345" t="n">
        <v>0</v>
      </c>
      <c r="J345" t="n">
        <v>0</v>
      </c>
      <c r="K345" t="n">
        <v>0</v>
      </c>
      <c r="L345" t="n">
        <v>0</v>
      </c>
      <c r="M345" t="n">
        <v>0</v>
      </c>
      <c r="N345" t="n">
        <v>0</v>
      </c>
      <c r="O345" t="n">
        <v>0</v>
      </c>
      <c r="P345" t="n">
        <v>0</v>
      </c>
      <c r="Q345" t="n">
        <v>0</v>
      </c>
      <c r="R345" s="2" t="inlineStr"/>
    </row>
    <row r="346" ht="15" customHeight="1">
      <c r="A346" t="inlineStr">
        <is>
          <t>A 64925-2023</t>
        </is>
      </c>
      <c r="B346" s="1" t="n">
        <v>45282</v>
      </c>
      <c r="C346" s="1" t="n">
        <v>45891</v>
      </c>
      <c r="D346" t="inlineStr">
        <is>
          <t>VÄSTMANLANDS LÄN</t>
        </is>
      </c>
      <c r="E346" t="inlineStr">
        <is>
          <t>SALA</t>
        </is>
      </c>
      <c r="G346" t="n">
        <v>2.5</v>
      </c>
      <c r="H346" t="n">
        <v>0</v>
      </c>
      <c r="I346" t="n">
        <v>0</v>
      </c>
      <c r="J346" t="n">
        <v>0</v>
      </c>
      <c r="K346" t="n">
        <v>0</v>
      </c>
      <c r="L346" t="n">
        <v>0</v>
      </c>
      <c r="M346" t="n">
        <v>0</v>
      </c>
      <c r="N346" t="n">
        <v>0</v>
      </c>
      <c r="O346" t="n">
        <v>0</v>
      </c>
      <c r="P346" t="n">
        <v>0</v>
      </c>
      <c r="Q346" t="n">
        <v>0</v>
      </c>
      <c r="R346" s="2" t="inlineStr"/>
    </row>
    <row r="347" ht="15" customHeight="1">
      <c r="A347" t="inlineStr">
        <is>
          <t>A 48570-2024</t>
        </is>
      </c>
      <c r="B347" s="1" t="n">
        <v>45591</v>
      </c>
      <c r="C347" s="1" t="n">
        <v>45891</v>
      </c>
      <c r="D347" t="inlineStr">
        <is>
          <t>VÄSTMANLANDS LÄN</t>
        </is>
      </c>
      <c r="E347" t="inlineStr">
        <is>
          <t>SALA</t>
        </is>
      </c>
      <c r="G347" t="n">
        <v>3</v>
      </c>
      <c r="H347" t="n">
        <v>0</v>
      </c>
      <c r="I347" t="n">
        <v>0</v>
      </c>
      <c r="J347" t="n">
        <v>0</v>
      </c>
      <c r="K347" t="n">
        <v>0</v>
      </c>
      <c r="L347" t="n">
        <v>0</v>
      </c>
      <c r="M347" t="n">
        <v>0</v>
      </c>
      <c r="N347" t="n">
        <v>0</v>
      </c>
      <c r="O347" t="n">
        <v>0</v>
      </c>
      <c r="P347" t="n">
        <v>0</v>
      </c>
      <c r="Q347" t="n">
        <v>0</v>
      </c>
      <c r="R347" s="2" t="inlineStr"/>
    </row>
    <row r="348" ht="15" customHeight="1">
      <c r="A348" t="inlineStr">
        <is>
          <t>A 21751-2025</t>
        </is>
      </c>
      <c r="B348" s="1" t="n">
        <v>45783.61372685185</v>
      </c>
      <c r="C348" s="1" t="n">
        <v>45891</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21721-2025</t>
        </is>
      </c>
      <c r="B349" s="1" t="n">
        <v>45783</v>
      </c>
      <c r="C349" s="1" t="n">
        <v>45891</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61517-2024</t>
        </is>
      </c>
      <c r="B350" s="1" t="n">
        <v>45645</v>
      </c>
      <c r="C350" s="1" t="n">
        <v>45891</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45313-2024</t>
        </is>
      </c>
      <c r="B351" s="1" t="n">
        <v>45576</v>
      </c>
      <c r="C351" s="1" t="n">
        <v>45891</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56535-2022</t>
        </is>
      </c>
      <c r="B352" s="1" t="n">
        <v>44893.47173611111</v>
      </c>
      <c r="C352" s="1" t="n">
        <v>45891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47909-2022</t>
        </is>
      </c>
      <c r="B353" s="1" t="n">
        <v>44855</v>
      </c>
      <c r="C353" s="1" t="n">
        <v>45891</v>
      </c>
      <c r="D353" t="inlineStr">
        <is>
          <t>VÄSTMANLANDS LÄN</t>
        </is>
      </c>
      <c r="E353" t="inlineStr">
        <is>
          <t>SALA</t>
        </is>
      </c>
      <c r="F353" t="inlineStr">
        <is>
          <t>Bergvik skog öst AB</t>
        </is>
      </c>
      <c r="G353" t="n">
        <v>2</v>
      </c>
      <c r="H353" t="n">
        <v>0</v>
      </c>
      <c r="I353" t="n">
        <v>0</v>
      </c>
      <c r="J353" t="n">
        <v>0</v>
      </c>
      <c r="K353" t="n">
        <v>0</v>
      </c>
      <c r="L353" t="n">
        <v>0</v>
      </c>
      <c r="M353" t="n">
        <v>0</v>
      </c>
      <c r="N353" t="n">
        <v>0</v>
      </c>
      <c r="O353" t="n">
        <v>0</v>
      </c>
      <c r="P353" t="n">
        <v>0</v>
      </c>
      <c r="Q353" t="n">
        <v>0</v>
      </c>
      <c r="R353" s="2" t="inlineStr"/>
    </row>
    <row r="354" ht="15" customHeight="1">
      <c r="A354" t="inlineStr">
        <is>
          <t>A 52630-2022</t>
        </is>
      </c>
      <c r="B354" s="1" t="n">
        <v>44874</v>
      </c>
      <c r="C354" s="1" t="n">
        <v>45891</v>
      </c>
      <c r="D354" t="inlineStr">
        <is>
          <t>VÄSTMANLANDS LÄN</t>
        </is>
      </c>
      <c r="E354" t="inlineStr">
        <is>
          <t>SALA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16760-2024</t>
        </is>
      </c>
      <c r="B355" s="1" t="n">
        <v>45411</v>
      </c>
      <c r="C355" s="1" t="n">
        <v>45891</v>
      </c>
      <c r="D355" t="inlineStr">
        <is>
          <t>VÄSTMANLANDS LÄN</t>
        </is>
      </c>
      <c r="E355" t="inlineStr">
        <is>
          <t>SALA</t>
        </is>
      </c>
      <c r="G355" t="n">
        <v>2.6</v>
      </c>
      <c r="H355" t="n">
        <v>0</v>
      </c>
      <c r="I355" t="n">
        <v>0</v>
      </c>
      <c r="J355" t="n">
        <v>0</v>
      </c>
      <c r="K355" t="n">
        <v>0</v>
      </c>
      <c r="L355" t="n">
        <v>0</v>
      </c>
      <c r="M355" t="n">
        <v>0</v>
      </c>
      <c r="N355" t="n">
        <v>0</v>
      </c>
      <c r="O355" t="n">
        <v>0</v>
      </c>
      <c r="P355" t="n">
        <v>0</v>
      </c>
      <c r="Q355" t="n">
        <v>0</v>
      </c>
      <c r="R355" s="2" t="inlineStr"/>
    </row>
    <row r="356" ht="15" customHeight="1">
      <c r="A356" t="inlineStr">
        <is>
          <t>A 21738-2025</t>
        </is>
      </c>
      <c r="B356" s="1" t="n">
        <v>45783.59173611111</v>
      </c>
      <c r="C356" s="1" t="n">
        <v>45891</v>
      </c>
      <c r="D356" t="inlineStr">
        <is>
          <t>VÄSTMANLANDS LÄN</t>
        </is>
      </c>
      <c r="E356" t="inlineStr">
        <is>
          <t>SALA</t>
        </is>
      </c>
      <c r="G356" t="n">
        <v>2.1</v>
      </c>
      <c r="H356" t="n">
        <v>0</v>
      </c>
      <c r="I356" t="n">
        <v>0</v>
      </c>
      <c r="J356" t="n">
        <v>0</v>
      </c>
      <c r="K356" t="n">
        <v>0</v>
      </c>
      <c r="L356" t="n">
        <v>0</v>
      </c>
      <c r="M356" t="n">
        <v>0</v>
      </c>
      <c r="N356" t="n">
        <v>0</v>
      </c>
      <c r="O356" t="n">
        <v>0</v>
      </c>
      <c r="P356" t="n">
        <v>0</v>
      </c>
      <c r="Q356" t="n">
        <v>0</v>
      </c>
      <c r="R356" s="2" t="inlineStr"/>
    </row>
    <row r="357" ht="15" customHeight="1">
      <c r="A357" t="inlineStr">
        <is>
          <t>A 53164-2024</t>
        </is>
      </c>
      <c r="B357" s="1" t="n">
        <v>45611.64887731482</v>
      </c>
      <c r="C357" s="1" t="n">
        <v>45891</v>
      </c>
      <c r="D357" t="inlineStr">
        <is>
          <t>VÄSTMANLANDS LÄN</t>
        </is>
      </c>
      <c r="E357" t="inlineStr">
        <is>
          <t>SALA</t>
        </is>
      </c>
      <c r="G357" t="n">
        <v>2.6</v>
      </c>
      <c r="H357" t="n">
        <v>0</v>
      </c>
      <c r="I357" t="n">
        <v>0</v>
      </c>
      <c r="J357" t="n">
        <v>0</v>
      </c>
      <c r="K357" t="n">
        <v>0</v>
      </c>
      <c r="L357" t="n">
        <v>0</v>
      </c>
      <c r="M357" t="n">
        <v>0</v>
      </c>
      <c r="N357" t="n">
        <v>0</v>
      </c>
      <c r="O357" t="n">
        <v>0</v>
      </c>
      <c r="P357" t="n">
        <v>0</v>
      </c>
      <c r="Q357" t="n">
        <v>0</v>
      </c>
      <c r="R357" s="2" t="inlineStr"/>
    </row>
    <row r="358" ht="15" customHeight="1">
      <c r="A358" t="inlineStr">
        <is>
          <t>A 21754-2025</t>
        </is>
      </c>
      <c r="B358" s="1" t="n">
        <v>45783.61837962963</v>
      </c>
      <c r="C358" s="1" t="n">
        <v>45891</v>
      </c>
      <c r="D358" t="inlineStr">
        <is>
          <t>VÄSTMANLANDS LÄN</t>
        </is>
      </c>
      <c r="E358" t="inlineStr">
        <is>
          <t>SALA</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7664-2023</t>
        </is>
      </c>
      <c r="B359" s="1" t="n">
        <v>44972</v>
      </c>
      <c r="C359" s="1" t="n">
        <v>45891</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56687-2024</t>
        </is>
      </c>
      <c r="B360" s="1" t="n">
        <v>45627.63271990741</v>
      </c>
      <c r="C360" s="1" t="n">
        <v>45891</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54768-2024</t>
        </is>
      </c>
      <c r="B361" s="1" t="n">
        <v>45618</v>
      </c>
      <c r="C361" s="1" t="n">
        <v>45891</v>
      </c>
      <c r="D361" t="inlineStr">
        <is>
          <t>VÄSTMANLANDS LÄN</t>
        </is>
      </c>
      <c r="E361" t="inlineStr">
        <is>
          <t>SALA</t>
        </is>
      </c>
      <c r="G361" t="n">
        <v>2.4</v>
      </c>
      <c r="H361" t="n">
        <v>0</v>
      </c>
      <c r="I361" t="n">
        <v>0</v>
      </c>
      <c r="J361" t="n">
        <v>0</v>
      </c>
      <c r="K361" t="n">
        <v>0</v>
      </c>
      <c r="L361" t="n">
        <v>0</v>
      </c>
      <c r="M361" t="n">
        <v>0</v>
      </c>
      <c r="N361" t="n">
        <v>0</v>
      </c>
      <c r="O361" t="n">
        <v>0</v>
      </c>
      <c r="P361" t="n">
        <v>0</v>
      </c>
      <c r="Q361" t="n">
        <v>0</v>
      </c>
      <c r="R361" s="2" t="inlineStr"/>
    </row>
    <row r="362" ht="15" customHeight="1">
      <c r="A362" t="inlineStr">
        <is>
          <t>A 54603-2024</t>
        </is>
      </c>
      <c r="B362" s="1" t="n">
        <v>45617.68224537037</v>
      </c>
      <c r="C362" s="1" t="n">
        <v>45891</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37587-2024</t>
        </is>
      </c>
      <c r="B363" s="1" t="n">
        <v>45541</v>
      </c>
      <c r="C363" s="1" t="n">
        <v>45891</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61715-2024</t>
        </is>
      </c>
      <c r="B364" s="1" t="n">
        <v>45648.89519675926</v>
      </c>
      <c r="C364" s="1" t="n">
        <v>45891</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39604-2023</t>
        </is>
      </c>
      <c r="B365" s="1" t="n">
        <v>45163</v>
      </c>
      <c r="C365" s="1" t="n">
        <v>45891</v>
      </c>
      <c r="D365" t="inlineStr">
        <is>
          <t>VÄSTMANLANDS LÄN</t>
        </is>
      </c>
      <c r="E365" t="inlineStr">
        <is>
          <t>SALA</t>
        </is>
      </c>
      <c r="G365" t="n">
        <v>2.7</v>
      </c>
      <c r="H365" t="n">
        <v>0</v>
      </c>
      <c r="I365" t="n">
        <v>0</v>
      </c>
      <c r="J365" t="n">
        <v>0</v>
      </c>
      <c r="K365" t="n">
        <v>0</v>
      </c>
      <c r="L365" t="n">
        <v>0</v>
      </c>
      <c r="M365" t="n">
        <v>0</v>
      </c>
      <c r="N365" t="n">
        <v>0</v>
      </c>
      <c r="O365" t="n">
        <v>0</v>
      </c>
      <c r="P365" t="n">
        <v>0</v>
      </c>
      <c r="Q365" t="n">
        <v>0</v>
      </c>
      <c r="R365" s="2" t="inlineStr"/>
    </row>
    <row r="366" ht="15" customHeight="1">
      <c r="A366" t="inlineStr">
        <is>
          <t>A 22353-2025</t>
        </is>
      </c>
      <c r="B366" s="1" t="n">
        <v>45786</v>
      </c>
      <c r="C366" s="1" t="n">
        <v>45891</v>
      </c>
      <c r="D366" t="inlineStr">
        <is>
          <t>VÄSTMANLANDS LÄN</t>
        </is>
      </c>
      <c r="E366" t="inlineStr">
        <is>
          <t>SALA</t>
        </is>
      </c>
      <c r="G366" t="n">
        <v>2.5</v>
      </c>
      <c r="H366" t="n">
        <v>0</v>
      </c>
      <c r="I366" t="n">
        <v>0</v>
      </c>
      <c r="J366" t="n">
        <v>0</v>
      </c>
      <c r="K366" t="n">
        <v>0</v>
      </c>
      <c r="L366" t="n">
        <v>0</v>
      </c>
      <c r="M366" t="n">
        <v>0</v>
      </c>
      <c r="N366" t="n">
        <v>0</v>
      </c>
      <c r="O366" t="n">
        <v>0</v>
      </c>
      <c r="P366" t="n">
        <v>0</v>
      </c>
      <c r="Q366" t="n">
        <v>0</v>
      </c>
      <c r="R366" s="2" t="inlineStr"/>
    </row>
    <row r="367" ht="15" customHeight="1">
      <c r="A367" t="inlineStr">
        <is>
          <t>A 16404-2022</t>
        </is>
      </c>
      <c r="B367" s="1" t="n">
        <v>44671</v>
      </c>
      <c r="C367" s="1" t="n">
        <v>45891</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64724-2023</t>
        </is>
      </c>
      <c r="B368" s="1" t="n">
        <v>45281.7602662037</v>
      </c>
      <c r="C368" s="1" t="n">
        <v>45891</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18762-2024</t>
        </is>
      </c>
      <c r="B369" s="1" t="n">
        <v>45426.55240740741</v>
      </c>
      <c r="C369" s="1" t="n">
        <v>45891</v>
      </c>
      <c r="D369" t="inlineStr">
        <is>
          <t>VÄSTMANLANDS LÄN</t>
        </is>
      </c>
      <c r="E369" t="inlineStr">
        <is>
          <t>SALA</t>
        </is>
      </c>
      <c r="G369" t="n">
        <v>6.2</v>
      </c>
      <c r="H369" t="n">
        <v>0</v>
      </c>
      <c r="I369" t="n">
        <v>0</v>
      </c>
      <c r="J369" t="n">
        <v>0</v>
      </c>
      <c r="K369" t="n">
        <v>0</v>
      </c>
      <c r="L369" t="n">
        <v>0</v>
      </c>
      <c r="M369" t="n">
        <v>0</v>
      </c>
      <c r="N369" t="n">
        <v>0</v>
      </c>
      <c r="O369" t="n">
        <v>0</v>
      </c>
      <c r="P369" t="n">
        <v>0</v>
      </c>
      <c r="Q369" t="n">
        <v>0</v>
      </c>
      <c r="R369" s="2" t="inlineStr"/>
    </row>
    <row r="370" ht="15" customHeight="1">
      <c r="A370" t="inlineStr">
        <is>
          <t>A 17120-2023</t>
        </is>
      </c>
      <c r="B370" s="1" t="n">
        <v>45034</v>
      </c>
      <c r="C370" s="1" t="n">
        <v>45891</v>
      </c>
      <c r="D370" t="inlineStr">
        <is>
          <t>VÄSTMANLANDS LÄN</t>
        </is>
      </c>
      <c r="E370" t="inlineStr">
        <is>
          <t>SALA</t>
        </is>
      </c>
      <c r="G370" t="n">
        <v>0.1</v>
      </c>
      <c r="H370" t="n">
        <v>0</v>
      </c>
      <c r="I370" t="n">
        <v>0</v>
      </c>
      <c r="J370" t="n">
        <v>0</v>
      </c>
      <c r="K370" t="n">
        <v>0</v>
      </c>
      <c r="L370" t="n">
        <v>0</v>
      </c>
      <c r="M370" t="n">
        <v>0</v>
      </c>
      <c r="N370" t="n">
        <v>0</v>
      </c>
      <c r="O370" t="n">
        <v>0</v>
      </c>
      <c r="P370" t="n">
        <v>0</v>
      </c>
      <c r="Q370" t="n">
        <v>0</v>
      </c>
      <c r="R370" s="2" t="inlineStr"/>
    </row>
    <row r="371" ht="15" customHeight="1">
      <c r="A371" t="inlineStr">
        <is>
          <t>A 42938-2023</t>
        </is>
      </c>
      <c r="B371" s="1" t="n">
        <v>45179</v>
      </c>
      <c r="C371" s="1" t="n">
        <v>45891</v>
      </c>
      <c r="D371" t="inlineStr">
        <is>
          <t>VÄSTMANLANDS LÄN</t>
        </is>
      </c>
      <c r="E371" t="inlineStr">
        <is>
          <t>SALA</t>
        </is>
      </c>
      <c r="G371" t="n">
        <v>10.9</v>
      </c>
      <c r="H371" t="n">
        <v>0</v>
      </c>
      <c r="I371" t="n">
        <v>0</v>
      </c>
      <c r="J371" t="n">
        <v>0</v>
      </c>
      <c r="K371" t="n">
        <v>0</v>
      </c>
      <c r="L371" t="n">
        <v>0</v>
      </c>
      <c r="M371" t="n">
        <v>0</v>
      </c>
      <c r="N371" t="n">
        <v>0</v>
      </c>
      <c r="O371" t="n">
        <v>0</v>
      </c>
      <c r="P371" t="n">
        <v>0</v>
      </c>
      <c r="Q371" t="n">
        <v>0</v>
      </c>
      <c r="R371" s="2" t="inlineStr"/>
    </row>
    <row r="372" ht="15" customHeight="1">
      <c r="A372" t="inlineStr">
        <is>
          <t>A 42984-2023</t>
        </is>
      </c>
      <c r="B372" s="1" t="n">
        <v>45179</v>
      </c>
      <c r="C372" s="1" t="n">
        <v>45891</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6097-2022</t>
        </is>
      </c>
      <c r="B373" s="1" t="n">
        <v>44599</v>
      </c>
      <c r="C373" s="1" t="n">
        <v>45891</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15972-2024</t>
        </is>
      </c>
      <c r="B374" s="1" t="n">
        <v>45405.56498842593</v>
      </c>
      <c r="C374" s="1" t="n">
        <v>45891</v>
      </c>
      <c r="D374" t="inlineStr">
        <is>
          <t>VÄSTMANLANDS LÄN</t>
        </is>
      </c>
      <c r="E374" t="inlineStr">
        <is>
          <t>SALA</t>
        </is>
      </c>
      <c r="G374" t="n">
        <v>1.8</v>
      </c>
      <c r="H374" t="n">
        <v>0</v>
      </c>
      <c r="I374" t="n">
        <v>0</v>
      </c>
      <c r="J374" t="n">
        <v>0</v>
      </c>
      <c r="K374" t="n">
        <v>0</v>
      </c>
      <c r="L374" t="n">
        <v>0</v>
      </c>
      <c r="M374" t="n">
        <v>0</v>
      </c>
      <c r="N374" t="n">
        <v>0</v>
      </c>
      <c r="O374" t="n">
        <v>0</v>
      </c>
      <c r="P374" t="n">
        <v>0</v>
      </c>
      <c r="Q374" t="n">
        <v>0</v>
      </c>
      <c r="R374" s="2" t="inlineStr"/>
    </row>
    <row r="375" ht="15" customHeight="1">
      <c r="A375" t="inlineStr">
        <is>
          <t>A 39714-2023</t>
        </is>
      </c>
      <c r="B375" s="1" t="n">
        <v>45167.62133101852</v>
      </c>
      <c r="C375" s="1" t="n">
        <v>45891</v>
      </c>
      <c r="D375" t="inlineStr">
        <is>
          <t>VÄSTMANLANDS LÄN</t>
        </is>
      </c>
      <c r="E375" t="inlineStr">
        <is>
          <t>SALA</t>
        </is>
      </c>
      <c r="G375" t="n">
        <v>1.3</v>
      </c>
      <c r="H375" t="n">
        <v>0</v>
      </c>
      <c r="I375" t="n">
        <v>0</v>
      </c>
      <c r="J375" t="n">
        <v>0</v>
      </c>
      <c r="K375" t="n">
        <v>0</v>
      </c>
      <c r="L375" t="n">
        <v>0</v>
      </c>
      <c r="M375" t="n">
        <v>0</v>
      </c>
      <c r="N375" t="n">
        <v>0</v>
      </c>
      <c r="O375" t="n">
        <v>0</v>
      </c>
      <c r="P375" t="n">
        <v>0</v>
      </c>
      <c r="Q375" t="n">
        <v>0</v>
      </c>
      <c r="R375" s="2" t="inlineStr"/>
    </row>
    <row r="376" ht="15" customHeight="1">
      <c r="A376" t="inlineStr">
        <is>
          <t>A 33527-2023</t>
        </is>
      </c>
      <c r="B376" s="1" t="n">
        <v>45131</v>
      </c>
      <c r="C376" s="1" t="n">
        <v>45891</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22370-2025</t>
        </is>
      </c>
      <c r="B377" s="1" t="n">
        <v>45786</v>
      </c>
      <c r="C377" s="1" t="n">
        <v>45891</v>
      </c>
      <c r="D377" t="inlineStr">
        <is>
          <t>VÄSTMANLANDS LÄN</t>
        </is>
      </c>
      <c r="E377" t="inlineStr">
        <is>
          <t>SALA</t>
        </is>
      </c>
      <c r="G377" t="n">
        <v>3.2</v>
      </c>
      <c r="H377" t="n">
        <v>0</v>
      </c>
      <c r="I377" t="n">
        <v>0</v>
      </c>
      <c r="J377" t="n">
        <v>0</v>
      </c>
      <c r="K377" t="n">
        <v>0</v>
      </c>
      <c r="L377" t="n">
        <v>0</v>
      </c>
      <c r="M377" t="n">
        <v>0</v>
      </c>
      <c r="N377" t="n">
        <v>0</v>
      </c>
      <c r="O377" t="n">
        <v>0</v>
      </c>
      <c r="P377" t="n">
        <v>0</v>
      </c>
      <c r="Q377" t="n">
        <v>0</v>
      </c>
      <c r="R377" s="2" t="inlineStr"/>
    </row>
    <row r="378" ht="15" customHeight="1">
      <c r="A378" t="inlineStr">
        <is>
          <t>A 10559-2024</t>
        </is>
      </c>
      <c r="B378" s="1" t="n">
        <v>45366</v>
      </c>
      <c r="C378" s="1" t="n">
        <v>45891</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22383-2025</t>
        </is>
      </c>
      <c r="B379" s="1" t="n">
        <v>45786</v>
      </c>
      <c r="C379" s="1" t="n">
        <v>45891</v>
      </c>
      <c r="D379" t="inlineStr">
        <is>
          <t>VÄSTMANLANDS LÄN</t>
        </is>
      </c>
      <c r="E379" t="inlineStr">
        <is>
          <t>SALA</t>
        </is>
      </c>
      <c r="G379" t="n">
        <v>2.2</v>
      </c>
      <c r="H379" t="n">
        <v>0</v>
      </c>
      <c r="I379" t="n">
        <v>0</v>
      </c>
      <c r="J379" t="n">
        <v>0</v>
      </c>
      <c r="K379" t="n">
        <v>0</v>
      </c>
      <c r="L379" t="n">
        <v>0</v>
      </c>
      <c r="M379" t="n">
        <v>0</v>
      </c>
      <c r="N379" t="n">
        <v>0</v>
      </c>
      <c r="O379" t="n">
        <v>0</v>
      </c>
      <c r="P379" t="n">
        <v>0</v>
      </c>
      <c r="Q379" t="n">
        <v>0</v>
      </c>
      <c r="R379" s="2" t="inlineStr"/>
    </row>
    <row r="380" ht="15" customHeight="1">
      <c r="A380" t="inlineStr">
        <is>
          <t>A 10913-2025</t>
        </is>
      </c>
      <c r="B380" s="1" t="n">
        <v>45722.73423611111</v>
      </c>
      <c r="C380" s="1" t="n">
        <v>45891</v>
      </c>
      <c r="D380" t="inlineStr">
        <is>
          <t>VÄSTMANLANDS LÄN</t>
        </is>
      </c>
      <c r="E380" t="inlineStr">
        <is>
          <t>SALA</t>
        </is>
      </c>
      <c r="G380" t="n">
        <v>7.6</v>
      </c>
      <c r="H380" t="n">
        <v>0</v>
      </c>
      <c r="I380" t="n">
        <v>0</v>
      </c>
      <c r="J380" t="n">
        <v>0</v>
      </c>
      <c r="K380" t="n">
        <v>0</v>
      </c>
      <c r="L380" t="n">
        <v>0</v>
      </c>
      <c r="M380" t="n">
        <v>0</v>
      </c>
      <c r="N380" t="n">
        <v>0</v>
      </c>
      <c r="O380" t="n">
        <v>0</v>
      </c>
      <c r="P380" t="n">
        <v>0</v>
      </c>
      <c r="Q380" t="n">
        <v>0</v>
      </c>
      <c r="R380" s="2" t="inlineStr"/>
    </row>
    <row r="381" ht="15" customHeight="1">
      <c r="A381" t="inlineStr">
        <is>
          <t>A 58107-2021</t>
        </is>
      </c>
      <c r="B381" s="1" t="n">
        <v>44487</v>
      </c>
      <c r="C381" s="1" t="n">
        <v>45891</v>
      </c>
      <c r="D381" t="inlineStr">
        <is>
          <t>VÄSTMANLANDS LÄN</t>
        </is>
      </c>
      <c r="E381" t="inlineStr">
        <is>
          <t>SALA</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2927-2024</t>
        </is>
      </c>
      <c r="B382" s="1" t="n">
        <v>45315.58989583333</v>
      </c>
      <c r="C382" s="1" t="n">
        <v>45891</v>
      </c>
      <c r="D382" t="inlineStr">
        <is>
          <t>VÄSTMANLANDS LÄN</t>
        </is>
      </c>
      <c r="E382" t="inlineStr">
        <is>
          <t>SALA</t>
        </is>
      </c>
      <c r="G382" t="n">
        <v>2.5</v>
      </c>
      <c r="H382" t="n">
        <v>0</v>
      </c>
      <c r="I382" t="n">
        <v>0</v>
      </c>
      <c r="J382" t="n">
        <v>0</v>
      </c>
      <c r="K382" t="n">
        <v>0</v>
      </c>
      <c r="L382" t="n">
        <v>0</v>
      </c>
      <c r="M382" t="n">
        <v>0</v>
      </c>
      <c r="N382" t="n">
        <v>0</v>
      </c>
      <c r="O382" t="n">
        <v>0</v>
      </c>
      <c r="P382" t="n">
        <v>0</v>
      </c>
      <c r="Q382" t="n">
        <v>0</v>
      </c>
      <c r="R382" s="2" t="inlineStr"/>
    </row>
    <row r="383" ht="15" customHeight="1">
      <c r="A383" t="inlineStr">
        <is>
          <t>A 60545-2024</t>
        </is>
      </c>
      <c r="B383" s="1" t="n">
        <v>45643</v>
      </c>
      <c r="C383" s="1" t="n">
        <v>45891</v>
      </c>
      <c r="D383" t="inlineStr">
        <is>
          <t>VÄSTMANLANDS LÄN</t>
        </is>
      </c>
      <c r="E383" t="inlineStr">
        <is>
          <t>SALA</t>
        </is>
      </c>
      <c r="G383" t="n">
        <v>3.3</v>
      </c>
      <c r="H383" t="n">
        <v>0</v>
      </c>
      <c r="I383" t="n">
        <v>0</v>
      </c>
      <c r="J383" t="n">
        <v>0</v>
      </c>
      <c r="K383" t="n">
        <v>0</v>
      </c>
      <c r="L383" t="n">
        <v>0</v>
      </c>
      <c r="M383" t="n">
        <v>0</v>
      </c>
      <c r="N383" t="n">
        <v>0</v>
      </c>
      <c r="O383" t="n">
        <v>0</v>
      </c>
      <c r="P383" t="n">
        <v>0</v>
      </c>
      <c r="Q383" t="n">
        <v>0</v>
      </c>
      <c r="R383" s="2" t="inlineStr"/>
    </row>
    <row r="384" ht="15" customHeight="1">
      <c r="A384" t="inlineStr">
        <is>
          <t>A 60547-2024</t>
        </is>
      </c>
      <c r="B384" s="1" t="n">
        <v>45643</v>
      </c>
      <c r="C384" s="1" t="n">
        <v>45891</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37183-2024</t>
        </is>
      </c>
      <c r="B385" s="1" t="n">
        <v>45539</v>
      </c>
      <c r="C385" s="1" t="n">
        <v>45891</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15965-2024</t>
        </is>
      </c>
      <c r="B386" s="1" t="n">
        <v>45405.55740740741</v>
      </c>
      <c r="C386" s="1" t="n">
        <v>45891</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7176-2023</t>
        </is>
      </c>
      <c r="B387" s="1" t="n">
        <v>44970</v>
      </c>
      <c r="C387" s="1" t="n">
        <v>45891</v>
      </c>
      <c r="D387" t="inlineStr">
        <is>
          <t>VÄSTMANLANDS LÄN</t>
        </is>
      </c>
      <c r="E387" t="inlineStr">
        <is>
          <t>SALA</t>
        </is>
      </c>
      <c r="G387" t="n">
        <v>1.5</v>
      </c>
      <c r="H387" t="n">
        <v>0</v>
      </c>
      <c r="I387" t="n">
        <v>0</v>
      </c>
      <c r="J387" t="n">
        <v>0</v>
      </c>
      <c r="K387" t="n">
        <v>0</v>
      </c>
      <c r="L387" t="n">
        <v>0</v>
      </c>
      <c r="M387" t="n">
        <v>0</v>
      </c>
      <c r="N387" t="n">
        <v>0</v>
      </c>
      <c r="O387" t="n">
        <v>0</v>
      </c>
      <c r="P387" t="n">
        <v>0</v>
      </c>
      <c r="Q387" t="n">
        <v>0</v>
      </c>
      <c r="R387" s="2" t="inlineStr"/>
    </row>
    <row r="388" ht="15" customHeight="1">
      <c r="A388" t="inlineStr">
        <is>
          <t>A 1196-2023</t>
        </is>
      </c>
      <c r="B388" s="1" t="n">
        <v>44935.82290509259</v>
      </c>
      <c r="C388" s="1" t="n">
        <v>45891</v>
      </c>
      <c r="D388" t="inlineStr">
        <is>
          <t>VÄSTMANLANDS LÄN</t>
        </is>
      </c>
      <c r="E388" t="inlineStr">
        <is>
          <t>SALA</t>
        </is>
      </c>
      <c r="G388" t="n">
        <v>4.1</v>
      </c>
      <c r="H388" t="n">
        <v>0</v>
      </c>
      <c r="I388" t="n">
        <v>0</v>
      </c>
      <c r="J388" t="n">
        <v>0</v>
      </c>
      <c r="K388" t="n">
        <v>0</v>
      </c>
      <c r="L388" t="n">
        <v>0</v>
      </c>
      <c r="M388" t="n">
        <v>0</v>
      </c>
      <c r="N388" t="n">
        <v>0</v>
      </c>
      <c r="O388" t="n">
        <v>0</v>
      </c>
      <c r="P388" t="n">
        <v>0</v>
      </c>
      <c r="Q388" t="n">
        <v>0</v>
      </c>
      <c r="R388" s="2" t="inlineStr"/>
    </row>
    <row r="389" ht="15" customHeight="1">
      <c r="A389" t="inlineStr">
        <is>
          <t>A 54199-2024</t>
        </is>
      </c>
      <c r="B389" s="1" t="n">
        <v>45616.64703703704</v>
      </c>
      <c r="C389" s="1" t="n">
        <v>45891</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60548-2024</t>
        </is>
      </c>
      <c r="B390" s="1" t="n">
        <v>45643.80978009259</v>
      </c>
      <c r="C390" s="1" t="n">
        <v>45891</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22624-2025</t>
        </is>
      </c>
      <c r="B391" s="1" t="n">
        <v>45789.43327546296</v>
      </c>
      <c r="C391" s="1" t="n">
        <v>45891</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62651-2022</t>
        </is>
      </c>
      <c r="B392" s="1" t="n">
        <v>44917</v>
      </c>
      <c r="C392" s="1" t="n">
        <v>45891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54836-2024</t>
        </is>
      </c>
      <c r="B393" s="1" t="n">
        <v>45618</v>
      </c>
      <c r="C393" s="1" t="n">
        <v>45891</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13987-2023</t>
        </is>
      </c>
      <c r="B394" s="1" t="n">
        <v>45007</v>
      </c>
      <c r="C394" s="1" t="n">
        <v>45891</v>
      </c>
      <c r="D394" t="inlineStr">
        <is>
          <t>VÄSTMANLANDS LÄN</t>
        </is>
      </c>
      <c r="E394" t="inlineStr">
        <is>
          <t>SALA</t>
        </is>
      </c>
      <c r="G394" t="n">
        <v>3.2</v>
      </c>
      <c r="H394" t="n">
        <v>0</v>
      </c>
      <c r="I394" t="n">
        <v>0</v>
      </c>
      <c r="J394" t="n">
        <v>0</v>
      </c>
      <c r="K394" t="n">
        <v>0</v>
      </c>
      <c r="L394" t="n">
        <v>0</v>
      </c>
      <c r="M394" t="n">
        <v>0</v>
      </c>
      <c r="N394" t="n">
        <v>0</v>
      </c>
      <c r="O394" t="n">
        <v>0</v>
      </c>
      <c r="P394" t="n">
        <v>0</v>
      </c>
      <c r="Q394" t="n">
        <v>0</v>
      </c>
      <c r="R394" s="2" t="inlineStr"/>
    </row>
    <row r="395" ht="15" customHeight="1">
      <c r="A395" t="inlineStr">
        <is>
          <t>A 13990-2023</t>
        </is>
      </c>
      <c r="B395" s="1" t="n">
        <v>45007</v>
      </c>
      <c r="C395" s="1" t="n">
        <v>45891</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51464-2024</t>
        </is>
      </c>
      <c r="B396" s="1" t="n">
        <v>45604.49768518518</v>
      </c>
      <c r="C396" s="1" t="n">
        <v>45891</v>
      </c>
      <c r="D396" t="inlineStr">
        <is>
          <t>VÄSTMANLANDS LÄN</t>
        </is>
      </c>
      <c r="E396" t="inlineStr">
        <is>
          <t>SALA</t>
        </is>
      </c>
      <c r="G396" t="n">
        <v>3.9</v>
      </c>
      <c r="H396" t="n">
        <v>0</v>
      </c>
      <c r="I396" t="n">
        <v>0</v>
      </c>
      <c r="J396" t="n">
        <v>0</v>
      </c>
      <c r="K396" t="n">
        <v>0</v>
      </c>
      <c r="L396" t="n">
        <v>0</v>
      </c>
      <c r="M396" t="n">
        <v>0</v>
      </c>
      <c r="N396" t="n">
        <v>0</v>
      </c>
      <c r="O396" t="n">
        <v>0</v>
      </c>
      <c r="P396" t="n">
        <v>0</v>
      </c>
      <c r="Q396" t="n">
        <v>0</v>
      </c>
      <c r="R396" s="2" t="inlineStr"/>
    </row>
    <row r="397" ht="15" customHeight="1">
      <c r="A397" t="inlineStr">
        <is>
          <t>A 1128-2025</t>
        </is>
      </c>
      <c r="B397" s="1" t="n">
        <v>45666.68469907407</v>
      </c>
      <c r="C397" s="1" t="n">
        <v>45891</v>
      </c>
      <c r="D397" t="inlineStr">
        <is>
          <t>VÄSTMANLANDS LÄN</t>
        </is>
      </c>
      <c r="E397" t="inlineStr">
        <is>
          <t>SALA</t>
        </is>
      </c>
      <c r="G397" t="n">
        <v>2.5</v>
      </c>
      <c r="H397" t="n">
        <v>0</v>
      </c>
      <c r="I397" t="n">
        <v>0</v>
      </c>
      <c r="J397" t="n">
        <v>0</v>
      </c>
      <c r="K397" t="n">
        <v>0</v>
      </c>
      <c r="L397" t="n">
        <v>0</v>
      </c>
      <c r="M397" t="n">
        <v>0</v>
      </c>
      <c r="N397" t="n">
        <v>0</v>
      </c>
      <c r="O397" t="n">
        <v>0</v>
      </c>
      <c r="P397" t="n">
        <v>0</v>
      </c>
      <c r="Q397" t="n">
        <v>0</v>
      </c>
      <c r="R397" s="2" t="inlineStr"/>
    </row>
    <row r="398" ht="15" customHeight="1">
      <c r="A398" t="inlineStr">
        <is>
          <t>A 12922-2025</t>
        </is>
      </c>
      <c r="B398" s="1" t="n">
        <v>45734.28572916667</v>
      </c>
      <c r="C398" s="1" t="n">
        <v>45891</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39364-2024</t>
        </is>
      </c>
      <c r="B399" s="1" t="n">
        <v>45551.46748842593</v>
      </c>
      <c r="C399" s="1" t="n">
        <v>45891</v>
      </c>
      <c r="D399" t="inlineStr">
        <is>
          <t>VÄSTMANLANDS LÄN</t>
        </is>
      </c>
      <c r="E399" t="inlineStr">
        <is>
          <t>SALA</t>
        </is>
      </c>
      <c r="G399" t="n">
        <v>2.8</v>
      </c>
      <c r="H399" t="n">
        <v>0</v>
      </c>
      <c r="I399" t="n">
        <v>0</v>
      </c>
      <c r="J399" t="n">
        <v>0</v>
      </c>
      <c r="K399" t="n">
        <v>0</v>
      </c>
      <c r="L399" t="n">
        <v>0</v>
      </c>
      <c r="M399" t="n">
        <v>0</v>
      </c>
      <c r="N399" t="n">
        <v>0</v>
      </c>
      <c r="O399" t="n">
        <v>0</v>
      </c>
      <c r="P399" t="n">
        <v>0</v>
      </c>
      <c r="Q399" t="n">
        <v>0</v>
      </c>
      <c r="R399" s="2" t="inlineStr"/>
    </row>
    <row r="400" ht="15" customHeight="1">
      <c r="A400" t="inlineStr">
        <is>
          <t>A 43176-2023</t>
        </is>
      </c>
      <c r="B400" s="1" t="n">
        <v>45183</v>
      </c>
      <c r="C400" s="1" t="n">
        <v>45891</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44552.92112268518</v>
      </c>
      <c r="C401" s="1" t="n">
        <v>45891</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60379-2022</t>
        </is>
      </c>
      <c r="B402" s="1" t="n">
        <v>44910</v>
      </c>
      <c r="C402" s="1" t="n">
        <v>45891</v>
      </c>
      <c r="D402" t="inlineStr">
        <is>
          <t>VÄSTMANLANDS LÄN</t>
        </is>
      </c>
      <c r="E402" t="inlineStr">
        <is>
          <t>SALA</t>
        </is>
      </c>
      <c r="F402" t="inlineStr">
        <is>
          <t>Kyrkan</t>
        </is>
      </c>
      <c r="G402" t="n">
        <v>2.5</v>
      </c>
      <c r="H402" t="n">
        <v>0</v>
      </c>
      <c r="I402" t="n">
        <v>0</v>
      </c>
      <c r="J402" t="n">
        <v>0</v>
      </c>
      <c r="K402" t="n">
        <v>0</v>
      </c>
      <c r="L402" t="n">
        <v>0</v>
      </c>
      <c r="M402" t="n">
        <v>0</v>
      </c>
      <c r="N402" t="n">
        <v>0</v>
      </c>
      <c r="O402" t="n">
        <v>0</v>
      </c>
      <c r="P402" t="n">
        <v>0</v>
      </c>
      <c r="Q402" t="n">
        <v>0</v>
      </c>
      <c r="R402" s="2" t="inlineStr"/>
    </row>
    <row r="403" ht="15" customHeight="1">
      <c r="A403" t="inlineStr">
        <is>
          <t>A 1638-2023</t>
        </is>
      </c>
      <c r="B403" s="1" t="n">
        <v>44937</v>
      </c>
      <c r="C403" s="1" t="n">
        <v>45891</v>
      </c>
      <c r="D403" t="inlineStr">
        <is>
          <t>VÄSTMANLANDS LÄN</t>
        </is>
      </c>
      <c r="E403" t="inlineStr">
        <is>
          <t>SALA</t>
        </is>
      </c>
      <c r="G403" t="n">
        <v>3.1</v>
      </c>
      <c r="H403" t="n">
        <v>0</v>
      </c>
      <c r="I403" t="n">
        <v>0</v>
      </c>
      <c r="J403" t="n">
        <v>0</v>
      </c>
      <c r="K403" t="n">
        <v>0</v>
      </c>
      <c r="L403" t="n">
        <v>0</v>
      </c>
      <c r="M403" t="n">
        <v>0</v>
      </c>
      <c r="N403" t="n">
        <v>0</v>
      </c>
      <c r="O403" t="n">
        <v>0</v>
      </c>
      <c r="P403" t="n">
        <v>0</v>
      </c>
      <c r="Q403" t="n">
        <v>0</v>
      </c>
      <c r="R403" s="2" t="inlineStr"/>
    </row>
    <row r="404" ht="15" customHeight="1">
      <c r="A404" t="inlineStr">
        <is>
          <t>A 7953-2024</t>
        </is>
      </c>
      <c r="B404" s="1" t="n">
        <v>45350</v>
      </c>
      <c r="C404" s="1" t="n">
        <v>45891</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57895-2024</t>
        </is>
      </c>
      <c r="B405" s="1" t="n">
        <v>45631</v>
      </c>
      <c r="C405" s="1" t="n">
        <v>45891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31597-2024</t>
        </is>
      </c>
      <c r="B406" s="1" t="n">
        <v>45506</v>
      </c>
      <c r="C406" s="1" t="n">
        <v>45891</v>
      </c>
      <c r="D406" t="inlineStr">
        <is>
          <t>VÄSTMANLANDS LÄN</t>
        </is>
      </c>
      <c r="E406" t="inlineStr">
        <is>
          <t>SALA</t>
        </is>
      </c>
      <c r="G406" t="n">
        <v>2.4</v>
      </c>
      <c r="H406" t="n">
        <v>0</v>
      </c>
      <c r="I406" t="n">
        <v>0</v>
      </c>
      <c r="J406" t="n">
        <v>0</v>
      </c>
      <c r="K406" t="n">
        <v>0</v>
      </c>
      <c r="L406" t="n">
        <v>0</v>
      </c>
      <c r="M406" t="n">
        <v>0</v>
      </c>
      <c r="N406" t="n">
        <v>0</v>
      </c>
      <c r="O406" t="n">
        <v>0</v>
      </c>
      <c r="P406" t="n">
        <v>0</v>
      </c>
      <c r="Q406" t="n">
        <v>0</v>
      </c>
      <c r="R406" s="2" t="inlineStr"/>
    </row>
    <row r="407" ht="15" customHeight="1">
      <c r="A407" t="inlineStr">
        <is>
          <t>A 17458-2024</t>
        </is>
      </c>
      <c r="B407" s="1" t="n">
        <v>45415</v>
      </c>
      <c r="C407" s="1" t="n">
        <v>45891</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56543-2024</t>
        </is>
      </c>
      <c r="B408" s="1" t="n">
        <v>45625</v>
      </c>
      <c r="C408" s="1" t="n">
        <v>45891</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5477-2024</t>
        </is>
      </c>
      <c r="B409" s="1" t="n">
        <v>45333.67833333334</v>
      </c>
      <c r="C409" s="1" t="n">
        <v>45891</v>
      </c>
      <c r="D409" t="inlineStr">
        <is>
          <t>VÄSTMANLANDS LÄN</t>
        </is>
      </c>
      <c r="E409" t="inlineStr">
        <is>
          <t>SALA</t>
        </is>
      </c>
      <c r="G409" t="n">
        <v>2.3</v>
      </c>
      <c r="H409" t="n">
        <v>0</v>
      </c>
      <c r="I409" t="n">
        <v>0</v>
      </c>
      <c r="J409" t="n">
        <v>0</v>
      </c>
      <c r="K409" t="n">
        <v>0</v>
      </c>
      <c r="L409" t="n">
        <v>0</v>
      </c>
      <c r="M409" t="n">
        <v>0</v>
      </c>
      <c r="N409" t="n">
        <v>0</v>
      </c>
      <c r="O409" t="n">
        <v>0</v>
      </c>
      <c r="P409" t="n">
        <v>0</v>
      </c>
      <c r="Q409" t="n">
        <v>0</v>
      </c>
      <c r="R409" s="2" t="inlineStr"/>
    </row>
    <row r="410" ht="15" customHeight="1">
      <c r="A410" t="inlineStr">
        <is>
          <t>A 31405-2024</t>
        </is>
      </c>
      <c r="B410" s="1" t="n">
        <v>45505.5490625</v>
      </c>
      <c r="C410" s="1" t="n">
        <v>45891</v>
      </c>
      <c r="D410" t="inlineStr">
        <is>
          <t>VÄSTMANLANDS LÄN</t>
        </is>
      </c>
      <c r="E410" t="inlineStr">
        <is>
          <t>SALA</t>
        </is>
      </c>
      <c r="G410" t="n">
        <v>5.2</v>
      </c>
      <c r="H410" t="n">
        <v>0</v>
      </c>
      <c r="I410" t="n">
        <v>0</v>
      </c>
      <c r="J410" t="n">
        <v>0</v>
      </c>
      <c r="K410" t="n">
        <v>0</v>
      </c>
      <c r="L410" t="n">
        <v>0</v>
      </c>
      <c r="M410" t="n">
        <v>0</v>
      </c>
      <c r="N410" t="n">
        <v>0</v>
      </c>
      <c r="O410" t="n">
        <v>0</v>
      </c>
      <c r="P410" t="n">
        <v>0</v>
      </c>
      <c r="Q410" t="n">
        <v>0</v>
      </c>
      <c r="R410" s="2" t="inlineStr"/>
    </row>
    <row r="411" ht="15" customHeight="1">
      <c r="A411" t="inlineStr">
        <is>
          <t>A 22616-2025</t>
        </is>
      </c>
      <c r="B411" s="1" t="n">
        <v>45789.42752314815</v>
      </c>
      <c r="C411" s="1" t="n">
        <v>45891</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43600-2024</t>
        </is>
      </c>
      <c r="B412" s="1" t="n">
        <v>45569</v>
      </c>
      <c r="C412" s="1" t="n">
        <v>45891</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13130-2025</t>
        </is>
      </c>
      <c r="B413" s="1" t="n">
        <v>45734</v>
      </c>
      <c r="C413" s="1" t="n">
        <v>45891</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26507-2023</t>
        </is>
      </c>
      <c r="B414" s="1" t="n">
        <v>45092</v>
      </c>
      <c r="C414" s="1" t="n">
        <v>45891</v>
      </c>
      <c r="D414" t="inlineStr">
        <is>
          <t>VÄSTMANLANDS LÄN</t>
        </is>
      </c>
      <c r="E414" t="inlineStr">
        <is>
          <t>SALA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6032-2025</t>
        </is>
      </c>
      <c r="B415" s="1" t="n">
        <v>45695.6371875</v>
      </c>
      <c r="C415" s="1" t="n">
        <v>45891</v>
      </c>
      <c r="D415" t="inlineStr">
        <is>
          <t>VÄSTMANLANDS LÄN</t>
        </is>
      </c>
      <c r="E415" t="inlineStr">
        <is>
          <t>SALA</t>
        </is>
      </c>
      <c r="F415" t="inlineStr">
        <is>
          <t>Bergvik skog öst AB</t>
        </is>
      </c>
      <c r="G415" t="n">
        <v>8.1</v>
      </c>
      <c r="H415" t="n">
        <v>0</v>
      </c>
      <c r="I415" t="n">
        <v>0</v>
      </c>
      <c r="J415" t="n">
        <v>0</v>
      </c>
      <c r="K415" t="n">
        <v>0</v>
      </c>
      <c r="L415" t="n">
        <v>0</v>
      </c>
      <c r="M415" t="n">
        <v>0</v>
      </c>
      <c r="N415" t="n">
        <v>0</v>
      </c>
      <c r="O415" t="n">
        <v>0</v>
      </c>
      <c r="P415" t="n">
        <v>0</v>
      </c>
      <c r="Q415" t="n">
        <v>0</v>
      </c>
      <c r="R415" s="2" t="inlineStr"/>
    </row>
    <row r="416" ht="15" customHeight="1">
      <c r="A416" t="inlineStr">
        <is>
          <t>A 28661-2024</t>
        </is>
      </c>
      <c r="B416" s="1" t="n">
        <v>45478</v>
      </c>
      <c r="C416" s="1" t="n">
        <v>45891</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2529-2022</t>
        </is>
      </c>
      <c r="B417" s="1" t="n">
        <v>44579.86452546297</v>
      </c>
      <c r="C417" s="1" t="n">
        <v>45891</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56540-2024</t>
        </is>
      </c>
      <c r="B418" s="1" t="n">
        <v>45625</v>
      </c>
      <c r="C418" s="1" t="n">
        <v>45891</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31599-2024</t>
        </is>
      </c>
      <c r="B419" s="1" t="n">
        <v>45506</v>
      </c>
      <c r="C419" s="1" t="n">
        <v>45891</v>
      </c>
      <c r="D419" t="inlineStr">
        <is>
          <t>VÄSTMANLANDS LÄN</t>
        </is>
      </c>
      <c r="E419" t="inlineStr">
        <is>
          <t>SALA</t>
        </is>
      </c>
      <c r="G419" t="n">
        <v>0.9</v>
      </c>
      <c r="H419" t="n">
        <v>0</v>
      </c>
      <c r="I419" t="n">
        <v>0</v>
      </c>
      <c r="J419" t="n">
        <v>0</v>
      </c>
      <c r="K419" t="n">
        <v>0</v>
      </c>
      <c r="L419" t="n">
        <v>0</v>
      </c>
      <c r="M419" t="n">
        <v>0</v>
      </c>
      <c r="N419" t="n">
        <v>0</v>
      </c>
      <c r="O419" t="n">
        <v>0</v>
      </c>
      <c r="P419" t="n">
        <v>0</v>
      </c>
      <c r="Q419" t="n">
        <v>0</v>
      </c>
      <c r="R419" s="2" t="inlineStr"/>
    </row>
    <row r="420" ht="15" customHeight="1">
      <c r="A420" t="inlineStr">
        <is>
          <t>A 31601-2024</t>
        </is>
      </c>
      <c r="B420" s="1" t="n">
        <v>45506</v>
      </c>
      <c r="C420" s="1" t="n">
        <v>45891</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31608-2024</t>
        </is>
      </c>
      <c r="B421" s="1" t="n">
        <v>45506</v>
      </c>
      <c r="C421" s="1" t="n">
        <v>45891</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31612-2024</t>
        </is>
      </c>
      <c r="B422" s="1" t="n">
        <v>45506</v>
      </c>
      <c r="C422" s="1" t="n">
        <v>45891</v>
      </c>
      <c r="D422" t="inlineStr">
        <is>
          <t>VÄSTMANLANDS LÄN</t>
        </is>
      </c>
      <c r="E422" t="inlineStr">
        <is>
          <t>SALA</t>
        </is>
      </c>
      <c r="G422" t="n">
        <v>3.2</v>
      </c>
      <c r="H422" t="n">
        <v>0</v>
      </c>
      <c r="I422" t="n">
        <v>0</v>
      </c>
      <c r="J422" t="n">
        <v>0</v>
      </c>
      <c r="K422" t="n">
        <v>0</v>
      </c>
      <c r="L422" t="n">
        <v>0</v>
      </c>
      <c r="M422" t="n">
        <v>0</v>
      </c>
      <c r="N422" t="n">
        <v>0</v>
      </c>
      <c r="O422" t="n">
        <v>0</v>
      </c>
      <c r="P422" t="n">
        <v>0</v>
      </c>
      <c r="Q422" t="n">
        <v>0</v>
      </c>
      <c r="R422" s="2" t="inlineStr"/>
    </row>
    <row r="423" ht="15" customHeight="1">
      <c r="A423" t="inlineStr">
        <is>
          <t>A 34814-2021</t>
        </is>
      </c>
      <c r="B423" s="1" t="n">
        <v>44383</v>
      </c>
      <c r="C423" s="1" t="n">
        <v>45891</v>
      </c>
      <c r="D423" t="inlineStr">
        <is>
          <t>VÄSTMANLANDS LÄN</t>
        </is>
      </c>
      <c r="E423" t="inlineStr">
        <is>
          <t>SALA</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10579-2022</t>
        </is>
      </c>
      <c r="B424" s="1" t="n">
        <v>44624</v>
      </c>
      <c r="C424" s="1" t="n">
        <v>45891</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54118-2023</t>
        </is>
      </c>
      <c r="B425" s="1" t="n">
        <v>45232</v>
      </c>
      <c r="C425" s="1" t="n">
        <v>45891</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64693-2023</t>
        </is>
      </c>
      <c r="B426" s="1" t="n">
        <v>45281.63850694444</v>
      </c>
      <c r="C426" s="1" t="n">
        <v>45891</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64695-2023</t>
        </is>
      </c>
      <c r="B427" s="1" t="n">
        <v>45281.64099537037</v>
      </c>
      <c r="C427" s="1" t="n">
        <v>45891</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35462-2024</t>
        </is>
      </c>
      <c r="B428" s="1" t="n">
        <v>45531</v>
      </c>
      <c r="C428" s="1" t="n">
        <v>45891</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24169-2025</t>
        </is>
      </c>
      <c r="B429" s="1" t="n">
        <v>45796</v>
      </c>
      <c r="C429" s="1" t="n">
        <v>45891</v>
      </c>
      <c r="D429" t="inlineStr">
        <is>
          <t>VÄSTMANLANDS LÄN</t>
        </is>
      </c>
      <c r="E429" t="inlineStr">
        <is>
          <t>SALA</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22126-2025</t>
        </is>
      </c>
      <c r="B430" s="1" t="n">
        <v>45785</v>
      </c>
      <c r="C430" s="1" t="n">
        <v>45891</v>
      </c>
      <c r="D430" t="inlineStr">
        <is>
          <t>VÄSTMANLANDS LÄN</t>
        </is>
      </c>
      <c r="E430" t="inlineStr">
        <is>
          <t>SALA</t>
        </is>
      </c>
      <c r="G430" t="n">
        <v>10.6</v>
      </c>
      <c r="H430" t="n">
        <v>0</v>
      </c>
      <c r="I430" t="n">
        <v>0</v>
      </c>
      <c r="J430" t="n">
        <v>0</v>
      </c>
      <c r="K430" t="n">
        <v>0</v>
      </c>
      <c r="L430" t="n">
        <v>0</v>
      </c>
      <c r="M430" t="n">
        <v>0</v>
      </c>
      <c r="N430" t="n">
        <v>0</v>
      </c>
      <c r="O430" t="n">
        <v>0</v>
      </c>
      <c r="P430" t="n">
        <v>0</v>
      </c>
      <c r="Q430" t="n">
        <v>0</v>
      </c>
      <c r="R430" s="2" t="inlineStr"/>
    </row>
    <row r="431" ht="15" customHeight="1">
      <c r="A431" t="inlineStr">
        <is>
          <t>A 23810-2025</t>
        </is>
      </c>
      <c r="B431" s="1" t="n">
        <v>45793.56989583333</v>
      </c>
      <c r="C431" s="1" t="n">
        <v>45891</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55784-2024</t>
        </is>
      </c>
      <c r="B432" s="1" t="n">
        <v>45623</v>
      </c>
      <c r="C432" s="1" t="n">
        <v>45891</v>
      </c>
      <c r="D432" t="inlineStr">
        <is>
          <t>VÄSTMANLANDS LÄN</t>
        </is>
      </c>
      <c r="E432" t="inlineStr">
        <is>
          <t>SALA</t>
        </is>
      </c>
      <c r="F432" t="inlineStr">
        <is>
          <t>Bergvik skog öst AB</t>
        </is>
      </c>
      <c r="G432" t="n">
        <v>28.4</v>
      </c>
      <c r="H432" t="n">
        <v>0</v>
      </c>
      <c r="I432" t="n">
        <v>0</v>
      </c>
      <c r="J432" t="n">
        <v>0</v>
      </c>
      <c r="K432" t="n">
        <v>0</v>
      </c>
      <c r="L432" t="n">
        <v>0</v>
      </c>
      <c r="M432" t="n">
        <v>0</v>
      </c>
      <c r="N432" t="n">
        <v>0</v>
      </c>
      <c r="O432" t="n">
        <v>0</v>
      </c>
      <c r="P432" t="n">
        <v>0</v>
      </c>
      <c r="Q432" t="n">
        <v>0</v>
      </c>
      <c r="R432" s="2" t="inlineStr"/>
    </row>
    <row r="433" ht="15" customHeight="1">
      <c r="A433" t="inlineStr">
        <is>
          <t>A 36393-2023</t>
        </is>
      </c>
      <c r="B433" s="1" t="n">
        <v>45152</v>
      </c>
      <c r="C433" s="1" t="n">
        <v>45891</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24944-2023</t>
        </is>
      </c>
      <c r="B434" s="1" t="n">
        <v>45085</v>
      </c>
      <c r="C434" s="1" t="n">
        <v>45891</v>
      </c>
      <c r="D434" t="inlineStr">
        <is>
          <t>VÄSTMANLANDS LÄN</t>
        </is>
      </c>
      <c r="E434" t="inlineStr">
        <is>
          <t>SALA</t>
        </is>
      </c>
      <c r="G434" t="n">
        <v>3.8</v>
      </c>
      <c r="H434" t="n">
        <v>0</v>
      </c>
      <c r="I434" t="n">
        <v>0</v>
      </c>
      <c r="J434" t="n">
        <v>0</v>
      </c>
      <c r="K434" t="n">
        <v>0</v>
      </c>
      <c r="L434" t="n">
        <v>0</v>
      </c>
      <c r="M434" t="n">
        <v>0</v>
      </c>
      <c r="N434" t="n">
        <v>0</v>
      </c>
      <c r="O434" t="n">
        <v>0</v>
      </c>
      <c r="P434" t="n">
        <v>0</v>
      </c>
      <c r="Q434" t="n">
        <v>0</v>
      </c>
      <c r="R434" s="2" t="inlineStr"/>
    </row>
    <row r="435" ht="15" customHeight="1">
      <c r="A435" t="inlineStr">
        <is>
          <t>A 45790-2023</t>
        </is>
      </c>
      <c r="B435" s="1" t="n">
        <v>45195.45958333334</v>
      </c>
      <c r="C435" s="1" t="n">
        <v>45891</v>
      </c>
      <c r="D435" t="inlineStr">
        <is>
          <t>VÄSTMANLANDS LÄN</t>
        </is>
      </c>
      <c r="E435" t="inlineStr">
        <is>
          <t>SALA</t>
        </is>
      </c>
      <c r="G435" t="n">
        <v>5.7</v>
      </c>
      <c r="H435" t="n">
        <v>0</v>
      </c>
      <c r="I435" t="n">
        <v>0</v>
      </c>
      <c r="J435" t="n">
        <v>0</v>
      </c>
      <c r="K435" t="n">
        <v>0</v>
      </c>
      <c r="L435" t="n">
        <v>0</v>
      </c>
      <c r="M435" t="n">
        <v>0</v>
      </c>
      <c r="N435" t="n">
        <v>0</v>
      </c>
      <c r="O435" t="n">
        <v>0</v>
      </c>
      <c r="P435" t="n">
        <v>0</v>
      </c>
      <c r="Q435" t="n">
        <v>0</v>
      </c>
      <c r="R435" s="2" t="inlineStr"/>
    </row>
    <row r="436" ht="15" customHeight="1">
      <c r="A436" t="inlineStr">
        <is>
          <t>A 56949-2023</t>
        </is>
      </c>
      <c r="B436" s="1" t="n">
        <v>45244.61589120371</v>
      </c>
      <c r="C436" s="1" t="n">
        <v>45891</v>
      </c>
      <c r="D436" t="inlineStr">
        <is>
          <t>VÄSTMANLANDS LÄN</t>
        </is>
      </c>
      <c r="E436" t="inlineStr">
        <is>
          <t>SALA</t>
        </is>
      </c>
      <c r="G436" t="n">
        <v>4.7</v>
      </c>
      <c r="H436" t="n">
        <v>0</v>
      </c>
      <c r="I436" t="n">
        <v>0</v>
      </c>
      <c r="J436" t="n">
        <v>0</v>
      </c>
      <c r="K436" t="n">
        <v>0</v>
      </c>
      <c r="L436" t="n">
        <v>0</v>
      </c>
      <c r="M436" t="n">
        <v>0</v>
      </c>
      <c r="N436" t="n">
        <v>0</v>
      </c>
      <c r="O436" t="n">
        <v>0</v>
      </c>
      <c r="P436" t="n">
        <v>0</v>
      </c>
      <c r="Q436" t="n">
        <v>0</v>
      </c>
      <c r="R436" s="2" t="inlineStr"/>
    </row>
    <row r="437" ht="15" customHeight="1">
      <c r="A437" t="inlineStr">
        <is>
          <t>A 23804-2025</t>
        </is>
      </c>
      <c r="B437" s="1" t="n">
        <v>45793.55995370371</v>
      </c>
      <c r="C437" s="1" t="n">
        <v>45891</v>
      </c>
      <c r="D437" t="inlineStr">
        <is>
          <t>VÄSTMANLANDS LÄN</t>
        </is>
      </c>
      <c r="E437" t="inlineStr">
        <is>
          <t>SALA</t>
        </is>
      </c>
      <c r="G437" t="n">
        <v>1.9</v>
      </c>
      <c r="H437" t="n">
        <v>0</v>
      </c>
      <c r="I437" t="n">
        <v>0</v>
      </c>
      <c r="J437" t="n">
        <v>0</v>
      </c>
      <c r="K437" t="n">
        <v>0</v>
      </c>
      <c r="L437" t="n">
        <v>0</v>
      </c>
      <c r="M437" t="n">
        <v>0</v>
      </c>
      <c r="N437" t="n">
        <v>0</v>
      </c>
      <c r="O437" t="n">
        <v>0</v>
      </c>
      <c r="P437" t="n">
        <v>0</v>
      </c>
      <c r="Q437" t="n">
        <v>0</v>
      </c>
      <c r="R437" s="2" t="inlineStr"/>
    </row>
    <row r="438" ht="15" customHeight="1">
      <c r="A438" t="inlineStr">
        <is>
          <t>A 29542-2023</t>
        </is>
      </c>
      <c r="B438" s="1" t="n">
        <v>45098</v>
      </c>
      <c r="C438" s="1" t="n">
        <v>45891</v>
      </c>
      <c r="D438" t="inlineStr">
        <is>
          <t>VÄSTMANLANDS LÄN</t>
        </is>
      </c>
      <c r="E438" t="inlineStr">
        <is>
          <t>SALA</t>
        </is>
      </c>
      <c r="G438" t="n">
        <v>4.8</v>
      </c>
      <c r="H438" t="n">
        <v>0</v>
      </c>
      <c r="I438" t="n">
        <v>0</v>
      </c>
      <c r="J438" t="n">
        <v>0</v>
      </c>
      <c r="K438" t="n">
        <v>0</v>
      </c>
      <c r="L438" t="n">
        <v>0</v>
      </c>
      <c r="M438" t="n">
        <v>0</v>
      </c>
      <c r="N438" t="n">
        <v>0</v>
      </c>
      <c r="O438" t="n">
        <v>0</v>
      </c>
      <c r="P438" t="n">
        <v>0</v>
      </c>
      <c r="Q438" t="n">
        <v>0</v>
      </c>
      <c r="R438" s="2" t="inlineStr"/>
    </row>
    <row r="439" ht="15" customHeight="1">
      <c r="A439" t="inlineStr">
        <is>
          <t>A 27038-2023</t>
        </is>
      </c>
      <c r="B439" s="1" t="n">
        <v>45095</v>
      </c>
      <c r="C439" s="1" t="n">
        <v>45891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40214-2023</t>
        </is>
      </c>
      <c r="B440" s="1" t="n">
        <v>45169.45173611111</v>
      </c>
      <c r="C440" s="1" t="n">
        <v>45891</v>
      </c>
      <c r="D440" t="inlineStr">
        <is>
          <t>VÄSTMANLANDS LÄN</t>
        </is>
      </c>
      <c r="E440" t="inlineStr">
        <is>
          <t>SALA</t>
        </is>
      </c>
      <c r="G440" t="n">
        <v>5.5</v>
      </c>
      <c r="H440" t="n">
        <v>0</v>
      </c>
      <c r="I440" t="n">
        <v>0</v>
      </c>
      <c r="J440" t="n">
        <v>0</v>
      </c>
      <c r="K440" t="n">
        <v>0</v>
      </c>
      <c r="L440" t="n">
        <v>0</v>
      </c>
      <c r="M440" t="n">
        <v>0</v>
      </c>
      <c r="N440" t="n">
        <v>0</v>
      </c>
      <c r="O440" t="n">
        <v>0</v>
      </c>
      <c r="P440" t="n">
        <v>0</v>
      </c>
      <c r="Q440" t="n">
        <v>0</v>
      </c>
      <c r="R440" s="2" t="inlineStr"/>
    </row>
    <row r="441" ht="15" customHeight="1">
      <c r="A441" t="inlineStr">
        <is>
          <t>A 11210-2025</t>
        </is>
      </c>
      <c r="B441" s="1" t="n">
        <v>45726</v>
      </c>
      <c r="C441" s="1" t="n">
        <v>45891</v>
      </c>
      <c r="D441" t="inlineStr">
        <is>
          <t>VÄSTMANLANDS LÄN</t>
        </is>
      </c>
      <c r="E441" t="inlineStr">
        <is>
          <t>SALA</t>
        </is>
      </c>
      <c r="G441" t="n">
        <v>4.1</v>
      </c>
      <c r="H441" t="n">
        <v>0</v>
      </c>
      <c r="I441" t="n">
        <v>0</v>
      </c>
      <c r="J441" t="n">
        <v>0</v>
      </c>
      <c r="K441" t="n">
        <v>0</v>
      </c>
      <c r="L441" t="n">
        <v>0</v>
      </c>
      <c r="M441" t="n">
        <v>0</v>
      </c>
      <c r="N441" t="n">
        <v>0</v>
      </c>
      <c r="O441" t="n">
        <v>0</v>
      </c>
      <c r="P441" t="n">
        <v>0</v>
      </c>
      <c r="Q441" t="n">
        <v>0</v>
      </c>
      <c r="R441" s="2" t="inlineStr"/>
    </row>
    <row r="442" ht="15" customHeight="1">
      <c r="A442" t="inlineStr">
        <is>
          <t>A 19297-2025</t>
        </is>
      </c>
      <c r="B442" s="1" t="n">
        <v>45769.56261574074</v>
      </c>
      <c r="C442" s="1" t="n">
        <v>45891</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35016-2024</t>
        </is>
      </c>
      <c r="B443" s="1" t="n">
        <v>45527.59115740741</v>
      </c>
      <c r="C443" s="1" t="n">
        <v>45891</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66821-2020</t>
        </is>
      </c>
      <c r="B444" s="1" t="n">
        <v>44179.88008101852</v>
      </c>
      <c r="C444" s="1" t="n">
        <v>45891</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37612-2024</t>
        </is>
      </c>
      <c r="B445" s="1" t="n">
        <v>45541</v>
      </c>
      <c r="C445" s="1" t="n">
        <v>45891</v>
      </c>
      <c r="D445" t="inlineStr">
        <is>
          <t>VÄSTMANLANDS LÄN</t>
        </is>
      </c>
      <c r="E445" t="inlineStr">
        <is>
          <t>SALA</t>
        </is>
      </c>
      <c r="G445" t="n">
        <v>2.2</v>
      </c>
      <c r="H445" t="n">
        <v>0</v>
      </c>
      <c r="I445" t="n">
        <v>0</v>
      </c>
      <c r="J445" t="n">
        <v>0</v>
      </c>
      <c r="K445" t="n">
        <v>0</v>
      </c>
      <c r="L445" t="n">
        <v>0</v>
      </c>
      <c r="M445" t="n">
        <v>0</v>
      </c>
      <c r="N445" t="n">
        <v>0</v>
      </c>
      <c r="O445" t="n">
        <v>0</v>
      </c>
      <c r="P445" t="n">
        <v>0</v>
      </c>
      <c r="Q445" t="n">
        <v>0</v>
      </c>
      <c r="R445" s="2" t="inlineStr"/>
    </row>
    <row r="446" ht="15" customHeight="1">
      <c r="A446" t="inlineStr">
        <is>
          <t>A 37615-2024</t>
        </is>
      </c>
      <c r="B446" s="1" t="n">
        <v>45541.50673611111</v>
      </c>
      <c r="C446" s="1" t="n">
        <v>45891</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17051-2025</t>
        </is>
      </c>
      <c r="B447" s="1" t="n">
        <v>45755</v>
      </c>
      <c r="C447" s="1" t="n">
        <v>45891</v>
      </c>
      <c r="D447" t="inlineStr">
        <is>
          <t>VÄSTMANLANDS LÄN</t>
        </is>
      </c>
      <c r="E447" t="inlineStr">
        <is>
          <t>SALA</t>
        </is>
      </c>
      <c r="G447" t="n">
        <v>2.9</v>
      </c>
      <c r="H447" t="n">
        <v>0</v>
      </c>
      <c r="I447" t="n">
        <v>0</v>
      </c>
      <c r="J447" t="n">
        <v>0</v>
      </c>
      <c r="K447" t="n">
        <v>0</v>
      </c>
      <c r="L447" t="n">
        <v>0</v>
      </c>
      <c r="M447" t="n">
        <v>0</v>
      </c>
      <c r="N447" t="n">
        <v>0</v>
      </c>
      <c r="O447" t="n">
        <v>0</v>
      </c>
      <c r="P447" t="n">
        <v>0</v>
      </c>
      <c r="Q447" t="n">
        <v>0</v>
      </c>
      <c r="R447" s="2" t="inlineStr"/>
    </row>
    <row r="448" ht="15" customHeight="1">
      <c r="A448" t="inlineStr">
        <is>
          <t>A 24460-2025</t>
        </is>
      </c>
      <c r="B448" s="1" t="n">
        <v>45798</v>
      </c>
      <c r="C448" s="1" t="n">
        <v>45891</v>
      </c>
      <c r="D448" t="inlineStr">
        <is>
          <t>VÄSTMANLANDS LÄN</t>
        </is>
      </c>
      <c r="E448" t="inlineStr">
        <is>
          <t>SALA</t>
        </is>
      </c>
      <c r="F448" t="inlineStr">
        <is>
          <t>Bergvik skog öst AB</t>
        </is>
      </c>
      <c r="G448" t="n">
        <v>2.6</v>
      </c>
      <c r="H448" t="n">
        <v>0</v>
      </c>
      <c r="I448" t="n">
        <v>0</v>
      </c>
      <c r="J448" t="n">
        <v>0</v>
      </c>
      <c r="K448" t="n">
        <v>0</v>
      </c>
      <c r="L448" t="n">
        <v>0</v>
      </c>
      <c r="M448" t="n">
        <v>0</v>
      </c>
      <c r="N448" t="n">
        <v>0</v>
      </c>
      <c r="O448" t="n">
        <v>0</v>
      </c>
      <c r="P448" t="n">
        <v>0</v>
      </c>
      <c r="Q448" t="n">
        <v>0</v>
      </c>
      <c r="R448" s="2" t="inlineStr"/>
    </row>
    <row r="449" ht="15" customHeight="1">
      <c r="A449" t="inlineStr">
        <is>
          <t>A 5728-2022</t>
        </is>
      </c>
      <c r="B449" s="1" t="n">
        <v>44596.42082175926</v>
      </c>
      <c r="C449" s="1" t="n">
        <v>45891</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7681-2021</t>
        </is>
      </c>
      <c r="B450" s="1" t="n">
        <v>44242</v>
      </c>
      <c r="C450" s="1" t="n">
        <v>45891</v>
      </c>
      <c r="D450" t="inlineStr">
        <is>
          <t>VÄSTMANLANDS LÄN</t>
        </is>
      </c>
      <c r="E450" t="inlineStr">
        <is>
          <t>SALA</t>
        </is>
      </c>
      <c r="F450" t="inlineStr">
        <is>
          <t>Sveaskog</t>
        </is>
      </c>
      <c r="G450" t="n">
        <v>16.1</v>
      </c>
      <c r="H450" t="n">
        <v>0</v>
      </c>
      <c r="I450" t="n">
        <v>0</v>
      </c>
      <c r="J450" t="n">
        <v>0</v>
      </c>
      <c r="K450" t="n">
        <v>0</v>
      </c>
      <c r="L450" t="n">
        <v>0</v>
      </c>
      <c r="M450" t="n">
        <v>0</v>
      </c>
      <c r="N450" t="n">
        <v>0</v>
      </c>
      <c r="O450" t="n">
        <v>0</v>
      </c>
      <c r="P450" t="n">
        <v>0</v>
      </c>
      <c r="Q450" t="n">
        <v>0</v>
      </c>
      <c r="R450" s="2" t="inlineStr"/>
    </row>
    <row r="451" ht="15" customHeight="1">
      <c r="A451" t="inlineStr">
        <is>
          <t>A 43359-2024</t>
        </is>
      </c>
      <c r="B451" s="1" t="n">
        <v>45568.57724537037</v>
      </c>
      <c r="C451" s="1" t="n">
        <v>45891</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19751-2022</t>
        </is>
      </c>
      <c r="B452" s="1" t="n">
        <v>44694</v>
      </c>
      <c r="C452" s="1" t="n">
        <v>45891</v>
      </c>
      <c r="D452" t="inlineStr">
        <is>
          <t>VÄSTMANLANDS LÄN</t>
        </is>
      </c>
      <c r="E452" t="inlineStr">
        <is>
          <t>SALA</t>
        </is>
      </c>
      <c r="G452" t="n">
        <v>2.7</v>
      </c>
      <c r="H452" t="n">
        <v>0</v>
      </c>
      <c r="I452" t="n">
        <v>0</v>
      </c>
      <c r="J452" t="n">
        <v>0</v>
      </c>
      <c r="K452" t="n">
        <v>0</v>
      </c>
      <c r="L452" t="n">
        <v>0</v>
      </c>
      <c r="M452" t="n">
        <v>0</v>
      </c>
      <c r="N452" t="n">
        <v>0</v>
      </c>
      <c r="O452" t="n">
        <v>0</v>
      </c>
      <c r="P452" t="n">
        <v>0</v>
      </c>
      <c r="Q452" t="n">
        <v>0</v>
      </c>
      <c r="R452" s="2" t="inlineStr"/>
    </row>
    <row r="453" ht="15" customHeight="1">
      <c r="A453" t="inlineStr">
        <is>
          <t>A 8285-2025</t>
        </is>
      </c>
      <c r="B453" s="1" t="n">
        <v>45708</v>
      </c>
      <c r="C453" s="1" t="n">
        <v>45891</v>
      </c>
      <c r="D453" t="inlineStr">
        <is>
          <t>VÄSTMANLANDS LÄN</t>
        </is>
      </c>
      <c r="E453" t="inlineStr">
        <is>
          <t>SALA</t>
        </is>
      </c>
      <c r="G453" t="n">
        <v>5.7</v>
      </c>
      <c r="H453" t="n">
        <v>0</v>
      </c>
      <c r="I453" t="n">
        <v>0</v>
      </c>
      <c r="J453" t="n">
        <v>0</v>
      </c>
      <c r="K453" t="n">
        <v>0</v>
      </c>
      <c r="L453" t="n">
        <v>0</v>
      </c>
      <c r="M453" t="n">
        <v>0</v>
      </c>
      <c r="N453" t="n">
        <v>0</v>
      </c>
      <c r="O453" t="n">
        <v>0</v>
      </c>
      <c r="P453" t="n">
        <v>0</v>
      </c>
      <c r="Q453" t="n">
        <v>0</v>
      </c>
      <c r="R453" s="2" t="inlineStr"/>
    </row>
    <row r="454" ht="15" customHeight="1">
      <c r="A454" t="inlineStr">
        <is>
          <t>A 14010-2021</t>
        </is>
      </c>
      <c r="B454" s="1" t="n">
        <v>44277.63396990741</v>
      </c>
      <c r="C454" s="1" t="n">
        <v>45891</v>
      </c>
      <c r="D454" t="inlineStr">
        <is>
          <t>VÄSTMANLANDS LÄN</t>
        </is>
      </c>
      <c r="E454" t="inlineStr">
        <is>
          <t>SALA</t>
        </is>
      </c>
      <c r="G454" t="n">
        <v>3.5</v>
      </c>
      <c r="H454" t="n">
        <v>0</v>
      </c>
      <c r="I454" t="n">
        <v>0</v>
      </c>
      <c r="J454" t="n">
        <v>0</v>
      </c>
      <c r="K454" t="n">
        <v>0</v>
      </c>
      <c r="L454" t="n">
        <v>0</v>
      </c>
      <c r="M454" t="n">
        <v>0</v>
      </c>
      <c r="N454" t="n">
        <v>0</v>
      </c>
      <c r="O454" t="n">
        <v>0</v>
      </c>
      <c r="P454" t="n">
        <v>0</v>
      </c>
      <c r="Q454" t="n">
        <v>0</v>
      </c>
      <c r="R454" s="2" t="inlineStr"/>
    </row>
    <row r="455" ht="15" customHeight="1">
      <c r="A455" t="inlineStr">
        <is>
          <t>A 55065-2024</t>
        </is>
      </c>
      <c r="B455" s="1" t="n">
        <v>45618</v>
      </c>
      <c r="C455" s="1" t="n">
        <v>45891</v>
      </c>
      <c r="D455" t="inlineStr">
        <is>
          <t>VÄSTMANLANDS LÄN</t>
        </is>
      </c>
      <c r="E455" t="inlineStr">
        <is>
          <t>SALA</t>
        </is>
      </c>
      <c r="G455" t="n">
        <v>3.5</v>
      </c>
      <c r="H455" t="n">
        <v>0</v>
      </c>
      <c r="I455" t="n">
        <v>0</v>
      </c>
      <c r="J455" t="n">
        <v>0</v>
      </c>
      <c r="K455" t="n">
        <v>0</v>
      </c>
      <c r="L455" t="n">
        <v>0</v>
      </c>
      <c r="M455" t="n">
        <v>0</v>
      </c>
      <c r="N455" t="n">
        <v>0</v>
      </c>
      <c r="O455" t="n">
        <v>0</v>
      </c>
      <c r="P455" t="n">
        <v>0</v>
      </c>
      <c r="Q455" t="n">
        <v>0</v>
      </c>
      <c r="R455" s="2" t="inlineStr"/>
    </row>
    <row r="456" ht="15" customHeight="1">
      <c r="A456" t="inlineStr">
        <is>
          <t>A 24463-2025</t>
        </is>
      </c>
      <c r="B456" s="1" t="n">
        <v>45798</v>
      </c>
      <c r="C456" s="1" t="n">
        <v>45891</v>
      </c>
      <c r="D456" t="inlineStr">
        <is>
          <t>VÄSTMANLANDS LÄN</t>
        </is>
      </c>
      <c r="E456" t="inlineStr">
        <is>
          <t>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46279-2021</t>
        </is>
      </c>
      <c r="B457" s="1" t="n">
        <v>44442.57797453704</v>
      </c>
      <c r="C457" s="1" t="n">
        <v>45891</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22019-2021</t>
        </is>
      </c>
      <c r="B458" s="1" t="n">
        <v>44323</v>
      </c>
      <c r="C458" s="1" t="n">
        <v>45891</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6312-2025</t>
        </is>
      </c>
      <c r="B459" s="1" t="n">
        <v>45698</v>
      </c>
      <c r="C459" s="1" t="n">
        <v>45891</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55035-2023</t>
        </is>
      </c>
      <c r="B460" s="1" t="n">
        <v>45229</v>
      </c>
      <c r="C460" s="1" t="n">
        <v>45891</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4736-2021</t>
        </is>
      </c>
      <c r="B461" s="1" t="n">
        <v>44225</v>
      </c>
      <c r="C461" s="1" t="n">
        <v>45891</v>
      </c>
      <c r="D461" t="inlineStr">
        <is>
          <t>VÄSTMANLANDS LÄN</t>
        </is>
      </c>
      <c r="E461" t="inlineStr">
        <is>
          <t>SALA</t>
        </is>
      </c>
      <c r="G461" t="n">
        <v>4.2</v>
      </c>
      <c r="H461" t="n">
        <v>0</v>
      </c>
      <c r="I461" t="n">
        <v>0</v>
      </c>
      <c r="J461" t="n">
        <v>0</v>
      </c>
      <c r="K461" t="n">
        <v>0</v>
      </c>
      <c r="L461" t="n">
        <v>0</v>
      </c>
      <c r="M461" t="n">
        <v>0</v>
      </c>
      <c r="N461" t="n">
        <v>0</v>
      </c>
      <c r="O461" t="n">
        <v>0</v>
      </c>
      <c r="P461" t="n">
        <v>0</v>
      </c>
      <c r="Q461" t="n">
        <v>0</v>
      </c>
      <c r="R461" s="2" t="inlineStr"/>
    </row>
    <row r="462" ht="15" customHeight="1">
      <c r="A462" t="inlineStr">
        <is>
          <t>A 57404-2024</t>
        </is>
      </c>
      <c r="B462" s="1" t="n">
        <v>45629.71967592592</v>
      </c>
      <c r="C462" s="1" t="n">
        <v>45891</v>
      </c>
      <c r="D462" t="inlineStr">
        <is>
          <t>VÄSTMANLANDS LÄN</t>
        </is>
      </c>
      <c r="E462" t="inlineStr">
        <is>
          <t>SALA</t>
        </is>
      </c>
      <c r="G462" t="n">
        <v>0.3</v>
      </c>
      <c r="H462" t="n">
        <v>0</v>
      </c>
      <c r="I462" t="n">
        <v>0</v>
      </c>
      <c r="J462" t="n">
        <v>0</v>
      </c>
      <c r="K462" t="n">
        <v>0</v>
      </c>
      <c r="L462" t="n">
        <v>0</v>
      </c>
      <c r="M462" t="n">
        <v>0</v>
      </c>
      <c r="N462" t="n">
        <v>0</v>
      </c>
      <c r="O462" t="n">
        <v>0</v>
      </c>
      <c r="P462" t="n">
        <v>0</v>
      </c>
      <c r="Q462" t="n">
        <v>0</v>
      </c>
      <c r="R462" s="2" t="inlineStr"/>
    </row>
    <row r="463" ht="15" customHeight="1">
      <c r="A463" t="inlineStr">
        <is>
          <t>A 24907-2025</t>
        </is>
      </c>
      <c r="B463" s="1" t="n">
        <v>45799</v>
      </c>
      <c r="C463" s="1" t="n">
        <v>45891</v>
      </c>
      <c r="D463" t="inlineStr">
        <is>
          <t>VÄSTMANLANDS LÄN</t>
        </is>
      </c>
      <c r="E463" t="inlineStr">
        <is>
          <t>SALA</t>
        </is>
      </c>
      <c r="G463" t="n">
        <v>3.5</v>
      </c>
      <c r="H463" t="n">
        <v>0</v>
      </c>
      <c r="I463" t="n">
        <v>0</v>
      </c>
      <c r="J463" t="n">
        <v>0</v>
      </c>
      <c r="K463" t="n">
        <v>0</v>
      </c>
      <c r="L463" t="n">
        <v>0</v>
      </c>
      <c r="M463" t="n">
        <v>0</v>
      </c>
      <c r="N463" t="n">
        <v>0</v>
      </c>
      <c r="O463" t="n">
        <v>0</v>
      </c>
      <c r="P463" t="n">
        <v>0</v>
      </c>
      <c r="Q463" t="n">
        <v>0</v>
      </c>
      <c r="R463" s="2" t="inlineStr"/>
    </row>
    <row r="464" ht="15" customHeight="1">
      <c r="A464" t="inlineStr">
        <is>
          <t>A 24910-2025</t>
        </is>
      </c>
      <c r="B464" s="1" t="n">
        <v>45799.53775462963</v>
      </c>
      <c r="C464" s="1" t="n">
        <v>45891</v>
      </c>
      <c r="D464" t="inlineStr">
        <is>
          <t>VÄSTMANLANDS LÄN</t>
        </is>
      </c>
      <c r="E464" t="inlineStr">
        <is>
          <t>SALA</t>
        </is>
      </c>
      <c r="G464" t="n">
        <v>3.5</v>
      </c>
      <c r="H464" t="n">
        <v>0</v>
      </c>
      <c r="I464" t="n">
        <v>0</v>
      </c>
      <c r="J464" t="n">
        <v>0</v>
      </c>
      <c r="K464" t="n">
        <v>0</v>
      </c>
      <c r="L464" t="n">
        <v>0</v>
      </c>
      <c r="M464" t="n">
        <v>0</v>
      </c>
      <c r="N464" t="n">
        <v>0</v>
      </c>
      <c r="O464" t="n">
        <v>0</v>
      </c>
      <c r="P464" t="n">
        <v>0</v>
      </c>
      <c r="Q464" t="n">
        <v>0</v>
      </c>
      <c r="R464" s="2" t="inlineStr"/>
    </row>
    <row r="465" ht="15" customHeight="1">
      <c r="A465" t="inlineStr">
        <is>
          <t>A 21777-2022</t>
        </is>
      </c>
      <c r="B465" s="1" t="n">
        <v>44708.48194444444</v>
      </c>
      <c r="C465" s="1" t="n">
        <v>45891</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52500-2024</t>
        </is>
      </c>
      <c r="B466" s="1" t="n">
        <v>45609</v>
      </c>
      <c r="C466" s="1" t="n">
        <v>45891</v>
      </c>
      <c r="D466" t="inlineStr">
        <is>
          <t>VÄSTMANLANDS LÄN</t>
        </is>
      </c>
      <c r="E466" t="inlineStr">
        <is>
          <t>SALA</t>
        </is>
      </c>
      <c r="G466" t="n">
        <v>1.3</v>
      </c>
      <c r="H466" t="n">
        <v>0</v>
      </c>
      <c r="I466" t="n">
        <v>0</v>
      </c>
      <c r="J466" t="n">
        <v>0</v>
      </c>
      <c r="K466" t="n">
        <v>0</v>
      </c>
      <c r="L466" t="n">
        <v>0</v>
      </c>
      <c r="M466" t="n">
        <v>0</v>
      </c>
      <c r="N466" t="n">
        <v>0</v>
      </c>
      <c r="O466" t="n">
        <v>0</v>
      </c>
      <c r="P466" t="n">
        <v>0</v>
      </c>
      <c r="Q466" t="n">
        <v>0</v>
      </c>
      <c r="R466" s="2" t="inlineStr"/>
    </row>
    <row r="467" ht="15" customHeight="1">
      <c r="A467" t="inlineStr">
        <is>
          <t>A 17866-2025</t>
        </is>
      </c>
      <c r="B467" s="1" t="n">
        <v>45758</v>
      </c>
      <c r="C467" s="1" t="n">
        <v>45891</v>
      </c>
      <c r="D467" t="inlineStr">
        <is>
          <t>VÄSTMANLANDS LÄN</t>
        </is>
      </c>
      <c r="E467" t="inlineStr">
        <is>
          <t>SALA</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10909-2024</t>
        </is>
      </c>
      <c r="B468" s="1" t="n">
        <v>45370</v>
      </c>
      <c r="C468" s="1" t="n">
        <v>45891</v>
      </c>
      <c r="D468" t="inlineStr">
        <is>
          <t>VÄSTMANLANDS LÄN</t>
        </is>
      </c>
      <c r="E468" t="inlineStr">
        <is>
          <t>SALA</t>
        </is>
      </c>
      <c r="G468" t="n">
        <v>3.3</v>
      </c>
      <c r="H468" t="n">
        <v>0</v>
      </c>
      <c r="I468" t="n">
        <v>0</v>
      </c>
      <c r="J468" t="n">
        <v>0</v>
      </c>
      <c r="K468" t="n">
        <v>0</v>
      </c>
      <c r="L468" t="n">
        <v>0</v>
      </c>
      <c r="M468" t="n">
        <v>0</v>
      </c>
      <c r="N468" t="n">
        <v>0</v>
      </c>
      <c r="O468" t="n">
        <v>0</v>
      </c>
      <c r="P468" t="n">
        <v>0</v>
      </c>
      <c r="Q468" t="n">
        <v>0</v>
      </c>
      <c r="R468" s="2" t="inlineStr"/>
    </row>
    <row r="469" ht="15" customHeight="1">
      <c r="A469" t="inlineStr">
        <is>
          <t>A 33732-2023</t>
        </is>
      </c>
      <c r="B469" s="1" t="n">
        <v>45133.32409722222</v>
      </c>
      <c r="C469" s="1" t="n">
        <v>45891</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17722-2025</t>
        </is>
      </c>
      <c r="B470" s="1" t="n">
        <v>45758</v>
      </c>
      <c r="C470" s="1" t="n">
        <v>45891</v>
      </c>
      <c r="D470" t="inlineStr">
        <is>
          <t>VÄSTMANLANDS LÄN</t>
        </is>
      </c>
      <c r="E470" t="inlineStr">
        <is>
          <t>SALA</t>
        </is>
      </c>
      <c r="G470" t="n">
        <v>0.7</v>
      </c>
      <c r="H470" t="n">
        <v>0</v>
      </c>
      <c r="I470" t="n">
        <v>0</v>
      </c>
      <c r="J470" t="n">
        <v>0</v>
      </c>
      <c r="K470" t="n">
        <v>0</v>
      </c>
      <c r="L470" t="n">
        <v>0</v>
      </c>
      <c r="M470" t="n">
        <v>0</v>
      </c>
      <c r="N470" t="n">
        <v>0</v>
      </c>
      <c r="O470" t="n">
        <v>0</v>
      </c>
      <c r="P470" t="n">
        <v>0</v>
      </c>
      <c r="Q470" t="n">
        <v>0</v>
      </c>
      <c r="R470" s="2" t="inlineStr"/>
    </row>
    <row r="471" ht="15" customHeight="1">
      <c r="A471" t="inlineStr">
        <is>
          <t>A 7166-2025</t>
        </is>
      </c>
      <c r="B471" s="1" t="n">
        <v>45702</v>
      </c>
      <c r="C471" s="1" t="n">
        <v>45891</v>
      </c>
      <c r="D471" t="inlineStr">
        <is>
          <t>VÄSTMANLANDS LÄN</t>
        </is>
      </c>
      <c r="E471" t="inlineStr">
        <is>
          <t>SALA</t>
        </is>
      </c>
      <c r="G471" t="n">
        <v>6.1</v>
      </c>
      <c r="H471" t="n">
        <v>0</v>
      </c>
      <c r="I471" t="n">
        <v>0</v>
      </c>
      <c r="J471" t="n">
        <v>0</v>
      </c>
      <c r="K471" t="n">
        <v>0</v>
      </c>
      <c r="L471" t="n">
        <v>0</v>
      </c>
      <c r="M471" t="n">
        <v>0</v>
      </c>
      <c r="N471" t="n">
        <v>0</v>
      </c>
      <c r="O471" t="n">
        <v>0</v>
      </c>
      <c r="P471" t="n">
        <v>0</v>
      </c>
      <c r="Q471" t="n">
        <v>0</v>
      </c>
      <c r="R471" s="2" t="inlineStr"/>
    </row>
    <row r="472" ht="15" customHeight="1">
      <c r="A472" t="inlineStr">
        <is>
          <t>A 44857-2023</t>
        </is>
      </c>
      <c r="B472" s="1" t="n">
        <v>45190.58479166667</v>
      </c>
      <c r="C472" s="1" t="n">
        <v>45891</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46352-2023</t>
        </is>
      </c>
      <c r="B473" s="1" t="n">
        <v>45192</v>
      </c>
      <c r="C473" s="1" t="n">
        <v>45891</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7950-2025</t>
        </is>
      </c>
      <c r="B474" s="1" t="n">
        <v>45707.41799768519</v>
      </c>
      <c r="C474" s="1" t="n">
        <v>45891</v>
      </c>
      <c r="D474" t="inlineStr">
        <is>
          <t>VÄSTMANLANDS LÄN</t>
        </is>
      </c>
      <c r="E474" t="inlineStr">
        <is>
          <t>SALA</t>
        </is>
      </c>
      <c r="G474" t="n">
        <v>3.2</v>
      </c>
      <c r="H474" t="n">
        <v>0</v>
      </c>
      <c r="I474" t="n">
        <v>0</v>
      </c>
      <c r="J474" t="n">
        <v>0</v>
      </c>
      <c r="K474" t="n">
        <v>0</v>
      </c>
      <c r="L474" t="n">
        <v>0</v>
      </c>
      <c r="M474" t="n">
        <v>0</v>
      </c>
      <c r="N474" t="n">
        <v>0</v>
      </c>
      <c r="O474" t="n">
        <v>0</v>
      </c>
      <c r="P474" t="n">
        <v>0</v>
      </c>
      <c r="Q474" t="n">
        <v>0</v>
      </c>
      <c r="R474" s="2" t="inlineStr"/>
    </row>
    <row r="475" ht="15" customHeight="1">
      <c r="A475" t="inlineStr">
        <is>
          <t>A 22397-2022</t>
        </is>
      </c>
      <c r="B475" s="1" t="n">
        <v>44713</v>
      </c>
      <c r="C475" s="1" t="n">
        <v>45891</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27424-2023</t>
        </is>
      </c>
      <c r="B476" s="1" t="n">
        <v>45097.37690972222</v>
      </c>
      <c r="C476" s="1" t="n">
        <v>45891</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10812-2021</t>
        </is>
      </c>
      <c r="B477" s="1" t="n">
        <v>44259</v>
      </c>
      <c r="C477" s="1" t="n">
        <v>45891</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10154-2021</t>
        </is>
      </c>
      <c r="B478" s="1" t="n">
        <v>44256</v>
      </c>
      <c r="C478" s="1" t="n">
        <v>45891</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7469-2025</t>
        </is>
      </c>
      <c r="B479" s="1" t="n">
        <v>45705</v>
      </c>
      <c r="C479" s="1" t="n">
        <v>45891</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6691-2025</t>
        </is>
      </c>
      <c r="B480" s="1" t="n">
        <v>45700.50625</v>
      </c>
      <c r="C480" s="1" t="n">
        <v>45891</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60036-2024</t>
        </is>
      </c>
      <c r="B481" s="1" t="n">
        <v>45642.46434027778</v>
      </c>
      <c r="C481" s="1" t="n">
        <v>45891</v>
      </c>
      <c r="D481" t="inlineStr">
        <is>
          <t>VÄSTMANLANDS LÄN</t>
        </is>
      </c>
      <c r="E481" t="inlineStr">
        <is>
          <t>SALA</t>
        </is>
      </c>
      <c r="G481" t="n">
        <v>2.5</v>
      </c>
      <c r="H481" t="n">
        <v>0</v>
      </c>
      <c r="I481" t="n">
        <v>0</v>
      </c>
      <c r="J481" t="n">
        <v>0</v>
      </c>
      <c r="K481" t="n">
        <v>0</v>
      </c>
      <c r="L481" t="n">
        <v>0</v>
      </c>
      <c r="M481" t="n">
        <v>0</v>
      </c>
      <c r="N481" t="n">
        <v>0</v>
      </c>
      <c r="O481" t="n">
        <v>0</v>
      </c>
      <c r="P481" t="n">
        <v>0</v>
      </c>
      <c r="Q481" t="n">
        <v>0</v>
      </c>
      <c r="R481" s="2" t="inlineStr"/>
    </row>
    <row r="482" ht="15" customHeight="1">
      <c r="A482" t="inlineStr">
        <is>
          <t>A 16328-2025</t>
        </is>
      </c>
      <c r="B482" s="1" t="n">
        <v>45751</v>
      </c>
      <c r="C482" s="1" t="n">
        <v>45891</v>
      </c>
      <c r="D482" t="inlineStr">
        <is>
          <t>VÄSTMANLANDS LÄN</t>
        </is>
      </c>
      <c r="E482" t="inlineStr">
        <is>
          <t>SALA</t>
        </is>
      </c>
      <c r="G482" t="n">
        <v>2.9</v>
      </c>
      <c r="H482" t="n">
        <v>0</v>
      </c>
      <c r="I482" t="n">
        <v>0</v>
      </c>
      <c r="J482" t="n">
        <v>0</v>
      </c>
      <c r="K482" t="n">
        <v>0</v>
      </c>
      <c r="L482" t="n">
        <v>0</v>
      </c>
      <c r="M482" t="n">
        <v>0</v>
      </c>
      <c r="N482" t="n">
        <v>0</v>
      </c>
      <c r="O482" t="n">
        <v>0</v>
      </c>
      <c r="P482" t="n">
        <v>0</v>
      </c>
      <c r="Q482" t="n">
        <v>0</v>
      </c>
      <c r="R482" s="2" t="inlineStr"/>
    </row>
    <row r="483" ht="15" customHeight="1">
      <c r="A483" t="inlineStr">
        <is>
          <t>A 43188-2023</t>
        </is>
      </c>
      <c r="B483" s="1" t="n">
        <v>45183</v>
      </c>
      <c r="C483" s="1" t="n">
        <v>45891</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43205-2023</t>
        </is>
      </c>
      <c r="B484" s="1" t="n">
        <v>45183</v>
      </c>
      <c r="C484" s="1" t="n">
        <v>45891</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28827-2022</t>
        </is>
      </c>
      <c r="B485" s="1" t="n">
        <v>44749.45561342593</v>
      </c>
      <c r="C485" s="1" t="n">
        <v>45891</v>
      </c>
      <c r="D485" t="inlineStr">
        <is>
          <t>VÄSTMANLANDS LÄN</t>
        </is>
      </c>
      <c r="E485" t="inlineStr">
        <is>
          <t>SALA</t>
        </is>
      </c>
      <c r="F485" t="inlineStr">
        <is>
          <t>Kommuner</t>
        </is>
      </c>
      <c r="G485" t="n">
        <v>11.9</v>
      </c>
      <c r="H485" t="n">
        <v>0</v>
      </c>
      <c r="I485" t="n">
        <v>0</v>
      </c>
      <c r="J485" t="n">
        <v>0</v>
      </c>
      <c r="K485" t="n">
        <v>0</v>
      </c>
      <c r="L485" t="n">
        <v>0</v>
      </c>
      <c r="M485" t="n">
        <v>0</v>
      </c>
      <c r="N485" t="n">
        <v>0</v>
      </c>
      <c r="O485" t="n">
        <v>0</v>
      </c>
      <c r="P485" t="n">
        <v>0</v>
      </c>
      <c r="Q485" t="n">
        <v>0</v>
      </c>
      <c r="R485" s="2" t="inlineStr"/>
    </row>
    <row r="486" ht="15" customHeight="1">
      <c r="A486" t="inlineStr">
        <is>
          <t>A 31609-2024</t>
        </is>
      </c>
      <c r="B486" s="1" t="n">
        <v>45506</v>
      </c>
      <c r="C486" s="1" t="n">
        <v>45891</v>
      </c>
      <c r="D486" t="inlineStr">
        <is>
          <t>VÄSTMANLANDS LÄN</t>
        </is>
      </c>
      <c r="E486" t="inlineStr">
        <is>
          <t>SALA</t>
        </is>
      </c>
      <c r="G486" t="n">
        <v>0.8</v>
      </c>
      <c r="H486" t="n">
        <v>0</v>
      </c>
      <c r="I486" t="n">
        <v>0</v>
      </c>
      <c r="J486" t="n">
        <v>0</v>
      </c>
      <c r="K486" t="n">
        <v>0</v>
      </c>
      <c r="L486" t="n">
        <v>0</v>
      </c>
      <c r="M486" t="n">
        <v>0</v>
      </c>
      <c r="N486" t="n">
        <v>0</v>
      </c>
      <c r="O486" t="n">
        <v>0</v>
      </c>
      <c r="P486" t="n">
        <v>0</v>
      </c>
      <c r="Q486" t="n">
        <v>0</v>
      </c>
      <c r="R486" s="2" t="inlineStr"/>
    </row>
    <row r="487" ht="15" customHeight="1">
      <c r="A487" t="inlineStr">
        <is>
          <t>A 15756-2025</t>
        </is>
      </c>
      <c r="B487" s="1" t="n">
        <v>45748.56810185185</v>
      </c>
      <c r="C487" s="1" t="n">
        <v>45891</v>
      </c>
      <c r="D487" t="inlineStr">
        <is>
          <t>VÄSTMANLANDS LÄN</t>
        </is>
      </c>
      <c r="E487" t="inlineStr">
        <is>
          <t>SALA</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19243-2025</t>
        </is>
      </c>
      <c r="B488" s="1" t="n">
        <v>45769</v>
      </c>
      <c r="C488" s="1" t="n">
        <v>45891</v>
      </c>
      <c r="D488" t="inlineStr">
        <is>
          <t>VÄSTMANLANDS LÄN</t>
        </is>
      </c>
      <c r="E488" t="inlineStr">
        <is>
          <t>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59297-2023</t>
        </is>
      </c>
      <c r="B489" s="1" t="n">
        <v>45253</v>
      </c>
      <c r="C489" s="1" t="n">
        <v>45891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6136-2025</t>
        </is>
      </c>
      <c r="B490" s="1" t="n">
        <v>45698.37601851852</v>
      </c>
      <c r="C490" s="1" t="n">
        <v>45891</v>
      </c>
      <c r="D490" t="inlineStr">
        <is>
          <t>VÄSTMANLANDS LÄN</t>
        </is>
      </c>
      <c r="E490" t="inlineStr">
        <is>
          <t>SALA</t>
        </is>
      </c>
      <c r="F490" t="inlineStr">
        <is>
          <t>Bergvik skog öst AB</t>
        </is>
      </c>
      <c r="G490" t="n">
        <v>2.2</v>
      </c>
      <c r="H490" t="n">
        <v>0</v>
      </c>
      <c r="I490" t="n">
        <v>0</v>
      </c>
      <c r="J490" t="n">
        <v>0</v>
      </c>
      <c r="K490" t="n">
        <v>0</v>
      </c>
      <c r="L490" t="n">
        <v>0</v>
      </c>
      <c r="M490" t="n">
        <v>0</v>
      </c>
      <c r="N490" t="n">
        <v>0</v>
      </c>
      <c r="O490" t="n">
        <v>0</v>
      </c>
      <c r="P490" t="n">
        <v>0</v>
      </c>
      <c r="Q490" t="n">
        <v>0</v>
      </c>
      <c r="R490" s="2" t="inlineStr"/>
    </row>
    <row r="491" ht="15" customHeight="1">
      <c r="A491" t="inlineStr">
        <is>
          <t>A 6190-2025</t>
        </is>
      </c>
      <c r="B491" s="1" t="n">
        <v>45698</v>
      </c>
      <c r="C491" s="1" t="n">
        <v>45891</v>
      </c>
      <c r="D491" t="inlineStr">
        <is>
          <t>VÄSTMANLANDS LÄN</t>
        </is>
      </c>
      <c r="E491" t="inlineStr">
        <is>
          <t>SALA</t>
        </is>
      </c>
      <c r="F491" t="inlineStr">
        <is>
          <t>Bergvik skog öst AB</t>
        </is>
      </c>
      <c r="G491" t="n">
        <v>4.6</v>
      </c>
      <c r="H491" t="n">
        <v>0</v>
      </c>
      <c r="I491" t="n">
        <v>0</v>
      </c>
      <c r="J491" t="n">
        <v>0</v>
      </c>
      <c r="K491" t="n">
        <v>0</v>
      </c>
      <c r="L491" t="n">
        <v>0</v>
      </c>
      <c r="M491" t="n">
        <v>0</v>
      </c>
      <c r="N491" t="n">
        <v>0</v>
      </c>
      <c r="O491" t="n">
        <v>0</v>
      </c>
      <c r="P491" t="n">
        <v>0</v>
      </c>
      <c r="Q491" t="n">
        <v>0</v>
      </c>
      <c r="R491" s="2" t="inlineStr"/>
    </row>
    <row r="492" ht="15" customHeight="1">
      <c r="A492" t="inlineStr">
        <is>
          <t>A 35410-2022</t>
        </is>
      </c>
      <c r="B492" s="1" t="n">
        <v>44798.62576388889</v>
      </c>
      <c r="C492" s="1" t="n">
        <v>45891</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28863-2022</t>
        </is>
      </c>
      <c r="B493" s="1" t="n">
        <v>44749.50649305555</v>
      </c>
      <c r="C493" s="1" t="n">
        <v>45891</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25541-2024</t>
        </is>
      </c>
      <c r="B494" s="1" t="n">
        <v>45463.56337962963</v>
      </c>
      <c r="C494" s="1" t="n">
        <v>45891</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26661-2025</t>
        </is>
      </c>
      <c r="B495" s="1" t="n">
        <v>45810</v>
      </c>
      <c r="C495" s="1" t="n">
        <v>45891</v>
      </c>
      <c r="D495" t="inlineStr">
        <is>
          <t>VÄSTMANLANDS LÄN</t>
        </is>
      </c>
      <c r="E495" t="inlineStr">
        <is>
          <t>SALA</t>
        </is>
      </c>
      <c r="G495" t="n">
        <v>3.5</v>
      </c>
      <c r="H495" t="n">
        <v>0</v>
      </c>
      <c r="I495" t="n">
        <v>0</v>
      </c>
      <c r="J495" t="n">
        <v>0</v>
      </c>
      <c r="K495" t="n">
        <v>0</v>
      </c>
      <c r="L495" t="n">
        <v>0</v>
      </c>
      <c r="M495" t="n">
        <v>0</v>
      </c>
      <c r="N495" t="n">
        <v>0</v>
      </c>
      <c r="O495" t="n">
        <v>0</v>
      </c>
      <c r="P495" t="n">
        <v>0</v>
      </c>
      <c r="Q495" t="n">
        <v>0</v>
      </c>
      <c r="R495" s="2" t="inlineStr"/>
    </row>
    <row r="496" ht="15" customHeight="1">
      <c r="A496" t="inlineStr">
        <is>
          <t>A 29213-2022</t>
        </is>
      </c>
      <c r="B496" s="1" t="n">
        <v>44750.57474537037</v>
      </c>
      <c r="C496" s="1" t="n">
        <v>45891</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50801-2020</t>
        </is>
      </c>
      <c r="B497" s="1" t="n">
        <v>44111</v>
      </c>
      <c r="C497" s="1" t="n">
        <v>45891</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56964-2023</t>
        </is>
      </c>
      <c r="B498" s="1" t="n">
        <v>45244.63140046296</v>
      </c>
      <c r="C498" s="1" t="n">
        <v>45891</v>
      </c>
      <c r="D498" t="inlineStr">
        <is>
          <t>VÄSTMANLANDS LÄN</t>
        </is>
      </c>
      <c r="E498" t="inlineStr">
        <is>
          <t>SALA</t>
        </is>
      </c>
      <c r="G498" t="n">
        <v>4.6</v>
      </c>
      <c r="H498" t="n">
        <v>0</v>
      </c>
      <c r="I498" t="n">
        <v>0</v>
      </c>
      <c r="J498" t="n">
        <v>0</v>
      </c>
      <c r="K498" t="n">
        <v>0</v>
      </c>
      <c r="L498" t="n">
        <v>0</v>
      </c>
      <c r="M498" t="n">
        <v>0</v>
      </c>
      <c r="N498" t="n">
        <v>0</v>
      </c>
      <c r="O498" t="n">
        <v>0</v>
      </c>
      <c r="P498" t="n">
        <v>0</v>
      </c>
      <c r="Q498" t="n">
        <v>0</v>
      </c>
      <c r="R498" s="2" t="inlineStr"/>
    </row>
    <row r="499" ht="15" customHeight="1">
      <c r="A499" t="inlineStr">
        <is>
          <t>A 21159-2022</t>
        </is>
      </c>
      <c r="B499" s="1" t="n">
        <v>44704</v>
      </c>
      <c r="C499" s="1" t="n">
        <v>45891</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41292-2021</t>
        </is>
      </c>
      <c r="B500" s="1" t="n">
        <v>44424</v>
      </c>
      <c r="C500" s="1" t="n">
        <v>45891</v>
      </c>
      <c r="D500" t="inlineStr">
        <is>
          <t>VÄSTMANLANDS LÄN</t>
        </is>
      </c>
      <c r="E500" t="inlineStr">
        <is>
          <t>SALA</t>
        </is>
      </c>
      <c r="G500" t="n">
        <v>0.3</v>
      </c>
      <c r="H500" t="n">
        <v>0</v>
      </c>
      <c r="I500" t="n">
        <v>0</v>
      </c>
      <c r="J500" t="n">
        <v>0</v>
      </c>
      <c r="K500" t="n">
        <v>0</v>
      </c>
      <c r="L500" t="n">
        <v>0</v>
      </c>
      <c r="M500" t="n">
        <v>0</v>
      </c>
      <c r="N500" t="n">
        <v>0</v>
      </c>
      <c r="O500" t="n">
        <v>0</v>
      </c>
      <c r="P500" t="n">
        <v>0</v>
      </c>
      <c r="Q500" t="n">
        <v>0</v>
      </c>
      <c r="R500" s="2" t="inlineStr"/>
    </row>
    <row r="501" ht="15" customHeight="1">
      <c r="A501" t="inlineStr">
        <is>
          <t>A 60328-2024</t>
        </is>
      </c>
      <c r="B501" s="1" t="n">
        <v>45643.38416666666</v>
      </c>
      <c r="C501" s="1" t="n">
        <v>45891</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6088-2021</t>
        </is>
      </c>
      <c r="B502" s="1" t="n">
        <v>44232</v>
      </c>
      <c r="C502" s="1" t="n">
        <v>45891</v>
      </c>
      <c r="D502" t="inlineStr">
        <is>
          <t>VÄSTMANLANDS LÄN</t>
        </is>
      </c>
      <c r="E502" t="inlineStr">
        <is>
          <t>SALA</t>
        </is>
      </c>
      <c r="G502" t="n">
        <v>0.2</v>
      </c>
      <c r="H502" t="n">
        <v>0</v>
      </c>
      <c r="I502" t="n">
        <v>0</v>
      </c>
      <c r="J502" t="n">
        <v>0</v>
      </c>
      <c r="K502" t="n">
        <v>0</v>
      </c>
      <c r="L502" t="n">
        <v>0</v>
      </c>
      <c r="M502" t="n">
        <v>0</v>
      </c>
      <c r="N502" t="n">
        <v>0</v>
      </c>
      <c r="O502" t="n">
        <v>0</v>
      </c>
      <c r="P502" t="n">
        <v>0</v>
      </c>
      <c r="Q502" t="n">
        <v>0</v>
      </c>
      <c r="R502" s="2" t="inlineStr"/>
    </row>
    <row r="503" ht="15" customHeight="1">
      <c r="A503" t="inlineStr">
        <is>
          <t>A 33273-2023</t>
        </is>
      </c>
      <c r="B503" s="1" t="n">
        <v>45127</v>
      </c>
      <c r="C503" s="1" t="n">
        <v>45891</v>
      </c>
      <c r="D503" t="inlineStr">
        <is>
          <t>VÄSTMANLANDS LÄN</t>
        </is>
      </c>
      <c r="E503" t="inlineStr">
        <is>
          <t>SALA</t>
        </is>
      </c>
      <c r="G503" t="n">
        <v>2.6</v>
      </c>
      <c r="H503" t="n">
        <v>0</v>
      </c>
      <c r="I503" t="n">
        <v>0</v>
      </c>
      <c r="J503" t="n">
        <v>0</v>
      </c>
      <c r="K503" t="n">
        <v>0</v>
      </c>
      <c r="L503" t="n">
        <v>0</v>
      </c>
      <c r="M503" t="n">
        <v>0</v>
      </c>
      <c r="N503" t="n">
        <v>0</v>
      </c>
      <c r="O503" t="n">
        <v>0</v>
      </c>
      <c r="P503" t="n">
        <v>0</v>
      </c>
      <c r="Q503" t="n">
        <v>0</v>
      </c>
      <c r="R503" s="2" t="inlineStr"/>
    </row>
    <row r="504" ht="15" customHeight="1">
      <c r="A504" t="inlineStr">
        <is>
          <t>A 1555-2024</t>
        </is>
      </c>
      <c r="B504" s="1" t="n">
        <v>45306</v>
      </c>
      <c r="C504" s="1" t="n">
        <v>45891</v>
      </c>
      <c r="D504" t="inlineStr">
        <is>
          <t>VÄSTMANLANDS LÄN</t>
        </is>
      </c>
      <c r="E504" t="inlineStr">
        <is>
          <t>SALA</t>
        </is>
      </c>
      <c r="G504" t="n">
        <v>1.3</v>
      </c>
      <c r="H504" t="n">
        <v>0</v>
      </c>
      <c r="I504" t="n">
        <v>0</v>
      </c>
      <c r="J504" t="n">
        <v>0</v>
      </c>
      <c r="K504" t="n">
        <v>0</v>
      </c>
      <c r="L504" t="n">
        <v>0</v>
      </c>
      <c r="M504" t="n">
        <v>0</v>
      </c>
      <c r="N504" t="n">
        <v>0</v>
      </c>
      <c r="O504" t="n">
        <v>0</v>
      </c>
      <c r="P504" t="n">
        <v>0</v>
      </c>
      <c r="Q504" t="n">
        <v>0</v>
      </c>
      <c r="R504" s="2" t="inlineStr"/>
    </row>
    <row r="505" ht="15" customHeight="1">
      <c r="A505" t="inlineStr">
        <is>
          <t>A 13188-2025</t>
        </is>
      </c>
      <c r="B505" s="1" t="n">
        <v>45735.39246527778</v>
      </c>
      <c r="C505" s="1" t="n">
        <v>45891</v>
      </c>
      <c r="D505" t="inlineStr">
        <is>
          <t>VÄSTMANLANDS LÄN</t>
        </is>
      </c>
      <c r="E505" t="inlineStr">
        <is>
          <t>SALA</t>
        </is>
      </c>
      <c r="F505" t="inlineStr">
        <is>
          <t>Naturvårdsverket</t>
        </is>
      </c>
      <c r="G505" t="n">
        <v>18.4</v>
      </c>
      <c r="H505" t="n">
        <v>0</v>
      </c>
      <c r="I505" t="n">
        <v>0</v>
      </c>
      <c r="J505" t="n">
        <v>0</v>
      </c>
      <c r="K505" t="n">
        <v>0</v>
      </c>
      <c r="L505" t="n">
        <v>0</v>
      </c>
      <c r="M505" t="n">
        <v>0</v>
      </c>
      <c r="N505" t="n">
        <v>0</v>
      </c>
      <c r="O505" t="n">
        <v>0</v>
      </c>
      <c r="P505" t="n">
        <v>0</v>
      </c>
      <c r="Q505" t="n">
        <v>0</v>
      </c>
      <c r="R505" s="2" t="inlineStr"/>
    </row>
    <row r="506" ht="15" customHeight="1">
      <c r="A506" t="inlineStr">
        <is>
          <t>A 52827-2024</t>
        </is>
      </c>
      <c r="B506" s="1" t="n">
        <v>45610</v>
      </c>
      <c r="C506" s="1" t="n">
        <v>45891</v>
      </c>
      <c r="D506" t="inlineStr">
        <is>
          <t>VÄSTMANLANDS LÄN</t>
        </is>
      </c>
      <c r="E506" t="inlineStr">
        <is>
          <t>SALA</t>
        </is>
      </c>
      <c r="G506" t="n">
        <v>0.2</v>
      </c>
      <c r="H506" t="n">
        <v>0</v>
      </c>
      <c r="I506" t="n">
        <v>0</v>
      </c>
      <c r="J506" t="n">
        <v>0</v>
      </c>
      <c r="K506" t="n">
        <v>0</v>
      </c>
      <c r="L506" t="n">
        <v>0</v>
      </c>
      <c r="M506" t="n">
        <v>0</v>
      </c>
      <c r="N506" t="n">
        <v>0</v>
      </c>
      <c r="O506" t="n">
        <v>0</v>
      </c>
      <c r="P506" t="n">
        <v>0</v>
      </c>
      <c r="Q506" t="n">
        <v>0</v>
      </c>
      <c r="R506" s="2" t="inlineStr"/>
    </row>
    <row r="507" ht="15" customHeight="1">
      <c r="A507" t="inlineStr">
        <is>
          <t>A 53166-2024</t>
        </is>
      </c>
      <c r="B507" s="1" t="n">
        <v>45611</v>
      </c>
      <c r="C507" s="1" t="n">
        <v>45891</v>
      </c>
      <c r="D507" t="inlineStr">
        <is>
          <t>VÄSTMANLANDS LÄN</t>
        </is>
      </c>
      <c r="E507" t="inlineStr">
        <is>
          <t>SALA</t>
        </is>
      </c>
      <c r="G507" t="n">
        <v>1.5</v>
      </c>
      <c r="H507" t="n">
        <v>0</v>
      </c>
      <c r="I507" t="n">
        <v>0</v>
      </c>
      <c r="J507" t="n">
        <v>0</v>
      </c>
      <c r="K507" t="n">
        <v>0</v>
      </c>
      <c r="L507" t="n">
        <v>0</v>
      </c>
      <c r="M507" t="n">
        <v>0</v>
      </c>
      <c r="N507" t="n">
        <v>0</v>
      </c>
      <c r="O507" t="n">
        <v>0</v>
      </c>
      <c r="P507" t="n">
        <v>0</v>
      </c>
      <c r="Q507" t="n">
        <v>0</v>
      </c>
      <c r="R507" s="2" t="inlineStr"/>
    </row>
    <row r="508" ht="15" customHeight="1">
      <c r="A508" t="inlineStr">
        <is>
          <t>A 11244-2024</t>
        </is>
      </c>
      <c r="B508" s="1" t="n">
        <v>45371</v>
      </c>
      <c r="C508" s="1" t="n">
        <v>45891</v>
      </c>
      <c r="D508" t="inlineStr">
        <is>
          <t>VÄSTMANLANDS LÄN</t>
        </is>
      </c>
      <c r="E508" t="inlineStr">
        <is>
          <t>SALA</t>
        </is>
      </c>
      <c r="G508" t="n">
        <v>1.2</v>
      </c>
      <c r="H508" t="n">
        <v>0</v>
      </c>
      <c r="I508" t="n">
        <v>0</v>
      </c>
      <c r="J508" t="n">
        <v>0</v>
      </c>
      <c r="K508" t="n">
        <v>0</v>
      </c>
      <c r="L508" t="n">
        <v>0</v>
      </c>
      <c r="M508" t="n">
        <v>0</v>
      </c>
      <c r="N508" t="n">
        <v>0</v>
      </c>
      <c r="O508" t="n">
        <v>0</v>
      </c>
      <c r="P508" t="n">
        <v>0</v>
      </c>
      <c r="Q508" t="n">
        <v>0</v>
      </c>
      <c r="R508" s="2" t="inlineStr"/>
    </row>
    <row r="509" ht="15" customHeight="1">
      <c r="A509" t="inlineStr">
        <is>
          <t>A 62654-2022</t>
        </is>
      </c>
      <c r="B509" s="1" t="n">
        <v>44917</v>
      </c>
      <c r="C509" s="1" t="n">
        <v>45891</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7197-2025</t>
        </is>
      </c>
      <c r="B510" s="1" t="n">
        <v>45702</v>
      </c>
      <c r="C510" s="1" t="n">
        <v>45891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6135-2023</t>
        </is>
      </c>
      <c r="B511" s="1" t="n">
        <v>44964.62628472222</v>
      </c>
      <c r="C511" s="1" t="n">
        <v>45891</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53864-2022</t>
        </is>
      </c>
      <c r="B512" s="1" t="n">
        <v>44880.64016203704</v>
      </c>
      <c r="C512" s="1" t="n">
        <v>45891</v>
      </c>
      <c r="D512" t="inlineStr">
        <is>
          <t>VÄSTMANLANDS LÄN</t>
        </is>
      </c>
      <c r="E512" t="inlineStr">
        <is>
          <t>SALA</t>
        </is>
      </c>
      <c r="G512" t="n">
        <v>5.9</v>
      </c>
      <c r="H512" t="n">
        <v>0</v>
      </c>
      <c r="I512" t="n">
        <v>0</v>
      </c>
      <c r="J512" t="n">
        <v>0</v>
      </c>
      <c r="K512" t="n">
        <v>0</v>
      </c>
      <c r="L512" t="n">
        <v>0</v>
      </c>
      <c r="M512" t="n">
        <v>0</v>
      </c>
      <c r="N512" t="n">
        <v>0</v>
      </c>
      <c r="O512" t="n">
        <v>0</v>
      </c>
      <c r="P512" t="n">
        <v>0</v>
      </c>
      <c r="Q512" t="n">
        <v>0</v>
      </c>
      <c r="R512" s="2" t="inlineStr"/>
    </row>
    <row r="513" ht="15" customHeight="1">
      <c r="A513" t="inlineStr">
        <is>
          <t>A 15099-2025</t>
        </is>
      </c>
      <c r="B513" s="1" t="n">
        <v>45744.3434837963</v>
      </c>
      <c r="C513" s="1" t="n">
        <v>45891</v>
      </c>
      <c r="D513" t="inlineStr">
        <is>
          <t>VÄSTMANLANDS LÄN</t>
        </is>
      </c>
      <c r="E513" t="inlineStr">
        <is>
          <t>SALA</t>
        </is>
      </c>
      <c r="F513" t="inlineStr">
        <is>
          <t>Sveaskog</t>
        </is>
      </c>
      <c r="G513" t="n">
        <v>14.4</v>
      </c>
      <c r="H513" t="n">
        <v>0</v>
      </c>
      <c r="I513" t="n">
        <v>0</v>
      </c>
      <c r="J513" t="n">
        <v>0</v>
      </c>
      <c r="K513" t="n">
        <v>0</v>
      </c>
      <c r="L513" t="n">
        <v>0</v>
      </c>
      <c r="M513" t="n">
        <v>0</v>
      </c>
      <c r="N513" t="n">
        <v>0</v>
      </c>
      <c r="O513" t="n">
        <v>0</v>
      </c>
      <c r="P513" t="n">
        <v>0</v>
      </c>
      <c r="Q513" t="n">
        <v>0</v>
      </c>
      <c r="R513" s="2" t="inlineStr"/>
    </row>
    <row r="514" ht="15" customHeight="1">
      <c r="A514" t="inlineStr">
        <is>
          <t>A 2928-2024</t>
        </is>
      </c>
      <c r="B514" s="1" t="n">
        <v>45315.59041666667</v>
      </c>
      <c r="C514" s="1" t="n">
        <v>45891</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27255-2023</t>
        </is>
      </c>
      <c r="B515" s="1" t="n">
        <v>45096</v>
      </c>
      <c r="C515" s="1" t="n">
        <v>45891</v>
      </c>
      <c r="D515" t="inlineStr">
        <is>
          <t>VÄSTMANLANDS LÄN</t>
        </is>
      </c>
      <c r="E515" t="inlineStr">
        <is>
          <t>SALA</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9962-2025</t>
        </is>
      </c>
      <c r="B516" s="1" t="n">
        <v>45719.37072916667</v>
      </c>
      <c r="C516" s="1" t="n">
        <v>45891</v>
      </c>
      <c r="D516" t="inlineStr">
        <is>
          <t>VÄSTMANLANDS LÄN</t>
        </is>
      </c>
      <c r="E516" t="inlineStr">
        <is>
          <t>SALA</t>
        </is>
      </c>
      <c r="G516" t="n">
        <v>4.5</v>
      </c>
      <c r="H516" t="n">
        <v>0</v>
      </c>
      <c r="I516" t="n">
        <v>0</v>
      </c>
      <c r="J516" t="n">
        <v>0</v>
      </c>
      <c r="K516" t="n">
        <v>0</v>
      </c>
      <c r="L516" t="n">
        <v>0</v>
      </c>
      <c r="M516" t="n">
        <v>0</v>
      </c>
      <c r="N516" t="n">
        <v>0</v>
      </c>
      <c r="O516" t="n">
        <v>0</v>
      </c>
      <c r="P516" t="n">
        <v>0</v>
      </c>
      <c r="Q516" t="n">
        <v>0</v>
      </c>
      <c r="R516" s="2" t="inlineStr"/>
    </row>
    <row r="517" ht="15" customHeight="1">
      <c r="A517" t="inlineStr">
        <is>
          <t>A 35776-2025</t>
        </is>
      </c>
      <c r="B517" s="1" t="n">
        <v>45860.69211805556</v>
      </c>
      <c r="C517" s="1" t="n">
        <v>45891</v>
      </c>
      <c r="D517" t="inlineStr">
        <is>
          <t>VÄSTMANLANDS LÄN</t>
        </is>
      </c>
      <c r="E517" t="inlineStr">
        <is>
          <t>SALA</t>
        </is>
      </c>
      <c r="G517" t="n">
        <v>14.2</v>
      </c>
      <c r="H517" t="n">
        <v>0</v>
      </c>
      <c r="I517" t="n">
        <v>0</v>
      </c>
      <c r="J517" t="n">
        <v>0</v>
      </c>
      <c r="K517" t="n">
        <v>0</v>
      </c>
      <c r="L517" t="n">
        <v>0</v>
      </c>
      <c r="M517" t="n">
        <v>0</v>
      </c>
      <c r="N517" t="n">
        <v>0</v>
      </c>
      <c r="O517" t="n">
        <v>0</v>
      </c>
      <c r="P517" t="n">
        <v>0</v>
      </c>
      <c r="Q517" t="n">
        <v>0</v>
      </c>
      <c r="R517" s="2" t="inlineStr"/>
    </row>
    <row r="518" ht="15" customHeight="1">
      <c r="A518" t="inlineStr">
        <is>
          <t>A 14024-2025</t>
        </is>
      </c>
      <c r="B518" s="1" t="n">
        <v>45740.34650462963</v>
      </c>
      <c r="C518" s="1" t="n">
        <v>45891</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28193-2025</t>
        </is>
      </c>
      <c r="B519" s="1" t="n">
        <v>45818.425625</v>
      </c>
      <c r="C519" s="1" t="n">
        <v>45891</v>
      </c>
      <c r="D519" t="inlineStr">
        <is>
          <t>VÄSTMANLANDS LÄN</t>
        </is>
      </c>
      <c r="E519" t="inlineStr">
        <is>
          <t>SALA</t>
        </is>
      </c>
      <c r="G519" t="n">
        <v>1.8</v>
      </c>
      <c r="H519" t="n">
        <v>0</v>
      </c>
      <c r="I519" t="n">
        <v>0</v>
      </c>
      <c r="J519" t="n">
        <v>0</v>
      </c>
      <c r="K519" t="n">
        <v>0</v>
      </c>
      <c r="L519" t="n">
        <v>0</v>
      </c>
      <c r="M519" t="n">
        <v>0</v>
      </c>
      <c r="N519" t="n">
        <v>0</v>
      </c>
      <c r="O519" t="n">
        <v>0</v>
      </c>
      <c r="P519" t="n">
        <v>0</v>
      </c>
      <c r="Q519" t="n">
        <v>0</v>
      </c>
      <c r="R519" s="2" t="inlineStr"/>
    </row>
    <row r="520" ht="15" customHeight="1">
      <c r="A520" t="inlineStr">
        <is>
          <t>A 35779-2025</t>
        </is>
      </c>
      <c r="B520" s="1" t="n">
        <v>45860.69495370371</v>
      </c>
      <c r="C520" s="1" t="n">
        <v>45891</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27981-2025</t>
        </is>
      </c>
      <c r="B521" s="1" t="n">
        <v>45817.57471064815</v>
      </c>
      <c r="C521" s="1" t="n">
        <v>45891</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60034-2024</t>
        </is>
      </c>
      <c r="B522" s="1" t="n">
        <v>45642.46261574074</v>
      </c>
      <c r="C522" s="1" t="n">
        <v>45891</v>
      </c>
      <c r="D522" t="inlineStr">
        <is>
          <t>VÄSTMANLANDS LÄN</t>
        </is>
      </c>
      <c r="E522" t="inlineStr">
        <is>
          <t>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28278-2025</t>
        </is>
      </c>
      <c r="B523" s="1" t="n">
        <v>45818.58454861111</v>
      </c>
      <c r="C523" s="1" t="n">
        <v>45891</v>
      </c>
      <c r="D523" t="inlineStr">
        <is>
          <t>VÄSTMANLANDS LÄN</t>
        </is>
      </c>
      <c r="E523" t="inlineStr">
        <is>
          <t>SALA</t>
        </is>
      </c>
      <c r="G523" t="n">
        <v>7.6</v>
      </c>
      <c r="H523" t="n">
        <v>0</v>
      </c>
      <c r="I523" t="n">
        <v>0</v>
      </c>
      <c r="J523" t="n">
        <v>0</v>
      </c>
      <c r="K523" t="n">
        <v>0</v>
      </c>
      <c r="L523" t="n">
        <v>0</v>
      </c>
      <c r="M523" t="n">
        <v>0</v>
      </c>
      <c r="N523" t="n">
        <v>0</v>
      </c>
      <c r="O523" t="n">
        <v>0</v>
      </c>
      <c r="P523" t="n">
        <v>0</v>
      </c>
      <c r="Q523" t="n">
        <v>0</v>
      </c>
      <c r="R523" s="2" t="inlineStr"/>
    </row>
    <row r="524" ht="15" customHeight="1">
      <c r="A524" t="inlineStr">
        <is>
          <t>A 3810-2023</t>
        </is>
      </c>
      <c r="B524" s="1" t="n">
        <v>44951.60454861111</v>
      </c>
      <c r="C524" s="1" t="n">
        <v>45891</v>
      </c>
      <c r="D524" t="inlineStr">
        <is>
          <t>VÄSTMANLANDS LÄN</t>
        </is>
      </c>
      <c r="E524" t="inlineStr">
        <is>
          <t>SALA</t>
        </is>
      </c>
      <c r="G524" t="n">
        <v>4.2</v>
      </c>
      <c r="H524" t="n">
        <v>0</v>
      </c>
      <c r="I524" t="n">
        <v>0</v>
      </c>
      <c r="J524" t="n">
        <v>0</v>
      </c>
      <c r="K524" t="n">
        <v>0</v>
      </c>
      <c r="L524" t="n">
        <v>0</v>
      </c>
      <c r="M524" t="n">
        <v>0</v>
      </c>
      <c r="N524" t="n">
        <v>0</v>
      </c>
      <c r="O524" t="n">
        <v>0</v>
      </c>
      <c r="P524" t="n">
        <v>0</v>
      </c>
      <c r="Q524" t="n">
        <v>0</v>
      </c>
      <c r="R524" s="2" t="inlineStr"/>
    </row>
    <row r="525" ht="15" customHeight="1">
      <c r="A525" t="inlineStr">
        <is>
          <t>A 3551-2024</t>
        </is>
      </c>
      <c r="B525" s="1" t="n">
        <v>45320.61099537037</v>
      </c>
      <c r="C525" s="1" t="n">
        <v>45891</v>
      </c>
      <c r="D525" t="inlineStr">
        <is>
          <t>VÄSTMANLANDS LÄN</t>
        </is>
      </c>
      <c r="E525" t="inlineStr">
        <is>
          <t>SALA</t>
        </is>
      </c>
      <c r="F525" t="inlineStr">
        <is>
          <t>Kommuner</t>
        </is>
      </c>
      <c r="G525" t="n">
        <v>6</v>
      </c>
      <c r="H525" t="n">
        <v>0</v>
      </c>
      <c r="I525" t="n">
        <v>0</v>
      </c>
      <c r="J525" t="n">
        <v>0</v>
      </c>
      <c r="K525" t="n">
        <v>0</v>
      </c>
      <c r="L525" t="n">
        <v>0</v>
      </c>
      <c r="M525" t="n">
        <v>0</v>
      </c>
      <c r="N525" t="n">
        <v>0</v>
      </c>
      <c r="O525" t="n">
        <v>0</v>
      </c>
      <c r="P525" t="n">
        <v>0</v>
      </c>
      <c r="Q525" t="n">
        <v>0</v>
      </c>
      <c r="R525" s="2" t="inlineStr"/>
    </row>
    <row r="526" ht="15" customHeight="1">
      <c r="A526" t="inlineStr">
        <is>
          <t>A 35715-2025</t>
        </is>
      </c>
      <c r="B526" s="1" t="n">
        <v>45860.42148148148</v>
      </c>
      <c r="C526" s="1" t="n">
        <v>45891</v>
      </c>
      <c r="D526" t="inlineStr">
        <is>
          <t>VÄSTMANLANDS LÄN</t>
        </is>
      </c>
      <c r="E526" t="inlineStr">
        <is>
          <t>SALA</t>
        </is>
      </c>
      <c r="G526" t="n">
        <v>3.8</v>
      </c>
      <c r="H526" t="n">
        <v>0</v>
      </c>
      <c r="I526" t="n">
        <v>0</v>
      </c>
      <c r="J526" t="n">
        <v>0</v>
      </c>
      <c r="K526" t="n">
        <v>0</v>
      </c>
      <c r="L526" t="n">
        <v>0</v>
      </c>
      <c r="M526" t="n">
        <v>0</v>
      </c>
      <c r="N526" t="n">
        <v>0</v>
      </c>
      <c r="O526" t="n">
        <v>0</v>
      </c>
      <c r="P526" t="n">
        <v>0</v>
      </c>
      <c r="Q526" t="n">
        <v>0</v>
      </c>
      <c r="R526" s="2" t="inlineStr"/>
    </row>
    <row r="527" ht="15" customHeight="1">
      <c r="A527" t="inlineStr">
        <is>
          <t>A 35651-2025</t>
        </is>
      </c>
      <c r="B527" s="1" t="n">
        <v>45859.52435185185</v>
      </c>
      <c r="C527" s="1" t="n">
        <v>45891</v>
      </c>
      <c r="D527" t="inlineStr">
        <is>
          <t>VÄSTMANLANDS LÄN</t>
        </is>
      </c>
      <c r="E527" t="inlineStr">
        <is>
          <t>SALA</t>
        </is>
      </c>
      <c r="G527" t="n">
        <v>6.3</v>
      </c>
      <c r="H527" t="n">
        <v>0</v>
      </c>
      <c r="I527" t="n">
        <v>0</v>
      </c>
      <c r="J527" t="n">
        <v>0</v>
      </c>
      <c r="K527" t="n">
        <v>0</v>
      </c>
      <c r="L527" t="n">
        <v>0</v>
      </c>
      <c r="M527" t="n">
        <v>0</v>
      </c>
      <c r="N527" t="n">
        <v>0</v>
      </c>
      <c r="O527" t="n">
        <v>0</v>
      </c>
      <c r="P527" t="n">
        <v>0</v>
      </c>
      <c r="Q527" t="n">
        <v>0</v>
      </c>
      <c r="R527" s="2" t="inlineStr"/>
    </row>
    <row r="528" ht="15" customHeight="1">
      <c r="A528" t="inlineStr">
        <is>
          <t>A 27989-2025</t>
        </is>
      </c>
      <c r="B528" s="1" t="n">
        <v>45817.58716435185</v>
      </c>
      <c r="C528" s="1" t="n">
        <v>45891</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28284-2025</t>
        </is>
      </c>
      <c r="B529" s="1" t="n">
        <v>45818.58893518519</v>
      </c>
      <c r="C529" s="1" t="n">
        <v>45891</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35774-2025</t>
        </is>
      </c>
      <c r="B530" s="1" t="n">
        <v>45860.68780092592</v>
      </c>
      <c r="C530" s="1" t="n">
        <v>45891</v>
      </c>
      <c r="D530" t="inlineStr">
        <is>
          <t>VÄSTMANLANDS LÄN</t>
        </is>
      </c>
      <c r="E530" t="inlineStr">
        <is>
          <t>SALA</t>
        </is>
      </c>
      <c r="G530" t="n">
        <v>6.5</v>
      </c>
      <c r="H530" t="n">
        <v>0</v>
      </c>
      <c r="I530" t="n">
        <v>0</v>
      </c>
      <c r="J530" t="n">
        <v>0</v>
      </c>
      <c r="K530" t="n">
        <v>0</v>
      </c>
      <c r="L530" t="n">
        <v>0</v>
      </c>
      <c r="M530" t="n">
        <v>0</v>
      </c>
      <c r="N530" t="n">
        <v>0</v>
      </c>
      <c r="O530" t="n">
        <v>0</v>
      </c>
      <c r="P530" t="n">
        <v>0</v>
      </c>
      <c r="Q530" t="n">
        <v>0</v>
      </c>
      <c r="R530" s="2" t="inlineStr"/>
    </row>
    <row r="531" ht="15" customHeight="1">
      <c r="A531" t="inlineStr">
        <is>
          <t>A 52503-2024</t>
        </is>
      </c>
      <c r="B531" s="1" t="n">
        <v>45609.58806712963</v>
      </c>
      <c r="C531" s="1" t="n">
        <v>45891</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28632-2025</t>
        </is>
      </c>
      <c r="B532" s="1" t="n">
        <v>45819.62344907408</v>
      </c>
      <c r="C532" s="1" t="n">
        <v>45891</v>
      </c>
      <c r="D532" t="inlineStr">
        <is>
          <t>VÄSTMANLANDS LÄN</t>
        </is>
      </c>
      <c r="E532" t="inlineStr">
        <is>
          <t>SALA</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2521-2025</t>
        </is>
      </c>
      <c r="B533" s="1" t="n">
        <v>45674</v>
      </c>
      <c r="C533" s="1" t="n">
        <v>45891</v>
      </c>
      <c r="D533" t="inlineStr">
        <is>
          <t>VÄSTMANLANDS LÄN</t>
        </is>
      </c>
      <c r="E533" t="inlineStr">
        <is>
          <t>SALA</t>
        </is>
      </c>
      <c r="G533" t="n">
        <v>3.5</v>
      </c>
      <c r="H533" t="n">
        <v>0</v>
      </c>
      <c r="I533" t="n">
        <v>0</v>
      </c>
      <c r="J533" t="n">
        <v>0</v>
      </c>
      <c r="K533" t="n">
        <v>0</v>
      </c>
      <c r="L533" t="n">
        <v>0</v>
      </c>
      <c r="M533" t="n">
        <v>0</v>
      </c>
      <c r="N533" t="n">
        <v>0</v>
      </c>
      <c r="O533" t="n">
        <v>0</v>
      </c>
      <c r="P533" t="n">
        <v>0</v>
      </c>
      <c r="Q533" t="n">
        <v>0</v>
      </c>
      <c r="R533" s="2" t="inlineStr"/>
    </row>
    <row r="534" ht="15" customHeight="1">
      <c r="A534" t="inlineStr">
        <is>
          <t>A 62635-2022</t>
        </is>
      </c>
      <c r="B534" s="1" t="n">
        <v>44917</v>
      </c>
      <c r="C534" s="1" t="n">
        <v>45891</v>
      </c>
      <c r="D534" t="inlineStr">
        <is>
          <t>VÄSTMANLANDS LÄN</t>
        </is>
      </c>
      <c r="E534" t="inlineStr">
        <is>
          <t>SALA</t>
        </is>
      </c>
      <c r="G534" t="n">
        <v>0.4</v>
      </c>
      <c r="H534" t="n">
        <v>0</v>
      </c>
      <c r="I534" t="n">
        <v>0</v>
      </c>
      <c r="J534" t="n">
        <v>0</v>
      </c>
      <c r="K534" t="n">
        <v>0</v>
      </c>
      <c r="L534" t="n">
        <v>0</v>
      </c>
      <c r="M534" t="n">
        <v>0</v>
      </c>
      <c r="N534" t="n">
        <v>0</v>
      </c>
      <c r="O534" t="n">
        <v>0</v>
      </c>
      <c r="P534" t="n">
        <v>0</v>
      </c>
      <c r="Q534" t="n">
        <v>0</v>
      </c>
      <c r="R534" s="2" t="inlineStr"/>
    </row>
    <row r="535" ht="15" customHeight="1">
      <c r="A535" t="inlineStr">
        <is>
          <t>A 28628-2025</t>
        </is>
      </c>
      <c r="B535" s="1" t="n">
        <v>45819.62158564815</v>
      </c>
      <c r="C535" s="1" t="n">
        <v>45891</v>
      </c>
      <c r="D535" t="inlineStr">
        <is>
          <t>VÄSTMANLANDS LÄN</t>
        </is>
      </c>
      <c r="E535" t="inlineStr">
        <is>
          <t>SALA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31000-2022</t>
        </is>
      </c>
      <c r="B536" s="1" t="n">
        <v>44768</v>
      </c>
      <c r="C536" s="1" t="n">
        <v>45891</v>
      </c>
      <c r="D536" t="inlineStr">
        <is>
          <t>VÄSTMANLANDS LÄN</t>
        </is>
      </c>
      <c r="E536" t="inlineStr">
        <is>
          <t>SALA</t>
        </is>
      </c>
      <c r="G536" t="n">
        <v>5.7</v>
      </c>
      <c r="H536" t="n">
        <v>0</v>
      </c>
      <c r="I536" t="n">
        <v>0</v>
      </c>
      <c r="J536" t="n">
        <v>0</v>
      </c>
      <c r="K536" t="n">
        <v>0</v>
      </c>
      <c r="L536" t="n">
        <v>0</v>
      </c>
      <c r="M536" t="n">
        <v>0</v>
      </c>
      <c r="N536" t="n">
        <v>0</v>
      </c>
      <c r="O536" t="n">
        <v>0</v>
      </c>
      <c r="P536" t="n">
        <v>0</v>
      </c>
      <c r="Q536" t="n">
        <v>0</v>
      </c>
      <c r="R536" s="2" t="inlineStr"/>
    </row>
    <row r="537" ht="15" customHeight="1">
      <c r="A537" t="inlineStr">
        <is>
          <t>A 19304-2025</t>
        </is>
      </c>
      <c r="B537" s="1" t="n">
        <v>45769</v>
      </c>
      <c r="C537" s="1" t="n">
        <v>45891</v>
      </c>
      <c r="D537" t="inlineStr">
        <is>
          <t>VÄSTMANLANDS LÄN</t>
        </is>
      </c>
      <c r="E537" t="inlineStr">
        <is>
          <t>SALA</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28630-2025</t>
        </is>
      </c>
      <c r="B538" s="1" t="n">
        <v>45819.62274305556</v>
      </c>
      <c r="C538" s="1" t="n">
        <v>45891</v>
      </c>
      <c r="D538" t="inlineStr">
        <is>
          <t>VÄSTMANLANDS LÄN</t>
        </is>
      </c>
      <c r="E538" t="inlineStr">
        <is>
          <t>SALA</t>
        </is>
      </c>
      <c r="F538" t="inlineStr">
        <is>
          <t>Sveaskog</t>
        </is>
      </c>
      <c r="G538" t="n">
        <v>9</v>
      </c>
      <c r="H538" t="n">
        <v>0</v>
      </c>
      <c r="I538" t="n">
        <v>0</v>
      </c>
      <c r="J538" t="n">
        <v>0</v>
      </c>
      <c r="K538" t="n">
        <v>0</v>
      </c>
      <c r="L538" t="n">
        <v>0</v>
      </c>
      <c r="M538" t="n">
        <v>0</v>
      </c>
      <c r="N538" t="n">
        <v>0</v>
      </c>
      <c r="O538" t="n">
        <v>0</v>
      </c>
      <c r="P538" t="n">
        <v>0</v>
      </c>
      <c r="Q538" t="n">
        <v>0</v>
      </c>
      <c r="R538" s="2" t="inlineStr"/>
    </row>
    <row r="539" ht="15" customHeight="1">
      <c r="A539" t="inlineStr">
        <is>
          <t>A 28837-2025</t>
        </is>
      </c>
      <c r="B539" s="1" t="n">
        <v>45820.56243055555</v>
      </c>
      <c r="C539" s="1" t="n">
        <v>45891</v>
      </c>
      <c r="D539" t="inlineStr">
        <is>
          <t>VÄSTMANLANDS LÄN</t>
        </is>
      </c>
      <c r="E539" t="inlineStr">
        <is>
          <t>SALA</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28849-2025</t>
        </is>
      </c>
      <c r="B540" s="1" t="n">
        <v>45820</v>
      </c>
      <c r="C540" s="1" t="n">
        <v>45891</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56057-2023</t>
        </is>
      </c>
      <c r="B541" s="1" t="n">
        <v>45233</v>
      </c>
      <c r="C541" s="1" t="n">
        <v>45891</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35775-2025</t>
        </is>
      </c>
      <c r="B542" s="1" t="n">
        <v>45860</v>
      </c>
      <c r="C542" s="1" t="n">
        <v>45891</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29085-2025</t>
        </is>
      </c>
      <c r="B543" s="1" t="n">
        <v>45821</v>
      </c>
      <c r="C543" s="1" t="n">
        <v>45891</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17766-2025</t>
        </is>
      </c>
      <c r="B544" s="1" t="n">
        <v>45758</v>
      </c>
      <c r="C544" s="1" t="n">
        <v>45891</v>
      </c>
      <c r="D544" t="inlineStr">
        <is>
          <t>VÄSTMANLANDS LÄN</t>
        </is>
      </c>
      <c r="E544" t="inlineStr">
        <is>
          <t>SALA</t>
        </is>
      </c>
      <c r="G544" t="n">
        <v>16.5</v>
      </c>
      <c r="H544" t="n">
        <v>0</v>
      </c>
      <c r="I544" t="n">
        <v>0</v>
      </c>
      <c r="J544" t="n">
        <v>0</v>
      </c>
      <c r="K544" t="n">
        <v>0</v>
      </c>
      <c r="L544" t="n">
        <v>0</v>
      </c>
      <c r="M544" t="n">
        <v>0</v>
      </c>
      <c r="N544" t="n">
        <v>0</v>
      </c>
      <c r="O544" t="n">
        <v>0</v>
      </c>
      <c r="P544" t="n">
        <v>0</v>
      </c>
      <c r="Q544" t="n">
        <v>0</v>
      </c>
      <c r="R544" s="2" t="inlineStr"/>
    </row>
    <row r="545" ht="15" customHeight="1">
      <c r="A545" t="inlineStr">
        <is>
          <t>A 36031-2025</t>
        </is>
      </c>
      <c r="B545" s="1" t="n">
        <v>45865.46111111111</v>
      </c>
      <c r="C545" s="1" t="n">
        <v>45891</v>
      </c>
      <c r="D545" t="inlineStr">
        <is>
          <t>VÄSTMANLANDS LÄN</t>
        </is>
      </c>
      <c r="E545" t="inlineStr">
        <is>
          <t>SALA</t>
        </is>
      </c>
      <c r="G545" t="n">
        <v>7.2</v>
      </c>
      <c r="H545" t="n">
        <v>0</v>
      </c>
      <c r="I545" t="n">
        <v>0</v>
      </c>
      <c r="J545" t="n">
        <v>0</v>
      </c>
      <c r="K545" t="n">
        <v>0</v>
      </c>
      <c r="L545" t="n">
        <v>0</v>
      </c>
      <c r="M545" t="n">
        <v>0</v>
      </c>
      <c r="N545" t="n">
        <v>0</v>
      </c>
      <c r="O545" t="n">
        <v>0</v>
      </c>
      <c r="P545" t="n">
        <v>0</v>
      </c>
      <c r="Q545" t="n">
        <v>0</v>
      </c>
      <c r="R545" s="2" t="inlineStr"/>
    </row>
    <row r="546" ht="15" customHeight="1">
      <c r="A546" t="inlineStr">
        <is>
          <t>A 36043-2025</t>
        </is>
      </c>
      <c r="B546" s="1" t="n">
        <v>45866.35333333333</v>
      </c>
      <c r="C546" s="1" t="n">
        <v>45891</v>
      </c>
      <c r="D546" t="inlineStr">
        <is>
          <t>VÄSTMANLANDS LÄN</t>
        </is>
      </c>
      <c r="E546" t="inlineStr">
        <is>
          <t>SALA</t>
        </is>
      </c>
      <c r="F546" t="inlineStr">
        <is>
          <t>Kommuner</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36045-2025</t>
        </is>
      </c>
      <c r="B547" s="1" t="n">
        <v>45866.36200231482</v>
      </c>
      <c r="C547" s="1" t="n">
        <v>45891</v>
      </c>
      <c r="D547" t="inlineStr">
        <is>
          <t>VÄSTMANLANDS LÄN</t>
        </is>
      </c>
      <c r="E547" t="inlineStr">
        <is>
          <t>SALA</t>
        </is>
      </c>
      <c r="F547" t="inlineStr">
        <is>
          <t>Kommuner</t>
        </is>
      </c>
      <c r="G547" t="n">
        <v>1.7</v>
      </c>
      <c r="H547" t="n">
        <v>0</v>
      </c>
      <c r="I547" t="n">
        <v>0</v>
      </c>
      <c r="J547" t="n">
        <v>0</v>
      </c>
      <c r="K547" t="n">
        <v>0</v>
      </c>
      <c r="L547" t="n">
        <v>0</v>
      </c>
      <c r="M547" t="n">
        <v>0</v>
      </c>
      <c r="N547" t="n">
        <v>0</v>
      </c>
      <c r="O547" t="n">
        <v>0</v>
      </c>
      <c r="P547" t="n">
        <v>0</v>
      </c>
      <c r="Q547" t="n">
        <v>0</v>
      </c>
      <c r="R547" s="2" t="inlineStr"/>
    </row>
    <row r="548" ht="15" customHeight="1">
      <c r="A548" t="inlineStr">
        <is>
          <t>A 36032-2025</t>
        </is>
      </c>
      <c r="B548" s="1" t="n">
        <v>45865.48740740741</v>
      </c>
      <c r="C548" s="1" t="n">
        <v>45891</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55024-2023</t>
        </is>
      </c>
      <c r="B549" s="1" t="n">
        <v>45229</v>
      </c>
      <c r="C549" s="1" t="n">
        <v>45891</v>
      </c>
      <c r="D549" t="inlineStr">
        <is>
          <t>VÄSTMANLANDS LÄN</t>
        </is>
      </c>
      <c r="E549" t="inlineStr">
        <is>
          <t>SALA</t>
        </is>
      </c>
      <c r="G549" t="n">
        <v>0.9</v>
      </c>
      <c r="H549" t="n">
        <v>0</v>
      </c>
      <c r="I549" t="n">
        <v>0</v>
      </c>
      <c r="J549" t="n">
        <v>0</v>
      </c>
      <c r="K549" t="n">
        <v>0</v>
      </c>
      <c r="L549" t="n">
        <v>0</v>
      </c>
      <c r="M549" t="n">
        <v>0</v>
      </c>
      <c r="N549" t="n">
        <v>0</v>
      </c>
      <c r="O549" t="n">
        <v>0</v>
      </c>
      <c r="P549" t="n">
        <v>0</v>
      </c>
      <c r="Q549" t="n">
        <v>0</v>
      </c>
      <c r="R549" s="2" t="inlineStr"/>
    </row>
    <row r="550" ht="15" customHeight="1">
      <c r="A550" t="inlineStr">
        <is>
          <t>A 55032-2023</t>
        </is>
      </c>
      <c r="B550" s="1" t="n">
        <v>45229</v>
      </c>
      <c r="C550" s="1" t="n">
        <v>45891</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31950-2023</t>
        </is>
      </c>
      <c r="B551" s="1" t="n">
        <v>45107</v>
      </c>
      <c r="C551" s="1" t="n">
        <v>45891</v>
      </c>
      <c r="D551" t="inlineStr">
        <is>
          <t>VÄSTMANLANDS LÄN</t>
        </is>
      </c>
      <c r="E551" t="inlineStr">
        <is>
          <t>SALA</t>
        </is>
      </c>
      <c r="G551" t="n">
        <v>0.1</v>
      </c>
      <c r="H551" t="n">
        <v>0</v>
      </c>
      <c r="I551" t="n">
        <v>0</v>
      </c>
      <c r="J551" t="n">
        <v>0</v>
      </c>
      <c r="K551" t="n">
        <v>0</v>
      </c>
      <c r="L551" t="n">
        <v>0</v>
      </c>
      <c r="M551" t="n">
        <v>0</v>
      </c>
      <c r="N551" t="n">
        <v>0</v>
      </c>
      <c r="O551" t="n">
        <v>0</v>
      </c>
      <c r="P551" t="n">
        <v>0</v>
      </c>
      <c r="Q551" t="n">
        <v>0</v>
      </c>
      <c r="R551" s="2" t="inlineStr"/>
    </row>
    <row r="552" ht="15" customHeight="1">
      <c r="A552" t="inlineStr">
        <is>
          <t>A 29248-2022</t>
        </is>
      </c>
      <c r="B552" s="1" t="n">
        <v>44750</v>
      </c>
      <c r="C552" s="1" t="n">
        <v>45891</v>
      </c>
      <c r="D552" t="inlineStr">
        <is>
          <t>VÄSTMANLANDS LÄN</t>
        </is>
      </c>
      <c r="E552" t="inlineStr">
        <is>
          <t>SALA</t>
        </is>
      </c>
      <c r="G552" t="n">
        <v>1.6</v>
      </c>
      <c r="H552" t="n">
        <v>0</v>
      </c>
      <c r="I552" t="n">
        <v>0</v>
      </c>
      <c r="J552" t="n">
        <v>0</v>
      </c>
      <c r="K552" t="n">
        <v>0</v>
      </c>
      <c r="L552" t="n">
        <v>0</v>
      </c>
      <c r="M552" t="n">
        <v>0</v>
      </c>
      <c r="N552" t="n">
        <v>0</v>
      </c>
      <c r="O552" t="n">
        <v>0</v>
      </c>
      <c r="P552" t="n">
        <v>0</v>
      </c>
      <c r="Q552" t="n">
        <v>0</v>
      </c>
      <c r="R552" s="2" t="inlineStr"/>
    </row>
    <row r="553" ht="15" customHeight="1">
      <c r="A553" t="inlineStr">
        <is>
          <t>A 59175-2022</t>
        </is>
      </c>
      <c r="B553" s="1" t="n">
        <v>44904.48502314815</v>
      </c>
      <c r="C553" s="1" t="n">
        <v>45891</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39451-2022</t>
        </is>
      </c>
      <c r="B554" s="1" t="n">
        <v>44818.36606481481</v>
      </c>
      <c r="C554" s="1" t="n">
        <v>45891</v>
      </c>
      <c r="D554" t="inlineStr">
        <is>
          <t>VÄSTMANLANDS LÄN</t>
        </is>
      </c>
      <c r="E554" t="inlineStr">
        <is>
          <t>SALA</t>
        </is>
      </c>
      <c r="G554" t="n">
        <v>9.4</v>
      </c>
      <c r="H554" t="n">
        <v>0</v>
      </c>
      <c r="I554" t="n">
        <v>0</v>
      </c>
      <c r="J554" t="n">
        <v>0</v>
      </c>
      <c r="K554" t="n">
        <v>0</v>
      </c>
      <c r="L554" t="n">
        <v>0</v>
      </c>
      <c r="M554" t="n">
        <v>0</v>
      </c>
      <c r="N554" t="n">
        <v>0</v>
      </c>
      <c r="O554" t="n">
        <v>0</v>
      </c>
      <c r="P554" t="n">
        <v>0</v>
      </c>
      <c r="Q554" t="n">
        <v>0</v>
      </c>
      <c r="R554" s="2" t="inlineStr"/>
    </row>
    <row r="555" ht="15" customHeight="1">
      <c r="A555" t="inlineStr">
        <is>
          <t>A 36049-2025</t>
        </is>
      </c>
      <c r="B555" s="1" t="n">
        <v>45866.37065972222</v>
      </c>
      <c r="C555" s="1" t="n">
        <v>45891</v>
      </c>
      <c r="D555" t="inlineStr">
        <is>
          <t>VÄSTMANLANDS LÄN</t>
        </is>
      </c>
      <c r="E555" t="inlineStr">
        <is>
          <t>SALA</t>
        </is>
      </c>
      <c r="F555" t="inlineStr">
        <is>
          <t>Kommuner</t>
        </is>
      </c>
      <c r="G555" t="n">
        <v>1.9</v>
      </c>
      <c r="H555" t="n">
        <v>0</v>
      </c>
      <c r="I555" t="n">
        <v>0</v>
      </c>
      <c r="J555" t="n">
        <v>0</v>
      </c>
      <c r="K555" t="n">
        <v>0</v>
      </c>
      <c r="L555" t="n">
        <v>0</v>
      </c>
      <c r="M555" t="n">
        <v>0</v>
      </c>
      <c r="N555" t="n">
        <v>0</v>
      </c>
      <c r="O555" t="n">
        <v>0</v>
      </c>
      <c r="P555" t="n">
        <v>0</v>
      </c>
      <c r="Q555" t="n">
        <v>0</v>
      </c>
      <c r="R555" s="2" t="inlineStr"/>
    </row>
    <row r="556" ht="15" customHeight="1">
      <c r="A556" t="inlineStr">
        <is>
          <t>A 60541-2024</t>
        </is>
      </c>
      <c r="B556" s="1" t="n">
        <v>45643</v>
      </c>
      <c r="C556" s="1" t="n">
        <v>45891</v>
      </c>
      <c r="D556" t="inlineStr">
        <is>
          <t>VÄSTMANLANDS LÄN</t>
        </is>
      </c>
      <c r="E556" t="inlineStr">
        <is>
          <t>SALA</t>
        </is>
      </c>
      <c r="G556" t="n">
        <v>10.6</v>
      </c>
      <c r="H556" t="n">
        <v>0</v>
      </c>
      <c r="I556" t="n">
        <v>0</v>
      </c>
      <c r="J556" t="n">
        <v>0</v>
      </c>
      <c r="K556" t="n">
        <v>0</v>
      </c>
      <c r="L556" t="n">
        <v>0</v>
      </c>
      <c r="M556" t="n">
        <v>0</v>
      </c>
      <c r="N556" t="n">
        <v>0</v>
      </c>
      <c r="O556" t="n">
        <v>0</v>
      </c>
      <c r="P556" t="n">
        <v>0</v>
      </c>
      <c r="Q556" t="n">
        <v>0</v>
      </c>
      <c r="R556" s="2" t="inlineStr"/>
    </row>
    <row r="557" ht="15" customHeight="1">
      <c r="A557" t="inlineStr">
        <is>
          <t>A 36060-2025</t>
        </is>
      </c>
      <c r="B557" s="1" t="n">
        <v>45866.39469907407</v>
      </c>
      <c r="C557" s="1" t="n">
        <v>45891</v>
      </c>
      <c r="D557" t="inlineStr">
        <is>
          <t>VÄSTMANLANDS LÄN</t>
        </is>
      </c>
      <c r="E557" t="inlineStr">
        <is>
          <t>SALA</t>
        </is>
      </c>
      <c r="F557" t="inlineStr">
        <is>
          <t>Kommuner</t>
        </is>
      </c>
      <c r="G557" t="n">
        <v>4.3</v>
      </c>
      <c r="H557" t="n">
        <v>0</v>
      </c>
      <c r="I557" t="n">
        <v>0</v>
      </c>
      <c r="J557" t="n">
        <v>0</v>
      </c>
      <c r="K557" t="n">
        <v>0</v>
      </c>
      <c r="L557" t="n">
        <v>0</v>
      </c>
      <c r="M557" t="n">
        <v>0</v>
      </c>
      <c r="N557" t="n">
        <v>0</v>
      </c>
      <c r="O557" t="n">
        <v>0</v>
      </c>
      <c r="P557" t="n">
        <v>0</v>
      </c>
      <c r="Q557" t="n">
        <v>0</v>
      </c>
      <c r="R557" s="2" t="inlineStr"/>
    </row>
    <row r="558" ht="15" customHeight="1">
      <c r="A558" t="inlineStr">
        <is>
          <t>A 29826-2025</t>
        </is>
      </c>
      <c r="B558" s="1" t="n">
        <v>45825.85761574074</v>
      </c>
      <c r="C558" s="1" t="n">
        <v>45891</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16693-2023</t>
        </is>
      </c>
      <c r="B559" s="1" t="n">
        <v>45028</v>
      </c>
      <c r="C559" s="1" t="n">
        <v>45891</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11631-2023</t>
        </is>
      </c>
      <c r="B560" s="1" t="n">
        <v>44994.44001157407</v>
      </c>
      <c r="C560" s="1" t="n">
        <v>45891</v>
      </c>
      <c r="D560" t="inlineStr">
        <is>
          <t>VÄSTMANLANDS LÄN</t>
        </is>
      </c>
      <c r="E560" t="inlineStr">
        <is>
          <t>SALA</t>
        </is>
      </c>
      <c r="F560" t="inlineStr">
        <is>
          <t>Kommuner</t>
        </is>
      </c>
      <c r="G560" t="n">
        <v>1.9</v>
      </c>
      <c r="H560" t="n">
        <v>0</v>
      </c>
      <c r="I560" t="n">
        <v>0</v>
      </c>
      <c r="J560" t="n">
        <v>0</v>
      </c>
      <c r="K560" t="n">
        <v>0</v>
      </c>
      <c r="L560" t="n">
        <v>0</v>
      </c>
      <c r="M560" t="n">
        <v>0</v>
      </c>
      <c r="N560" t="n">
        <v>0</v>
      </c>
      <c r="O560" t="n">
        <v>0</v>
      </c>
      <c r="P560" t="n">
        <v>0</v>
      </c>
      <c r="Q560" t="n">
        <v>0</v>
      </c>
      <c r="R560" s="2" t="inlineStr"/>
    </row>
    <row r="561" ht="15" customHeight="1">
      <c r="A561" t="inlineStr">
        <is>
          <t>A 23182-2022</t>
        </is>
      </c>
      <c r="B561" s="1" t="n">
        <v>44719.79707175926</v>
      </c>
      <c r="C561" s="1" t="n">
        <v>45891</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57371-2022</t>
        </is>
      </c>
      <c r="B562" s="1" t="n">
        <v>44896.43832175926</v>
      </c>
      <c r="C562" s="1" t="n">
        <v>45891</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29691-2025</t>
        </is>
      </c>
      <c r="B563" s="1" t="n">
        <v>45825.53645833334</v>
      </c>
      <c r="C563" s="1" t="n">
        <v>45891</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29972-2025</t>
        </is>
      </c>
      <c r="B564" s="1" t="n">
        <v>45826</v>
      </c>
      <c r="C564" s="1" t="n">
        <v>45891</v>
      </c>
      <c r="D564" t="inlineStr">
        <is>
          <t>VÄSTMANLANDS LÄN</t>
        </is>
      </c>
      <c r="E564" t="inlineStr">
        <is>
          <t>SALA</t>
        </is>
      </c>
      <c r="G564" t="n">
        <v>2.7</v>
      </c>
      <c r="H564" t="n">
        <v>0</v>
      </c>
      <c r="I564" t="n">
        <v>0</v>
      </c>
      <c r="J564" t="n">
        <v>0</v>
      </c>
      <c r="K564" t="n">
        <v>0</v>
      </c>
      <c r="L564" t="n">
        <v>0</v>
      </c>
      <c r="M564" t="n">
        <v>0</v>
      </c>
      <c r="N564" t="n">
        <v>0</v>
      </c>
      <c r="O564" t="n">
        <v>0</v>
      </c>
      <c r="P564" t="n">
        <v>0</v>
      </c>
      <c r="Q564" t="n">
        <v>0</v>
      </c>
      <c r="R564" s="2" t="inlineStr"/>
    </row>
    <row r="565" ht="15" customHeight="1">
      <c r="A565" t="inlineStr">
        <is>
          <t>A 62648-2022</t>
        </is>
      </c>
      <c r="B565" s="1" t="n">
        <v>44917</v>
      </c>
      <c r="C565" s="1" t="n">
        <v>45891</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1934-2023</t>
        </is>
      </c>
      <c r="B566" s="1" t="n">
        <v>44939.43024305555</v>
      </c>
      <c r="C566" s="1" t="n">
        <v>45891</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11927-2025</t>
        </is>
      </c>
      <c r="B567" s="1" t="n">
        <v>45728.5137962963</v>
      </c>
      <c r="C567" s="1" t="n">
        <v>45891</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60823-2024</t>
        </is>
      </c>
      <c r="B568" s="1" t="n">
        <v>45644</v>
      </c>
      <c r="C568" s="1" t="n">
        <v>45891</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61717-2024</t>
        </is>
      </c>
      <c r="B569" s="1" t="n">
        <v>45648</v>
      </c>
      <c r="C569" s="1" t="n">
        <v>45891</v>
      </c>
      <c r="D569" t="inlineStr">
        <is>
          <t>VÄSTMANLANDS LÄN</t>
        </is>
      </c>
      <c r="E569" t="inlineStr">
        <is>
          <t>SALA</t>
        </is>
      </c>
      <c r="G569" t="n">
        <v>3.7</v>
      </c>
      <c r="H569" t="n">
        <v>0</v>
      </c>
      <c r="I569" t="n">
        <v>0</v>
      </c>
      <c r="J569" t="n">
        <v>0</v>
      </c>
      <c r="K569" t="n">
        <v>0</v>
      </c>
      <c r="L569" t="n">
        <v>0</v>
      </c>
      <c r="M569" t="n">
        <v>0</v>
      </c>
      <c r="N569" t="n">
        <v>0</v>
      </c>
      <c r="O569" t="n">
        <v>0</v>
      </c>
      <c r="P569" t="n">
        <v>0</v>
      </c>
      <c r="Q569" t="n">
        <v>0</v>
      </c>
      <c r="R569" s="2" t="inlineStr"/>
    </row>
    <row r="570" ht="15" customHeight="1">
      <c r="A570" t="inlineStr">
        <is>
          <t>A 96-2024</t>
        </is>
      </c>
      <c r="B570" s="1" t="n">
        <v>45293.85872685185</v>
      </c>
      <c r="C570" s="1" t="n">
        <v>45891</v>
      </c>
      <c r="D570" t="inlineStr">
        <is>
          <t>VÄSTMANLANDS LÄN</t>
        </is>
      </c>
      <c r="E570" t="inlineStr">
        <is>
          <t>SALA</t>
        </is>
      </c>
      <c r="G570" t="n">
        <v>1.1</v>
      </c>
      <c r="H570" t="n">
        <v>0</v>
      </c>
      <c r="I570" t="n">
        <v>0</v>
      </c>
      <c r="J570" t="n">
        <v>0</v>
      </c>
      <c r="K570" t="n">
        <v>0</v>
      </c>
      <c r="L570" t="n">
        <v>0</v>
      </c>
      <c r="M570" t="n">
        <v>0</v>
      </c>
      <c r="N570" t="n">
        <v>0</v>
      </c>
      <c r="O570" t="n">
        <v>0</v>
      </c>
      <c r="P570" t="n">
        <v>0</v>
      </c>
      <c r="Q570" t="n">
        <v>0</v>
      </c>
      <c r="R570" s="2" t="inlineStr"/>
    </row>
    <row r="571" ht="15" customHeight="1">
      <c r="A571" t="inlineStr">
        <is>
          <t>A 56548-2024</t>
        </is>
      </c>
      <c r="B571" s="1" t="n">
        <v>45625</v>
      </c>
      <c r="C571" s="1" t="n">
        <v>45891</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47086-2022</t>
        </is>
      </c>
      <c r="B572" s="1" t="n">
        <v>44852</v>
      </c>
      <c r="C572" s="1" t="n">
        <v>45891</v>
      </c>
      <c r="D572" t="inlineStr">
        <is>
          <t>VÄSTMANLANDS LÄN</t>
        </is>
      </c>
      <c r="E572" t="inlineStr">
        <is>
          <t>SALA</t>
        </is>
      </c>
      <c r="G572" t="n">
        <v>12.5</v>
      </c>
      <c r="H572" t="n">
        <v>0</v>
      </c>
      <c r="I572" t="n">
        <v>0</v>
      </c>
      <c r="J572" t="n">
        <v>0</v>
      </c>
      <c r="K572" t="n">
        <v>0</v>
      </c>
      <c r="L572" t="n">
        <v>0</v>
      </c>
      <c r="M572" t="n">
        <v>0</v>
      </c>
      <c r="N572" t="n">
        <v>0</v>
      </c>
      <c r="O572" t="n">
        <v>0</v>
      </c>
      <c r="P572" t="n">
        <v>0</v>
      </c>
      <c r="Q572" t="n">
        <v>0</v>
      </c>
      <c r="R572" s="2" t="inlineStr"/>
    </row>
    <row r="573" ht="15" customHeight="1">
      <c r="A573" t="inlineStr">
        <is>
          <t>A 23374-2023</t>
        </is>
      </c>
      <c r="B573" s="1" t="n">
        <v>45076.4399537037</v>
      </c>
      <c r="C573" s="1" t="n">
        <v>45891</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61874-2021</t>
        </is>
      </c>
      <c r="B574" s="1" t="n">
        <v>44502</v>
      </c>
      <c r="C574" s="1" t="n">
        <v>45891</v>
      </c>
      <c r="D574" t="inlineStr">
        <is>
          <t>VÄSTMANLANDS LÄN</t>
        </is>
      </c>
      <c r="E574" t="inlineStr">
        <is>
          <t>SALA</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9856-2022</t>
        </is>
      </c>
      <c r="B575" s="1" t="n">
        <v>44620</v>
      </c>
      <c r="C575" s="1" t="n">
        <v>45891</v>
      </c>
      <c r="D575" t="inlineStr">
        <is>
          <t>VÄSTMANLANDS LÄN</t>
        </is>
      </c>
      <c r="E575" t="inlineStr">
        <is>
          <t>SALA</t>
        </is>
      </c>
      <c r="G575" t="n">
        <v>2.4</v>
      </c>
      <c r="H575" t="n">
        <v>0</v>
      </c>
      <c r="I575" t="n">
        <v>0</v>
      </c>
      <c r="J575" t="n">
        <v>0</v>
      </c>
      <c r="K575" t="n">
        <v>0</v>
      </c>
      <c r="L575" t="n">
        <v>0</v>
      </c>
      <c r="M575" t="n">
        <v>0</v>
      </c>
      <c r="N575" t="n">
        <v>0</v>
      </c>
      <c r="O575" t="n">
        <v>0</v>
      </c>
      <c r="P575" t="n">
        <v>0</v>
      </c>
      <c r="Q575" t="n">
        <v>0</v>
      </c>
      <c r="R575" s="2" t="inlineStr"/>
    </row>
    <row r="576" ht="15" customHeight="1">
      <c r="A576" t="inlineStr">
        <is>
          <t>A 30874-2025</t>
        </is>
      </c>
      <c r="B576" s="1" t="n">
        <v>45832.34430555555</v>
      </c>
      <c r="C576" s="1" t="n">
        <v>45891</v>
      </c>
      <c r="D576" t="inlineStr">
        <is>
          <t>VÄSTMANLANDS LÄN</t>
        </is>
      </c>
      <c r="E576" t="inlineStr">
        <is>
          <t>SALA</t>
        </is>
      </c>
      <c r="G576" t="n">
        <v>8.4</v>
      </c>
      <c r="H576" t="n">
        <v>0</v>
      </c>
      <c r="I576" t="n">
        <v>0</v>
      </c>
      <c r="J576" t="n">
        <v>0</v>
      </c>
      <c r="K576" t="n">
        <v>0</v>
      </c>
      <c r="L576" t="n">
        <v>0</v>
      </c>
      <c r="M576" t="n">
        <v>0</v>
      </c>
      <c r="N576" t="n">
        <v>0</v>
      </c>
      <c r="O576" t="n">
        <v>0</v>
      </c>
      <c r="P576" t="n">
        <v>0</v>
      </c>
      <c r="Q576" t="n">
        <v>0</v>
      </c>
      <c r="R576" s="2" t="inlineStr"/>
    </row>
    <row r="577" ht="15" customHeight="1">
      <c r="A577" t="inlineStr">
        <is>
          <t>A 16159-2024</t>
        </is>
      </c>
      <c r="B577" s="1" t="n">
        <v>45406</v>
      </c>
      <c r="C577" s="1" t="n">
        <v>45891</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50241-2023</t>
        </is>
      </c>
      <c r="B578" s="1" t="n">
        <v>45216</v>
      </c>
      <c r="C578" s="1" t="n">
        <v>45891</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3332-2024</t>
        </is>
      </c>
      <c r="B579" s="1" t="n">
        <v>45317</v>
      </c>
      <c r="C579" s="1" t="n">
        <v>45891</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37017-2025</t>
        </is>
      </c>
      <c r="B580" s="1" t="n">
        <v>45874</v>
      </c>
      <c r="C580" s="1" t="n">
        <v>45891</v>
      </c>
      <c r="D580" t="inlineStr">
        <is>
          <t>VÄSTMANLANDS LÄN</t>
        </is>
      </c>
      <c r="E580" t="inlineStr">
        <is>
          <t>SALA</t>
        </is>
      </c>
      <c r="G580" t="n">
        <v>11.1</v>
      </c>
      <c r="H580" t="n">
        <v>0</v>
      </c>
      <c r="I580" t="n">
        <v>0</v>
      </c>
      <c r="J580" t="n">
        <v>0</v>
      </c>
      <c r="K580" t="n">
        <v>0</v>
      </c>
      <c r="L580" t="n">
        <v>0</v>
      </c>
      <c r="M580" t="n">
        <v>0</v>
      </c>
      <c r="N580" t="n">
        <v>0</v>
      </c>
      <c r="O580" t="n">
        <v>0</v>
      </c>
      <c r="P580" t="n">
        <v>0</v>
      </c>
      <c r="Q580" t="n">
        <v>0</v>
      </c>
      <c r="R580" s="2" t="inlineStr"/>
    </row>
    <row r="581" ht="15" customHeight="1">
      <c r="A581" t="inlineStr">
        <is>
          <t>A 30899-2025</t>
        </is>
      </c>
      <c r="B581" s="1" t="n">
        <v>45832.35767361111</v>
      </c>
      <c r="C581" s="1" t="n">
        <v>45891</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988-2025</t>
        </is>
      </c>
      <c r="B582" s="1" t="n">
        <v>45666.44038194444</v>
      </c>
      <c r="C582" s="1" t="n">
        <v>45891</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30866-2025</t>
        </is>
      </c>
      <c r="B583" s="1" t="n">
        <v>45832.3246875</v>
      </c>
      <c r="C583" s="1" t="n">
        <v>45891</v>
      </c>
      <c r="D583" t="inlineStr">
        <is>
          <t>VÄSTMANLANDS LÄN</t>
        </is>
      </c>
      <c r="E583" t="inlineStr">
        <is>
          <t>SALA</t>
        </is>
      </c>
      <c r="G583" t="n">
        <v>14.3</v>
      </c>
      <c r="H583" t="n">
        <v>0</v>
      </c>
      <c r="I583" t="n">
        <v>0</v>
      </c>
      <c r="J583" t="n">
        <v>0</v>
      </c>
      <c r="K583" t="n">
        <v>0</v>
      </c>
      <c r="L583" t="n">
        <v>0</v>
      </c>
      <c r="M583" t="n">
        <v>0</v>
      </c>
      <c r="N583" t="n">
        <v>0</v>
      </c>
      <c r="O583" t="n">
        <v>0</v>
      </c>
      <c r="P583" t="n">
        <v>0</v>
      </c>
      <c r="Q583" t="n">
        <v>0</v>
      </c>
      <c r="R583" s="2" t="inlineStr"/>
    </row>
    <row r="584" ht="15" customHeight="1">
      <c r="A584" t="inlineStr">
        <is>
          <t>A 35637-2022</t>
        </is>
      </c>
      <c r="B584" s="1" t="n">
        <v>44799.55194444444</v>
      </c>
      <c r="C584" s="1" t="n">
        <v>45891</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19033-2025</t>
        </is>
      </c>
      <c r="B585" s="1" t="n">
        <v>45764.65796296296</v>
      </c>
      <c r="C585" s="1" t="n">
        <v>45891</v>
      </c>
      <c r="D585" t="inlineStr">
        <is>
          <t>VÄSTMANLANDS LÄN</t>
        </is>
      </c>
      <c r="E585" t="inlineStr">
        <is>
          <t>SALA</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5032-2025</t>
        </is>
      </c>
      <c r="B586" s="1" t="n">
        <v>45691</v>
      </c>
      <c r="C586" s="1" t="n">
        <v>45891</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31065-2025</t>
        </is>
      </c>
      <c r="B587" s="1" t="n">
        <v>45832.57571759259</v>
      </c>
      <c r="C587" s="1" t="n">
        <v>45891</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31612-2025</t>
        </is>
      </c>
      <c r="B588" s="1" t="n">
        <v>45833.80056712963</v>
      </c>
      <c r="C588" s="1" t="n">
        <v>45891</v>
      </c>
      <c r="D588" t="inlineStr">
        <is>
          <t>VÄSTMANLANDS LÄN</t>
        </is>
      </c>
      <c r="E588" t="inlineStr">
        <is>
          <t>SALA</t>
        </is>
      </c>
      <c r="G588" t="n">
        <v>6.3</v>
      </c>
      <c r="H588" t="n">
        <v>0</v>
      </c>
      <c r="I588" t="n">
        <v>0</v>
      </c>
      <c r="J588" t="n">
        <v>0</v>
      </c>
      <c r="K588" t="n">
        <v>0</v>
      </c>
      <c r="L588" t="n">
        <v>0</v>
      </c>
      <c r="M588" t="n">
        <v>0</v>
      </c>
      <c r="N588" t="n">
        <v>0</v>
      </c>
      <c r="O588" t="n">
        <v>0</v>
      </c>
      <c r="P588" t="n">
        <v>0</v>
      </c>
      <c r="Q588" t="n">
        <v>0</v>
      </c>
      <c r="R588" s="2" t="inlineStr"/>
    </row>
    <row r="589" ht="15" customHeight="1">
      <c r="A589" t="inlineStr">
        <is>
          <t>A 57883-2024</t>
        </is>
      </c>
      <c r="B589" s="1" t="n">
        <v>45630</v>
      </c>
      <c r="C589" s="1" t="n">
        <v>45891</v>
      </c>
      <c r="D589" t="inlineStr">
        <is>
          <t>VÄSTMANLANDS LÄN</t>
        </is>
      </c>
      <c r="E589" t="inlineStr">
        <is>
          <t>SALA</t>
        </is>
      </c>
      <c r="G589" t="n">
        <v>5.4</v>
      </c>
      <c r="H589" t="n">
        <v>0</v>
      </c>
      <c r="I589" t="n">
        <v>0</v>
      </c>
      <c r="J589" t="n">
        <v>0</v>
      </c>
      <c r="K589" t="n">
        <v>0</v>
      </c>
      <c r="L589" t="n">
        <v>0</v>
      </c>
      <c r="M589" t="n">
        <v>0</v>
      </c>
      <c r="N589" t="n">
        <v>0</v>
      </c>
      <c r="O589" t="n">
        <v>0</v>
      </c>
      <c r="P589" t="n">
        <v>0</v>
      </c>
      <c r="Q589" t="n">
        <v>0</v>
      </c>
      <c r="R589" s="2" t="inlineStr"/>
    </row>
    <row r="590" ht="15" customHeight="1">
      <c r="A590" t="inlineStr">
        <is>
          <t>A 31748-2025</t>
        </is>
      </c>
      <c r="B590" s="1" t="n">
        <v>45834</v>
      </c>
      <c r="C590" s="1" t="n">
        <v>45891</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31288-2025</t>
        </is>
      </c>
      <c r="B591" s="1" t="n">
        <v>45833</v>
      </c>
      <c r="C591" s="1" t="n">
        <v>45891</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31771-2025</t>
        </is>
      </c>
      <c r="B592" s="1" t="n">
        <v>45834.50910879629</v>
      </c>
      <c r="C592" s="1" t="n">
        <v>45891</v>
      </c>
      <c r="D592" t="inlineStr">
        <is>
          <t>VÄSTMANLANDS LÄN</t>
        </is>
      </c>
      <c r="E592" t="inlineStr">
        <is>
          <t>SALA</t>
        </is>
      </c>
      <c r="G592" t="n">
        <v>5.1</v>
      </c>
      <c r="H592" t="n">
        <v>0</v>
      </c>
      <c r="I592" t="n">
        <v>0</v>
      </c>
      <c r="J592" t="n">
        <v>0</v>
      </c>
      <c r="K592" t="n">
        <v>0</v>
      </c>
      <c r="L592" t="n">
        <v>0</v>
      </c>
      <c r="M592" t="n">
        <v>0</v>
      </c>
      <c r="N592" t="n">
        <v>0</v>
      </c>
      <c r="O592" t="n">
        <v>0</v>
      </c>
      <c r="P592" t="n">
        <v>0</v>
      </c>
      <c r="Q592" t="n">
        <v>0</v>
      </c>
      <c r="R592" s="2" t="inlineStr"/>
    </row>
    <row r="593" ht="15" customHeight="1">
      <c r="A593" t="inlineStr">
        <is>
          <t>A 31860-2025</t>
        </is>
      </c>
      <c r="B593" s="1" t="n">
        <v>45834</v>
      </c>
      <c r="C593" s="1" t="n">
        <v>45891</v>
      </c>
      <c r="D593" t="inlineStr">
        <is>
          <t>VÄSTMANLANDS LÄN</t>
        </is>
      </c>
      <c r="E593" t="inlineStr">
        <is>
          <t>SALA</t>
        </is>
      </c>
      <c r="G593" t="n">
        <v>7.4</v>
      </c>
      <c r="H593" t="n">
        <v>0</v>
      </c>
      <c r="I593" t="n">
        <v>0</v>
      </c>
      <c r="J593" t="n">
        <v>0</v>
      </c>
      <c r="K593" t="n">
        <v>0</v>
      </c>
      <c r="L593" t="n">
        <v>0</v>
      </c>
      <c r="M593" t="n">
        <v>0</v>
      </c>
      <c r="N593" t="n">
        <v>0</v>
      </c>
      <c r="O593" t="n">
        <v>0</v>
      </c>
      <c r="P593" t="n">
        <v>0</v>
      </c>
      <c r="Q593" t="n">
        <v>0</v>
      </c>
      <c r="R593" s="2" t="inlineStr"/>
    </row>
    <row r="594" ht="15" customHeight="1">
      <c r="A594" t="inlineStr">
        <is>
          <t>A 31864-2025</t>
        </is>
      </c>
      <c r="B594" s="1" t="n">
        <v>45834.63819444444</v>
      </c>
      <c r="C594" s="1" t="n">
        <v>45891</v>
      </c>
      <c r="D594" t="inlineStr">
        <is>
          <t>VÄSTMANLANDS LÄN</t>
        </is>
      </c>
      <c r="E594" t="inlineStr">
        <is>
          <t>SALA</t>
        </is>
      </c>
      <c r="G594" t="n">
        <v>6.3</v>
      </c>
      <c r="H594" t="n">
        <v>0</v>
      </c>
      <c r="I594" t="n">
        <v>0</v>
      </c>
      <c r="J594" t="n">
        <v>0</v>
      </c>
      <c r="K594" t="n">
        <v>0</v>
      </c>
      <c r="L594" t="n">
        <v>0</v>
      </c>
      <c r="M594" t="n">
        <v>0</v>
      </c>
      <c r="N594" t="n">
        <v>0</v>
      </c>
      <c r="O594" t="n">
        <v>0</v>
      </c>
      <c r="P594" t="n">
        <v>0</v>
      </c>
      <c r="Q594" t="n">
        <v>0</v>
      </c>
      <c r="R594" s="2" t="inlineStr"/>
    </row>
    <row r="595" ht="15" customHeight="1">
      <c r="A595" t="inlineStr">
        <is>
          <t>A 37263-2025</t>
        </is>
      </c>
      <c r="B595" s="1" t="n">
        <v>45876.4584837963</v>
      </c>
      <c r="C595" s="1" t="n">
        <v>45891</v>
      </c>
      <c r="D595" t="inlineStr">
        <is>
          <t>VÄSTMANLANDS LÄN</t>
        </is>
      </c>
      <c r="E595" t="inlineStr">
        <is>
          <t>SALA</t>
        </is>
      </c>
      <c r="G595" t="n">
        <v>2.3</v>
      </c>
      <c r="H595" t="n">
        <v>0</v>
      </c>
      <c r="I595" t="n">
        <v>0</v>
      </c>
      <c r="J595" t="n">
        <v>0</v>
      </c>
      <c r="K595" t="n">
        <v>0</v>
      </c>
      <c r="L595" t="n">
        <v>0</v>
      </c>
      <c r="M595" t="n">
        <v>0</v>
      </c>
      <c r="N595" t="n">
        <v>0</v>
      </c>
      <c r="O595" t="n">
        <v>0</v>
      </c>
      <c r="P595" t="n">
        <v>0</v>
      </c>
      <c r="Q595" t="n">
        <v>0</v>
      </c>
      <c r="R595" s="2" t="inlineStr"/>
    </row>
    <row r="596" ht="15" customHeight="1">
      <c r="A596" t="inlineStr">
        <is>
          <t>A 66908-2021</t>
        </is>
      </c>
      <c r="B596" s="1" t="n">
        <v>44522</v>
      </c>
      <c r="C596" s="1" t="n">
        <v>45891</v>
      </c>
      <c r="D596" t="inlineStr">
        <is>
          <t>VÄSTMANLANDS LÄN</t>
        </is>
      </c>
      <c r="E596" t="inlineStr">
        <is>
          <t>SALA</t>
        </is>
      </c>
      <c r="G596" t="n">
        <v>2.6</v>
      </c>
      <c r="H596" t="n">
        <v>0</v>
      </c>
      <c r="I596" t="n">
        <v>0</v>
      </c>
      <c r="J596" t="n">
        <v>0</v>
      </c>
      <c r="K596" t="n">
        <v>0</v>
      </c>
      <c r="L596" t="n">
        <v>0</v>
      </c>
      <c r="M596" t="n">
        <v>0</v>
      </c>
      <c r="N596" t="n">
        <v>0</v>
      </c>
      <c r="O596" t="n">
        <v>0</v>
      </c>
      <c r="P596" t="n">
        <v>0</v>
      </c>
      <c r="Q596" t="n">
        <v>0</v>
      </c>
      <c r="R596" s="2" t="inlineStr"/>
    </row>
    <row r="597" ht="15" customHeight="1">
      <c r="A597" t="inlineStr">
        <is>
          <t>A 31887-2025</t>
        </is>
      </c>
      <c r="B597" s="1" t="n">
        <v>45834.6608449074</v>
      </c>
      <c r="C597" s="1" t="n">
        <v>45891</v>
      </c>
      <c r="D597" t="inlineStr">
        <is>
          <t>VÄSTMANLANDS LÄN</t>
        </is>
      </c>
      <c r="E597" t="inlineStr">
        <is>
          <t>SALA</t>
        </is>
      </c>
      <c r="G597" t="n">
        <v>7</v>
      </c>
      <c r="H597" t="n">
        <v>0</v>
      </c>
      <c r="I597" t="n">
        <v>0</v>
      </c>
      <c r="J597" t="n">
        <v>0</v>
      </c>
      <c r="K597" t="n">
        <v>0</v>
      </c>
      <c r="L597" t="n">
        <v>0</v>
      </c>
      <c r="M597" t="n">
        <v>0</v>
      </c>
      <c r="N597" t="n">
        <v>0</v>
      </c>
      <c r="O597" t="n">
        <v>0</v>
      </c>
      <c r="P597" t="n">
        <v>0</v>
      </c>
      <c r="Q597" t="n">
        <v>0</v>
      </c>
      <c r="R597" s="2" t="inlineStr"/>
    </row>
    <row r="598" ht="15" customHeight="1">
      <c r="A598" t="inlineStr">
        <is>
          <t>A 37253-2025</t>
        </is>
      </c>
      <c r="B598" s="1" t="n">
        <v>45876.42290509259</v>
      </c>
      <c r="C598" s="1" t="n">
        <v>45891</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50876-2023</t>
        </is>
      </c>
      <c r="B599" s="1" t="n">
        <v>45211</v>
      </c>
      <c r="C599" s="1" t="n">
        <v>45891</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31554-2025</t>
        </is>
      </c>
      <c r="B600" s="1" t="n">
        <v>45833</v>
      </c>
      <c r="C600" s="1" t="n">
        <v>45891</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37103-2025</t>
        </is>
      </c>
      <c r="B601" s="1" t="n">
        <v>45875.47743055555</v>
      </c>
      <c r="C601" s="1" t="n">
        <v>45891</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31762-2025</t>
        </is>
      </c>
      <c r="B602" s="1" t="n">
        <v>45834.49288194445</v>
      </c>
      <c r="C602" s="1" t="n">
        <v>45891</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31608-2025</t>
        </is>
      </c>
      <c r="B603" s="1" t="n">
        <v>45833</v>
      </c>
      <c r="C603" s="1" t="n">
        <v>45891</v>
      </c>
      <c r="D603" t="inlineStr">
        <is>
          <t>VÄSTMANLANDS LÄN</t>
        </is>
      </c>
      <c r="E603" t="inlineStr">
        <is>
          <t>SALA</t>
        </is>
      </c>
      <c r="G603" t="n">
        <v>6.1</v>
      </c>
      <c r="H603" t="n">
        <v>0</v>
      </c>
      <c r="I603" t="n">
        <v>0</v>
      </c>
      <c r="J603" t="n">
        <v>0</v>
      </c>
      <c r="K603" t="n">
        <v>0</v>
      </c>
      <c r="L603" t="n">
        <v>0</v>
      </c>
      <c r="M603" t="n">
        <v>0</v>
      </c>
      <c r="N603" t="n">
        <v>0</v>
      </c>
      <c r="O603" t="n">
        <v>0</v>
      </c>
      <c r="P603" t="n">
        <v>0</v>
      </c>
      <c r="Q603" t="n">
        <v>0</v>
      </c>
      <c r="R603" s="2" t="inlineStr"/>
    </row>
    <row r="604" ht="15" customHeight="1">
      <c r="A604" t="inlineStr">
        <is>
          <t>A 31863-2025</t>
        </is>
      </c>
      <c r="B604" s="1" t="n">
        <v>45834.63303240741</v>
      </c>
      <c r="C604" s="1" t="n">
        <v>45891</v>
      </c>
      <c r="D604" t="inlineStr">
        <is>
          <t>VÄSTMANLANDS LÄN</t>
        </is>
      </c>
      <c r="E604" t="inlineStr">
        <is>
          <t>SALA</t>
        </is>
      </c>
      <c r="G604" t="n">
        <v>2.5</v>
      </c>
      <c r="H604" t="n">
        <v>0</v>
      </c>
      <c r="I604" t="n">
        <v>0</v>
      </c>
      <c r="J604" t="n">
        <v>0</v>
      </c>
      <c r="K604" t="n">
        <v>0</v>
      </c>
      <c r="L604" t="n">
        <v>0</v>
      </c>
      <c r="M604" t="n">
        <v>0</v>
      </c>
      <c r="N604" t="n">
        <v>0</v>
      </c>
      <c r="O604" t="n">
        <v>0</v>
      </c>
      <c r="P604" t="n">
        <v>0</v>
      </c>
      <c r="Q604" t="n">
        <v>0</v>
      </c>
      <c r="R604" s="2" t="inlineStr"/>
    </row>
    <row r="605" ht="15" customHeight="1">
      <c r="A605" t="inlineStr">
        <is>
          <t>A 31610-2025</t>
        </is>
      </c>
      <c r="B605" s="1" t="n">
        <v>45833.78650462963</v>
      </c>
      <c r="C605" s="1" t="n">
        <v>45891</v>
      </c>
      <c r="D605" t="inlineStr">
        <is>
          <t>VÄSTMANLANDS LÄN</t>
        </is>
      </c>
      <c r="E605" t="inlineStr">
        <is>
          <t>SALA</t>
        </is>
      </c>
      <c r="G605" t="n">
        <v>8</v>
      </c>
      <c r="H605" t="n">
        <v>0</v>
      </c>
      <c r="I605" t="n">
        <v>0</v>
      </c>
      <c r="J605" t="n">
        <v>0</v>
      </c>
      <c r="K605" t="n">
        <v>0</v>
      </c>
      <c r="L605" t="n">
        <v>0</v>
      </c>
      <c r="M605" t="n">
        <v>0</v>
      </c>
      <c r="N605" t="n">
        <v>0</v>
      </c>
      <c r="O605" t="n">
        <v>0</v>
      </c>
      <c r="P605" t="n">
        <v>0</v>
      </c>
      <c r="Q605" t="n">
        <v>0</v>
      </c>
      <c r="R605" s="2" t="inlineStr"/>
    </row>
    <row r="606" ht="15" customHeight="1">
      <c r="A606" t="inlineStr">
        <is>
          <t>A 31869-2025</t>
        </is>
      </c>
      <c r="B606" s="1" t="n">
        <v>45834.64555555556</v>
      </c>
      <c r="C606" s="1" t="n">
        <v>45891</v>
      </c>
      <c r="D606" t="inlineStr">
        <is>
          <t>VÄSTMANLANDS LÄN</t>
        </is>
      </c>
      <c r="E606" t="inlineStr">
        <is>
          <t>SALA</t>
        </is>
      </c>
      <c r="G606" t="n">
        <v>17.5</v>
      </c>
      <c r="H606" t="n">
        <v>0</v>
      </c>
      <c r="I606" t="n">
        <v>0</v>
      </c>
      <c r="J606" t="n">
        <v>0</v>
      </c>
      <c r="K606" t="n">
        <v>0</v>
      </c>
      <c r="L606" t="n">
        <v>0</v>
      </c>
      <c r="M606" t="n">
        <v>0</v>
      </c>
      <c r="N606" t="n">
        <v>0</v>
      </c>
      <c r="O606" t="n">
        <v>0</v>
      </c>
      <c r="P606" t="n">
        <v>0</v>
      </c>
      <c r="Q606" t="n">
        <v>0</v>
      </c>
      <c r="R606" s="2" t="inlineStr"/>
    </row>
    <row r="607" ht="15" customHeight="1">
      <c r="A607" t="inlineStr">
        <is>
          <t>A 37624-2024</t>
        </is>
      </c>
      <c r="B607" s="1" t="n">
        <v>45541</v>
      </c>
      <c r="C607" s="1" t="n">
        <v>45891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31296-2025</t>
        </is>
      </c>
      <c r="B608" s="1" t="n">
        <v>45833.36765046296</v>
      </c>
      <c r="C608" s="1" t="n">
        <v>45891</v>
      </c>
      <c r="D608" t="inlineStr">
        <is>
          <t>VÄSTMANLANDS LÄN</t>
        </is>
      </c>
      <c r="E608" t="inlineStr">
        <is>
          <t>SALA</t>
        </is>
      </c>
      <c r="G608" t="n">
        <v>3.7</v>
      </c>
      <c r="H608" t="n">
        <v>0</v>
      </c>
      <c r="I608" t="n">
        <v>0</v>
      </c>
      <c r="J608" t="n">
        <v>0</v>
      </c>
      <c r="K608" t="n">
        <v>0</v>
      </c>
      <c r="L608" t="n">
        <v>0</v>
      </c>
      <c r="M608" t="n">
        <v>0</v>
      </c>
      <c r="N608" t="n">
        <v>0</v>
      </c>
      <c r="O608" t="n">
        <v>0</v>
      </c>
      <c r="P608" t="n">
        <v>0</v>
      </c>
      <c r="Q608" t="n">
        <v>0</v>
      </c>
      <c r="R608" s="2" t="inlineStr"/>
    </row>
    <row r="609" ht="15" customHeight="1">
      <c r="A609" t="inlineStr">
        <is>
          <t>A 40398-2021</t>
        </is>
      </c>
      <c r="B609" s="1" t="n">
        <v>44419</v>
      </c>
      <c r="C609" s="1" t="n">
        <v>45891</v>
      </c>
      <c r="D609" t="inlineStr">
        <is>
          <t>VÄSTMANLANDS LÄN</t>
        </is>
      </c>
      <c r="E609" t="inlineStr">
        <is>
          <t>SALA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41493-2020</t>
        </is>
      </c>
      <c r="B610" s="1" t="n">
        <v>44074</v>
      </c>
      <c r="C610" s="1" t="n">
        <v>45891</v>
      </c>
      <c r="D610" t="inlineStr">
        <is>
          <t>VÄSTMANLANDS LÄN</t>
        </is>
      </c>
      <c r="E610" t="inlineStr">
        <is>
          <t>SALA</t>
        </is>
      </c>
      <c r="G610" t="n">
        <v>2.4</v>
      </c>
      <c r="H610" t="n">
        <v>0</v>
      </c>
      <c r="I610" t="n">
        <v>0</v>
      </c>
      <c r="J610" t="n">
        <v>0</v>
      </c>
      <c r="K610" t="n">
        <v>0</v>
      </c>
      <c r="L610" t="n">
        <v>0</v>
      </c>
      <c r="M610" t="n">
        <v>0</v>
      </c>
      <c r="N610" t="n">
        <v>0</v>
      </c>
      <c r="O610" t="n">
        <v>0</v>
      </c>
      <c r="P610" t="n">
        <v>0</v>
      </c>
      <c r="Q610" t="n">
        <v>0</v>
      </c>
      <c r="R610" s="2" t="inlineStr"/>
    </row>
    <row r="611" ht="15" customHeight="1">
      <c r="A611" t="inlineStr">
        <is>
          <t>A 11696-2025</t>
        </is>
      </c>
      <c r="B611" s="1" t="n">
        <v>45727</v>
      </c>
      <c r="C611" s="1" t="n">
        <v>45891</v>
      </c>
      <c r="D611" t="inlineStr">
        <is>
          <t>VÄSTMANLANDS LÄN</t>
        </is>
      </c>
      <c r="E611" t="inlineStr">
        <is>
          <t>SALA</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6351-2023</t>
        </is>
      </c>
      <c r="B612" s="1" t="n">
        <v>44965</v>
      </c>
      <c r="C612" s="1" t="n">
        <v>45891</v>
      </c>
      <c r="D612" t="inlineStr">
        <is>
          <t>VÄSTMANLANDS LÄN</t>
        </is>
      </c>
      <c r="E612" t="inlineStr">
        <is>
          <t>SALA</t>
        </is>
      </c>
      <c r="F612" t="inlineStr">
        <is>
          <t>Kommuner</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37246-2025</t>
        </is>
      </c>
      <c r="B613" s="1" t="n">
        <v>45876.39435185185</v>
      </c>
      <c r="C613" s="1" t="n">
        <v>45891</v>
      </c>
      <c r="D613" t="inlineStr">
        <is>
          <t>VÄSTMANLANDS LÄN</t>
        </is>
      </c>
      <c r="E613" t="inlineStr">
        <is>
          <t>SALA</t>
        </is>
      </c>
      <c r="G613" t="n">
        <v>2.3</v>
      </c>
      <c r="H613" t="n">
        <v>0</v>
      </c>
      <c r="I613" t="n">
        <v>0</v>
      </c>
      <c r="J613" t="n">
        <v>0</v>
      </c>
      <c r="K613" t="n">
        <v>0</v>
      </c>
      <c r="L613" t="n">
        <v>0</v>
      </c>
      <c r="M613" t="n">
        <v>0</v>
      </c>
      <c r="N613" t="n">
        <v>0</v>
      </c>
      <c r="O613" t="n">
        <v>0</v>
      </c>
      <c r="P613" t="n">
        <v>0</v>
      </c>
      <c r="Q613" t="n">
        <v>0</v>
      </c>
      <c r="R613" s="2" t="inlineStr"/>
    </row>
    <row r="614" ht="15" customHeight="1">
      <c r="A614" t="inlineStr">
        <is>
          <t>A 31573-2025</t>
        </is>
      </c>
      <c r="B614" s="1" t="n">
        <v>45833</v>
      </c>
      <c r="C614" s="1" t="n">
        <v>45891</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27262-2024</t>
        </is>
      </c>
      <c r="B615" s="1" t="n">
        <v>45471</v>
      </c>
      <c r="C615" s="1" t="n">
        <v>45891</v>
      </c>
      <c r="D615" t="inlineStr">
        <is>
          <t>VÄSTMANLANDS LÄN</t>
        </is>
      </c>
      <c r="E615" t="inlineStr">
        <is>
          <t>SALA</t>
        </is>
      </c>
      <c r="G615" t="n">
        <v>0.8</v>
      </c>
      <c r="H615" t="n">
        <v>0</v>
      </c>
      <c r="I615" t="n">
        <v>0</v>
      </c>
      <c r="J615" t="n">
        <v>0</v>
      </c>
      <c r="K615" t="n">
        <v>0</v>
      </c>
      <c r="L615" t="n">
        <v>0</v>
      </c>
      <c r="M615" t="n">
        <v>0</v>
      </c>
      <c r="N615" t="n">
        <v>0</v>
      </c>
      <c r="O615" t="n">
        <v>0</v>
      </c>
      <c r="P615" t="n">
        <v>0</v>
      </c>
      <c r="Q615" t="n">
        <v>0</v>
      </c>
      <c r="R615" s="2" t="inlineStr"/>
    </row>
    <row r="616" ht="15" customHeight="1">
      <c r="A616" t="inlineStr">
        <is>
          <t>A 32201-2025</t>
        </is>
      </c>
      <c r="B616" s="1" t="n">
        <v>45835</v>
      </c>
      <c r="C616" s="1" t="n">
        <v>45891</v>
      </c>
      <c r="D616" t="inlineStr">
        <is>
          <t>VÄSTMANLANDS LÄN</t>
        </is>
      </c>
      <c r="E616" t="inlineStr">
        <is>
          <t>SALA</t>
        </is>
      </c>
      <c r="F616" t="inlineStr">
        <is>
          <t>Bergvik skog öst AB</t>
        </is>
      </c>
      <c r="G616" t="n">
        <v>1.8</v>
      </c>
      <c r="H616" t="n">
        <v>0</v>
      </c>
      <c r="I616" t="n">
        <v>0</v>
      </c>
      <c r="J616" t="n">
        <v>0</v>
      </c>
      <c r="K616" t="n">
        <v>0</v>
      </c>
      <c r="L616" t="n">
        <v>0</v>
      </c>
      <c r="M616" t="n">
        <v>0</v>
      </c>
      <c r="N616" t="n">
        <v>0</v>
      </c>
      <c r="O616" t="n">
        <v>0</v>
      </c>
      <c r="P616" t="n">
        <v>0</v>
      </c>
      <c r="Q616" t="n">
        <v>0</v>
      </c>
      <c r="R616" s="2" t="inlineStr"/>
    </row>
    <row r="617" ht="15" customHeight="1">
      <c r="A617" t="inlineStr">
        <is>
          <t>A 15584-2021</t>
        </is>
      </c>
      <c r="B617" s="1" t="n">
        <v>44285</v>
      </c>
      <c r="C617" s="1" t="n">
        <v>45891</v>
      </c>
      <c r="D617" t="inlineStr">
        <is>
          <t>VÄSTMANLANDS LÄN</t>
        </is>
      </c>
      <c r="E617" t="inlineStr">
        <is>
          <t>SALA</t>
        </is>
      </c>
      <c r="G617" t="n">
        <v>3.4</v>
      </c>
      <c r="H617" t="n">
        <v>0</v>
      </c>
      <c r="I617" t="n">
        <v>0</v>
      </c>
      <c r="J617" t="n">
        <v>0</v>
      </c>
      <c r="K617" t="n">
        <v>0</v>
      </c>
      <c r="L617" t="n">
        <v>0</v>
      </c>
      <c r="M617" t="n">
        <v>0</v>
      </c>
      <c r="N617" t="n">
        <v>0</v>
      </c>
      <c r="O617" t="n">
        <v>0</v>
      </c>
      <c r="P617" t="n">
        <v>0</v>
      </c>
      <c r="Q617" t="n">
        <v>0</v>
      </c>
      <c r="R617" s="2" t="inlineStr"/>
    </row>
    <row r="618" ht="15" customHeight="1">
      <c r="A618" t="inlineStr">
        <is>
          <t>A 32205-2025</t>
        </is>
      </c>
      <c r="B618" s="1" t="n">
        <v>45835</v>
      </c>
      <c r="C618" s="1" t="n">
        <v>45891</v>
      </c>
      <c r="D618" t="inlineStr">
        <is>
          <t>VÄSTMANLANDS LÄN</t>
        </is>
      </c>
      <c r="E618" t="inlineStr">
        <is>
          <t>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32210-2025</t>
        </is>
      </c>
      <c r="B619" s="1" t="n">
        <v>45835</v>
      </c>
      <c r="C619" s="1" t="n">
        <v>45891</v>
      </c>
      <c r="D619" t="inlineStr">
        <is>
          <t>VÄSTMANLANDS LÄN</t>
        </is>
      </c>
      <c r="E619" t="inlineStr">
        <is>
          <t>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43509-2021</t>
        </is>
      </c>
      <c r="B620" s="1" t="n">
        <v>44433</v>
      </c>
      <c r="C620" s="1" t="n">
        <v>45891</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42344-2020</t>
        </is>
      </c>
      <c r="B621" s="1" t="n">
        <v>44076</v>
      </c>
      <c r="C621" s="1" t="n">
        <v>45891</v>
      </c>
      <c r="D621" t="inlineStr">
        <is>
          <t>VÄSTMANLANDS LÄN</t>
        </is>
      </c>
      <c r="E621" t="inlineStr">
        <is>
          <t>SALA</t>
        </is>
      </c>
      <c r="G621" t="n">
        <v>5.1</v>
      </c>
      <c r="H621" t="n">
        <v>0</v>
      </c>
      <c r="I621" t="n">
        <v>0</v>
      </c>
      <c r="J621" t="n">
        <v>0</v>
      </c>
      <c r="K621" t="n">
        <v>0</v>
      </c>
      <c r="L621" t="n">
        <v>0</v>
      </c>
      <c r="M621" t="n">
        <v>0</v>
      </c>
      <c r="N621" t="n">
        <v>0</v>
      </c>
      <c r="O621" t="n">
        <v>0</v>
      </c>
      <c r="P621" t="n">
        <v>0</v>
      </c>
      <c r="Q621" t="n">
        <v>0</v>
      </c>
      <c r="R621" s="2" t="inlineStr"/>
    </row>
    <row r="622" ht="15" customHeight="1">
      <c r="A622" t="inlineStr">
        <is>
          <t>A 42346-2020</t>
        </is>
      </c>
      <c r="B622" s="1" t="n">
        <v>44076</v>
      </c>
      <c r="C622" s="1" t="n">
        <v>45891</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23119-2022</t>
        </is>
      </c>
      <c r="B623" s="1" t="n">
        <v>44719.56697916667</v>
      </c>
      <c r="C623" s="1" t="n">
        <v>45891</v>
      </c>
      <c r="D623" t="inlineStr">
        <is>
          <t>VÄSTMANLANDS LÄN</t>
        </is>
      </c>
      <c r="E623" t="inlineStr">
        <is>
          <t>SALA</t>
        </is>
      </c>
      <c r="G623" t="n">
        <v>7</v>
      </c>
      <c r="H623" t="n">
        <v>0</v>
      </c>
      <c r="I623" t="n">
        <v>0</v>
      </c>
      <c r="J623" t="n">
        <v>0</v>
      </c>
      <c r="K623" t="n">
        <v>0</v>
      </c>
      <c r="L623" t="n">
        <v>0</v>
      </c>
      <c r="M623" t="n">
        <v>0</v>
      </c>
      <c r="N623" t="n">
        <v>0</v>
      </c>
      <c r="O623" t="n">
        <v>0</v>
      </c>
      <c r="P623" t="n">
        <v>0</v>
      </c>
      <c r="Q623" t="n">
        <v>0</v>
      </c>
      <c r="R623" s="2" t="inlineStr"/>
    </row>
    <row r="624" ht="15" customHeight="1">
      <c r="A624" t="inlineStr">
        <is>
          <t>A 32286-2025</t>
        </is>
      </c>
      <c r="B624" s="1" t="n">
        <v>45835</v>
      </c>
      <c r="C624" s="1" t="n">
        <v>45891</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32207-2025</t>
        </is>
      </c>
      <c r="B625" s="1" t="n">
        <v>45835</v>
      </c>
      <c r="C625" s="1" t="n">
        <v>45891</v>
      </c>
      <c r="D625" t="inlineStr">
        <is>
          <t>VÄSTMANLANDS LÄN</t>
        </is>
      </c>
      <c r="E625" t="inlineStr">
        <is>
          <t>SALA</t>
        </is>
      </c>
      <c r="F625" t="inlineStr">
        <is>
          <t>Bergvik skog öst AB</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43751-2021</t>
        </is>
      </c>
      <c r="B626" s="1" t="n">
        <v>44433</v>
      </c>
      <c r="C626" s="1" t="n">
        <v>45891</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59483-2022</t>
        </is>
      </c>
      <c r="B627" s="1" t="n">
        <v>44907.45679398148</v>
      </c>
      <c r="C627" s="1" t="n">
        <v>45891</v>
      </c>
      <c r="D627" t="inlineStr">
        <is>
          <t>VÄSTMANLANDS LÄN</t>
        </is>
      </c>
      <c r="E627" t="inlineStr">
        <is>
          <t>SALA</t>
        </is>
      </c>
      <c r="G627" t="n">
        <v>5.2</v>
      </c>
      <c r="H627" t="n">
        <v>0</v>
      </c>
      <c r="I627" t="n">
        <v>0</v>
      </c>
      <c r="J627" t="n">
        <v>0</v>
      </c>
      <c r="K627" t="n">
        <v>0</v>
      </c>
      <c r="L627" t="n">
        <v>0</v>
      </c>
      <c r="M627" t="n">
        <v>0</v>
      </c>
      <c r="N627" t="n">
        <v>0</v>
      </c>
      <c r="O627" t="n">
        <v>0</v>
      </c>
      <c r="P627" t="n">
        <v>0</v>
      </c>
      <c r="Q627" t="n">
        <v>0</v>
      </c>
      <c r="R627" s="2" t="inlineStr"/>
    </row>
    <row r="628" ht="15" customHeight="1">
      <c r="A628" t="inlineStr">
        <is>
          <t>A 37590-2025</t>
        </is>
      </c>
      <c r="B628" s="1" t="n">
        <v>45880.41138888889</v>
      </c>
      <c r="C628" s="1" t="n">
        <v>45891</v>
      </c>
      <c r="D628" t="inlineStr">
        <is>
          <t>VÄSTMANLANDS LÄN</t>
        </is>
      </c>
      <c r="E628" t="inlineStr">
        <is>
          <t>SALA</t>
        </is>
      </c>
      <c r="G628" t="n">
        <v>2.2</v>
      </c>
      <c r="H628" t="n">
        <v>0</v>
      </c>
      <c r="I628" t="n">
        <v>0</v>
      </c>
      <c r="J628" t="n">
        <v>0</v>
      </c>
      <c r="K628" t="n">
        <v>0</v>
      </c>
      <c r="L628" t="n">
        <v>0</v>
      </c>
      <c r="M628" t="n">
        <v>0</v>
      </c>
      <c r="N628" t="n">
        <v>0</v>
      </c>
      <c r="O628" t="n">
        <v>0</v>
      </c>
      <c r="P628" t="n">
        <v>0</v>
      </c>
      <c r="Q628" t="n">
        <v>0</v>
      </c>
      <c r="R628" s="2" t="inlineStr"/>
    </row>
    <row r="629" ht="15" customHeight="1">
      <c r="A629" t="inlineStr">
        <is>
          <t>A 37593-2025</t>
        </is>
      </c>
      <c r="B629" s="1" t="n">
        <v>45880.41325231481</v>
      </c>
      <c r="C629" s="1" t="n">
        <v>45891</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73673-2021</t>
        </is>
      </c>
      <c r="B630" s="1" t="n">
        <v>44552.46501157407</v>
      </c>
      <c r="C630" s="1" t="n">
        <v>45891</v>
      </c>
      <c r="D630" t="inlineStr">
        <is>
          <t>VÄSTMANLANDS LÄN</t>
        </is>
      </c>
      <c r="E630" t="inlineStr">
        <is>
          <t>SALA</t>
        </is>
      </c>
      <c r="G630" t="n">
        <v>11.4</v>
      </c>
      <c r="H630" t="n">
        <v>0</v>
      </c>
      <c r="I630" t="n">
        <v>0</v>
      </c>
      <c r="J630" t="n">
        <v>0</v>
      </c>
      <c r="K630" t="n">
        <v>0</v>
      </c>
      <c r="L630" t="n">
        <v>0</v>
      </c>
      <c r="M630" t="n">
        <v>0</v>
      </c>
      <c r="N630" t="n">
        <v>0</v>
      </c>
      <c r="O630" t="n">
        <v>0</v>
      </c>
      <c r="P630" t="n">
        <v>0</v>
      </c>
      <c r="Q630" t="n">
        <v>0</v>
      </c>
      <c r="R630" s="2" t="inlineStr"/>
    </row>
    <row r="631" ht="15" customHeight="1">
      <c r="A631" t="inlineStr">
        <is>
          <t>A 922-2025</t>
        </is>
      </c>
      <c r="B631" s="1" t="n">
        <v>45665.80069444444</v>
      </c>
      <c r="C631" s="1" t="n">
        <v>45891</v>
      </c>
      <c r="D631" t="inlineStr">
        <is>
          <t>VÄSTMANLANDS LÄN</t>
        </is>
      </c>
      <c r="E631" t="inlineStr">
        <is>
          <t>SALA</t>
        </is>
      </c>
      <c r="G631" t="n">
        <v>6.2</v>
      </c>
      <c r="H631" t="n">
        <v>0</v>
      </c>
      <c r="I631" t="n">
        <v>0</v>
      </c>
      <c r="J631" t="n">
        <v>0</v>
      </c>
      <c r="K631" t="n">
        <v>0</v>
      </c>
      <c r="L631" t="n">
        <v>0</v>
      </c>
      <c r="M631" t="n">
        <v>0</v>
      </c>
      <c r="N631" t="n">
        <v>0</v>
      </c>
      <c r="O631" t="n">
        <v>0</v>
      </c>
      <c r="P631" t="n">
        <v>0</v>
      </c>
      <c r="Q631" t="n">
        <v>0</v>
      </c>
      <c r="R631" s="2" t="inlineStr"/>
    </row>
    <row r="632" ht="15" customHeight="1">
      <c r="A632" t="inlineStr">
        <is>
          <t>A 32902-2025</t>
        </is>
      </c>
      <c r="B632" s="1" t="n">
        <v>45839</v>
      </c>
      <c r="C632" s="1" t="n">
        <v>45891</v>
      </c>
      <c r="D632" t="inlineStr">
        <is>
          <t>VÄSTMANLANDS LÄN</t>
        </is>
      </c>
      <c r="E632" t="inlineStr">
        <is>
          <t>SALA</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4853-2023</t>
        </is>
      </c>
      <c r="B633" s="1" t="n">
        <v>44957.73234953704</v>
      </c>
      <c r="C633" s="1" t="n">
        <v>45891</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1993-2022</t>
        </is>
      </c>
      <c r="B634" s="1" t="n">
        <v>44575</v>
      </c>
      <c r="C634" s="1" t="n">
        <v>45891</v>
      </c>
      <c r="D634" t="inlineStr">
        <is>
          <t>VÄSTMANLANDS LÄN</t>
        </is>
      </c>
      <c r="E634" t="inlineStr">
        <is>
          <t>SALA</t>
        </is>
      </c>
      <c r="G634" t="n">
        <v>1.6</v>
      </c>
      <c r="H634" t="n">
        <v>0</v>
      </c>
      <c r="I634" t="n">
        <v>0</v>
      </c>
      <c r="J634" t="n">
        <v>0</v>
      </c>
      <c r="K634" t="n">
        <v>0</v>
      </c>
      <c r="L634" t="n">
        <v>0</v>
      </c>
      <c r="M634" t="n">
        <v>0</v>
      </c>
      <c r="N634" t="n">
        <v>0</v>
      </c>
      <c r="O634" t="n">
        <v>0</v>
      </c>
      <c r="P634" t="n">
        <v>0</v>
      </c>
      <c r="Q634" t="n">
        <v>0</v>
      </c>
      <c r="R634" s="2" t="inlineStr"/>
    </row>
    <row r="635" ht="15" customHeight="1">
      <c r="A635" t="inlineStr">
        <is>
          <t>A 1793-2023</t>
        </is>
      </c>
      <c r="B635" s="1" t="n">
        <v>44937</v>
      </c>
      <c r="C635" s="1" t="n">
        <v>45891</v>
      </c>
      <c r="D635" t="inlineStr">
        <is>
          <t>VÄSTMANLANDS LÄN</t>
        </is>
      </c>
      <c r="E635" t="inlineStr">
        <is>
          <t>SALA</t>
        </is>
      </c>
      <c r="G635" t="n">
        <v>2.6</v>
      </c>
      <c r="H635" t="n">
        <v>0</v>
      </c>
      <c r="I635" t="n">
        <v>0</v>
      </c>
      <c r="J635" t="n">
        <v>0</v>
      </c>
      <c r="K635" t="n">
        <v>0</v>
      </c>
      <c r="L635" t="n">
        <v>0</v>
      </c>
      <c r="M635" t="n">
        <v>0</v>
      </c>
      <c r="N635" t="n">
        <v>0</v>
      </c>
      <c r="O635" t="n">
        <v>0</v>
      </c>
      <c r="P635" t="n">
        <v>0</v>
      </c>
      <c r="Q635" t="n">
        <v>0</v>
      </c>
      <c r="R635" s="2" t="inlineStr"/>
    </row>
    <row r="636" ht="15" customHeight="1">
      <c r="A636" t="inlineStr">
        <is>
          <t>A 42447-2022</t>
        </is>
      </c>
      <c r="B636" s="1" t="n">
        <v>44831</v>
      </c>
      <c r="C636" s="1" t="n">
        <v>45891</v>
      </c>
      <c r="D636" t="inlineStr">
        <is>
          <t>VÄSTMANLANDS LÄN</t>
        </is>
      </c>
      <c r="E636" t="inlineStr">
        <is>
          <t>SALA</t>
        </is>
      </c>
      <c r="G636" t="n">
        <v>1.1</v>
      </c>
      <c r="H636" t="n">
        <v>0</v>
      </c>
      <c r="I636" t="n">
        <v>0</v>
      </c>
      <c r="J636" t="n">
        <v>0</v>
      </c>
      <c r="K636" t="n">
        <v>0</v>
      </c>
      <c r="L636" t="n">
        <v>0</v>
      </c>
      <c r="M636" t="n">
        <v>0</v>
      </c>
      <c r="N636" t="n">
        <v>0</v>
      </c>
      <c r="O636" t="n">
        <v>0</v>
      </c>
      <c r="P636" t="n">
        <v>0</v>
      </c>
      <c r="Q636" t="n">
        <v>0</v>
      </c>
      <c r="R636" s="2" t="inlineStr"/>
    </row>
    <row r="637" ht="15" customHeight="1">
      <c r="A637" t="inlineStr">
        <is>
          <t>A 38294-2025</t>
        </is>
      </c>
      <c r="B637" s="1" t="n">
        <v>45883.44854166666</v>
      </c>
      <c r="C637" s="1" t="n">
        <v>45891</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11183-2023</t>
        </is>
      </c>
      <c r="B638" s="1" t="n">
        <v>44992.57782407408</v>
      </c>
      <c r="C638" s="1" t="n">
        <v>45891</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45891</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31950-2023</t>
        </is>
      </c>
      <c r="B640" s="1" t="n">
        <v>45107</v>
      </c>
      <c r="C640" s="1" t="n">
        <v>45891</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38574-2025</t>
        </is>
      </c>
      <c r="B641" s="1" t="n">
        <v>45884.46390046296</v>
      </c>
      <c r="C641" s="1" t="n">
        <v>45891</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34069-2025</t>
        </is>
      </c>
      <c r="B642" s="1" t="n">
        <v>45845.43560185185</v>
      </c>
      <c r="C642" s="1" t="n">
        <v>45891</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c r="U642">
        <f>HYPERLINK("https://klasma.github.io/Logging_1981/knärot/A 34069-2025 karta knärot.png", "A 34069-2025")</f>
        <v/>
      </c>
      <c r="V642">
        <f>HYPERLINK("https://klasma.github.io/Logging_1981/klagomål/A 34069-2025 FSC-klagomål.docx", "A 34069-2025")</f>
        <v/>
      </c>
      <c r="W642">
        <f>HYPERLINK("https://klasma.github.io/Logging_1981/klagomålsmail/A 34069-2025 FSC-klagomål mail.docx", "A 34069-2025")</f>
        <v/>
      </c>
      <c r="X642">
        <f>HYPERLINK("https://klasma.github.io/Logging_1981/tillsyn/A 34069-2025 tillsynsbegäran.docx", "A 34069-2025")</f>
        <v/>
      </c>
      <c r="Y642">
        <f>HYPERLINK("https://klasma.github.io/Logging_1981/tillsynsmail/A 34069-2025 tillsynsbegäran mail.docx", "A 34069-2025")</f>
        <v/>
      </c>
    </row>
    <row r="643" ht="15" customHeight="1">
      <c r="A643" t="inlineStr">
        <is>
          <t>A 48710-2024</t>
        </is>
      </c>
      <c r="B643" s="1" t="n">
        <v>45593.53636574074</v>
      </c>
      <c r="C643" s="1" t="n">
        <v>45891</v>
      </c>
      <c r="D643" t="inlineStr">
        <is>
          <t>VÄSTMANLANDS LÄN</t>
        </is>
      </c>
      <c r="E643" t="inlineStr">
        <is>
          <t>SALA</t>
        </is>
      </c>
      <c r="G643" t="n">
        <v>6.5</v>
      </c>
      <c r="H643" t="n">
        <v>0</v>
      </c>
      <c r="I643" t="n">
        <v>0</v>
      </c>
      <c r="J643" t="n">
        <v>0</v>
      </c>
      <c r="K643" t="n">
        <v>0</v>
      </c>
      <c r="L643" t="n">
        <v>0</v>
      </c>
      <c r="M643" t="n">
        <v>0</v>
      </c>
      <c r="N643" t="n">
        <v>0</v>
      </c>
      <c r="O643" t="n">
        <v>0</v>
      </c>
      <c r="P643" t="n">
        <v>0</v>
      </c>
      <c r="Q643" t="n">
        <v>0</v>
      </c>
      <c r="R643" s="2" t="inlineStr"/>
    </row>
    <row r="644" ht="15" customHeight="1">
      <c r="A644" t="inlineStr">
        <is>
          <t>A 23406-2024</t>
        </is>
      </c>
      <c r="B644" s="1" t="n">
        <v>45453.58296296297</v>
      </c>
      <c r="C644" s="1" t="n">
        <v>45891</v>
      </c>
      <c r="D644" t="inlineStr">
        <is>
          <t>VÄSTMANLANDS LÄN</t>
        </is>
      </c>
      <c r="E644" t="inlineStr">
        <is>
          <t>SALA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12246-2023</t>
        </is>
      </c>
      <c r="B645" s="1" t="n">
        <v>44995</v>
      </c>
      <c r="C645" s="1" t="n">
        <v>45891</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57800-2020</t>
        </is>
      </c>
      <c r="B646" s="1" t="n">
        <v>44141</v>
      </c>
      <c r="C646" s="1" t="n">
        <v>45891</v>
      </c>
      <c r="D646" t="inlineStr">
        <is>
          <t>VÄSTMANLANDS LÄN</t>
        </is>
      </c>
      <c r="E646" t="inlineStr">
        <is>
          <t>SALA</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48571-2024</t>
        </is>
      </c>
      <c r="B647" s="1" t="n">
        <v>45591</v>
      </c>
      <c r="C647" s="1" t="n">
        <v>45891</v>
      </c>
      <c r="D647" t="inlineStr">
        <is>
          <t>VÄSTMANLANDS LÄN</t>
        </is>
      </c>
      <c r="E647" t="inlineStr">
        <is>
          <t>SALA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39182-2025</t>
        </is>
      </c>
      <c r="B648" s="1" t="n">
        <v>45888.66204861111</v>
      </c>
      <c r="C648" s="1" t="n">
        <v>45891</v>
      </c>
      <c r="D648" t="inlineStr">
        <is>
          <t>VÄSTMANLANDS LÄN</t>
        </is>
      </c>
      <c r="E648" t="inlineStr">
        <is>
          <t>SALA</t>
        </is>
      </c>
      <c r="F648" t="inlineStr">
        <is>
          <t>Bergvik skog öst AB</t>
        </is>
      </c>
      <c r="G648" t="n">
        <v>1.3</v>
      </c>
      <c r="H648" t="n">
        <v>0</v>
      </c>
      <c r="I648" t="n">
        <v>0</v>
      </c>
      <c r="J648" t="n">
        <v>0</v>
      </c>
      <c r="K648" t="n">
        <v>0</v>
      </c>
      <c r="L648" t="n">
        <v>0</v>
      </c>
      <c r="M648" t="n">
        <v>0</v>
      </c>
      <c r="N648" t="n">
        <v>0</v>
      </c>
      <c r="O648" t="n">
        <v>0</v>
      </c>
      <c r="P648" t="n">
        <v>0</v>
      </c>
      <c r="Q648" t="n">
        <v>0</v>
      </c>
      <c r="R648" s="2" t="inlineStr"/>
    </row>
    <row r="649" ht="15" customHeight="1">
      <c r="A649" t="inlineStr">
        <is>
          <t>A 43362-2023</t>
        </is>
      </c>
      <c r="B649" s="1" t="n">
        <v>45183</v>
      </c>
      <c r="C649" s="1" t="n">
        <v>45891</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15744-2025</t>
        </is>
      </c>
      <c r="B650" s="1" t="n">
        <v>45748</v>
      </c>
      <c r="C650" s="1" t="n">
        <v>45891</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16767-2024</t>
        </is>
      </c>
      <c r="B651" s="1" t="n">
        <v>45411.38171296296</v>
      </c>
      <c r="C651" s="1" t="n">
        <v>45891</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31470-2021</t>
        </is>
      </c>
      <c r="B652" s="1" t="n">
        <v>44369</v>
      </c>
      <c r="C652" s="1" t="n">
        <v>45891</v>
      </c>
      <c r="D652" t="inlineStr">
        <is>
          <t>VÄSTMANLANDS LÄN</t>
        </is>
      </c>
      <c r="E652" t="inlineStr">
        <is>
          <t>SALA</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39167-2025</t>
        </is>
      </c>
      <c r="B653" s="1" t="n">
        <v>45888</v>
      </c>
      <c r="C653" s="1" t="n">
        <v>45891</v>
      </c>
      <c r="D653" t="inlineStr">
        <is>
          <t>VÄSTMANLANDS LÄN</t>
        </is>
      </c>
      <c r="E653" t="inlineStr">
        <is>
          <t>SALA</t>
        </is>
      </c>
      <c r="G653" t="n">
        <v>5.5</v>
      </c>
      <c r="H653" t="n">
        <v>0</v>
      </c>
      <c r="I653" t="n">
        <v>0</v>
      </c>
      <c r="J653" t="n">
        <v>0</v>
      </c>
      <c r="K653" t="n">
        <v>0</v>
      </c>
      <c r="L653" t="n">
        <v>0</v>
      </c>
      <c r="M653" t="n">
        <v>0</v>
      </c>
      <c r="N653" t="n">
        <v>0</v>
      </c>
      <c r="O653" t="n">
        <v>0</v>
      </c>
      <c r="P653" t="n">
        <v>0</v>
      </c>
      <c r="Q653" t="n">
        <v>0</v>
      </c>
      <c r="R653" s="2" t="inlineStr"/>
    </row>
    <row r="654" ht="15" customHeight="1">
      <c r="A654" t="inlineStr">
        <is>
          <t>A 18461-2024</t>
        </is>
      </c>
      <c r="B654" s="1" t="n">
        <v>45425.47435185185</v>
      </c>
      <c r="C654" s="1" t="n">
        <v>45891</v>
      </c>
      <c r="D654" t="inlineStr">
        <is>
          <t>VÄSTMANLANDS LÄN</t>
        </is>
      </c>
      <c r="E654" t="inlineStr">
        <is>
          <t>SALA</t>
        </is>
      </c>
      <c r="G654" t="n">
        <v>1.7</v>
      </c>
      <c r="H654" t="n">
        <v>0</v>
      </c>
      <c r="I654" t="n">
        <v>0</v>
      </c>
      <c r="J654" t="n">
        <v>0</v>
      </c>
      <c r="K654" t="n">
        <v>0</v>
      </c>
      <c r="L654" t="n">
        <v>0</v>
      </c>
      <c r="M654" t="n">
        <v>0</v>
      </c>
      <c r="N654" t="n">
        <v>0</v>
      </c>
      <c r="O654" t="n">
        <v>0</v>
      </c>
      <c r="P654" t="n">
        <v>0</v>
      </c>
      <c r="Q654" t="n">
        <v>0</v>
      </c>
      <c r="R654" s="2" t="inlineStr"/>
    </row>
    <row r="655" ht="15" customHeight="1">
      <c r="A655" t="inlineStr">
        <is>
          <t>A 29230-2022</t>
        </is>
      </c>
      <c r="B655" s="1" t="n">
        <v>44750</v>
      </c>
      <c r="C655" s="1" t="n">
        <v>45891</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9335-2022</t>
        </is>
      </c>
      <c r="B656" s="1" t="n">
        <v>44616.56579861111</v>
      </c>
      <c r="C656" s="1" t="n">
        <v>45891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47479-2024</t>
        </is>
      </c>
      <c r="B657" s="1" t="n">
        <v>45587</v>
      </c>
      <c r="C657" s="1" t="n">
        <v>45891</v>
      </c>
      <c r="D657" t="inlineStr">
        <is>
          <t>VÄSTMANLANDS LÄN</t>
        </is>
      </c>
      <c r="E657" t="inlineStr">
        <is>
          <t>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19065-2022</t>
        </is>
      </c>
      <c r="B658" s="1" t="n">
        <v>44691.44309027777</v>
      </c>
      <c r="C658" s="1" t="n">
        <v>45891</v>
      </c>
      <c r="D658" t="inlineStr">
        <is>
          <t>VÄSTMANLANDS LÄN</t>
        </is>
      </c>
      <c r="E658" t="inlineStr">
        <is>
          <t>SALA</t>
        </is>
      </c>
      <c r="G658" t="n">
        <v>3.4</v>
      </c>
      <c r="H658" t="n">
        <v>0</v>
      </c>
      <c r="I658" t="n">
        <v>0</v>
      </c>
      <c r="J658" t="n">
        <v>0</v>
      </c>
      <c r="K658" t="n">
        <v>0</v>
      </c>
      <c r="L658" t="n">
        <v>0</v>
      </c>
      <c r="M658" t="n">
        <v>0</v>
      </c>
      <c r="N658" t="n">
        <v>0</v>
      </c>
      <c r="O658" t="n">
        <v>0</v>
      </c>
      <c r="P658" t="n">
        <v>0</v>
      </c>
      <c r="Q658" t="n">
        <v>0</v>
      </c>
      <c r="R658" s="2" t="inlineStr"/>
    </row>
    <row r="659" ht="15" customHeight="1">
      <c r="A659" t="inlineStr">
        <is>
          <t>A 22961-2023</t>
        </is>
      </c>
      <c r="B659" s="1" t="n">
        <v>45072</v>
      </c>
      <c r="C659" s="1" t="n">
        <v>45891</v>
      </c>
      <c r="D659" t="inlineStr">
        <is>
          <t>VÄSTMANLANDS LÄN</t>
        </is>
      </c>
      <c r="E659" t="inlineStr">
        <is>
          <t>SALA</t>
        </is>
      </c>
      <c r="G659" t="n">
        <v>2.7</v>
      </c>
      <c r="H659" t="n">
        <v>0</v>
      </c>
      <c r="I659" t="n">
        <v>0</v>
      </c>
      <c r="J659" t="n">
        <v>0</v>
      </c>
      <c r="K659" t="n">
        <v>0</v>
      </c>
      <c r="L659" t="n">
        <v>0</v>
      </c>
      <c r="M659" t="n">
        <v>0</v>
      </c>
      <c r="N659" t="n">
        <v>0</v>
      </c>
      <c r="O659" t="n">
        <v>0</v>
      </c>
      <c r="P659" t="n">
        <v>0</v>
      </c>
      <c r="Q659" t="n">
        <v>0</v>
      </c>
      <c r="R659" s="2" t="inlineStr"/>
    </row>
    <row r="660" ht="15" customHeight="1">
      <c r="A660" t="inlineStr">
        <is>
          <t>A 22963-2023</t>
        </is>
      </c>
      <c r="B660" s="1" t="n">
        <v>45072</v>
      </c>
      <c r="C660" s="1" t="n">
        <v>45891</v>
      </c>
      <c r="D660" t="inlineStr">
        <is>
          <t>VÄSTMANLANDS LÄN</t>
        </is>
      </c>
      <c r="E660" t="inlineStr">
        <is>
          <t>SALA</t>
        </is>
      </c>
      <c r="G660" t="n">
        <v>1.2</v>
      </c>
      <c r="H660" t="n">
        <v>0</v>
      </c>
      <c r="I660" t="n">
        <v>0</v>
      </c>
      <c r="J660" t="n">
        <v>0</v>
      </c>
      <c r="K660" t="n">
        <v>0</v>
      </c>
      <c r="L660" t="n">
        <v>0</v>
      </c>
      <c r="M660" t="n">
        <v>0</v>
      </c>
      <c r="N660" t="n">
        <v>0</v>
      </c>
      <c r="O660" t="n">
        <v>0</v>
      </c>
      <c r="P660" t="n">
        <v>0</v>
      </c>
      <c r="Q660" t="n">
        <v>0</v>
      </c>
      <c r="R660" s="2" t="inlineStr"/>
    </row>
    <row r="661" ht="15" customHeight="1">
      <c r="A661" t="inlineStr">
        <is>
          <t>A 10585-2022</t>
        </is>
      </c>
      <c r="B661" s="1" t="n">
        <v>44624</v>
      </c>
      <c r="C661" s="1" t="n">
        <v>45891</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69236-2021</t>
        </is>
      </c>
      <c r="B662" s="1" t="n">
        <v>44531.4047337963</v>
      </c>
      <c r="C662" s="1" t="n">
        <v>45891</v>
      </c>
      <c r="D662" t="inlineStr">
        <is>
          <t>VÄSTMANLANDS LÄN</t>
        </is>
      </c>
      <c r="E662" t="inlineStr">
        <is>
          <t>SALA</t>
        </is>
      </c>
      <c r="G662" t="n">
        <v>2.8</v>
      </c>
      <c r="H662" t="n">
        <v>0</v>
      </c>
      <c r="I662" t="n">
        <v>0</v>
      </c>
      <c r="J662" t="n">
        <v>0</v>
      </c>
      <c r="K662" t="n">
        <v>0</v>
      </c>
      <c r="L662" t="n">
        <v>0</v>
      </c>
      <c r="M662" t="n">
        <v>0</v>
      </c>
      <c r="N662" t="n">
        <v>0</v>
      </c>
      <c r="O662" t="n">
        <v>0</v>
      </c>
      <c r="P662" t="n">
        <v>0</v>
      </c>
      <c r="Q662" t="n">
        <v>0</v>
      </c>
      <c r="R662" s="2" t="inlineStr"/>
    </row>
    <row r="663" ht="15" customHeight="1">
      <c r="A663" t="inlineStr">
        <is>
          <t>A 48117-2024</t>
        </is>
      </c>
      <c r="B663" s="1" t="n">
        <v>45589</v>
      </c>
      <c r="C663" s="1" t="n">
        <v>45891</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12225-2023</t>
        </is>
      </c>
      <c r="B664" s="1" t="n">
        <v>44995</v>
      </c>
      <c r="C664" s="1" t="n">
        <v>45891</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12252-2023</t>
        </is>
      </c>
      <c r="B665" s="1" t="n">
        <v>44995</v>
      </c>
      <c r="C665" s="1" t="n">
        <v>45891</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6116-2023</t>
        </is>
      </c>
      <c r="B666" s="1" t="n">
        <v>44964</v>
      </c>
      <c r="C666" s="1" t="n">
        <v>45891</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18100-2023</t>
        </is>
      </c>
      <c r="B667" s="1" t="n">
        <v>45040</v>
      </c>
      <c r="C667" s="1" t="n">
        <v>45891</v>
      </c>
      <c r="D667" t="inlineStr">
        <is>
          <t>VÄSTMANLANDS LÄN</t>
        </is>
      </c>
      <c r="E667" t="inlineStr">
        <is>
          <t>SALA</t>
        </is>
      </c>
      <c r="G667" t="n">
        <v>1.8</v>
      </c>
      <c r="H667" t="n">
        <v>0</v>
      </c>
      <c r="I667" t="n">
        <v>0</v>
      </c>
      <c r="J667" t="n">
        <v>0</v>
      </c>
      <c r="K667" t="n">
        <v>0</v>
      </c>
      <c r="L667" t="n">
        <v>0</v>
      </c>
      <c r="M667" t="n">
        <v>0</v>
      </c>
      <c r="N667" t="n">
        <v>0</v>
      </c>
      <c r="O667" t="n">
        <v>0</v>
      </c>
      <c r="P667" t="n">
        <v>0</v>
      </c>
      <c r="Q667" t="n">
        <v>0</v>
      </c>
      <c r="R667" s="2" t="inlineStr"/>
    </row>
    <row r="668" ht="15" customHeight="1">
      <c r="A668" t="inlineStr">
        <is>
          <t>A 13471-2025</t>
        </is>
      </c>
      <c r="B668" s="1" t="n">
        <v>45736.40579861111</v>
      </c>
      <c r="C668" s="1" t="n">
        <v>45891</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26854-2024</t>
        </is>
      </c>
      <c r="B669" s="1" t="n">
        <v>45470</v>
      </c>
      <c r="C669" s="1" t="n">
        <v>45891</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37602-2024</t>
        </is>
      </c>
      <c r="B670" s="1" t="n">
        <v>45541</v>
      </c>
      <c r="C670" s="1" t="n">
        <v>45891</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1985-2022</t>
        </is>
      </c>
      <c r="B671" s="1" t="n">
        <v>44575</v>
      </c>
      <c r="C671" s="1" t="n">
        <v>45891</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6308-2021</t>
        </is>
      </c>
      <c r="B672" s="1" t="n">
        <v>44235</v>
      </c>
      <c r="C672" s="1" t="n">
        <v>45891</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21455-2023</t>
        </is>
      </c>
      <c r="B673" s="1" t="n">
        <v>45058</v>
      </c>
      <c r="C673" s="1" t="n">
        <v>45891</v>
      </c>
      <c r="D673" t="inlineStr">
        <is>
          <t>VÄSTMANLANDS LÄN</t>
        </is>
      </c>
      <c r="E673" t="inlineStr">
        <is>
          <t>SALA</t>
        </is>
      </c>
      <c r="G673" t="n">
        <v>6.4</v>
      </c>
      <c r="H673" t="n">
        <v>0</v>
      </c>
      <c r="I673" t="n">
        <v>0</v>
      </c>
      <c r="J673" t="n">
        <v>0</v>
      </c>
      <c r="K673" t="n">
        <v>0</v>
      </c>
      <c r="L673" t="n">
        <v>0</v>
      </c>
      <c r="M673" t="n">
        <v>0</v>
      </c>
      <c r="N673" t="n">
        <v>0</v>
      </c>
      <c r="O673" t="n">
        <v>0</v>
      </c>
      <c r="P673" t="n">
        <v>0</v>
      </c>
      <c r="Q673" t="n">
        <v>0</v>
      </c>
      <c r="R673" s="2" t="inlineStr"/>
    </row>
    <row r="674" ht="15" customHeight="1">
      <c r="A674" t="inlineStr">
        <is>
          <t>A 4797-2023</t>
        </is>
      </c>
      <c r="B674" s="1" t="n">
        <v>44957</v>
      </c>
      <c r="C674" s="1" t="n">
        <v>45891</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4852-2023</t>
        </is>
      </c>
      <c r="B675" s="1" t="n">
        <v>44957.72496527778</v>
      </c>
      <c r="C675" s="1" t="n">
        <v>45891</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36858-2023</t>
        </is>
      </c>
      <c r="B676" s="1" t="n">
        <v>45154.55184027777</v>
      </c>
      <c r="C676" s="1" t="n">
        <v>45891</v>
      </c>
      <c r="D676" t="inlineStr">
        <is>
          <t>VÄSTMANLANDS LÄN</t>
        </is>
      </c>
      <c r="E676" t="inlineStr">
        <is>
          <t>SALA</t>
        </is>
      </c>
      <c r="G676" t="n">
        <v>2.1</v>
      </c>
      <c r="H676" t="n">
        <v>0</v>
      </c>
      <c r="I676" t="n">
        <v>0</v>
      </c>
      <c r="J676" t="n">
        <v>0</v>
      </c>
      <c r="K676" t="n">
        <v>0</v>
      </c>
      <c r="L676" t="n">
        <v>0</v>
      </c>
      <c r="M676" t="n">
        <v>0</v>
      </c>
      <c r="N676" t="n">
        <v>0</v>
      </c>
      <c r="O676" t="n">
        <v>0</v>
      </c>
      <c r="P676" t="n">
        <v>0</v>
      </c>
      <c r="Q676" t="n">
        <v>0</v>
      </c>
      <c r="R676" s="2" t="inlineStr"/>
    </row>
    <row r="677" ht="15" customHeight="1">
      <c r="A677" t="inlineStr">
        <is>
          <t>A 58701-2021</t>
        </is>
      </c>
      <c r="B677" s="1" t="n">
        <v>44489.46454861111</v>
      </c>
      <c r="C677" s="1" t="n">
        <v>45891</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37337-2024</t>
        </is>
      </c>
      <c r="B678" s="1" t="n">
        <v>45540</v>
      </c>
      <c r="C678" s="1" t="n">
        <v>45891</v>
      </c>
      <c r="D678" t="inlineStr">
        <is>
          <t>VÄSTMANLANDS LÄN</t>
        </is>
      </c>
      <c r="E678" t="inlineStr">
        <is>
          <t>SALA</t>
        </is>
      </c>
      <c r="G678" t="n">
        <v>6.5</v>
      </c>
      <c r="H678" t="n">
        <v>0</v>
      </c>
      <c r="I678" t="n">
        <v>0</v>
      </c>
      <c r="J678" t="n">
        <v>0</v>
      </c>
      <c r="K678" t="n">
        <v>0</v>
      </c>
      <c r="L678" t="n">
        <v>0</v>
      </c>
      <c r="M678" t="n">
        <v>0</v>
      </c>
      <c r="N678" t="n">
        <v>0</v>
      </c>
      <c r="O678" t="n">
        <v>0</v>
      </c>
      <c r="P678" t="n">
        <v>0</v>
      </c>
      <c r="Q678" t="n">
        <v>0</v>
      </c>
      <c r="R678" s="2" t="inlineStr"/>
    </row>
    <row r="679">
      <c r="A679" t="inlineStr">
        <is>
          <t>A 10250-2025</t>
        </is>
      </c>
      <c r="B679" s="1" t="n">
        <v>45720.36165509259</v>
      </c>
      <c r="C679" s="1" t="n">
        <v>45891</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2025-08-22T08:32:14Z</dcterms:created>
  <dcterms:modified xmlns:dcterms="http://purl.org/dc/terms/" xmlns:xsi="http://www.w3.org/2001/XMLSchema-instance" xsi:type="dcterms:W3CDTF">2025-08-22T08:32:14Z</dcterms:modified>
</cp:coreProperties>
</file>