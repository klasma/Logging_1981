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46091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46091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46091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46091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46091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46091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46091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46091</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46091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46091</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46091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46091</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46091</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27488-2023</t>
        </is>
      </c>
      <c r="B16" s="1" t="n">
        <v>45097</v>
      </c>
      <c r="C16" s="1" t="n">
        <v>46091</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26571-2021</t>
        </is>
      </c>
      <c r="B17" s="1" t="n">
        <v>44348</v>
      </c>
      <c r="C17" s="1" t="n">
        <v>46091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46091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46091</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46091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46091</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46091</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62768-2021</t>
        </is>
      </c>
      <c r="B23" s="1" t="n">
        <v>44504</v>
      </c>
      <c r="C23" s="1" t="n">
        <v>46091</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46091</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4264-2024</t>
        </is>
      </c>
      <c r="B25" s="1" t="n">
        <v>45324</v>
      </c>
      <c r="C25" s="1" t="n">
        <v>46091</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3930-2026</t>
        </is>
      </c>
      <c r="B26" s="1" t="n">
        <v>46043</v>
      </c>
      <c r="C26" s="1" t="n">
        <v>46091</v>
      </c>
      <c r="D26" t="inlineStr">
        <is>
          <t>VÄSTMANLANDS LÄN</t>
        </is>
      </c>
      <c r="E26" t="inlineStr">
        <is>
          <t>SALA</t>
        </is>
      </c>
      <c r="G26" t="n">
        <v>17.4</v>
      </c>
      <c r="H26" t="n">
        <v>1</v>
      </c>
      <c r="I26" t="n">
        <v>0</v>
      </c>
      <c r="J26" t="n">
        <v>2</v>
      </c>
      <c r="K26" t="n">
        <v>1</v>
      </c>
      <c r="L26" t="n">
        <v>0</v>
      </c>
      <c r="M26" t="n">
        <v>0</v>
      </c>
      <c r="N26" t="n">
        <v>0</v>
      </c>
      <c r="O26" t="n">
        <v>3</v>
      </c>
      <c r="P26" t="n">
        <v>1</v>
      </c>
      <c r="Q26" t="n">
        <v>3</v>
      </c>
      <c r="R26" s="2" t="inlineStr">
        <is>
          <t>Knärot
Gränsticka
Ullticka</t>
        </is>
      </c>
      <c r="S26">
        <f>HYPERLINK("https://klasma.github.io/Logging_1981/artfynd/A 3930-2026 artfynd.xlsx", "A 3930-2026")</f>
        <v/>
      </c>
      <c r="T26">
        <f>HYPERLINK("https://klasma.github.io/Logging_1981/kartor/A 3930-2026 karta.png", "A 3930-2026")</f>
        <v/>
      </c>
      <c r="U26">
        <f>HYPERLINK("https://klasma.github.io/Logging_1981/knärot/A 3930-2026 karta knärot.png", "A 3930-2026")</f>
        <v/>
      </c>
      <c r="V26">
        <f>HYPERLINK("https://klasma.github.io/Logging_1981/klagomål/A 3930-2026 FSC-klagomål.docx", "A 3930-2026")</f>
        <v/>
      </c>
      <c r="W26">
        <f>HYPERLINK("https://klasma.github.io/Logging_1981/klagomålsmail/A 3930-2026 FSC-klagomål mail.docx", "A 3930-2026")</f>
        <v/>
      </c>
      <c r="X26">
        <f>HYPERLINK("https://klasma.github.io/Logging_1981/tillsyn/A 3930-2026 tillsynsbegäran.docx", "A 3930-2026")</f>
        <v/>
      </c>
      <c r="Y26">
        <f>HYPERLINK("https://klasma.github.io/Logging_1981/tillsynsmail/A 3930-2026 tillsynsbegäran mail.docx", "A 3930-2026")</f>
        <v/>
      </c>
    </row>
    <row r="27" ht="15" customHeight="1">
      <c r="A27" t="inlineStr">
        <is>
          <t>A 35461-2024</t>
        </is>
      </c>
      <c r="B27" s="1" t="n">
        <v>45531</v>
      </c>
      <c r="C27" s="1" t="n">
        <v>46091</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46091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46091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46091</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53048-2025</t>
        </is>
      </c>
      <c r="B31" s="1" t="n">
        <v>45958.36018518519</v>
      </c>
      <c r="C31" s="1" t="n">
        <v>46091</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46091</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12444-2024</t>
        </is>
      </c>
      <c r="B33" s="1" t="n">
        <v>45379.46285879629</v>
      </c>
      <c r="C33" s="1" t="n">
        <v>46091</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13029-2023</t>
        </is>
      </c>
      <c r="B34" s="1" t="n">
        <v>45001</v>
      </c>
      <c r="C34" s="1" t="n">
        <v>46091</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59826-2025</t>
        </is>
      </c>
      <c r="B35" s="1" t="n">
        <v>45992.65416666667</v>
      </c>
      <c r="C35" s="1" t="n">
        <v>46091</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46091</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46091</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15102-2025</t>
        </is>
      </c>
      <c r="B38" s="1" t="n">
        <v>45744.34585648148</v>
      </c>
      <c r="C38" s="1" t="n">
        <v>46091</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44970-2021</t>
        </is>
      </c>
      <c r="B39" s="1" t="n">
        <v>44438.74399305556</v>
      </c>
      <c r="C39" s="1" t="n">
        <v>46091</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46091</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46091</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21738-2025</t>
        </is>
      </c>
      <c r="B42" s="1" t="n">
        <v>45783.59173611111</v>
      </c>
      <c r="C42" s="1" t="n">
        <v>46091</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38255-2025</t>
        </is>
      </c>
      <c r="B43" s="1" t="n">
        <v>45883.38020833334</v>
      </c>
      <c r="C43" s="1" t="n">
        <v>46091</v>
      </c>
      <c r="D43" t="inlineStr">
        <is>
          <t>VÄSTMANLANDS LÄN</t>
        </is>
      </c>
      <c r="E43" t="inlineStr">
        <is>
          <t>SALA</t>
        </is>
      </c>
      <c r="G43" t="n">
        <v>0.9</v>
      </c>
      <c r="H43" t="n">
        <v>1</v>
      </c>
      <c r="I43" t="n">
        <v>0</v>
      </c>
      <c r="J43" t="n">
        <v>0</v>
      </c>
      <c r="K43" t="n">
        <v>1</v>
      </c>
      <c r="L43" t="n">
        <v>0</v>
      </c>
      <c r="M43" t="n">
        <v>0</v>
      </c>
      <c r="N43" t="n">
        <v>0</v>
      </c>
      <c r="O43" t="n">
        <v>1</v>
      </c>
      <c r="P43" t="n">
        <v>1</v>
      </c>
      <c r="Q43" t="n">
        <v>1</v>
      </c>
      <c r="R43" s="2" t="inlineStr">
        <is>
          <t>Knärot</t>
        </is>
      </c>
      <c r="S43">
        <f>HYPERLINK("https://klasma.github.io/Logging_1981/artfynd/A 38255-2025 artfynd.xlsx", "A 38255-2025")</f>
        <v/>
      </c>
      <c r="T43">
        <f>HYPERLINK("https://klasma.github.io/Logging_1981/kartor/A 38255-2025 karta.png", "A 38255-2025")</f>
        <v/>
      </c>
      <c r="U43">
        <f>HYPERLINK("https://klasma.github.io/Logging_1981/knärot/A 38255-2025 karta knärot.png", "A 38255-2025")</f>
        <v/>
      </c>
      <c r="V43">
        <f>HYPERLINK("https://klasma.github.io/Logging_1981/klagomål/A 38255-2025 FSC-klagomål.docx", "A 38255-2025")</f>
        <v/>
      </c>
      <c r="W43">
        <f>HYPERLINK("https://klasma.github.io/Logging_1981/klagomålsmail/A 38255-2025 FSC-klagomål mail.docx", "A 38255-2025")</f>
        <v/>
      </c>
      <c r="X43">
        <f>HYPERLINK("https://klasma.github.io/Logging_1981/tillsyn/A 38255-2025 tillsynsbegäran.docx", "A 38255-2025")</f>
        <v/>
      </c>
      <c r="Y43">
        <f>HYPERLINK("https://klasma.github.io/Logging_1981/tillsynsmail/A 38255-2025 tillsynsbegäran mail.docx", "A 38255-2025")</f>
        <v/>
      </c>
    </row>
    <row r="44" ht="15" customHeight="1">
      <c r="A44" t="inlineStr">
        <is>
          <t>A 56704-2022</t>
        </is>
      </c>
      <c r="B44" s="1" t="n">
        <v>44893.78075231481</v>
      </c>
      <c r="C44" s="1" t="n">
        <v>46091</v>
      </c>
      <c r="D44" t="inlineStr">
        <is>
          <t>VÄSTMANLANDS LÄN</t>
        </is>
      </c>
      <c r="E44" t="inlineStr">
        <is>
          <t>SALA</t>
        </is>
      </c>
      <c r="G44" t="n">
        <v>3.2</v>
      </c>
      <c r="H44" t="n">
        <v>1</v>
      </c>
      <c r="I44" t="n">
        <v>0</v>
      </c>
      <c r="J44" t="n">
        <v>0</v>
      </c>
      <c r="K44" t="n">
        <v>1</v>
      </c>
      <c r="L44" t="n">
        <v>0</v>
      </c>
      <c r="M44" t="n">
        <v>0</v>
      </c>
      <c r="N44" t="n">
        <v>0</v>
      </c>
      <c r="O44" t="n">
        <v>1</v>
      </c>
      <c r="P44" t="n">
        <v>1</v>
      </c>
      <c r="Q44" t="n">
        <v>1</v>
      </c>
      <c r="R44" s="2" t="inlineStr">
        <is>
          <t>Knärot</t>
        </is>
      </c>
      <c r="S44">
        <f>HYPERLINK("https://klasma.github.io/Logging_1981/artfynd/A 56704-2022 artfynd.xlsx", "A 56704-2022")</f>
        <v/>
      </c>
      <c r="T44">
        <f>HYPERLINK("https://klasma.github.io/Logging_1981/kartor/A 56704-2022 karta.png", "A 56704-2022")</f>
        <v/>
      </c>
      <c r="U44">
        <f>HYPERLINK("https://klasma.github.io/Logging_1981/knärot/A 56704-2022 karta knärot.png", "A 56704-2022")</f>
        <v/>
      </c>
      <c r="V44">
        <f>HYPERLINK("https://klasma.github.io/Logging_1981/klagomål/A 56704-2022 FSC-klagomål.docx", "A 56704-2022")</f>
        <v/>
      </c>
      <c r="W44">
        <f>HYPERLINK("https://klasma.github.io/Logging_1981/klagomålsmail/A 56704-2022 FSC-klagomål mail.docx", "A 56704-2022")</f>
        <v/>
      </c>
      <c r="X44">
        <f>HYPERLINK("https://klasma.github.io/Logging_1981/tillsyn/A 56704-2022 tillsynsbegäran.docx", "A 56704-2022")</f>
        <v/>
      </c>
      <c r="Y44">
        <f>HYPERLINK("https://klasma.github.io/Logging_1981/tillsynsmail/A 56704-2022 tillsynsbegäran mail.docx", "A 56704-2022")</f>
        <v/>
      </c>
    </row>
    <row r="45" ht="15" customHeight="1">
      <c r="A45" t="inlineStr">
        <is>
          <t>A 22950-2025</t>
        </is>
      </c>
      <c r="B45" s="1" t="n">
        <v>45790.50728009259</v>
      </c>
      <c r="C45" s="1" t="n">
        <v>46091</v>
      </c>
      <c r="D45" t="inlineStr">
        <is>
          <t>VÄSTMANLANDS LÄN</t>
        </is>
      </c>
      <c r="E45" t="inlineStr">
        <is>
          <t>SALA</t>
        </is>
      </c>
      <c r="G45" t="n">
        <v>6.2</v>
      </c>
      <c r="H45" t="n">
        <v>1</v>
      </c>
      <c r="I45" t="n">
        <v>0</v>
      </c>
      <c r="J45" t="n">
        <v>1</v>
      </c>
      <c r="K45" t="n">
        <v>0</v>
      </c>
      <c r="L45" t="n">
        <v>0</v>
      </c>
      <c r="M45" t="n">
        <v>0</v>
      </c>
      <c r="N45" t="n">
        <v>0</v>
      </c>
      <c r="O45" t="n">
        <v>1</v>
      </c>
      <c r="P45" t="n">
        <v>0</v>
      </c>
      <c r="Q45" t="n">
        <v>1</v>
      </c>
      <c r="R45" s="2" t="inlineStr">
        <is>
          <t>Svartvit flugsnappare</t>
        </is>
      </c>
      <c r="S45">
        <f>HYPERLINK("https://klasma.github.io/Logging_1981/artfynd/A 22950-2025 artfynd.xlsx", "A 22950-2025")</f>
        <v/>
      </c>
      <c r="T45">
        <f>HYPERLINK("https://klasma.github.io/Logging_1981/kartor/A 22950-2025 karta.png", "A 22950-2025")</f>
        <v/>
      </c>
      <c r="V45">
        <f>HYPERLINK("https://klasma.github.io/Logging_1981/klagomål/A 22950-2025 FSC-klagomål.docx", "A 22950-2025")</f>
        <v/>
      </c>
      <c r="W45">
        <f>HYPERLINK("https://klasma.github.io/Logging_1981/klagomålsmail/A 22950-2025 FSC-klagomål mail.docx", "A 22950-2025")</f>
        <v/>
      </c>
      <c r="X45">
        <f>HYPERLINK("https://klasma.github.io/Logging_1981/tillsyn/A 22950-2025 tillsynsbegäran.docx", "A 22950-2025")</f>
        <v/>
      </c>
      <c r="Y45">
        <f>HYPERLINK("https://klasma.github.io/Logging_1981/tillsynsmail/A 22950-2025 tillsynsbegäran mail.docx", "A 22950-2025")</f>
        <v/>
      </c>
      <c r="Z45">
        <f>HYPERLINK("https://klasma.github.io/Logging_1981/fåglar/A 22950-2025 prioriterade fågelarter.docx", "A 22950-2025")</f>
        <v/>
      </c>
    </row>
    <row r="46" ht="15" customHeight="1">
      <c r="A46" t="inlineStr">
        <is>
          <t>A 60852-2024</t>
        </is>
      </c>
      <c r="B46" s="1" t="n">
        <v>45644</v>
      </c>
      <c r="C46" s="1" t="n">
        <v>46091</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53052-2025</t>
        </is>
      </c>
      <c r="B47" s="1" t="n">
        <v>45958.36266203703</v>
      </c>
      <c r="C47" s="1" t="n">
        <v>46091</v>
      </c>
      <c r="D47" t="inlineStr">
        <is>
          <t>VÄSTMANLANDS LÄN</t>
        </is>
      </c>
      <c r="E47" t="inlineStr">
        <is>
          <t>SALA</t>
        </is>
      </c>
      <c r="F47" t="inlineStr">
        <is>
          <t>Sveaskog</t>
        </is>
      </c>
      <c r="G47" t="n">
        <v>1.1</v>
      </c>
      <c r="H47" t="n">
        <v>0</v>
      </c>
      <c r="I47" t="n">
        <v>0</v>
      </c>
      <c r="J47" t="n">
        <v>1</v>
      </c>
      <c r="K47" t="n">
        <v>0</v>
      </c>
      <c r="L47" t="n">
        <v>0</v>
      </c>
      <c r="M47" t="n">
        <v>0</v>
      </c>
      <c r="N47" t="n">
        <v>0</v>
      </c>
      <c r="O47" t="n">
        <v>1</v>
      </c>
      <c r="P47" t="n">
        <v>0</v>
      </c>
      <c r="Q47" t="n">
        <v>1</v>
      </c>
      <c r="R47" s="2" t="inlineStr">
        <is>
          <t>Motaggsvamp</t>
        </is>
      </c>
      <c r="S47">
        <f>HYPERLINK("https://klasma.github.io/Logging_1981/artfynd/A 53052-2025 artfynd.xlsx", "A 53052-2025")</f>
        <v/>
      </c>
      <c r="T47">
        <f>HYPERLINK("https://klasma.github.io/Logging_1981/kartor/A 53052-2025 karta.png", "A 53052-2025")</f>
        <v/>
      </c>
      <c r="V47">
        <f>HYPERLINK("https://klasma.github.io/Logging_1981/klagomål/A 53052-2025 FSC-klagomål.docx", "A 53052-2025")</f>
        <v/>
      </c>
      <c r="W47">
        <f>HYPERLINK("https://klasma.github.io/Logging_1981/klagomålsmail/A 53052-2025 FSC-klagomål mail.docx", "A 53052-2025")</f>
        <v/>
      </c>
      <c r="X47">
        <f>HYPERLINK("https://klasma.github.io/Logging_1981/tillsyn/A 53052-2025 tillsynsbegäran.docx", "A 53052-2025")</f>
        <v/>
      </c>
      <c r="Y47">
        <f>HYPERLINK("https://klasma.github.io/Logging_1981/tillsynsmail/A 53052-2025 tillsynsbegäran mail.docx", "A 53052-2025")</f>
        <v/>
      </c>
    </row>
    <row r="48" ht="15" customHeight="1">
      <c r="A48" t="inlineStr">
        <is>
          <t>A 43175-2023</t>
        </is>
      </c>
      <c r="B48" s="1" t="n">
        <v>45183</v>
      </c>
      <c r="C48" s="1" t="n">
        <v>46091</v>
      </c>
      <c r="D48" t="inlineStr">
        <is>
          <t>VÄSTMANLANDS LÄN</t>
        </is>
      </c>
      <c r="E48" t="inlineStr">
        <is>
          <t>SALA</t>
        </is>
      </c>
      <c r="G48" t="n">
        <v>5.6</v>
      </c>
      <c r="H48" t="n">
        <v>0</v>
      </c>
      <c r="I48" t="n">
        <v>1</v>
      </c>
      <c r="J48" t="n">
        <v>0</v>
      </c>
      <c r="K48" t="n">
        <v>0</v>
      </c>
      <c r="L48" t="n">
        <v>0</v>
      </c>
      <c r="M48" t="n">
        <v>0</v>
      </c>
      <c r="N48" t="n">
        <v>0</v>
      </c>
      <c r="O48" t="n">
        <v>0</v>
      </c>
      <c r="P48" t="n">
        <v>0</v>
      </c>
      <c r="Q48" t="n">
        <v>1</v>
      </c>
      <c r="R48" s="2" t="inlineStr">
        <is>
          <t>Grönpyrola</t>
        </is>
      </c>
      <c r="S48">
        <f>HYPERLINK("https://klasma.github.io/Logging_1981/artfynd/A 43175-2023 artfynd.xlsx", "A 43175-2023")</f>
        <v/>
      </c>
      <c r="T48">
        <f>HYPERLINK("https://klasma.github.io/Logging_1981/kartor/A 43175-2023 karta.png", "A 43175-2023")</f>
        <v/>
      </c>
      <c r="V48">
        <f>HYPERLINK("https://klasma.github.io/Logging_1981/klagomål/A 43175-2023 FSC-klagomål.docx", "A 43175-2023")</f>
        <v/>
      </c>
      <c r="W48">
        <f>HYPERLINK("https://klasma.github.io/Logging_1981/klagomålsmail/A 43175-2023 FSC-klagomål mail.docx", "A 43175-2023")</f>
        <v/>
      </c>
      <c r="X48">
        <f>HYPERLINK("https://klasma.github.io/Logging_1981/tillsyn/A 43175-2023 tillsynsbegäran.docx", "A 43175-2023")</f>
        <v/>
      </c>
      <c r="Y48">
        <f>HYPERLINK("https://klasma.github.io/Logging_1981/tillsynsmail/A 43175-2023 tillsynsbegäran mail.docx", "A 43175-2023")</f>
        <v/>
      </c>
    </row>
    <row r="49" ht="15" customHeight="1">
      <c r="A49" t="inlineStr">
        <is>
          <t>A 41270-2024</t>
        </is>
      </c>
      <c r="B49" s="1" t="n">
        <v>45559</v>
      </c>
      <c r="C49" s="1" t="n">
        <v>46091</v>
      </c>
      <c r="D49" t="inlineStr">
        <is>
          <t>VÄSTMANLANDS LÄN</t>
        </is>
      </c>
      <c r="E49" t="inlineStr">
        <is>
          <t>SALA</t>
        </is>
      </c>
      <c r="G49" t="n">
        <v>15.2</v>
      </c>
      <c r="H49" t="n">
        <v>1</v>
      </c>
      <c r="I49" t="n">
        <v>0</v>
      </c>
      <c r="J49" t="n">
        <v>1</v>
      </c>
      <c r="K49" t="n">
        <v>0</v>
      </c>
      <c r="L49" t="n">
        <v>0</v>
      </c>
      <c r="M49" t="n">
        <v>0</v>
      </c>
      <c r="N49" t="n">
        <v>0</v>
      </c>
      <c r="O49" t="n">
        <v>1</v>
      </c>
      <c r="P49" t="n">
        <v>0</v>
      </c>
      <c r="Q49" t="n">
        <v>1</v>
      </c>
      <c r="R49" s="2" t="inlineStr">
        <is>
          <t>Havsörn</t>
        </is>
      </c>
      <c r="S49">
        <f>HYPERLINK("https://klasma.github.io/Logging_1981/artfynd/A 41270-2024 artfynd.xlsx", "A 41270-2024")</f>
        <v/>
      </c>
      <c r="T49">
        <f>HYPERLINK("https://klasma.github.io/Logging_1981/kartor/A 41270-2024 karta.png", "A 41270-2024")</f>
        <v/>
      </c>
      <c r="V49">
        <f>HYPERLINK("https://klasma.github.io/Logging_1981/klagomål/A 41270-2024 FSC-klagomål.docx", "A 41270-2024")</f>
        <v/>
      </c>
      <c r="W49">
        <f>HYPERLINK("https://klasma.github.io/Logging_1981/klagomålsmail/A 41270-2024 FSC-klagomål mail.docx", "A 41270-2024")</f>
        <v/>
      </c>
      <c r="X49">
        <f>HYPERLINK("https://klasma.github.io/Logging_1981/tillsyn/A 41270-2024 tillsynsbegäran.docx", "A 41270-2024")</f>
        <v/>
      </c>
      <c r="Y49">
        <f>HYPERLINK("https://klasma.github.io/Logging_1981/tillsynsmail/A 41270-2024 tillsynsbegäran mail.docx", "A 41270-2024")</f>
        <v/>
      </c>
      <c r="Z49">
        <f>HYPERLINK("https://klasma.github.io/Logging_1981/fåglar/A 41270-2024 prioriterade fågelarter.docx", "A 41270-2024")</f>
        <v/>
      </c>
    </row>
    <row r="50" ht="15" customHeight="1">
      <c r="A50" t="inlineStr">
        <is>
          <t>A 48705-2025</t>
        </is>
      </c>
      <c r="B50" s="1" t="n">
        <v>45936.62290509259</v>
      </c>
      <c r="C50" s="1" t="n">
        <v>46091</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43068-2024</t>
        </is>
      </c>
      <c r="B51" s="1" t="n">
        <v>45567</v>
      </c>
      <c r="C51" s="1" t="n">
        <v>46091</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50268-2025</t>
        </is>
      </c>
      <c r="B52" s="1" t="n">
        <v>45944.35162037037</v>
      </c>
      <c r="C52" s="1" t="n">
        <v>46091</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32594-2025</t>
        </is>
      </c>
      <c r="B53" s="1" t="n">
        <v>45838</v>
      </c>
      <c r="C53" s="1" t="n">
        <v>46091</v>
      </c>
      <c r="D53" t="inlineStr">
        <is>
          <t>VÄSTMANLANDS LÄN</t>
        </is>
      </c>
      <c r="E53" t="inlineStr">
        <is>
          <t>SALA</t>
        </is>
      </c>
      <c r="F53" t="inlineStr">
        <is>
          <t>Bergvik skog öst AB</t>
        </is>
      </c>
      <c r="G53" t="n">
        <v>0.9</v>
      </c>
      <c r="H53" t="n">
        <v>1</v>
      </c>
      <c r="I53" t="n">
        <v>0</v>
      </c>
      <c r="J53" t="n">
        <v>0</v>
      </c>
      <c r="K53" t="n">
        <v>0</v>
      </c>
      <c r="L53" t="n">
        <v>0</v>
      </c>
      <c r="M53" t="n">
        <v>0</v>
      </c>
      <c r="N53" t="n">
        <v>0</v>
      </c>
      <c r="O53" t="n">
        <v>0</v>
      </c>
      <c r="P53" t="n">
        <v>0</v>
      </c>
      <c r="Q53" t="n">
        <v>1</v>
      </c>
      <c r="R53" s="2" t="inlineStr">
        <is>
          <t>Blåsippa</t>
        </is>
      </c>
      <c r="S53">
        <f>HYPERLINK("https://klasma.github.io/Logging_1981/artfynd/A 32594-2025 artfynd.xlsx", "A 32594-2025")</f>
        <v/>
      </c>
      <c r="T53">
        <f>HYPERLINK("https://klasma.github.io/Logging_1981/kartor/A 32594-2025 karta.png", "A 32594-2025")</f>
        <v/>
      </c>
      <c r="V53">
        <f>HYPERLINK("https://klasma.github.io/Logging_1981/klagomål/A 32594-2025 FSC-klagomål.docx", "A 32594-2025")</f>
        <v/>
      </c>
      <c r="W53">
        <f>HYPERLINK("https://klasma.github.io/Logging_1981/klagomålsmail/A 32594-2025 FSC-klagomål mail.docx", "A 32594-2025")</f>
        <v/>
      </c>
      <c r="X53">
        <f>HYPERLINK("https://klasma.github.io/Logging_1981/tillsyn/A 32594-2025 tillsynsbegäran.docx", "A 32594-2025")</f>
        <v/>
      </c>
      <c r="Y53">
        <f>HYPERLINK("https://klasma.github.io/Logging_1981/tillsynsmail/A 32594-2025 tillsynsbegäran mail.docx", "A 32594-2025")</f>
        <v/>
      </c>
    </row>
    <row r="54" ht="15" customHeight="1">
      <c r="A54" t="inlineStr">
        <is>
          <t>A 7731-2023</t>
        </is>
      </c>
      <c r="B54" s="1" t="n">
        <v>44973</v>
      </c>
      <c r="C54" s="1" t="n">
        <v>46091</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22350-2024</t>
        </is>
      </c>
      <c r="B55" s="1" t="n">
        <v>45446</v>
      </c>
      <c r="C55" s="1" t="n">
        <v>46091</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12509-2023</t>
        </is>
      </c>
      <c r="B56" s="1" t="n">
        <v>44999.95988425926</v>
      </c>
      <c r="C56" s="1" t="n">
        <v>46091</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55995-2025</t>
        </is>
      </c>
      <c r="B57" s="1" t="n">
        <v>45973.56733796297</v>
      </c>
      <c r="C57" s="1" t="n">
        <v>46091</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14775-2023</t>
        </is>
      </c>
      <c r="B58" s="1" t="n">
        <v>45014</v>
      </c>
      <c r="C58" s="1" t="n">
        <v>46091</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46091</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46091</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46091</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7672-2026</t>
        </is>
      </c>
      <c r="B62" s="1" t="n">
        <v>46062.42077546296</v>
      </c>
      <c r="C62" s="1" t="n">
        <v>46091</v>
      </c>
      <c r="D62" t="inlineStr">
        <is>
          <t>VÄSTMANLANDS LÄN</t>
        </is>
      </c>
      <c r="E62" t="inlineStr">
        <is>
          <t>SALA</t>
        </is>
      </c>
      <c r="G62" t="n">
        <v>2.9</v>
      </c>
      <c r="H62" t="n">
        <v>1</v>
      </c>
      <c r="I62" t="n">
        <v>0</v>
      </c>
      <c r="J62" t="n">
        <v>0</v>
      </c>
      <c r="K62" t="n">
        <v>0</v>
      </c>
      <c r="L62" t="n">
        <v>0</v>
      </c>
      <c r="M62" t="n">
        <v>0</v>
      </c>
      <c r="N62" t="n">
        <v>0</v>
      </c>
      <c r="O62" t="n">
        <v>0</v>
      </c>
      <c r="P62" t="n">
        <v>0</v>
      </c>
      <c r="Q62" t="n">
        <v>1</v>
      </c>
      <c r="R62" s="2" t="inlineStr">
        <is>
          <t>Nattviol</t>
        </is>
      </c>
      <c r="S62">
        <f>HYPERLINK("https://klasma.github.io/Logging_1981/artfynd/A 7672-2026 artfynd.xlsx", "A 7672-2026")</f>
        <v/>
      </c>
      <c r="T62">
        <f>HYPERLINK("https://klasma.github.io/Logging_1981/kartor/A 7672-2026 karta.png", "A 7672-2026")</f>
        <v/>
      </c>
      <c r="V62">
        <f>HYPERLINK("https://klasma.github.io/Logging_1981/klagomål/A 7672-2026 FSC-klagomål.docx", "A 7672-2026")</f>
        <v/>
      </c>
      <c r="W62">
        <f>HYPERLINK("https://klasma.github.io/Logging_1981/klagomålsmail/A 7672-2026 FSC-klagomål mail.docx", "A 7672-2026")</f>
        <v/>
      </c>
      <c r="X62">
        <f>HYPERLINK("https://klasma.github.io/Logging_1981/tillsyn/A 7672-2026 tillsynsbegäran.docx", "A 7672-2026")</f>
        <v/>
      </c>
      <c r="Y62">
        <f>HYPERLINK("https://klasma.github.io/Logging_1981/tillsynsmail/A 7672-2026 tillsynsbegäran mail.docx", "A 7672-2026")</f>
        <v/>
      </c>
    </row>
    <row r="63" ht="15" customHeight="1">
      <c r="A63" t="inlineStr">
        <is>
          <t>A 29985-2022</t>
        </is>
      </c>
      <c r="B63" s="1" t="n">
        <v>44756</v>
      </c>
      <c r="C63" s="1" t="n">
        <v>46091</v>
      </c>
      <c r="D63" t="inlineStr">
        <is>
          <t>VÄSTMANLANDS LÄN</t>
        </is>
      </c>
      <c r="E63" t="inlineStr">
        <is>
          <t>SALA</t>
        </is>
      </c>
      <c r="F63" t="inlineStr">
        <is>
          <t>Kommuner</t>
        </is>
      </c>
      <c r="G63" t="n">
        <v>1</v>
      </c>
      <c r="H63" t="n">
        <v>1</v>
      </c>
      <c r="I63" t="n">
        <v>1</v>
      </c>
      <c r="J63" t="n">
        <v>0</v>
      </c>
      <c r="K63" t="n">
        <v>0</v>
      </c>
      <c r="L63" t="n">
        <v>0</v>
      </c>
      <c r="M63" t="n">
        <v>0</v>
      </c>
      <c r="N63" t="n">
        <v>0</v>
      </c>
      <c r="O63" t="n">
        <v>0</v>
      </c>
      <c r="P63" t="n">
        <v>0</v>
      </c>
      <c r="Q63" t="n">
        <v>1</v>
      </c>
      <c r="R63" s="2" t="inlineStr">
        <is>
          <t>Skogsknipprot</t>
        </is>
      </c>
      <c r="S63">
        <f>HYPERLINK("https://klasma.github.io/Logging_1981/artfynd/A 29985-2022 artfynd.xlsx", "A 29985-2022")</f>
        <v/>
      </c>
      <c r="T63">
        <f>HYPERLINK("https://klasma.github.io/Logging_1981/kartor/A 29985-2022 karta.png", "A 29985-2022")</f>
        <v/>
      </c>
      <c r="V63">
        <f>HYPERLINK("https://klasma.github.io/Logging_1981/klagomål/A 29985-2022 FSC-klagomål.docx", "A 29985-2022")</f>
        <v/>
      </c>
      <c r="W63">
        <f>HYPERLINK("https://klasma.github.io/Logging_1981/klagomålsmail/A 29985-2022 FSC-klagomål mail.docx", "A 29985-2022")</f>
        <v/>
      </c>
      <c r="X63">
        <f>HYPERLINK("https://klasma.github.io/Logging_1981/tillsyn/A 29985-2022 tillsynsbegäran.docx", "A 29985-2022")</f>
        <v/>
      </c>
      <c r="Y63">
        <f>HYPERLINK("https://klasma.github.io/Logging_1981/tillsynsmail/A 29985-2022 tillsynsbegäran mail.docx", "A 29985-2022")</f>
        <v/>
      </c>
    </row>
    <row r="64" ht="15" customHeight="1">
      <c r="A64" t="inlineStr">
        <is>
          <t>A 7919-2022</t>
        </is>
      </c>
      <c r="B64" s="1" t="n">
        <v>44608</v>
      </c>
      <c r="C64" s="1" t="n">
        <v>46091</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29727-2023</t>
        </is>
      </c>
      <c r="B65" s="1" t="n">
        <v>45107</v>
      </c>
      <c r="C65" s="1" t="n">
        <v>46091</v>
      </c>
      <c r="D65" t="inlineStr">
        <is>
          <t>VÄSTMANLANDS LÄN</t>
        </is>
      </c>
      <c r="E65" t="inlineStr">
        <is>
          <t>SALA</t>
        </is>
      </c>
      <c r="G65" t="n">
        <v>1.9</v>
      </c>
      <c r="H65" t="n">
        <v>0</v>
      </c>
      <c r="I65" t="n">
        <v>0</v>
      </c>
      <c r="J65" t="n">
        <v>1</v>
      </c>
      <c r="K65" t="n">
        <v>0</v>
      </c>
      <c r="L65" t="n">
        <v>0</v>
      </c>
      <c r="M65" t="n">
        <v>0</v>
      </c>
      <c r="N65" t="n">
        <v>0</v>
      </c>
      <c r="O65" t="n">
        <v>1</v>
      </c>
      <c r="P65" t="n">
        <v>0</v>
      </c>
      <c r="Q65" t="n">
        <v>1</v>
      </c>
      <c r="R65" s="2" t="inlineStr">
        <is>
          <t>Vedtrappmossa</t>
        </is>
      </c>
      <c r="S65">
        <f>HYPERLINK("https://klasma.github.io/Logging_1981/artfynd/A 29727-2023 artfynd.xlsx", "A 29727-2023")</f>
        <v/>
      </c>
      <c r="T65">
        <f>HYPERLINK("https://klasma.github.io/Logging_1981/kartor/A 29727-2023 karta.png", "A 29727-2023")</f>
        <v/>
      </c>
      <c r="V65">
        <f>HYPERLINK("https://klasma.github.io/Logging_1981/klagomål/A 29727-2023 FSC-klagomål.docx", "A 29727-2023")</f>
        <v/>
      </c>
      <c r="W65">
        <f>HYPERLINK("https://klasma.github.io/Logging_1981/klagomålsmail/A 29727-2023 FSC-klagomål mail.docx", "A 29727-2023")</f>
        <v/>
      </c>
      <c r="X65">
        <f>HYPERLINK("https://klasma.github.io/Logging_1981/tillsyn/A 29727-2023 tillsynsbegäran.docx", "A 29727-2023")</f>
        <v/>
      </c>
      <c r="Y65">
        <f>HYPERLINK("https://klasma.github.io/Logging_1981/tillsynsmail/A 29727-2023 tillsynsbegäran mail.docx", "A 29727-2023")</f>
        <v/>
      </c>
    </row>
    <row r="66" ht="15" customHeight="1">
      <c r="A66" t="inlineStr">
        <is>
          <t>A 55550-2023</t>
        </is>
      </c>
      <c r="B66" s="1" t="n">
        <v>45232</v>
      </c>
      <c r="C66" s="1" t="n">
        <v>46091</v>
      </c>
      <c r="D66" t="inlineStr">
        <is>
          <t>VÄSTMANLANDS LÄN</t>
        </is>
      </c>
      <c r="E66" t="inlineStr">
        <is>
          <t>SALA</t>
        </is>
      </c>
      <c r="G66" t="n">
        <v>9.9</v>
      </c>
      <c r="H66" t="n">
        <v>1</v>
      </c>
      <c r="I66" t="n">
        <v>0</v>
      </c>
      <c r="J66" t="n">
        <v>0</v>
      </c>
      <c r="K66" t="n">
        <v>1</v>
      </c>
      <c r="L66" t="n">
        <v>0</v>
      </c>
      <c r="M66" t="n">
        <v>0</v>
      </c>
      <c r="N66" t="n">
        <v>0</v>
      </c>
      <c r="O66" t="n">
        <v>1</v>
      </c>
      <c r="P66" t="n">
        <v>1</v>
      </c>
      <c r="Q66" t="n">
        <v>1</v>
      </c>
      <c r="R66" s="2" t="inlineStr">
        <is>
          <t>Knärot</t>
        </is>
      </c>
      <c r="S66">
        <f>HYPERLINK("https://klasma.github.io/Logging_1981/artfynd/A 55550-2023 artfynd.xlsx", "A 55550-2023")</f>
        <v/>
      </c>
      <c r="T66">
        <f>HYPERLINK("https://klasma.github.io/Logging_1981/kartor/A 55550-2023 karta.png", "A 55550-2023")</f>
        <v/>
      </c>
      <c r="U66">
        <f>HYPERLINK("https://klasma.github.io/Logging_1981/knärot/A 55550-2023 karta knärot.png", "A 55550-2023")</f>
        <v/>
      </c>
      <c r="V66">
        <f>HYPERLINK("https://klasma.github.io/Logging_1981/klagomål/A 55550-2023 FSC-klagomål.docx", "A 55550-2023")</f>
        <v/>
      </c>
      <c r="W66">
        <f>HYPERLINK("https://klasma.github.io/Logging_1981/klagomålsmail/A 55550-2023 FSC-klagomål mail.docx", "A 55550-2023")</f>
        <v/>
      </c>
      <c r="X66">
        <f>HYPERLINK("https://klasma.github.io/Logging_1981/tillsyn/A 55550-2023 tillsynsbegäran.docx", "A 55550-2023")</f>
        <v/>
      </c>
      <c r="Y66">
        <f>HYPERLINK("https://klasma.github.io/Logging_1981/tillsynsmail/A 55550-2023 tillsynsbegäran mail.docx", "A 55550-2023")</f>
        <v/>
      </c>
    </row>
    <row r="67" ht="15" customHeight="1">
      <c r="A67" t="inlineStr">
        <is>
          <t>A 66561-2021</t>
        </is>
      </c>
      <c r="B67" s="1" t="n">
        <v>44519.41648148148</v>
      </c>
      <c r="C67" s="1" t="n">
        <v>46091</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46091</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46091</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46091</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46091</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46091</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46091</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46091</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46091</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46091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46091</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46091</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46091</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46091</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46091</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46091</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46091</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46091</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46091</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46091</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46091</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46091</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46091</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46091</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46091</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46091</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46091</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46091</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46091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46091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46091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46091</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46091</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46091</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46091</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46091</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46091</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46091</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46091</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46091</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46091</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46091</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46091</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18259-2021</t>
        </is>
      </c>
      <c r="B110" s="1" t="n">
        <v>44305</v>
      </c>
      <c r="C110" s="1" t="n">
        <v>46091</v>
      </c>
      <c r="D110" t="inlineStr">
        <is>
          <t>VÄSTMANLANDS LÄN</t>
        </is>
      </c>
      <c r="E110" t="inlineStr">
        <is>
          <t>SALA</t>
        </is>
      </c>
      <c r="G110" t="n">
        <v>0</v>
      </c>
      <c r="H110" t="n">
        <v>0</v>
      </c>
      <c r="I110" t="n">
        <v>0</v>
      </c>
      <c r="J110" t="n">
        <v>0</v>
      </c>
      <c r="K110" t="n">
        <v>0</v>
      </c>
      <c r="L110" t="n">
        <v>0</v>
      </c>
      <c r="M110" t="n">
        <v>0</v>
      </c>
      <c r="N110" t="n">
        <v>0</v>
      </c>
      <c r="O110" t="n">
        <v>0</v>
      </c>
      <c r="P110" t="n">
        <v>0</v>
      </c>
      <c r="Q110" t="n">
        <v>0</v>
      </c>
      <c r="R110" s="2" t="inlineStr"/>
    </row>
    <row r="111" ht="15" customHeight="1">
      <c r="A111" t="inlineStr">
        <is>
          <t>A 35921-2021</t>
        </is>
      </c>
      <c r="B111" s="1" t="n">
        <v>44388.37549768519</v>
      </c>
      <c r="C111" s="1" t="n">
        <v>46091</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46091</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46091</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46091</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46091</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46091</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46091</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46091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46091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46091</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46091</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46091</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46091</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46091</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46091</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46091</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46091</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46091</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46091</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46091</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46091</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46091</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46091</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46091</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46091</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46091</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46091</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46091</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46091</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46091</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46091</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46091</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46091</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46091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46091</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46091</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46091</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46091</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46091</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46091</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46091</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46091</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46091</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46091</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46091</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46091</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46091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46091</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46091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46091</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46091</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46091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46091</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46091</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46091</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46091</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46091</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46091</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46091</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46091</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46091</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46091</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46091</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46091</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46091</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26579-2021</t>
        </is>
      </c>
      <c r="B176" s="1" t="n">
        <v>44348</v>
      </c>
      <c r="C176" s="1" t="n">
        <v>46091</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46091</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46091</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46091</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46091</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16651-2021</t>
        </is>
      </c>
      <c r="B181" s="1" t="n">
        <v>44294.50096064815</v>
      </c>
      <c r="C181" s="1" t="n">
        <v>46091</v>
      </c>
      <c r="D181" t="inlineStr">
        <is>
          <t>VÄSTMANLANDS LÄN</t>
        </is>
      </c>
      <c r="E181" t="inlineStr">
        <is>
          <t>SALA</t>
        </is>
      </c>
      <c r="G181" t="n">
        <v>7.7</v>
      </c>
      <c r="H181" t="n">
        <v>0</v>
      </c>
      <c r="I181" t="n">
        <v>0</v>
      </c>
      <c r="J181" t="n">
        <v>0</v>
      </c>
      <c r="K181" t="n">
        <v>0</v>
      </c>
      <c r="L181" t="n">
        <v>0</v>
      </c>
      <c r="M181" t="n">
        <v>0</v>
      </c>
      <c r="N181" t="n">
        <v>0</v>
      </c>
      <c r="O181" t="n">
        <v>0</v>
      </c>
      <c r="P181" t="n">
        <v>0</v>
      </c>
      <c r="Q181" t="n">
        <v>0</v>
      </c>
      <c r="R181" s="2" t="inlineStr"/>
    </row>
    <row r="182" ht="15" customHeight="1">
      <c r="A182" t="inlineStr">
        <is>
          <t>A 15354-2021</t>
        </is>
      </c>
      <c r="B182" s="1" t="n">
        <v>44284</v>
      </c>
      <c r="C182" s="1" t="n">
        <v>46091</v>
      </c>
      <c r="D182" t="inlineStr">
        <is>
          <t>VÄSTMANLANDS LÄN</t>
        </is>
      </c>
      <c r="E182" t="inlineStr">
        <is>
          <t>SALA</t>
        </is>
      </c>
      <c r="F182" t="inlineStr">
        <is>
          <t>Kyrkan</t>
        </is>
      </c>
      <c r="G182" t="n">
        <v>8.5</v>
      </c>
      <c r="H182" t="n">
        <v>0</v>
      </c>
      <c r="I182" t="n">
        <v>0</v>
      </c>
      <c r="J182" t="n">
        <v>0</v>
      </c>
      <c r="K182" t="n">
        <v>0</v>
      </c>
      <c r="L182" t="n">
        <v>0</v>
      </c>
      <c r="M182" t="n">
        <v>0</v>
      </c>
      <c r="N182" t="n">
        <v>0</v>
      </c>
      <c r="O182" t="n">
        <v>0</v>
      </c>
      <c r="P182" t="n">
        <v>0</v>
      </c>
      <c r="Q182" t="n">
        <v>0</v>
      </c>
      <c r="R182" s="2" t="inlineStr"/>
    </row>
    <row r="183" ht="15" customHeight="1">
      <c r="A183" t="inlineStr">
        <is>
          <t>A 39597-2022</t>
        </is>
      </c>
      <c r="B183" s="1" t="n">
        <v>44818</v>
      </c>
      <c r="C183" s="1" t="n">
        <v>46091</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6134-2024</t>
        </is>
      </c>
      <c r="B184" s="1" t="n">
        <v>45337</v>
      </c>
      <c r="C184" s="1" t="n">
        <v>46091</v>
      </c>
      <c r="D184" t="inlineStr">
        <is>
          <t>VÄSTMANLANDS LÄN</t>
        </is>
      </c>
      <c r="E184" t="inlineStr">
        <is>
          <t>SALA</t>
        </is>
      </c>
      <c r="G184" t="n">
        <v>1.8</v>
      </c>
      <c r="H184" t="n">
        <v>0</v>
      </c>
      <c r="I184" t="n">
        <v>0</v>
      </c>
      <c r="J184" t="n">
        <v>0</v>
      </c>
      <c r="K184" t="n">
        <v>0</v>
      </c>
      <c r="L184" t="n">
        <v>0</v>
      </c>
      <c r="M184" t="n">
        <v>0</v>
      </c>
      <c r="N184" t="n">
        <v>0</v>
      </c>
      <c r="O184" t="n">
        <v>0</v>
      </c>
      <c r="P184" t="n">
        <v>0</v>
      </c>
      <c r="Q184" t="n">
        <v>0</v>
      </c>
      <c r="R184" s="2" t="inlineStr"/>
    </row>
    <row r="185" ht="15" customHeight="1">
      <c r="A185" t="inlineStr">
        <is>
          <t>A 25860-2024</t>
        </is>
      </c>
      <c r="B185" s="1" t="n">
        <v>45467.46278935186</v>
      </c>
      <c r="C185" s="1" t="n">
        <v>46091</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22026-2021</t>
        </is>
      </c>
      <c r="B186" s="1" t="n">
        <v>44323</v>
      </c>
      <c r="C186" s="1" t="n">
        <v>46091</v>
      </c>
      <c r="D186" t="inlineStr">
        <is>
          <t>VÄSTMANLANDS LÄN</t>
        </is>
      </c>
      <c r="E186" t="inlineStr">
        <is>
          <t>SALA</t>
        </is>
      </c>
      <c r="G186" t="n">
        <v>2.9</v>
      </c>
      <c r="H186" t="n">
        <v>0</v>
      </c>
      <c r="I186" t="n">
        <v>0</v>
      </c>
      <c r="J186" t="n">
        <v>0</v>
      </c>
      <c r="K186" t="n">
        <v>0</v>
      </c>
      <c r="L186" t="n">
        <v>0</v>
      </c>
      <c r="M186" t="n">
        <v>0</v>
      </c>
      <c r="N186" t="n">
        <v>0</v>
      </c>
      <c r="O186" t="n">
        <v>0</v>
      </c>
      <c r="P186" t="n">
        <v>0</v>
      </c>
      <c r="Q186" t="n">
        <v>0</v>
      </c>
      <c r="R186" s="2" t="inlineStr"/>
    </row>
    <row r="187" ht="15" customHeight="1">
      <c r="A187" t="inlineStr">
        <is>
          <t>A 40597-2022</t>
        </is>
      </c>
      <c r="B187" s="1" t="n">
        <v>44823.84862268518</v>
      </c>
      <c r="C187" s="1" t="n">
        <v>46091</v>
      </c>
      <c r="D187" t="inlineStr">
        <is>
          <t>VÄSTMANLANDS LÄN</t>
        </is>
      </c>
      <c r="E187" t="inlineStr">
        <is>
          <t>SALA</t>
        </is>
      </c>
      <c r="G187" t="n">
        <v>3.5</v>
      </c>
      <c r="H187" t="n">
        <v>0</v>
      </c>
      <c r="I187" t="n">
        <v>0</v>
      </c>
      <c r="J187" t="n">
        <v>0</v>
      </c>
      <c r="K187" t="n">
        <v>0</v>
      </c>
      <c r="L187" t="n">
        <v>0</v>
      </c>
      <c r="M187" t="n">
        <v>0</v>
      </c>
      <c r="N187" t="n">
        <v>0</v>
      </c>
      <c r="O187" t="n">
        <v>0</v>
      </c>
      <c r="P187" t="n">
        <v>0</v>
      </c>
      <c r="Q187" t="n">
        <v>0</v>
      </c>
      <c r="R187" s="2" t="inlineStr"/>
    </row>
    <row r="188" ht="15" customHeight="1">
      <c r="A188" t="inlineStr">
        <is>
          <t>A 16160-2024</t>
        </is>
      </c>
      <c r="B188" s="1" t="n">
        <v>45406</v>
      </c>
      <c r="C188" s="1" t="n">
        <v>46091</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7196-2025</t>
        </is>
      </c>
      <c r="B189" s="1" t="n">
        <v>45702</v>
      </c>
      <c r="C189" s="1" t="n">
        <v>46091</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6183-2025</t>
        </is>
      </c>
      <c r="B190" s="1" t="n">
        <v>45698</v>
      </c>
      <c r="C190" s="1" t="n">
        <v>46091</v>
      </c>
      <c r="D190" t="inlineStr">
        <is>
          <t>VÄSTMANLANDS LÄN</t>
        </is>
      </c>
      <c r="E190" t="inlineStr">
        <is>
          <t>SALA</t>
        </is>
      </c>
      <c r="F190" t="inlineStr">
        <is>
          <t>Bergvik skog öst AB</t>
        </is>
      </c>
      <c r="G190" t="n">
        <v>2.3</v>
      </c>
      <c r="H190" t="n">
        <v>0</v>
      </c>
      <c r="I190" t="n">
        <v>0</v>
      </c>
      <c r="J190" t="n">
        <v>0</v>
      </c>
      <c r="K190" t="n">
        <v>0</v>
      </c>
      <c r="L190" t="n">
        <v>0</v>
      </c>
      <c r="M190" t="n">
        <v>0</v>
      </c>
      <c r="N190" t="n">
        <v>0</v>
      </c>
      <c r="O190" t="n">
        <v>0</v>
      </c>
      <c r="P190" t="n">
        <v>0</v>
      </c>
      <c r="Q190" t="n">
        <v>0</v>
      </c>
      <c r="R190" s="2" t="inlineStr"/>
    </row>
    <row r="191" ht="15" customHeight="1">
      <c r="A191" t="inlineStr">
        <is>
          <t>A 27261-2024</t>
        </is>
      </c>
      <c r="B191" s="1" t="n">
        <v>45471</v>
      </c>
      <c r="C191" s="1" t="n">
        <v>46091</v>
      </c>
      <c r="D191" t="inlineStr">
        <is>
          <t>VÄSTMANLANDS LÄN</t>
        </is>
      </c>
      <c r="E191" t="inlineStr">
        <is>
          <t>SALA</t>
        </is>
      </c>
      <c r="G191" t="n">
        <v>6.1</v>
      </c>
      <c r="H191" t="n">
        <v>0</v>
      </c>
      <c r="I191" t="n">
        <v>0</v>
      </c>
      <c r="J191" t="n">
        <v>0</v>
      </c>
      <c r="K191" t="n">
        <v>0</v>
      </c>
      <c r="L191" t="n">
        <v>0</v>
      </c>
      <c r="M191" t="n">
        <v>0</v>
      </c>
      <c r="N191" t="n">
        <v>0</v>
      </c>
      <c r="O191" t="n">
        <v>0</v>
      </c>
      <c r="P191" t="n">
        <v>0</v>
      </c>
      <c r="Q191" t="n">
        <v>0</v>
      </c>
      <c r="R191" s="2" t="inlineStr"/>
    </row>
    <row r="192" ht="15" customHeight="1">
      <c r="A192" t="inlineStr">
        <is>
          <t>A 21168-2025</t>
        </is>
      </c>
      <c r="B192" s="1" t="n">
        <v>45777</v>
      </c>
      <c r="C192" s="1" t="n">
        <v>46091</v>
      </c>
      <c r="D192" t="inlineStr">
        <is>
          <t>VÄSTMANLANDS LÄN</t>
        </is>
      </c>
      <c r="E192" t="inlineStr">
        <is>
          <t>SALA</t>
        </is>
      </c>
      <c r="G192" t="n">
        <v>4.5</v>
      </c>
      <c r="H192" t="n">
        <v>0</v>
      </c>
      <c r="I192" t="n">
        <v>0</v>
      </c>
      <c r="J192" t="n">
        <v>0</v>
      </c>
      <c r="K192" t="n">
        <v>0</v>
      </c>
      <c r="L192" t="n">
        <v>0</v>
      </c>
      <c r="M192" t="n">
        <v>0</v>
      </c>
      <c r="N192" t="n">
        <v>0</v>
      </c>
      <c r="O192" t="n">
        <v>0</v>
      </c>
      <c r="P192" t="n">
        <v>0</v>
      </c>
      <c r="Q192" t="n">
        <v>0</v>
      </c>
      <c r="R192" s="2" t="inlineStr"/>
    </row>
    <row r="193" ht="15" customHeight="1">
      <c r="A193" t="inlineStr">
        <is>
          <t>A 40871-2021</t>
        </is>
      </c>
      <c r="B193" s="1" t="n">
        <v>44421</v>
      </c>
      <c r="C193" s="1" t="n">
        <v>46091</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19803-2024</t>
        </is>
      </c>
      <c r="B194" s="1" t="n">
        <v>45432</v>
      </c>
      <c r="C194" s="1" t="n">
        <v>46091</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18713-2025</t>
        </is>
      </c>
      <c r="B195" s="1" t="n">
        <v>45763</v>
      </c>
      <c r="C195" s="1" t="n">
        <v>46091</v>
      </c>
      <c r="D195" t="inlineStr">
        <is>
          <t>VÄSTMANLANDS LÄN</t>
        </is>
      </c>
      <c r="E195" t="inlineStr">
        <is>
          <t>SALA</t>
        </is>
      </c>
      <c r="F195" t="inlineStr">
        <is>
          <t>Bergvik skog öst AB</t>
        </is>
      </c>
      <c r="G195" t="n">
        <v>11.6</v>
      </c>
      <c r="H195" t="n">
        <v>0</v>
      </c>
      <c r="I195" t="n">
        <v>0</v>
      </c>
      <c r="J195" t="n">
        <v>0</v>
      </c>
      <c r="K195" t="n">
        <v>0</v>
      </c>
      <c r="L195" t="n">
        <v>0</v>
      </c>
      <c r="M195" t="n">
        <v>0</v>
      </c>
      <c r="N195" t="n">
        <v>0</v>
      </c>
      <c r="O195" t="n">
        <v>0</v>
      </c>
      <c r="P195" t="n">
        <v>0</v>
      </c>
      <c r="Q195" t="n">
        <v>0</v>
      </c>
      <c r="R195" s="2" t="inlineStr"/>
    </row>
    <row r="196" ht="15" customHeight="1">
      <c r="A196" t="inlineStr">
        <is>
          <t>A 54959-2024</t>
        </is>
      </c>
      <c r="B196" s="1" t="n">
        <v>45619</v>
      </c>
      <c r="C196" s="1" t="n">
        <v>46091</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21751-2025</t>
        </is>
      </c>
      <c r="B197" s="1" t="n">
        <v>45783.61372685185</v>
      </c>
      <c r="C197" s="1" t="n">
        <v>46091</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24864-2024</t>
        </is>
      </c>
      <c r="B198" s="1" t="n">
        <v>45461.48888888889</v>
      </c>
      <c r="C198" s="1" t="n">
        <v>46091</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1118-2024</t>
        </is>
      </c>
      <c r="B199" s="1" t="n">
        <v>45302</v>
      </c>
      <c r="C199" s="1" t="n">
        <v>46091</v>
      </c>
      <c r="D199" t="inlineStr">
        <is>
          <t>VÄSTMANLANDS LÄN</t>
        </is>
      </c>
      <c r="E199" t="inlineStr">
        <is>
          <t>SALA</t>
        </is>
      </c>
      <c r="G199" t="n">
        <v>1.9</v>
      </c>
      <c r="H199" t="n">
        <v>0</v>
      </c>
      <c r="I199" t="n">
        <v>0</v>
      </c>
      <c r="J199" t="n">
        <v>0</v>
      </c>
      <c r="K199" t="n">
        <v>0</v>
      </c>
      <c r="L199" t="n">
        <v>0</v>
      </c>
      <c r="M199" t="n">
        <v>0</v>
      </c>
      <c r="N199" t="n">
        <v>0</v>
      </c>
      <c r="O199" t="n">
        <v>0</v>
      </c>
      <c r="P199" t="n">
        <v>0</v>
      </c>
      <c r="Q199" t="n">
        <v>0</v>
      </c>
      <c r="R199" s="2" t="inlineStr"/>
    </row>
    <row r="200" ht="15" customHeight="1">
      <c r="A200" t="inlineStr">
        <is>
          <t>A 63933-2023</t>
        </is>
      </c>
      <c r="B200" s="1" t="n">
        <v>45278</v>
      </c>
      <c r="C200" s="1" t="n">
        <v>46091</v>
      </c>
      <c r="D200" t="inlineStr">
        <is>
          <t>VÄSTMANLANDS LÄN</t>
        </is>
      </c>
      <c r="E200" t="inlineStr">
        <is>
          <t>SALA</t>
        </is>
      </c>
      <c r="G200" t="n">
        <v>1.4</v>
      </c>
      <c r="H200" t="n">
        <v>0</v>
      </c>
      <c r="I200" t="n">
        <v>0</v>
      </c>
      <c r="J200" t="n">
        <v>0</v>
      </c>
      <c r="K200" t="n">
        <v>0</v>
      </c>
      <c r="L200" t="n">
        <v>0</v>
      </c>
      <c r="M200" t="n">
        <v>0</v>
      </c>
      <c r="N200" t="n">
        <v>0</v>
      </c>
      <c r="O200" t="n">
        <v>0</v>
      </c>
      <c r="P200" t="n">
        <v>0</v>
      </c>
      <c r="Q200" t="n">
        <v>0</v>
      </c>
      <c r="R200" s="2" t="inlineStr"/>
    </row>
    <row r="201" ht="15" customHeight="1">
      <c r="A201" t="inlineStr">
        <is>
          <t>A 73673-2021</t>
        </is>
      </c>
      <c r="B201" s="1" t="n">
        <v>44552.46501157407</v>
      </c>
      <c r="C201" s="1" t="n">
        <v>46091</v>
      </c>
      <c r="D201" t="inlineStr">
        <is>
          <t>VÄSTMANLANDS LÄN</t>
        </is>
      </c>
      <c r="E201" t="inlineStr">
        <is>
          <t>SALA</t>
        </is>
      </c>
      <c r="G201" t="n">
        <v>11.4</v>
      </c>
      <c r="H201" t="n">
        <v>0</v>
      </c>
      <c r="I201" t="n">
        <v>0</v>
      </c>
      <c r="J201" t="n">
        <v>0</v>
      </c>
      <c r="K201" t="n">
        <v>0</v>
      </c>
      <c r="L201" t="n">
        <v>0</v>
      </c>
      <c r="M201" t="n">
        <v>0</v>
      </c>
      <c r="N201" t="n">
        <v>0</v>
      </c>
      <c r="O201" t="n">
        <v>0</v>
      </c>
      <c r="P201" t="n">
        <v>0</v>
      </c>
      <c r="Q201" t="n">
        <v>0</v>
      </c>
      <c r="R201" s="2" t="inlineStr"/>
    </row>
    <row r="202" ht="15" customHeight="1">
      <c r="A202" t="inlineStr">
        <is>
          <t>A 37190-2024</t>
        </is>
      </c>
      <c r="B202" s="1" t="n">
        <v>45539</v>
      </c>
      <c r="C202" s="1" t="n">
        <v>46091</v>
      </c>
      <c r="D202" t="inlineStr">
        <is>
          <t>VÄSTMANLANDS LÄN</t>
        </is>
      </c>
      <c r="E202" t="inlineStr">
        <is>
          <t>SALA</t>
        </is>
      </c>
      <c r="G202" t="n">
        <v>0.9</v>
      </c>
      <c r="H202" t="n">
        <v>0</v>
      </c>
      <c r="I202" t="n">
        <v>0</v>
      </c>
      <c r="J202" t="n">
        <v>0</v>
      </c>
      <c r="K202" t="n">
        <v>0</v>
      </c>
      <c r="L202" t="n">
        <v>0</v>
      </c>
      <c r="M202" t="n">
        <v>0</v>
      </c>
      <c r="N202" t="n">
        <v>0</v>
      </c>
      <c r="O202" t="n">
        <v>0</v>
      </c>
      <c r="P202" t="n">
        <v>0</v>
      </c>
      <c r="Q202" t="n">
        <v>0</v>
      </c>
      <c r="R202" s="2" t="inlineStr"/>
    </row>
    <row r="203" ht="15" customHeight="1">
      <c r="A203" t="inlineStr">
        <is>
          <t>A 21754-2025</t>
        </is>
      </c>
      <c r="B203" s="1" t="n">
        <v>45783.61837962963</v>
      </c>
      <c r="C203" s="1" t="n">
        <v>46091</v>
      </c>
      <c r="D203" t="inlineStr">
        <is>
          <t>VÄSTMANLANDS LÄN</t>
        </is>
      </c>
      <c r="E203" t="inlineStr">
        <is>
          <t>SALA</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38574-2025</t>
        </is>
      </c>
      <c r="B204" s="1" t="n">
        <v>45884.46390046296</v>
      </c>
      <c r="C204" s="1" t="n">
        <v>46091</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16651-2021</t>
        </is>
      </c>
      <c r="B205" s="1" t="n">
        <v>44294.50096064815</v>
      </c>
      <c r="C205" s="1" t="n">
        <v>46091</v>
      </c>
      <c r="D205" t="inlineStr">
        <is>
          <t>VÄSTMANLANDS LÄN</t>
        </is>
      </c>
      <c r="E205" t="inlineStr">
        <is>
          <t>SALA</t>
        </is>
      </c>
      <c r="G205" t="n">
        <v>7.7</v>
      </c>
      <c r="H205" t="n">
        <v>0</v>
      </c>
      <c r="I205" t="n">
        <v>0</v>
      </c>
      <c r="J205" t="n">
        <v>0</v>
      </c>
      <c r="K205" t="n">
        <v>0</v>
      </c>
      <c r="L205" t="n">
        <v>0</v>
      </c>
      <c r="M205" t="n">
        <v>0</v>
      </c>
      <c r="N205" t="n">
        <v>0</v>
      </c>
      <c r="O205" t="n">
        <v>0</v>
      </c>
      <c r="P205" t="n">
        <v>0</v>
      </c>
      <c r="Q205" t="n">
        <v>0</v>
      </c>
      <c r="R205" s="2" t="inlineStr"/>
    </row>
    <row r="206" ht="15" customHeight="1">
      <c r="A206" t="inlineStr">
        <is>
          <t>A 39439-2021</t>
        </is>
      </c>
      <c r="B206" s="1" t="n">
        <v>44414</v>
      </c>
      <c r="C206" s="1" t="n">
        <v>46091</v>
      </c>
      <c r="D206" t="inlineStr">
        <is>
          <t>VÄSTMANLANDS LÄN</t>
        </is>
      </c>
      <c r="E206" t="inlineStr">
        <is>
          <t>SALA</t>
        </is>
      </c>
      <c r="G206" t="n">
        <v>1.1</v>
      </c>
      <c r="H206" t="n">
        <v>0</v>
      </c>
      <c r="I206" t="n">
        <v>0</v>
      </c>
      <c r="J206" t="n">
        <v>0</v>
      </c>
      <c r="K206" t="n">
        <v>0</v>
      </c>
      <c r="L206" t="n">
        <v>0</v>
      </c>
      <c r="M206" t="n">
        <v>0</v>
      </c>
      <c r="N206" t="n">
        <v>0</v>
      </c>
      <c r="O206" t="n">
        <v>0</v>
      </c>
      <c r="P206" t="n">
        <v>0</v>
      </c>
      <c r="Q206" t="n">
        <v>0</v>
      </c>
      <c r="R206" s="2" t="inlineStr"/>
    </row>
    <row r="207" ht="15" customHeight="1">
      <c r="A207" t="inlineStr">
        <is>
          <t>A 38294-2025</t>
        </is>
      </c>
      <c r="B207" s="1" t="n">
        <v>45883.44854166666</v>
      </c>
      <c r="C207" s="1" t="n">
        <v>46091</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37587-2024</t>
        </is>
      </c>
      <c r="B208" s="1" t="n">
        <v>45541</v>
      </c>
      <c r="C208" s="1" t="n">
        <v>46091</v>
      </c>
      <c r="D208" t="inlineStr">
        <is>
          <t>VÄSTMANLANDS LÄN</t>
        </is>
      </c>
      <c r="E208" t="inlineStr">
        <is>
          <t>SALA</t>
        </is>
      </c>
      <c r="G208" t="n">
        <v>1.2</v>
      </c>
      <c r="H208" t="n">
        <v>0</v>
      </c>
      <c r="I208" t="n">
        <v>0</v>
      </c>
      <c r="J208" t="n">
        <v>0</v>
      </c>
      <c r="K208" t="n">
        <v>0</v>
      </c>
      <c r="L208" t="n">
        <v>0</v>
      </c>
      <c r="M208" t="n">
        <v>0</v>
      </c>
      <c r="N208" t="n">
        <v>0</v>
      </c>
      <c r="O208" t="n">
        <v>0</v>
      </c>
      <c r="P208" t="n">
        <v>0</v>
      </c>
      <c r="Q208" t="n">
        <v>0</v>
      </c>
      <c r="R208" s="2" t="inlineStr"/>
    </row>
    <row r="209" ht="15" customHeight="1">
      <c r="A209" t="inlineStr">
        <is>
          <t>A 51626-2025</t>
        </is>
      </c>
      <c r="B209" s="1" t="n">
        <v>45951.41769675926</v>
      </c>
      <c r="C209" s="1" t="n">
        <v>46091</v>
      </c>
      <c r="D209" t="inlineStr">
        <is>
          <t>VÄSTMANLANDS LÄN</t>
        </is>
      </c>
      <c r="E209" t="inlineStr">
        <is>
          <t>SALA</t>
        </is>
      </c>
      <c r="G209" t="n">
        <v>2.6</v>
      </c>
      <c r="H209" t="n">
        <v>0</v>
      </c>
      <c r="I209" t="n">
        <v>0</v>
      </c>
      <c r="J209" t="n">
        <v>0</v>
      </c>
      <c r="K209" t="n">
        <v>0</v>
      </c>
      <c r="L209" t="n">
        <v>0</v>
      </c>
      <c r="M209" t="n">
        <v>0</v>
      </c>
      <c r="N209" t="n">
        <v>0</v>
      </c>
      <c r="O209" t="n">
        <v>0</v>
      </c>
      <c r="P209" t="n">
        <v>0</v>
      </c>
      <c r="Q209" t="n">
        <v>0</v>
      </c>
      <c r="R209" s="2" t="inlineStr"/>
    </row>
    <row r="210" ht="15" customHeight="1">
      <c r="A210" t="inlineStr">
        <is>
          <t>A 22353-2025</t>
        </is>
      </c>
      <c r="B210" s="1" t="n">
        <v>45786</v>
      </c>
      <c r="C210" s="1" t="n">
        <v>46091</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64724-2023</t>
        </is>
      </c>
      <c r="B211" s="1" t="n">
        <v>45281.7602662037</v>
      </c>
      <c r="C211" s="1" t="n">
        <v>46091</v>
      </c>
      <c r="D211" t="inlineStr">
        <is>
          <t>VÄSTMANLANDS LÄN</t>
        </is>
      </c>
      <c r="E211" t="inlineStr">
        <is>
          <t>SALA</t>
        </is>
      </c>
      <c r="G211" t="n">
        <v>2.3</v>
      </c>
      <c r="H211" t="n">
        <v>0</v>
      </c>
      <c r="I211" t="n">
        <v>0</v>
      </c>
      <c r="J211" t="n">
        <v>0</v>
      </c>
      <c r="K211" t="n">
        <v>0</v>
      </c>
      <c r="L211" t="n">
        <v>0</v>
      </c>
      <c r="M211" t="n">
        <v>0</v>
      </c>
      <c r="N211" t="n">
        <v>0</v>
      </c>
      <c r="O211" t="n">
        <v>0</v>
      </c>
      <c r="P211" t="n">
        <v>0</v>
      </c>
      <c r="Q211" t="n">
        <v>0</v>
      </c>
      <c r="R211" s="2" t="inlineStr"/>
    </row>
    <row r="212" ht="15" customHeight="1">
      <c r="A212" t="inlineStr">
        <is>
          <t>A 11389-2024</t>
        </is>
      </c>
      <c r="B212" s="1" t="n">
        <v>45372.45016203704</v>
      </c>
      <c r="C212" s="1" t="n">
        <v>46091</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51690-2025</t>
        </is>
      </c>
      <c r="B213" s="1" t="n">
        <v>45951.53462962963</v>
      </c>
      <c r="C213" s="1" t="n">
        <v>46091</v>
      </c>
      <c r="D213" t="inlineStr">
        <is>
          <t>VÄSTMANLANDS LÄN</t>
        </is>
      </c>
      <c r="E213" t="inlineStr">
        <is>
          <t>SALA</t>
        </is>
      </c>
      <c r="G213" t="n">
        <v>0.8</v>
      </c>
      <c r="H213" t="n">
        <v>0</v>
      </c>
      <c r="I213" t="n">
        <v>0</v>
      </c>
      <c r="J213" t="n">
        <v>0</v>
      </c>
      <c r="K213" t="n">
        <v>0</v>
      </c>
      <c r="L213" t="n">
        <v>0</v>
      </c>
      <c r="M213" t="n">
        <v>0</v>
      </c>
      <c r="N213" t="n">
        <v>0</v>
      </c>
      <c r="O213" t="n">
        <v>0</v>
      </c>
      <c r="P213" t="n">
        <v>0</v>
      </c>
      <c r="Q213" t="n">
        <v>0</v>
      </c>
      <c r="R213" s="2" t="inlineStr"/>
    </row>
    <row r="214" ht="15" customHeight="1">
      <c r="A214" t="inlineStr">
        <is>
          <t>A 56706-2022</t>
        </is>
      </c>
      <c r="B214" s="1" t="n">
        <v>44893.78893518518</v>
      </c>
      <c r="C214" s="1" t="n">
        <v>46091</v>
      </c>
      <c r="D214" t="inlineStr">
        <is>
          <t>VÄSTMANLANDS LÄN</t>
        </is>
      </c>
      <c r="E214" t="inlineStr">
        <is>
          <t>SALA</t>
        </is>
      </c>
      <c r="G214" t="n">
        <v>4.5</v>
      </c>
      <c r="H214" t="n">
        <v>0</v>
      </c>
      <c r="I214" t="n">
        <v>0</v>
      </c>
      <c r="J214" t="n">
        <v>0</v>
      </c>
      <c r="K214" t="n">
        <v>0</v>
      </c>
      <c r="L214" t="n">
        <v>0</v>
      </c>
      <c r="M214" t="n">
        <v>0</v>
      </c>
      <c r="N214" t="n">
        <v>0</v>
      </c>
      <c r="O214" t="n">
        <v>0</v>
      </c>
      <c r="P214" t="n">
        <v>0</v>
      </c>
      <c r="Q214" t="n">
        <v>0</v>
      </c>
      <c r="R214" s="2" t="inlineStr"/>
    </row>
    <row r="215" ht="15" customHeight="1">
      <c r="A215" t="inlineStr">
        <is>
          <t>A 56707-2022</t>
        </is>
      </c>
      <c r="B215" s="1" t="n">
        <v>44893.79412037037</v>
      </c>
      <c r="C215" s="1" t="n">
        <v>46091</v>
      </c>
      <c r="D215" t="inlineStr">
        <is>
          <t>VÄSTMANLANDS LÄN</t>
        </is>
      </c>
      <c r="E215" t="inlineStr">
        <is>
          <t>SALA</t>
        </is>
      </c>
      <c r="G215" t="n">
        <v>1</v>
      </c>
      <c r="H215" t="n">
        <v>0</v>
      </c>
      <c r="I215" t="n">
        <v>0</v>
      </c>
      <c r="J215" t="n">
        <v>0</v>
      </c>
      <c r="K215" t="n">
        <v>0</v>
      </c>
      <c r="L215" t="n">
        <v>0</v>
      </c>
      <c r="M215" t="n">
        <v>0</v>
      </c>
      <c r="N215" t="n">
        <v>0</v>
      </c>
      <c r="O215" t="n">
        <v>0</v>
      </c>
      <c r="P215" t="n">
        <v>0</v>
      </c>
      <c r="Q215" t="n">
        <v>0</v>
      </c>
      <c r="R215" s="2" t="inlineStr"/>
    </row>
    <row r="216" ht="15" customHeight="1">
      <c r="A216" t="inlineStr">
        <is>
          <t>A 30971-2022</t>
        </is>
      </c>
      <c r="B216" s="1" t="n">
        <v>44768.46725694444</v>
      </c>
      <c r="C216" s="1" t="n">
        <v>46091</v>
      </c>
      <c r="D216" t="inlineStr">
        <is>
          <t>VÄSTMANLANDS LÄN</t>
        </is>
      </c>
      <c r="E216" t="inlineStr">
        <is>
          <t>SALA</t>
        </is>
      </c>
      <c r="G216" t="n">
        <v>2.4</v>
      </c>
      <c r="H216" t="n">
        <v>0</v>
      </c>
      <c r="I216" t="n">
        <v>0</v>
      </c>
      <c r="J216" t="n">
        <v>0</v>
      </c>
      <c r="K216" t="n">
        <v>0</v>
      </c>
      <c r="L216" t="n">
        <v>0</v>
      </c>
      <c r="M216" t="n">
        <v>0</v>
      </c>
      <c r="N216" t="n">
        <v>0</v>
      </c>
      <c r="O216" t="n">
        <v>0</v>
      </c>
      <c r="P216" t="n">
        <v>0</v>
      </c>
      <c r="Q216" t="n">
        <v>0</v>
      </c>
      <c r="R216" s="2" t="inlineStr"/>
    </row>
    <row r="217" ht="15" customHeight="1">
      <c r="A217" t="inlineStr">
        <is>
          <t>A 22370-2025</t>
        </is>
      </c>
      <c r="B217" s="1" t="n">
        <v>45786</v>
      </c>
      <c r="C217" s="1" t="n">
        <v>46091</v>
      </c>
      <c r="D217" t="inlineStr">
        <is>
          <t>VÄSTMANLANDS LÄN</t>
        </is>
      </c>
      <c r="E217" t="inlineStr">
        <is>
          <t>SALA</t>
        </is>
      </c>
      <c r="G217" t="n">
        <v>3.2</v>
      </c>
      <c r="H217" t="n">
        <v>0</v>
      </c>
      <c r="I217" t="n">
        <v>0</v>
      </c>
      <c r="J217" t="n">
        <v>0</v>
      </c>
      <c r="K217" t="n">
        <v>0</v>
      </c>
      <c r="L217" t="n">
        <v>0</v>
      </c>
      <c r="M217" t="n">
        <v>0</v>
      </c>
      <c r="N217" t="n">
        <v>0</v>
      </c>
      <c r="O217" t="n">
        <v>0</v>
      </c>
      <c r="P217" t="n">
        <v>0</v>
      </c>
      <c r="Q217" t="n">
        <v>0</v>
      </c>
      <c r="R217" s="2" t="inlineStr"/>
    </row>
    <row r="218" ht="15" customHeight="1">
      <c r="A218" t="inlineStr">
        <is>
          <t>A 22383-2025</t>
        </is>
      </c>
      <c r="B218" s="1" t="n">
        <v>45786</v>
      </c>
      <c r="C218" s="1" t="n">
        <v>46091</v>
      </c>
      <c r="D218" t="inlineStr">
        <is>
          <t>VÄSTMANLANDS LÄN</t>
        </is>
      </c>
      <c r="E218" t="inlineStr">
        <is>
          <t>SALA</t>
        </is>
      </c>
      <c r="G218" t="n">
        <v>2.2</v>
      </c>
      <c r="H218" t="n">
        <v>0</v>
      </c>
      <c r="I218" t="n">
        <v>0</v>
      </c>
      <c r="J218" t="n">
        <v>0</v>
      </c>
      <c r="K218" t="n">
        <v>0</v>
      </c>
      <c r="L218" t="n">
        <v>0</v>
      </c>
      <c r="M218" t="n">
        <v>0</v>
      </c>
      <c r="N218" t="n">
        <v>0</v>
      </c>
      <c r="O218" t="n">
        <v>0</v>
      </c>
      <c r="P218" t="n">
        <v>0</v>
      </c>
      <c r="Q218" t="n">
        <v>0</v>
      </c>
      <c r="R218" s="2" t="inlineStr"/>
    </row>
    <row r="219" ht="15" customHeight="1">
      <c r="A219" t="inlineStr">
        <is>
          <t>A 51809-2025</t>
        </is>
      </c>
      <c r="B219" s="1" t="n">
        <v>45951.80116898148</v>
      </c>
      <c r="C219" s="1" t="n">
        <v>46091</v>
      </c>
      <c r="D219" t="inlineStr">
        <is>
          <t>VÄSTMANLANDS LÄN</t>
        </is>
      </c>
      <c r="E219" t="inlineStr">
        <is>
          <t>SALA</t>
        </is>
      </c>
      <c r="F219" t="inlineStr">
        <is>
          <t>Kommuner</t>
        </is>
      </c>
      <c r="G219" t="n">
        <v>3.5</v>
      </c>
      <c r="H219" t="n">
        <v>0</v>
      </c>
      <c r="I219" t="n">
        <v>0</v>
      </c>
      <c r="J219" t="n">
        <v>0</v>
      </c>
      <c r="K219" t="n">
        <v>0</v>
      </c>
      <c r="L219" t="n">
        <v>0</v>
      </c>
      <c r="M219" t="n">
        <v>0</v>
      </c>
      <c r="N219" t="n">
        <v>0</v>
      </c>
      <c r="O219" t="n">
        <v>0</v>
      </c>
      <c r="P219" t="n">
        <v>0</v>
      </c>
      <c r="Q219" t="n">
        <v>0</v>
      </c>
      <c r="R219" s="2" t="inlineStr"/>
    </row>
    <row r="220" ht="15" customHeight="1">
      <c r="A220" t="inlineStr">
        <is>
          <t>A 51803-2025</t>
        </is>
      </c>
      <c r="B220" s="1" t="n">
        <v>45951.76818287037</v>
      </c>
      <c r="C220" s="1" t="n">
        <v>46091</v>
      </c>
      <c r="D220" t="inlineStr">
        <is>
          <t>VÄSTMANLANDS LÄN</t>
        </is>
      </c>
      <c r="E220" t="inlineStr">
        <is>
          <t>SALA</t>
        </is>
      </c>
      <c r="F220" t="inlineStr">
        <is>
          <t>Kommuner</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51805-2025</t>
        </is>
      </c>
      <c r="B221" s="1" t="n">
        <v>45951.78359953704</v>
      </c>
      <c r="C221" s="1" t="n">
        <v>46091</v>
      </c>
      <c r="D221" t="inlineStr">
        <is>
          <t>VÄSTMANLANDS LÄN</t>
        </is>
      </c>
      <c r="E221" t="inlineStr">
        <is>
          <t>SALA</t>
        </is>
      </c>
      <c r="F221" t="inlineStr">
        <is>
          <t>Kommuner</t>
        </is>
      </c>
      <c r="G221" t="n">
        <v>1.3</v>
      </c>
      <c r="H221" t="n">
        <v>0</v>
      </c>
      <c r="I221" t="n">
        <v>0</v>
      </c>
      <c r="J221" t="n">
        <v>0</v>
      </c>
      <c r="K221" t="n">
        <v>0</v>
      </c>
      <c r="L221" t="n">
        <v>0</v>
      </c>
      <c r="M221" t="n">
        <v>0</v>
      </c>
      <c r="N221" t="n">
        <v>0</v>
      </c>
      <c r="O221" t="n">
        <v>0</v>
      </c>
      <c r="P221" t="n">
        <v>0</v>
      </c>
      <c r="Q221" t="n">
        <v>0</v>
      </c>
      <c r="R221" s="2" t="inlineStr"/>
    </row>
    <row r="222" ht="15" customHeight="1">
      <c r="A222" t="inlineStr">
        <is>
          <t>A 51804-2025</t>
        </is>
      </c>
      <c r="B222" s="1" t="n">
        <v>45951.77697916667</v>
      </c>
      <c r="C222" s="1" t="n">
        <v>46091</v>
      </c>
      <c r="D222" t="inlineStr">
        <is>
          <t>VÄSTMANLANDS LÄN</t>
        </is>
      </c>
      <c r="E222" t="inlineStr">
        <is>
          <t>SALA</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51808-2025</t>
        </is>
      </c>
      <c r="B223" s="1" t="n">
        <v>45951.79302083333</v>
      </c>
      <c r="C223" s="1" t="n">
        <v>46091</v>
      </c>
      <c r="D223" t="inlineStr">
        <is>
          <t>VÄSTMANLANDS LÄN</t>
        </is>
      </c>
      <c r="E223" t="inlineStr">
        <is>
          <t>SALA</t>
        </is>
      </c>
      <c r="F223" t="inlineStr">
        <is>
          <t>Kommuner</t>
        </is>
      </c>
      <c r="G223" t="n">
        <v>3</v>
      </c>
      <c r="H223" t="n">
        <v>0</v>
      </c>
      <c r="I223" t="n">
        <v>0</v>
      </c>
      <c r="J223" t="n">
        <v>0</v>
      </c>
      <c r="K223" t="n">
        <v>0</v>
      </c>
      <c r="L223" t="n">
        <v>0</v>
      </c>
      <c r="M223" t="n">
        <v>0</v>
      </c>
      <c r="N223" t="n">
        <v>0</v>
      </c>
      <c r="O223" t="n">
        <v>0</v>
      </c>
      <c r="P223" t="n">
        <v>0</v>
      </c>
      <c r="Q223" t="n">
        <v>0</v>
      </c>
      <c r="R223" s="2" t="inlineStr"/>
    </row>
    <row r="224" ht="15" customHeight="1">
      <c r="A224" t="inlineStr">
        <is>
          <t>A 7176-2023</t>
        </is>
      </c>
      <c r="B224" s="1" t="n">
        <v>44970</v>
      </c>
      <c r="C224" s="1" t="n">
        <v>46091</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51764-2025</t>
        </is>
      </c>
      <c r="B225" s="1" t="n">
        <v>45951.63636574074</v>
      </c>
      <c r="C225" s="1" t="n">
        <v>46091</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2900-2023</t>
        </is>
      </c>
      <c r="B226" s="1" t="n">
        <v>44943</v>
      </c>
      <c r="C226" s="1" t="n">
        <v>46091</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22624-2025</t>
        </is>
      </c>
      <c r="B227" s="1" t="n">
        <v>45789.43327546296</v>
      </c>
      <c r="C227" s="1" t="n">
        <v>46091</v>
      </c>
      <c r="D227" t="inlineStr">
        <is>
          <t>VÄSTMANLANDS LÄN</t>
        </is>
      </c>
      <c r="E227" t="inlineStr">
        <is>
          <t>SALA</t>
        </is>
      </c>
      <c r="G227" t="n">
        <v>1.5</v>
      </c>
      <c r="H227" t="n">
        <v>0</v>
      </c>
      <c r="I227" t="n">
        <v>0</v>
      </c>
      <c r="J227" t="n">
        <v>0</v>
      </c>
      <c r="K227" t="n">
        <v>0</v>
      </c>
      <c r="L227" t="n">
        <v>0</v>
      </c>
      <c r="M227" t="n">
        <v>0</v>
      </c>
      <c r="N227" t="n">
        <v>0</v>
      </c>
      <c r="O227" t="n">
        <v>0</v>
      </c>
      <c r="P227" t="n">
        <v>0</v>
      </c>
      <c r="Q227" t="n">
        <v>0</v>
      </c>
      <c r="R227" s="2" t="inlineStr"/>
    </row>
    <row r="228" ht="15" customHeight="1">
      <c r="A228" t="inlineStr">
        <is>
          <t>A 60730-2023</t>
        </is>
      </c>
      <c r="B228" s="1" t="n">
        <v>45260</v>
      </c>
      <c r="C228" s="1" t="n">
        <v>46091</v>
      </c>
      <c r="D228" t="inlineStr">
        <is>
          <t>VÄSTMANLANDS LÄN</t>
        </is>
      </c>
      <c r="E228" t="inlineStr">
        <is>
          <t>SALA</t>
        </is>
      </c>
      <c r="G228" t="n">
        <v>1.3</v>
      </c>
      <c r="H228" t="n">
        <v>0</v>
      </c>
      <c r="I228" t="n">
        <v>0</v>
      </c>
      <c r="J228" t="n">
        <v>0</v>
      </c>
      <c r="K228" t="n">
        <v>0</v>
      </c>
      <c r="L228" t="n">
        <v>0</v>
      </c>
      <c r="M228" t="n">
        <v>0</v>
      </c>
      <c r="N228" t="n">
        <v>0</v>
      </c>
      <c r="O228" t="n">
        <v>0</v>
      </c>
      <c r="P228" t="n">
        <v>0</v>
      </c>
      <c r="Q228" t="n">
        <v>0</v>
      </c>
      <c r="R228" s="2" t="inlineStr"/>
    </row>
    <row r="229" ht="15" customHeight="1">
      <c r="A229" t="inlineStr">
        <is>
          <t>A 60731-2023</t>
        </is>
      </c>
      <c r="B229" s="1" t="n">
        <v>45260</v>
      </c>
      <c r="C229" s="1" t="n">
        <v>46091</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31405-2024</t>
        </is>
      </c>
      <c r="B230" s="1" t="n">
        <v>45505.5490625</v>
      </c>
      <c r="C230" s="1" t="n">
        <v>46091</v>
      </c>
      <c r="D230" t="inlineStr">
        <is>
          <t>VÄSTMANLANDS LÄN</t>
        </is>
      </c>
      <c r="E230" t="inlineStr">
        <is>
          <t>SALA</t>
        </is>
      </c>
      <c r="G230" t="n">
        <v>5.2</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46091</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22616-2025</t>
        </is>
      </c>
      <c r="B232" s="1" t="n">
        <v>45789.42752314815</v>
      </c>
      <c r="C232" s="1" t="n">
        <v>46091</v>
      </c>
      <c r="D232" t="inlineStr">
        <is>
          <t>VÄSTMANLANDS LÄN</t>
        </is>
      </c>
      <c r="E232" t="inlineStr">
        <is>
          <t>SALA</t>
        </is>
      </c>
      <c r="G232" t="n">
        <v>0.8</v>
      </c>
      <c r="H232" t="n">
        <v>0</v>
      </c>
      <c r="I232" t="n">
        <v>0</v>
      </c>
      <c r="J232" t="n">
        <v>0</v>
      </c>
      <c r="K232" t="n">
        <v>0</v>
      </c>
      <c r="L232" t="n">
        <v>0</v>
      </c>
      <c r="M232" t="n">
        <v>0</v>
      </c>
      <c r="N232" t="n">
        <v>0</v>
      </c>
      <c r="O232" t="n">
        <v>0</v>
      </c>
      <c r="P232" t="n">
        <v>0</v>
      </c>
      <c r="Q232" t="n">
        <v>0</v>
      </c>
      <c r="R232" s="2" t="inlineStr"/>
    </row>
    <row r="233" ht="15" customHeight="1">
      <c r="A233" t="inlineStr">
        <is>
          <t>A 43600-2024</t>
        </is>
      </c>
      <c r="B233" s="1" t="n">
        <v>45569</v>
      </c>
      <c r="C233" s="1" t="n">
        <v>46091</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13130-2025</t>
        </is>
      </c>
      <c r="B234" s="1" t="n">
        <v>45734</v>
      </c>
      <c r="C234" s="1" t="n">
        <v>46091</v>
      </c>
      <c r="D234" t="inlineStr">
        <is>
          <t>VÄSTMANLANDS LÄN</t>
        </is>
      </c>
      <c r="E234" t="inlineStr">
        <is>
          <t>SALA</t>
        </is>
      </c>
      <c r="G234" t="n">
        <v>1.5</v>
      </c>
      <c r="H234" t="n">
        <v>0</v>
      </c>
      <c r="I234" t="n">
        <v>0</v>
      </c>
      <c r="J234" t="n">
        <v>0</v>
      </c>
      <c r="K234" t="n">
        <v>0</v>
      </c>
      <c r="L234" t="n">
        <v>0</v>
      </c>
      <c r="M234" t="n">
        <v>0</v>
      </c>
      <c r="N234" t="n">
        <v>0</v>
      </c>
      <c r="O234" t="n">
        <v>0</v>
      </c>
      <c r="P234" t="n">
        <v>0</v>
      </c>
      <c r="Q234" t="n">
        <v>0</v>
      </c>
      <c r="R234" s="2" t="inlineStr"/>
    </row>
    <row r="235" ht="15" customHeight="1">
      <c r="A235" t="inlineStr">
        <is>
          <t>A 46279-2021</t>
        </is>
      </c>
      <c r="B235" s="1" t="n">
        <v>44442.57797453704</v>
      </c>
      <c r="C235" s="1" t="n">
        <v>46091</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46091</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39167-2025</t>
        </is>
      </c>
      <c r="B237" s="1" t="n">
        <v>45888</v>
      </c>
      <c r="C237" s="1" t="n">
        <v>46091</v>
      </c>
      <c r="D237" t="inlineStr">
        <is>
          <t>VÄSTMANLANDS LÄN</t>
        </is>
      </c>
      <c r="E237" t="inlineStr">
        <is>
          <t>SALA</t>
        </is>
      </c>
      <c r="G237" t="n">
        <v>5.5</v>
      </c>
      <c r="H237" t="n">
        <v>0</v>
      </c>
      <c r="I237" t="n">
        <v>0</v>
      </c>
      <c r="J237" t="n">
        <v>0</v>
      </c>
      <c r="K237" t="n">
        <v>0</v>
      </c>
      <c r="L237" t="n">
        <v>0</v>
      </c>
      <c r="M237" t="n">
        <v>0</v>
      </c>
      <c r="N237" t="n">
        <v>0</v>
      </c>
      <c r="O237" t="n">
        <v>0</v>
      </c>
      <c r="P237" t="n">
        <v>0</v>
      </c>
      <c r="Q237" t="n">
        <v>0</v>
      </c>
      <c r="R237" s="2" t="inlineStr"/>
    </row>
    <row r="238" ht="15" customHeight="1">
      <c r="A238" t="inlineStr">
        <is>
          <t>A 35976-2024</t>
        </is>
      </c>
      <c r="B238" s="1" t="n">
        <v>45533.49555555556</v>
      </c>
      <c r="C238" s="1" t="n">
        <v>46091</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52498-2022</t>
        </is>
      </c>
      <c r="B239" s="1" t="n">
        <v>44874.50152777778</v>
      </c>
      <c r="C239" s="1" t="n">
        <v>46091</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71471-2021</t>
        </is>
      </c>
      <c r="B240" s="1" t="n">
        <v>44540.53421296296</v>
      </c>
      <c r="C240" s="1" t="n">
        <v>46091</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24169-2025</t>
        </is>
      </c>
      <c r="B241" s="1" t="n">
        <v>45796</v>
      </c>
      <c r="C241" s="1" t="n">
        <v>46091</v>
      </c>
      <c r="D241" t="inlineStr">
        <is>
          <t>VÄSTMANLANDS LÄN</t>
        </is>
      </c>
      <c r="E241" t="inlineStr">
        <is>
          <t>SALA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8775-2024</t>
        </is>
      </c>
      <c r="B242" s="1" t="n">
        <v>45356</v>
      </c>
      <c r="C242" s="1" t="n">
        <v>46091</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22126-2025</t>
        </is>
      </c>
      <c r="B243" s="1" t="n">
        <v>45785</v>
      </c>
      <c r="C243" s="1" t="n">
        <v>46091</v>
      </c>
      <c r="D243" t="inlineStr">
        <is>
          <t>VÄSTMANLANDS LÄN</t>
        </is>
      </c>
      <c r="E243" t="inlineStr">
        <is>
          <t>SALA</t>
        </is>
      </c>
      <c r="G243" t="n">
        <v>10.6</v>
      </c>
      <c r="H243" t="n">
        <v>0</v>
      </c>
      <c r="I243" t="n">
        <v>0</v>
      </c>
      <c r="J243" t="n">
        <v>0</v>
      </c>
      <c r="K243" t="n">
        <v>0</v>
      </c>
      <c r="L243" t="n">
        <v>0</v>
      </c>
      <c r="M243" t="n">
        <v>0</v>
      </c>
      <c r="N243" t="n">
        <v>0</v>
      </c>
      <c r="O243" t="n">
        <v>0</v>
      </c>
      <c r="P243" t="n">
        <v>0</v>
      </c>
      <c r="Q243" t="n">
        <v>0</v>
      </c>
      <c r="R243" s="2" t="inlineStr"/>
    </row>
    <row r="244" ht="15" customHeight="1">
      <c r="A244" t="inlineStr">
        <is>
          <t>A 23810-2025</t>
        </is>
      </c>
      <c r="B244" s="1" t="n">
        <v>45793.56989583333</v>
      </c>
      <c r="C244" s="1" t="n">
        <v>46091</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24944-2023</t>
        </is>
      </c>
      <c r="B245" s="1" t="n">
        <v>45085</v>
      </c>
      <c r="C245" s="1" t="n">
        <v>46091</v>
      </c>
      <c r="D245" t="inlineStr">
        <is>
          <t>VÄSTMANLANDS LÄN</t>
        </is>
      </c>
      <c r="E245" t="inlineStr">
        <is>
          <t>SALA</t>
        </is>
      </c>
      <c r="G245" t="n">
        <v>3.8</v>
      </c>
      <c r="H245" t="n">
        <v>0</v>
      </c>
      <c r="I245" t="n">
        <v>0</v>
      </c>
      <c r="J245" t="n">
        <v>0</v>
      </c>
      <c r="K245" t="n">
        <v>0</v>
      </c>
      <c r="L245" t="n">
        <v>0</v>
      </c>
      <c r="M245" t="n">
        <v>0</v>
      </c>
      <c r="N245" t="n">
        <v>0</v>
      </c>
      <c r="O245" t="n">
        <v>0</v>
      </c>
      <c r="P245" t="n">
        <v>0</v>
      </c>
      <c r="Q245" t="n">
        <v>0</v>
      </c>
      <c r="R245" s="2" t="inlineStr"/>
    </row>
    <row r="246" ht="15" customHeight="1">
      <c r="A246" t="inlineStr">
        <is>
          <t>A 40556-2025</t>
        </is>
      </c>
      <c r="B246" s="1" t="n">
        <v>45896.44944444444</v>
      </c>
      <c r="C246" s="1" t="n">
        <v>46091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39011-2023</t>
        </is>
      </c>
      <c r="B247" s="1" t="n">
        <v>45162</v>
      </c>
      <c r="C247" s="1" t="n">
        <v>46091</v>
      </c>
      <c r="D247" t="inlineStr">
        <is>
          <t>VÄSTMANLANDS LÄN</t>
        </is>
      </c>
      <c r="E247" t="inlineStr">
        <is>
          <t>SALA</t>
        </is>
      </c>
      <c r="G247" t="n">
        <v>1.6</v>
      </c>
      <c r="H247" t="n">
        <v>0</v>
      </c>
      <c r="I247" t="n">
        <v>0</v>
      </c>
      <c r="J247" t="n">
        <v>0</v>
      </c>
      <c r="K247" t="n">
        <v>0</v>
      </c>
      <c r="L247" t="n">
        <v>0</v>
      </c>
      <c r="M247" t="n">
        <v>0</v>
      </c>
      <c r="N247" t="n">
        <v>0</v>
      </c>
      <c r="O247" t="n">
        <v>0</v>
      </c>
      <c r="P247" t="n">
        <v>0</v>
      </c>
      <c r="Q247" t="n">
        <v>0</v>
      </c>
      <c r="R247" s="2" t="inlineStr"/>
    </row>
    <row r="248" ht="15" customHeight="1">
      <c r="A248" t="inlineStr">
        <is>
          <t>A 40559-2025</t>
        </is>
      </c>
      <c r="B248" s="1" t="n">
        <v>45896.45037037037</v>
      </c>
      <c r="C248" s="1" t="n">
        <v>46091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23804-2025</t>
        </is>
      </c>
      <c r="B249" s="1" t="n">
        <v>45793.55995370371</v>
      </c>
      <c r="C249" s="1" t="n">
        <v>46091</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11210-2025</t>
        </is>
      </c>
      <c r="B250" s="1" t="n">
        <v>45726</v>
      </c>
      <c r="C250" s="1" t="n">
        <v>46091</v>
      </c>
      <c r="D250" t="inlineStr">
        <is>
          <t>VÄSTMANLANDS LÄN</t>
        </is>
      </c>
      <c r="E250" t="inlineStr">
        <is>
          <t>SALA</t>
        </is>
      </c>
      <c r="G250" t="n">
        <v>4.1</v>
      </c>
      <c r="H250" t="n">
        <v>0</v>
      </c>
      <c r="I250" t="n">
        <v>0</v>
      </c>
      <c r="J250" t="n">
        <v>0</v>
      </c>
      <c r="K250" t="n">
        <v>0</v>
      </c>
      <c r="L250" t="n">
        <v>0</v>
      </c>
      <c r="M250" t="n">
        <v>0</v>
      </c>
      <c r="N250" t="n">
        <v>0</v>
      </c>
      <c r="O250" t="n">
        <v>0</v>
      </c>
      <c r="P250" t="n">
        <v>0</v>
      </c>
      <c r="Q250" t="n">
        <v>0</v>
      </c>
      <c r="R250" s="2" t="inlineStr"/>
    </row>
    <row r="251" ht="15" customHeight="1">
      <c r="A251" t="inlineStr">
        <is>
          <t>A 56547-2022</t>
        </is>
      </c>
      <c r="B251" s="1" t="n">
        <v>44893.48284722222</v>
      </c>
      <c r="C251" s="1" t="n">
        <v>46091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19297-2025</t>
        </is>
      </c>
      <c r="B252" s="1" t="n">
        <v>45769.56261574074</v>
      </c>
      <c r="C252" s="1" t="n">
        <v>46091</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46091</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56916-2022</t>
        </is>
      </c>
      <c r="B254" s="1" t="n">
        <v>44888</v>
      </c>
      <c r="C254" s="1" t="n">
        <v>46091</v>
      </c>
      <c r="D254" t="inlineStr">
        <is>
          <t>VÄSTMANLANDS LÄN</t>
        </is>
      </c>
      <c r="E254" t="inlineStr">
        <is>
          <t>SALA</t>
        </is>
      </c>
      <c r="G254" t="n">
        <v>1.7</v>
      </c>
      <c r="H254" t="n">
        <v>0</v>
      </c>
      <c r="I254" t="n">
        <v>0</v>
      </c>
      <c r="J254" t="n">
        <v>0</v>
      </c>
      <c r="K254" t="n">
        <v>0</v>
      </c>
      <c r="L254" t="n">
        <v>0</v>
      </c>
      <c r="M254" t="n">
        <v>0</v>
      </c>
      <c r="N254" t="n">
        <v>0</v>
      </c>
      <c r="O254" t="n">
        <v>0</v>
      </c>
      <c r="P254" t="n">
        <v>0</v>
      </c>
      <c r="Q254" t="n">
        <v>0</v>
      </c>
      <c r="R254" s="2" t="inlineStr"/>
    </row>
    <row r="255" ht="15" customHeight="1">
      <c r="A255" t="inlineStr">
        <is>
          <t>A 24460-2025</t>
        </is>
      </c>
      <c r="B255" s="1" t="n">
        <v>45798</v>
      </c>
      <c r="C255" s="1" t="n">
        <v>46091</v>
      </c>
      <c r="D255" t="inlineStr">
        <is>
          <t>VÄSTMANLANDS LÄN</t>
        </is>
      </c>
      <c r="E255" t="inlineStr">
        <is>
          <t>SALA</t>
        </is>
      </c>
      <c r="F255" t="inlineStr">
        <is>
          <t>Bergvik skog öst AB</t>
        </is>
      </c>
      <c r="G255" t="n">
        <v>2.6</v>
      </c>
      <c r="H255" t="n">
        <v>0</v>
      </c>
      <c r="I255" t="n">
        <v>0</v>
      </c>
      <c r="J255" t="n">
        <v>0</v>
      </c>
      <c r="K255" t="n">
        <v>0</v>
      </c>
      <c r="L255" t="n">
        <v>0</v>
      </c>
      <c r="M255" t="n">
        <v>0</v>
      </c>
      <c r="N255" t="n">
        <v>0</v>
      </c>
      <c r="O255" t="n">
        <v>0</v>
      </c>
      <c r="P255" t="n">
        <v>0</v>
      </c>
      <c r="Q255" t="n">
        <v>0</v>
      </c>
      <c r="R255" s="2" t="inlineStr"/>
    </row>
    <row r="256" ht="15" customHeight="1">
      <c r="A256" t="inlineStr">
        <is>
          <t>A 41230-2025</t>
        </is>
      </c>
      <c r="B256" s="1" t="n">
        <v>45898</v>
      </c>
      <c r="C256" s="1" t="n">
        <v>46091</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55065-2024</t>
        </is>
      </c>
      <c r="B257" s="1" t="n">
        <v>45618</v>
      </c>
      <c r="C257" s="1" t="n">
        <v>46091</v>
      </c>
      <c r="D257" t="inlineStr">
        <is>
          <t>VÄSTMANLANDS LÄN</t>
        </is>
      </c>
      <c r="E257" t="inlineStr">
        <is>
          <t>SALA</t>
        </is>
      </c>
      <c r="G257" t="n">
        <v>3.5</v>
      </c>
      <c r="H257" t="n">
        <v>0</v>
      </c>
      <c r="I257" t="n">
        <v>0</v>
      </c>
      <c r="J257" t="n">
        <v>0</v>
      </c>
      <c r="K257" t="n">
        <v>0</v>
      </c>
      <c r="L257" t="n">
        <v>0</v>
      </c>
      <c r="M257" t="n">
        <v>0</v>
      </c>
      <c r="N257" t="n">
        <v>0</v>
      </c>
      <c r="O257" t="n">
        <v>0</v>
      </c>
      <c r="P257" t="n">
        <v>0</v>
      </c>
      <c r="Q257" t="n">
        <v>0</v>
      </c>
      <c r="R257" s="2" t="inlineStr"/>
    </row>
    <row r="258" ht="15" customHeight="1">
      <c r="A258" t="inlineStr">
        <is>
          <t>A 24463-2025</t>
        </is>
      </c>
      <c r="B258" s="1" t="n">
        <v>45798</v>
      </c>
      <c r="C258" s="1" t="n">
        <v>46091</v>
      </c>
      <c r="D258" t="inlineStr">
        <is>
          <t>VÄSTMANLANDS LÄN</t>
        </is>
      </c>
      <c r="E258" t="inlineStr">
        <is>
          <t>SALA</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41431-2025</t>
        </is>
      </c>
      <c r="B259" s="1" t="n">
        <v>45901.39347222223</v>
      </c>
      <c r="C259" s="1" t="n">
        <v>46091</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45313-2024</t>
        </is>
      </c>
      <c r="B260" s="1" t="n">
        <v>45576</v>
      </c>
      <c r="C260" s="1" t="n">
        <v>46091</v>
      </c>
      <c r="D260" t="inlineStr">
        <is>
          <t>VÄSTMANLANDS LÄN</t>
        </is>
      </c>
      <c r="E260" t="inlineStr">
        <is>
          <t>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56535-2022</t>
        </is>
      </c>
      <c r="B261" s="1" t="n">
        <v>44893.47173611111</v>
      </c>
      <c r="C261" s="1" t="n">
        <v>46091</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41414-2025</t>
        </is>
      </c>
      <c r="B262" s="1" t="n">
        <v>45901.360625</v>
      </c>
      <c r="C262" s="1" t="n">
        <v>46091</v>
      </c>
      <c r="D262" t="inlineStr">
        <is>
          <t>VÄSTMANLANDS LÄN</t>
        </is>
      </c>
      <c r="E262" t="inlineStr">
        <is>
          <t>SALA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53164-2024</t>
        </is>
      </c>
      <c r="B263" s="1" t="n">
        <v>45611.64887731482</v>
      </c>
      <c r="C263" s="1" t="n">
        <v>46091</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47909-2022</t>
        </is>
      </c>
      <c r="B264" s="1" t="n">
        <v>44855</v>
      </c>
      <c r="C264" s="1" t="n">
        <v>46091</v>
      </c>
      <c r="D264" t="inlineStr">
        <is>
          <t>VÄSTMANLANDS LÄN</t>
        </is>
      </c>
      <c r="E264" t="inlineStr">
        <is>
          <t>SALA</t>
        </is>
      </c>
      <c r="F264" t="inlineStr">
        <is>
          <t>Bergvik skog öst AB</t>
        </is>
      </c>
      <c r="G264" t="n">
        <v>2</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46091</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56687-2024</t>
        </is>
      </c>
      <c r="B266" s="1" t="n">
        <v>45627.63271990741</v>
      </c>
      <c r="C266" s="1" t="n">
        <v>46091</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61717-2024</t>
        </is>
      </c>
      <c r="B267" s="1" t="n">
        <v>45648</v>
      </c>
      <c r="C267" s="1" t="n">
        <v>46091</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61715-2024</t>
        </is>
      </c>
      <c r="B268" s="1" t="n">
        <v>45648.89519675926</v>
      </c>
      <c r="C268" s="1" t="n">
        <v>46091</v>
      </c>
      <c r="D268" t="inlineStr">
        <is>
          <t>VÄSTMANLANDS LÄN</t>
        </is>
      </c>
      <c r="E268" t="inlineStr">
        <is>
          <t>SALA</t>
        </is>
      </c>
      <c r="G268" t="n">
        <v>2.5</v>
      </c>
      <c r="H268" t="n">
        <v>0</v>
      </c>
      <c r="I268" t="n">
        <v>0</v>
      </c>
      <c r="J268" t="n">
        <v>0</v>
      </c>
      <c r="K268" t="n">
        <v>0</v>
      </c>
      <c r="L268" t="n">
        <v>0</v>
      </c>
      <c r="M268" t="n">
        <v>0</v>
      </c>
      <c r="N268" t="n">
        <v>0</v>
      </c>
      <c r="O268" t="n">
        <v>0</v>
      </c>
      <c r="P268" t="n">
        <v>0</v>
      </c>
      <c r="Q268" t="n">
        <v>0</v>
      </c>
      <c r="R268" s="2" t="inlineStr"/>
    </row>
    <row r="269" ht="15" customHeight="1">
      <c r="A269" t="inlineStr">
        <is>
          <t>A 24907-2025</t>
        </is>
      </c>
      <c r="B269" s="1" t="n">
        <v>45799</v>
      </c>
      <c r="C269" s="1" t="n">
        <v>46091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24910-2025</t>
        </is>
      </c>
      <c r="B270" s="1" t="n">
        <v>45799.53775462963</v>
      </c>
      <c r="C270" s="1" t="n">
        <v>46091</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16404-2022</t>
        </is>
      </c>
      <c r="B271" s="1" t="n">
        <v>44671</v>
      </c>
      <c r="C271" s="1" t="n">
        <v>46091</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6097-2022</t>
        </is>
      </c>
      <c r="B272" s="1" t="n">
        <v>44599</v>
      </c>
      <c r="C272" s="1" t="n">
        <v>46091</v>
      </c>
      <c r="D272" t="inlineStr">
        <is>
          <t>VÄSTMANLANDS LÄN</t>
        </is>
      </c>
      <c r="E272" t="inlineStr">
        <is>
          <t>SALA</t>
        </is>
      </c>
      <c r="G272" t="n">
        <v>0.6</v>
      </c>
      <c r="H272" t="n">
        <v>0</v>
      </c>
      <c r="I272" t="n">
        <v>0</v>
      </c>
      <c r="J272" t="n">
        <v>0</v>
      </c>
      <c r="K272" t="n">
        <v>0</v>
      </c>
      <c r="L272" t="n">
        <v>0</v>
      </c>
      <c r="M272" t="n">
        <v>0</v>
      </c>
      <c r="N272" t="n">
        <v>0</v>
      </c>
      <c r="O272" t="n">
        <v>0</v>
      </c>
      <c r="P272" t="n">
        <v>0</v>
      </c>
      <c r="Q272" t="n">
        <v>0</v>
      </c>
      <c r="R272" s="2" t="inlineStr"/>
    </row>
    <row r="273" ht="15" customHeight="1">
      <c r="A273" t="inlineStr">
        <is>
          <t>A 10559-2024</t>
        </is>
      </c>
      <c r="B273" s="1" t="n">
        <v>45366</v>
      </c>
      <c r="C273" s="1" t="n">
        <v>46091</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21968-2024</t>
        </is>
      </c>
      <c r="B274" s="1" t="n">
        <v>45443</v>
      </c>
      <c r="C274" s="1" t="n">
        <v>46091</v>
      </c>
      <c r="D274" t="inlineStr">
        <is>
          <t>VÄSTMANLANDS LÄN</t>
        </is>
      </c>
      <c r="E274" t="inlineStr">
        <is>
          <t>SALA</t>
        </is>
      </c>
      <c r="G274" t="n">
        <v>1.9</v>
      </c>
      <c r="H274" t="n">
        <v>0</v>
      </c>
      <c r="I274" t="n">
        <v>0</v>
      </c>
      <c r="J274" t="n">
        <v>0</v>
      </c>
      <c r="K274" t="n">
        <v>0</v>
      </c>
      <c r="L274" t="n">
        <v>0</v>
      </c>
      <c r="M274" t="n">
        <v>0</v>
      </c>
      <c r="N274" t="n">
        <v>0</v>
      </c>
      <c r="O274" t="n">
        <v>0</v>
      </c>
      <c r="P274" t="n">
        <v>0</v>
      </c>
      <c r="Q274" t="n">
        <v>0</v>
      </c>
      <c r="R274" s="2" t="inlineStr"/>
    </row>
    <row r="275" ht="15" customHeight="1">
      <c r="A275" t="inlineStr">
        <is>
          <t>A 60545-2024</t>
        </is>
      </c>
      <c r="B275" s="1" t="n">
        <v>45643</v>
      </c>
      <c r="C275" s="1" t="n">
        <v>46091</v>
      </c>
      <c r="D275" t="inlineStr">
        <is>
          <t>VÄSTMANLANDS LÄN</t>
        </is>
      </c>
      <c r="E275" t="inlineStr">
        <is>
          <t>SALA</t>
        </is>
      </c>
      <c r="G275" t="n">
        <v>3.3</v>
      </c>
      <c r="H275" t="n">
        <v>0</v>
      </c>
      <c r="I275" t="n">
        <v>0</v>
      </c>
      <c r="J275" t="n">
        <v>0</v>
      </c>
      <c r="K275" t="n">
        <v>0</v>
      </c>
      <c r="L275" t="n">
        <v>0</v>
      </c>
      <c r="M275" t="n">
        <v>0</v>
      </c>
      <c r="N275" t="n">
        <v>0</v>
      </c>
      <c r="O275" t="n">
        <v>0</v>
      </c>
      <c r="P275" t="n">
        <v>0</v>
      </c>
      <c r="Q275" t="n">
        <v>0</v>
      </c>
      <c r="R275" s="2" t="inlineStr"/>
    </row>
    <row r="276" ht="15" customHeight="1">
      <c r="A276" t="inlineStr">
        <is>
          <t>A 60547-2024</t>
        </is>
      </c>
      <c r="B276" s="1" t="n">
        <v>45643</v>
      </c>
      <c r="C276" s="1" t="n">
        <v>46091</v>
      </c>
      <c r="D276" t="inlineStr">
        <is>
          <t>VÄSTMANLANDS LÄN</t>
        </is>
      </c>
      <c r="E276" t="inlineStr">
        <is>
          <t>SALA</t>
        </is>
      </c>
      <c r="G276" t="n">
        <v>0.6</v>
      </c>
      <c r="H276" t="n">
        <v>0</v>
      </c>
      <c r="I276" t="n">
        <v>0</v>
      </c>
      <c r="J276" t="n">
        <v>0</v>
      </c>
      <c r="K276" t="n">
        <v>0</v>
      </c>
      <c r="L276" t="n">
        <v>0</v>
      </c>
      <c r="M276" t="n">
        <v>0</v>
      </c>
      <c r="N276" t="n">
        <v>0</v>
      </c>
      <c r="O276" t="n">
        <v>0</v>
      </c>
      <c r="P276" t="n">
        <v>0</v>
      </c>
      <c r="Q276" t="n">
        <v>0</v>
      </c>
      <c r="R276" s="2" t="inlineStr"/>
    </row>
    <row r="277" ht="15" customHeight="1">
      <c r="A277" t="inlineStr">
        <is>
          <t>A 10909-2024</t>
        </is>
      </c>
      <c r="B277" s="1" t="n">
        <v>45370</v>
      </c>
      <c r="C277" s="1" t="n">
        <v>46091</v>
      </c>
      <c r="D277" t="inlineStr">
        <is>
          <t>VÄSTMANLANDS LÄN</t>
        </is>
      </c>
      <c r="E277" t="inlineStr">
        <is>
          <t>SALA</t>
        </is>
      </c>
      <c r="G277" t="n">
        <v>3.3</v>
      </c>
      <c r="H277" t="n">
        <v>0</v>
      </c>
      <c r="I277" t="n">
        <v>0</v>
      </c>
      <c r="J277" t="n">
        <v>0</v>
      </c>
      <c r="K277" t="n">
        <v>0</v>
      </c>
      <c r="L277" t="n">
        <v>0</v>
      </c>
      <c r="M277" t="n">
        <v>0</v>
      </c>
      <c r="N277" t="n">
        <v>0</v>
      </c>
      <c r="O277" t="n">
        <v>0</v>
      </c>
      <c r="P277" t="n">
        <v>0</v>
      </c>
      <c r="Q277" t="n">
        <v>0</v>
      </c>
      <c r="R277" s="2" t="inlineStr"/>
    </row>
    <row r="278" ht="15" customHeight="1">
      <c r="A278" t="inlineStr">
        <is>
          <t>A 15965-2024</t>
        </is>
      </c>
      <c r="B278" s="1" t="n">
        <v>45405.55740740741</v>
      </c>
      <c r="C278" s="1" t="n">
        <v>46091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42421-2025</t>
        </is>
      </c>
      <c r="B279" s="1" t="n">
        <v>45905.40067129629</v>
      </c>
      <c r="C279" s="1" t="n">
        <v>46091</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1196-2023</t>
        </is>
      </c>
      <c r="B280" s="1" t="n">
        <v>44935.82290509259</v>
      </c>
      <c r="C280" s="1" t="n">
        <v>46091</v>
      </c>
      <c r="D280" t="inlineStr">
        <is>
          <t>VÄSTMANLANDS LÄN</t>
        </is>
      </c>
      <c r="E280" t="inlineStr">
        <is>
          <t>SALA</t>
        </is>
      </c>
      <c r="G280" t="n">
        <v>4.1</v>
      </c>
      <c r="H280" t="n">
        <v>0</v>
      </c>
      <c r="I280" t="n">
        <v>0</v>
      </c>
      <c r="J280" t="n">
        <v>0</v>
      </c>
      <c r="K280" t="n">
        <v>0</v>
      </c>
      <c r="L280" t="n">
        <v>0</v>
      </c>
      <c r="M280" t="n">
        <v>0</v>
      </c>
      <c r="N280" t="n">
        <v>0</v>
      </c>
      <c r="O280" t="n">
        <v>0</v>
      </c>
      <c r="P280" t="n">
        <v>0</v>
      </c>
      <c r="Q280" t="n">
        <v>0</v>
      </c>
      <c r="R280" s="2" t="inlineStr"/>
    </row>
    <row r="281" ht="15" customHeight="1">
      <c r="A281" t="inlineStr">
        <is>
          <t>A 43028-2025</t>
        </is>
      </c>
      <c r="B281" s="1" t="n">
        <v>45909.53472222222</v>
      </c>
      <c r="C281" s="1" t="n">
        <v>46091</v>
      </c>
      <c r="D281" t="inlineStr">
        <is>
          <t>VÄSTMANLANDS LÄN</t>
        </is>
      </c>
      <c r="E281" t="inlineStr">
        <is>
          <t>SALA</t>
        </is>
      </c>
      <c r="G281" t="n">
        <v>3.8</v>
      </c>
      <c r="H281" t="n">
        <v>0</v>
      </c>
      <c r="I281" t="n">
        <v>0</v>
      </c>
      <c r="J281" t="n">
        <v>0</v>
      </c>
      <c r="K281" t="n">
        <v>0</v>
      </c>
      <c r="L281" t="n">
        <v>0</v>
      </c>
      <c r="M281" t="n">
        <v>0</v>
      </c>
      <c r="N281" t="n">
        <v>0</v>
      </c>
      <c r="O281" t="n">
        <v>0</v>
      </c>
      <c r="P281" t="n">
        <v>0</v>
      </c>
      <c r="Q281" t="n">
        <v>0</v>
      </c>
      <c r="R281" s="2" t="inlineStr"/>
    </row>
    <row r="282" ht="15" customHeight="1">
      <c r="A282" t="inlineStr">
        <is>
          <t>A 43328-2025</t>
        </is>
      </c>
      <c r="B282" s="1" t="n">
        <v>45910</v>
      </c>
      <c r="C282" s="1" t="n">
        <v>46091</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62651-2022</t>
        </is>
      </c>
      <c r="B283" s="1" t="n">
        <v>44917</v>
      </c>
      <c r="C283" s="1" t="n">
        <v>46091</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54836-2024</t>
        </is>
      </c>
      <c r="B284" s="1" t="n">
        <v>45618</v>
      </c>
      <c r="C284" s="1" t="n">
        <v>46091</v>
      </c>
      <c r="D284" t="inlineStr">
        <is>
          <t>VÄSTMANLANDS LÄN</t>
        </is>
      </c>
      <c r="E284" t="inlineStr">
        <is>
          <t>SALA</t>
        </is>
      </c>
      <c r="G284" t="n">
        <v>0.6</v>
      </c>
      <c r="H284" t="n">
        <v>0</v>
      </c>
      <c r="I284" t="n">
        <v>0</v>
      </c>
      <c r="J284" t="n">
        <v>0</v>
      </c>
      <c r="K284" t="n">
        <v>0</v>
      </c>
      <c r="L284" t="n">
        <v>0</v>
      </c>
      <c r="M284" t="n">
        <v>0</v>
      </c>
      <c r="N284" t="n">
        <v>0</v>
      </c>
      <c r="O284" t="n">
        <v>0</v>
      </c>
      <c r="P284" t="n">
        <v>0</v>
      </c>
      <c r="Q284" t="n">
        <v>0</v>
      </c>
      <c r="R284" s="2" t="inlineStr"/>
    </row>
    <row r="285" ht="15" customHeight="1">
      <c r="A285" t="inlineStr">
        <is>
          <t>A 13987-2023</t>
        </is>
      </c>
      <c r="B285" s="1" t="n">
        <v>45007</v>
      </c>
      <c r="C285" s="1" t="n">
        <v>46091</v>
      </c>
      <c r="D285" t="inlineStr">
        <is>
          <t>VÄSTMANLANDS LÄN</t>
        </is>
      </c>
      <c r="E285" t="inlineStr">
        <is>
          <t>SALA</t>
        </is>
      </c>
      <c r="G285" t="n">
        <v>3.2</v>
      </c>
      <c r="H285" t="n">
        <v>0</v>
      </c>
      <c r="I285" t="n">
        <v>0</v>
      </c>
      <c r="J285" t="n">
        <v>0</v>
      </c>
      <c r="K285" t="n">
        <v>0</v>
      </c>
      <c r="L285" t="n">
        <v>0</v>
      </c>
      <c r="M285" t="n">
        <v>0</v>
      </c>
      <c r="N285" t="n">
        <v>0</v>
      </c>
      <c r="O285" t="n">
        <v>0</v>
      </c>
      <c r="P285" t="n">
        <v>0</v>
      </c>
      <c r="Q285" t="n">
        <v>0</v>
      </c>
      <c r="R285" s="2" t="inlineStr"/>
    </row>
    <row r="286" ht="15" customHeight="1">
      <c r="A286" t="inlineStr">
        <is>
          <t>A 13990-2023</t>
        </is>
      </c>
      <c r="B286" s="1" t="n">
        <v>45007</v>
      </c>
      <c r="C286" s="1" t="n">
        <v>46091</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43031-2025</t>
        </is>
      </c>
      <c r="B287" s="1" t="n">
        <v>45909.53856481481</v>
      </c>
      <c r="C287" s="1" t="n">
        <v>46091</v>
      </c>
      <c r="D287" t="inlineStr">
        <is>
          <t>VÄSTMANLANDS LÄN</t>
        </is>
      </c>
      <c r="E287" t="inlineStr">
        <is>
          <t>SALA</t>
        </is>
      </c>
      <c r="G287" t="n">
        <v>0.2</v>
      </c>
      <c r="H287" t="n">
        <v>0</v>
      </c>
      <c r="I287" t="n">
        <v>0</v>
      </c>
      <c r="J287" t="n">
        <v>0</v>
      </c>
      <c r="K287" t="n">
        <v>0</v>
      </c>
      <c r="L287" t="n">
        <v>0</v>
      </c>
      <c r="M287" t="n">
        <v>0</v>
      </c>
      <c r="N287" t="n">
        <v>0</v>
      </c>
      <c r="O287" t="n">
        <v>0</v>
      </c>
      <c r="P287" t="n">
        <v>0</v>
      </c>
      <c r="Q287" t="n">
        <v>0</v>
      </c>
      <c r="R287" s="2" t="inlineStr"/>
    </row>
    <row r="288" ht="15" customHeight="1">
      <c r="A288" t="inlineStr">
        <is>
          <t>A 53744-2025</t>
        </is>
      </c>
      <c r="B288" s="1" t="n">
        <v>45960.64863425926</v>
      </c>
      <c r="C288" s="1" t="n">
        <v>46091</v>
      </c>
      <c r="D288" t="inlineStr">
        <is>
          <t>VÄSTMANLANDS LÄN</t>
        </is>
      </c>
      <c r="E288" t="inlineStr">
        <is>
          <t>SALA</t>
        </is>
      </c>
      <c r="G288" t="n">
        <v>2</v>
      </c>
      <c r="H288" t="n">
        <v>0</v>
      </c>
      <c r="I288" t="n">
        <v>0</v>
      </c>
      <c r="J288" t="n">
        <v>0</v>
      </c>
      <c r="K288" t="n">
        <v>0</v>
      </c>
      <c r="L288" t="n">
        <v>0</v>
      </c>
      <c r="M288" t="n">
        <v>0</v>
      </c>
      <c r="N288" t="n">
        <v>0</v>
      </c>
      <c r="O288" t="n">
        <v>0</v>
      </c>
      <c r="P288" t="n">
        <v>0</v>
      </c>
      <c r="Q288" t="n">
        <v>0</v>
      </c>
      <c r="R288" s="2" t="inlineStr"/>
    </row>
    <row r="289" ht="15" customHeight="1">
      <c r="A289" t="inlineStr">
        <is>
          <t>A 17495-2024</t>
        </is>
      </c>
      <c r="B289" s="1" t="n">
        <v>45415</v>
      </c>
      <c r="C289" s="1" t="n">
        <v>46091</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37263-2025</t>
        </is>
      </c>
      <c r="B290" s="1" t="n">
        <v>45876.4584837963</v>
      </c>
      <c r="C290" s="1" t="n">
        <v>46091</v>
      </c>
      <c r="D290" t="inlineStr">
        <is>
          <t>VÄSTMANLANDS LÄN</t>
        </is>
      </c>
      <c r="E290" t="inlineStr">
        <is>
          <t>SALA</t>
        </is>
      </c>
      <c r="G290" t="n">
        <v>2.3</v>
      </c>
      <c r="H290" t="n">
        <v>0</v>
      </c>
      <c r="I290" t="n">
        <v>0</v>
      </c>
      <c r="J290" t="n">
        <v>0</v>
      </c>
      <c r="K290" t="n">
        <v>0</v>
      </c>
      <c r="L290" t="n">
        <v>0</v>
      </c>
      <c r="M290" t="n">
        <v>0</v>
      </c>
      <c r="N290" t="n">
        <v>0</v>
      </c>
      <c r="O290" t="n">
        <v>0</v>
      </c>
      <c r="P290" t="n">
        <v>0</v>
      </c>
      <c r="Q290" t="n">
        <v>0</v>
      </c>
      <c r="R290" s="2" t="inlineStr"/>
    </row>
    <row r="291" ht="15" customHeight="1">
      <c r="A291" t="inlineStr">
        <is>
          <t>A 40554-2025</t>
        </is>
      </c>
      <c r="B291" s="1" t="n">
        <v>45896.44506944445</v>
      </c>
      <c r="C291" s="1" t="n">
        <v>46091</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51464-2024</t>
        </is>
      </c>
      <c r="B292" s="1" t="n">
        <v>45604.49768518518</v>
      </c>
      <c r="C292" s="1" t="n">
        <v>46091</v>
      </c>
      <c r="D292" t="inlineStr">
        <is>
          <t>VÄSTMANLANDS LÄN</t>
        </is>
      </c>
      <c r="E292" t="inlineStr">
        <is>
          <t>SALA</t>
        </is>
      </c>
      <c r="G292" t="n">
        <v>3.9</v>
      </c>
      <c r="H292" t="n">
        <v>0</v>
      </c>
      <c r="I292" t="n">
        <v>0</v>
      </c>
      <c r="J292" t="n">
        <v>0</v>
      </c>
      <c r="K292" t="n">
        <v>0</v>
      </c>
      <c r="L292" t="n">
        <v>0</v>
      </c>
      <c r="M292" t="n">
        <v>0</v>
      </c>
      <c r="N292" t="n">
        <v>0</v>
      </c>
      <c r="O292" t="n">
        <v>0</v>
      </c>
      <c r="P292" t="n">
        <v>0</v>
      </c>
      <c r="Q292" t="n">
        <v>0</v>
      </c>
      <c r="R292" s="2" t="inlineStr"/>
    </row>
    <row r="293" ht="15" customHeight="1">
      <c r="A293" t="inlineStr">
        <is>
          <t>A 43129-2025</t>
        </is>
      </c>
      <c r="B293" s="1" t="n">
        <v>45909</v>
      </c>
      <c r="C293" s="1" t="n">
        <v>46091</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43130-2025</t>
        </is>
      </c>
      <c r="B294" s="1" t="n">
        <v>45909</v>
      </c>
      <c r="C294" s="1" t="n">
        <v>46091</v>
      </c>
      <c r="D294" t="inlineStr">
        <is>
          <t>VÄSTMANLANDS LÄN</t>
        </is>
      </c>
      <c r="E294" t="inlineStr">
        <is>
          <t>SALA</t>
        </is>
      </c>
      <c r="G294" t="n">
        <v>0.9</v>
      </c>
      <c r="H294" t="n">
        <v>0</v>
      </c>
      <c r="I294" t="n">
        <v>0</v>
      </c>
      <c r="J294" t="n">
        <v>0</v>
      </c>
      <c r="K294" t="n">
        <v>0</v>
      </c>
      <c r="L294" t="n">
        <v>0</v>
      </c>
      <c r="M294" t="n">
        <v>0</v>
      </c>
      <c r="N294" t="n">
        <v>0</v>
      </c>
      <c r="O294" t="n">
        <v>0</v>
      </c>
      <c r="P294" t="n">
        <v>0</v>
      </c>
      <c r="Q294" t="n">
        <v>0</v>
      </c>
      <c r="R294" s="2" t="inlineStr"/>
    </row>
    <row r="295" ht="15" customHeight="1">
      <c r="A295" t="inlineStr">
        <is>
          <t>A 43128-2025</t>
        </is>
      </c>
      <c r="B295" s="1" t="n">
        <v>45909</v>
      </c>
      <c r="C295" s="1" t="n">
        <v>46091</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1128-2025</t>
        </is>
      </c>
      <c r="B296" s="1" t="n">
        <v>45666.68469907407</v>
      </c>
      <c r="C296" s="1" t="n">
        <v>46091</v>
      </c>
      <c r="D296" t="inlineStr">
        <is>
          <t>VÄSTMANLANDS LÄN</t>
        </is>
      </c>
      <c r="E296" t="inlineStr">
        <is>
          <t>SALA</t>
        </is>
      </c>
      <c r="G296" t="n">
        <v>2.5</v>
      </c>
      <c r="H296" t="n">
        <v>0</v>
      </c>
      <c r="I296" t="n">
        <v>0</v>
      </c>
      <c r="J296" t="n">
        <v>0</v>
      </c>
      <c r="K296" t="n">
        <v>0</v>
      </c>
      <c r="L296" t="n">
        <v>0</v>
      </c>
      <c r="M296" t="n">
        <v>0</v>
      </c>
      <c r="N296" t="n">
        <v>0</v>
      </c>
      <c r="O296" t="n">
        <v>0</v>
      </c>
      <c r="P296" t="n">
        <v>0</v>
      </c>
      <c r="Q296" t="n">
        <v>0</v>
      </c>
      <c r="R296" s="2" t="inlineStr"/>
    </row>
    <row r="297" ht="15" customHeight="1">
      <c r="A297" t="inlineStr">
        <is>
          <t>A 43127-2025</t>
        </is>
      </c>
      <c r="B297" s="1" t="n">
        <v>45909</v>
      </c>
      <c r="C297" s="1" t="n">
        <v>46091</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43176-2023</t>
        </is>
      </c>
      <c r="B298" s="1" t="n">
        <v>45183</v>
      </c>
      <c r="C298" s="1" t="n">
        <v>46091</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53725-2025</t>
        </is>
      </c>
      <c r="B299" s="1" t="n">
        <v>45960.63394675926</v>
      </c>
      <c r="C299" s="1" t="n">
        <v>46091</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73835-2021</t>
        </is>
      </c>
      <c r="B300" s="1" t="n">
        <v>44552.92112268518</v>
      </c>
      <c r="C300" s="1" t="n">
        <v>46091</v>
      </c>
      <c r="D300" t="inlineStr">
        <is>
          <t>VÄSTMANLANDS LÄN</t>
        </is>
      </c>
      <c r="E300" t="inlineStr">
        <is>
          <t>SALA</t>
        </is>
      </c>
      <c r="G300" t="n">
        <v>2</v>
      </c>
      <c r="H300" t="n">
        <v>0</v>
      </c>
      <c r="I300" t="n">
        <v>0</v>
      </c>
      <c r="J300" t="n">
        <v>0</v>
      </c>
      <c r="K300" t="n">
        <v>0</v>
      </c>
      <c r="L300" t="n">
        <v>0</v>
      </c>
      <c r="M300" t="n">
        <v>0</v>
      </c>
      <c r="N300" t="n">
        <v>0</v>
      </c>
      <c r="O300" t="n">
        <v>0</v>
      </c>
      <c r="P300" t="n">
        <v>0</v>
      </c>
      <c r="Q300" t="n">
        <v>0</v>
      </c>
      <c r="R300" s="2" t="inlineStr"/>
    </row>
    <row r="301" ht="15" customHeight="1">
      <c r="A301" t="inlineStr">
        <is>
          <t>A 60379-2022</t>
        </is>
      </c>
      <c r="B301" s="1" t="n">
        <v>44910</v>
      </c>
      <c r="C301" s="1" t="n">
        <v>46091</v>
      </c>
      <c r="D301" t="inlineStr">
        <is>
          <t>VÄSTMANLANDS LÄN</t>
        </is>
      </c>
      <c r="E301" t="inlineStr">
        <is>
          <t>SALA</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1638-2023</t>
        </is>
      </c>
      <c r="B302" s="1" t="n">
        <v>44937</v>
      </c>
      <c r="C302" s="1" t="n">
        <v>46091</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7953-2024</t>
        </is>
      </c>
      <c r="B303" s="1" t="n">
        <v>45350</v>
      </c>
      <c r="C303" s="1" t="n">
        <v>46091</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5477-2024</t>
        </is>
      </c>
      <c r="B304" s="1" t="n">
        <v>45333.67833333334</v>
      </c>
      <c r="C304" s="1" t="n">
        <v>46091</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53724-2025</t>
        </is>
      </c>
      <c r="B305" s="1" t="n">
        <v>45960.63174768518</v>
      </c>
      <c r="C305" s="1" t="n">
        <v>46091</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26507-2023</t>
        </is>
      </c>
      <c r="B306" s="1" t="n">
        <v>45092</v>
      </c>
      <c r="C306" s="1" t="n">
        <v>46091</v>
      </c>
      <c r="D306" t="inlineStr">
        <is>
          <t>VÄSTMANLANDS LÄN</t>
        </is>
      </c>
      <c r="E306" t="inlineStr">
        <is>
          <t>SALA</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6032-2025</t>
        </is>
      </c>
      <c r="B307" s="1" t="n">
        <v>45695.6371875</v>
      </c>
      <c r="C307" s="1" t="n">
        <v>46091</v>
      </c>
      <c r="D307" t="inlineStr">
        <is>
          <t>VÄSTMANLANDS LÄN</t>
        </is>
      </c>
      <c r="E307" t="inlineStr">
        <is>
          <t>SALA</t>
        </is>
      </c>
      <c r="F307" t="inlineStr">
        <is>
          <t>Bergvik skog öst AB</t>
        </is>
      </c>
      <c r="G307" t="n">
        <v>8.1</v>
      </c>
      <c r="H307" t="n">
        <v>0</v>
      </c>
      <c r="I307" t="n">
        <v>0</v>
      </c>
      <c r="J307" t="n">
        <v>0</v>
      </c>
      <c r="K307" t="n">
        <v>0</v>
      </c>
      <c r="L307" t="n">
        <v>0</v>
      </c>
      <c r="M307" t="n">
        <v>0</v>
      </c>
      <c r="N307" t="n">
        <v>0</v>
      </c>
      <c r="O307" t="n">
        <v>0</v>
      </c>
      <c r="P307" t="n">
        <v>0</v>
      </c>
      <c r="Q307" t="n">
        <v>0</v>
      </c>
      <c r="R307" s="2" t="inlineStr"/>
    </row>
    <row r="308" ht="15" customHeight="1">
      <c r="A308" t="inlineStr">
        <is>
          <t>A 26661-2025</t>
        </is>
      </c>
      <c r="B308" s="1" t="n">
        <v>45810</v>
      </c>
      <c r="C308" s="1" t="n">
        <v>46091</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44100-2025</t>
        </is>
      </c>
      <c r="B309" s="1" t="n">
        <v>45915.56707175926</v>
      </c>
      <c r="C309" s="1" t="n">
        <v>46091</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44486-2025</t>
        </is>
      </c>
      <c r="B310" s="1" t="n">
        <v>45916.65517361111</v>
      </c>
      <c r="C310" s="1" t="n">
        <v>46091</v>
      </c>
      <c r="D310" t="inlineStr">
        <is>
          <t>VÄSTMANLANDS LÄN</t>
        </is>
      </c>
      <c r="E310" t="inlineStr">
        <is>
          <t>SALA</t>
        </is>
      </c>
      <c r="G310" t="n">
        <v>1.7</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46091</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44524-2025</t>
        </is>
      </c>
      <c r="B312" s="1" t="n">
        <v>45916.72920138889</v>
      </c>
      <c r="C312" s="1" t="n">
        <v>46091</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54118-2023</t>
        </is>
      </c>
      <c r="B313" s="1" t="n">
        <v>45232</v>
      </c>
      <c r="C313" s="1" t="n">
        <v>46091</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35462-2024</t>
        </is>
      </c>
      <c r="B314" s="1" t="n">
        <v>45531</v>
      </c>
      <c r="C314" s="1" t="n">
        <v>46091</v>
      </c>
      <c r="D314" t="inlineStr">
        <is>
          <t>VÄSTMANLANDS LÄN</t>
        </is>
      </c>
      <c r="E314" t="inlineStr">
        <is>
          <t>SALA</t>
        </is>
      </c>
      <c r="G314" t="n">
        <v>0.6</v>
      </c>
      <c r="H314" t="n">
        <v>0</v>
      </c>
      <c r="I314" t="n">
        <v>0</v>
      </c>
      <c r="J314" t="n">
        <v>0</v>
      </c>
      <c r="K314" t="n">
        <v>0</v>
      </c>
      <c r="L314" t="n">
        <v>0</v>
      </c>
      <c r="M314" t="n">
        <v>0</v>
      </c>
      <c r="N314" t="n">
        <v>0</v>
      </c>
      <c r="O314" t="n">
        <v>0</v>
      </c>
      <c r="P314" t="n">
        <v>0</v>
      </c>
      <c r="Q314" t="n">
        <v>0</v>
      </c>
      <c r="R314" s="2" t="inlineStr"/>
    </row>
    <row r="315" ht="15" customHeight="1">
      <c r="A315" t="inlineStr">
        <is>
          <t>A 43122-2025</t>
        </is>
      </c>
      <c r="B315" s="1" t="n">
        <v>45909</v>
      </c>
      <c r="C315" s="1" t="n">
        <v>46091</v>
      </c>
      <c r="D315" t="inlineStr">
        <is>
          <t>VÄSTMANLANDS LÄN</t>
        </is>
      </c>
      <c r="E315" t="inlineStr">
        <is>
          <t>SALA</t>
        </is>
      </c>
      <c r="G315" t="n">
        <v>3.2</v>
      </c>
      <c r="H315" t="n">
        <v>0</v>
      </c>
      <c r="I315" t="n">
        <v>0</v>
      </c>
      <c r="J315" t="n">
        <v>0</v>
      </c>
      <c r="K315" t="n">
        <v>0</v>
      </c>
      <c r="L315" t="n">
        <v>0</v>
      </c>
      <c r="M315" t="n">
        <v>0</v>
      </c>
      <c r="N315" t="n">
        <v>0</v>
      </c>
      <c r="O315" t="n">
        <v>0</v>
      </c>
      <c r="P315" t="n">
        <v>0</v>
      </c>
      <c r="Q315" t="n">
        <v>0</v>
      </c>
      <c r="R315" s="2" t="inlineStr"/>
    </row>
    <row r="316" ht="15" customHeight="1">
      <c r="A316" t="inlineStr">
        <is>
          <t>A 38636-2024</t>
        </is>
      </c>
      <c r="B316" s="1" t="n">
        <v>45546</v>
      </c>
      <c r="C316" s="1" t="n">
        <v>46091</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36393-2023</t>
        </is>
      </c>
      <c r="B317" s="1" t="n">
        <v>45152</v>
      </c>
      <c r="C317" s="1" t="n">
        <v>46091</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45790-2023</t>
        </is>
      </c>
      <c r="B318" s="1" t="n">
        <v>45195.45958333334</v>
      </c>
      <c r="C318" s="1" t="n">
        <v>46091</v>
      </c>
      <c r="D318" t="inlineStr">
        <is>
          <t>VÄSTMANLANDS LÄN</t>
        </is>
      </c>
      <c r="E318" t="inlineStr">
        <is>
          <t>SALA</t>
        </is>
      </c>
      <c r="G318" t="n">
        <v>5.7</v>
      </c>
      <c r="H318" t="n">
        <v>0</v>
      </c>
      <c r="I318" t="n">
        <v>0</v>
      </c>
      <c r="J318" t="n">
        <v>0</v>
      </c>
      <c r="K318" t="n">
        <v>0</v>
      </c>
      <c r="L318" t="n">
        <v>0</v>
      </c>
      <c r="M318" t="n">
        <v>0</v>
      </c>
      <c r="N318" t="n">
        <v>0</v>
      </c>
      <c r="O318" t="n">
        <v>0</v>
      </c>
      <c r="P318" t="n">
        <v>0</v>
      </c>
      <c r="Q318" t="n">
        <v>0</v>
      </c>
      <c r="R318" s="2" t="inlineStr"/>
    </row>
    <row r="319" ht="15" customHeight="1">
      <c r="A319" t="inlineStr">
        <is>
          <t>A 56949-2023</t>
        </is>
      </c>
      <c r="B319" s="1" t="n">
        <v>45244.61589120371</v>
      </c>
      <c r="C319" s="1" t="n">
        <v>46091</v>
      </c>
      <c r="D319" t="inlineStr">
        <is>
          <t>VÄSTMANLANDS LÄN</t>
        </is>
      </c>
      <c r="E319" t="inlineStr">
        <is>
          <t>SALA</t>
        </is>
      </c>
      <c r="G319" t="n">
        <v>4.7</v>
      </c>
      <c r="H319" t="n">
        <v>0</v>
      </c>
      <c r="I319" t="n">
        <v>0</v>
      </c>
      <c r="J319" t="n">
        <v>0</v>
      </c>
      <c r="K319" t="n">
        <v>0</v>
      </c>
      <c r="L319" t="n">
        <v>0</v>
      </c>
      <c r="M319" t="n">
        <v>0</v>
      </c>
      <c r="N319" t="n">
        <v>0</v>
      </c>
      <c r="O319" t="n">
        <v>0</v>
      </c>
      <c r="P319" t="n">
        <v>0</v>
      </c>
      <c r="Q319" t="n">
        <v>0</v>
      </c>
      <c r="R319" s="2" t="inlineStr"/>
    </row>
    <row r="320" ht="15" customHeight="1">
      <c r="A320" t="inlineStr">
        <is>
          <t>A 40214-2023</t>
        </is>
      </c>
      <c r="B320" s="1" t="n">
        <v>45169.45173611111</v>
      </c>
      <c r="C320" s="1" t="n">
        <v>46091</v>
      </c>
      <c r="D320" t="inlineStr">
        <is>
          <t>VÄSTMANLANDS LÄN</t>
        </is>
      </c>
      <c r="E320" t="inlineStr">
        <is>
          <t>SALA</t>
        </is>
      </c>
      <c r="G320" t="n">
        <v>5.5</v>
      </c>
      <c r="H320" t="n">
        <v>0</v>
      </c>
      <c r="I320" t="n">
        <v>0</v>
      </c>
      <c r="J320" t="n">
        <v>0</v>
      </c>
      <c r="K320" t="n">
        <v>0</v>
      </c>
      <c r="L320" t="n">
        <v>0</v>
      </c>
      <c r="M320" t="n">
        <v>0</v>
      </c>
      <c r="N320" t="n">
        <v>0</v>
      </c>
      <c r="O320" t="n">
        <v>0</v>
      </c>
      <c r="P320" t="n">
        <v>0</v>
      </c>
      <c r="Q320" t="n">
        <v>0</v>
      </c>
      <c r="R320" s="2" t="inlineStr"/>
    </row>
    <row r="321" ht="15" customHeight="1">
      <c r="A321" t="inlineStr">
        <is>
          <t>A 45371-2025</t>
        </is>
      </c>
      <c r="B321" s="1" t="n">
        <v>45922.39001157408</v>
      </c>
      <c r="C321" s="1" t="n">
        <v>46091</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45177-2025</t>
        </is>
      </c>
      <c r="B322" s="1" t="n">
        <v>45919.52444444445</v>
      </c>
      <c r="C322" s="1" t="n">
        <v>46091</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35016-2024</t>
        </is>
      </c>
      <c r="B323" s="1" t="n">
        <v>45527.59115740741</v>
      </c>
      <c r="C323" s="1" t="n">
        <v>46091</v>
      </c>
      <c r="D323" t="inlineStr">
        <is>
          <t>VÄSTMANLANDS LÄN</t>
        </is>
      </c>
      <c r="E323" t="inlineStr">
        <is>
          <t>SALA</t>
        </is>
      </c>
      <c r="G323" t="n">
        <v>0.4</v>
      </c>
      <c r="H323" t="n">
        <v>0</v>
      </c>
      <c r="I323" t="n">
        <v>0</v>
      </c>
      <c r="J323" t="n">
        <v>0</v>
      </c>
      <c r="K323" t="n">
        <v>0</v>
      </c>
      <c r="L323" t="n">
        <v>0</v>
      </c>
      <c r="M323" t="n">
        <v>0</v>
      </c>
      <c r="N323" t="n">
        <v>0</v>
      </c>
      <c r="O323" t="n">
        <v>0</v>
      </c>
      <c r="P323" t="n">
        <v>0</v>
      </c>
      <c r="Q323" t="n">
        <v>0</v>
      </c>
      <c r="R323" s="2" t="inlineStr"/>
    </row>
    <row r="324" ht="15" customHeight="1">
      <c r="A324" t="inlineStr">
        <is>
          <t>A 54201-2025</t>
        </is>
      </c>
      <c r="B324" s="1" t="n">
        <v>45964.58055555556</v>
      </c>
      <c r="C324" s="1" t="n">
        <v>46091</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28193-2025</t>
        </is>
      </c>
      <c r="B325" s="1" t="n">
        <v>45818.425625</v>
      </c>
      <c r="C325" s="1" t="n">
        <v>46091</v>
      </c>
      <c r="D325" t="inlineStr">
        <is>
          <t>VÄSTMANLANDS LÄN</t>
        </is>
      </c>
      <c r="E325" t="inlineStr">
        <is>
          <t>SALA</t>
        </is>
      </c>
      <c r="G325" t="n">
        <v>1.8</v>
      </c>
      <c r="H325" t="n">
        <v>0</v>
      </c>
      <c r="I325" t="n">
        <v>0</v>
      </c>
      <c r="J325" t="n">
        <v>0</v>
      </c>
      <c r="K325" t="n">
        <v>0</v>
      </c>
      <c r="L325" t="n">
        <v>0</v>
      </c>
      <c r="M325" t="n">
        <v>0</v>
      </c>
      <c r="N325" t="n">
        <v>0</v>
      </c>
      <c r="O325" t="n">
        <v>0</v>
      </c>
      <c r="P325" t="n">
        <v>0</v>
      </c>
      <c r="Q325" t="n">
        <v>0</v>
      </c>
      <c r="R325" s="2" t="inlineStr"/>
    </row>
    <row r="326" ht="15" customHeight="1">
      <c r="A326" t="inlineStr">
        <is>
          <t>A 27981-2025</t>
        </is>
      </c>
      <c r="B326" s="1" t="n">
        <v>45817.57471064815</v>
      </c>
      <c r="C326" s="1" t="n">
        <v>46091</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37612-2024</t>
        </is>
      </c>
      <c r="B327" s="1" t="n">
        <v>45541</v>
      </c>
      <c r="C327" s="1" t="n">
        <v>46091</v>
      </c>
      <c r="D327" t="inlineStr">
        <is>
          <t>VÄSTMANLANDS LÄN</t>
        </is>
      </c>
      <c r="E327" t="inlineStr">
        <is>
          <t>SALA</t>
        </is>
      </c>
      <c r="G327" t="n">
        <v>2.2</v>
      </c>
      <c r="H327" t="n">
        <v>0</v>
      </c>
      <c r="I327" t="n">
        <v>0</v>
      </c>
      <c r="J327" t="n">
        <v>0</v>
      </c>
      <c r="K327" t="n">
        <v>0</v>
      </c>
      <c r="L327" t="n">
        <v>0</v>
      </c>
      <c r="M327" t="n">
        <v>0</v>
      </c>
      <c r="N327" t="n">
        <v>0</v>
      </c>
      <c r="O327" t="n">
        <v>0</v>
      </c>
      <c r="P327" t="n">
        <v>0</v>
      </c>
      <c r="Q327" t="n">
        <v>0</v>
      </c>
      <c r="R327" s="2" t="inlineStr"/>
    </row>
    <row r="328" ht="15" customHeight="1">
      <c r="A328" t="inlineStr">
        <is>
          <t>A 37615-2024</t>
        </is>
      </c>
      <c r="B328" s="1" t="n">
        <v>45541.50673611111</v>
      </c>
      <c r="C328" s="1" t="n">
        <v>46091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5728-2022</t>
        </is>
      </c>
      <c r="B329" s="1" t="n">
        <v>44596.42082175926</v>
      </c>
      <c r="C329" s="1" t="n">
        <v>46091</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28278-2025</t>
        </is>
      </c>
      <c r="B330" s="1" t="n">
        <v>45818.58454861111</v>
      </c>
      <c r="C330" s="1" t="n">
        <v>46091</v>
      </c>
      <c r="D330" t="inlineStr">
        <is>
          <t>VÄSTMANLANDS LÄN</t>
        </is>
      </c>
      <c r="E330" t="inlineStr">
        <is>
          <t>SALA</t>
        </is>
      </c>
      <c r="G330" t="n">
        <v>7.6</v>
      </c>
      <c r="H330" t="n">
        <v>0</v>
      </c>
      <c r="I330" t="n">
        <v>0</v>
      </c>
      <c r="J330" t="n">
        <v>0</v>
      </c>
      <c r="K330" t="n">
        <v>0</v>
      </c>
      <c r="L330" t="n">
        <v>0</v>
      </c>
      <c r="M330" t="n">
        <v>0</v>
      </c>
      <c r="N330" t="n">
        <v>0</v>
      </c>
      <c r="O330" t="n">
        <v>0</v>
      </c>
      <c r="P330" t="n">
        <v>0</v>
      </c>
      <c r="Q330" t="n">
        <v>0</v>
      </c>
      <c r="R330" s="2" t="inlineStr"/>
    </row>
    <row r="331" ht="15" customHeight="1">
      <c r="A331" t="inlineStr">
        <is>
          <t>A 27989-2025</t>
        </is>
      </c>
      <c r="B331" s="1" t="n">
        <v>45817.58716435185</v>
      </c>
      <c r="C331" s="1" t="n">
        <v>46091</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19751-2022</t>
        </is>
      </c>
      <c r="B332" s="1" t="n">
        <v>44694</v>
      </c>
      <c r="C332" s="1" t="n">
        <v>46091</v>
      </c>
      <c r="D332" t="inlineStr">
        <is>
          <t>VÄSTMANLANDS LÄN</t>
        </is>
      </c>
      <c r="E332" t="inlineStr">
        <is>
          <t>SALA</t>
        </is>
      </c>
      <c r="G332" t="n">
        <v>2.7</v>
      </c>
      <c r="H332" t="n">
        <v>0</v>
      </c>
      <c r="I332" t="n">
        <v>0</v>
      </c>
      <c r="J332" t="n">
        <v>0</v>
      </c>
      <c r="K332" t="n">
        <v>0</v>
      </c>
      <c r="L332" t="n">
        <v>0</v>
      </c>
      <c r="M332" t="n">
        <v>0</v>
      </c>
      <c r="N332" t="n">
        <v>0</v>
      </c>
      <c r="O332" t="n">
        <v>0</v>
      </c>
      <c r="P332" t="n">
        <v>0</v>
      </c>
      <c r="Q332" t="n">
        <v>0</v>
      </c>
      <c r="R332" s="2" t="inlineStr"/>
    </row>
    <row r="333" ht="15" customHeight="1">
      <c r="A333" t="inlineStr">
        <is>
          <t>A 45914-2025</t>
        </is>
      </c>
      <c r="B333" s="1" t="n">
        <v>45923.82582175926</v>
      </c>
      <c r="C333" s="1" t="n">
        <v>46091</v>
      </c>
      <c r="D333" t="inlineStr">
        <is>
          <t>VÄSTMANLANDS LÄN</t>
        </is>
      </c>
      <c r="E333" t="inlineStr">
        <is>
          <t>SALA</t>
        </is>
      </c>
      <c r="F333" t="inlineStr">
        <is>
          <t>Kommuner</t>
        </is>
      </c>
      <c r="G333" t="n">
        <v>18.2</v>
      </c>
      <c r="H333" t="n">
        <v>0</v>
      </c>
      <c r="I333" t="n">
        <v>0</v>
      </c>
      <c r="J333" t="n">
        <v>0</v>
      </c>
      <c r="K333" t="n">
        <v>0</v>
      </c>
      <c r="L333" t="n">
        <v>0</v>
      </c>
      <c r="M333" t="n">
        <v>0</v>
      </c>
      <c r="N333" t="n">
        <v>0</v>
      </c>
      <c r="O333" t="n">
        <v>0</v>
      </c>
      <c r="P333" t="n">
        <v>0</v>
      </c>
      <c r="Q333" t="n">
        <v>0</v>
      </c>
      <c r="R333" s="2" t="inlineStr"/>
    </row>
    <row r="334" ht="15" customHeight="1">
      <c r="A334" t="inlineStr">
        <is>
          <t>A 45909-2025</t>
        </is>
      </c>
      <c r="B334" s="1" t="n">
        <v>45923.75078703704</v>
      </c>
      <c r="C334" s="1" t="n">
        <v>46091</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28284-2025</t>
        </is>
      </c>
      <c r="B335" s="1" t="n">
        <v>45818.58893518519</v>
      </c>
      <c r="C335" s="1" t="n">
        <v>46091</v>
      </c>
      <c r="D335" t="inlineStr">
        <is>
          <t>VÄSTMANLANDS LÄN</t>
        </is>
      </c>
      <c r="E335" t="inlineStr">
        <is>
          <t>SALA</t>
        </is>
      </c>
      <c r="G335" t="n">
        <v>2.4</v>
      </c>
      <c r="H335" t="n">
        <v>0</v>
      </c>
      <c r="I335" t="n">
        <v>0</v>
      </c>
      <c r="J335" t="n">
        <v>0</v>
      </c>
      <c r="K335" t="n">
        <v>0</v>
      </c>
      <c r="L335" t="n">
        <v>0</v>
      </c>
      <c r="M335" t="n">
        <v>0</v>
      </c>
      <c r="N335" t="n">
        <v>0</v>
      </c>
      <c r="O335" t="n">
        <v>0</v>
      </c>
      <c r="P335" t="n">
        <v>0</v>
      </c>
      <c r="Q335" t="n">
        <v>0</v>
      </c>
      <c r="R335" s="2" t="inlineStr"/>
    </row>
    <row r="336" ht="15" customHeight="1">
      <c r="A336" t="inlineStr">
        <is>
          <t>A 46597-2025</t>
        </is>
      </c>
      <c r="B336" s="1" t="n">
        <v>45926.40113425926</v>
      </c>
      <c r="C336" s="1" t="n">
        <v>46091</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28632-2025</t>
        </is>
      </c>
      <c r="B337" s="1" t="n">
        <v>45819.62344907408</v>
      </c>
      <c r="C337" s="1" t="n">
        <v>46091</v>
      </c>
      <c r="D337" t="inlineStr">
        <is>
          <t>VÄSTMANLANDS LÄN</t>
        </is>
      </c>
      <c r="E337" t="inlineStr">
        <is>
          <t>SALA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28628-2025</t>
        </is>
      </c>
      <c r="B338" s="1" t="n">
        <v>45819.62158564815</v>
      </c>
      <c r="C338" s="1" t="n">
        <v>46091</v>
      </c>
      <c r="D338" t="inlineStr">
        <is>
          <t>VÄSTMANLANDS LÄN</t>
        </is>
      </c>
      <c r="E338" t="inlineStr">
        <is>
          <t>SALA</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28630-2025</t>
        </is>
      </c>
      <c r="B339" s="1" t="n">
        <v>45819.62274305556</v>
      </c>
      <c r="C339" s="1" t="n">
        <v>46091</v>
      </c>
      <c r="D339" t="inlineStr">
        <is>
          <t>VÄSTMANLANDS LÄN</t>
        </is>
      </c>
      <c r="E339" t="inlineStr">
        <is>
          <t>SALA</t>
        </is>
      </c>
      <c r="F339" t="inlineStr">
        <is>
          <t>Sveaskog</t>
        </is>
      </c>
      <c r="G339" t="n">
        <v>9</v>
      </c>
      <c r="H339" t="n">
        <v>0</v>
      </c>
      <c r="I339" t="n">
        <v>0</v>
      </c>
      <c r="J339" t="n">
        <v>0</v>
      </c>
      <c r="K339" t="n">
        <v>0</v>
      </c>
      <c r="L339" t="n">
        <v>0</v>
      </c>
      <c r="M339" t="n">
        <v>0</v>
      </c>
      <c r="N339" t="n">
        <v>0</v>
      </c>
      <c r="O339" t="n">
        <v>0</v>
      </c>
      <c r="P339" t="n">
        <v>0</v>
      </c>
      <c r="Q339" t="n">
        <v>0</v>
      </c>
      <c r="R339" s="2" t="inlineStr"/>
    </row>
    <row r="340" ht="15" customHeight="1">
      <c r="A340" t="inlineStr">
        <is>
          <t>A 28837-2025</t>
        </is>
      </c>
      <c r="B340" s="1" t="n">
        <v>45820.56243055555</v>
      </c>
      <c r="C340" s="1" t="n">
        <v>46091</v>
      </c>
      <c r="D340" t="inlineStr">
        <is>
          <t>VÄSTMANLANDS LÄN</t>
        </is>
      </c>
      <c r="E340" t="inlineStr">
        <is>
          <t>SALA</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28849-2025</t>
        </is>
      </c>
      <c r="B341" s="1" t="n">
        <v>45820</v>
      </c>
      <c r="C341" s="1" t="n">
        <v>46091</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6312-2025</t>
        </is>
      </c>
      <c r="B342" s="1" t="n">
        <v>45698</v>
      </c>
      <c r="C342" s="1" t="n">
        <v>46091</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46661-2025</t>
        </is>
      </c>
      <c r="B343" s="1" t="n">
        <v>45926</v>
      </c>
      <c r="C343" s="1" t="n">
        <v>46091</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55035-2023</t>
        </is>
      </c>
      <c r="B344" s="1" t="n">
        <v>45229</v>
      </c>
      <c r="C344" s="1" t="n">
        <v>46091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29085-2025</t>
        </is>
      </c>
      <c r="B345" s="1" t="n">
        <v>45821</v>
      </c>
      <c r="C345" s="1" t="n">
        <v>46091</v>
      </c>
      <c r="D345" t="inlineStr">
        <is>
          <t>VÄSTMANLANDS LÄN</t>
        </is>
      </c>
      <c r="E345" t="inlineStr">
        <is>
          <t>SALA</t>
        </is>
      </c>
      <c r="G345" t="n">
        <v>3.5</v>
      </c>
      <c r="H345" t="n">
        <v>0</v>
      </c>
      <c r="I345" t="n">
        <v>0</v>
      </c>
      <c r="J345" t="n">
        <v>0</v>
      </c>
      <c r="K345" t="n">
        <v>0</v>
      </c>
      <c r="L345" t="n">
        <v>0</v>
      </c>
      <c r="M345" t="n">
        <v>0</v>
      </c>
      <c r="N345" t="n">
        <v>0</v>
      </c>
      <c r="O345" t="n">
        <v>0</v>
      </c>
      <c r="P345" t="n">
        <v>0</v>
      </c>
      <c r="Q345" t="n">
        <v>0</v>
      </c>
      <c r="R345" s="2" t="inlineStr"/>
    </row>
    <row r="346" ht="15" customHeight="1">
      <c r="A346" t="inlineStr">
        <is>
          <t>A 46915-2025</t>
        </is>
      </c>
      <c r="B346" s="1" t="n">
        <v>45929.42114583333</v>
      </c>
      <c r="C346" s="1" t="n">
        <v>46091</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54344-2025</t>
        </is>
      </c>
      <c r="B347" s="1" t="n">
        <v>45965.36462962963</v>
      </c>
      <c r="C347" s="1" t="n">
        <v>46091</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60541-2024</t>
        </is>
      </c>
      <c r="B348" s="1" t="n">
        <v>45643</v>
      </c>
      <c r="C348" s="1" t="n">
        <v>46091</v>
      </c>
      <c r="D348" t="inlineStr">
        <is>
          <t>VÄSTMANLANDS LÄN</t>
        </is>
      </c>
      <c r="E348" t="inlineStr">
        <is>
          <t>SALA</t>
        </is>
      </c>
      <c r="G348" t="n">
        <v>10.6</v>
      </c>
      <c r="H348" t="n">
        <v>0</v>
      </c>
      <c r="I348" t="n">
        <v>0</v>
      </c>
      <c r="J348" t="n">
        <v>0</v>
      </c>
      <c r="K348" t="n">
        <v>0</v>
      </c>
      <c r="L348" t="n">
        <v>0</v>
      </c>
      <c r="M348" t="n">
        <v>0</v>
      </c>
      <c r="N348" t="n">
        <v>0</v>
      </c>
      <c r="O348" t="n">
        <v>0</v>
      </c>
      <c r="P348" t="n">
        <v>0</v>
      </c>
      <c r="Q348" t="n">
        <v>0</v>
      </c>
      <c r="R348" s="2" t="inlineStr"/>
    </row>
    <row r="349" ht="15" customHeight="1">
      <c r="A349" t="inlineStr">
        <is>
          <t>A 52500-2024</t>
        </is>
      </c>
      <c r="B349" s="1" t="n">
        <v>45609</v>
      </c>
      <c r="C349" s="1" t="n">
        <v>46091</v>
      </c>
      <c r="D349" t="inlineStr">
        <is>
          <t>VÄSTMANLANDS LÄN</t>
        </is>
      </c>
      <c r="E349" t="inlineStr">
        <is>
          <t>SALA</t>
        </is>
      </c>
      <c r="G349" t="n">
        <v>1.3</v>
      </c>
      <c r="H349" t="n">
        <v>0</v>
      </c>
      <c r="I349" t="n">
        <v>0</v>
      </c>
      <c r="J349" t="n">
        <v>0</v>
      </c>
      <c r="K349" t="n">
        <v>0</v>
      </c>
      <c r="L349" t="n">
        <v>0</v>
      </c>
      <c r="M349" t="n">
        <v>0</v>
      </c>
      <c r="N349" t="n">
        <v>0</v>
      </c>
      <c r="O349" t="n">
        <v>0</v>
      </c>
      <c r="P349" t="n">
        <v>0</v>
      </c>
      <c r="Q349" t="n">
        <v>0</v>
      </c>
      <c r="R349" s="2" t="inlineStr"/>
    </row>
    <row r="350" ht="15" customHeight="1">
      <c r="A350" t="inlineStr">
        <is>
          <t>A 29826-2025</t>
        </is>
      </c>
      <c r="B350" s="1" t="n">
        <v>45825.85761574074</v>
      </c>
      <c r="C350" s="1" t="n">
        <v>46091</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7950-2025</t>
        </is>
      </c>
      <c r="B351" s="1" t="n">
        <v>45707.41799768519</v>
      </c>
      <c r="C351" s="1" t="n">
        <v>46091</v>
      </c>
      <c r="D351" t="inlineStr">
        <is>
          <t>VÄSTMANLANDS LÄN</t>
        </is>
      </c>
      <c r="E351" t="inlineStr">
        <is>
          <t>SALA</t>
        </is>
      </c>
      <c r="G351" t="n">
        <v>3.2</v>
      </c>
      <c r="H351" t="n">
        <v>0</v>
      </c>
      <c r="I351" t="n">
        <v>0</v>
      </c>
      <c r="J351" t="n">
        <v>0</v>
      </c>
      <c r="K351" t="n">
        <v>0</v>
      </c>
      <c r="L351" t="n">
        <v>0</v>
      </c>
      <c r="M351" t="n">
        <v>0</v>
      </c>
      <c r="N351" t="n">
        <v>0</v>
      </c>
      <c r="O351" t="n">
        <v>0</v>
      </c>
      <c r="P351" t="n">
        <v>0</v>
      </c>
      <c r="Q351" t="n">
        <v>0</v>
      </c>
      <c r="R351" s="2" t="inlineStr"/>
    </row>
    <row r="352" ht="15" customHeight="1">
      <c r="A352" t="inlineStr">
        <is>
          <t>A 48057-2025</t>
        </is>
      </c>
      <c r="B352" s="1" t="n">
        <v>45932.67947916667</v>
      </c>
      <c r="C352" s="1" t="n">
        <v>46091</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47577-2025</t>
        </is>
      </c>
      <c r="B353" s="1" t="n">
        <v>45931.4047337963</v>
      </c>
      <c r="C353" s="1" t="n">
        <v>46091</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29691-2025</t>
        </is>
      </c>
      <c r="B354" s="1" t="n">
        <v>45825.53645833334</v>
      </c>
      <c r="C354" s="1" t="n">
        <v>46091</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16328-2025</t>
        </is>
      </c>
      <c r="B355" s="1" t="n">
        <v>45751</v>
      </c>
      <c r="C355" s="1" t="n">
        <v>46091</v>
      </c>
      <c r="D355" t="inlineStr">
        <is>
          <t>VÄSTMANLANDS LÄN</t>
        </is>
      </c>
      <c r="E355" t="inlineStr">
        <is>
          <t>SALA</t>
        </is>
      </c>
      <c r="G355" t="n">
        <v>2.9</v>
      </c>
      <c r="H355" t="n">
        <v>0</v>
      </c>
      <c r="I355" t="n">
        <v>0</v>
      </c>
      <c r="J355" t="n">
        <v>0</v>
      </c>
      <c r="K355" t="n">
        <v>0</v>
      </c>
      <c r="L355" t="n">
        <v>0</v>
      </c>
      <c r="M355" t="n">
        <v>0</v>
      </c>
      <c r="N355" t="n">
        <v>0</v>
      </c>
      <c r="O355" t="n">
        <v>0</v>
      </c>
      <c r="P355" t="n">
        <v>0</v>
      </c>
      <c r="Q355" t="n">
        <v>0</v>
      </c>
      <c r="R355" s="2" t="inlineStr"/>
    </row>
    <row r="356" ht="15" customHeight="1">
      <c r="A356" t="inlineStr">
        <is>
          <t>A 48710-2025</t>
        </is>
      </c>
      <c r="B356" s="1" t="n">
        <v>45936.63184027778</v>
      </c>
      <c r="C356" s="1" t="n">
        <v>46091</v>
      </c>
      <c r="D356" t="inlineStr">
        <is>
          <t>VÄSTMANLANDS LÄN</t>
        </is>
      </c>
      <c r="E356" t="inlineStr">
        <is>
          <t>SALA</t>
        </is>
      </c>
      <c r="G356" t="n">
        <v>2.7</v>
      </c>
      <c r="H356" t="n">
        <v>0</v>
      </c>
      <c r="I356" t="n">
        <v>0</v>
      </c>
      <c r="J356" t="n">
        <v>0</v>
      </c>
      <c r="K356" t="n">
        <v>0</v>
      </c>
      <c r="L356" t="n">
        <v>0</v>
      </c>
      <c r="M356" t="n">
        <v>0</v>
      </c>
      <c r="N356" t="n">
        <v>0</v>
      </c>
      <c r="O356" t="n">
        <v>0</v>
      </c>
      <c r="P356" t="n">
        <v>0</v>
      </c>
      <c r="Q356" t="n">
        <v>0</v>
      </c>
      <c r="R356" s="2" t="inlineStr"/>
    </row>
    <row r="357" ht="15" customHeight="1">
      <c r="A357" t="inlineStr">
        <is>
          <t>A 54590-2025</t>
        </is>
      </c>
      <c r="B357" s="1" t="n">
        <v>45965.74199074074</v>
      </c>
      <c r="C357" s="1" t="n">
        <v>46091</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31609-2024</t>
        </is>
      </c>
      <c r="B358" s="1" t="n">
        <v>45506</v>
      </c>
      <c r="C358" s="1" t="n">
        <v>46091</v>
      </c>
      <c r="D358" t="inlineStr">
        <is>
          <t>VÄSTMANLANDS LÄN</t>
        </is>
      </c>
      <c r="E358" t="inlineStr">
        <is>
          <t>SALA</t>
        </is>
      </c>
      <c r="G358" t="n">
        <v>0.8</v>
      </c>
      <c r="H358" t="n">
        <v>0</v>
      </c>
      <c r="I358" t="n">
        <v>0</v>
      </c>
      <c r="J358" t="n">
        <v>0</v>
      </c>
      <c r="K358" t="n">
        <v>0</v>
      </c>
      <c r="L358" t="n">
        <v>0</v>
      </c>
      <c r="M358" t="n">
        <v>0</v>
      </c>
      <c r="N358" t="n">
        <v>0</v>
      </c>
      <c r="O358" t="n">
        <v>0</v>
      </c>
      <c r="P358" t="n">
        <v>0</v>
      </c>
      <c r="Q358" t="n">
        <v>0</v>
      </c>
      <c r="R358" s="2" t="inlineStr"/>
    </row>
    <row r="359" ht="15" customHeight="1">
      <c r="A359" t="inlineStr">
        <is>
          <t>A 30874-2025</t>
        </is>
      </c>
      <c r="B359" s="1" t="n">
        <v>45832.34430555555</v>
      </c>
      <c r="C359" s="1" t="n">
        <v>46091</v>
      </c>
      <c r="D359" t="inlineStr">
        <is>
          <t>VÄSTMANLANDS LÄN</t>
        </is>
      </c>
      <c r="E359" t="inlineStr">
        <is>
          <t>SALA</t>
        </is>
      </c>
      <c r="G359" t="n">
        <v>8.4</v>
      </c>
      <c r="H359" t="n">
        <v>0</v>
      </c>
      <c r="I359" t="n">
        <v>0</v>
      </c>
      <c r="J359" t="n">
        <v>0</v>
      </c>
      <c r="K359" t="n">
        <v>0</v>
      </c>
      <c r="L359" t="n">
        <v>0</v>
      </c>
      <c r="M359" t="n">
        <v>0</v>
      </c>
      <c r="N359" t="n">
        <v>0</v>
      </c>
      <c r="O359" t="n">
        <v>0</v>
      </c>
      <c r="P359" t="n">
        <v>0</v>
      </c>
      <c r="Q359" t="n">
        <v>0</v>
      </c>
      <c r="R359" s="2" t="inlineStr"/>
    </row>
    <row r="360" ht="15" customHeight="1">
      <c r="A360" t="inlineStr">
        <is>
          <t>A 30899-2025</t>
        </is>
      </c>
      <c r="B360" s="1" t="n">
        <v>45832.35767361111</v>
      </c>
      <c r="C360" s="1" t="n">
        <v>46091</v>
      </c>
      <c r="D360" t="inlineStr">
        <is>
          <t>VÄSTMANLANDS LÄN</t>
        </is>
      </c>
      <c r="E360" t="inlineStr">
        <is>
          <t>SALA</t>
        </is>
      </c>
      <c r="G360" t="n">
        <v>3.1</v>
      </c>
      <c r="H360" t="n">
        <v>0</v>
      </c>
      <c r="I360" t="n">
        <v>0</v>
      </c>
      <c r="J360" t="n">
        <v>0</v>
      </c>
      <c r="K360" t="n">
        <v>0</v>
      </c>
      <c r="L360" t="n">
        <v>0</v>
      </c>
      <c r="M360" t="n">
        <v>0</v>
      </c>
      <c r="N360" t="n">
        <v>0</v>
      </c>
      <c r="O360" t="n">
        <v>0</v>
      </c>
      <c r="P360" t="n">
        <v>0</v>
      </c>
      <c r="Q360" t="n">
        <v>0</v>
      </c>
      <c r="R360" s="2" t="inlineStr"/>
    </row>
    <row r="361" ht="15" customHeight="1">
      <c r="A361" t="inlineStr">
        <is>
          <t>A 30866-2025</t>
        </is>
      </c>
      <c r="B361" s="1" t="n">
        <v>45832.3246875</v>
      </c>
      <c r="C361" s="1" t="n">
        <v>46091</v>
      </c>
      <c r="D361" t="inlineStr">
        <is>
          <t>VÄSTMANLANDS LÄN</t>
        </is>
      </c>
      <c r="E361" t="inlineStr">
        <is>
          <t>SALA</t>
        </is>
      </c>
      <c r="G361" t="n">
        <v>14.3</v>
      </c>
      <c r="H361" t="n">
        <v>0</v>
      </c>
      <c r="I361" t="n">
        <v>0</v>
      </c>
      <c r="J361" t="n">
        <v>0</v>
      </c>
      <c r="K361" t="n">
        <v>0</v>
      </c>
      <c r="L361" t="n">
        <v>0</v>
      </c>
      <c r="M361" t="n">
        <v>0</v>
      </c>
      <c r="N361" t="n">
        <v>0</v>
      </c>
      <c r="O361" t="n">
        <v>0</v>
      </c>
      <c r="P361" t="n">
        <v>0</v>
      </c>
      <c r="Q361" t="n">
        <v>0</v>
      </c>
      <c r="R361" s="2" t="inlineStr"/>
    </row>
    <row r="362" ht="15" customHeight="1">
      <c r="A362" t="inlineStr">
        <is>
          <t>A 48910-2025</t>
        </is>
      </c>
      <c r="B362" s="1" t="n">
        <v>45937.48649305556</v>
      </c>
      <c r="C362" s="1" t="n">
        <v>46091</v>
      </c>
      <c r="D362" t="inlineStr">
        <is>
          <t>VÄSTMANLANDS LÄN</t>
        </is>
      </c>
      <c r="E362" t="inlineStr">
        <is>
          <t>SALA</t>
        </is>
      </c>
      <c r="G362" t="n">
        <v>7.8</v>
      </c>
      <c r="H362" t="n">
        <v>0</v>
      </c>
      <c r="I362" t="n">
        <v>0</v>
      </c>
      <c r="J362" t="n">
        <v>0</v>
      </c>
      <c r="K362" t="n">
        <v>0</v>
      </c>
      <c r="L362" t="n">
        <v>0</v>
      </c>
      <c r="M362" t="n">
        <v>0</v>
      </c>
      <c r="N362" t="n">
        <v>0</v>
      </c>
      <c r="O362" t="n">
        <v>0</v>
      </c>
      <c r="P362" t="n">
        <v>0</v>
      </c>
      <c r="Q362" t="n">
        <v>0</v>
      </c>
      <c r="R362" s="2" t="inlineStr"/>
    </row>
    <row r="363" ht="15" customHeight="1">
      <c r="A363" t="inlineStr">
        <is>
          <t>A 35410-2022</t>
        </is>
      </c>
      <c r="B363" s="1" t="n">
        <v>44798.62576388889</v>
      </c>
      <c r="C363" s="1" t="n">
        <v>46091</v>
      </c>
      <c r="D363" t="inlineStr">
        <is>
          <t>VÄSTMANLANDS LÄN</t>
        </is>
      </c>
      <c r="E363" t="inlineStr">
        <is>
          <t>SALA</t>
        </is>
      </c>
      <c r="G363" t="n">
        <v>1.6</v>
      </c>
      <c r="H363" t="n">
        <v>0</v>
      </c>
      <c r="I363" t="n">
        <v>0</v>
      </c>
      <c r="J363" t="n">
        <v>0</v>
      </c>
      <c r="K363" t="n">
        <v>0</v>
      </c>
      <c r="L363" t="n">
        <v>0</v>
      </c>
      <c r="M363" t="n">
        <v>0</v>
      </c>
      <c r="N363" t="n">
        <v>0</v>
      </c>
      <c r="O363" t="n">
        <v>0</v>
      </c>
      <c r="P363" t="n">
        <v>0</v>
      </c>
      <c r="Q363" t="n">
        <v>0</v>
      </c>
      <c r="R363" s="2" t="inlineStr"/>
    </row>
    <row r="364" ht="15" customHeight="1">
      <c r="A364" t="inlineStr">
        <is>
          <t>A 31065-2025</t>
        </is>
      </c>
      <c r="B364" s="1" t="n">
        <v>45832.57571759259</v>
      </c>
      <c r="C364" s="1" t="n">
        <v>46091</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49640-2025</t>
        </is>
      </c>
      <c r="B365" s="1" t="n">
        <v>45939.61459490741</v>
      </c>
      <c r="C365" s="1" t="n">
        <v>46091</v>
      </c>
      <c r="D365" t="inlineStr">
        <is>
          <t>VÄSTMANLANDS LÄN</t>
        </is>
      </c>
      <c r="E365" t="inlineStr">
        <is>
          <t>SALA</t>
        </is>
      </c>
      <c r="F365" t="inlineStr">
        <is>
          <t>Kommuner</t>
        </is>
      </c>
      <c r="G365" t="n">
        <v>18.8</v>
      </c>
      <c r="H365" t="n">
        <v>0</v>
      </c>
      <c r="I365" t="n">
        <v>0</v>
      </c>
      <c r="J365" t="n">
        <v>0</v>
      </c>
      <c r="K365" t="n">
        <v>0</v>
      </c>
      <c r="L365" t="n">
        <v>0</v>
      </c>
      <c r="M365" t="n">
        <v>0</v>
      </c>
      <c r="N365" t="n">
        <v>0</v>
      </c>
      <c r="O365" t="n">
        <v>0</v>
      </c>
      <c r="P365" t="n">
        <v>0</v>
      </c>
      <c r="Q365" t="n">
        <v>0</v>
      </c>
      <c r="R365" s="2" t="inlineStr"/>
    </row>
    <row r="366" ht="15" customHeight="1">
      <c r="A366" t="inlineStr">
        <is>
          <t>A 31612-2025</t>
        </is>
      </c>
      <c r="B366" s="1" t="n">
        <v>45833.80056712963</v>
      </c>
      <c r="C366" s="1" t="n">
        <v>46091</v>
      </c>
      <c r="D366" t="inlineStr">
        <is>
          <t>VÄSTMANLANDS LÄN</t>
        </is>
      </c>
      <c r="E366" t="inlineStr">
        <is>
          <t>SALA</t>
        </is>
      </c>
      <c r="G366" t="n">
        <v>6.3</v>
      </c>
      <c r="H366" t="n">
        <v>0</v>
      </c>
      <c r="I366" t="n">
        <v>0</v>
      </c>
      <c r="J366" t="n">
        <v>0</v>
      </c>
      <c r="K366" t="n">
        <v>0</v>
      </c>
      <c r="L366" t="n">
        <v>0</v>
      </c>
      <c r="M366" t="n">
        <v>0</v>
      </c>
      <c r="N366" t="n">
        <v>0</v>
      </c>
      <c r="O366" t="n">
        <v>0</v>
      </c>
      <c r="P366" t="n">
        <v>0</v>
      </c>
      <c r="Q366" t="n">
        <v>0</v>
      </c>
      <c r="R366" s="2" t="inlineStr"/>
    </row>
    <row r="367" ht="15" customHeight="1">
      <c r="A367" t="inlineStr">
        <is>
          <t>A 31748-2025</t>
        </is>
      </c>
      <c r="B367" s="1" t="n">
        <v>45834</v>
      </c>
      <c r="C367" s="1" t="n">
        <v>46091</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31288-2025</t>
        </is>
      </c>
      <c r="B368" s="1" t="n">
        <v>45833</v>
      </c>
      <c r="C368" s="1" t="n">
        <v>46091</v>
      </c>
      <c r="D368" t="inlineStr">
        <is>
          <t>VÄSTMANLANDS LÄN</t>
        </is>
      </c>
      <c r="E368" t="inlineStr">
        <is>
          <t>SALA</t>
        </is>
      </c>
      <c r="G368" t="n">
        <v>3.1</v>
      </c>
      <c r="H368" t="n">
        <v>0</v>
      </c>
      <c r="I368" t="n">
        <v>0</v>
      </c>
      <c r="J368" t="n">
        <v>0</v>
      </c>
      <c r="K368" t="n">
        <v>0</v>
      </c>
      <c r="L368" t="n">
        <v>0</v>
      </c>
      <c r="M368" t="n">
        <v>0</v>
      </c>
      <c r="N368" t="n">
        <v>0</v>
      </c>
      <c r="O368" t="n">
        <v>0</v>
      </c>
      <c r="P368" t="n">
        <v>0</v>
      </c>
      <c r="Q368" t="n">
        <v>0</v>
      </c>
      <c r="R368" s="2" t="inlineStr"/>
    </row>
    <row r="369" ht="15" customHeight="1">
      <c r="A369" t="inlineStr">
        <is>
          <t>A 49585-2025</t>
        </is>
      </c>
      <c r="B369" s="1" t="n">
        <v>45939.5043287037</v>
      </c>
      <c r="C369" s="1" t="n">
        <v>46091</v>
      </c>
      <c r="D369" t="inlineStr">
        <is>
          <t>VÄSTMANLANDS LÄN</t>
        </is>
      </c>
      <c r="E369" t="inlineStr">
        <is>
          <t>SALA</t>
        </is>
      </c>
      <c r="G369" t="n">
        <v>2.2</v>
      </c>
      <c r="H369" t="n">
        <v>0</v>
      </c>
      <c r="I369" t="n">
        <v>0</v>
      </c>
      <c r="J369" t="n">
        <v>0</v>
      </c>
      <c r="K369" t="n">
        <v>0</v>
      </c>
      <c r="L369" t="n">
        <v>0</v>
      </c>
      <c r="M369" t="n">
        <v>0</v>
      </c>
      <c r="N369" t="n">
        <v>0</v>
      </c>
      <c r="O369" t="n">
        <v>0</v>
      </c>
      <c r="P369" t="n">
        <v>0</v>
      </c>
      <c r="Q369" t="n">
        <v>0</v>
      </c>
      <c r="R369" s="2" t="inlineStr"/>
    </row>
    <row r="370" ht="15" customHeight="1">
      <c r="A370" t="inlineStr">
        <is>
          <t>A 31771-2025</t>
        </is>
      </c>
      <c r="B370" s="1" t="n">
        <v>45834.50910879629</v>
      </c>
      <c r="C370" s="1" t="n">
        <v>46091</v>
      </c>
      <c r="D370" t="inlineStr">
        <is>
          <t>VÄSTMANLANDS LÄN</t>
        </is>
      </c>
      <c r="E370" t="inlineStr">
        <is>
          <t>SALA</t>
        </is>
      </c>
      <c r="G370" t="n">
        <v>5.1</v>
      </c>
      <c r="H370" t="n">
        <v>0</v>
      </c>
      <c r="I370" t="n">
        <v>0</v>
      </c>
      <c r="J370" t="n">
        <v>0</v>
      </c>
      <c r="K370" t="n">
        <v>0</v>
      </c>
      <c r="L370" t="n">
        <v>0</v>
      </c>
      <c r="M370" t="n">
        <v>0</v>
      </c>
      <c r="N370" t="n">
        <v>0</v>
      </c>
      <c r="O370" t="n">
        <v>0</v>
      </c>
      <c r="P370" t="n">
        <v>0</v>
      </c>
      <c r="Q370" t="n">
        <v>0</v>
      </c>
      <c r="R370" s="2" t="inlineStr"/>
    </row>
    <row r="371" ht="15" customHeight="1">
      <c r="A371" t="inlineStr">
        <is>
          <t>A 31554-2025</t>
        </is>
      </c>
      <c r="B371" s="1" t="n">
        <v>45833</v>
      </c>
      <c r="C371" s="1" t="n">
        <v>46091</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31762-2025</t>
        </is>
      </c>
      <c r="B372" s="1" t="n">
        <v>45834.49288194445</v>
      </c>
      <c r="C372" s="1" t="n">
        <v>46091</v>
      </c>
      <c r="D372" t="inlineStr">
        <is>
          <t>VÄSTMANLANDS LÄN</t>
        </is>
      </c>
      <c r="E372" t="inlineStr">
        <is>
          <t>SALA</t>
        </is>
      </c>
      <c r="G372" t="n">
        <v>5.9</v>
      </c>
      <c r="H372" t="n">
        <v>0</v>
      </c>
      <c r="I372" t="n">
        <v>0</v>
      </c>
      <c r="J372" t="n">
        <v>0</v>
      </c>
      <c r="K372" t="n">
        <v>0</v>
      </c>
      <c r="L372" t="n">
        <v>0</v>
      </c>
      <c r="M372" t="n">
        <v>0</v>
      </c>
      <c r="N372" t="n">
        <v>0</v>
      </c>
      <c r="O372" t="n">
        <v>0</v>
      </c>
      <c r="P372" t="n">
        <v>0</v>
      </c>
      <c r="Q372" t="n">
        <v>0</v>
      </c>
      <c r="R372" s="2" t="inlineStr"/>
    </row>
    <row r="373" ht="15" customHeight="1">
      <c r="A373" t="inlineStr">
        <is>
          <t>A 31608-2025</t>
        </is>
      </c>
      <c r="B373" s="1" t="n">
        <v>45833</v>
      </c>
      <c r="C373" s="1" t="n">
        <v>46091</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31610-2025</t>
        </is>
      </c>
      <c r="B374" s="1" t="n">
        <v>45833.78650462963</v>
      </c>
      <c r="C374" s="1" t="n">
        <v>46091</v>
      </c>
      <c r="D374" t="inlineStr">
        <is>
          <t>VÄSTMANLANDS LÄN</t>
        </is>
      </c>
      <c r="E374" t="inlineStr">
        <is>
          <t>SALA</t>
        </is>
      </c>
      <c r="G374" t="n">
        <v>8</v>
      </c>
      <c r="H374" t="n">
        <v>0</v>
      </c>
      <c r="I374" t="n">
        <v>0</v>
      </c>
      <c r="J374" t="n">
        <v>0</v>
      </c>
      <c r="K374" t="n">
        <v>0</v>
      </c>
      <c r="L374" t="n">
        <v>0</v>
      </c>
      <c r="M374" t="n">
        <v>0</v>
      </c>
      <c r="N374" t="n">
        <v>0</v>
      </c>
      <c r="O374" t="n">
        <v>0</v>
      </c>
      <c r="P374" t="n">
        <v>0</v>
      </c>
      <c r="Q374" t="n">
        <v>0</v>
      </c>
      <c r="R374" s="2" t="inlineStr"/>
    </row>
    <row r="375" ht="15" customHeight="1">
      <c r="A375" t="inlineStr">
        <is>
          <t>A 31296-2025</t>
        </is>
      </c>
      <c r="B375" s="1" t="n">
        <v>45833.36765046296</v>
      </c>
      <c r="C375" s="1" t="n">
        <v>46091</v>
      </c>
      <c r="D375" t="inlineStr">
        <is>
          <t>VÄSTMANLANDS LÄN</t>
        </is>
      </c>
      <c r="E375" t="inlineStr">
        <is>
          <t>SALA</t>
        </is>
      </c>
      <c r="G375" t="n">
        <v>3.7</v>
      </c>
      <c r="H375" t="n">
        <v>0</v>
      </c>
      <c r="I375" t="n">
        <v>0</v>
      </c>
      <c r="J375" t="n">
        <v>0</v>
      </c>
      <c r="K375" t="n">
        <v>0</v>
      </c>
      <c r="L375" t="n">
        <v>0</v>
      </c>
      <c r="M375" t="n">
        <v>0</v>
      </c>
      <c r="N375" t="n">
        <v>0</v>
      </c>
      <c r="O375" t="n">
        <v>0</v>
      </c>
      <c r="P375" t="n">
        <v>0</v>
      </c>
      <c r="Q375" t="n">
        <v>0</v>
      </c>
      <c r="R375" s="2" t="inlineStr"/>
    </row>
    <row r="376" ht="15" customHeight="1">
      <c r="A376" t="inlineStr">
        <is>
          <t>A 21159-2022</t>
        </is>
      </c>
      <c r="B376" s="1" t="n">
        <v>44704</v>
      </c>
      <c r="C376" s="1" t="n">
        <v>46091</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50128-2025</t>
        </is>
      </c>
      <c r="B377" s="1" t="n">
        <v>45943.55318287037</v>
      </c>
      <c r="C377" s="1" t="n">
        <v>46091</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31573-2025</t>
        </is>
      </c>
      <c r="B378" s="1" t="n">
        <v>45833</v>
      </c>
      <c r="C378" s="1" t="n">
        <v>46091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32201-2025</t>
        </is>
      </c>
      <c r="B379" s="1" t="n">
        <v>45835</v>
      </c>
      <c r="C379" s="1" t="n">
        <v>46091</v>
      </c>
      <c r="D379" t="inlineStr">
        <is>
          <t>VÄSTMANLANDS LÄN</t>
        </is>
      </c>
      <c r="E379" t="inlineStr">
        <is>
          <t>SALA</t>
        </is>
      </c>
      <c r="F379" t="inlineStr">
        <is>
          <t>Bergvik skog öst AB</t>
        </is>
      </c>
      <c r="G379" t="n">
        <v>1.8</v>
      </c>
      <c r="H379" t="n">
        <v>0</v>
      </c>
      <c r="I379" t="n">
        <v>0</v>
      </c>
      <c r="J379" t="n">
        <v>0</v>
      </c>
      <c r="K379" t="n">
        <v>0</v>
      </c>
      <c r="L379" t="n">
        <v>0</v>
      </c>
      <c r="M379" t="n">
        <v>0</v>
      </c>
      <c r="N379" t="n">
        <v>0</v>
      </c>
      <c r="O379" t="n">
        <v>0</v>
      </c>
      <c r="P379" t="n">
        <v>0</v>
      </c>
      <c r="Q379" t="n">
        <v>0</v>
      </c>
      <c r="R379" s="2" t="inlineStr"/>
    </row>
    <row r="380" ht="15" customHeight="1">
      <c r="A380" t="inlineStr">
        <is>
          <t>A 50249-2025</t>
        </is>
      </c>
      <c r="B380" s="1" t="n">
        <v>45944.31508101852</v>
      </c>
      <c r="C380" s="1" t="n">
        <v>46091</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41292-2021</t>
        </is>
      </c>
      <c r="B381" s="1" t="n">
        <v>44424</v>
      </c>
      <c r="C381" s="1" t="n">
        <v>46091</v>
      </c>
      <c r="D381" t="inlineStr">
        <is>
          <t>VÄSTMANLANDS LÄN</t>
        </is>
      </c>
      <c r="E381" t="inlineStr">
        <is>
          <t>SALA</t>
        </is>
      </c>
      <c r="G381" t="n">
        <v>0.3</v>
      </c>
      <c r="H381" t="n">
        <v>0</v>
      </c>
      <c r="I381" t="n">
        <v>0</v>
      </c>
      <c r="J381" t="n">
        <v>0</v>
      </c>
      <c r="K381" t="n">
        <v>0</v>
      </c>
      <c r="L381" t="n">
        <v>0</v>
      </c>
      <c r="M381" t="n">
        <v>0</v>
      </c>
      <c r="N381" t="n">
        <v>0</v>
      </c>
      <c r="O381" t="n">
        <v>0</v>
      </c>
      <c r="P381" t="n">
        <v>0</v>
      </c>
      <c r="Q381" t="n">
        <v>0</v>
      </c>
      <c r="R381" s="2" t="inlineStr"/>
    </row>
    <row r="382" ht="15" customHeight="1">
      <c r="A382" t="inlineStr">
        <is>
          <t>A 60328-2024</t>
        </is>
      </c>
      <c r="B382" s="1" t="n">
        <v>45643.38416666666</v>
      </c>
      <c r="C382" s="1" t="n">
        <v>46091</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32205-2025</t>
        </is>
      </c>
      <c r="B383" s="1" t="n">
        <v>45835</v>
      </c>
      <c r="C383" s="1" t="n">
        <v>46091</v>
      </c>
      <c r="D383" t="inlineStr">
        <is>
          <t>VÄSTMANLANDS LÄN</t>
        </is>
      </c>
      <c r="E383" t="inlineStr">
        <is>
          <t>SALA</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32210-2025</t>
        </is>
      </c>
      <c r="B384" s="1" t="n">
        <v>45835</v>
      </c>
      <c r="C384" s="1" t="n">
        <v>46091</v>
      </c>
      <c r="D384" t="inlineStr">
        <is>
          <t>VÄSTMANLANDS LÄN</t>
        </is>
      </c>
      <c r="E384" t="inlineStr">
        <is>
          <t>SALA</t>
        </is>
      </c>
      <c r="F384" t="inlineStr">
        <is>
          <t>Bergvik skog öst AB</t>
        </is>
      </c>
      <c r="G384" t="n">
        <v>1.5</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46091</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46091</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32286-2025</t>
        </is>
      </c>
      <c r="B387" s="1" t="n">
        <v>45835</v>
      </c>
      <c r="C387" s="1" t="n">
        <v>46091</v>
      </c>
      <c r="D387" t="inlineStr">
        <is>
          <t>VÄSTMANLANDS LÄN</t>
        </is>
      </c>
      <c r="E387" t="inlineStr">
        <is>
          <t>SALA</t>
        </is>
      </c>
      <c r="G387" t="n">
        <v>6.4</v>
      </c>
      <c r="H387" t="n">
        <v>0</v>
      </c>
      <c r="I387" t="n">
        <v>0</v>
      </c>
      <c r="J387" t="n">
        <v>0</v>
      </c>
      <c r="K387" t="n">
        <v>0</v>
      </c>
      <c r="L387" t="n">
        <v>0</v>
      </c>
      <c r="M387" t="n">
        <v>0</v>
      </c>
      <c r="N387" t="n">
        <v>0</v>
      </c>
      <c r="O387" t="n">
        <v>0</v>
      </c>
      <c r="P387" t="n">
        <v>0</v>
      </c>
      <c r="Q387" t="n">
        <v>0</v>
      </c>
      <c r="R387" s="2" t="inlineStr"/>
    </row>
    <row r="388" ht="15" customHeight="1">
      <c r="A388" t="inlineStr">
        <is>
          <t>A 33273-2023</t>
        </is>
      </c>
      <c r="B388" s="1" t="n">
        <v>45127</v>
      </c>
      <c r="C388" s="1" t="n">
        <v>46091</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32207-2025</t>
        </is>
      </c>
      <c r="B389" s="1" t="n">
        <v>45835</v>
      </c>
      <c r="C389" s="1" t="n">
        <v>46091</v>
      </c>
      <c r="D389" t="inlineStr">
        <is>
          <t>VÄSTMANLANDS LÄN</t>
        </is>
      </c>
      <c r="E389" t="inlineStr">
        <is>
          <t>SALA</t>
        </is>
      </c>
      <c r="F389" t="inlineStr">
        <is>
          <t>Bergvik skog öst AB</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54893-2025</t>
        </is>
      </c>
      <c r="B390" s="1" t="n">
        <v>45967.36383101852</v>
      </c>
      <c r="C390" s="1" t="n">
        <v>46091</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32902-2025</t>
        </is>
      </c>
      <c r="B391" s="1" t="n">
        <v>45839</v>
      </c>
      <c r="C391" s="1" t="n">
        <v>46091</v>
      </c>
      <c r="D391" t="inlineStr">
        <is>
          <t>VÄSTMANLANDS LÄN</t>
        </is>
      </c>
      <c r="E391" t="inlineStr">
        <is>
          <t>SALA</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52827-2024</t>
        </is>
      </c>
      <c r="B392" s="1" t="n">
        <v>45610</v>
      </c>
      <c r="C392" s="1" t="n">
        <v>46091</v>
      </c>
      <c r="D392" t="inlineStr">
        <is>
          <t>VÄSTMANLANDS LÄN</t>
        </is>
      </c>
      <c r="E392" t="inlineStr">
        <is>
          <t>SALA</t>
        </is>
      </c>
      <c r="G392" t="n">
        <v>0.2</v>
      </c>
      <c r="H392" t="n">
        <v>0</v>
      </c>
      <c r="I392" t="n">
        <v>0</v>
      </c>
      <c r="J392" t="n">
        <v>0</v>
      </c>
      <c r="K392" t="n">
        <v>0</v>
      </c>
      <c r="L392" t="n">
        <v>0</v>
      </c>
      <c r="M392" t="n">
        <v>0</v>
      </c>
      <c r="N392" t="n">
        <v>0</v>
      </c>
      <c r="O392" t="n">
        <v>0</v>
      </c>
      <c r="P392" t="n">
        <v>0</v>
      </c>
      <c r="Q392" t="n">
        <v>0</v>
      </c>
      <c r="R392" s="2" t="inlineStr"/>
    </row>
    <row r="393" ht="15" customHeight="1">
      <c r="A393" t="inlineStr">
        <is>
          <t>A 53166-2024</t>
        </is>
      </c>
      <c r="B393" s="1" t="n">
        <v>45611</v>
      </c>
      <c r="C393" s="1" t="n">
        <v>46091</v>
      </c>
      <c r="D393" t="inlineStr">
        <is>
          <t>VÄSTMANLANDS LÄN</t>
        </is>
      </c>
      <c r="E393" t="inlineStr">
        <is>
          <t>SALA</t>
        </is>
      </c>
      <c r="G393" t="n">
        <v>1.5</v>
      </c>
      <c r="H393" t="n">
        <v>0</v>
      </c>
      <c r="I393" t="n">
        <v>0</v>
      </c>
      <c r="J393" t="n">
        <v>0</v>
      </c>
      <c r="K393" t="n">
        <v>0</v>
      </c>
      <c r="L393" t="n">
        <v>0</v>
      </c>
      <c r="M393" t="n">
        <v>0</v>
      </c>
      <c r="N393" t="n">
        <v>0</v>
      </c>
      <c r="O393" t="n">
        <v>0</v>
      </c>
      <c r="P393" t="n">
        <v>0</v>
      </c>
      <c r="Q393" t="n">
        <v>0</v>
      </c>
      <c r="R393" s="2" t="inlineStr"/>
    </row>
    <row r="394" ht="15" customHeight="1">
      <c r="A394" t="inlineStr">
        <is>
          <t>A 11244-2024</t>
        </is>
      </c>
      <c r="B394" s="1" t="n">
        <v>45371</v>
      </c>
      <c r="C394" s="1" t="n">
        <v>46091</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62654-2022</t>
        </is>
      </c>
      <c r="B395" s="1" t="n">
        <v>44917</v>
      </c>
      <c r="C395" s="1" t="n">
        <v>46091</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6135-2023</t>
        </is>
      </c>
      <c r="B396" s="1" t="n">
        <v>44964.62628472222</v>
      </c>
      <c r="C396" s="1" t="n">
        <v>46091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53864-2022</t>
        </is>
      </c>
      <c r="B397" s="1" t="n">
        <v>44880.64016203704</v>
      </c>
      <c r="C397" s="1" t="n">
        <v>46091</v>
      </c>
      <c r="D397" t="inlineStr">
        <is>
          <t>VÄSTMANLANDS LÄN</t>
        </is>
      </c>
      <c r="E397" t="inlineStr">
        <is>
          <t>SALA</t>
        </is>
      </c>
      <c r="G397" t="n">
        <v>5.9</v>
      </c>
      <c r="H397" t="n">
        <v>0</v>
      </c>
      <c r="I397" t="n">
        <v>0</v>
      </c>
      <c r="J397" t="n">
        <v>0</v>
      </c>
      <c r="K397" t="n">
        <v>0</v>
      </c>
      <c r="L397" t="n">
        <v>0</v>
      </c>
      <c r="M397" t="n">
        <v>0</v>
      </c>
      <c r="N397" t="n">
        <v>0</v>
      </c>
      <c r="O397" t="n">
        <v>0</v>
      </c>
      <c r="P397" t="n">
        <v>0</v>
      </c>
      <c r="Q397" t="n">
        <v>0</v>
      </c>
      <c r="R397" s="2" t="inlineStr"/>
    </row>
    <row r="398" ht="15" customHeight="1">
      <c r="A398" t="inlineStr">
        <is>
          <t>A 27255-2023</t>
        </is>
      </c>
      <c r="B398" s="1" t="n">
        <v>45096</v>
      </c>
      <c r="C398" s="1" t="n">
        <v>46091</v>
      </c>
      <c r="D398" t="inlineStr">
        <is>
          <t>VÄSTMANLANDS LÄN</t>
        </is>
      </c>
      <c r="E398" t="inlineStr">
        <is>
          <t>SALA</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19033-2025</t>
        </is>
      </c>
      <c r="B399" s="1" t="n">
        <v>45764.65796296296</v>
      </c>
      <c r="C399" s="1" t="n">
        <v>46091</v>
      </c>
      <c r="D399" t="inlineStr">
        <is>
          <t>VÄSTMANLANDS LÄN</t>
        </is>
      </c>
      <c r="E399" t="inlineStr">
        <is>
          <t>SALA</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60034-2024</t>
        </is>
      </c>
      <c r="B400" s="1" t="n">
        <v>45642.46261574074</v>
      </c>
      <c r="C400" s="1" t="n">
        <v>46091</v>
      </c>
      <c r="D400" t="inlineStr">
        <is>
          <t>VÄSTMANLANDS LÄN</t>
        </is>
      </c>
      <c r="E400" t="inlineStr">
        <is>
          <t>SALA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3810-2023</t>
        </is>
      </c>
      <c r="B401" s="1" t="n">
        <v>44951.60454861111</v>
      </c>
      <c r="C401" s="1" t="n">
        <v>46091</v>
      </c>
      <c r="D401" t="inlineStr">
        <is>
          <t>VÄSTMANLANDS LÄN</t>
        </is>
      </c>
      <c r="E401" t="inlineStr">
        <is>
          <t>SALA</t>
        </is>
      </c>
      <c r="G401" t="n">
        <v>4.2</v>
      </c>
      <c r="H401" t="n">
        <v>0</v>
      </c>
      <c r="I401" t="n">
        <v>0</v>
      </c>
      <c r="J401" t="n">
        <v>0</v>
      </c>
      <c r="K401" t="n">
        <v>0</v>
      </c>
      <c r="L401" t="n">
        <v>0</v>
      </c>
      <c r="M401" t="n">
        <v>0</v>
      </c>
      <c r="N401" t="n">
        <v>0</v>
      </c>
      <c r="O401" t="n">
        <v>0</v>
      </c>
      <c r="P401" t="n">
        <v>0</v>
      </c>
      <c r="Q401" t="n">
        <v>0</v>
      </c>
      <c r="R401" s="2" t="inlineStr"/>
    </row>
    <row r="402" ht="15" customHeight="1">
      <c r="A402" t="inlineStr">
        <is>
          <t>A 34069-2025</t>
        </is>
      </c>
      <c r="B402" s="1" t="n">
        <v>45845.43560185185</v>
      </c>
      <c r="C402" s="1" t="n">
        <v>46091</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c r="U402">
        <f>HYPERLINK("https://klasma.github.io/Logging_1981/knärot/A 34069-2025 karta knärot.png", "A 34069-2025")</f>
        <v/>
      </c>
      <c r="V402">
        <f>HYPERLINK("https://klasma.github.io/Logging_1981/klagomål/A 34069-2025 FSC-klagomål.docx", "A 34069-2025")</f>
        <v/>
      </c>
      <c r="W402">
        <f>HYPERLINK("https://klasma.github.io/Logging_1981/klagomålsmail/A 34069-2025 FSC-klagomål mail.docx", "A 34069-2025")</f>
        <v/>
      </c>
      <c r="X402">
        <f>HYPERLINK("https://klasma.github.io/Logging_1981/tillsyn/A 34069-2025 tillsynsbegäran.docx", "A 34069-2025")</f>
        <v/>
      </c>
      <c r="Y402">
        <f>HYPERLINK("https://klasma.github.io/Logging_1981/tillsynsmail/A 34069-2025 tillsynsbegäran mail.docx", "A 34069-2025")</f>
        <v/>
      </c>
    </row>
    <row r="403" ht="15" customHeight="1">
      <c r="A403" t="inlineStr">
        <is>
          <t>A 52503-2024</t>
        </is>
      </c>
      <c r="B403" s="1" t="n">
        <v>45609.58806712963</v>
      </c>
      <c r="C403" s="1" t="n">
        <v>46091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2521-2025</t>
        </is>
      </c>
      <c r="B404" s="1" t="n">
        <v>45674</v>
      </c>
      <c r="C404" s="1" t="n">
        <v>46091</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31000-2022</t>
        </is>
      </c>
      <c r="B405" s="1" t="n">
        <v>44768</v>
      </c>
      <c r="C405" s="1" t="n">
        <v>46091</v>
      </c>
      <c r="D405" t="inlineStr">
        <is>
          <t>VÄSTMANLANDS LÄN</t>
        </is>
      </c>
      <c r="E405" t="inlineStr">
        <is>
          <t>SALA</t>
        </is>
      </c>
      <c r="G405" t="n">
        <v>5.7</v>
      </c>
      <c r="H405" t="n">
        <v>0</v>
      </c>
      <c r="I405" t="n">
        <v>0</v>
      </c>
      <c r="J405" t="n">
        <v>0</v>
      </c>
      <c r="K405" t="n">
        <v>0</v>
      </c>
      <c r="L405" t="n">
        <v>0</v>
      </c>
      <c r="M405" t="n">
        <v>0</v>
      </c>
      <c r="N405" t="n">
        <v>0</v>
      </c>
      <c r="O405" t="n">
        <v>0</v>
      </c>
      <c r="P405" t="n">
        <v>0</v>
      </c>
      <c r="Q405" t="n">
        <v>0</v>
      </c>
      <c r="R405" s="2" t="inlineStr"/>
    </row>
    <row r="406" ht="15" customHeight="1">
      <c r="A406" t="inlineStr">
        <is>
          <t>A 55997-2025</t>
        </is>
      </c>
      <c r="B406" s="1" t="n">
        <v>45973.56833333334</v>
      </c>
      <c r="C406" s="1" t="n">
        <v>46091</v>
      </c>
      <c r="D406" t="inlineStr">
        <is>
          <t>VÄSTMANLANDS LÄN</t>
        </is>
      </c>
      <c r="E406" t="inlineStr">
        <is>
          <t>SALA</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15744-2025</t>
        </is>
      </c>
      <c r="B407" s="1" t="n">
        <v>45748</v>
      </c>
      <c r="C407" s="1" t="n">
        <v>46091</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31950-2023</t>
        </is>
      </c>
      <c r="B408" s="1" t="n">
        <v>45107</v>
      </c>
      <c r="C408" s="1" t="n">
        <v>46091</v>
      </c>
      <c r="D408" t="inlineStr">
        <is>
          <t>VÄSTMANLANDS LÄN</t>
        </is>
      </c>
      <c r="E408" t="inlineStr">
        <is>
          <t>SALA</t>
        </is>
      </c>
      <c r="G408" t="n">
        <v>0.1</v>
      </c>
      <c r="H408" t="n">
        <v>0</v>
      </c>
      <c r="I408" t="n">
        <v>0</v>
      </c>
      <c r="J408" t="n">
        <v>0</v>
      </c>
      <c r="K408" t="n">
        <v>0</v>
      </c>
      <c r="L408" t="n">
        <v>0</v>
      </c>
      <c r="M408" t="n">
        <v>0</v>
      </c>
      <c r="N408" t="n">
        <v>0</v>
      </c>
      <c r="O408" t="n">
        <v>0</v>
      </c>
      <c r="P408" t="n">
        <v>0</v>
      </c>
      <c r="Q408" t="n">
        <v>0</v>
      </c>
      <c r="R408" s="2" t="inlineStr"/>
    </row>
    <row r="409" ht="15" customHeight="1">
      <c r="A409" t="inlineStr">
        <is>
          <t>A 16693-2023</t>
        </is>
      </c>
      <c r="B409" s="1" t="n">
        <v>45028</v>
      </c>
      <c r="C409" s="1" t="n">
        <v>46091</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23182-2022</t>
        </is>
      </c>
      <c r="B410" s="1" t="n">
        <v>44719.79707175926</v>
      </c>
      <c r="C410" s="1" t="n">
        <v>46091</v>
      </c>
      <c r="D410" t="inlineStr">
        <is>
          <t>VÄSTMANLANDS LÄN</t>
        </is>
      </c>
      <c r="E410" t="inlineStr">
        <is>
          <t>SALA</t>
        </is>
      </c>
      <c r="G410" t="n">
        <v>1.2</v>
      </c>
      <c r="H410" t="n">
        <v>0</v>
      </c>
      <c r="I410" t="n">
        <v>0</v>
      </c>
      <c r="J410" t="n">
        <v>0</v>
      </c>
      <c r="K410" t="n">
        <v>0</v>
      </c>
      <c r="L410" t="n">
        <v>0</v>
      </c>
      <c r="M410" t="n">
        <v>0</v>
      </c>
      <c r="N410" t="n">
        <v>0</v>
      </c>
      <c r="O410" t="n">
        <v>0</v>
      </c>
      <c r="P410" t="n">
        <v>0</v>
      </c>
      <c r="Q410" t="n">
        <v>0</v>
      </c>
      <c r="R410" s="2" t="inlineStr"/>
    </row>
    <row r="411" ht="15" customHeight="1">
      <c r="A411" t="inlineStr">
        <is>
          <t>A 57371-2022</t>
        </is>
      </c>
      <c r="B411" s="1" t="n">
        <v>44896.43832175926</v>
      </c>
      <c r="C411" s="1" t="n">
        <v>46091</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56548-2024</t>
        </is>
      </c>
      <c r="B412" s="1" t="n">
        <v>45625</v>
      </c>
      <c r="C412" s="1" t="n">
        <v>46091</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47086-2022</t>
        </is>
      </c>
      <c r="B413" s="1" t="n">
        <v>44852</v>
      </c>
      <c r="C413" s="1" t="n">
        <v>46091</v>
      </c>
      <c r="D413" t="inlineStr">
        <is>
          <t>VÄSTMANLANDS LÄN</t>
        </is>
      </c>
      <c r="E413" t="inlineStr">
        <is>
          <t>SALA</t>
        </is>
      </c>
      <c r="G413" t="n">
        <v>12.5</v>
      </c>
      <c r="H413" t="n">
        <v>0</v>
      </c>
      <c r="I413" t="n">
        <v>0</v>
      </c>
      <c r="J413" t="n">
        <v>0</v>
      </c>
      <c r="K413" t="n">
        <v>0</v>
      </c>
      <c r="L413" t="n">
        <v>0</v>
      </c>
      <c r="M413" t="n">
        <v>0</v>
      </c>
      <c r="N413" t="n">
        <v>0</v>
      </c>
      <c r="O413" t="n">
        <v>0</v>
      </c>
      <c r="P413" t="n">
        <v>0</v>
      </c>
      <c r="Q413" t="n">
        <v>0</v>
      </c>
      <c r="R413" s="2" t="inlineStr"/>
    </row>
    <row r="414" ht="15" customHeight="1">
      <c r="A414" t="inlineStr">
        <is>
          <t>A 35715-2025</t>
        </is>
      </c>
      <c r="B414" s="1" t="n">
        <v>45860.42148148148</v>
      </c>
      <c r="C414" s="1" t="n">
        <v>46091</v>
      </c>
      <c r="D414" t="inlineStr">
        <is>
          <t>VÄSTMANLANDS LÄN</t>
        </is>
      </c>
      <c r="E414" t="inlineStr">
        <is>
          <t>SALA</t>
        </is>
      </c>
      <c r="G414" t="n">
        <v>3.8</v>
      </c>
      <c r="H414" t="n">
        <v>0</v>
      </c>
      <c r="I414" t="n">
        <v>0</v>
      </c>
      <c r="J414" t="n">
        <v>0</v>
      </c>
      <c r="K414" t="n">
        <v>0</v>
      </c>
      <c r="L414" t="n">
        <v>0</v>
      </c>
      <c r="M414" t="n">
        <v>0</v>
      </c>
      <c r="N414" t="n">
        <v>0</v>
      </c>
      <c r="O414" t="n">
        <v>0</v>
      </c>
      <c r="P414" t="n">
        <v>0</v>
      </c>
      <c r="Q414" t="n">
        <v>0</v>
      </c>
      <c r="R414" s="2" t="inlineStr"/>
    </row>
    <row r="415" ht="15" customHeight="1">
      <c r="A415" t="inlineStr">
        <is>
          <t>A 35651-2025</t>
        </is>
      </c>
      <c r="B415" s="1" t="n">
        <v>45859.52435185185</v>
      </c>
      <c r="C415" s="1" t="n">
        <v>46091</v>
      </c>
      <c r="D415" t="inlineStr">
        <is>
          <t>VÄSTMANLANDS LÄN</t>
        </is>
      </c>
      <c r="E415" t="inlineStr">
        <is>
          <t>SALA</t>
        </is>
      </c>
      <c r="G415" t="n">
        <v>6.3</v>
      </c>
      <c r="H415" t="n">
        <v>0</v>
      </c>
      <c r="I415" t="n">
        <v>0</v>
      </c>
      <c r="J415" t="n">
        <v>0</v>
      </c>
      <c r="K415" t="n">
        <v>0</v>
      </c>
      <c r="L415" t="n">
        <v>0</v>
      </c>
      <c r="M415" t="n">
        <v>0</v>
      </c>
      <c r="N415" t="n">
        <v>0</v>
      </c>
      <c r="O415" t="n">
        <v>0</v>
      </c>
      <c r="P415" t="n">
        <v>0</v>
      </c>
      <c r="Q415" t="n">
        <v>0</v>
      </c>
      <c r="R415" s="2" t="inlineStr"/>
    </row>
    <row r="416" ht="15" customHeight="1">
      <c r="A416" t="inlineStr">
        <is>
          <t>A 35775-2025</t>
        </is>
      </c>
      <c r="B416" s="1" t="n">
        <v>45860</v>
      </c>
      <c r="C416" s="1" t="n">
        <v>46091</v>
      </c>
      <c r="D416" t="inlineStr">
        <is>
          <t>VÄSTMANLANDS LÄN</t>
        </is>
      </c>
      <c r="E416" t="inlineStr">
        <is>
          <t>SALA</t>
        </is>
      </c>
      <c r="G416" t="n">
        <v>2.6</v>
      </c>
      <c r="H416" t="n">
        <v>0</v>
      </c>
      <c r="I416" t="n">
        <v>0</v>
      </c>
      <c r="J416" t="n">
        <v>0</v>
      </c>
      <c r="K416" t="n">
        <v>0</v>
      </c>
      <c r="L416" t="n">
        <v>0</v>
      </c>
      <c r="M416" t="n">
        <v>0</v>
      </c>
      <c r="N416" t="n">
        <v>0</v>
      </c>
      <c r="O416" t="n">
        <v>0</v>
      </c>
      <c r="P416" t="n">
        <v>0</v>
      </c>
      <c r="Q416" t="n">
        <v>0</v>
      </c>
      <c r="R416" s="2" t="inlineStr"/>
    </row>
    <row r="417" ht="15" customHeight="1">
      <c r="A417" t="inlineStr">
        <is>
          <t>A 35774-2025</t>
        </is>
      </c>
      <c r="B417" s="1" t="n">
        <v>45860.68780092592</v>
      </c>
      <c r="C417" s="1" t="n">
        <v>46091</v>
      </c>
      <c r="D417" t="inlineStr">
        <is>
          <t>VÄSTMANLANDS LÄN</t>
        </is>
      </c>
      <c r="E417" t="inlineStr">
        <is>
          <t>SALA</t>
        </is>
      </c>
      <c r="G417" t="n">
        <v>6.5</v>
      </c>
      <c r="H417" t="n">
        <v>0</v>
      </c>
      <c r="I417" t="n">
        <v>0</v>
      </c>
      <c r="J417" t="n">
        <v>0</v>
      </c>
      <c r="K417" t="n">
        <v>0</v>
      </c>
      <c r="L417" t="n">
        <v>0</v>
      </c>
      <c r="M417" t="n">
        <v>0</v>
      </c>
      <c r="N417" t="n">
        <v>0</v>
      </c>
      <c r="O417" t="n">
        <v>0</v>
      </c>
      <c r="P417" t="n">
        <v>0</v>
      </c>
      <c r="Q417" t="n">
        <v>0</v>
      </c>
      <c r="R417" s="2" t="inlineStr"/>
    </row>
    <row r="418" ht="15" customHeight="1">
      <c r="A418" t="inlineStr">
        <is>
          <t>A 55714-2025</t>
        </is>
      </c>
      <c r="B418" s="1" t="n">
        <v>45972.49131944445</v>
      </c>
      <c r="C418" s="1" t="n">
        <v>46091</v>
      </c>
      <c r="D418" t="inlineStr">
        <is>
          <t>VÄSTMANLANDS LÄN</t>
        </is>
      </c>
      <c r="E418" t="inlineStr">
        <is>
          <t>SALA</t>
        </is>
      </c>
      <c r="G418" t="n">
        <v>6.6</v>
      </c>
      <c r="H418" t="n">
        <v>0</v>
      </c>
      <c r="I418" t="n">
        <v>0</v>
      </c>
      <c r="J418" t="n">
        <v>0</v>
      </c>
      <c r="K418" t="n">
        <v>0</v>
      </c>
      <c r="L418" t="n">
        <v>0</v>
      </c>
      <c r="M418" t="n">
        <v>0</v>
      </c>
      <c r="N418" t="n">
        <v>0</v>
      </c>
      <c r="O418" t="n">
        <v>0</v>
      </c>
      <c r="P418" t="n">
        <v>0</v>
      </c>
      <c r="Q418" t="n">
        <v>0</v>
      </c>
      <c r="R418" s="2" t="inlineStr"/>
    </row>
    <row r="419" ht="15" customHeight="1">
      <c r="A419" t="inlineStr">
        <is>
          <t>A 35776-2025</t>
        </is>
      </c>
      <c r="B419" s="1" t="n">
        <v>45860.69211805556</v>
      </c>
      <c r="C419" s="1" t="n">
        <v>46091</v>
      </c>
      <c r="D419" t="inlineStr">
        <is>
          <t>VÄSTMANLANDS LÄN</t>
        </is>
      </c>
      <c r="E419" t="inlineStr">
        <is>
          <t>SALA</t>
        </is>
      </c>
      <c r="G419" t="n">
        <v>14.2</v>
      </c>
      <c r="H419" t="n">
        <v>0</v>
      </c>
      <c r="I419" t="n">
        <v>0</v>
      </c>
      <c r="J419" t="n">
        <v>0</v>
      </c>
      <c r="K419" t="n">
        <v>0</v>
      </c>
      <c r="L419" t="n">
        <v>0</v>
      </c>
      <c r="M419" t="n">
        <v>0</v>
      </c>
      <c r="N419" t="n">
        <v>0</v>
      </c>
      <c r="O419" t="n">
        <v>0</v>
      </c>
      <c r="P419" t="n">
        <v>0</v>
      </c>
      <c r="Q419" t="n">
        <v>0</v>
      </c>
      <c r="R419" s="2" t="inlineStr"/>
    </row>
    <row r="420" ht="15" customHeight="1">
      <c r="A420" t="inlineStr">
        <is>
          <t>A 35779-2025</t>
        </is>
      </c>
      <c r="B420" s="1" t="n">
        <v>45860.69495370371</v>
      </c>
      <c r="C420" s="1" t="n">
        <v>46091</v>
      </c>
      <c r="D420" t="inlineStr">
        <is>
          <t>VÄSTMANLANDS LÄN</t>
        </is>
      </c>
      <c r="E420" t="inlineStr">
        <is>
          <t>SALA</t>
        </is>
      </c>
      <c r="G420" t="n">
        <v>2.4</v>
      </c>
      <c r="H420" t="n">
        <v>0</v>
      </c>
      <c r="I420" t="n">
        <v>0</v>
      </c>
      <c r="J420" t="n">
        <v>0</v>
      </c>
      <c r="K420" t="n">
        <v>0</v>
      </c>
      <c r="L420" t="n">
        <v>0</v>
      </c>
      <c r="M420" t="n">
        <v>0</v>
      </c>
      <c r="N420" t="n">
        <v>0</v>
      </c>
      <c r="O420" t="n">
        <v>0</v>
      </c>
      <c r="P420" t="n">
        <v>0</v>
      </c>
      <c r="Q420" t="n">
        <v>0</v>
      </c>
      <c r="R420" s="2" t="inlineStr"/>
    </row>
    <row r="421" ht="15" customHeight="1">
      <c r="A421" t="inlineStr">
        <is>
          <t>A 56614-2025</t>
        </is>
      </c>
      <c r="B421" s="1" t="n">
        <v>45975.59288194445</v>
      </c>
      <c r="C421" s="1" t="n">
        <v>46091</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56611-2025</t>
        </is>
      </c>
      <c r="B422" s="1" t="n">
        <v>45975</v>
      </c>
      <c r="C422" s="1" t="n">
        <v>46091</v>
      </c>
      <c r="D422" t="inlineStr">
        <is>
          <t>VÄSTMANLANDS LÄN</t>
        </is>
      </c>
      <c r="E422" t="inlineStr">
        <is>
          <t>SALA</t>
        </is>
      </c>
      <c r="G422" t="n">
        <v>2.8</v>
      </c>
      <c r="H422" t="n">
        <v>0</v>
      </c>
      <c r="I422" t="n">
        <v>0</v>
      </c>
      <c r="J422" t="n">
        <v>0</v>
      </c>
      <c r="K422" t="n">
        <v>0</v>
      </c>
      <c r="L422" t="n">
        <v>0</v>
      </c>
      <c r="M422" t="n">
        <v>0</v>
      </c>
      <c r="N422" t="n">
        <v>0</v>
      </c>
      <c r="O422" t="n">
        <v>0</v>
      </c>
      <c r="P422" t="n">
        <v>0</v>
      </c>
      <c r="Q422" t="n">
        <v>0</v>
      </c>
      <c r="R422" s="2" t="inlineStr"/>
    </row>
    <row r="423" ht="15" customHeight="1">
      <c r="A423" t="inlineStr">
        <is>
          <t>A 36049-2025</t>
        </is>
      </c>
      <c r="B423" s="1" t="n">
        <v>45866.37065972222</v>
      </c>
      <c r="C423" s="1" t="n">
        <v>46091</v>
      </c>
      <c r="D423" t="inlineStr">
        <is>
          <t>VÄSTMANLANDS LÄN</t>
        </is>
      </c>
      <c r="E423" t="inlineStr">
        <is>
          <t>SALA</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988-2025</t>
        </is>
      </c>
      <c r="B424" s="1" t="n">
        <v>45666.44038194444</v>
      </c>
      <c r="C424" s="1" t="n">
        <v>46091</v>
      </c>
      <c r="D424" t="inlineStr">
        <is>
          <t>VÄSTMANLANDS LÄN</t>
        </is>
      </c>
      <c r="E424" t="inlineStr">
        <is>
          <t>SALA</t>
        </is>
      </c>
      <c r="G424" t="n">
        <v>1.3</v>
      </c>
      <c r="H424" t="n">
        <v>0</v>
      </c>
      <c r="I424" t="n">
        <v>0</v>
      </c>
      <c r="J424" t="n">
        <v>0</v>
      </c>
      <c r="K424" t="n">
        <v>0</v>
      </c>
      <c r="L424" t="n">
        <v>0</v>
      </c>
      <c r="M424" t="n">
        <v>0</v>
      </c>
      <c r="N424" t="n">
        <v>0</v>
      </c>
      <c r="O424" t="n">
        <v>0</v>
      </c>
      <c r="P424" t="n">
        <v>0</v>
      </c>
      <c r="Q424" t="n">
        <v>0</v>
      </c>
      <c r="R424" s="2" t="inlineStr"/>
    </row>
    <row r="425" ht="15" customHeight="1">
      <c r="A425" t="inlineStr">
        <is>
          <t>A 36031-2025</t>
        </is>
      </c>
      <c r="B425" s="1" t="n">
        <v>45865.46111111111</v>
      </c>
      <c r="C425" s="1" t="n">
        <v>46091</v>
      </c>
      <c r="D425" t="inlineStr">
        <is>
          <t>VÄSTMANLANDS LÄN</t>
        </is>
      </c>
      <c r="E425" t="inlineStr">
        <is>
          <t>SALA</t>
        </is>
      </c>
      <c r="G425" t="n">
        <v>7.2</v>
      </c>
      <c r="H425" t="n">
        <v>0</v>
      </c>
      <c r="I425" t="n">
        <v>0</v>
      </c>
      <c r="J425" t="n">
        <v>0</v>
      </c>
      <c r="K425" t="n">
        <v>0</v>
      </c>
      <c r="L425" t="n">
        <v>0</v>
      </c>
      <c r="M425" t="n">
        <v>0</v>
      </c>
      <c r="N425" t="n">
        <v>0</v>
      </c>
      <c r="O425" t="n">
        <v>0</v>
      </c>
      <c r="P425" t="n">
        <v>0</v>
      </c>
      <c r="Q425" t="n">
        <v>0</v>
      </c>
      <c r="R425" s="2" t="inlineStr"/>
    </row>
    <row r="426" ht="15" customHeight="1">
      <c r="A426" t="inlineStr">
        <is>
          <t>A 36060-2025</t>
        </is>
      </c>
      <c r="B426" s="1" t="n">
        <v>45866.39469907407</v>
      </c>
      <c r="C426" s="1" t="n">
        <v>46091</v>
      </c>
      <c r="D426" t="inlineStr">
        <is>
          <t>VÄSTMANLANDS LÄN</t>
        </is>
      </c>
      <c r="E426" t="inlineStr">
        <is>
          <t>SALA</t>
        </is>
      </c>
      <c r="F426" t="inlineStr">
        <is>
          <t>Kommuner</t>
        </is>
      </c>
      <c r="G426" t="n">
        <v>4.3</v>
      </c>
      <c r="H426" t="n">
        <v>0</v>
      </c>
      <c r="I426" t="n">
        <v>0</v>
      </c>
      <c r="J426" t="n">
        <v>0</v>
      </c>
      <c r="K426" t="n">
        <v>0</v>
      </c>
      <c r="L426" t="n">
        <v>0</v>
      </c>
      <c r="M426" t="n">
        <v>0</v>
      </c>
      <c r="N426" t="n">
        <v>0</v>
      </c>
      <c r="O426" t="n">
        <v>0</v>
      </c>
      <c r="P426" t="n">
        <v>0</v>
      </c>
      <c r="Q426" t="n">
        <v>0</v>
      </c>
      <c r="R426" s="2" t="inlineStr"/>
    </row>
    <row r="427" ht="15" customHeight="1">
      <c r="A427" t="inlineStr">
        <is>
          <t>A 36032-2025</t>
        </is>
      </c>
      <c r="B427" s="1" t="n">
        <v>45865.48740740741</v>
      </c>
      <c r="C427" s="1" t="n">
        <v>46091</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36043-2025</t>
        </is>
      </c>
      <c r="B428" s="1" t="n">
        <v>45866.35333333333</v>
      </c>
      <c r="C428" s="1" t="n">
        <v>46091</v>
      </c>
      <c r="D428" t="inlineStr">
        <is>
          <t>VÄSTMANLANDS LÄN</t>
        </is>
      </c>
      <c r="E428" t="inlineStr">
        <is>
          <t>SALA</t>
        </is>
      </c>
      <c r="F428" t="inlineStr">
        <is>
          <t>Kommuner</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36045-2025</t>
        </is>
      </c>
      <c r="B429" s="1" t="n">
        <v>45866.36200231482</v>
      </c>
      <c r="C429" s="1" t="n">
        <v>46091</v>
      </c>
      <c r="D429" t="inlineStr">
        <is>
          <t>VÄSTMANLANDS LÄN</t>
        </is>
      </c>
      <c r="E429" t="inlineStr">
        <is>
          <t>SALA</t>
        </is>
      </c>
      <c r="F429" t="inlineStr">
        <is>
          <t>Kommuner</t>
        </is>
      </c>
      <c r="G429" t="n">
        <v>1.7</v>
      </c>
      <c r="H429" t="n">
        <v>0</v>
      </c>
      <c r="I429" t="n">
        <v>0</v>
      </c>
      <c r="J429" t="n">
        <v>0</v>
      </c>
      <c r="K429" t="n">
        <v>0</v>
      </c>
      <c r="L429" t="n">
        <v>0</v>
      </c>
      <c r="M429" t="n">
        <v>0</v>
      </c>
      <c r="N429" t="n">
        <v>0</v>
      </c>
      <c r="O429" t="n">
        <v>0</v>
      </c>
      <c r="P429" t="n">
        <v>0</v>
      </c>
      <c r="Q429" t="n">
        <v>0</v>
      </c>
      <c r="R429" s="2" t="inlineStr"/>
    </row>
    <row r="430" ht="15" customHeight="1">
      <c r="A430" t="inlineStr">
        <is>
          <t>A 57014-2025</t>
        </is>
      </c>
      <c r="B430" s="1" t="n">
        <v>45978</v>
      </c>
      <c r="C430" s="1" t="n">
        <v>46091</v>
      </c>
      <c r="D430" t="inlineStr">
        <is>
          <t>VÄSTMANLANDS LÄN</t>
        </is>
      </c>
      <c r="E430" t="inlineStr">
        <is>
          <t>SALA</t>
        </is>
      </c>
      <c r="G430" t="n">
        <v>2.2</v>
      </c>
      <c r="H430" t="n">
        <v>0</v>
      </c>
      <c r="I430" t="n">
        <v>0</v>
      </c>
      <c r="J430" t="n">
        <v>0</v>
      </c>
      <c r="K430" t="n">
        <v>0</v>
      </c>
      <c r="L430" t="n">
        <v>0</v>
      </c>
      <c r="M430" t="n">
        <v>0</v>
      </c>
      <c r="N430" t="n">
        <v>0</v>
      </c>
      <c r="O430" t="n">
        <v>0</v>
      </c>
      <c r="P430" t="n">
        <v>0</v>
      </c>
      <c r="Q430" t="n">
        <v>0</v>
      </c>
      <c r="R430" s="2" t="inlineStr"/>
    </row>
    <row r="431" ht="15" customHeight="1">
      <c r="A431" t="inlineStr">
        <is>
          <t>A 5032-2025</t>
        </is>
      </c>
      <c r="B431" s="1" t="n">
        <v>45691</v>
      </c>
      <c r="C431" s="1" t="n">
        <v>46091</v>
      </c>
      <c r="D431" t="inlineStr">
        <is>
          <t>VÄSTMANLANDS LÄN</t>
        </is>
      </c>
      <c r="E431" t="inlineStr">
        <is>
          <t>SALA</t>
        </is>
      </c>
      <c r="G431" t="n">
        <v>0.9</v>
      </c>
      <c r="H431" t="n">
        <v>0</v>
      </c>
      <c r="I431" t="n">
        <v>0</v>
      </c>
      <c r="J431" t="n">
        <v>0</v>
      </c>
      <c r="K431" t="n">
        <v>0</v>
      </c>
      <c r="L431" t="n">
        <v>0</v>
      </c>
      <c r="M431" t="n">
        <v>0</v>
      </c>
      <c r="N431" t="n">
        <v>0</v>
      </c>
      <c r="O431" t="n">
        <v>0</v>
      </c>
      <c r="P431" t="n">
        <v>0</v>
      </c>
      <c r="Q431" t="n">
        <v>0</v>
      </c>
      <c r="R431" s="2" t="inlineStr"/>
    </row>
    <row r="432" ht="15" customHeight="1">
      <c r="A432" t="inlineStr">
        <is>
          <t>A 56502-2025</t>
        </is>
      </c>
      <c r="B432" s="1" t="n">
        <v>45975</v>
      </c>
      <c r="C432" s="1" t="n">
        <v>46091</v>
      </c>
      <c r="D432" t="inlineStr">
        <is>
          <t>VÄSTMANLANDS LÄN</t>
        </is>
      </c>
      <c r="E432" t="inlineStr">
        <is>
          <t>SALA</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56593-2025</t>
        </is>
      </c>
      <c r="B433" s="1" t="n">
        <v>45975</v>
      </c>
      <c r="C433" s="1" t="n">
        <v>46091</v>
      </c>
      <c r="D433" t="inlineStr">
        <is>
          <t>VÄSTMANLANDS LÄN</t>
        </is>
      </c>
      <c r="E433" t="inlineStr">
        <is>
          <t>SALA</t>
        </is>
      </c>
      <c r="F433" t="inlineStr">
        <is>
          <t>Kyrkan</t>
        </is>
      </c>
      <c r="G433" t="n">
        <v>0.1</v>
      </c>
      <c r="H433" t="n">
        <v>0</v>
      </c>
      <c r="I433" t="n">
        <v>0</v>
      </c>
      <c r="J433" t="n">
        <v>0</v>
      </c>
      <c r="K433" t="n">
        <v>0</v>
      </c>
      <c r="L433" t="n">
        <v>0</v>
      </c>
      <c r="M433" t="n">
        <v>0</v>
      </c>
      <c r="N433" t="n">
        <v>0</v>
      </c>
      <c r="O433" t="n">
        <v>0</v>
      </c>
      <c r="P433" t="n">
        <v>0</v>
      </c>
      <c r="Q433" t="n">
        <v>0</v>
      </c>
      <c r="R433" s="2" t="inlineStr"/>
    </row>
    <row r="434" ht="15" customHeight="1">
      <c r="A434" t="inlineStr">
        <is>
          <t>A 56645-2025</t>
        </is>
      </c>
      <c r="B434" s="1" t="n">
        <v>45975.63063657407</v>
      </c>
      <c r="C434" s="1" t="n">
        <v>46091</v>
      </c>
      <c r="D434" t="inlineStr">
        <is>
          <t>VÄSTMANLANDS LÄN</t>
        </is>
      </c>
      <c r="E434" t="inlineStr">
        <is>
          <t>SALA</t>
        </is>
      </c>
      <c r="F434" t="inlineStr">
        <is>
          <t>Bergvik skog öst AB</t>
        </is>
      </c>
      <c r="G434" t="n">
        <v>5.3</v>
      </c>
      <c r="H434" t="n">
        <v>0</v>
      </c>
      <c r="I434" t="n">
        <v>0</v>
      </c>
      <c r="J434" t="n">
        <v>0</v>
      </c>
      <c r="K434" t="n">
        <v>0</v>
      </c>
      <c r="L434" t="n">
        <v>0</v>
      </c>
      <c r="M434" t="n">
        <v>0</v>
      </c>
      <c r="N434" t="n">
        <v>0</v>
      </c>
      <c r="O434" t="n">
        <v>0</v>
      </c>
      <c r="P434" t="n">
        <v>0</v>
      </c>
      <c r="Q434" t="n">
        <v>0</v>
      </c>
      <c r="R434" s="2" t="inlineStr"/>
    </row>
    <row r="435" ht="15" customHeight="1">
      <c r="A435" t="inlineStr">
        <is>
          <t>A 17985-2025</t>
        </is>
      </c>
      <c r="B435" s="1" t="n">
        <v>45761</v>
      </c>
      <c r="C435" s="1" t="n">
        <v>46091</v>
      </c>
      <c r="D435" t="inlineStr">
        <is>
          <t>VÄSTMANLANDS LÄN</t>
        </is>
      </c>
      <c r="E435" t="inlineStr">
        <is>
          <t>SALA</t>
        </is>
      </c>
      <c r="G435" t="n">
        <v>12.5</v>
      </c>
      <c r="H435" t="n">
        <v>0</v>
      </c>
      <c r="I435" t="n">
        <v>0</v>
      </c>
      <c r="J435" t="n">
        <v>0</v>
      </c>
      <c r="K435" t="n">
        <v>0</v>
      </c>
      <c r="L435" t="n">
        <v>0</v>
      </c>
      <c r="M435" t="n">
        <v>0</v>
      </c>
      <c r="N435" t="n">
        <v>0</v>
      </c>
      <c r="O435" t="n">
        <v>0</v>
      </c>
      <c r="P435" t="n">
        <v>0</v>
      </c>
      <c r="Q435" t="n">
        <v>0</v>
      </c>
      <c r="R435" s="2" t="inlineStr"/>
    </row>
    <row r="436" ht="15" customHeight="1">
      <c r="A436" t="inlineStr">
        <is>
          <t>A 31869-2025</t>
        </is>
      </c>
      <c r="B436" s="1" t="n">
        <v>45834.64555555556</v>
      </c>
      <c r="C436" s="1" t="n">
        <v>46091</v>
      </c>
      <c r="D436" t="inlineStr">
        <is>
          <t>VÄSTMANLANDS LÄN</t>
        </is>
      </c>
      <c r="E436" t="inlineStr">
        <is>
          <t>SALA</t>
        </is>
      </c>
      <c r="G436" t="n">
        <v>17.5</v>
      </c>
      <c r="H436" t="n">
        <v>0</v>
      </c>
      <c r="I436" t="n">
        <v>0</v>
      </c>
      <c r="J436" t="n">
        <v>0</v>
      </c>
      <c r="K436" t="n">
        <v>0</v>
      </c>
      <c r="L436" t="n">
        <v>0</v>
      </c>
      <c r="M436" t="n">
        <v>0</v>
      </c>
      <c r="N436" t="n">
        <v>0</v>
      </c>
      <c r="O436" t="n">
        <v>0</v>
      </c>
      <c r="P436" t="n">
        <v>0</v>
      </c>
      <c r="Q436" t="n">
        <v>0</v>
      </c>
      <c r="R436" s="2" t="inlineStr"/>
    </row>
    <row r="437" ht="15" customHeight="1">
      <c r="A437" t="inlineStr">
        <is>
          <t>A 31863-2025</t>
        </is>
      </c>
      <c r="B437" s="1" t="n">
        <v>45834.63303240741</v>
      </c>
      <c r="C437" s="1" t="n">
        <v>46091</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17766-2025</t>
        </is>
      </c>
      <c r="B438" s="1" t="n">
        <v>45758</v>
      </c>
      <c r="C438" s="1" t="n">
        <v>46091</v>
      </c>
      <c r="D438" t="inlineStr">
        <is>
          <t>VÄSTMANLANDS LÄN</t>
        </is>
      </c>
      <c r="E438" t="inlineStr">
        <is>
          <t>SALA</t>
        </is>
      </c>
      <c r="G438" t="n">
        <v>16.5</v>
      </c>
      <c r="H438" t="n">
        <v>0</v>
      </c>
      <c r="I438" t="n">
        <v>0</v>
      </c>
      <c r="J438" t="n">
        <v>0</v>
      </c>
      <c r="K438" t="n">
        <v>0</v>
      </c>
      <c r="L438" t="n">
        <v>0</v>
      </c>
      <c r="M438" t="n">
        <v>0</v>
      </c>
      <c r="N438" t="n">
        <v>0</v>
      </c>
      <c r="O438" t="n">
        <v>0</v>
      </c>
      <c r="P438" t="n">
        <v>0</v>
      </c>
      <c r="Q438" t="n">
        <v>0</v>
      </c>
      <c r="R438" s="2" t="inlineStr"/>
    </row>
    <row r="439" ht="15" customHeight="1">
      <c r="A439" t="inlineStr">
        <is>
          <t>A 7664-2023</t>
        </is>
      </c>
      <c r="B439" s="1" t="n">
        <v>44972</v>
      </c>
      <c r="C439" s="1" t="n">
        <v>46091</v>
      </c>
      <c r="D439" t="inlineStr">
        <is>
          <t>VÄSTMANLANDS LÄN</t>
        </is>
      </c>
      <c r="E439" t="inlineStr">
        <is>
          <t>SALA</t>
        </is>
      </c>
      <c r="G439" t="n">
        <v>1.4</v>
      </c>
      <c r="H439" t="n">
        <v>0</v>
      </c>
      <c r="I439" t="n">
        <v>0</v>
      </c>
      <c r="J439" t="n">
        <v>0</v>
      </c>
      <c r="K439" t="n">
        <v>0</v>
      </c>
      <c r="L439" t="n">
        <v>0</v>
      </c>
      <c r="M439" t="n">
        <v>0</v>
      </c>
      <c r="N439" t="n">
        <v>0</v>
      </c>
      <c r="O439" t="n">
        <v>0</v>
      </c>
      <c r="P439" t="n">
        <v>0</v>
      </c>
      <c r="Q439" t="n">
        <v>0</v>
      </c>
      <c r="R439" s="2" t="inlineStr"/>
    </row>
    <row r="440" ht="15" customHeight="1">
      <c r="A440" t="inlineStr">
        <is>
          <t>A 3546-2025</t>
        </is>
      </c>
      <c r="B440" s="1" t="n">
        <v>45680</v>
      </c>
      <c r="C440" s="1" t="n">
        <v>46091</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66908-2021</t>
        </is>
      </c>
      <c r="B441" s="1" t="n">
        <v>44522</v>
      </c>
      <c r="C441" s="1" t="n">
        <v>46091</v>
      </c>
      <c r="D441" t="inlineStr">
        <is>
          <t>VÄSTMANLANDS LÄN</t>
        </is>
      </c>
      <c r="E441" t="inlineStr">
        <is>
          <t>SALA</t>
        </is>
      </c>
      <c r="G441" t="n">
        <v>2.6</v>
      </c>
      <c r="H441" t="n">
        <v>0</v>
      </c>
      <c r="I441" t="n">
        <v>0</v>
      </c>
      <c r="J441" t="n">
        <v>0</v>
      </c>
      <c r="K441" t="n">
        <v>0</v>
      </c>
      <c r="L441" t="n">
        <v>0</v>
      </c>
      <c r="M441" t="n">
        <v>0</v>
      </c>
      <c r="N441" t="n">
        <v>0</v>
      </c>
      <c r="O441" t="n">
        <v>0</v>
      </c>
      <c r="P441" t="n">
        <v>0</v>
      </c>
      <c r="Q441" t="n">
        <v>0</v>
      </c>
      <c r="R441" s="2" t="inlineStr"/>
    </row>
    <row r="442" ht="15" customHeight="1">
      <c r="A442" t="inlineStr">
        <is>
          <t>A 11696-2025</t>
        </is>
      </c>
      <c r="B442" s="1" t="n">
        <v>45727</v>
      </c>
      <c r="C442" s="1" t="n">
        <v>46091</v>
      </c>
      <c r="D442" t="inlineStr">
        <is>
          <t>VÄSTMANLANDS LÄN</t>
        </is>
      </c>
      <c r="E442" t="inlineStr">
        <is>
          <t>SALA</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43509-2021</t>
        </is>
      </c>
      <c r="B443" s="1" t="n">
        <v>44433</v>
      </c>
      <c r="C443" s="1" t="n">
        <v>46091</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57412-2025</t>
        </is>
      </c>
      <c r="B444" s="1" t="n">
        <v>45980.44883101852</v>
      </c>
      <c r="C444" s="1" t="n">
        <v>46091</v>
      </c>
      <c r="D444" t="inlineStr">
        <is>
          <t>VÄSTMANLANDS LÄN</t>
        </is>
      </c>
      <c r="E444" t="inlineStr">
        <is>
          <t>SALA</t>
        </is>
      </c>
      <c r="F444" t="inlineStr">
        <is>
          <t>Bergvik skog öst AB</t>
        </is>
      </c>
      <c r="G444" t="n">
        <v>4.5</v>
      </c>
      <c r="H444" t="n">
        <v>0</v>
      </c>
      <c r="I444" t="n">
        <v>0</v>
      </c>
      <c r="J444" t="n">
        <v>0</v>
      </c>
      <c r="K444" t="n">
        <v>0</v>
      </c>
      <c r="L444" t="n">
        <v>0</v>
      </c>
      <c r="M444" t="n">
        <v>0</v>
      </c>
      <c r="N444" t="n">
        <v>0</v>
      </c>
      <c r="O444" t="n">
        <v>0</v>
      </c>
      <c r="P444" t="n">
        <v>0</v>
      </c>
      <c r="Q444" t="n">
        <v>0</v>
      </c>
      <c r="R444" s="2" t="inlineStr"/>
    </row>
    <row r="445" ht="15" customHeight="1">
      <c r="A445" t="inlineStr">
        <is>
          <t>A 13746-2025</t>
        </is>
      </c>
      <c r="B445" s="1" t="n">
        <v>45737.40944444444</v>
      </c>
      <c r="C445" s="1" t="n">
        <v>46091</v>
      </c>
      <c r="D445" t="inlineStr">
        <is>
          <t>VÄSTMANLANDS LÄN</t>
        </is>
      </c>
      <c r="E445" t="inlineStr">
        <is>
          <t>SALA</t>
        </is>
      </c>
      <c r="G445" t="n">
        <v>2.1</v>
      </c>
      <c r="H445" t="n">
        <v>0</v>
      </c>
      <c r="I445" t="n">
        <v>0</v>
      </c>
      <c r="J445" t="n">
        <v>0</v>
      </c>
      <c r="K445" t="n">
        <v>0</v>
      </c>
      <c r="L445" t="n">
        <v>0</v>
      </c>
      <c r="M445" t="n">
        <v>0</v>
      </c>
      <c r="N445" t="n">
        <v>0</v>
      </c>
      <c r="O445" t="n">
        <v>0</v>
      </c>
      <c r="P445" t="n">
        <v>0</v>
      </c>
      <c r="Q445" t="n">
        <v>0</v>
      </c>
      <c r="R445" s="2" t="inlineStr"/>
    </row>
    <row r="446" ht="15" customHeight="1">
      <c r="A446" t="inlineStr">
        <is>
          <t>A 37017-2025</t>
        </is>
      </c>
      <c r="B446" s="1" t="n">
        <v>45874</v>
      </c>
      <c r="C446" s="1" t="n">
        <v>46091</v>
      </c>
      <c r="D446" t="inlineStr">
        <is>
          <t>VÄSTMANLANDS LÄN</t>
        </is>
      </c>
      <c r="E446" t="inlineStr">
        <is>
          <t>SALA</t>
        </is>
      </c>
      <c r="G446" t="n">
        <v>11.1</v>
      </c>
      <c r="H446" t="n">
        <v>0</v>
      </c>
      <c r="I446" t="n">
        <v>0</v>
      </c>
      <c r="J446" t="n">
        <v>0</v>
      </c>
      <c r="K446" t="n">
        <v>0</v>
      </c>
      <c r="L446" t="n">
        <v>0</v>
      </c>
      <c r="M446" t="n">
        <v>0</v>
      </c>
      <c r="N446" t="n">
        <v>0</v>
      </c>
      <c r="O446" t="n">
        <v>0</v>
      </c>
      <c r="P446" t="n">
        <v>0</v>
      </c>
      <c r="Q446" t="n">
        <v>0</v>
      </c>
      <c r="R446" s="2" t="inlineStr"/>
    </row>
    <row r="447" ht="15" customHeight="1">
      <c r="A447" t="inlineStr">
        <is>
          <t>A 25897-2024</t>
        </is>
      </c>
      <c r="B447" s="1" t="n">
        <v>45467.54435185185</v>
      </c>
      <c r="C447" s="1" t="n">
        <v>46091</v>
      </c>
      <c r="D447" t="inlineStr">
        <is>
          <t>VÄSTMANLANDS LÄN</t>
        </is>
      </c>
      <c r="E447" t="inlineStr">
        <is>
          <t>SALA</t>
        </is>
      </c>
      <c r="G447" t="n">
        <v>9.9</v>
      </c>
      <c r="H447" t="n">
        <v>0</v>
      </c>
      <c r="I447" t="n">
        <v>0</v>
      </c>
      <c r="J447" t="n">
        <v>0</v>
      </c>
      <c r="K447" t="n">
        <v>0</v>
      </c>
      <c r="L447" t="n">
        <v>0</v>
      </c>
      <c r="M447" t="n">
        <v>0</v>
      </c>
      <c r="N447" t="n">
        <v>0</v>
      </c>
      <c r="O447" t="n">
        <v>0</v>
      </c>
      <c r="P447" t="n">
        <v>0</v>
      </c>
      <c r="Q447" t="n">
        <v>0</v>
      </c>
      <c r="R447" s="2" t="inlineStr"/>
    </row>
    <row r="448" ht="15" customHeight="1">
      <c r="A448" t="inlineStr">
        <is>
          <t>A 37103-2025</t>
        </is>
      </c>
      <c r="B448" s="1" t="n">
        <v>45875.47743055555</v>
      </c>
      <c r="C448" s="1" t="n">
        <v>46091</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37246-2025</t>
        </is>
      </c>
      <c r="B449" s="1" t="n">
        <v>45876.39435185185</v>
      </c>
      <c r="C449" s="1" t="n">
        <v>46091</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23222-2023</t>
        </is>
      </c>
      <c r="B450" s="1" t="n">
        <v>45075</v>
      </c>
      <c r="C450" s="1" t="n">
        <v>46091</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23224-2023</t>
        </is>
      </c>
      <c r="B451" s="1" t="n">
        <v>45075.65040509259</v>
      </c>
      <c r="C451" s="1" t="n">
        <v>46091</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50479-2022</t>
        </is>
      </c>
      <c r="B452" s="1" t="n">
        <v>44861</v>
      </c>
      <c r="C452" s="1" t="n">
        <v>46091</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14919-2025</t>
        </is>
      </c>
      <c r="B453" s="1" t="n">
        <v>45743.54256944444</v>
      </c>
      <c r="C453" s="1" t="n">
        <v>46091</v>
      </c>
      <c r="D453" t="inlineStr">
        <is>
          <t>VÄSTMANLANDS LÄN</t>
        </is>
      </c>
      <c r="E453" t="inlineStr">
        <is>
          <t>SALA</t>
        </is>
      </c>
      <c r="G453" t="n">
        <v>0.6</v>
      </c>
      <c r="H453" t="n">
        <v>0</v>
      </c>
      <c r="I453" t="n">
        <v>0</v>
      </c>
      <c r="J453" t="n">
        <v>0</v>
      </c>
      <c r="K453" t="n">
        <v>0</v>
      </c>
      <c r="L453" t="n">
        <v>0</v>
      </c>
      <c r="M453" t="n">
        <v>0</v>
      </c>
      <c r="N453" t="n">
        <v>0</v>
      </c>
      <c r="O453" t="n">
        <v>0</v>
      </c>
      <c r="P453" t="n">
        <v>0</v>
      </c>
      <c r="Q453" t="n">
        <v>0</v>
      </c>
      <c r="R453" s="2" t="inlineStr"/>
    </row>
    <row r="454" ht="15" customHeight="1">
      <c r="A454" t="inlineStr">
        <is>
          <t>A 14920-2025</t>
        </is>
      </c>
      <c r="B454" s="1" t="n">
        <v>45743</v>
      </c>
      <c r="C454" s="1" t="n">
        <v>46091</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57414-2025</t>
        </is>
      </c>
      <c r="B455" s="1" t="n">
        <v>45980.45003472222</v>
      </c>
      <c r="C455" s="1" t="n">
        <v>46091</v>
      </c>
      <c r="D455" t="inlineStr">
        <is>
          <t>VÄSTMANLANDS LÄN</t>
        </is>
      </c>
      <c r="E455" t="inlineStr">
        <is>
          <t>SALA</t>
        </is>
      </c>
      <c r="F455" t="inlineStr">
        <is>
          <t>Bergvik skog öst AB</t>
        </is>
      </c>
      <c r="G455" t="n">
        <v>2</v>
      </c>
      <c r="H455" t="n">
        <v>0</v>
      </c>
      <c r="I455" t="n">
        <v>0</v>
      </c>
      <c r="J455" t="n">
        <v>0</v>
      </c>
      <c r="K455" t="n">
        <v>0</v>
      </c>
      <c r="L455" t="n">
        <v>0</v>
      </c>
      <c r="M455" t="n">
        <v>0</v>
      </c>
      <c r="N455" t="n">
        <v>0</v>
      </c>
      <c r="O455" t="n">
        <v>0</v>
      </c>
      <c r="P455" t="n">
        <v>0</v>
      </c>
      <c r="Q455" t="n">
        <v>0</v>
      </c>
      <c r="R455" s="2" t="inlineStr"/>
    </row>
    <row r="456" ht="15" customHeight="1">
      <c r="A456" t="inlineStr">
        <is>
          <t>A 57415-2025</t>
        </is>
      </c>
      <c r="B456" s="1" t="n">
        <v>45980.45099537037</v>
      </c>
      <c r="C456" s="1" t="n">
        <v>46091</v>
      </c>
      <c r="D456" t="inlineStr">
        <is>
          <t>VÄSTMANLANDS LÄN</t>
        </is>
      </c>
      <c r="E456" t="inlineStr">
        <is>
          <t>SALA</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37590-2025</t>
        </is>
      </c>
      <c r="B457" s="1" t="n">
        <v>45880.41138888889</v>
      </c>
      <c r="C457" s="1" t="n">
        <v>46091</v>
      </c>
      <c r="D457" t="inlineStr">
        <is>
          <t>VÄSTMANLANDS LÄN</t>
        </is>
      </c>
      <c r="E457" t="inlineStr">
        <is>
          <t>SALA</t>
        </is>
      </c>
      <c r="G457" t="n">
        <v>2.2</v>
      </c>
      <c r="H457" t="n">
        <v>0</v>
      </c>
      <c r="I457" t="n">
        <v>0</v>
      </c>
      <c r="J457" t="n">
        <v>0</v>
      </c>
      <c r="K457" t="n">
        <v>0</v>
      </c>
      <c r="L457" t="n">
        <v>0</v>
      </c>
      <c r="M457" t="n">
        <v>0</v>
      </c>
      <c r="N457" t="n">
        <v>0</v>
      </c>
      <c r="O457" t="n">
        <v>0</v>
      </c>
      <c r="P457" t="n">
        <v>0</v>
      </c>
      <c r="Q457" t="n">
        <v>0</v>
      </c>
      <c r="R457" s="2" t="inlineStr"/>
    </row>
    <row r="458" ht="15" customHeight="1">
      <c r="A458" t="inlineStr">
        <is>
          <t>A 37593-2025</t>
        </is>
      </c>
      <c r="B458" s="1" t="n">
        <v>45880.41325231481</v>
      </c>
      <c r="C458" s="1" t="n">
        <v>46091</v>
      </c>
      <c r="D458" t="inlineStr">
        <is>
          <t>VÄSTMANLANDS LÄN</t>
        </is>
      </c>
      <c r="E458" t="inlineStr">
        <is>
          <t>SALA</t>
        </is>
      </c>
      <c r="G458" t="n">
        <v>1.4</v>
      </c>
      <c r="H458" t="n">
        <v>0</v>
      </c>
      <c r="I458" t="n">
        <v>0</v>
      </c>
      <c r="J458" t="n">
        <v>0</v>
      </c>
      <c r="K458" t="n">
        <v>0</v>
      </c>
      <c r="L458" t="n">
        <v>0</v>
      </c>
      <c r="M458" t="n">
        <v>0</v>
      </c>
      <c r="N458" t="n">
        <v>0</v>
      </c>
      <c r="O458" t="n">
        <v>0</v>
      </c>
      <c r="P458" t="n">
        <v>0</v>
      </c>
      <c r="Q458" t="n">
        <v>0</v>
      </c>
      <c r="R458" s="2" t="inlineStr"/>
    </row>
    <row r="459" ht="15" customHeight="1">
      <c r="A459" t="inlineStr">
        <is>
          <t>A 13855-2023</t>
        </is>
      </c>
      <c r="B459" s="1" t="n">
        <v>45007</v>
      </c>
      <c r="C459" s="1" t="n">
        <v>46091</v>
      </c>
      <c r="D459" t="inlineStr">
        <is>
          <t>VÄSTMANLANDS LÄN</t>
        </is>
      </c>
      <c r="E459" t="inlineStr">
        <is>
          <t>SALA</t>
        </is>
      </c>
      <c r="G459" t="n">
        <v>2.9</v>
      </c>
      <c r="H459" t="n">
        <v>0</v>
      </c>
      <c r="I459" t="n">
        <v>0</v>
      </c>
      <c r="J459" t="n">
        <v>0</v>
      </c>
      <c r="K459" t="n">
        <v>0</v>
      </c>
      <c r="L459" t="n">
        <v>0</v>
      </c>
      <c r="M459" t="n">
        <v>0</v>
      </c>
      <c r="N459" t="n">
        <v>0</v>
      </c>
      <c r="O459" t="n">
        <v>0</v>
      </c>
      <c r="P459" t="n">
        <v>0</v>
      </c>
      <c r="Q459" t="n">
        <v>0</v>
      </c>
      <c r="R459" s="2" t="inlineStr"/>
    </row>
    <row r="460" ht="15" customHeight="1">
      <c r="A460" t="inlineStr">
        <is>
          <t>A 43359-2024</t>
        </is>
      </c>
      <c r="B460" s="1" t="n">
        <v>45568.57724537037</v>
      </c>
      <c r="C460" s="1" t="n">
        <v>46091</v>
      </c>
      <c r="D460" t="inlineStr">
        <is>
          <t>VÄSTMANLANDS LÄN</t>
        </is>
      </c>
      <c r="E460" t="inlineStr">
        <is>
          <t>SALA</t>
        </is>
      </c>
      <c r="G460" t="n">
        <v>1.6</v>
      </c>
      <c r="H460" t="n">
        <v>0</v>
      </c>
      <c r="I460" t="n">
        <v>0</v>
      </c>
      <c r="J460" t="n">
        <v>0</v>
      </c>
      <c r="K460" t="n">
        <v>0</v>
      </c>
      <c r="L460" t="n">
        <v>0</v>
      </c>
      <c r="M460" t="n">
        <v>0</v>
      </c>
      <c r="N460" t="n">
        <v>0</v>
      </c>
      <c r="O460" t="n">
        <v>0</v>
      </c>
      <c r="P460" t="n">
        <v>0</v>
      </c>
      <c r="Q460" t="n">
        <v>0</v>
      </c>
      <c r="R460" s="2" t="inlineStr"/>
    </row>
    <row r="461" ht="15" customHeight="1">
      <c r="A461" t="inlineStr">
        <is>
          <t>A 29972-2025</t>
        </is>
      </c>
      <c r="B461" s="1" t="n">
        <v>45826</v>
      </c>
      <c r="C461" s="1" t="n">
        <v>46091</v>
      </c>
      <c r="D461" t="inlineStr">
        <is>
          <t>VÄSTMANLANDS LÄN</t>
        </is>
      </c>
      <c r="E461" t="inlineStr">
        <is>
          <t>SALA</t>
        </is>
      </c>
      <c r="G461" t="n">
        <v>2.7</v>
      </c>
      <c r="H461" t="n">
        <v>0</v>
      </c>
      <c r="I461" t="n">
        <v>0</v>
      </c>
      <c r="J461" t="n">
        <v>0</v>
      </c>
      <c r="K461" t="n">
        <v>0</v>
      </c>
      <c r="L461" t="n">
        <v>0</v>
      </c>
      <c r="M461" t="n">
        <v>0</v>
      </c>
      <c r="N461" t="n">
        <v>0</v>
      </c>
      <c r="O461" t="n">
        <v>0</v>
      </c>
      <c r="P461" t="n">
        <v>0</v>
      </c>
      <c r="Q461" t="n">
        <v>0</v>
      </c>
      <c r="R461" s="2" t="inlineStr"/>
    </row>
    <row r="462" ht="15" customHeight="1">
      <c r="A462" t="inlineStr">
        <is>
          <t>A 18877-2023</t>
        </is>
      </c>
      <c r="B462" s="1" t="n">
        <v>45044</v>
      </c>
      <c r="C462" s="1" t="n">
        <v>46091</v>
      </c>
      <c r="D462" t="inlineStr">
        <is>
          <t>VÄSTMANLANDS LÄN</t>
        </is>
      </c>
      <c r="E462" t="inlineStr">
        <is>
          <t>SALA</t>
        </is>
      </c>
      <c r="F462" t="inlineStr">
        <is>
          <t>Kommuner</t>
        </is>
      </c>
      <c r="G462" t="n">
        <v>4.4</v>
      </c>
      <c r="H462" t="n">
        <v>0</v>
      </c>
      <c r="I462" t="n">
        <v>0</v>
      </c>
      <c r="J462" t="n">
        <v>0</v>
      </c>
      <c r="K462" t="n">
        <v>0</v>
      </c>
      <c r="L462" t="n">
        <v>0</v>
      </c>
      <c r="M462" t="n">
        <v>0</v>
      </c>
      <c r="N462" t="n">
        <v>0</v>
      </c>
      <c r="O462" t="n">
        <v>0</v>
      </c>
      <c r="P462" t="n">
        <v>0</v>
      </c>
      <c r="Q462" t="n">
        <v>0</v>
      </c>
      <c r="R462" s="2" t="inlineStr"/>
    </row>
    <row r="463" ht="15" customHeight="1">
      <c r="A463" t="inlineStr">
        <is>
          <t>A 55556-2023</t>
        </is>
      </c>
      <c r="B463" s="1" t="n">
        <v>45232</v>
      </c>
      <c r="C463" s="1" t="n">
        <v>46091</v>
      </c>
      <c r="D463" t="inlineStr">
        <is>
          <t>VÄSTMANLANDS LÄN</t>
        </is>
      </c>
      <c r="E463" t="inlineStr">
        <is>
          <t>SALA</t>
        </is>
      </c>
      <c r="G463" t="n">
        <v>1.3</v>
      </c>
      <c r="H463" t="n">
        <v>0</v>
      </c>
      <c r="I463" t="n">
        <v>0</v>
      </c>
      <c r="J463" t="n">
        <v>0</v>
      </c>
      <c r="K463" t="n">
        <v>0</v>
      </c>
      <c r="L463" t="n">
        <v>0</v>
      </c>
      <c r="M463" t="n">
        <v>0</v>
      </c>
      <c r="N463" t="n">
        <v>0</v>
      </c>
      <c r="O463" t="n">
        <v>0</v>
      </c>
      <c r="P463" t="n">
        <v>0</v>
      </c>
      <c r="Q463" t="n">
        <v>0</v>
      </c>
      <c r="R463" s="2" t="inlineStr"/>
    </row>
    <row r="464" ht="15" customHeight="1">
      <c r="A464" t="inlineStr">
        <is>
          <t>A 34494-2023</t>
        </is>
      </c>
      <c r="B464" s="1" t="n">
        <v>45133</v>
      </c>
      <c r="C464" s="1" t="n">
        <v>46091</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13752-2025</t>
        </is>
      </c>
      <c r="B465" s="1" t="n">
        <v>45737.41416666667</v>
      </c>
      <c r="C465" s="1" t="n">
        <v>46091</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58357-2025</t>
        </is>
      </c>
      <c r="B466" s="1" t="n">
        <v>45985.51518518518</v>
      </c>
      <c r="C466" s="1" t="n">
        <v>46091</v>
      </c>
      <c r="D466" t="inlineStr">
        <is>
          <t>VÄSTMANLANDS LÄN</t>
        </is>
      </c>
      <c r="E466" t="inlineStr">
        <is>
          <t>SALA</t>
        </is>
      </c>
      <c r="G466" t="n">
        <v>3</v>
      </c>
      <c r="H466" t="n">
        <v>0</v>
      </c>
      <c r="I466" t="n">
        <v>0</v>
      </c>
      <c r="J466" t="n">
        <v>0</v>
      </c>
      <c r="K466" t="n">
        <v>0</v>
      </c>
      <c r="L466" t="n">
        <v>0</v>
      </c>
      <c r="M466" t="n">
        <v>0</v>
      </c>
      <c r="N466" t="n">
        <v>0</v>
      </c>
      <c r="O466" t="n">
        <v>0</v>
      </c>
      <c r="P466" t="n">
        <v>0</v>
      </c>
      <c r="Q466" t="n">
        <v>0</v>
      </c>
      <c r="R466" s="2" t="inlineStr"/>
    </row>
    <row r="467" ht="15" customHeight="1">
      <c r="A467" t="inlineStr">
        <is>
          <t>A 55760-2025</t>
        </is>
      </c>
      <c r="B467" s="1" t="n">
        <v>45972</v>
      </c>
      <c r="C467" s="1" t="n">
        <v>46091</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58365-2025</t>
        </is>
      </c>
      <c r="B468" s="1" t="n">
        <v>45985.52288194445</v>
      </c>
      <c r="C468" s="1" t="n">
        <v>46091</v>
      </c>
      <c r="D468" t="inlineStr">
        <is>
          <t>VÄSTMANLANDS LÄN</t>
        </is>
      </c>
      <c r="E468" t="inlineStr">
        <is>
          <t>SALA</t>
        </is>
      </c>
      <c r="G468" t="n">
        <v>3.9</v>
      </c>
      <c r="H468" t="n">
        <v>0</v>
      </c>
      <c r="I468" t="n">
        <v>0</v>
      </c>
      <c r="J468" t="n">
        <v>0</v>
      </c>
      <c r="K468" t="n">
        <v>0</v>
      </c>
      <c r="L468" t="n">
        <v>0</v>
      </c>
      <c r="M468" t="n">
        <v>0</v>
      </c>
      <c r="N468" t="n">
        <v>0</v>
      </c>
      <c r="O468" t="n">
        <v>0</v>
      </c>
      <c r="P468" t="n">
        <v>0</v>
      </c>
      <c r="Q468" t="n">
        <v>0</v>
      </c>
      <c r="R468" s="2" t="inlineStr"/>
    </row>
    <row r="469" ht="15" customHeight="1">
      <c r="A469" t="inlineStr">
        <is>
          <t>A 19398-2025</t>
        </is>
      </c>
      <c r="B469" s="1" t="n">
        <v>45769</v>
      </c>
      <c r="C469" s="1" t="n">
        <v>46091</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58282-2025</t>
        </is>
      </c>
      <c r="B470" s="1" t="n">
        <v>45985.44309027777</v>
      </c>
      <c r="C470" s="1" t="n">
        <v>46091</v>
      </c>
      <c r="D470" t="inlineStr">
        <is>
          <t>VÄSTMANLANDS LÄN</t>
        </is>
      </c>
      <c r="E470" t="inlineStr">
        <is>
          <t>SALA</t>
        </is>
      </c>
      <c r="G470" t="n">
        <v>8.9</v>
      </c>
      <c r="H470" t="n">
        <v>0</v>
      </c>
      <c r="I470" t="n">
        <v>0</v>
      </c>
      <c r="J470" t="n">
        <v>0</v>
      </c>
      <c r="K470" t="n">
        <v>0</v>
      </c>
      <c r="L470" t="n">
        <v>0</v>
      </c>
      <c r="M470" t="n">
        <v>0</v>
      </c>
      <c r="N470" t="n">
        <v>0</v>
      </c>
      <c r="O470" t="n">
        <v>0</v>
      </c>
      <c r="P470" t="n">
        <v>0</v>
      </c>
      <c r="Q470" t="n">
        <v>0</v>
      </c>
      <c r="R470" s="2" t="inlineStr"/>
    </row>
    <row r="471" ht="15" customHeight="1">
      <c r="A471" t="inlineStr">
        <is>
          <t>A 58359-2025</t>
        </is>
      </c>
      <c r="B471" s="1" t="n">
        <v>45985.51594907408</v>
      </c>
      <c r="C471" s="1" t="n">
        <v>46091</v>
      </c>
      <c r="D471" t="inlineStr">
        <is>
          <t>VÄSTMANLANDS LÄN</t>
        </is>
      </c>
      <c r="E471" t="inlineStr">
        <is>
          <t>SALA</t>
        </is>
      </c>
      <c r="G471" t="n">
        <v>3.7</v>
      </c>
      <c r="H471" t="n">
        <v>0</v>
      </c>
      <c r="I471" t="n">
        <v>0</v>
      </c>
      <c r="J471" t="n">
        <v>0</v>
      </c>
      <c r="K471" t="n">
        <v>0</v>
      </c>
      <c r="L471" t="n">
        <v>0</v>
      </c>
      <c r="M471" t="n">
        <v>0</v>
      </c>
      <c r="N471" t="n">
        <v>0</v>
      </c>
      <c r="O471" t="n">
        <v>0</v>
      </c>
      <c r="P471" t="n">
        <v>0</v>
      </c>
      <c r="Q471" t="n">
        <v>0</v>
      </c>
      <c r="R471" s="2" t="inlineStr"/>
    </row>
    <row r="472" ht="15" customHeight="1">
      <c r="A472" t="inlineStr">
        <is>
          <t>A 58364-2025</t>
        </is>
      </c>
      <c r="B472" s="1" t="n">
        <v>45985.5228125</v>
      </c>
      <c r="C472" s="1" t="n">
        <v>46091</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22921-2023</t>
        </is>
      </c>
      <c r="B473" s="1" t="n">
        <v>45070</v>
      </c>
      <c r="C473" s="1" t="n">
        <v>46091</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16133-2025</t>
        </is>
      </c>
      <c r="B474" s="1" t="n">
        <v>45750</v>
      </c>
      <c r="C474" s="1" t="n">
        <v>46091</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51247-2025</t>
        </is>
      </c>
      <c r="B475" s="1" t="n">
        <v>45947.86487268518</v>
      </c>
      <c r="C475" s="1" t="n">
        <v>46091</v>
      </c>
      <c r="D475" t="inlineStr">
        <is>
          <t>VÄSTMANLANDS LÄN</t>
        </is>
      </c>
      <c r="E475" t="inlineStr">
        <is>
          <t>SALA</t>
        </is>
      </c>
      <c r="G475" t="n">
        <v>10.4</v>
      </c>
      <c r="H475" t="n">
        <v>0</v>
      </c>
      <c r="I475" t="n">
        <v>0</v>
      </c>
      <c r="J475" t="n">
        <v>0</v>
      </c>
      <c r="K475" t="n">
        <v>0</v>
      </c>
      <c r="L475" t="n">
        <v>0</v>
      </c>
      <c r="M475" t="n">
        <v>0</v>
      </c>
      <c r="N475" t="n">
        <v>0</v>
      </c>
      <c r="O475" t="n">
        <v>0</v>
      </c>
      <c r="P475" t="n">
        <v>0</v>
      </c>
      <c r="Q475" t="n">
        <v>0</v>
      </c>
      <c r="R475" s="2" t="inlineStr"/>
    </row>
    <row r="476" ht="15" customHeight="1">
      <c r="A476" t="inlineStr">
        <is>
          <t>A 6127-2025</t>
        </is>
      </c>
      <c r="B476" s="1" t="n">
        <v>45698</v>
      </c>
      <c r="C476" s="1" t="n">
        <v>46091</v>
      </c>
      <c r="D476" t="inlineStr">
        <is>
          <t>VÄSTMANLANDS LÄN</t>
        </is>
      </c>
      <c r="E476" t="inlineStr">
        <is>
          <t>SALA</t>
        </is>
      </c>
      <c r="F476" t="inlineStr">
        <is>
          <t>Bergvik skog öst AB</t>
        </is>
      </c>
      <c r="G476" t="n">
        <v>4.3</v>
      </c>
      <c r="H476" t="n">
        <v>0</v>
      </c>
      <c r="I476" t="n">
        <v>0</v>
      </c>
      <c r="J476" t="n">
        <v>0</v>
      </c>
      <c r="K476" t="n">
        <v>0</v>
      </c>
      <c r="L476" t="n">
        <v>0</v>
      </c>
      <c r="M476" t="n">
        <v>0</v>
      </c>
      <c r="N476" t="n">
        <v>0</v>
      </c>
      <c r="O476" t="n">
        <v>0</v>
      </c>
      <c r="P476" t="n">
        <v>0</v>
      </c>
      <c r="Q476" t="n">
        <v>0</v>
      </c>
      <c r="R476" s="2" t="inlineStr"/>
    </row>
    <row r="477" ht="15" customHeight="1">
      <c r="A477" t="inlineStr">
        <is>
          <t>A 15272-2025</t>
        </is>
      </c>
      <c r="B477" s="1" t="n">
        <v>45744</v>
      </c>
      <c r="C477" s="1" t="n">
        <v>46091</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24248-2023</t>
        </is>
      </c>
      <c r="B478" s="1" t="n">
        <v>45079</v>
      </c>
      <c r="C478" s="1" t="n">
        <v>46091</v>
      </c>
      <c r="D478" t="inlineStr">
        <is>
          <t>VÄSTMANLANDS LÄN</t>
        </is>
      </c>
      <c r="E478" t="inlineStr">
        <is>
          <t>SALA</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38195-2021</t>
        </is>
      </c>
      <c r="B479" s="1" t="n">
        <v>44405</v>
      </c>
      <c r="C479" s="1" t="n">
        <v>46091</v>
      </c>
      <c r="D479" t="inlineStr">
        <is>
          <t>VÄSTMANLANDS LÄN</t>
        </is>
      </c>
      <c r="E479" t="inlineStr">
        <is>
          <t>SALA</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27228-2023</t>
        </is>
      </c>
      <c r="B480" s="1" t="n">
        <v>45096.59189814814</v>
      </c>
      <c r="C480" s="1" t="n">
        <v>46091</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53838-2022</t>
        </is>
      </c>
      <c r="B481" s="1" t="n">
        <v>44880.59363425926</v>
      </c>
      <c r="C481" s="1" t="n">
        <v>46091</v>
      </c>
      <c r="D481" t="inlineStr">
        <is>
          <t>VÄSTMANLANDS LÄN</t>
        </is>
      </c>
      <c r="E481" t="inlineStr">
        <is>
          <t>SALA</t>
        </is>
      </c>
      <c r="G481" t="n">
        <v>3.9</v>
      </c>
      <c r="H481" t="n">
        <v>0</v>
      </c>
      <c r="I481" t="n">
        <v>0</v>
      </c>
      <c r="J481" t="n">
        <v>0</v>
      </c>
      <c r="K481" t="n">
        <v>0</v>
      </c>
      <c r="L481" t="n">
        <v>0</v>
      </c>
      <c r="M481" t="n">
        <v>0</v>
      </c>
      <c r="N481" t="n">
        <v>0</v>
      </c>
      <c r="O481" t="n">
        <v>0</v>
      </c>
      <c r="P481" t="n">
        <v>0</v>
      </c>
      <c r="Q481" t="n">
        <v>0</v>
      </c>
      <c r="R481" s="2" t="inlineStr"/>
    </row>
    <row r="482" ht="15" customHeight="1">
      <c r="A482" t="inlineStr">
        <is>
          <t>A 59817-2025</t>
        </is>
      </c>
      <c r="B482" s="1" t="n">
        <v>45992.63711805556</v>
      </c>
      <c r="C482" s="1" t="n">
        <v>46091</v>
      </c>
      <c r="D482" t="inlineStr">
        <is>
          <t>VÄSTMANLANDS LÄN</t>
        </is>
      </c>
      <c r="E482" t="inlineStr">
        <is>
          <t>SALA</t>
        </is>
      </c>
      <c r="G482" t="n">
        <v>6.9</v>
      </c>
      <c r="H482" t="n">
        <v>0</v>
      </c>
      <c r="I482" t="n">
        <v>0</v>
      </c>
      <c r="J482" t="n">
        <v>0</v>
      </c>
      <c r="K482" t="n">
        <v>0</v>
      </c>
      <c r="L482" t="n">
        <v>0</v>
      </c>
      <c r="M482" t="n">
        <v>0</v>
      </c>
      <c r="N482" t="n">
        <v>0</v>
      </c>
      <c r="O482" t="n">
        <v>0</v>
      </c>
      <c r="P482" t="n">
        <v>0</v>
      </c>
      <c r="Q482" t="n">
        <v>0</v>
      </c>
      <c r="R482" s="2" t="inlineStr"/>
    </row>
    <row r="483" ht="15" customHeight="1">
      <c r="A483" t="inlineStr">
        <is>
          <t>A 59390-2025</t>
        </is>
      </c>
      <c r="B483" s="1" t="n">
        <v>45989.4640162037</v>
      </c>
      <c r="C483" s="1" t="n">
        <v>46091</v>
      </c>
      <c r="D483" t="inlineStr">
        <is>
          <t>VÄSTMANLANDS LÄN</t>
        </is>
      </c>
      <c r="E483" t="inlineStr">
        <is>
          <t>SALA</t>
        </is>
      </c>
      <c r="G483" t="n">
        <v>1.8</v>
      </c>
      <c r="H483" t="n">
        <v>0</v>
      </c>
      <c r="I483" t="n">
        <v>0</v>
      </c>
      <c r="J483" t="n">
        <v>0</v>
      </c>
      <c r="K483" t="n">
        <v>0</v>
      </c>
      <c r="L483" t="n">
        <v>0</v>
      </c>
      <c r="M483" t="n">
        <v>0</v>
      </c>
      <c r="N483" t="n">
        <v>0</v>
      </c>
      <c r="O483" t="n">
        <v>0</v>
      </c>
      <c r="P483" t="n">
        <v>0</v>
      </c>
      <c r="Q483" t="n">
        <v>0</v>
      </c>
      <c r="R483" s="2" t="inlineStr"/>
    </row>
    <row r="484" ht="15" customHeight="1">
      <c r="A484" t="inlineStr">
        <is>
          <t>A 59385-2025</t>
        </is>
      </c>
      <c r="B484" s="1" t="n">
        <v>45989.45746527778</v>
      </c>
      <c r="C484" s="1" t="n">
        <v>46091</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25260-2023</t>
        </is>
      </c>
      <c r="B485" s="1" t="n">
        <v>45086</v>
      </c>
      <c r="C485" s="1" t="n">
        <v>46091</v>
      </c>
      <c r="D485" t="inlineStr">
        <is>
          <t>VÄSTMANLANDS LÄN</t>
        </is>
      </c>
      <c r="E485" t="inlineStr">
        <is>
          <t>SALA</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60017-2025</t>
        </is>
      </c>
      <c r="B486" s="1" t="n">
        <v>45993.59998842593</v>
      </c>
      <c r="C486" s="1" t="n">
        <v>46091</v>
      </c>
      <c r="D486" t="inlineStr">
        <is>
          <t>VÄSTMANLANDS LÄN</t>
        </is>
      </c>
      <c r="E486" t="inlineStr">
        <is>
          <t>SALA</t>
        </is>
      </c>
      <c r="G486" t="n">
        <v>4.4</v>
      </c>
      <c r="H486" t="n">
        <v>0</v>
      </c>
      <c r="I486" t="n">
        <v>0</v>
      </c>
      <c r="J486" t="n">
        <v>0</v>
      </c>
      <c r="K486" t="n">
        <v>0</v>
      </c>
      <c r="L486" t="n">
        <v>0</v>
      </c>
      <c r="M486" t="n">
        <v>0</v>
      </c>
      <c r="N486" t="n">
        <v>0</v>
      </c>
      <c r="O486" t="n">
        <v>0</v>
      </c>
      <c r="P486" t="n">
        <v>0</v>
      </c>
      <c r="Q486" t="n">
        <v>0</v>
      </c>
      <c r="R486" s="2" t="inlineStr"/>
    </row>
    <row r="487" ht="15" customHeight="1">
      <c r="A487" t="inlineStr">
        <is>
          <t>A 16769-2024</t>
        </is>
      </c>
      <c r="B487" s="1" t="n">
        <v>45411.38738425926</v>
      </c>
      <c r="C487" s="1" t="n">
        <v>46091</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60258-2025</t>
        </is>
      </c>
      <c r="B488" s="1" t="n">
        <v>45994.6064699074</v>
      </c>
      <c r="C488" s="1" t="n">
        <v>46091</v>
      </c>
      <c r="D488" t="inlineStr">
        <is>
          <t>VÄSTMANLANDS LÄN</t>
        </is>
      </c>
      <c r="E488" t="inlineStr">
        <is>
          <t>SALA</t>
        </is>
      </c>
      <c r="G488" t="n">
        <v>2.2</v>
      </c>
      <c r="H488" t="n">
        <v>0</v>
      </c>
      <c r="I488" t="n">
        <v>0</v>
      </c>
      <c r="J488" t="n">
        <v>0</v>
      </c>
      <c r="K488" t="n">
        <v>0</v>
      </c>
      <c r="L488" t="n">
        <v>0</v>
      </c>
      <c r="M488" t="n">
        <v>0</v>
      </c>
      <c r="N488" t="n">
        <v>0</v>
      </c>
      <c r="O488" t="n">
        <v>0</v>
      </c>
      <c r="P488" t="n">
        <v>0</v>
      </c>
      <c r="Q488" t="n">
        <v>0</v>
      </c>
      <c r="R488" s="2" t="inlineStr"/>
    </row>
    <row r="489" ht="15" customHeight="1">
      <c r="A489" t="inlineStr">
        <is>
          <t>A 60241-2025</t>
        </is>
      </c>
      <c r="B489" s="1" t="n">
        <v>45994.58454861111</v>
      </c>
      <c r="C489" s="1" t="n">
        <v>46091</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59870-2025</t>
        </is>
      </c>
      <c r="B490" s="1" t="n">
        <v>45992.92226851852</v>
      </c>
      <c r="C490" s="1" t="n">
        <v>46091</v>
      </c>
      <c r="D490" t="inlineStr">
        <is>
          <t>VÄSTMANLANDS LÄN</t>
        </is>
      </c>
      <c r="E490" t="inlineStr">
        <is>
          <t>SALA</t>
        </is>
      </c>
      <c r="G490" t="n">
        <v>3.4</v>
      </c>
      <c r="H490" t="n">
        <v>0</v>
      </c>
      <c r="I490" t="n">
        <v>0</v>
      </c>
      <c r="J490" t="n">
        <v>0</v>
      </c>
      <c r="K490" t="n">
        <v>0</v>
      </c>
      <c r="L490" t="n">
        <v>0</v>
      </c>
      <c r="M490" t="n">
        <v>0</v>
      </c>
      <c r="N490" t="n">
        <v>0</v>
      </c>
      <c r="O490" t="n">
        <v>0</v>
      </c>
      <c r="P490" t="n">
        <v>0</v>
      </c>
      <c r="Q490" t="n">
        <v>0</v>
      </c>
      <c r="R490" s="2" t="inlineStr"/>
    </row>
    <row r="491" ht="15" customHeight="1">
      <c r="A491" t="inlineStr">
        <is>
          <t>A 60259-2025</t>
        </is>
      </c>
      <c r="B491" s="1" t="n">
        <v>45994.60913194445</v>
      </c>
      <c r="C491" s="1" t="n">
        <v>46091</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60246-2025</t>
        </is>
      </c>
      <c r="B492" s="1" t="n">
        <v>45994.58931712963</v>
      </c>
      <c r="C492" s="1" t="n">
        <v>46091</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60254-2025</t>
        </is>
      </c>
      <c r="B493" s="1" t="n">
        <v>45994.60146990741</v>
      </c>
      <c r="C493" s="1" t="n">
        <v>46091</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60249-2023</t>
        </is>
      </c>
      <c r="B494" s="1" t="n">
        <v>45258</v>
      </c>
      <c r="C494" s="1" t="n">
        <v>46091</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59926-2025</t>
        </is>
      </c>
      <c r="B495" s="1" t="n">
        <v>45993.39221064815</v>
      </c>
      <c r="C495" s="1" t="n">
        <v>46091</v>
      </c>
      <c r="D495" t="inlineStr">
        <is>
          <t>VÄSTMANLANDS LÄN</t>
        </is>
      </c>
      <c r="E495" t="inlineStr">
        <is>
          <t>SALA</t>
        </is>
      </c>
      <c r="G495" t="n">
        <v>7.1</v>
      </c>
      <c r="H495" t="n">
        <v>0</v>
      </c>
      <c r="I495" t="n">
        <v>0</v>
      </c>
      <c r="J495" t="n">
        <v>0</v>
      </c>
      <c r="K495" t="n">
        <v>0</v>
      </c>
      <c r="L495" t="n">
        <v>0</v>
      </c>
      <c r="M495" t="n">
        <v>0</v>
      </c>
      <c r="N495" t="n">
        <v>0</v>
      </c>
      <c r="O495" t="n">
        <v>0</v>
      </c>
      <c r="P495" t="n">
        <v>0</v>
      </c>
      <c r="Q495" t="n">
        <v>0</v>
      </c>
      <c r="R495" s="2" t="inlineStr"/>
    </row>
    <row r="496" ht="15" customHeight="1">
      <c r="A496" t="inlineStr">
        <is>
          <t>A 14271-2025</t>
        </is>
      </c>
      <c r="B496" s="1" t="n">
        <v>45740.64129629629</v>
      </c>
      <c r="C496" s="1" t="n">
        <v>46091</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69232-2021</t>
        </is>
      </c>
      <c r="B497" s="1" t="n">
        <v>44531.39696759259</v>
      </c>
      <c r="C497" s="1" t="n">
        <v>46091</v>
      </c>
      <c r="D497" t="inlineStr">
        <is>
          <t>VÄSTMANLANDS LÄN</t>
        </is>
      </c>
      <c r="E497" t="inlineStr">
        <is>
          <t>SALA</t>
        </is>
      </c>
      <c r="G497" t="n">
        <v>2.3</v>
      </c>
      <c r="H497" t="n">
        <v>0</v>
      </c>
      <c r="I497" t="n">
        <v>0</v>
      </c>
      <c r="J497" t="n">
        <v>0</v>
      </c>
      <c r="K497" t="n">
        <v>0</v>
      </c>
      <c r="L497" t="n">
        <v>0</v>
      </c>
      <c r="M497" t="n">
        <v>0</v>
      </c>
      <c r="N497" t="n">
        <v>0</v>
      </c>
      <c r="O497" t="n">
        <v>0</v>
      </c>
      <c r="P497" t="n">
        <v>0</v>
      </c>
      <c r="Q497" t="n">
        <v>0</v>
      </c>
      <c r="R497" s="2" t="inlineStr"/>
    </row>
    <row r="498" ht="15" customHeight="1">
      <c r="A498" t="inlineStr">
        <is>
          <t>A 28328-2023</t>
        </is>
      </c>
      <c r="B498" s="1" t="n">
        <v>45099.71063657408</v>
      </c>
      <c r="C498" s="1" t="n">
        <v>46091</v>
      </c>
      <c r="D498" t="inlineStr">
        <is>
          <t>VÄSTMANLANDS LÄN</t>
        </is>
      </c>
      <c r="E498" t="inlineStr">
        <is>
          <t>SALA</t>
        </is>
      </c>
      <c r="G498" t="n">
        <v>1.8</v>
      </c>
      <c r="H498" t="n">
        <v>0</v>
      </c>
      <c r="I498" t="n">
        <v>0</v>
      </c>
      <c r="J498" t="n">
        <v>0</v>
      </c>
      <c r="K498" t="n">
        <v>0</v>
      </c>
      <c r="L498" t="n">
        <v>0</v>
      </c>
      <c r="M498" t="n">
        <v>0</v>
      </c>
      <c r="N498" t="n">
        <v>0</v>
      </c>
      <c r="O498" t="n">
        <v>0</v>
      </c>
      <c r="P498" t="n">
        <v>0</v>
      </c>
      <c r="Q498" t="n">
        <v>0</v>
      </c>
      <c r="R498" s="2" t="inlineStr"/>
    </row>
    <row r="499" ht="15" customHeight="1">
      <c r="A499" t="inlineStr">
        <is>
          <t>A 60629-2025</t>
        </is>
      </c>
      <c r="B499" s="1" t="n">
        <v>45996.41972222222</v>
      </c>
      <c r="C499" s="1" t="n">
        <v>46091</v>
      </c>
      <c r="D499" t="inlineStr">
        <is>
          <t>VÄSTMANLANDS LÄN</t>
        </is>
      </c>
      <c r="E499" t="inlineStr">
        <is>
          <t>SALA</t>
        </is>
      </c>
      <c r="G499" t="n">
        <v>4.3</v>
      </c>
      <c r="H499" t="n">
        <v>0</v>
      </c>
      <c r="I499" t="n">
        <v>0</v>
      </c>
      <c r="J499" t="n">
        <v>0</v>
      </c>
      <c r="K499" t="n">
        <v>0</v>
      </c>
      <c r="L499" t="n">
        <v>0</v>
      </c>
      <c r="M499" t="n">
        <v>0</v>
      </c>
      <c r="N499" t="n">
        <v>0</v>
      </c>
      <c r="O499" t="n">
        <v>0</v>
      </c>
      <c r="P499" t="n">
        <v>0</v>
      </c>
      <c r="Q499" t="n">
        <v>0</v>
      </c>
      <c r="R499" s="2" t="inlineStr"/>
    </row>
    <row r="500" ht="15" customHeight="1">
      <c r="A500" t="inlineStr">
        <is>
          <t>A 40085-2024</t>
        </is>
      </c>
      <c r="B500" s="1" t="n">
        <v>45554</v>
      </c>
      <c r="C500" s="1" t="n">
        <v>46091</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18158-2025</t>
        </is>
      </c>
      <c r="B501" s="1" t="n">
        <v>45761</v>
      </c>
      <c r="C501" s="1" t="n">
        <v>46091</v>
      </c>
      <c r="D501" t="inlineStr">
        <is>
          <t>VÄSTMANLANDS LÄN</t>
        </is>
      </c>
      <c r="E501" t="inlineStr">
        <is>
          <t>SALA</t>
        </is>
      </c>
      <c r="F501" t="inlineStr">
        <is>
          <t>Bergvik skog öst AB</t>
        </is>
      </c>
      <c r="G501" t="n">
        <v>1.6</v>
      </c>
      <c r="H501" t="n">
        <v>0</v>
      </c>
      <c r="I501" t="n">
        <v>0</v>
      </c>
      <c r="J501" t="n">
        <v>0</v>
      </c>
      <c r="K501" t="n">
        <v>0</v>
      </c>
      <c r="L501" t="n">
        <v>0</v>
      </c>
      <c r="M501" t="n">
        <v>0</v>
      </c>
      <c r="N501" t="n">
        <v>0</v>
      </c>
      <c r="O501" t="n">
        <v>0</v>
      </c>
      <c r="P501" t="n">
        <v>0</v>
      </c>
      <c r="Q501" t="n">
        <v>0</v>
      </c>
      <c r="R501" s="2" t="inlineStr"/>
    </row>
    <row r="502" ht="15" customHeight="1">
      <c r="A502" t="inlineStr">
        <is>
          <t>A 49661-2024</t>
        </is>
      </c>
      <c r="B502" s="1" t="n">
        <v>45596</v>
      </c>
      <c r="C502" s="1" t="n">
        <v>46091</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35519-2024</t>
        </is>
      </c>
      <c r="B503" s="1" t="n">
        <v>45531</v>
      </c>
      <c r="C503" s="1" t="n">
        <v>46091</v>
      </c>
      <c r="D503" t="inlineStr">
        <is>
          <t>VÄSTMANLANDS LÄN</t>
        </is>
      </c>
      <c r="E503" t="inlineStr">
        <is>
          <t>SALA</t>
        </is>
      </c>
      <c r="G503" t="n">
        <v>1.8</v>
      </c>
      <c r="H503" t="n">
        <v>0</v>
      </c>
      <c r="I503" t="n">
        <v>0</v>
      </c>
      <c r="J503" t="n">
        <v>0</v>
      </c>
      <c r="K503" t="n">
        <v>0</v>
      </c>
      <c r="L503" t="n">
        <v>0</v>
      </c>
      <c r="M503" t="n">
        <v>0</v>
      </c>
      <c r="N503" t="n">
        <v>0</v>
      </c>
      <c r="O503" t="n">
        <v>0</v>
      </c>
      <c r="P503" t="n">
        <v>0</v>
      </c>
      <c r="Q503" t="n">
        <v>0</v>
      </c>
      <c r="R503" s="2" t="inlineStr"/>
    </row>
    <row r="504" ht="15" customHeight="1">
      <c r="A504" t="inlineStr">
        <is>
          <t>A 54347-2024</t>
        </is>
      </c>
      <c r="B504" s="1" t="n">
        <v>45617.39325231482</v>
      </c>
      <c r="C504" s="1" t="n">
        <v>46091</v>
      </c>
      <c r="D504" t="inlineStr">
        <is>
          <t>VÄSTMANLANDS LÄN</t>
        </is>
      </c>
      <c r="E504" t="inlineStr">
        <is>
          <t>SALA</t>
        </is>
      </c>
      <c r="G504" t="n">
        <v>2</v>
      </c>
      <c r="H504" t="n">
        <v>0</v>
      </c>
      <c r="I504" t="n">
        <v>0</v>
      </c>
      <c r="J504" t="n">
        <v>0</v>
      </c>
      <c r="K504" t="n">
        <v>0</v>
      </c>
      <c r="L504" t="n">
        <v>0</v>
      </c>
      <c r="M504" t="n">
        <v>0</v>
      </c>
      <c r="N504" t="n">
        <v>0</v>
      </c>
      <c r="O504" t="n">
        <v>0</v>
      </c>
      <c r="P504" t="n">
        <v>0</v>
      </c>
      <c r="Q504" t="n">
        <v>0</v>
      </c>
      <c r="R504" s="2" t="inlineStr"/>
    </row>
    <row r="505" ht="15" customHeight="1">
      <c r="A505" t="inlineStr">
        <is>
          <t>A 13022-2023</t>
        </is>
      </c>
      <c r="B505" s="1" t="n">
        <v>45002.33291666667</v>
      </c>
      <c r="C505" s="1" t="n">
        <v>46091</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35003-2024</t>
        </is>
      </c>
      <c r="B506" s="1" t="n">
        <v>45527.56790509259</v>
      </c>
      <c r="C506" s="1" t="n">
        <v>46091</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66307-2021</t>
        </is>
      </c>
      <c r="B507" s="1" t="n">
        <v>44518.48670138889</v>
      </c>
      <c r="C507" s="1" t="n">
        <v>46091</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6030-2024</t>
        </is>
      </c>
      <c r="B508" s="1" t="n">
        <v>45336.62782407407</v>
      </c>
      <c r="C508" s="1" t="n">
        <v>46091</v>
      </c>
      <c r="D508" t="inlineStr">
        <is>
          <t>VÄSTMANLANDS LÄN</t>
        </is>
      </c>
      <c r="E508" t="inlineStr">
        <is>
          <t>SALA</t>
        </is>
      </c>
      <c r="G508" t="n">
        <v>3.9</v>
      </c>
      <c r="H508" t="n">
        <v>0</v>
      </c>
      <c r="I508" t="n">
        <v>0</v>
      </c>
      <c r="J508" t="n">
        <v>0</v>
      </c>
      <c r="K508" t="n">
        <v>0</v>
      </c>
      <c r="L508" t="n">
        <v>0</v>
      </c>
      <c r="M508" t="n">
        <v>0</v>
      </c>
      <c r="N508" t="n">
        <v>0</v>
      </c>
      <c r="O508" t="n">
        <v>0</v>
      </c>
      <c r="P508" t="n">
        <v>0</v>
      </c>
      <c r="Q508" t="n">
        <v>0</v>
      </c>
      <c r="R508" s="2" t="inlineStr"/>
    </row>
    <row r="509" ht="15" customHeight="1">
      <c r="A509" t="inlineStr">
        <is>
          <t>A 26761-2023</t>
        </is>
      </c>
      <c r="B509" s="1" t="n">
        <v>45093</v>
      </c>
      <c r="C509" s="1" t="n">
        <v>46091</v>
      </c>
      <c r="D509" t="inlineStr">
        <is>
          <t>VÄSTMANLANDS LÄN</t>
        </is>
      </c>
      <c r="E509" t="inlineStr">
        <is>
          <t>SALA</t>
        </is>
      </c>
      <c r="G509" t="n">
        <v>4.3</v>
      </c>
      <c r="H509" t="n">
        <v>0</v>
      </c>
      <c r="I509" t="n">
        <v>0</v>
      </c>
      <c r="J509" t="n">
        <v>0</v>
      </c>
      <c r="K509" t="n">
        <v>0</v>
      </c>
      <c r="L509" t="n">
        <v>0</v>
      </c>
      <c r="M509" t="n">
        <v>0</v>
      </c>
      <c r="N509" t="n">
        <v>0</v>
      </c>
      <c r="O509" t="n">
        <v>0</v>
      </c>
      <c r="P509" t="n">
        <v>0</v>
      </c>
      <c r="Q509" t="n">
        <v>0</v>
      </c>
      <c r="R509" s="2" t="inlineStr"/>
    </row>
    <row r="510" ht="15" customHeight="1">
      <c r="A510" t="inlineStr">
        <is>
          <t>A 61892-2021</t>
        </is>
      </c>
      <c r="B510" s="1" t="n">
        <v>44502</v>
      </c>
      <c r="C510" s="1" t="n">
        <v>46091</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61522-2025</t>
        </is>
      </c>
      <c r="B511" s="1" t="n">
        <v>46001.68684027778</v>
      </c>
      <c r="C511" s="1" t="n">
        <v>46091</v>
      </c>
      <c r="D511" t="inlineStr">
        <is>
          <t>VÄSTMANLANDS LÄN</t>
        </is>
      </c>
      <c r="E511" t="inlineStr">
        <is>
          <t>SALA</t>
        </is>
      </c>
      <c r="G511" t="n">
        <v>5.7</v>
      </c>
      <c r="H511" t="n">
        <v>0</v>
      </c>
      <c r="I511" t="n">
        <v>0</v>
      </c>
      <c r="J511" t="n">
        <v>0</v>
      </c>
      <c r="K511" t="n">
        <v>0</v>
      </c>
      <c r="L511" t="n">
        <v>0</v>
      </c>
      <c r="M511" t="n">
        <v>0</v>
      </c>
      <c r="N511" t="n">
        <v>0</v>
      </c>
      <c r="O511" t="n">
        <v>0</v>
      </c>
      <c r="P511" t="n">
        <v>0</v>
      </c>
      <c r="Q511" t="n">
        <v>0</v>
      </c>
      <c r="R511" s="2" t="inlineStr"/>
    </row>
    <row r="512" ht="15" customHeight="1">
      <c r="A512" t="inlineStr">
        <is>
          <t>A 7772-2023</t>
        </is>
      </c>
      <c r="B512" s="1" t="n">
        <v>44973.40076388889</v>
      </c>
      <c r="C512" s="1" t="n">
        <v>46091</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62523-2025</t>
        </is>
      </c>
      <c r="B513" s="1" t="n">
        <v>46007.61512731481</v>
      </c>
      <c r="C513" s="1" t="n">
        <v>46091</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42416-2022</t>
        </is>
      </c>
      <c r="B514" s="1" t="n">
        <v>44831</v>
      </c>
      <c r="C514" s="1" t="n">
        <v>46091</v>
      </c>
      <c r="D514" t="inlineStr">
        <is>
          <t>VÄSTMANLANDS LÄN</t>
        </is>
      </c>
      <c r="E514" t="inlineStr">
        <is>
          <t>SALA</t>
        </is>
      </c>
      <c r="G514" t="n">
        <v>2.2</v>
      </c>
      <c r="H514" t="n">
        <v>0</v>
      </c>
      <c r="I514" t="n">
        <v>0</v>
      </c>
      <c r="J514" t="n">
        <v>0</v>
      </c>
      <c r="K514" t="n">
        <v>0</v>
      </c>
      <c r="L514" t="n">
        <v>0</v>
      </c>
      <c r="M514" t="n">
        <v>0</v>
      </c>
      <c r="N514" t="n">
        <v>0</v>
      </c>
      <c r="O514" t="n">
        <v>0</v>
      </c>
      <c r="P514" t="n">
        <v>0</v>
      </c>
      <c r="Q514" t="n">
        <v>0</v>
      </c>
      <c r="R514" s="2" t="inlineStr"/>
    </row>
    <row r="515" ht="15" customHeight="1">
      <c r="A515" t="inlineStr">
        <is>
          <t>A 5418-2026</t>
        </is>
      </c>
      <c r="B515" s="1" t="n">
        <v>46050.53740740741</v>
      </c>
      <c r="C515" s="1" t="n">
        <v>46091</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19381-2025</t>
        </is>
      </c>
      <c r="B516" s="1" t="n">
        <v>45769</v>
      </c>
      <c r="C516" s="1" t="n">
        <v>46091</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5525-2026</t>
        </is>
      </c>
      <c r="B517" s="1" t="n">
        <v>46050.65055555556</v>
      </c>
      <c r="C517" s="1" t="n">
        <v>46091</v>
      </c>
      <c r="D517" t="inlineStr">
        <is>
          <t>VÄSTMANLANDS LÄN</t>
        </is>
      </c>
      <c r="E517" t="inlineStr">
        <is>
          <t>SALA</t>
        </is>
      </c>
      <c r="G517" t="n">
        <v>13.1</v>
      </c>
      <c r="H517" t="n">
        <v>0</v>
      </c>
      <c r="I517" t="n">
        <v>0</v>
      </c>
      <c r="J517" t="n">
        <v>0</v>
      </c>
      <c r="K517" t="n">
        <v>0</v>
      </c>
      <c r="L517" t="n">
        <v>0</v>
      </c>
      <c r="M517" t="n">
        <v>0</v>
      </c>
      <c r="N517" t="n">
        <v>0</v>
      </c>
      <c r="O517" t="n">
        <v>0</v>
      </c>
      <c r="P517" t="n">
        <v>0</v>
      </c>
      <c r="Q517" t="n">
        <v>0</v>
      </c>
      <c r="R517" s="2" t="inlineStr"/>
    </row>
    <row r="518" ht="15" customHeight="1">
      <c r="A518" t="inlineStr">
        <is>
          <t>A 48688-2024</t>
        </is>
      </c>
      <c r="B518" s="1" t="n">
        <v>45593.50541666667</v>
      </c>
      <c r="C518" s="1" t="n">
        <v>46091</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63055-2025</t>
        </is>
      </c>
      <c r="B519" s="1" t="n">
        <v>46009.63619212963</v>
      </c>
      <c r="C519" s="1" t="n">
        <v>46091</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45187-2024</t>
        </is>
      </c>
      <c r="B520" s="1" t="n">
        <v>45575</v>
      </c>
      <c r="C520" s="1" t="n">
        <v>46091</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15968-2024</t>
        </is>
      </c>
      <c r="B521" s="1" t="n">
        <v>45405.56021990741</v>
      </c>
      <c r="C521" s="1" t="n">
        <v>46091</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63353-2025</t>
        </is>
      </c>
      <c r="B522" s="1" t="n">
        <v>46010.66670138889</v>
      </c>
      <c r="C522" s="1" t="n">
        <v>46091</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5894-2026</t>
        </is>
      </c>
      <c r="B523" s="1" t="n">
        <v>46052.42412037037</v>
      </c>
      <c r="C523" s="1" t="n">
        <v>46091</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3733-2023</t>
        </is>
      </c>
      <c r="B524" s="1" t="n">
        <v>44951.42501157407</v>
      </c>
      <c r="C524" s="1" t="n">
        <v>46091</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63051-2025</t>
        </is>
      </c>
      <c r="B525" s="1" t="n">
        <v>46009.63134259259</v>
      </c>
      <c r="C525" s="1" t="n">
        <v>46091</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63046-2025</t>
        </is>
      </c>
      <c r="B526" s="1" t="n">
        <v>46009.62373842593</v>
      </c>
      <c r="C526" s="1" t="n">
        <v>46091</v>
      </c>
      <c r="D526" t="inlineStr">
        <is>
          <t>VÄSTMANLANDS LÄN</t>
        </is>
      </c>
      <c r="E526" t="inlineStr">
        <is>
          <t>SALA</t>
        </is>
      </c>
      <c r="G526" t="n">
        <v>1.1</v>
      </c>
      <c r="H526" t="n">
        <v>0</v>
      </c>
      <c r="I526" t="n">
        <v>0</v>
      </c>
      <c r="J526" t="n">
        <v>0</v>
      </c>
      <c r="K526" t="n">
        <v>0</v>
      </c>
      <c r="L526" t="n">
        <v>0</v>
      </c>
      <c r="M526" t="n">
        <v>0</v>
      </c>
      <c r="N526" t="n">
        <v>0</v>
      </c>
      <c r="O526" t="n">
        <v>0</v>
      </c>
      <c r="P526" t="n">
        <v>0</v>
      </c>
      <c r="Q526" t="n">
        <v>0</v>
      </c>
      <c r="R526" s="2" t="inlineStr"/>
    </row>
    <row r="527" ht="15" customHeight="1">
      <c r="A527" t="inlineStr">
        <is>
          <t>A 44544-2024</t>
        </is>
      </c>
      <c r="B527" s="1" t="n">
        <v>45574.46119212963</v>
      </c>
      <c r="C527" s="1" t="n">
        <v>46091</v>
      </c>
      <c r="D527" t="inlineStr">
        <is>
          <t>VÄSTMANLANDS LÄN</t>
        </is>
      </c>
      <c r="E527" t="inlineStr">
        <is>
          <t>SALA</t>
        </is>
      </c>
      <c r="G527" t="n">
        <v>3.3</v>
      </c>
      <c r="H527" t="n">
        <v>0</v>
      </c>
      <c r="I527" t="n">
        <v>0</v>
      </c>
      <c r="J527" t="n">
        <v>0</v>
      </c>
      <c r="K527" t="n">
        <v>0</v>
      </c>
      <c r="L527" t="n">
        <v>0</v>
      </c>
      <c r="M527" t="n">
        <v>0</v>
      </c>
      <c r="N527" t="n">
        <v>0</v>
      </c>
      <c r="O527" t="n">
        <v>0</v>
      </c>
      <c r="P527" t="n">
        <v>0</v>
      </c>
      <c r="Q527" t="n">
        <v>0</v>
      </c>
      <c r="R527" s="2" t="inlineStr"/>
    </row>
    <row r="528" ht="15" customHeight="1">
      <c r="A528" t="inlineStr">
        <is>
          <t>A 63269-2025</t>
        </is>
      </c>
      <c r="B528" s="1" t="n">
        <v>46010</v>
      </c>
      <c r="C528" s="1" t="n">
        <v>46091</v>
      </c>
      <c r="D528" t="inlineStr">
        <is>
          <t>VÄSTMANLANDS LÄN</t>
        </is>
      </c>
      <c r="E528" t="inlineStr">
        <is>
          <t>SALA</t>
        </is>
      </c>
      <c r="G528" t="n">
        <v>6.4</v>
      </c>
      <c r="H528" t="n">
        <v>0</v>
      </c>
      <c r="I528" t="n">
        <v>0</v>
      </c>
      <c r="J528" t="n">
        <v>0</v>
      </c>
      <c r="K528" t="n">
        <v>0</v>
      </c>
      <c r="L528" t="n">
        <v>0</v>
      </c>
      <c r="M528" t="n">
        <v>0</v>
      </c>
      <c r="N528" t="n">
        <v>0</v>
      </c>
      <c r="O528" t="n">
        <v>0</v>
      </c>
      <c r="P528" t="n">
        <v>0</v>
      </c>
      <c r="Q528" t="n">
        <v>0</v>
      </c>
      <c r="R528" s="2" t="inlineStr"/>
    </row>
    <row r="529" ht="15" customHeight="1">
      <c r="A529" t="inlineStr">
        <is>
          <t>A 64729-2023</t>
        </is>
      </c>
      <c r="B529" s="1" t="n">
        <v>45281</v>
      </c>
      <c r="C529" s="1" t="n">
        <v>46091</v>
      </c>
      <c r="D529" t="inlineStr">
        <is>
          <t>VÄSTMANLANDS LÄN</t>
        </is>
      </c>
      <c r="E529" t="inlineStr">
        <is>
          <t>SALA</t>
        </is>
      </c>
      <c r="G529" t="n">
        <v>1.8</v>
      </c>
      <c r="H529" t="n">
        <v>0</v>
      </c>
      <c r="I529" t="n">
        <v>0</v>
      </c>
      <c r="J529" t="n">
        <v>0</v>
      </c>
      <c r="K529" t="n">
        <v>0</v>
      </c>
      <c r="L529" t="n">
        <v>0</v>
      </c>
      <c r="M529" t="n">
        <v>0</v>
      </c>
      <c r="N529" t="n">
        <v>0</v>
      </c>
      <c r="O529" t="n">
        <v>0</v>
      </c>
      <c r="P529" t="n">
        <v>0</v>
      </c>
      <c r="Q529" t="n">
        <v>0</v>
      </c>
      <c r="R529" s="2" t="inlineStr"/>
    </row>
    <row r="530" ht="15" customHeight="1">
      <c r="A530" t="inlineStr">
        <is>
          <t>A 68864-2021</t>
        </is>
      </c>
      <c r="B530" s="1" t="n">
        <v>44530</v>
      </c>
      <c r="C530" s="1" t="n">
        <v>46091</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64925-2023</t>
        </is>
      </c>
      <c r="B531" s="1" t="n">
        <v>45282</v>
      </c>
      <c r="C531" s="1" t="n">
        <v>46091</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48570-2024</t>
        </is>
      </c>
      <c r="B532" s="1" t="n">
        <v>45591</v>
      </c>
      <c r="C532" s="1" t="n">
        <v>46091</v>
      </c>
      <c r="D532" t="inlineStr">
        <is>
          <t>VÄSTMANLANDS LÄN</t>
        </is>
      </c>
      <c r="E532" t="inlineStr">
        <is>
          <t>SALA</t>
        </is>
      </c>
      <c r="G532" t="n">
        <v>3</v>
      </c>
      <c r="H532" t="n">
        <v>0</v>
      </c>
      <c r="I532" t="n">
        <v>0</v>
      </c>
      <c r="J532" t="n">
        <v>0</v>
      </c>
      <c r="K532" t="n">
        <v>0</v>
      </c>
      <c r="L532" t="n">
        <v>0</v>
      </c>
      <c r="M532" t="n">
        <v>0</v>
      </c>
      <c r="N532" t="n">
        <v>0</v>
      </c>
      <c r="O532" t="n">
        <v>0</v>
      </c>
      <c r="P532" t="n">
        <v>0</v>
      </c>
      <c r="Q532" t="n">
        <v>0</v>
      </c>
      <c r="R532" s="2" t="inlineStr"/>
    </row>
    <row r="533" ht="15" customHeight="1">
      <c r="A533" t="inlineStr">
        <is>
          <t>A 17722-2025</t>
        </is>
      </c>
      <c r="B533" s="1" t="n">
        <v>45758</v>
      </c>
      <c r="C533" s="1" t="n">
        <v>46091</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61517-2024</t>
        </is>
      </c>
      <c r="B534" s="1" t="n">
        <v>45645</v>
      </c>
      <c r="C534" s="1" t="n">
        <v>46091</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6021-2026</t>
        </is>
      </c>
      <c r="B535" s="1" t="n">
        <v>46050</v>
      </c>
      <c r="C535" s="1" t="n">
        <v>46091</v>
      </c>
      <c r="D535" t="inlineStr">
        <is>
          <t>VÄSTMANLANDS LÄN</t>
        </is>
      </c>
      <c r="E535" t="inlineStr">
        <is>
          <t>SALA</t>
        </is>
      </c>
      <c r="G535" t="n">
        <v>1.9</v>
      </c>
      <c r="H535" t="n">
        <v>0</v>
      </c>
      <c r="I535" t="n">
        <v>0</v>
      </c>
      <c r="J535" t="n">
        <v>0</v>
      </c>
      <c r="K535" t="n">
        <v>0</v>
      </c>
      <c r="L535" t="n">
        <v>0</v>
      </c>
      <c r="M535" t="n">
        <v>0</v>
      </c>
      <c r="N535" t="n">
        <v>0</v>
      </c>
      <c r="O535" t="n">
        <v>0</v>
      </c>
      <c r="P535" t="n">
        <v>0</v>
      </c>
      <c r="Q535" t="n">
        <v>0</v>
      </c>
      <c r="R535" s="2" t="inlineStr"/>
    </row>
    <row r="536" ht="15" customHeight="1">
      <c r="A536" t="inlineStr">
        <is>
          <t>A 16760-2024</t>
        </is>
      </c>
      <c r="B536" s="1" t="n">
        <v>45411</v>
      </c>
      <c r="C536" s="1" t="n">
        <v>46091</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7327-2026</t>
        </is>
      </c>
      <c r="B537" s="1" t="n">
        <v>46058.68371527778</v>
      </c>
      <c r="C537" s="1" t="n">
        <v>46091</v>
      </c>
      <c r="D537" t="inlineStr">
        <is>
          <t>VÄSTMANLANDS LÄN</t>
        </is>
      </c>
      <c r="E537" t="inlineStr">
        <is>
          <t>SALA</t>
        </is>
      </c>
      <c r="G537" t="n">
        <v>5.8</v>
      </c>
      <c r="H537" t="n">
        <v>0</v>
      </c>
      <c r="I537" t="n">
        <v>0</v>
      </c>
      <c r="J537" t="n">
        <v>0</v>
      </c>
      <c r="K537" t="n">
        <v>0</v>
      </c>
      <c r="L537" t="n">
        <v>0</v>
      </c>
      <c r="M537" t="n">
        <v>0</v>
      </c>
      <c r="N537" t="n">
        <v>0</v>
      </c>
      <c r="O537" t="n">
        <v>0</v>
      </c>
      <c r="P537" t="n">
        <v>0</v>
      </c>
      <c r="Q537" t="n">
        <v>0</v>
      </c>
      <c r="R537" s="2" t="inlineStr"/>
    </row>
    <row r="538" ht="15" customHeight="1">
      <c r="A538" t="inlineStr">
        <is>
          <t>A 54603-2024</t>
        </is>
      </c>
      <c r="B538" s="1" t="n">
        <v>45617.68224537037</v>
      </c>
      <c r="C538" s="1" t="n">
        <v>46091</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7332-2026</t>
        </is>
      </c>
      <c r="B539" s="1" t="n">
        <v>46058.68884259259</v>
      </c>
      <c r="C539" s="1" t="n">
        <v>46091</v>
      </c>
      <c r="D539" t="inlineStr">
        <is>
          <t>VÄSTMANLANDS LÄN</t>
        </is>
      </c>
      <c r="E539" t="inlineStr">
        <is>
          <t>SALA</t>
        </is>
      </c>
      <c r="G539" t="n">
        <v>1.1</v>
      </c>
      <c r="H539" t="n">
        <v>0</v>
      </c>
      <c r="I539" t="n">
        <v>0</v>
      </c>
      <c r="J539" t="n">
        <v>0</v>
      </c>
      <c r="K539" t="n">
        <v>0</v>
      </c>
      <c r="L539" t="n">
        <v>0</v>
      </c>
      <c r="M539" t="n">
        <v>0</v>
      </c>
      <c r="N539" t="n">
        <v>0</v>
      </c>
      <c r="O539" t="n">
        <v>0</v>
      </c>
      <c r="P539" t="n">
        <v>0</v>
      </c>
      <c r="Q539" t="n">
        <v>0</v>
      </c>
      <c r="R539" s="2" t="inlineStr"/>
    </row>
    <row r="540" ht="15" customHeight="1">
      <c r="A540" t="inlineStr">
        <is>
          <t>A 7329-2026</t>
        </is>
      </c>
      <c r="B540" s="1" t="n">
        <v>46058.68678240741</v>
      </c>
      <c r="C540" s="1" t="n">
        <v>46091</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7324-2026</t>
        </is>
      </c>
      <c r="B541" s="1" t="n">
        <v>46058.68023148148</v>
      </c>
      <c r="C541" s="1" t="n">
        <v>46091</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7584-2026</t>
        </is>
      </c>
      <c r="B542" s="1" t="n">
        <v>46061.81653935185</v>
      </c>
      <c r="C542" s="1" t="n">
        <v>46091</v>
      </c>
      <c r="D542" t="inlineStr">
        <is>
          <t>VÄSTMANLANDS LÄN</t>
        </is>
      </c>
      <c r="E542" t="inlineStr">
        <is>
          <t>SALA</t>
        </is>
      </c>
      <c r="G542" t="n">
        <v>16.7</v>
      </c>
      <c r="H542" t="n">
        <v>0</v>
      </c>
      <c r="I542" t="n">
        <v>0</v>
      </c>
      <c r="J542" t="n">
        <v>0</v>
      </c>
      <c r="K542" t="n">
        <v>0</v>
      </c>
      <c r="L542" t="n">
        <v>0</v>
      </c>
      <c r="M542" t="n">
        <v>0</v>
      </c>
      <c r="N542" t="n">
        <v>0</v>
      </c>
      <c r="O542" t="n">
        <v>0</v>
      </c>
      <c r="P542" t="n">
        <v>0</v>
      </c>
      <c r="Q542" t="n">
        <v>0</v>
      </c>
      <c r="R542" s="2" t="inlineStr"/>
    </row>
    <row r="543" ht="15" customHeight="1">
      <c r="A543" t="inlineStr">
        <is>
          <t>A 7590-2026</t>
        </is>
      </c>
      <c r="B543" s="1" t="n">
        <v>46061.85252314815</v>
      </c>
      <c r="C543" s="1" t="n">
        <v>46091</v>
      </c>
      <c r="D543" t="inlineStr">
        <is>
          <t>VÄSTMANLANDS LÄN</t>
        </is>
      </c>
      <c r="E543" t="inlineStr">
        <is>
          <t>SALA</t>
        </is>
      </c>
      <c r="G543" t="n">
        <v>1.9</v>
      </c>
      <c r="H543" t="n">
        <v>0</v>
      </c>
      <c r="I543" t="n">
        <v>0</v>
      </c>
      <c r="J543" t="n">
        <v>0</v>
      </c>
      <c r="K543" t="n">
        <v>0</v>
      </c>
      <c r="L543" t="n">
        <v>0</v>
      </c>
      <c r="M543" t="n">
        <v>0</v>
      </c>
      <c r="N543" t="n">
        <v>0</v>
      </c>
      <c r="O543" t="n">
        <v>0</v>
      </c>
      <c r="P543" t="n">
        <v>0</v>
      </c>
      <c r="Q543" t="n">
        <v>0</v>
      </c>
      <c r="R543" s="2" t="inlineStr"/>
    </row>
    <row r="544" ht="15" customHeight="1">
      <c r="A544" t="inlineStr">
        <is>
          <t>A 7596-2026</t>
        </is>
      </c>
      <c r="B544" s="1" t="n">
        <v>46061.90922453703</v>
      </c>
      <c r="C544" s="1" t="n">
        <v>46091</v>
      </c>
      <c r="D544" t="inlineStr">
        <is>
          <t>VÄSTMANLANDS LÄN</t>
        </is>
      </c>
      <c r="E544" t="inlineStr">
        <is>
          <t>SALA</t>
        </is>
      </c>
      <c r="G544" t="n">
        <v>3.1</v>
      </c>
      <c r="H544" t="n">
        <v>0</v>
      </c>
      <c r="I544" t="n">
        <v>0</v>
      </c>
      <c r="J544" t="n">
        <v>0</v>
      </c>
      <c r="K544" t="n">
        <v>0</v>
      </c>
      <c r="L544" t="n">
        <v>0</v>
      </c>
      <c r="M544" t="n">
        <v>0</v>
      </c>
      <c r="N544" t="n">
        <v>0</v>
      </c>
      <c r="O544" t="n">
        <v>0</v>
      </c>
      <c r="P544" t="n">
        <v>0</v>
      </c>
      <c r="Q544" t="n">
        <v>0</v>
      </c>
      <c r="R544" s="2" t="inlineStr"/>
    </row>
    <row r="545" ht="15" customHeight="1">
      <c r="A545" t="inlineStr">
        <is>
          <t>A 7588-2026</t>
        </is>
      </c>
      <c r="B545" s="1" t="n">
        <v>46061.83528935185</v>
      </c>
      <c r="C545" s="1" t="n">
        <v>46091</v>
      </c>
      <c r="D545" t="inlineStr">
        <is>
          <t>VÄSTMANLANDS LÄN</t>
        </is>
      </c>
      <c r="E545" t="inlineStr">
        <is>
          <t>SALA</t>
        </is>
      </c>
      <c r="G545" t="n">
        <v>2.8</v>
      </c>
      <c r="H545" t="n">
        <v>0</v>
      </c>
      <c r="I545" t="n">
        <v>0</v>
      </c>
      <c r="J545" t="n">
        <v>0</v>
      </c>
      <c r="K545" t="n">
        <v>0</v>
      </c>
      <c r="L545" t="n">
        <v>0</v>
      </c>
      <c r="M545" t="n">
        <v>0</v>
      </c>
      <c r="N545" t="n">
        <v>0</v>
      </c>
      <c r="O545" t="n">
        <v>0</v>
      </c>
      <c r="P545" t="n">
        <v>0</v>
      </c>
      <c r="Q545" t="n">
        <v>0</v>
      </c>
      <c r="R545" s="2" t="inlineStr"/>
    </row>
    <row r="546" ht="15" customHeight="1">
      <c r="A546" t="inlineStr">
        <is>
          <t>A 7654-2026</t>
        </is>
      </c>
      <c r="B546" s="1" t="n">
        <v>46062.38828703704</v>
      </c>
      <c r="C546" s="1" t="n">
        <v>46091</v>
      </c>
      <c r="D546" t="inlineStr">
        <is>
          <t>VÄSTMANLANDS LÄN</t>
        </is>
      </c>
      <c r="E546" t="inlineStr">
        <is>
          <t>SALA</t>
        </is>
      </c>
      <c r="G546" t="n">
        <v>4.5</v>
      </c>
      <c r="H546" t="n">
        <v>0</v>
      </c>
      <c r="I546" t="n">
        <v>0</v>
      </c>
      <c r="J546" t="n">
        <v>0</v>
      </c>
      <c r="K546" t="n">
        <v>0</v>
      </c>
      <c r="L546" t="n">
        <v>0</v>
      </c>
      <c r="M546" t="n">
        <v>0</v>
      </c>
      <c r="N546" t="n">
        <v>0</v>
      </c>
      <c r="O546" t="n">
        <v>0</v>
      </c>
      <c r="P546" t="n">
        <v>0</v>
      </c>
      <c r="Q546" t="n">
        <v>0</v>
      </c>
      <c r="R546" s="2" t="inlineStr"/>
    </row>
    <row r="547" ht="15" customHeight="1">
      <c r="A547" t="inlineStr">
        <is>
          <t>A 7498-2026</t>
        </is>
      </c>
      <c r="B547" s="1" t="n">
        <v>46059.55550925926</v>
      </c>
      <c r="C547" s="1" t="n">
        <v>46091</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7676-2026</t>
        </is>
      </c>
      <c r="B548" s="1" t="n">
        <v>46062.42498842593</v>
      </c>
      <c r="C548" s="1" t="n">
        <v>46091</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18762-2024</t>
        </is>
      </c>
      <c r="B549" s="1" t="n">
        <v>45426.55240740741</v>
      </c>
      <c r="C549" s="1" t="n">
        <v>46091</v>
      </c>
      <c r="D549" t="inlineStr">
        <is>
          <t>VÄSTMANLANDS LÄN</t>
        </is>
      </c>
      <c r="E549" t="inlineStr">
        <is>
          <t>SALA</t>
        </is>
      </c>
      <c r="G549" t="n">
        <v>6.2</v>
      </c>
      <c r="H549" t="n">
        <v>0</v>
      </c>
      <c r="I549" t="n">
        <v>0</v>
      </c>
      <c r="J549" t="n">
        <v>0</v>
      </c>
      <c r="K549" t="n">
        <v>0</v>
      </c>
      <c r="L549" t="n">
        <v>0</v>
      </c>
      <c r="M549" t="n">
        <v>0</v>
      </c>
      <c r="N549" t="n">
        <v>0</v>
      </c>
      <c r="O549" t="n">
        <v>0</v>
      </c>
      <c r="P549" t="n">
        <v>0</v>
      </c>
      <c r="Q549" t="n">
        <v>0</v>
      </c>
      <c r="R549" s="2" t="inlineStr"/>
    </row>
    <row r="550" ht="15" customHeight="1">
      <c r="A550" t="inlineStr">
        <is>
          <t>A 63749-2025</t>
        </is>
      </c>
      <c r="B550" s="1" t="n">
        <v>46017.75243055556</v>
      </c>
      <c r="C550" s="1" t="n">
        <v>46091</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17120-2023</t>
        </is>
      </c>
      <c r="B551" s="1" t="n">
        <v>45034</v>
      </c>
      <c r="C551" s="1" t="n">
        <v>46091</v>
      </c>
      <c r="D551" t="inlineStr">
        <is>
          <t>VÄSTMANLANDS LÄN</t>
        </is>
      </c>
      <c r="E551" t="inlineStr">
        <is>
          <t>SALA</t>
        </is>
      </c>
      <c r="G551" t="n">
        <v>0.1</v>
      </c>
      <c r="H551" t="n">
        <v>0</v>
      </c>
      <c r="I551" t="n">
        <v>0</v>
      </c>
      <c r="J551" t="n">
        <v>0</v>
      </c>
      <c r="K551" t="n">
        <v>0</v>
      </c>
      <c r="L551" t="n">
        <v>0</v>
      </c>
      <c r="M551" t="n">
        <v>0</v>
      </c>
      <c r="N551" t="n">
        <v>0</v>
      </c>
      <c r="O551" t="n">
        <v>0</v>
      </c>
      <c r="P551" t="n">
        <v>0</v>
      </c>
      <c r="Q551" t="n">
        <v>0</v>
      </c>
      <c r="R551" s="2" t="inlineStr"/>
    </row>
    <row r="552" ht="15" customHeight="1">
      <c r="A552" t="inlineStr">
        <is>
          <t>A 42938-2023</t>
        </is>
      </c>
      <c r="B552" s="1" t="n">
        <v>45179</v>
      </c>
      <c r="C552" s="1" t="n">
        <v>46091</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42984-2023</t>
        </is>
      </c>
      <c r="B553" s="1" t="n">
        <v>45179</v>
      </c>
      <c r="C553" s="1" t="n">
        <v>46091</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15972-2024</t>
        </is>
      </c>
      <c r="B554" s="1" t="n">
        <v>45405.56498842593</v>
      </c>
      <c r="C554" s="1" t="n">
        <v>46091</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39714-2023</t>
        </is>
      </c>
      <c r="B555" s="1" t="n">
        <v>45167.62133101852</v>
      </c>
      <c r="C555" s="1" t="n">
        <v>46091</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63748-2025</t>
        </is>
      </c>
      <c r="B556" s="1" t="n">
        <v>46017.71640046296</v>
      </c>
      <c r="C556" s="1" t="n">
        <v>46091</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7593-2026</t>
        </is>
      </c>
      <c r="B557" s="1" t="n">
        <v>46061.88057870371</v>
      </c>
      <c r="C557" s="1" t="n">
        <v>46091</v>
      </c>
      <c r="D557" t="inlineStr">
        <is>
          <t>VÄSTMANLANDS LÄN</t>
        </is>
      </c>
      <c r="E557" t="inlineStr">
        <is>
          <t>SALA</t>
        </is>
      </c>
      <c r="G557" t="n">
        <v>7.5</v>
      </c>
      <c r="H557" t="n">
        <v>0</v>
      </c>
      <c r="I557" t="n">
        <v>0</v>
      </c>
      <c r="J557" t="n">
        <v>0</v>
      </c>
      <c r="K557" t="n">
        <v>0</v>
      </c>
      <c r="L557" t="n">
        <v>0</v>
      </c>
      <c r="M557" t="n">
        <v>0</v>
      </c>
      <c r="N557" t="n">
        <v>0</v>
      </c>
      <c r="O557" t="n">
        <v>0</v>
      </c>
      <c r="P557" t="n">
        <v>0</v>
      </c>
      <c r="Q557" t="n">
        <v>0</v>
      </c>
      <c r="R557" s="2" t="inlineStr"/>
    </row>
    <row r="558" ht="15" customHeight="1">
      <c r="A558" t="inlineStr">
        <is>
          <t>A 7597-2026</t>
        </is>
      </c>
      <c r="B558" s="1" t="n">
        <v>46061.91765046296</v>
      </c>
      <c r="C558" s="1" t="n">
        <v>46091</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7595-2026</t>
        </is>
      </c>
      <c r="B559" s="1" t="n">
        <v>46061.90009259259</v>
      </c>
      <c r="C559" s="1" t="n">
        <v>46091</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33527-2023</t>
        </is>
      </c>
      <c r="B560" s="1" t="n">
        <v>45131</v>
      </c>
      <c r="C560" s="1" t="n">
        <v>46091</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7661-2026</t>
        </is>
      </c>
      <c r="B561" s="1" t="n">
        <v>46062.39614583334</v>
      </c>
      <c r="C561" s="1" t="n">
        <v>46091</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7680-2026</t>
        </is>
      </c>
      <c r="B562" s="1" t="n">
        <v>46062.43087962963</v>
      </c>
      <c r="C562" s="1" t="n">
        <v>46091</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10913-2025</t>
        </is>
      </c>
      <c r="B563" s="1" t="n">
        <v>45722.73423611111</v>
      </c>
      <c r="C563" s="1" t="n">
        <v>46091</v>
      </c>
      <c r="D563" t="inlineStr">
        <is>
          <t>VÄSTMANLANDS LÄN</t>
        </is>
      </c>
      <c r="E563" t="inlineStr">
        <is>
          <t>SALA</t>
        </is>
      </c>
      <c r="G563" t="n">
        <v>7.6</v>
      </c>
      <c r="H563" t="n">
        <v>0</v>
      </c>
      <c r="I563" t="n">
        <v>0</v>
      </c>
      <c r="J563" t="n">
        <v>0</v>
      </c>
      <c r="K563" t="n">
        <v>0</v>
      </c>
      <c r="L563" t="n">
        <v>0</v>
      </c>
      <c r="M563" t="n">
        <v>0</v>
      </c>
      <c r="N563" t="n">
        <v>0</v>
      </c>
      <c r="O563" t="n">
        <v>0</v>
      </c>
      <c r="P563" t="n">
        <v>0</v>
      </c>
      <c r="Q563" t="n">
        <v>0</v>
      </c>
      <c r="R563" s="2" t="inlineStr"/>
    </row>
    <row r="564" ht="15" customHeight="1">
      <c r="A564" t="inlineStr">
        <is>
          <t>A 7850-2026</t>
        </is>
      </c>
      <c r="B564" s="1" t="n">
        <v>46062.66236111111</v>
      </c>
      <c r="C564" s="1" t="n">
        <v>46091</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58107-2021</t>
        </is>
      </c>
      <c r="B565" s="1" t="n">
        <v>44487</v>
      </c>
      <c r="C565" s="1" t="n">
        <v>46091</v>
      </c>
      <c r="D565" t="inlineStr">
        <is>
          <t>VÄSTMANLANDS LÄN</t>
        </is>
      </c>
      <c r="E565" t="inlineStr">
        <is>
          <t>SALA</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7611-2026</t>
        </is>
      </c>
      <c r="B566" s="1" t="n">
        <v>46062.32387731481</v>
      </c>
      <c r="C566" s="1" t="n">
        <v>46091</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2927-2024</t>
        </is>
      </c>
      <c r="B567" s="1" t="n">
        <v>45315.58989583333</v>
      </c>
      <c r="C567" s="1" t="n">
        <v>46091</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37183-2024</t>
        </is>
      </c>
      <c r="B568" s="1" t="n">
        <v>45539</v>
      </c>
      <c r="C568" s="1" t="n">
        <v>46091</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54199-2024</t>
        </is>
      </c>
      <c r="B569" s="1" t="n">
        <v>45616.64703703704</v>
      </c>
      <c r="C569" s="1" t="n">
        <v>46091</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60548-2024</t>
        </is>
      </c>
      <c r="B570" s="1" t="n">
        <v>45643.80978009259</v>
      </c>
      <c r="C570" s="1" t="n">
        <v>46091</v>
      </c>
      <c r="D570" t="inlineStr">
        <is>
          <t>VÄSTMANLANDS LÄN</t>
        </is>
      </c>
      <c r="E570" t="inlineStr">
        <is>
          <t>SALA</t>
        </is>
      </c>
      <c r="G570" t="n">
        <v>1.6</v>
      </c>
      <c r="H570" t="n">
        <v>0</v>
      </c>
      <c r="I570" t="n">
        <v>0</v>
      </c>
      <c r="J570" t="n">
        <v>0</v>
      </c>
      <c r="K570" t="n">
        <v>0</v>
      </c>
      <c r="L570" t="n">
        <v>0</v>
      </c>
      <c r="M570" t="n">
        <v>0</v>
      </c>
      <c r="N570" t="n">
        <v>0</v>
      </c>
      <c r="O570" t="n">
        <v>0</v>
      </c>
      <c r="P570" t="n">
        <v>0</v>
      </c>
      <c r="Q570" t="n">
        <v>0</v>
      </c>
      <c r="R570" s="2" t="inlineStr"/>
    </row>
    <row r="571" ht="15" customHeight="1">
      <c r="A571" t="inlineStr">
        <is>
          <t>A 57895-2024</t>
        </is>
      </c>
      <c r="B571" s="1" t="n">
        <v>45631</v>
      </c>
      <c r="C571" s="1" t="n">
        <v>46091</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31597-2024</t>
        </is>
      </c>
      <c r="B572" s="1" t="n">
        <v>45506</v>
      </c>
      <c r="C572" s="1" t="n">
        <v>46091</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17458-2024</t>
        </is>
      </c>
      <c r="B573" s="1" t="n">
        <v>45415</v>
      </c>
      <c r="C573" s="1" t="n">
        <v>46091</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56543-2024</t>
        </is>
      </c>
      <c r="B574" s="1" t="n">
        <v>45625</v>
      </c>
      <c r="C574" s="1" t="n">
        <v>46091</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28661-2024</t>
        </is>
      </c>
      <c r="B575" s="1" t="n">
        <v>45478</v>
      </c>
      <c r="C575" s="1" t="n">
        <v>46091</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2529-2022</t>
        </is>
      </c>
      <c r="B576" s="1" t="n">
        <v>44579.86452546297</v>
      </c>
      <c r="C576" s="1" t="n">
        <v>46091</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56540-2024</t>
        </is>
      </c>
      <c r="B577" s="1" t="n">
        <v>45625</v>
      </c>
      <c r="C577" s="1" t="n">
        <v>46091</v>
      </c>
      <c r="D577" t="inlineStr">
        <is>
          <t>VÄSTMANLANDS LÄN</t>
        </is>
      </c>
      <c r="E577" t="inlineStr">
        <is>
          <t>SALA</t>
        </is>
      </c>
      <c r="G577" t="n">
        <v>1.8</v>
      </c>
      <c r="H577" t="n">
        <v>0</v>
      </c>
      <c r="I577" t="n">
        <v>0</v>
      </c>
      <c r="J577" t="n">
        <v>0</v>
      </c>
      <c r="K577" t="n">
        <v>0</v>
      </c>
      <c r="L577" t="n">
        <v>0</v>
      </c>
      <c r="M577" t="n">
        <v>0</v>
      </c>
      <c r="N577" t="n">
        <v>0</v>
      </c>
      <c r="O577" t="n">
        <v>0</v>
      </c>
      <c r="P577" t="n">
        <v>0</v>
      </c>
      <c r="Q577" t="n">
        <v>0</v>
      </c>
      <c r="R577" s="2" t="inlineStr"/>
    </row>
    <row r="578" ht="15" customHeight="1">
      <c r="A578" t="inlineStr">
        <is>
          <t>A 31599-2024</t>
        </is>
      </c>
      <c r="B578" s="1" t="n">
        <v>45506</v>
      </c>
      <c r="C578" s="1" t="n">
        <v>46091</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31601-2024</t>
        </is>
      </c>
      <c r="B579" s="1" t="n">
        <v>45506</v>
      </c>
      <c r="C579" s="1" t="n">
        <v>46091</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31608-2024</t>
        </is>
      </c>
      <c r="B580" s="1" t="n">
        <v>45506</v>
      </c>
      <c r="C580" s="1" t="n">
        <v>46091</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31612-2024</t>
        </is>
      </c>
      <c r="B581" s="1" t="n">
        <v>45506</v>
      </c>
      <c r="C581" s="1" t="n">
        <v>46091</v>
      </c>
      <c r="D581" t="inlineStr">
        <is>
          <t>VÄSTMANLANDS LÄN</t>
        </is>
      </c>
      <c r="E581" t="inlineStr">
        <is>
          <t>SALA</t>
        </is>
      </c>
      <c r="G581" t="n">
        <v>3.2</v>
      </c>
      <c r="H581" t="n">
        <v>0</v>
      </c>
      <c r="I581" t="n">
        <v>0</v>
      </c>
      <c r="J581" t="n">
        <v>0</v>
      </c>
      <c r="K581" t="n">
        <v>0</v>
      </c>
      <c r="L581" t="n">
        <v>0</v>
      </c>
      <c r="M581" t="n">
        <v>0</v>
      </c>
      <c r="N581" t="n">
        <v>0</v>
      </c>
      <c r="O581" t="n">
        <v>0</v>
      </c>
      <c r="P581" t="n">
        <v>0</v>
      </c>
      <c r="Q581" t="n">
        <v>0</v>
      </c>
      <c r="R581" s="2" t="inlineStr"/>
    </row>
    <row r="582" ht="15" customHeight="1">
      <c r="A582" t="inlineStr">
        <is>
          <t>A 10579-2022</t>
        </is>
      </c>
      <c r="B582" s="1" t="n">
        <v>44624</v>
      </c>
      <c r="C582" s="1" t="n">
        <v>46091</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5219-2026</t>
        </is>
      </c>
      <c r="B583" s="1" t="n">
        <v>46049.76225694444</v>
      </c>
      <c r="C583" s="1" t="n">
        <v>46091</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64693-2023</t>
        </is>
      </c>
      <c r="B584" s="1" t="n">
        <v>45281.63850694444</v>
      </c>
      <c r="C584" s="1" t="n">
        <v>46091</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64695-2023</t>
        </is>
      </c>
      <c r="B585" s="1" t="n">
        <v>45281.64099537037</v>
      </c>
      <c r="C585" s="1" t="n">
        <v>46091</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910-2026</t>
        </is>
      </c>
      <c r="B586" s="1" t="n">
        <v>46030.4771412037</v>
      </c>
      <c r="C586" s="1" t="n">
        <v>46091</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914-2026</t>
        </is>
      </c>
      <c r="B587" s="1" t="n">
        <v>46030.47952546296</v>
      </c>
      <c r="C587" s="1" t="n">
        <v>46091</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948-2026</t>
        </is>
      </c>
      <c r="B588" s="1" t="n">
        <v>46030.53986111111</v>
      </c>
      <c r="C588" s="1" t="n">
        <v>46091</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55784-2024</t>
        </is>
      </c>
      <c r="B589" s="1" t="n">
        <v>45623</v>
      </c>
      <c r="C589" s="1" t="n">
        <v>46091</v>
      </c>
      <c r="D589" t="inlineStr">
        <is>
          <t>VÄSTMANLANDS LÄN</t>
        </is>
      </c>
      <c r="E589" t="inlineStr">
        <is>
          <t>SALA</t>
        </is>
      </c>
      <c r="F589" t="inlineStr">
        <is>
          <t>Bergvik skog öst AB</t>
        </is>
      </c>
      <c r="G589" t="n">
        <v>28.4</v>
      </c>
      <c r="H589" t="n">
        <v>0</v>
      </c>
      <c r="I589" t="n">
        <v>0</v>
      </c>
      <c r="J589" t="n">
        <v>0</v>
      </c>
      <c r="K589" t="n">
        <v>0</v>
      </c>
      <c r="L589" t="n">
        <v>0</v>
      </c>
      <c r="M589" t="n">
        <v>0</v>
      </c>
      <c r="N589" t="n">
        <v>0</v>
      </c>
      <c r="O589" t="n">
        <v>0</v>
      </c>
      <c r="P589" t="n">
        <v>0</v>
      </c>
      <c r="Q589" t="n">
        <v>0</v>
      </c>
      <c r="R589" s="2" t="inlineStr"/>
    </row>
    <row r="590" ht="15" customHeight="1">
      <c r="A590" t="inlineStr">
        <is>
          <t>A 29542-2023</t>
        </is>
      </c>
      <c r="B590" s="1" t="n">
        <v>45098</v>
      </c>
      <c r="C590" s="1" t="n">
        <v>46091</v>
      </c>
      <c r="D590" t="inlineStr">
        <is>
          <t>VÄSTMANLANDS LÄN</t>
        </is>
      </c>
      <c r="E590" t="inlineStr">
        <is>
          <t>SALA</t>
        </is>
      </c>
      <c r="G590" t="n">
        <v>4.8</v>
      </c>
      <c r="H590" t="n">
        <v>0</v>
      </c>
      <c r="I590" t="n">
        <v>0</v>
      </c>
      <c r="J590" t="n">
        <v>0</v>
      </c>
      <c r="K590" t="n">
        <v>0</v>
      </c>
      <c r="L590" t="n">
        <v>0</v>
      </c>
      <c r="M590" t="n">
        <v>0</v>
      </c>
      <c r="N590" t="n">
        <v>0</v>
      </c>
      <c r="O590" t="n">
        <v>0</v>
      </c>
      <c r="P590" t="n">
        <v>0</v>
      </c>
      <c r="Q590" t="n">
        <v>0</v>
      </c>
      <c r="R590" s="2" t="inlineStr"/>
    </row>
    <row r="591" ht="15" customHeight="1">
      <c r="A591" t="inlineStr">
        <is>
          <t>A 27038-2023</t>
        </is>
      </c>
      <c r="B591" s="1" t="n">
        <v>45095</v>
      </c>
      <c r="C591" s="1" t="n">
        <v>46091</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10245-2026</t>
        </is>
      </c>
      <c r="B592" s="1" t="n">
        <v>46076.55144675926</v>
      </c>
      <c r="C592" s="1" t="n">
        <v>46091</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17051-2025</t>
        </is>
      </c>
      <c r="B593" s="1" t="n">
        <v>45755</v>
      </c>
      <c r="C593" s="1" t="n">
        <v>46091</v>
      </c>
      <c r="D593" t="inlineStr">
        <is>
          <t>VÄSTMANLANDS LÄN</t>
        </is>
      </c>
      <c r="E593" t="inlineStr">
        <is>
          <t>SALA</t>
        </is>
      </c>
      <c r="G593" t="n">
        <v>2.9</v>
      </c>
      <c r="H593" t="n">
        <v>0</v>
      </c>
      <c r="I593" t="n">
        <v>0</v>
      </c>
      <c r="J593" t="n">
        <v>0</v>
      </c>
      <c r="K593" t="n">
        <v>0</v>
      </c>
      <c r="L593" t="n">
        <v>0</v>
      </c>
      <c r="M593" t="n">
        <v>0</v>
      </c>
      <c r="N593" t="n">
        <v>0</v>
      </c>
      <c r="O593" t="n">
        <v>0</v>
      </c>
      <c r="P593" t="n">
        <v>0</v>
      </c>
      <c r="Q593" t="n">
        <v>0</v>
      </c>
      <c r="R593" s="2" t="inlineStr"/>
    </row>
    <row r="594" ht="15" customHeight="1">
      <c r="A594" t="inlineStr">
        <is>
          <t>A 10239-2026</t>
        </is>
      </c>
      <c r="B594" s="1" t="n">
        <v>46076.54824074074</v>
      </c>
      <c r="C594" s="1" t="n">
        <v>46091</v>
      </c>
      <c r="D594" t="inlineStr">
        <is>
          <t>VÄSTMANLANDS LÄN</t>
        </is>
      </c>
      <c r="E594" t="inlineStr">
        <is>
          <t>SALA</t>
        </is>
      </c>
      <c r="G594" t="n">
        <v>1.1</v>
      </c>
      <c r="H594" t="n">
        <v>0</v>
      </c>
      <c r="I594" t="n">
        <v>0</v>
      </c>
      <c r="J594" t="n">
        <v>0</v>
      </c>
      <c r="K594" t="n">
        <v>0</v>
      </c>
      <c r="L594" t="n">
        <v>0</v>
      </c>
      <c r="M594" t="n">
        <v>0</v>
      </c>
      <c r="N594" t="n">
        <v>0</v>
      </c>
      <c r="O594" t="n">
        <v>0</v>
      </c>
      <c r="P594" t="n">
        <v>0</v>
      </c>
      <c r="Q594" t="n">
        <v>0</v>
      </c>
      <c r="R594" s="2" t="inlineStr"/>
    </row>
    <row r="595" ht="15" customHeight="1">
      <c r="A595" t="inlineStr">
        <is>
          <t>A 10252-2026</t>
        </is>
      </c>
      <c r="B595" s="1" t="n">
        <v>46076.55700231482</v>
      </c>
      <c r="C595" s="1" t="n">
        <v>46091</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8285-2025</t>
        </is>
      </c>
      <c r="B596" s="1" t="n">
        <v>45708</v>
      </c>
      <c r="C596" s="1" t="n">
        <v>46091</v>
      </c>
      <c r="D596" t="inlineStr">
        <is>
          <t>VÄSTMANLANDS LÄN</t>
        </is>
      </c>
      <c r="E596" t="inlineStr">
        <is>
          <t>SALA</t>
        </is>
      </c>
      <c r="G596" t="n">
        <v>5.7</v>
      </c>
      <c r="H596" t="n">
        <v>0</v>
      </c>
      <c r="I596" t="n">
        <v>0</v>
      </c>
      <c r="J596" t="n">
        <v>0</v>
      </c>
      <c r="K596" t="n">
        <v>0</v>
      </c>
      <c r="L596" t="n">
        <v>0</v>
      </c>
      <c r="M596" t="n">
        <v>0</v>
      </c>
      <c r="N596" t="n">
        <v>0</v>
      </c>
      <c r="O596" t="n">
        <v>0</v>
      </c>
      <c r="P596" t="n">
        <v>0</v>
      </c>
      <c r="Q596" t="n">
        <v>0</v>
      </c>
      <c r="R596" s="2" t="inlineStr"/>
    </row>
    <row r="597" ht="15" customHeight="1">
      <c r="A597" t="inlineStr">
        <is>
          <t>A 1705-2026</t>
        </is>
      </c>
      <c r="B597" s="1" t="n">
        <v>46034.59930555556</v>
      </c>
      <c r="C597" s="1" t="n">
        <v>46091</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14010-2021</t>
        </is>
      </c>
      <c r="B598" s="1" t="n">
        <v>44277.63396990741</v>
      </c>
      <c r="C598" s="1" t="n">
        <v>46091</v>
      </c>
      <c r="D598" t="inlineStr">
        <is>
          <t>VÄSTMANLANDS LÄN</t>
        </is>
      </c>
      <c r="E598" t="inlineStr">
        <is>
          <t>SALA</t>
        </is>
      </c>
      <c r="G598" t="n">
        <v>3.5</v>
      </c>
      <c r="H598" t="n">
        <v>0</v>
      </c>
      <c r="I598" t="n">
        <v>0</v>
      </c>
      <c r="J598" t="n">
        <v>0</v>
      </c>
      <c r="K598" t="n">
        <v>0</v>
      </c>
      <c r="L598" t="n">
        <v>0</v>
      </c>
      <c r="M598" t="n">
        <v>0</v>
      </c>
      <c r="N598" t="n">
        <v>0</v>
      </c>
      <c r="O598" t="n">
        <v>0</v>
      </c>
      <c r="P598" t="n">
        <v>0</v>
      </c>
      <c r="Q598" t="n">
        <v>0</v>
      </c>
      <c r="R598" s="2" t="inlineStr"/>
    </row>
    <row r="599" ht="15" customHeight="1">
      <c r="A599" t="inlineStr">
        <is>
          <t>A 22019-2021</t>
        </is>
      </c>
      <c r="B599" s="1" t="n">
        <v>44323</v>
      </c>
      <c r="C599" s="1" t="n">
        <v>46091</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57404-2024</t>
        </is>
      </c>
      <c r="B600" s="1" t="n">
        <v>45629.71967592592</v>
      </c>
      <c r="C600" s="1" t="n">
        <v>46091</v>
      </c>
      <c r="D600" t="inlineStr">
        <is>
          <t>VÄSTMANLANDS LÄN</t>
        </is>
      </c>
      <c r="E600" t="inlineStr">
        <is>
          <t>SALA</t>
        </is>
      </c>
      <c r="G600" t="n">
        <v>0.3</v>
      </c>
      <c r="H600" t="n">
        <v>0</v>
      </c>
      <c r="I600" t="n">
        <v>0</v>
      </c>
      <c r="J600" t="n">
        <v>0</v>
      </c>
      <c r="K600" t="n">
        <v>0</v>
      </c>
      <c r="L600" t="n">
        <v>0</v>
      </c>
      <c r="M600" t="n">
        <v>0</v>
      </c>
      <c r="N600" t="n">
        <v>0</v>
      </c>
      <c r="O600" t="n">
        <v>0</v>
      </c>
      <c r="P600" t="n">
        <v>0</v>
      </c>
      <c r="Q600" t="n">
        <v>0</v>
      </c>
      <c r="R600" s="2" t="inlineStr"/>
    </row>
    <row r="601" ht="15" customHeight="1">
      <c r="A601" t="inlineStr">
        <is>
          <t>A 21777-2022</t>
        </is>
      </c>
      <c r="B601" s="1" t="n">
        <v>44708.48194444444</v>
      </c>
      <c r="C601" s="1" t="n">
        <v>46091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17866-2025</t>
        </is>
      </c>
      <c r="B602" s="1" t="n">
        <v>45758</v>
      </c>
      <c r="C602" s="1" t="n">
        <v>46091</v>
      </c>
      <c r="D602" t="inlineStr">
        <is>
          <t>VÄSTMANLANDS LÄN</t>
        </is>
      </c>
      <c r="E602" t="inlineStr">
        <is>
          <t>SALA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33732-2023</t>
        </is>
      </c>
      <c r="B603" s="1" t="n">
        <v>45133.32409722222</v>
      </c>
      <c r="C603" s="1" t="n">
        <v>46091</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7166-2025</t>
        </is>
      </c>
      <c r="B604" s="1" t="n">
        <v>45702</v>
      </c>
      <c r="C604" s="1" t="n">
        <v>46091</v>
      </c>
      <c r="D604" t="inlineStr">
        <is>
          <t>VÄSTMANLANDS LÄN</t>
        </is>
      </c>
      <c r="E604" t="inlineStr">
        <is>
          <t>SALA</t>
        </is>
      </c>
      <c r="G604" t="n">
        <v>6.1</v>
      </c>
      <c r="H604" t="n">
        <v>0</v>
      </c>
      <c r="I604" t="n">
        <v>0</v>
      </c>
      <c r="J604" t="n">
        <v>0</v>
      </c>
      <c r="K604" t="n">
        <v>0</v>
      </c>
      <c r="L604" t="n">
        <v>0</v>
      </c>
      <c r="M604" t="n">
        <v>0</v>
      </c>
      <c r="N604" t="n">
        <v>0</v>
      </c>
      <c r="O604" t="n">
        <v>0</v>
      </c>
      <c r="P604" t="n">
        <v>0</v>
      </c>
      <c r="Q604" t="n">
        <v>0</v>
      </c>
      <c r="R604" s="2" t="inlineStr"/>
    </row>
    <row r="605" ht="15" customHeight="1">
      <c r="A605" t="inlineStr">
        <is>
          <t>A 44857-2023</t>
        </is>
      </c>
      <c r="B605" s="1" t="n">
        <v>45190.58479166667</v>
      </c>
      <c r="C605" s="1" t="n">
        <v>46091</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46352-2023</t>
        </is>
      </c>
      <c r="B606" s="1" t="n">
        <v>45192</v>
      </c>
      <c r="C606" s="1" t="n">
        <v>46091</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22397-2022</t>
        </is>
      </c>
      <c r="B607" s="1" t="n">
        <v>44713</v>
      </c>
      <c r="C607" s="1" t="n">
        <v>46091</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27424-2023</t>
        </is>
      </c>
      <c r="B608" s="1" t="n">
        <v>45097.37690972222</v>
      </c>
      <c r="C608" s="1" t="n">
        <v>46091</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7469-2025</t>
        </is>
      </c>
      <c r="B609" s="1" t="n">
        <v>45705</v>
      </c>
      <c r="C609" s="1" t="n">
        <v>46091</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6691-2025</t>
        </is>
      </c>
      <c r="B610" s="1" t="n">
        <v>45700.50625</v>
      </c>
      <c r="C610" s="1" t="n">
        <v>46091</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60036-2024</t>
        </is>
      </c>
      <c r="B611" s="1" t="n">
        <v>45642.46434027778</v>
      </c>
      <c r="C611" s="1" t="n">
        <v>46091</v>
      </c>
      <c r="D611" t="inlineStr">
        <is>
          <t>VÄSTMANLANDS LÄN</t>
        </is>
      </c>
      <c r="E611" t="inlineStr">
        <is>
          <t>SALA</t>
        </is>
      </c>
      <c r="G611" t="n">
        <v>2.5</v>
      </c>
      <c r="H611" t="n">
        <v>0</v>
      </c>
      <c r="I611" t="n">
        <v>0</v>
      </c>
      <c r="J611" t="n">
        <v>0</v>
      </c>
      <c r="K611" t="n">
        <v>0</v>
      </c>
      <c r="L611" t="n">
        <v>0</v>
      </c>
      <c r="M611" t="n">
        <v>0</v>
      </c>
      <c r="N611" t="n">
        <v>0</v>
      </c>
      <c r="O611" t="n">
        <v>0</v>
      </c>
      <c r="P611" t="n">
        <v>0</v>
      </c>
      <c r="Q611" t="n">
        <v>0</v>
      </c>
      <c r="R611" s="2" t="inlineStr"/>
    </row>
    <row r="612" ht="15" customHeight="1">
      <c r="A612" t="inlineStr">
        <is>
          <t>A 43188-2023</t>
        </is>
      </c>
      <c r="B612" s="1" t="n">
        <v>45183</v>
      </c>
      <c r="C612" s="1" t="n">
        <v>46091</v>
      </c>
      <c r="D612" t="inlineStr">
        <is>
          <t>VÄSTMANLANDS LÄN</t>
        </is>
      </c>
      <c r="E612" t="inlineStr">
        <is>
          <t>SALA</t>
        </is>
      </c>
      <c r="G612" t="n">
        <v>1.2</v>
      </c>
      <c r="H612" t="n">
        <v>0</v>
      </c>
      <c r="I612" t="n">
        <v>0</v>
      </c>
      <c r="J612" t="n">
        <v>0</v>
      </c>
      <c r="K612" t="n">
        <v>0</v>
      </c>
      <c r="L612" t="n">
        <v>0</v>
      </c>
      <c r="M612" t="n">
        <v>0</v>
      </c>
      <c r="N612" t="n">
        <v>0</v>
      </c>
      <c r="O612" t="n">
        <v>0</v>
      </c>
      <c r="P612" t="n">
        <v>0</v>
      </c>
      <c r="Q612" t="n">
        <v>0</v>
      </c>
      <c r="R612" s="2" t="inlineStr"/>
    </row>
    <row r="613" ht="15" customHeight="1">
      <c r="A613" t="inlineStr">
        <is>
          <t>A 43205-2023</t>
        </is>
      </c>
      <c r="B613" s="1" t="n">
        <v>45183</v>
      </c>
      <c r="C613" s="1" t="n">
        <v>46091</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28827-2022</t>
        </is>
      </c>
      <c r="B614" s="1" t="n">
        <v>44749.45561342593</v>
      </c>
      <c r="C614" s="1" t="n">
        <v>46091</v>
      </c>
      <c r="D614" t="inlineStr">
        <is>
          <t>VÄSTMANLANDS LÄN</t>
        </is>
      </c>
      <c r="E614" t="inlineStr">
        <is>
          <t>SALA</t>
        </is>
      </c>
      <c r="F614" t="inlineStr">
        <is>
          <t>Kommuner</t>
        </is>
      </c>
      <c r="G614" t="n">
        <v>11.9</v>
      </c>
      <c r="H614" t="n">
        <v>0</v>
      </c>
      <c r="I614" t="n">
        <v>0</v>
      </c>
      <c r="J614" t="n">
        <v>0</v>
      </c>
      <c r="K614" t="n">
        <v>0</v>
      </c>
      <c r="L614" t="n">
        <v>0</v>
      </c>
      <c r="M614" t="n">
        <v>0</v>
      </c>
      <c r="N614" t="n">
        <v>0</v>
      </c>
      <c r="O614" t="n">
        <v>0</v>
      </c>
      <c r="P614" t="n">
        <v>0</v>
      </c>
      <c r="Q614" t="n">
        <v>0</v>
      </c>
      <c r="R614" s="2" t="inlineStr"/>
    </row>
    <row r="615" ht="15" customHeight="1">
      <c r="A615" t="inlineStr">
        <is>
          <t>A 15756-2025</t>
        </is>
      </c>
      <c r="B615" s="1" t="n">
        <v>45748.56810185185</v>
      </c>
      <c r="C615" s="1" t="n">
        <v>46091</v>
      </c>
      <c r="D615" t="inlineStr">
        <is>
          <t>VÄSTMANLANDS LÄN</t>
        </is>
      </c>
      <c r="E615" t="inlineStr">
        <is>
          <t>SALA</t>
        </is>
      </c>
      <c r="F615" t="inlineStr">
        <is>
          <t>Bergvik skog öst AB</t>
        </is>
      </c>
      <c r="G615" t="n">
        <v>0.8</v>
      </c>
      <c r="H615" t="n">
        <v>0</v>
      </c>
      <c r="I615" t="n">
        <v>0</v>
      </c>
      <c r="J615" t="n">
        <v>0</v>
      </c>
      <c r="K615" t="n">
        <v>0</v>
      </c>
      <c r="L615" t="n">
        <v>0</v>
      </c>
      <c r="M615" t="n">
        <v>0</v>
      </c>
      <c r="N615" t="n">
        <v>0</v>
      </c>
      <c r="O615" t="n">
        <v>0</v>
      </c>
      <c r="P615" t="n">
        <v>0</v>
      </c>
      <c r="Q615" t="n">
        <v>0</v>
      </c>
      <c r="R615" s="2" t="inlineStr"/>
    </row>
    <row r="616" ht="15" customHeight="1">
      <c r="A616" t="inlineStr">
        <is>
          <t>A 19243-2025</t>
        </is>
      </c>
      <c r="B616" s="1" t="n">
        <v>45769</v>
      </c>
      <c r="C616" s="1" t="n">
        <v>46091</v>
      </c>
      <c r="D616" t="inlineStr">
        <is>
          <t>VÄSTMANLANDS LÄN</t>
        </is>
      </c>
      <c r="E616" t="inlineStr">
        <is>
          <t>SALA</t>
        </is>
      </c>
      <c r="F616" t="inlineStr">
        <is>
          <t>Bergvik skog öst AB</t>
        </is>
      </c>
      <c r="G616" t="n">
        <v>1.5</v>
      </c>
      <c r="H616" t="n">
        <v>0</v>
      </c>
      <c r="I616" t="n">
        <v>0</v>
      </c>
      <c r="J616" t="n">
        <v>0</v>
      </c>
      <c r="K616" t="n">
        <v>0</v>
      </c>
      <c r="L616" t="n">
        <v>0</v>
      </c>
      <c r="M616" t="n">
        <v>0</v>
      </c>
      <c r="N616" t="n">
        <v>0</v>
      </c>
      <c r="O616" t="n">
        <v>0</v>
      </c>
      <c r="P616" t="n">
        <v>0</v>
      </c>
      <c r="Q616" t="n">
        <v>0</v>
      </c>
      <c r="R616" s="2" t="inlineStr"/>
    </row>
    <row r="617" ht="15" customHeight="1">
      <c r="A617" t="inlineStr">
        <is>
          <t>A 59297-2023</t>
        </is>
      </c>
      <c r="B617" s="1" t="n">
        <v>45253</v>
      </c>
      <c r="C617" s="1" t="n">
        <v>46091</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6136-2025</t>
        </is>
      </c>
      <c r="B618" s="1" t="n">
        <v>45698.37601851852</v>
      </c>
      <c r="C618" s="1" t="n">
        <v>46091</v>
      </c>
      <c r="D618" t="inlineStr">
        <is>
          <t>VÄSTMANLANDS LÄN</t>
        </is>
      </c>
      <c r="E618" t="inlineStr">
        <is>
          <t>SALA</t>
        </is>
      </c>
      <c r="F618" t="inlineStr">
        <is>
          <t>Bergvik skog öst AB</t>
        </is>
      </c>
      <c r="G618" t="n">
        <v>2.2</v>
      </c>
      <c r="H618" t="n">
        <v>0</v>
      </c>
      <c r="I618" t="n">
        <v>0</v>
      </c>
      <c r="J618" t="n">
        <v>0</v>
      </c>
      <c r="K618" t="n">
        <v>0</v>
      </c>
      <c r="L618" t="n">
        <v>0</v>
      </c>
      <c r="M618" t="n">
        <v>0</v>
      </c>
      <c r="N618" t="n">
        <v>0</v>
      </c>
      <c r="O618" t="n">
        <v>0</v>
      </c>
      <c r="P618" t="n">
        <v>0</v>
      </c>
      <c r="Q618" t="n">
        <v>0</v>
      </c>
      <c r="R618" s="2" t="inlineStr"/>
    </row>
    <row r="619" ht="15" customHeight="1">
      <c r="A619" t="inlineStr">
        <is>
          <t>A 6190-2025</t>
        </is>
      </c>
      <c r="B619" s="1" t="n">
        <v>45698</v>
      </c>
      <c r="C619" s="1" t="n">
        <v>46091</v>
      </c>
      <c r="D619" t="inlineStr">
        <is>
          <t>VÄSTMANLANDS LÄN</t>
        </is>
      </c>
      <c r="E619" t="inlineStr">
        <is>
          <t>SALA</t>
        </is>
      </c>
      <c r="F619" t="inlineStr">
        <is>
          <t>Bergvik skog öst AB</t>
        </is>
      </c>
      <c r="G619" t="n">
        <v>4.6</v>
      </c>
      <c r="H619" t="n">
        <v>0</v>
      </c>
      <c r="I619" t="n">
        <v>0</v>
      </c>
      <c r="J619" t="n">
        <v>0</v>
      </c>
      <c r="K619" t="n">
        <v>0</v>
      </c>
      <c r="L619" t="n">
        <v>0</v>
      </c>
      <c r="M619" t="n">
        <v>0</v>
      </c>
      <c r="N619" t="n">
        <v>0</v>
      </c>
      <c r="O619" t="n">
        <v>0</v>
      </c>
      <c r="P619" t="n">
        <v>0</v>
      </c>
      <c r="Q619" t="n">
        <v>0</v>
      </c>
      <c r="R619" s="2" t="inlineStr"/>
    </row>
    <row r="620" ht="15" customHeight="1">
      <c r="A620" t="inlineStr">
        <is>
          <t>A 28863-2022</t>
        </is>
      </c>
      <c r="B620" s="1" t="n">
        <v>44749.50649305555</v>
      </c>
      <c r="C620" s="1" t="n">
        <v>46091</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25541-2024</t>
        </is>
      </c>
      <c r="B621" s="1" t="n">
        <v>45463.56337962963</v>
      </c>
      <c r="C621" s="1" t="n">
        <v>46091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29213-2022</t>
        </is>
      </c>
      <c r="B622" s="1" t="n">
        <v>44750.57474537037</v>
      </c>
      <c r="C622" s="1" t="n">
        <v>46091</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56964-2023</t>
        </is>
      </c>
      <c r="B623" s="1" t="n">
        <v>45244.63140046296</v>
      </c>
      <c r="C623" s="1" t="n">
        <v>46091</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1555-2024</t>
        </is>
      </c>
      <c r="B624" s="1" t="n">
        <v>45306</v>
      </c>
      <c r="C624" s="1" t="n">
        <v>46091</v>
      </c>
      <c r="D624" t="inlineStr">
        <is>
          <t>VÄSTMANLANDS LÄN</t>
        </is>
      </c>
      <c r="E624" t="inlineStr">
        <is>
          <t>SALA</t>
        </is>
      </c>
      <c r="G624" t="n">
        <v>1.3</v>
      </c>
      <c r="H624" t="n">
        <v>0</v>
      </c>
      <c r="I624" t="n">
        <v>0</v>
      </c>
      <c r="J624" t="n">
        <v>0</v>
      </c>
      <c r="K624" t="n">
        <v>0</v>
      </c>
      <c r="L624" t="n">
        <v>0</v>
      </c>
      <c r="M624" t="n">
        <v>0</v>
      </c>
      <c r="N624" t="n">
        <v>0</v>
      </c>
      <c r="O624" t="n">
        <v>0</v>
      </c>
      <c r="P624" t="n">
        <v>0</v>
      </c>
      <c r="Q624" t="n">
        <v>0</v>
      </c>
      <c r="R624" s="2" t="inlineStr"/>
    </row>
    <row r="625" ht="15" customHeight="1">
      <c r="A625" t="inlineStr">
        <is>
          <t>A 13188-2025</t>
        </is>
      </c>
      <c r="B625" s="1" t="n">
        <v>45735.39246527778</v>
      </c>
      <c r="C625" s="1" t="n">
        <v>46091</v>
      </c>
      <c r="D625" t="inlineStr">
        <is>
          <t>VÄSTMANLANDS LÄN</t>
        </is>
      </c>
      <c r="E625" t="inlineStr">
        <is>
          <t>SALA</t>
        </is>
      </c>
      <c r="F625" t="inlineStr">
        <is>
          <t>Naturvårdsverket</t>
        </is>
      </c>
      <c r="G625" t="n">
        <v>18.4</v>
      </c>
      <c r="H625" t="n">
        <v>0</v>
      </c>
      <c r="I625" t="n">
        <v>0</v>
      </c>
      <c r="J625" t="n">
        <v>0</v>
      </c>
      <c r="K625" t="n">
        <v>0</v>
      </c>
      <c r="L625" t="n">
        <v>0</v>
      </c>
      <c r="M625" t="n">
        <v>0</v>
      </c>
      <c r="N625" t="n">
        <v>0</v>
      </c>
      <c r="O625" t="n">
        <v>0</v>
      </c>
      <c r="P625" t="n">
        <v>0</v>
      </c>
      <c r="Q625" t="n">
        <v>0</v>
      </c>
      <c r="R625" s="2" t="inlineStr"/>
    </row>
    <row r="626" ht="15" customHeight="1">
      <c r="A626" t="inlineStr">
        <is>
          <t>A 7197-2025</t>
        </is>
      </c>
      <c r="B626" s="1" t="n">
        <v>45702</v>
      </c>
      <c r="C626" s="1" t="n">
        <v>46091</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12144-2026</t>
        </is>
      </c>
      <c r="B627" s="1" t="n">
        <v>46086.58008101852</v>
      </c>
      <c r="C627" s="1" t="n">
        <v>46091</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15099-2025</t>
        </is>
      </c>
      <c r="B628" s="1" t="n">
        <v>45744.3434837963</v>
      </c>
      <c r="C628" s="1" t="n">
        <v>46091</v>
      </c>
      <c r="D628" t="inlineStr">
        <is>
          <t>VÄSTMANLANDS LÄN</t>
        </is>
      </c>
      <c r="E628" t="inlineStr">
        <is>
          <t>SALA</t>
        </is>
      </c>
      <c r="F628" t="inlineStr">
        <is>
          <t>Sveaskog</t>
        </is>
      </c>
      <c r="G628" t="n">
        <v>14.4</v>
      </c>
      <c r="H628" t="n">
        <v>0</v>
      </c>
      <c r="I628" t="n">
        <v>0</v>
      </c>
      <c r="J628" t="n">
        <v>0</v>
      </c>
      <c r="K628" t="n">
        <v>0</v>
      </c>
      <c r="L628" t="n">
        <v>0</v>
      </c>
      <c r="M628" t="n">
        <v>0</v>
      </c>
      <c r="N628" t="n">
        <v>0</v>
      </c>
      <c r="O628" t="n">
        <v>0</v>
      </c>
      <c r="P628" t="n">
        <v>0</v>
      </c>
      <c r="Q628" t="n">
        <v>0</v>
      </c>
      <c r="R628" s="2" t="inlineStr"/>
    </row>
    <row r="629" ht="15" customHeight="1">
      <c r="A629" t="inlineStr">
        <is>
          <t>A 2928-2024</t>
        </is>
      </c>
      <c r="B629" s="1" t="n">
        <v>45315.59041666667</v>
      </c>
      <c r="C629" s="1" t="n">
        <v>46091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9962-2025</t>
        </is>
      </c>
      <c r="B630" s="1" t="n">
        <v>45719.37072916667</v>
      </c>
      <c r="C630" s="1" t="n">
        <v>46091</v>
      </c>
      <c r="D630" t="inlineStr">
        <is>
          <t>VÄSTMANLANDS LÄN</t>
        </is>
      </c>
      <c r="E630" t="inlineStr">
        <is>
          <t>SALA</t>
        </is>
      </c>
      <c r="G630" t="n">
        <v>4.5</v>
      </c>
      <c r="H630" t="n">
        <v>0</v>
      </c>
      <c r="I630" t="n">
        <v>0</v>
      </c>
      <c r="J630" t="n">
        <v>0</v>
      </c>
      <c r="K630" t="n">
        <v>0</v>
      </c>
      <c r="L630" t="n">
        <v>0</v>
      </c>
      <c r="M630" t="n">
        <v>0</v>
      </c>
      <c r="N630" t="n">
        <v>0</v>
      </c>
      <c r="O630" t="n">
        <v>0</v>
      </c>
      <c r="P630" t="n">
        <v>0</v>
      </c>
      <c r="Q630" t="n">
        <v>0</v>
      </c>
      <c r="R630" s="2" t="inlineStr"/>
    </row>
    <row r="631" ht="15" customHeight="1">
      <c r="A631" t="inlineStr">
        <is>
          <t>A 14024-2025</t>
        </is>
      </c>
      <c r="B631" s="1" t="n">
        <v>45740.34650462963</v>
      </c>
      <c r="C631" s="1" t="n">
        <v>46091</v>
      </c>
      <c r="D631" t="inlineStr">
        <is>
          <t>VÄSTMANLANDS LÄN</t>
        </is>
      </c>
      <c r="E631" t="inlineStr">
        <is>
          <t>SALA</t>
        </is>
      </c>
      <c r="G631" t="n">
        <v>1.1</v>
      </c>
      <c r="H631" t="n">
        <v>0</v>
      </c>
      <c r="I631" t="n">
        <v>0</v>
      </c>
      <c r="J631" t="n">
        <v>0</v>
      </c>
      <c r="K631" t="n">
        <v>0</v>
      </c>
      <c r="L631" t="n">
        <v>0</v>
      </c>
      <c r="M631" t="n">
        <v>0</v>
      </c>
      <c r="N631" t="n">
        <v>0</v>
      </c>
      <c r="O631" t="n">
        <v>0</v>
      </c>
      <c r="P631" t="n">
        <v>0</v>
      </c>
      <c r="Q631" t="n">
        <v>0</v>
      </c>
      <c r="R631" s="2" t="inlineStr"/>
    </row>
    <row r="632" ht="15" customHeight="1">
      <c r="A632" t="inlineStr">
        <is>
          <t>A 3551-2024</t>
        </is>
      </c>
      <c r="B632" s="1" t="n">
        <v>45320.61099537037</v>
      </c>
      <c r="C632" s="1" t="n">
        <v>46091</v>
      </c>
      <c r="D632" t="inlineStr">
        <is>
          <t>VÄSTMANLANDS LÄN</t>
        </is>
      </c>
      <c r="E632" t="inlineStr">
        <is>
          <t>SALA</t>
        </is>
      </c>
      <c r="F632" t="inlineStr">
        <is>
          <t>Kommuner</t>
        </is>
      </c>
      <c r="G632" t="n">
        <v>6</v>
      </c>
      <c r="H632" t="n">
        <v>0</v>
      </c>
      <c r="I632" t="n">
        <v>0</v>
      </c>
      <c r="J632" t="n">
        <v>0</v>
      </c>
      <c r="K632" t="n">
        <v>0</v>
      </c>
      <c r="L632" t="n">
        <v>0</v>
      </c>
      <c r="M632" t="n">
        <v>0</v>
      </c>
      <c r="N632" t="n">
        <v>0</v>
      </c>
      <c r="O632" t="n">
        <v>0</v>
      </c>
      <c r="P632" t="n">
        <v>0</v>
      </c>
      <c r="Q632" t="n">
        <v>0</v>
      </c>
      <c r="R632" s="2" t="inlineStr"/>
    </row>
    <row r="633" ht="15" customHeight="1">
      <c r="A633" t="inlineStr">
        <is>
          <t>A 11799-2026</t>
        </is>
      </c>
      <c r="B633" s="1" t="n">
        <v>46085.34180555555</v>
      </c>
      <c r="C633" s="1" t="n">
        <v>46091</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46091</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19304-2025</t>
        </is>
      </c>
      <c r="B635" s="1" t="n">
        <v>45769</v>
      </c>
      <c r="C635" s="1" t="n">
        <v>46091</v>
      </c>
      <c r="D635" t="inlineStr">
        <is>
          <t>VÄSTMANLANDS LÄN</t>
        </is>
      </c>
      <c r="E635" t="inlineStr">
        <is>
          <t>SALA</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4681-2026</t>
        </is>
      </c>
      <c r="B636" s="1" t="n">
        <v>46048.43016203704</v>
      </c>
      <c r="C636" s="1" t="n">
        <v>46091</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56057-2023</t>
        </is>
      </c>
      <c r="B637" s="1" t="n">
        <v>45233</v>
      </c>
      <c r="C637" s="1" t="n">
        <v>46091</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4664-2026</t>
        </is>
      </c>
      <c r="B638" s="1" t="n">
        <v>46048.41061342593</v>
      </c>
      <c r="C638" s="1" t="n">
        <v>46091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12497-2026</t>
        </is>
      </c>
      <c r="B639" s="1" t="n">
        <v>46090.57240740741</v>
      </c>
      <c r="C639" s="1" t="n">
        <v>46091</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55024-2023</t>
        </is>
      </c>
      <c r="B640" s="1" t="n">
        <v>45229</v>
      </c>
      <c r="C640" s="1" t="n">
        <v>46091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55032-2023</t>
        </is>
      </c>
      <c r="B641" s="1" t="n">
        <v>45229</v>
      </c>
      <c r="C641" s="1" t="n">
        <v>46091</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4712-2026</t>
        </is>
      </c>
      <c r="B642" s="1" t="n">
        <v>46048.46082175926</v>
      </c>
      <c r="C642" s="1" t="n">
        <v>46091</v>
      </c>
      <c r="D642" t="inlineStr">
        <is>
          <t>VÄSTMANLANDS LÄN</t>
        </is>
      </c>
      <c r="E642" t="inlineStr">
        <is>
          <t>SALA</t>
        </is>
      </c>
      <c r="G642" t="n">
        <v>4.1</v>
      </c>
      <c r="H642" t="n">
        <v>0</v>
      </c>
      <c r="I642" t="n">
        <v>0</v>
      </c>
      <c r="J642" t="n">
        <v>0</v>
      </c>
      <c r="K642" t="n">
        <v>0</v>
      </c>
      <c r="L642" t="n">
        <v>0</v>
      </c>
      <c r="M642" t="n">
        <v>0</v>
      </c>
      <c r="N642" t="n">
        <v>0</v>
      </c>
      <c r="O642" t="n">
        <v>0</v>
      </c>
      <c r="P642" t="n">
        <v>0</v>
      </c>
      <c r="Q642" t="n">
        <v>0</v>
      </c>
      <c r="R642" s="2" t="inlineStr"/>
    </row>
    <row r="643" ht="15" customHeight="1">
      <c r="A643" t="inlineStr">
        <is>
          <t>A 29248-2022</t>
        </is>
      </c>
      <c r="B643" s="1" t="n">
        <v>44750</v>
      </c>
      <c r="C643" s="1" t="n">
        <v>46091</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59175-2022</t>
        </is>
      </c>
      <c r="B644" s="1" t="n">
        <v>44904.48502314815</v>
      </c>
      <c r="C644" s="1" t="n">
        <v>46091</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39451-2022</t>
        </is>
      </c>
      <c r="B645" s="1" t="n">
        <v>44818.36606481481</v>
      </c>
      <c r="C645" s="1" t="n">
        <v>46091</v>
      </c>
      <c r="D645" t="inlineStr">
        <is>
          <t>VÄSTMANLANDS LÄN</t>
        </is>
      </c>
      <c r="E645" t="inlineStr">
        <is>
          <t>SALA</t>
        </is>
      </c>
      <c r="G645" t="n">
        <v>9.4</v>
      </c>
      <c r="H645" t="n">
        <v>0</v>
      </c>
      <c r="I645" t="n">
        <v>0</v>
      </c>
      <c r="J645" t="n">
        <v>0</v>
      </c>
      <c r="K645" t="n">
        <v>0</v>
      </c>
      <c r="L645" t="n">
        <v>0</v>
      </c>
      <c r="M645" t="n">
        <v>0</v>
      </c>
      <c r="N645" t="n">
        <v>0</v>
      </c>
      <c r="O645" t="n">
        <v>0</v>
      </c>
      <c r="P645" t="n">
        <v>0</v>
      </c>
      <c r="Q645" t="n">
        <v>0</v>
      </c>
      <c r="R645" s="2" t="inlineStr"/>
    </row>
    <row r="646" ht="15" customHeight="1">
      <c r="A646" t="inlineStr">
        <is>
          <t>A 11631-2023</t>
        </is>
      </c>
      <c r="B646" s="1" t="n">
        <v>44994.44001157407</v>
      </c>
      <c r="C646" s="1" t="n">
        <v>46091</v>
      </c>
      <c r="D646" t="inlineStr">
        <is>
          <t>VÄSTMANLANDS LÄN</t>
        </is>
      </c>
      <c r="E646" t="inlineStr">
        <is>
          <t>SALA</t>
        </is>
      </c>
      <c r="F646" t="inlineStr">
        <is>
          <t>Kommuner</t>
        </is>
      </c>
      <c r="G646" t="n">
        <v>1.9</v>
      </c>
      <c r="H646" t="n">
        <v>0</v>
      </c>
      <c r="I646" t="n">
        <v>0</v>
      </c>
      <c r="J646" t="n">
        <v>0</v>
      </c>
      <c r="K646" t="n">
        <v>0</v>
      </c>
      <c r="L646" t="n">
        <v>0</v>
      </c>
      <c r="M646" t="n">
        <v>0</v>
      </c>
      <c r="N646" t="n">
        <v>0</v>
      </c>
      <c r="O646" t="n">
        <v>0</v>
      </c>
      <c r="P646" t="n">
        <v>0</v>
      </c>
      <c r="Q646" t="n">
        <v>0</v>
      </c>
      <c r="R646" s="2" t="inlineStr"/>
    </row>
    <row r="647" ht="15" customHeight="1">
      <c r="A647" t="inlineStr">
        <is>
          <t>A 4624-2026</t>
        </is>
      </c>
      <c r="B647" s="1" t="n">
        <v>46048.38107638889</v>
      </c>
      <c r="C647" s="1" t="n">
        <v>46091</v>
      </c>
      <c r="D647" t="inlineStr">
        <is>
          <t>VÄSTMANLANDS LÄN</t>
        </is>
      </c>
      <c r="E647" t="inlineStr">
        <is>
          <t>SALA</t>
        </is>
      </c>
      <c r="G647" t="n">
        <v>12.3</v>
      </c>
      <c r="H647" t="n">
        <v>0</v>
      </c>
      <c r="I647" t="n">
        <v>0</v>
      </c>
      <c r="J647" t="n">
        <v>0</v>
      </c>
      <c r="K647" t="n">
        <v>0</v>
      </c>
      <c r="L647" t="n">
        <v>0</v>
      </c>
      <c r="M647" t="n">
        <v>0</v>
      </c>
      <c r="N647" t="n">
        <v>0</v>
      </c>
      <c r="O647" t="n">
        <v>0</v>
      </c>
      <c r="P647" t="n">
        <v>0</v>
      </c>
      <c r="Q647" t="n">
        <v>0</v>
      </c>
      <c r="R647" s="2" t="inlineStr"/>
    </row>
    <row r="648" ht="15" customHeight="1">
      <c r="A648" t="inlineStr">
        <is>
          <t>A 62648-2022</t>
        </is>
      </c>
      <c r="B648" s="1" t="n">
        <v>44917</v>
      </c>
      <c r="C648" s="1" t="n">
        <v>46091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4214-2026</t>
        </is>
      </c>
      <c r="B649" s="1" t="n">
        <v>46044.76459490741</v>
      </c>
      <c r="C649" s="1" t="n">
        <v>46091</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1934-2023</t>
        </is>
      </c>
      <c r="B650" s="1" t="n">
        <v>44939.43024305555</v>
      </c>
      <c r="C650" s="1" t="n">
        <v>46091</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4683-2026</t>
        </is>
      </c>
      <c r="B651" s="1" t="n">
        <v>46048.43489583334</v>
      </c>
      <c r="C651" s="1" t="n">
        <v>46091</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11927-2025</t>
        </is>
      </c>
      <c r="B652" s="1" t="n">
        <v>45728.5137962963</v>
      </c>
      <c r="C652" s="1" t="n">
        <v>46091</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60823-2024</t>
        </is>
      </c>
      <c r="B653" s="1" t="n">
        <v>45644</v>
      </c>
      <c r="C653" s="1" t="n">
        <v>46091</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96-2024</t>
        </is>
      </c>
      <c r="B654" s="1" t="n">
        <v>45293.85872685185</v>
      </c>
      <c r="C654" s="1" t="n">
        <v>46091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23374-2023</t>
        </is>
      </c>
      <c r="B655" s="1" t="n">
        <v>45076.4399537037</v>
      </c>
      <c r="C655" s="1" t="n">
        <v>46091</v>
      </c>
      <c r="D655" t="inlineStr">
        <is>
          <t>VÄSTMANLANDS LÄN</t>
        </is>
      </c>
      <c r="E655" t="inlineStr">
        <is>
          <t>SALA</t>
        </is>
      </c>
      <c r="G655" t="n">
        <v>0.7</v>
      </c>
      <c r="H655" t="n">
        <v>0</v>
      </c>
      <c r="I655" t="n">
        <v>0</v>
      </c>
      <c r="J655" t="n">
        <v>0</v>
      </c>
      <c r="K655" t="n">
        <v>0</v>
      </c>
      <c r="L655" t="n">
        <v>0</v>
      </c>
      <c r="M655" t="n">
        <v>0</v>
      </c>
      <c r="N655" t="n">
        <v>0</v>
      </c>
      <c r="O655" t="n">
        <v>0</v>
      </c>
      <c r="P655" t="n">
        <v>0</v>
      </c>
      <c r="Q655" t="n">
        <v>0</v>
      </c>
      <c r="R655" s="2" t="inlineStr"/>
    </row>
    <row r="656" ht="15" customHeight="1">
      <c r="A656" t="inlineStr">
        <is>
          <t>A 61874-2021</t>
        </is>
      </c>
      <c r="B656" s="1" t="n">
        <v>44502</v>
      </c>
      <c r="C656" s="1" t="n">
        <v>46091</v>
      </c>
      <c r="D656" t="inlineStr">
        <is>
          <t>VÄSTMANLANDS LÄN</t>
        </is>
      </c>
      <c r="E656" t="inlineStr">
        <is>
          <t>SALA</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9856-2022</t>
        </is>
      </c>
      <c r="B657" s="1" t="n">
        <v>44620</v>
      </c>
      <c r="C657" s="1" t="n">
        <v>46091</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16159-2024</t>
        </is>
      </c>
      <c r="B658" s="1" t="n">
        <v>45406</v>
      </c>
      <c r="C658" s="1" t="n">
        <v>46091</v>
      </c>
      <c r="D658" t="inlineStr">
        <is>
          <t>VÄSTMANLANDS LÄN</t>
        </is>
      </c>
      <c r="E658" t="inlineStr">
        <is>
          <t>SALA</t>
        </is>
      </c>
      <c r="G658" t="n">
        <v>0.4</v>
      </c>
      <c r="H658" t="n">
        <v>0</v>
      </c>
      <c r="I658" t="n">
        <v>0</v>
      </c>
      <c r="J658" t="n">
        <v>0</v>
      </c>
      <c r="K658" t="n">
        <v>0</v>
      </c>
      <c r="L658" t="n">
        <v>0</v>
      </c>
      <c r="M658" t="n">
        <v>0</v>
      </c>
      <c r="N658" t="n">
        <v>0</v>
      </c>
      <c r="O658" t="n">
        <v>0</v>
      </c>
      <c r="P658" t="n">
        <v>0</v>
      </c>
      <c r="Q658" t="n">
        <v>0</v>
      </c>
      <c r="R658" s="2" t="inlineStr"/>
    </row>
    <row r="659" ht="15" customHeight="1">
      <c r="A659" t="inlineStr">
        <is>
          <t>A 50241-2023</t>
        </is>
      </c>
      <c r="B659" s="1" t="n">
        <v>45216</v>
      </c>
      <c r="C659" s="1" t="n">
        <v>46091</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3332-2024</t>
        </is>
      </c>
      <c r="B660" s="1" t="n">
        <v>45317</v>
      </c>
      <c r="C660" s="1" t="n">
        <v>46091</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35637-2022</t>
        </is>
      </c>
      <c r="B661" s="1" t="n">
        <v>44799.55194444444</v>
      </c>
      <c r="C661" s="1" t="n">
        <v>46091</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57883-2024</t>
        </is>
      </c>
      <c r="B662" s="1" t="n">
        <v>45630</v>
      </c>
      <c r="C662" s="1" t="n">
        <v>46091</v>
      </c>
      <c r="D662" t="inlineStr">
        <is>
          <t>VÄSTMANLANDS LÄN</t>
        </is>
      </c>
      <c r="E662" t="inlineStr">
        <is>
          <t>SALA</t>
        </is>
      </c>
      <c r="G662" t="n">
        <v>5.4</v>
      </c>
      <c r="H662" t="n">
        <v>0</v>
      </c>
      <c r="I662" t="n">
        <v>0</v>
      </c>
      <c r="J662" t="n">
        <v>0</v>
      </c>
      <c r="K662" t="n">
        <v>0</v>
      </c>
      <c r="L662" t="n">
        <v>0</v>
      </c>
      <c r="M662" t="n">
        <v>0</v>
      </c>
      <c r="N662" t="n">
        <v>0</v>
      </c>
      <c r="O662" t="n">
        <v>0</v>
      </c>
      <c r="P662" t="n">
        <v>0</v>
      </c>
      <c r="Q662" t="n">
        <v>0</v>
      </c>
      <c r="R662" s="2" t="inlineStr"/>
    </row>
    <row r="663" ht="15" customHeight="1">
      <c r="A663" t="inlineStr">
        <is>
          <t>A 50876-2023</t>
        </is>
      </c>
      <c r="B663" s="1" t="n">
        <v>45211</v>
      </c>
      <c r="C663" s="1" t="n">
        <v>46091</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37624-2024</t>
        </is>
      </c>
      <c r="B664" s="1" t="n">
        <v>45541</v>
      </c>
      <c r="C664" s="1" t="n">
        <v>46091</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40398-2021</t>
        </is>
      </c>
      <c r="B665" s="1" t="n">
        <v>44419</v>
      </c>
      <c r="C665" s="1" t="n">
        <v>46091</v>
      </c>
      <c r="D665" t="inlineStr">
        <is>
          <t>VÄSTMANLANDS LÄN</t>
        </is>
      </c>
      <c r="E665" t="inlineStr">
        <is>
          <t>SALA</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6351-2023</t>
        </is>
      </c>
      <c r="B666" s="1" t="n">
        <v>44965</v>
      </c>
      <c r="C666" s="1" t="n">
        <v>46091</v>
      </c>
      <c r="D666" t="inlineStr">
        <is>
          <t>VÄSTMANLANDS LÄN</t>
        </is>
      </c>
      <c r="E666" t="inlineStr">
        <is>
          <t>SALA</t>
        </is>
      </c>
      <c r="F666" t="inlineStr">
        <is>
          <t>Kommuner</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27262-2024</t>
        </is>
      </c>
      <c r="B667" s="1" t="n">
        <v>45471</v>
      </c>
      <c r="C667" s="1" t="n">
        <v>46091</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15584-2021</t>
        </is>
      </c>
      <c r="B668" s="1" t="n">
        <v>44285</v>
      </c>
      <c r="C668" s="1" t="n">
        <v>46091</v>
      </c>
      <c r="D668" t="inlineStr">
        <is>
          <t>VÄSTMANLANDS LÄN</t>
        </is>
      </c>
      <c r="E668" t="inlineStr">
        <is>
          <t>SALA</t>
        </is>
      </c>
      <c r="G668" t="n">
        <v>3.4</v>
      </c>
      <c r="H668" t="n">
        <v>0</v>
      </c>
      <c r="I668" t="n">
        <v>0</v>
      </c>
      <c r="J668" t="n">
        <v>0</v>
      </c>
      <c r="K668" t="n">
        <v>0</v>
      </c>
      <c r="L668" t="n">
        <v>0</v>
      </c>
      <c r="M668" t="n">
        <v>0</v>
      </c>
      <c r="N668" t="n">
        <v>0</v>
      </c>
      <c r="O668" t="n">
        <v>0</v>
      </c>
      <c r="P668" t="n">
        <v>0</v>
      </c>
      <c r="Q668" t="n">
        <v>0</v>
      </c>
      <c r="R668" s="2" t="inlineStr"/>
    </row>
    <row r="669" ht="15" customHeight="1">
      <c r="A669" t="inlineStr">
        <is>
          <t>A 23119-2022</t>
        </is>
      </c>
      <c r="B669" s="1" t="n">
        <v>44719.56697916667</v>
      </c>
      <c r="C669" s="1" t="n">
        <v>46091</v>
      </c>
      <c r="D669" t="inlineStr">
        <is>
          <t>VÄSTMANLANDS LÄN</t>
        </is>
      </c>
      <c r="E669" t="inlineStr">
        <is>
          <t>SALA</t>
        </is>
      </c>
      <c r="G669" t="n">
        <v>7</v>
      </c>
      <c r="H669" t="n">
        <v>0</v>
      </c>
      <c r="I669" t="n">
        <v>0</v>
      </c>
      <c r="J669" t="n">
        <v>0</v>
      </c>
      <c r="K669" t="n">
        <v>0</v>
      </c>
      <c r="L669" t="n">
        <v>0</v>
      </c>
      <c r="M669" t="n">
        <v>0</v>
      </c>
      <c r="N669" t="n">
        <v>0</v>
      </c>
      <c r="O669" t="n">
        <v>0</v>
      </c>
      <c r="P669" t="n">
        <v>0</v>
      </c>
      <c r="Q669" t="n">
        <v>0</v>
      </c>
      <c r="R669" s="2" t="inlineStr"/>
    </row>
    <row r="670" ht="15" customHeight="1">
      <c r="A670" t="inlineStr">
        <is>
          <t>A 43751-2021</t>
        </is>
      </c>
      <c r="B670" s="1" t="n">
        <v>44433</v>
      </c>
      <c r="C670" s="1" t="n">
        <v>46091</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59483-2022</t>
        </is>
      </c>
      <c r="B671" s="1" t="n">
        <v>44907.45679398148</v>
      </c>
      <c r="C671" s="1" t="n">
        <v>46091</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73673-2021</t>
        </is>
      </c>
      <c r="B672" s="1" t="n">
        <v>44552.46501157407</v>
      </c>
      <c r="C672" s="1" t="n">
        <v>46091</v>
      </c>
      <c r="D672" t="inlineStr">
        <is>
          <t>VÄSTMANLANDS LÄN</t>
        </is>
      </c>
      <c r="E672" t="inlineStr">
        <is>
          <t>SALA</t>
        </is>
      </c>
      <c r="G672" t="n">
        <v>11.4</v>
      </c>
      <c r="H672" t="n">
        <v>0</v>
      </c>
      <c r="I672" t="n">
        <v>0</v>
      </c>
      <c r="J672" t="n">
        <v>0</v>
      </c>
      <c r="K672" t="n">
        <v>0</v>
      </c>
      <c r="L672" t="n">
        <v>0</v>
      </c>
      <c r="M672" t="n">
        <v>0</v>
      </c>
      <c r="N672" t="n">
        <v>0</v>
      </c>
      <c r="O672" t="n">
        <v>0</v>
      </c>
      <c r="P672" t="n">
        <v>0</v>
      </c>
      <c r="Q672" t="n">
        <v>0</v>
      </c>
      <c r="R672" s="2" t="inlineStr"/>
    </row>
    <row r="673" ht="15" customHeight="1">
      <c r="A673" t="inlineStr">
        <is>
          <t>A 4853-2023</t>
        </is>
      </c>
      <c r="B673" s="1" t="n">
        <v>44957.73234953704</v>
      </c>
      <c r="C673" s="1" t="n">
        <v>46091</v>
      </c>
      <c r="D673" t="inlineStr">
        <is>
          <t>VÄSTMANLANDS LÄN</t>
        </is>
      </c>
      <c r="E673" t="inlineStr">
        <is>
          <t>SALA</t>
        </is>
      </c>
      <c r="G673" t="n">
        <v>2.7</v>
      </c>
      <c r="H673" t="n">
        <v>0</v>
      </c>
      <c r="I673" t="n">
        <v>0</v>
      </c>
      <c r="J673" t="n">
        <v>0</v>
      </c>
      <c r="K673" t="n">
        <v>0</v>
      </c>
      <c r="L673" t="n">
        <v>0</v>
      </c>
      <c r="M673" t="n">
        <v>0</v>
      </c>
      <c r="N673" t="n">
        <v>0</v>
      </c>
      <c r="O673" t="n">
        <v>0</v>
      </c>
      <c r="P673" t="n">
        <v>0</v>
      </c>
      <c r="Q673" t="n">
        <v>0</v>
      </c>
      <c r="R673" s="2" t="inlineStr"/>
    </row>
    <row r="674" ht="15" customHeight="1">
      <c r="A674" t="inlineStr">
        <is>
          <t>A 1993-2022</t>
        </is>
      </c>
      <c r="B674" s="1" t="n">
        <v>44575</v>
      </c>
      <c r="C674" s="1" t="n">
        <v>46091</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1793-2023</t>
        </is>
      </c>
      <c r="B675" s="1" t="n">
        <v>44937</v>
      </c>
      <c r="C675" s="1" t="n">
        <v>46091</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42447-2022</t>
        </is>
      </c>
      <c r="B676" s="1" t="n">
        <v>44831</v>
      </c>
      <c r="C676" s="1" t="n">
        <v>46091</v>
      </c>
      <c r="D676" t="inlineStr">
        <is>
          <t>VÄSTMANLANDS LÄN</t>
        </is>
      </c>
      <c r="E676" t="inlineStr">
        <is>
          <t>SALA</t>
        </is>
      </c>
      <c r="G676" t="n">
        <v>1.1</v>
      </c>
      <c r="H676" t="n">
        <v>0</v>
      </c>
      <c r="I676" t="n">
        <v>0</v>
      </c>
      <c r="J676" t="n">
        <v>0</v>
      </c>
      <c r="K676" t="n">
        <v>0</v>
      </c>
      <c r="L676" t="n">
        <v>0</v>
      </c>
      <c r="M676" t="n">
        <v>0</v>
      </c>
      <c r="N676" t="n">
        <v>0</v>
      </c>
      <c r="O676" t="n">
        <v>0</v>
      </c>
      <c r="P676" t="n">
        <v>0</v>
      </c>
      <c r="Q676" t="n">
        <v>0</v>
      </c>
      <c r="R676" s="2" t="inlineStr"/>
    </row>
    <row r="677" ht="15" customHeight="1">
      <c r="A677" t="inlineStr">
        <is>
          <t>A 11183-2023</t>
        </is>
      </c>
      <c r="B677" s="1" t="n">
        <v>44992.57782407408</v>
      </c>
      <c r="C677" s="1" t="n">
        <v>46091</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11190-2023</t>
        </is>
      </c>
      <c r="B678" s="1" t="n">
        <v>44992</v>
      </c>
      <c r="C678" s="1" t="n">
        <v>46091</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31950-2023</t>
        </is>
      </c>
      <c r="B679" s="1" t="n">
        <v>45107</v>
      </c>
      <c r="C679" s="1" t="n">
        <v>46091</v>
      </c>
      <c r="D679" t="inlineStr">
        <is>
          <t>VÄSTMANLANDS LÄN</t>
        </is>
      </c>
      <c r="E679" t="inlineStr">
        <is>
          <t>SALA</t>
        </is>
      </c>
      <c r="G679" t="n">
        <v>1.9</v>
      </c>
      <c r="H679" t="n">
        <v>0</v>
      </c>
      <c r="I679" t="n">
        <v>0</v>
      </c>
      <c r="J679" t="n">
        <v>0</v>
      </c>
      <c r="K679" t="n">
        <v>0</v>
      </c>
      <c r="L679" t="n">
        <v>0</v>
      </c>
      <c r="M679" t="n">
        <v>0</v>
      </c>
      <c r="N679" t="n">
        <v>0</v>
      </c>
      <c r="O679" t="n">
        <v>0</v>
      </c>
      <c r="P679" t="n">
        <v>0</v>
      </c>
      <c r="Q679" t="n">
        <v>0</v>
      </c>
      <c r="R679" s="2" t="inlineStr"/>
    </row>
    <row r="680" ht="15" customHeight="1">
      <c r="A680" t="inlineStr">
        <is>
          <t>A 48710-2024</t>
        </is>
      </c>
      <c r="B680" s="1" t="n">
        <v>45593.53636574074</v>
      </c>
      <c r="C680" s="1" t="n">
        <v>46091</v>
      </c>
      <c r="D680" t="inlineStr">
        <is>
          <t>VÄSTMANLANDS LÄN</t>
        </is>
      </c>
      <c r="E680" t="inlineStr">
        <is>
          <t>SALA</t>
        </is>
      </c>
      <c r="G680" t="n">
        <v>6.5</v>
      </c>
      <c r="H680" t="n">
        <v>0</v>
      </c>
      <c r="I680" t="n">
        <v>0</v>
      </c>
      <c r="J680" t="n">
        <v>0</v>
      </c>
      <c r="K680" t="n">
        <v>0</v>
      </c>
      <c r="L680" t="n">
        <v>0</v>
      </c>
      <c r="M680" t="n">
        <v>0</v>
      </c>
      <c r="N680" t="n">
        <v>0</v>
      </c>
      <c r="O680" t="n">
        <v>0</v>
      </c>
      <c r="P680" t="n">
        <v>0</v>
      </c>
      <c r="Q680" t="n">
        <v>0</v>
      </c>
      <c r="R680" s="2" t="inlineStr"/>
    </row>
    <row r="681" ht="15" customHeight="1">
      <c r="A681" t="inlineStr">
        <is>
          <t>A 23406-2024</t>
        </is>
      </c>
      <c r="B681" s="1" t="n">
        <v>45453.58296296297</v>
      </c>
      <c r="C681" s="1" t="n">
        <v>46091</v>
      </c>
      <c r="D681" t="inlineStr">
        <is>
          <t>VÄSTMANLANDS LÄN</t>
        </is>
      </c>
      <c r="E681" t="inlineStr">
        <is>
          <t>SALA</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12246-2023</t>
        </is>
      </c>
      <c r="B682" s="1" t="n">
        <v>44995</v>
      </c>
      <c r="C682" s="1" t="n">
        <v>46091</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48571-2024</t>
        </is>
      </c>
      <c r="B683" s="1" t="n">
        <v>45591</v>
      </c>
      <c r="C683" s="1" t="n">
        <v>46091</v>
      </c>
      <c r="D683" t="inlineStr">
        <is>
          <t>VÄSTMANLANDS LÄN</t>
        </is>
      </c>
      <c r="E683" t="inlineStr">
        <is>
          <t>SALA</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43362-2023</t>
        </is>
      </c>
      <c r="B684" s="1" t="n">
        <v>45183</v>
      </c>
      <c r="C684" s="1" t="n">
        <v>46091</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16767-2024</t>
        </is>
      </c>
      <c r="B685" s="1" t="n">
        <v>45411.38171296296</v>
      </c>
      <c r="C685" s="1" t="n">
        <v>46091</v>
      </c>
      <c r="D685" t="inlineStr">
        <is>
          <t>VÄSTMANLANDS LÄN</t>
        </is>
      </c>
      <c r="E685" t="inlineStr">
        <is>
          <t>SALA</t>
        </is>
      </c>
      <c r="G685" t="n">
        <v>2.5</v>
      </c>
      <c r="H685" t="n">
        <v>0</v>
      </c>
      <c r="I685" t="n">
        <v>0</v>
      </c>
      <c r="J685" t="n">
        <v>0</v>
      </c>
      <c r="K685" t="n">
        <v>0</v>
      </c>
      <c r="L685" t="n">
        <v>0</v>
      </c>
      <c r="M685" t="n">
        <v>0</v>
      </c>
      <c r="N685" t="n">
        <v>0</v>
      </c>
      <c r="O685" t="n">
        <v>0</v>
      </c>
      <c r="P685" t="n">
        <v>0</v>
      </c>
      <c r="Q685" t="n">
        <v>0</v>
      </c>
      <c r="R685" s="2" t="inlineStr"/>
    </row>
    <row r="686" ht="15" customHeight="1">
      <c r="A686" t="inlineStr">
        <is>
          <t>A 31470-2021</t>
        </is>
      </c>
      <c r="B686" s="1" t="n">
        <v>44369</v>
      </c>
      <c r="C686" s="1" t="n">
        <v>46091</v>
      </c>
      <c r="D686" t="inlineStr">
        <is>
          <t>VÄSTMANLANDS LÄN</t>
        </is>
      </c>
      <c r="E686" t="inlineStr">
        <is>
          <t>SALA</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18461-2024</t>
        </is>
      </c>
      <c r="B687" s="1" t="n">
        <v>45425.47435185185</v>
      </c>
      <c r="C687" s="1" t="n">
        <v>46091</v>
      </c>
      <c r="D687" t="inlineStr">
        <is>
          <t>VÄSTMANLANDS LÄN</t>
        </is>
      </c>
      <c r="E687" t="inlineStr">
        <is>
          <t>SALA</t>
        </is>
      </c>
      <c r="G687" t="n">
        <v>1.7</v>
      </c>
      <c r="H687" t="n">
        <v>0</v>
      </c>
      <c r="I687" t="n">
        <v>0</v>
      </c>
      <c r="J687" t="n">
        <v>0</v>
      </c>
      <c r="K687" t="n">
        <v>0</v>
      </c>
      <c r="L687" t="n">
        <v>0</v>
      </c>
      <c r="M687" t="n">
        <v>0</v>
      </c>
      <c r="N687" t="n">
        <v>0</v>
      </c>
      <c r="O687" t="n">
        <v>0</v>
      </c>
      <c r="P687" t="n">
        <v>0</v>
      </c>
      <c r="Q687" t="n">
        <v>0</v>
      </c>
      <c r="R687" s="2" t="inlineStr"/>
    </row>
    <row r="688" ht="15" customHeight="1">
      <c r="A688" t="inlineStr">
        <is>
          <t>A 29230-2022</t>
        </is>
      </c>
      <c r="B688" s="1" t="n">
        <v>44750</v>
      </c>
      <c r="C688" s="1" t="n">
        <v>46091</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9335-2022</t>
        </is>
      </c>
      <c r="B689" s="1" t="n">
        <v>44616.56579861111</v>
      </c>
      <c r="C689" s="1" t="n">
        <v>46091</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47479-2024</t>
        </is>
      </c>
      <c r="B690" s="1" t="n">
        <v>45587</v>
      </c>
      <c r="C690" s="1" t="n">
        <v>46091</v>
      </c>
      <c r="D690" t="inlineStr">
        <is>
          <t>VÄSTMANLANDS LÄN</t>
        </is>
      </c>
      <c r="E690" t="inlineStr">
        <is>
          <t>SALA</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19065-2022</t>
        </is>
      </c>
      <c r="B691" s="1" t="n">
        <v>44691.44309027777</v>
      </c>
      <c r="C691" s="1" t="n">
        <v>46091</v>
      </c>
      <c r="D691" t="inlineStr">
        <is>
          <t>VÄSTMANLANDS LÄN</t>
        </is>
      </c>
      <c r="E691" t="inlineStr">
        <is>
          <t>SALA</t>
        </is>
      </c>
      <c r="G691" t="n">
        <v>3.4</v>
      </c>
      <c r="H691" t="n">
        <v>0</v>
      </c>
      <c r="I691" t="n">
        <v>0</v>
      </c>
      <c r="J691" t="n">
        <v>0</v>
      </c>
      <c r="K691" t="n">
        <v>0</v>
      </c>
      <c r="L691" t="n">
        <v>0</v>
      </c>
      <c r="M691" t="n">
        <v>0</v>
      </c>
      <c r="N691" t="n">
        <v>0</v>
      </c>
      <c r="O691" t="n">
        <v>0</v>
      </c>
      <c r="P691" t="n">
        <v>0</v>
      </c>
      <c r="Q691" t="n">
        <v>0</v>
      </c>
      <c r="R691" s="2" t="inlineStr"/>
    </row>
    <row r="692" ht="15" customHeight="1">
      <c r="A692" t="inlineStr">
        <is>
          <t>A 22961-2023</t>
        </is>
      </c>
      <c r="B692" s="1" t="n">
        <v>45072</v>
      </c>
      <c r="C692" s="1" t="n">
        <v>46091</v>
      </c>
      <c r="D692" t="inlineStr">
        <is>
          <t>VÄSTMANLANDS LÄN</t>
        </is>
      </c>
      <c r="E692" t="inlineStr">
        <is>
          <t>SALA</t>
        </is>
      </c>
      <c r="G692" t="n">
        <v>2.7</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46091</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10585-2022</t>
        </is>
      </c>
      <c r="B694" s="1" t="n">
        <v>44624</v>
      </c>
      <c r="C694" s="1" t="n">
        <v>46091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69236-2021</t>
        </is>
      </c>
      <c r="B695" s="1" t="n">
        <v>44531.4047337963</v>
      </c>
      <c r="C695" s="1" t="n">
        <v>46091</v>
      </c>
      <c r="D695" t="inlineStr">
        <is>
          <t>VÄSTMANLANDS LÄN</t>
        </is>
      </c>
      <c r="E695" t="inlineStr">
        <is>
          <t>SALA</t>
        </is>
      </c>
      <c r="G695" t="n">
        <v>2.8</v>
      </c>
      <c r="H695" t="n">
        <v>0</v>
      </c>
      <c r="I695" t="n">
        <v>0</v>
      </c>
      <c r="J695" t="n">
        <v>0</v>
      </c>
      <c r="K695" t="n">
        <v>0</v>
      </c>
      <c r="L695" t="n">
        <v>0</v>
      </c>
      <c r="M695" t="n">
        <v>0</v>
      </c>
      <c r="N695" t="n">
        <v>0</v>
      </c>
      <c r="O695" t="n">
        <v>0</v>
      </c>
      <c r="P695" t="n">
        <v>0</v>
      </c>
      <c r="Q695" t="n">
        <v>0</v>
      </c>
      <c r="R695" s="2" t="inlineStr"/>
    </row>
    <row r="696" ht="15" customHeight="1">
      <c r="A696" t="inlineStr">
        <is>
          <t>A 48117-2024</t>
        </is>
      </c>
      <c r="B696" s="1" t="n">
        <v>45589</v>
      </c>
      <c r="C696" s="1" t="n">
        <v>46091</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12225-2023</t>
        </is>
      </c>
      <c r="B697" s="1" t="n">
        <v>44995</v>
      </c>
      <c r="C697" s="1" t="n">
        <v>46091</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12252-2023</t>
        </is>
      </c>
      <c r="B698" s="1" t="n">
        <v>44995</v>
      </c>
      <c r="C698" s="1" t="n">
        <v>46091</v>
      </c>
      <c r="D698" t="inlineStr">
        <is>
          <t>VÄSTMANLANDS LÄN</t>
        </is>
      </c>
      <c r="E698" t="inlineStr">
        <is>
          <t>SALA</t>
        </is>
      </c>
      <c r="G698" t="n">
        <v>2.6</v>
      </c>
      <c r="H698" t="n">
        <v>0</v>
      </c>
      <c r="I698" t="n">
        <v>0</v>
      </c>
      <c r="J698" t="n">
        <v>0</v>
      </c>
      <c r="K698" t="n">
        <v>0</v>
      </c>
      <c r="L698" t="n">
        <v>0</v>
      </c>
      <c r="M698" t="n">
        <v>0</v>
      </c>
      <c r="N698" t="n">
        <v>0</v>
      </c>
      <c r="O698" t="n">
        <v>0</v>
      </c>
      <c r="P698" t="n">
        <v>0</v>
      </c>
      <c r="Q698" t="n">
        <v>0</v>
      </c>
      <c r="R698" s="2" t="inlineStr"/>
    </row>
    <row r="699" ht="15" customHeight="1">
      <c r="A699" t="inlineStr">
        <is>
          <t>A 6116-2023</t>
        </is>
      </c>
      <c r="B699" s="1" t="n">
        <v>44964</v>
      </c>
      <c r="C699" s="1" t="n">
        <v>46091</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46091</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13471-2025</t>
        </is>
      </c>
      <c r="B701" s="1" t="n">
        <v>45736.40579861111</v>
      </c>
      <c r="C701" s="1" t="n">
        <v>46091</v>
      </c>
      <c r="D701" t="inlineStr">
        <is>
          <t>VÄSTMANLANDS LÄN</t>
        </is>
      </c>
      <c r="E701" t="inlineStr">
        <is>
          <t>SALA</t>
        </is>
      </c>
      <c r="G701" t="n">
        <v>1.1</v>
      </c>
      <c r="H701" t="n">
        <v>0</v>
      </c>
      <c r="I701" t="n">
        <v>0</v>
      </c>
      <c r="J701" t="n">
        <v>0</v>
      </c>
      <c r="K701" t="n">
        <v>0</v>
      </c>
      <c r="L701" t="n">
        <v>0</v>
      </c>
      <c r="M701" t="n">
        <v>0</v>
      </c>
      <c r="N701" t="n">
        <v>0</v>
      </c>
      <c r="O701" t="n">
        <v>0</v>
      </c>
      <c r="P701" t="n">
        <v>0</v>
      </c>
      <c r="Q701" t="n">
        <v>0</v>
      </c>
      <c r="R701" s="2" t="inlineStr"/>
    </row>
    <row r="702" ht="15" customHeight="1">
      <c r="A702" t="inlineStr">
        <is>
          <t>A 26854-2024</t>
        </is>
      </c>
      <c r="B702" s="1" t="n">
        <v>45470</v>
      </c>
      <c r="C702" s="1" t="n">
        <v>46091</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37602-2024</t>
        </is>
      </c>
      <c r="B703" s="1" t="n">
        <v>45541</v>
      </c>
      <c r="C703" s="1" t="n">
        <v>46091</v>
      </c>
      <c r="D703" t="inlineStr">
        <is>
          <t>VÄSTMANLANDS LÄN</t>
        </is>
      </c>
      <c r="E703" t="inlineStr">
        <is>
          <t>SALA</t>
        </is>
      </c>
      <c r="G703" t="n">
        <v>1.5</v>
      </c>
      <c r="H703" t="n">
        <v>0</v>
      </c>
      <c r="I703" t="n">
        <v>0</v>
      </c>
      <c r="J703" t="n">
        <v>0</v>
      </c>
      <c r="K703" t="n">
        <v>0</v>
      </c>
      <c r="L703" t="n">
        <v>0</v>
      </c>
      <c r="M703" t="n">
        <v>0</v>
      </c>
      <c r="N703" t="n">
        <v>0</v>
      </c>
      <c r="O703" t="n">
        <v>0</v>
      </c>
      <c r="P703" t="n">
        <v>0</v>
      </c>
      <c r="Q703" t="n">
        <v>0</v>
      </c>
      <c r="R703" s="2" t="inlineStr"/>
    </row>
    <row r="704" ht="15" customHeight="1">
      <c r="A704" t="inlineStr">
        <is>
          <t>A 1985-2022</t>
        </is>
      </c>
      <c r="B704" s="1" t="n">
        <v>44575</v>
      </c>
      <c r="C704" s="1" t="n">
        <v>46091</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46091</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4797-2023</t>
        </is>
      </c>
      <c r="B706" s="1" t="n">
        <v>44957</v>
      </c>
      <c r="C706" s="1" t="n">
        <v>46091</v>
      </c>
      <c r="D706" t="inlineStr">
        <is>
          <t>VÄSTMANLANDS LÄN</t>
        </is>
      </c>
      <c r="E706" t="inlineStr">
        <is>
          <t>SALA</t>
        </is>
      </c>
      <c r="G706" t="n">
        <v>5.7</v>
      </c>
      <c r="H706" t="n">
        <v>0</v>
      </c>
      <c r="I706" t="n">
        <v>0</v>
      </c>
      <c r="J706" t="n">
        <v>0</v>
      </c>
      <c r="K706" t="n">
        <v>0</v>
      </c>
      <c r="L706" t="n">
        <v>0</v>
      </c>
      <c r="M706" t="n">
        <v>0</v>
      </c>
      <c r="N706" t="n">
        <v>0</v>
      </c>
      <c r="O706" t="n">
        <v>0</v>
      </c>
      <c r="P706" t="n">
        <v>0</v>
      </c>
      <c r="Q706" t="n">
        <v>0</v>
      </c>
      <c r="R706" s="2" t="inlineStr"/>
    </row>
    <row r="707" ht="15" customHeight="1">
      <c r="A707" t="inlineStr">
        <is>
          <t>A 4852-2023</t>
        </is>
      </c>
      <c r="B707" s="1" t="n">
        <v>44957.72496527778</v>
      </c>
      <c r="C707" s="1" t="n">
        <v>46091</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36858-2023</t>
        </is>
      </c>
      <c r="B708" s="1" t="n">
        <v>45154.55184027777</v>
      </c>
      <c r="C708" s="1" t="n">
        <v>46091</v>
      </c>
      <c r="D708" t="inlineStr">
        <is>
          <t>VÄSTMANLANDS LÄN</t>
        </is>
      </c>
      <c r="E708" t="inlineStr">
        <is>
          <t>SALA</t>
        </is>
      </c>
      <c r="G708" t="n">
        <v>2.1</v>
      </c>
      <c r="H708" t="n">
        <v>0</v>
      </c>
      <c r="I708" t="n">
        <v>0</v>
      </c>
      <c r="J708" t="n">
        <v>0</v>
      </c>
      <c r="K708" t="n">
        <v>0</v>
      </c>
      <c r="L708" t="n">
        <v>0</v>
      </c>
      <c r="M708" t="n">
        <v>0</v>
      </c>
      <c r="N708" t="n">
        <v>0</v>
      </c>
      <c r="O708" t="n">
        <v>0</v>
      </c>
      <c r="P708" t="n">
        <v>0</v>
      </c>
      <c r="Q708" t="n">
        <v>0</v>
      </c>
      <c r="R708" s="2" t="inlineStr"/>
    </row>
    <row r="709" ht="15" customHeight="1">
      <c r="A709" t="inlineStr">
        <is>
          <t>A 58701-2021</t>
        </is>
      </c>
      <c r="B709" s="1" t="n">
        <v>44489.46454861111</v>
      </c>
      <c r="C709" s="1" t="n">
        <v>46091</v>
      </c>
      <c r="D709" t="inlineStr">
        <is>
          <t>VÄSTMANLANDS LÄN</t>
        </is>
      </c>
      <c r="E709" t="inlineStr">
        <is>
          <t>SALA</t>
        </is>
      </c>
      <c r="G709" t="n">
        <v>0.7</v>
      </c>
      <c r="H709" t="n">
        <v>0</v>
      </c>
      <c r="I709" t="n">
        <v>0</v>
      </c>
      <c r="J709" t="n">
        <v>0</v>
      </c>
      <c r="K709" t="n">
        <v>0</v>
      </c>
      <c r="L709" t="n">
        <v>0</v>
      </c>
      <c r="M709" t="n">
        <v>0</v>
      </c>
      <c r="N709" t="n">
        <v>0</v>
      </c>
      <c r="O709" t="n">
        <v>0</v>
      </c>
      <c r="P709" t="n">
        <v>0</v>
      </c>
      <c r="Q709" t="n">
        <v>0</v>
      </c>
      <c r="R709" s="2" t="inlineStr"/>
    </row>
    <row r="710" ht="15" customHeight="1">
      <c r="A710" t="inlineStr">
        <is>
          <t>A 37337-2024</t>
        </is>
      </c>
      <c r="B710" s="1" t="n">
        <v>45540</v>
      </c>
      <c r="C710" s="1" t="n">
        <v>46091</v>
      </c>
      <c r="D710" t="inlineStr">
        <is>
          <t>VÄSTMANLANDS LÄN</t>
        </is>
      </c>
      <c r="E710" t="inlineStr">
        <is>
          <t>SALA</t>
        </is>
      </c>
      <c r="G710" t="n">
        <v>6.5</v>
      </c>
      <c r="H710" t="n">
        <v>0</v>
      </c>
      <c r="I710" t="n">
        <v>0</v>
      </c>
      <c r="J710" t="n">
        <v>0</v>
      </c>
      <c r="K710" t="n">
        <v>0</v>
      </c>
      <c r="L710" t="n">
        <v>0</v>
      </c>
      <c r="M710" t="n">
        <v>0</v>
      </c>
      <c r="N710" t="n">
        <v>0</v>
      </c>
      <c r="O710" t="n">
        <v>0</v>
      </c>
      <c r="P710" t="n">
        <v>0</v>
      </c>
      <c r="Q710" t="n">
        <v>0</v>
      </c>
      <c r="R710" s="2" t="inlineStr"/>
    </row>
    <row r="711" ht="15" customHeight="1">
      <c r="A711" t="inlineStr">
        <is>
          <t>A 10250-2025</t>
        </is>
      </c>
      <c r="B711" s="1" t="n">
        <v>45720.36165509259</v>
      </c>
      <c r="C711" s="1" t="n">
        <v>46091</v>
      </c>
      <c r="D711" t="inlineStr">
        <is>
          <t>VÄSTMANLANDS LÄN</t>
        </is>
      </c>
      <c r="E711" t="inlineStr">
        <is>
          <t>SALA</t>
        </is>
      </c>
      <c r="G711" t="n">
        <v>0.5</v>
      </c>
      <c r="H711" t="n">
        <v>0</v>
      </c>
      <c r="I711" t="n">
        <v>0</v>
      </c>
      <c r="J711" t="n">
        <v>0</v>
      </c>
      <c r="K711" t="n">
        <v>0</v>
      </c>
      <c r="L711" t="n">
        <v>0</v>
      </c>
      <c r="M711" t="n">
        <v>0</v>
      </c>
      <c r="N711" t="n">
        <v>0</v>
      </c>
      <c r="O711" t="n">
        <v>0</v>
      </c>
      <c r="P711" t="n">
        <v>0</v>
      </c>
      <c r="Q711" t="n">
        <v>0</v>
      </c>
      <c r="R711" s="2" t="inlineStr"/>
    </row>
    <row r="712" ht="15" customHeight="1">
      <c r="A712" t="inlineStr">
        <is>
          <t>A 23180-2022</t>
        </is>
      </c>
      <c r="B712" s="1" t="n">
        <v>44719.79344907407</v>
      </c>
      <c r="C712" s="1" t="n">
        <v>46091</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21053-2022</t>
        </is>
      </c>
      <c r="B713" s="1" t="n">
        <v>44704</v>
      </c>
      <c r="C713" s="1" t="n">
        <v>46091</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18340-2025</t>
        </is>
      </c>
      <c r="B714" s="1" t="n">
        <v>45762</v>
      </c>
      <c r="C714" s="1" t="n">
        <v>46091</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16638-2023</t>
        </is>
      </c>
      <c r="B715" s="1" t="n">
        <v>45027</v>
      </c>
      <c r="C715" s="1" t="n">
        <v>46091</v>
      </c>
      <c r="D715" t="inlineStr">
        <is>
          <t>VÄSTMANLANDS LÄN</t>
        </is>
      </c>
      <c r="E715" t="inlineStr">
        <is>
          <t>SALA</t>
        </is>
      </c>
      <c r="G715" t="n">
        <v>14.8</v>
      </c>
      <c r="H715" t="n">
        <v>0</v>
      </c>
      <c r="I715" t="n">
        <v>0</v>
      </c>
      <c r="J715" t="n">
        <v>0</v>
      </c>
      <c r="K715" t="n">
        <v>0</v>
      </c>
      <c r="L715" t="n">
        <v>0</v>
      </c>
      <c r="M715" t="n">
        <v>0</v>
      </c>
      <c r="N715" t="n">
        <v>0</v>
      </c>
      <c r="O715" t="n">
        <v>0</v>
      </c>
      <c r="P715" t="n">
        <v>0</v>
      </c>
      <c r="Q715" t="n">
        <v>0</v>
      </c>
      <c r="R715" s="2" t="inlineStr"/>
    </row>
    <row r="716" ht="15" customHeight="1">
      <c r="A716" t="inlineStr">
        <is>
          <t>A 17117-2023</t>
        </is>
      </c>
      <c r="B716" s="1" t="n">
        <v>45034</v>
      </c>
      <c r="C716" s="1" t="n">
        <v>46091</v>
      </c>
      <c r="D716" t="inlineStr">
        <is>
          <t>VÄSTMANLANDS LÄN</t>
        </is>
      </c>
      <c r="E716" t="inlineStr">
        <is>
          <t>SALA</t>
        </is>
      </c>
      <c r="G716" t="n">
        <v>0.4</v>
      </c>
      <c r="H716" t="n">
        <v>0</v>
      </c>
      <c r="I716" t="n">
        <v>0</v>
      </c>
      <c r="J716" t="n">
        <v>0</v>
      </c>
      <c r="K716" t="n">
        <v>0</v>
      </c>
      <c r="L716" t="n">
        <v>0</v>
      </c>
      <c r="M716" t="n">
        <v>0</v>
      </c>
      <c r="N716" t="n">
        <v>0</v>
      </c>
      <c r="O716" t="n">
        <v>0</v>
      </c>
      <c r="P716" t="n">
        <v>0</v>
      </c>
      <c r="Q716" t="n">
        <v>0</v>
      </c>
      <c r="R716" s="2" t="inlineStr"/>
    </row>
    <row r="717" ht="15" customHeight="1">
      <c r="A717" t="inlineStr">
        <is>
          <t>A 59909-2024</t>
        </is>
      </c>
      <c r="B717" s="1" t="n">
        <v>45641</v>
      </c>
      <c r="C717" s="1" t="n">
        <v>46091</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30028-2024</t>
        </is>
      </c>
      <c r="B718" s="1" t="n">
        <v>45485</v>
      </c>
      <c r="C718" s="1" t="n">
        <v>46091</v>
      </c>
      <c r="D718" t="inlineStr">
        <is>
          <t>VÄSTMANLANDS LÄN</t>
        </is>
      </c>
      <c r="E718" t="inlineStr">
        <is>
          <t>SALA</t>
        </is>
      </c>
      <c r="G718" t="n">
        <v>2.6</v>
      </c>
      <c r="H718" t="n">
        <v>0</v>
      </c>
      <c r="I718" t="n">
        <v>0</v>
      </c>
      <c r="J718" t="n">
        <v>0</v>
      </c>
      <c r="K718" t="n">
        <v>0</v>
      </c>
      <c r="L718" t="n">
        <v>0</v>
      </c>
      <c r="M718" t="n">
        <v>0</v>
      </c>
      <c r="N718" t="n">
        <v>0</v>
      </c>
      <c r="O718" t="n">
        <v>0</v>
      </c>
      <c r="P718" t="n">
        <v>0</v>
      </c>
      <c r="Q718" t="n">
        <v>0</v>
      </c>
      <c r="R718" s="2" t="inlineStr"/>
    </row>
    <row r="719" ht="15" customHeight="1">
      <c r="A719" t="inlineStr">
        <is>
          <t>A 33309-2022</t>
        </is>
      </c>
      <c r="B719" s="1" t="n">
        <v>44788.40986111111</v>
      </c>
      <c r="C719" s="1" t="n">
        <v>46091</v>
      </c>
      <c r="D719" t="inlineStr">
        <is>
          <t>VÄSTMANLANDS LÄN</t>
        </is>
      </c>
      <c r="E719" t="inlineStr">
        <is>
          <t>SALA</t>
        </is>
      </c>
      <c r="G719" t="n">
        <v>2.6</v>
      </c>
      <c r="H719" t="n">
        <v>0</v>
      </c>
      <c r="I719" t="n">
        <v>0</v>
      </c>
      <c r="J719" t="n">
        <v>0</v>
      </c>
      <c r="K719" t="n">
        <v>0</v>
      </c>
      <c r="L719" t="n">
        <v>0</v>
      </c>
      <c r="M719" t="n">
        <v>0</v>
      </c>
      <c r="N719" t="n">
        <v>0</v>
      </c>
      <c r="O719" t="n">
        <v>0</v>
      </c>
      <c r="P719" t="n">
        <v>0</v>
      </c>
      <c r="Q719" t="n">
        <v>0</v>
      </c>
      <c r="R719" s="2" t="inlineStr"/>
    </row>
    <row r="720" ht="15" customHeight="1">
      <c r="A720" t="inlineStr">
        <is>
          <t>A 7377-2023</t>
        </is>
      </c>
      <c r="B720" s="1" t="n">
        <v>44971</v>
      </c>
      <c r="C720" s="1" t="n">
        <v>46091</v>
      </c>
      <c r="D720" t="inlineStr">
        <is>
          <t>VÄSTMANLANDS LÄN</t>
        </is>
      </c>
      <c r="E720" t="inlineStr">
        <is>
          <t>SALA</t>
        </is>
      </c>
      <c r="G720" t="n">
        <v>0.9</v>
      </c>
      <c r="H720" t="n">
        <v>0</v>
      </c>
      <c r="I720" t="n">
        <v>0</v>
      </c>
      <c r="J720" t="n">
        <v>0</v>
      </c>
      <c r="K720" t="n">
        <v>0</v>
      </c>
      <c r="L720" t="n">
        <v>0</v>
      </c>
      <c r="M720" t="n">
        <v>0</v>
      </c>
      <c r="N720" t="n">
        <v>0</v>
      </c>
      <c r="O720" t="n">
        <v>0</v>
      </c>
      <c r="P720" t="n">
        <v>0</v>
      </c>
      <c r="Q720" t="n">
        <v>0</v>
      </c>
      <c r="R720" s="2" t="inlineStr"/>
    </row>
    <row r="721" ht="15" customHeight="1">
      <c r="A721" t="inlineStr">
        <is>
          <t>A 27229-2022</t>
        </is>
      </c>
      <c r="B721" s="1" t="n">
        <v>44741</v>
      </c>
      <c r="C721" s="1" t="n">
        <v>46091</v>
      </c>
      <c r="D721" t="inlineStr">
        <is>
          <t>VÄSTMANLANDS LÄN</t>
        </is>
      </c>
      <c r="E721" t="inlineStr">
        <is>
          <t>SALA</t>
        </is>
      </c>
      <c r="F721" t="inlineStr">
        <is>
          <t>Kommuner</t>
        </is>
      </c>
      <c r="G721" t="n">
        <v>1.4</v>
      </c>
      <c r="H721" t="n">
        <v>0</v>
      </c>
      <c r="I721" t="n">
        <v>0</v>
      </c>
      <c r="J721" t="n">
        <v>0</v>
      </c>
      <c r="K721" t="n">
        <v>0</v>
      </c>
      <c r="L721" t="n">
        <v>0</v>
      </c>
      <c r="M721" t="n">
        <v>0</v>
      </c>
      <c r="N721" t="n">
        <v>0</v>
      </c>
      <c r="O721" t="n">
        <v>0</v>
      </c>
      <c r="P721" t="n">
        <v>0</v>
      </c>
      <c r="Q721" t="n">
        <v>0</v>
      </c>
      <c r="R721" s="2" t="inlineStr"/>
    </row>
    <row r="722" ht="15" customHeight="1">
      <c r="A722" t="inlineStr">
        <is>
          <t>A 24755-2021</t>
        </is>
      </c>
      <c r="B722" s="1" t="n">
        <v>44340</v>
      </c>
      <c r="C722" s="1" t="n">
        <v>46091</v>
      </c>
      <c r="D722" t="inlineStr">
        <is>
          <t>VÄSTMANLANDS LÄN</t>
        </is>
      </c>
      <c r="E722" t="inlineStr">
        <is>
          <t>SALA</t>
        </is>
      </c>
      <c r="G722" t="n">
        <v>1.2</v>
      </c>
      <c r="H722" t="n">
        <v>0</v>
      </c>
      <c r="I722" t="n">
        <v>0</v>
      </c>
      <c r="J722" t="n">
        <v>0</v>
      </c>
      <c r="K722" t="n">
        <v>0</v>
      </c>
      <c r="L722" t="n">
        <v>0</v>
      </c>
      <c r="M722" t="n">
        <v>0</v>
      </c>
      <c r="N722" t="n">
        <v>0</v>
      </c>
      <c r="O722" t="n">
        <v>0</v>
      </c>
      <c r="P722" t="n">
        <v>0</v>
      </c>
      <c r="Q722" t="n">
        <v>0</v>
      </c>
      <c r="R722" s="2" t="inlineStr"/>
    </row>
    <row r="723" ht="15" customHeight="1">
      <c r="A723" t="inlineStr">
        <is>
          <t>A 34867-2023</t>
        </is>
      </c>
      <c r="B723" s="1" t="n">
        <v>45142.33481481481</v>
      </c>
      <c r="C723" s="1" t="n">
        <v>46091</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25748-2022</t>
        </is>
      </c>
      <c r="B724" s="1" t="n">
        <v>44732</v>
      </c>
      <c r="C724" s="1" t="n">
        <v>46091</v>
      </c>
      <c r="D724" t="inlineStr">
        <is>
          <t>VÄSTMANLANDS LÄN</t>
        </is>
      </c>
      <c r="E724" t="inlineStr">
        <is>
          <t>SALA</t>
        </is>
      </c>
      <c r="G724" t="n">
        <v>7.7</v>
      </c>
      <c r="H724" t="n">
        <v>0</v>
      </c>
      <c r="I724" t="n">
        <v>0</v>
      </c>
      <c r="J724" t="n">
        <v>0</v>
      </c>
      <c r="K724" t="n">
        <v>0</v>
      </c>
      <c r="L724" t="n">
        <v>0</v>
      </c>
      <c r="M724" t="n">
        <v>0</v>
      </c>
      <c r="N724" t="n">
        <v>0</v>
      </c>
      <c r="O724" t="n">
        <v>0</v>
      </c>
      <c r="P724" t="n">
        <v>0</v>
      </c>
      <c r="Q724" t="n">
        <v>0</v>
      </c>
      <c r="R724" s="2" t="inlineStr"/>
    </row>
    <row r="725" ht="15" customHeight="1">
      <c r="A725" t="inlineStr">
        <is>
          <t>A 49512-2024</t>
        </is>
      </c>
      <c r="B725" s="1" t="n">
        <v>45591</v>
      </c>
      <c r="C725" s="1" t="n">
        <v>46091</v>
      </c>
      <c r="D725" t="inlineStr">
        <is>
          <t>VÄSTMANLANDS LÄN</t>
        </is>
      </c>
      <c r="E725" t="inlineStr">
        <is>
          <t>SALA</t>
        </is>
      </c>
      <c r="G725" t="n">
        <v>8.1</v>
      </c>
      <c r="H725" t="n">
        <v>0</v>
      </c>
      <c r="I725" t="n">
        <v>0</v>
      </c>
      <c r="J725" t="n">
        <v>0</v>
      </c>
      <c r="K725" t="n">
        <v>0</v>
      </c>
      <c r="L725" t="n">
        <v>0</v>
      </c>
      <c r="M725" t="n">
        <v>0</v>
      </c>
      <c r="N725" t="n">
        <v>0</v>
      </c>
      <c r="O725" t="n">
        <v>0</v>
      </c>
      <c r="P725" t="n">
        <v>0</v>
      </c>
      <c r="Q725" t="n">
        <v>0</v>
      </c>
      <c r="R725" s="2" t="inlineStr"/>
    </row>
    <row r="726" ht="15" customHeight="1">
      <c r="A726" t="inlineStr">
        <is>
          <t>A 13128-2023</t>
        </is>
      </c>
      <c r="B726" s="1" t="n">
        <v>45002</v>
      </c>
      <c r="C726" s="1" t="n">
        <v>46091</v>
      </c>
      <c r="D726" t="inlineStr">
        <is>
          <t>VÄSTMANLANDS LÄN</t>
        </is>
      </c>
      <c r="E726" t="inlineStr">
        <is>
          <t>SALA</t>
        </is>
      </c>
      <c r="G726" t="n">
        <v>7.9</v>
      </c>
      <c r="H726" t="n">
        <v>0</v>
      </c>
      <c r="I726" t="n">
        <v>0</v>
      </c>
      <c r="J726" t="n">
        <v>0</v>
      </c>
      <c r="K726" t="n">
        <v>0</v>
      </c>
      <c r="L726" t="n">
        <v>0</v>
      </c>
      <c r="M726" t="n">
        <v>0</v>
      </c>
      <c r="N726" t="n">
        <v>0</v>
      </c>
      <c r="O726" t="n">
        <v>0</v>
      </c>
      <c r="P726" t="n">
        <v>0</v>
      </c>
      <c r="Q726" t="n">
        <v>0</v>
      </c>
      <c r="R726" s="2" t="inlineStr"/>
    </row>
    <row r="727" ht="15" customHeight="1">
      <c r="A727" t="inlineStr">
        <is>
          <t>A 37958-2024</t>
        </is>
      </c>
      <c r="B727" s="1" t="n">
        <v>45544</v>
      </c>
      <c r="C727" s="1" t="n">
        <v>46091</v>
      </c>
      <c r="D727" t="inlineStr">
        <is>
          <t>VÄSTMANLANDS LÄN</t>
        </is>
      </c>
      <c r="E727" t="inlineStr">
        <is>
          <t>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18431-2023</t>
        </is>
      </c>
      <c r="B728" s="1" t="n">
        <v>45042</v>
      </c>
      <c r="C728" s="1" t="n">
        <v>46091</v>
      </c>
      <c r="D728" t="inlineStr">
        <is>
          <t>VÄSTMANLANDS LÄN</t>
        </is>
      </c>
      <c r="E728" t="inlineStr">
        <is>
          <t>SALA</t>
        </is>
      </c>
      <c r="G728" t="n">
        <v>1.9</v>
      </c>
      <c r="H728" t="n">
        <v>0</v>
      </c>
      <c r="I728" t="n">
        <v>0</v>
      </c>
      <c r="J728" t="n">
        <v>0</v>
      </c>
      <c r="K728" t="n">
        <v>0</v>
      </c>
      <c r="L728" t="n">
        <v>0</v>
      </c>
      <c r="M728" t="n">
        <v>0</v>
      </c>
      <c r="N728" t="n">
        <v>0</v>
      </c>
      <c r="O728" t="n">
        <v>0</v>
      </c>
      <c r="P728" t="n">
        <v>0</v>
      </c>
      <c r="Q728" t="n">
        <v>0</v>
      </c>
      <c r="R728" s="2" t="inlineStr"/>
    </row>
    <row r="729" ht="15" customHeight="1">
      <c r="A729" t="inlineStr">
        <is>
          <t>A 57650-2024</t>
        </is>
      </c>
      <c r="B729" s="1" t="n">
        <v>45630</v>
      </c>
      <c r="C729" s="1" t="n">
        <v>46091</v>
      </c>
      <c r="D729" t="inlineStr">
        <is>
          <t>VÄSTMANLANDS LÄN</t>
        </is>
      </c>
      <c r="E729" t="inlineStr">
        <is>
          <t>SALA</t>
        </is>
      </c>
      <c r="G729" t="n">
        <v>0.6</v>
      </c>
      <c r="H729" t="n">
        <v>0</v>
      </c>
      <c r="I729" t="n">
        <v>0</v>
      </c>
      <c r="J729" t="n">
        <v>0</v>
      </c>
      <c r="K729" t="n">
        <v>0</v>
      </c>
      <c r="L729" t="n">
        <v>0</v>
      </c>
      <c r="M729" t="n">
        <v>0</v>
      </c>
      <c r="N729" t="n">
        <v>0</v>
      </c>
      <c r="O729" t="n">
        <v>0</v>
      </c>
      <c r="P729" t="n">
        <v>0</v>
      </c>
      <c r="Q729" t="n">
        <v>0</v>
      </c>
      <c r="R729" s="2" t="inlineStr"/>
    </row>
    <row r="730" ht="15" customHeight="1">
      <c r="A730" t="inlineStr">
        <is>
          <t>A 10255-2024</t>
        </is>
      </c>
      <c r="B730" s="1" t="n">
        <v>45365</v>
      </c>
      <c r="C730" s="1" t="n">
        <v>46091</v>
      </c>
      <c r="D730" t="inlineStr">
        <is>
          <t>VÄSTMANLANDS LÄN</t>
        </is>
      </c>
      <c r="E730" t="inlineStr">
        <is>
          <t>SALA</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28696-2023</t>
        </is>
      </c>
      <c r="B731" s="1" t="n">
        <v>45103.71759259259</v>
      </c>
      <c r="C731" s="1" t="n">
        <v>46091</v>
      </c>
      <c r="D731" t="inlineStr">
        <is>
          <t>VÄSTMANLANDS LÄN</t>
        </is>
      </c>
      <c r="E731" t="inlineStr">
        <is>
          <t>SALA</t>
        </is>
      </c>
      <c r="F731" t="inlineStr">
        <is>
          <t>Kommuner</t>
        </is>
      </c>
      <c r="G731" t="n">
        <v>5.9</v>
      </c>
      <c r="H731" t="n">
        <v>0</v>
      </c>
      <c r="I731" t="n">
        <v>0</v>
      </c>
      <c r="J731" t="n">
        <v>0</v>
      </c>
      <c r="K731" t="n">
        <v>0</v>
      </c>
      <c r="L731" t="n">
        <v>0</v>
      </c>
      <c r="M731" t="n">
        <v>0</v>
      </c>
      <c r="N731" t="n">
        <v>0</v>
      </c>
      <c r="O731" t="n">
        <v>0</v>
      </c>
      <c r="P731" t="n">
        <v>0</v>
      </c>
      <c r="Q731" t="n">
        <v>0</v>
      </c>
      <c r="R731" s="2" t="inlineStr"/>
    </row>
    <row r="732" ht="15" customHeight="1">
      <c r="A732" t="inlineStr">
        <is>
          <t>A 31072-2021</t>
        </is>
      </c>
      <c r="B732" s="1" t="n">
        <v>44368</v>
      </c>
      <c r="C732" s="1" t="n">
        <v>46091</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16543-2023</t>
        </is>
      </c>
      <c r="B733" s="1" t="n">
        <v>45029</v>
      </c>
      <c r="C733" s="1" t="n">
        <v>46091</v>
      </c>
      <c r="D733" t="inlineStr">
        <is>
          <t>VÄSTMANLANDS LÄN</t>
        </is>
      </c>
      <c r="E733" t="inlineStr">
        <is>
          <t>SALA</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22523-2023</t>
        </is>
      </c>
      <c r="B734" s="1" t="n">
        <v>45069</v>
      </c>
      <c r="C734" s="1" t="n">
        <v>46091</v>
      </c>
      <c r="D734" t="inlineStr">
        <is>
          <t>VÄSTMANLANDS LÄN</t>
        </is>
      </c>
      <c r="E734" t="inlineStr">
        <is>
          <t>SALA</t>
        </is>
      </c>
      <c r="G734" t="n">
        <v>2.4</v>
      </c>
      <c r="H734" t="n">
        <v>0</v>
      </c>
      <c r="I734" t="n">
        <v>0</v>
      </c>
      <c r="J734" t="n">
        <v>0</v>
      </c>
      <c r="K734" t="n">
        <v>0</v>
      </c>
      <c r="L734" t="n">
        <v>0</v>
      </c>
      <c r="M734" t="n">
        <v>0</v>
      </c>
      <c r="N734" t="n">
        <v>0</v>
      </c>
      <c r="O734" t="n">
        <v>0</v>
      </c>
      <c r="P734" t="n">
        <v>0</v>
      </c>
      <c r="Q734" t="n">
        <v>0</v>
      </c>
      <c r="R734" s="2" t="inlineStr"/>
    </row>
    <row r="735" ht="15" customHeight="1">
      <c r="A735" t="inlineStr">
        <is>
          <t>A 4663-2022</t>
        </is>
      </c>
      <c r="B735" s="1" t="n">
        <v>44592.45429398148</v>
      </c>
      <c r="C735" s="1" t="n">
        <v>46091</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6132-2025</t>
        </is>
      </c>
      <c r="B736" s="1" t="n">
        <v>45698</v>
      </c>
      <c r="C736" s="1" t="n">
        <v>46091</v>
      </c>
      <c r="D736" t="inlineStr">
        <is>
          <t>VÄSTMANLANDS LÄN</t>
        </is>
      </c>
      <c r="E736" t="inlineStr">
        <is>
          <t>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31859-2023</t>
        </is>
      </c>
      <c r="B737" s="1" t="n">
        <v>45118</v>
      </c>
      <c r="C737" s="1" t="n">
        <v>46091</v>
      </c>
      <c r="D737" t="inlineStr">
        <is>
          <t>VÄSTMANLANDS LÄN</t>
        </is>
      </c>
      <c r="E737" t="inlineStr">
        <is>
          <t>SALA</t>
        </is>
      </c>
      <c r="G737" t="n">
        <v>0.5</v>
      </c>
      <c r="H737" t="n">
        <v>0</v>
      </c>
      <c r="I737" t="n">
        <v>0</v>
      </c>
      <c r="J737" t="n">
        <v>0</v>
      </c>
      <c r="K737" t="n">
        <v>0</v>
      </c>
      <c r="L737" t="n">
        <v>0</v>
      </c>
      <c r="M737" t="n">
        <v>0</v>
      </c>
      <c r="N737" t="n">
        <v>0</v>
      </c>
      <c r="O737" t="n">
        <v>0</v>
      </c>
      <c r="P737" t="n">
        <v>0</v>
      </c>
      <c r="Q737" t="n">
        <v>0</v>
      </c>
      <c r="R737" s="2" t="inlineStr"/>
      <c r="U737">
        <f>HYPERLINK("https://klasma.github.io/Logging_1981/knärot/A 31859-2023 karta knärot.png", "A 31859-2023")</f>
        <v/>
      </c>
      <c r="V737">
        <f>HYPERLINK("https://klasma.github.io/Logging_1981/klagomål/A 31859-2023 FSC-klagomål.docx", "A 31859-2023")</f>
        <v/>
      </c>
      <c r="W737">
        <f>HYPERLINK("https://klasma.github.io/Logging_1981/klagomålsmail/A 31859-2023 FSC-klagomål mail.docx", "A 31859-2023")</f>
        <v/>
      </c>
      <c r="X737">
        <f>HYPERLINK("https://klasma.github.io/Logging_1981/tillsyn/A 31859-2023 tillsynsbegäran.docx", "A 31859-2023")</f>
        <v/>
      </c>
      <c r="Y737">
        <f>HYPERLINK("https://klasma.github.io/Logging_1981/tillsynsmail/A 31859-2023 tillsynsbegäran mail.docx", "A 31859-2023")</f>
        <v/>
      </c>
    </row>
    <row r="738" ht="15" customHeight="1">
      <c r="A738" t="inlineStr">
        <is>
          <t>A 61681-2024</t>
        </is>
      </c>
      <c r="B738" s="1" t="n">
        <v>45647</v>
      </c>
      <c r="C738" s="1" t="n">
        <v>46091</v>
      </c>
      <c r="D738" t="inlineStr">
        <is>
          <t>VÄSTMANLANDS LÄN</t>
        </is>
      </c>
      <c r="E738" t="inlineStr">
        <is>
          <t>SALA</t>
        </is>
      </c>
      <c r="F738" t="inlineStr">
        <is>
          <t>Kommuner</t>
        </is>
      </c>
      <c r="G738" t="n">
        <v>1</v>
      </c>
      <c r="H738" t="n">
        <v>0</v>
      </c>
      <c r="I738" t="n">
        <v>0</v>
      </c>
      <c r="J738" t="n">
        <v>0</v>
      </c>
      <c r="K738" t="n">
        <v>0</v>
      </c>
      <c r="L738" t="n">
        <v>0</v>
      </c>
      <c r="M738" t="n">
        <v>0</v>
      </c>
      <c r="N738" t="n">
        <v>0</v>
      </c>
      <c r="O738" t="n">
        <v>0</v>
      </c>
      <c r="P738" t="n">
        <v>0</v>
      </c>
      <c r="Q738" t="n">
        <v>0</v>
      </c>
      <c r="R738" s="2" t="inlineStr"/>
    </row>
    <row r="739" ht="15" customHeight="1">
      <c r="A739" t="inlineStr">
        <is>
          <t>A 54960-2024</t>
        </is>
      </c>
      <c r="B739" s="1" t="n">
        <v>45619.85208333333</v>
      </c>
      <c r="C739" s="1" t="n">
        <v>46091</v>
      </c>
      <c r="D739" t="inlineStr">
        <is>
          <t>VÄSTMANLANDS LÄN</t>
        </is>
      </c>
      <c r="E739" t="inlineStr">
        <is>
          <t>SALA</t>
        </is>
      </c>
      <c r="G739" t="n">
        <v>2.6</v>
      </c>
      <c r="H739" t="n">
        <v>0</v>
      </c>
      <c r="I739" t="n">
        <v>0</v>
      </c>
      <c r="J739" t="n">
        <v>0</v>
      </c>
      <c r="K739" t="n">
        <v>0</v>
      </c>
      <c r="L739" t="n">
        <v>0</v>
      </c>
      <c r="M739" t="n">
        <v>0</v>
      </c>
      <c r="N739" t="n">
        <v>0</v>
      </c>
      <c r="O739" t="n">
        <v>0</v>
      </c>
      <c r="P739" t="n">
        <v>0</v>
      </c>
      <c r="Q739" t="n">
        <v>0</v>
      </c>
      <c r="R739" s="2" t="inlineStr"/>
    </row>
    <row r="740" ht="15" customHeight="1">
      <c r="A740" t="inlineStr">
        <is>
          <t>A 31082-2021</t>
        </is>
      </c>
      <c r="B740" s="1" t="n">
        <v>44368</v>
      </c>
      <c r="C740" s="1" t="n">
        <v>46091</v>
      </c>
      <c r="D740" t="inlineStr">
        <is>
          <t>VÄSTMANLANDS LÄN</t>
        </is>
      </c>
      <c r="E740" t="inlineStr">
        <is>
          <t>SALA</t>
        </is>
      </c>
      <c r="G740" t="n">
        <v>2</v>
      </c>
      <c r="H740" t="n">
        <v>0</v>
      </c>
      <c r="I740" t="n">
        <v>0</v>
      </c>
      <c r="J740" t="n">
        <v>0</v>
      </c>
      <c r="K740" t="n">
        <v>0</v>
      </c>
      <c r="L740" t="n">
        <v>0</v>
      </c>
      <c r="M740" t="n">
        <v>0</v>
      </c>
      <c r="N740" t="n">
        <v>0</v>
      </c>
      <c r="O740" t="n">
        <v>0</v>
      </c>
      <c r="P740" t="n">
        <v>0</v>
      </c>
      <c r="Q740" t="n">
        <v>0</v>
      </c>
      <c r="R740" s="2" t="inlineStr"/>
    </row>
    <row r="741" ht="15" customHeight="1">
      <c r="A741" t="inlineStr">
        <is>
          <t>A 20352-2022</t>
        </is>
      </c>
      <c r="B741" s="1" t="n">
        <v>44699.37318287037</v>
      </c>
      <c r="C741" s="1" t="n">
        <v>46091</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27657-2023</t>
        </is>
      </c>
      <c r="B742" s="1" t="n">
        <v>45097.76631944445</v>
      </c>
      <c r="C742" s="1" t="n">
        <v>46091</v>
      </c>
      <c r="D742" t="inlineStr">
        <is>
          <t>VÄSTMANLANDS LÄN</t>
        </is>
      </c>
      <c r="E742" t="inlineStr">
        <is>
          <t>SALA</t>
        </is>
      </c>
      <c r="G742" t="n">
        <v>0.1</v>
      </c>
      <c r="H742" t="n">
        <v>0</v>
      </c>
      <c r="I742" t="n">
        <v>0</v>
      </c>
      <c r="J742" t="n">
        <v>0</v>
      </c>
      <c r="K742" t="n">
        <v>0</v>
      </c>
      <c r="L742" t="n">
        <v>0</v>
      </c>
      <c r="M742" t="n">
        <v>0</v>
      </c>
      <c r="N742" t="n">
        <v>0</v>
      </c>
      <c r="O742" t="n">
        <v>0</v>
      </c>
      <c r="P742" t="n">
        <v>0</v>
      </c>
      <c r="Q742" t="n">
        <v>0</v>
      </c>
      <c r="R742" s="2" t="inlineStr"/>
    </row>
    <row r="743" ht="15" customHeight="1">
      <c r="A743" t="inlineStr">
        <is>
          <t>A 2766-2024</t>
        </is>
      </c>
      <c r="B743" s="1" t="n">
        <v>45314.60950231482</v>
      </c>
      <c r="C743" s="1" t="n">
        <v>46091</v>
      </c>
      <c r="D743" t="inlineStr">
        <is>
          <t>VÄSTMANLANDS LÄN</t>
        </is>
      </c>
      <c r="E743" t="inlineStr">
        <is>
          <t>SALA</t>
        </is>
      </c>
      <c r="G743" t="n">
        <v>2.8</v>
      </c>
      <c r="H743" t="n">
        <v>0</v>
      </c>
      <c r="I743" t="n">
        <v>0</v>
      </c>
      <c r="J743" t="n">
        <v>0</v>
      </c>
      <c r="K743" t="n">
        <v>0</v>
      </c>
      <c r="L743" t="n">
        <v>0</v>
      </c>
      <c r="M743" t="n">
        <v>0</v>
      </c>
      <c r="N743" t="n">
        <v>0</v>
      </c>
      <c r="O743" t="n">
        <v>0</v>
      </c>
      <c r="P743" t="n">
        <v>0</v>
      </c>
      <c r="Q743" t="n">
        <v>0</v>
      </c>
      <c r="R743" s="2" t="inlineStr"/>
    </row>
    <row r="744" ht="15" customHeight="1">
      <c r="A744" t="inlineStr">
        <is>
          <t>A 60550-2024</t>
        </is>
      </c>
      <c r="B744" s="1" t="n">
        <v>45643</v>
      </c>
      <c r="C744" s="1" t="n">
        <v>46091</v>
      </c>
      <c r="D744" t="inlineStr">
        <is>
          <t>VÄSTMANLANDS LÄN</t>
        </is>
      </c>
      <c r="E744" t="inlineStr">
        <is>
          <t>SALA</t>
        </is>
      </c>
      <c r="G744" t="n">
        <v>0.6</v>
      </c>
      <c r="H744" t="n">
        <v>0</v>
      </c>
      <c r="I744" t="n">
        <v>0</v>
      </c>
      <c r="J744" t="n">
        <v>0</v>
      </c>
      <c r="K744" t="n">
        <v>0</v>
      </c>
      <c r="L744" t="n">
        <v>0</v>
      </c>
      <c r="M744" t="n">
        <v>0</v>
      </c>
      <c r="N744" t="n">
        <v>0</v>
      </c>
      <c r="O744" t="n">
        <v>0</v>
      </c>
      <c r="P744" t="n">
        <v>0</v>
      </c>
      <c r="Q744" t="n">
        <v>0</v>
      </c>
      <c r="R744" s="2" t="inlineStr"/>
    </row>
    <row r="745" ht="15" customHeight="1">
      <c r="A745" t="inlineStr">
        <is>
          <t>A 14690-2025</t>
        </is>
      </c>
      <c r="B745" s="1" t="n">
        <v>45742.58212962963</v>
      </c>
      <c r="C745" s="1" t="n">
        <v>46091</v>
      </c>
      <c r="D745" t="inlineStr">
        <is>
          <t>VÄSTMANLANDS LÄN</t>
        </is>
      </c>
      <c r="E745" t="inlineStr">
        <is>
          <t>SALA</t>
        </is>
      </c>
      <c r="G745" t="n">
        <v>3.4</v>
      </c>
      <c r="H745" t="n">
        <v>0</v>
      </c>
      <c r="I745" t="n">
        <v>0</v>
      </c>
      <c r="J745" t="n">
        <v>0</v>
      </c>
      <c r="K745" t="n">
        <v>0</v>
      </c>
      <c r="L745" t="n">
        <v>0</v>
      </c>
      <c r="M745" t="n">
        <v>0</v>
      </c>
      <c r="N745" t="n">
        <v>0</v>
      </c>
      <c r="O745" t="n">
        <v>0</v>
      </c>
      <c r="P745" t="n">
        <v>0</v>
      </c>
      <c r="Q745" t="n">
        <v>0</v>
      </c>
      <c r="R745" s="2" t="inlineStr"/>
    </row>
    <row r="746" ht="15" customHeight="1">
      <c r="A746" t="inlineStr">
        <is>
          <t>A 24175-2024</t>
        </is>
      </c>
      <c r="B746" s="1" t="n">
        <v>45456</v>
      </c>
      <c r="C746" s="1" t="n">
        <v>46091</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62449-2023</t>
        </is>
      </c>
      <c r="B747" s="1" t="n">
        <v>45268.49008101852</v>
      </c>
      <c r="C747" s="1" t="n">
        <v>46091</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54910-2023</t>
        </is>
      </c>
      <c r="B748" s="1" t="n">
        <v>45229</v>
      </c>
      <c r="C748" s="1" t="n">
        <v>46091</v>
      </c>
      <c r="D748" t="inlineStr">
        <is>
          <t>VÄSTMANLANDS LÄN</t>
        </is>
      </c>
      <c r="E748" t="inlineStr">
        <is>
          <t>SALA</t>
        </is>
      </c>
      <c r="G748" t="n">
        <v>2.4</v>
      </c>
      <c r="H748" t="n">
        <v>0</v>
      </c>
      <c r="I748" t="n">
        <v>0</v>
      </c>
      <c r="J748" t="n">
        <v>0</v>
      </c>
      <c r="K748" t="n">
        <v>0</v>
      </c>
      <c r="L748" t="n">
        <v>0</v>
      </c>
      <c r="M748" t="n">
        <v>0</v>
      </c>
      <c r="N748" t="n">
        <v>0</v>
      </c>
      <c r="O748" t="n">
        <v>0</v>
      </c>
      <c r="P748" t="n">
        <v>0</v>
      </c>
      <c r="Q748" t="n">
        <v>0</v>
      </c>
      <c r="R748" s="2" t="inlineStr"/>
    </row>
    <row r="749" ht="15" customHeight="1">
      <c r="A749" t="inlineStr">
        <is>
          <t>A 19222-2025</t>
        </is>
      </c>
      <c r="B749" s="1" t="n">
        <v>45769</v>
      </c>
      <c r="C749" s="1" t="n">
        <v>46091</v>
      </c>
      <c r="D749" t="inlineStr">
        <is>
          <t>VÄSTMANLANDS LÄN</t>
        </is>
      </c>
      <c r="E749" t="inlineStr">
        <is>
          <t>SALA</t>
        </is>
      </c>
      <c r="G749" t="n">
        <v>1.8</v>
      </c>
      <c r="H749" t="n">
        <v>0</v>
      </c>
      <c r="I749" t="n">
        <v>0</v>
      </c>
      <c r="J749" t="n">
        <v>0</v>
      </c>
      <c r="K749" t="n">
        <v>0</v>
      </c>
      <c r="L749" t="n">
        <v>0</v>
      </c>
      <c r="M749" t="n">
        <v>0</v>
      </c>
      <c r="N749" t="n">
        <v>0</v>
      </c>
      <c r="O749" t="n">
        <v>0</v>
      </c>
      <c r="P749" t="n">
        <v>0</v>
      </c>
      <c r="Q749" t="n">
        <v>0</v>
      </c>
      <c r="R749" s="2" t="inlineStr"/>
    </row>
    <row r="750" ht="15" customHeight="1">
      <c r="A750" t="inlineStr">
        <is>
          <t>A 19241-2025</t>
        </is>
      </c>
      <c r="B750" s="1" t="n">
        <v>45769</v>
      </c>
      <c r="C750" s="1" t="n">
        <v>46091</v>
      </c>
      <c r="D750" t="inlineStr">
        <is>
          <t>VÄSTMANLANDS LÄN</t>
        </is>
      </c>
      <c r="E750" t="inlineStr">
        <is>
          <t>SALA</t>
        </is>
      </c>
      <c r="G750" t="n">
        <v>3.6</v>
      </c>
      <c r="H750" t="n">
        <v>0</v>
      </c>
      <c r="I750" t="n">
        <v>0</v>
      </c>
      <c r="J750" t="n">
        <v>0</v>
      </c>
      <c r="K750" t="n">
        <v>0</v>
      </c>
      <c r="L750" t="n">
        <v>0</v>
      </c>
      <c r="M750" t="n">
        <v>0</v>
      </c>
      <c r="N750" t="n">
        <v>0</v>
      </c>
      <c r="O750" t="n">
        <v>0</v>
      </c>
      <c r="P750" t="n">
        <v>0</v>
      </c>
      <c r="Q750" t="n">
        <v>0</v>
      </c>
      <c r="R750" s="2" t="inlineStr"/>
    </row>
    <row r="751" ht="15" customHeight="1">
      <c r="A751" t="inlineStr">
        <is>
          <t>A 26416-2023</t>
        </is>
      </c>
      <c r="B751" s="1" t="n">
        <v>45092.38087962963</v>
      </c>
      <c r="C751" s="1" t="n">
        <v>46091</v>
      </c>
      <c r="D751" t="inlineStr">
        <is>
          <t>VÄSTMANLANDS LÄN</t>
        </is>
      </c>
      <c r="E751" t="inlineStr">
        <is>
          <t>SALA</t>
        </is>
      </c>
      <c r="G751" t="n">
        <v>2.9</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45093.360625</v>
      </c>
      <c r="C752" s="1" t="n">
        <v>46091</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15681-2025</t>
        </is>
      </c>
      <c r="B753" s="1" t="n">
        <v>45748.45454861111</v>
      </c>
      <c r="C753" s="1" t="n">
        <v>46091</v>
      </c>
      <c r="D753" t="inlineStr">
        <is>
          <t>VÄSTMANLANDS LÄN</t>
        </is>
      </c>
      <c r="E753" t="inlineStr">
        <is>
          <t>SALA</t>
        </is>
      </c>
      <c r="F753" t="inlineStr">
        <is>
          <t>Bergvik skog öst AB</t>
        </is>
      </c>
      <c r="G753" t="n">
        <v>4.3</v>
      </c>
      <c r="H753" t="n">
        <v>0</v>
      </c>
      <c r="I753" t="n">
        <v>0</v>
      </c>
      <c r="J753" t="n">
        <v>0</v>
      </c>
      <c r="K753" t="n">
        <v>0</v>
      </c>
      <c r="L753" t="n">
        <v>0</v>
      </c>
      <c r="M753" t="n">
        <v>0</v>
      </c>
      <c r="N753" t="n">
        <v>0</v>
      </c>
      <c r="O753" t="n">
        <v>0</v>
      </c>
      <c r="P753" t="n">
        <v>0</v>
      </c>
      <c r="Q753" t="n">
        <v>0</v>
      </c>
      <c r="R753" s="2" t="inlineStr"/>
    </row>
    <row r="754" ht="15" customHeight="1">
      <c r="A754" t="inlineStr">
        <is>
          <t>A 2925-2024</t>
        </is>
      </c>
      <c r="B754" s="1" t="n">
        <v>45315.58909722222</v>
      </c>
      <c r="C754" s="1" t="n">
        <v>46091</v>
      </c>
      <c r="D754" t="inlineStr">
        <is>
          <t>VÄSTMANLANDS LÄN</t>
        </is>
      </c>
      <c r="E754" t="inlineStr">
        <is>
          <t>SALA</t>
        </is>
      </c>
      <c r="G754" t="n">
        <v>1.3</v>
      </c>
      <c r="H754" t="n">
        <v>0</v>
      </c>
      <c r="I754" t="n">
        <v>0</v>
      </c>
      <c r="J754" t="n">
        <v>0</v>
      </c>
      <c r="K754" t="n">
        <v>0</v>
      </c>
      <c r="L754" t="n">
        <v>0</v>
      </c>
      <c r="M754" t="n">
        <v>0</v>
      </c>
      <c r="N754" t="n">
        <v>0</v>
      </c>
      <c r="O754" t="n">
        <v>0</v>
      </c>
      <c r="P754" t="n">
        <v>0</v>
      </c>
      <c r="Q754" t="n">
        <v>0</v>
      </c>
      <c r="R754" s="2" t="inlineStr"/>
    </row>
    <row r="755" ht="15" customHeight="1">
      <c r="A755" t="inlineStr">
        <is>
          <t>A 44746-2024</t>
        </is>
      </c>
      <c r="B755" s="1" t="n">
        <v>45574.59813657407</v>
      </c>
      <c r="C755" s="1" t="n">
        <v>46091</v>
      </c>
      <c r="D755" t="inlineStr">
        <is>
          <t>VÄSTMANLANDS LÄN</t>
        </is>
      </c>
      <c r="E755" t="inlineStr">
        <is>
          <t>SALA</t>
        </is>
      </c>
      <c r="G755" t="n">
        <v>6.7</v>
      </c>
      <c r="H755" t="n">
        <v>0</v>
      </c>
      <c r="I755" t="n">
        <v>0</v>
      </c>
      <c r="J755" t="n">
        <v>0</v>
      </c>
      <c r="K755" t="n">
        <v>0</v>
      </c>
      <c r="L755" t="n">
        <v>0</v>
      </c>
      <c r="M755" t="n">
        <v>0</v>
      </c>
      <c r="N755" t="n">
        <v>0</v>
      </c>
      <c r="O755" t="n">
        <v>0</v>
      </c>
      <c r="P755" t="n">
        <v>0</v>
      </c>
      <c r="Q755" t="n">
        <v>0</v>
      </c>
      <c r="R755" s="2" t="inlineStr"/>
    </row>
    <row r="756" ht="15" customHeight="1">
      <c r="A756" t="inlineStr">
        <is>
          <t>A 44713-2023</t>
        </is>
      </c>
      <c r="B756" s="1" t="n">
        <v>45184</v>
      </c>
      <c r="C756" s="1" t="n">
        <v>46091</v>
      </c>
      <c r="D756" t="inlineStr">
        <is>
          <t>VÄSTMANLANDS LÄN</t>
        </is>
      </c>
      <c r="E756" t="inlineStr">
        <is>
          <t>SALA</t>
        </is>
      </c>
      <c r="F756" t="inlineStr">
        <is>
          <t>Kyrkan</t>
        </is>
      </c>
      <c r="G756" t="n">
        <v>7.6</v>
      </c>
      <c r="H756" t="n">
        <v>0</v>
      </c>
      <c r="I756" t="n">
        <v>0</v>
      </c>
      <c r="J756" t="n">
        <v>0</v>
      </c>
      <c r="K756" t="n">
        <v>0</v>
      </c>
      <c r="L756" t="n">
        <v>0</v>
      </c>
      <c r="M756" t="n">
        <v>0</v>
      </c>
      <c r="N756" t="n">
        <v>0</v>
      </c>
      <c r="O756" t="n">
        <v>0</v>
      </c>
      <c r="P756" t="n">
        <v>0</v>
      </c>
      <c r="Q756" t="n">
        <v>0</v>
      </c>
      <c r="R756" s="2" t="inlineStr"/>
    </row>
    <row r="757">
      <c r="A757" t="inlineStr">
        <is>
          <t>A 23431-2024</t>
        </is>
      </c>
      <c r="B757" s="1" t="n">
        <v>45453</v>
      </c>
      <c r="C757" s="1" t="n">
        <v>46091</v>
      </c>
      <c r="D757" t="inlineStr">
        <is>
          <t>VÄSTMANLANDS LÄN</t>
        </is>
      </c>
      <c r="E757" t="inlineStr">
        <is>
          <t>SALA</t>
        </is>
      </c>
      <c r="G757" t="n">
        <v>1.6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2026-03-10T11:16:47Z</dcterms:created>
  <dcterms:modified xmlns:dcterms="http://purl.org/dc/terms/" xmlns:xsi="http://www.w3.org/2001/XMLSchema-instance" xsi:type="dcterms:W3CDTF">2026-03-10T11:16:47Z</dcterms:modified>
</cp:coreProperties>
</file>