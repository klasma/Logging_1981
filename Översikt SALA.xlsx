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45644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45644</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45644</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45644</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45644</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45644</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45644</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45644</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45644</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45644</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45644</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45644</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45644</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45644</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45644</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45644</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45644</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45644</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45644</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45644</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45644</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45644</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45644</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45644</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45644</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45644</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45644</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45644</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45644</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45644</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45644</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45644</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45644</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45644</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45644</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45644</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45644</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45644</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45644</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45644</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45644</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45644</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45644</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45644</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45644</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45644</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45644</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45644</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45644</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45644</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45644</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45644</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45644</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45644</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45644</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45644</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45644</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45644</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13973-2021</t>
        </is>
      </c>
      <c r="B62" s="1" t="n">
        <v>44277</v>
      </c>
      <c r="C62" s="1" t="n">
        <v>45644</v>
      </c>
      <c r="D62" t="inlineStr">
        <is>
          <t>VÄSTMANLANDS LÄN</t>
        </is>
      </c>
      <c r="E62" t="inlineStr">
        <is>
          <t>SALA</t>
        </is>
      </c>
      <c r="G62" t="n">
        <v>2</v>
      </c>
      <c r="H62" t="n">
        <v>1</v>
      </c>
      <c r="I62" t="n">
        <v>0</v>
      </c>
      <c r="J62" t="n">
        <v>0</v>
      </c>
      <c r="K62" t="n">
        <v>0</v>
      </c>
      <c r="L62" t="n">
        <v>0</v>
      </c>
      <c r="M62" t="n">
        <v>0</v>
      </c>
      <c r="N62" t="n">
        <v>0</v>
      </c>
      <c r="O62" t="n">
        <v>0</v>
      </c>
      <c r="P62" t="n">
        <v>0</v>
      </c>
      <c r="Q62" t="n">
        <v>1</v>
      </c>
      <c r="R62" s="2" t="inlineStr">
        <is>
          <t>Blåsippa</t>
        </is>
      </c>
      <c r="S62">
        <f>HYPERLINK("https://klasma.github.io/Logging_1981/artfynd/A 13973-2021 artfynd.xlsx", "A 13973-2021")</f>
        <v/>
      </c>
      <c r="T62">
        <f>HYPERLINK("https://klasma.github.io/Logging_1981/kartor/A 13973-2021 karta.png", "A 13973-2021")</f>
        <v/>
      </c>
      <c r="V62">
        <f>HYPERLINK("https://klasma.github.io/Logging_1981/klagomål/A 13973-2021 FSC-klagomål.docx", "A 13973-2021")</f>
        <v/>
      </c>
      <c r="W62">
        <f>HYPERLINK("https://klasma.github.io/Logging_1981/klagomålsmail/A 13973-2021 FSC-klagomål mail.docx", "A 13973-2021")</f>
        <v/>
      </c>
      <c r="X62">
        <f>HYPERLINK("https://klasma.github.io/Logging_1981/tillsyn/A 13973-2021 tillsynsbegäran.docx", "A 13973-2021")</f>
        <v/>
      </c>
      <c r="Y62">
        <f>HYPERLINK("https://klasma.github.io/Logging_1981/tillsynsmail/A 13973-2021 tillsynsbegäran mail.docx", "A 13973-2021")</f>
        <v/>
      </c>
    </row>
    <row r="63" ht="15" customHeight="1">
      <c r="A63" t="inlineStr">
        <is>
          <t>A 44970-2021</t>
        </is>
      </c>
      <c r="B63" s="1" t="n">
        <v>44438</v>
      </c>
      <c r="C63" s="1" t="n">
        <v>45644</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Revlummer</t>
        </is>
      </c>
      <c r="S63">
        <f>HYPERLINK("https://klasma.github.io/Logging_1981/artfynd/A 44970-2021 artfynd.xlsx", "A 44970-2021")</f>
        <v/>
      </c>
      <c r="T63">
        <f>HYPERLINK("https://klasma.github.io/Logging_1981/kartor/A 44970-2021 karta.png", "A 44970-2021")</f>
        <v/>
      </c>
      <c r="V63">
        <f>HYPERLINK("https://klasma.github.io/Logging_1981/klagomål/A 44970-2021 FSC-klagomål.docx", "A 44970-2021")</f>
        <v/>
      </c>
      <c r="W63">
        <f>HYPERLINK("https://klasma.github.io/Logging_1981/klagomålsmail/A 44970-2021 FSC-klagomål mail.docx", "A 44970-2021")</f>
        <v/>
      </c>
      <c r="X63">
        <f>HYPERLINK("https://klasma.github.io/Logging_1981/tillsyn/A 44970-2021 tillsynsbegäran.docx", "A 44970-2021")</f>
        <v/>
      </c>
      <c r="Y63">
        <f>HYPERLINK("https://klasma.github.io/Logging_1981/tillsynsmail/A 44970-2021 tillsynsbegäran mail.docx", "A 44970-2021")</f>
        <v/>
      </c>
    </row>
    <row r="64" ht="15" customHeight="1">
      <c r="A64" t="inlineStr">
        <is>
          <t>A 7919-2022</t>
        </is>
      </c>
      <c r="B64" s="1" t="n">
        <v>44608</v>
      </c>
      <c r="C64" s="1" t="n">
        <v>45644</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15988-2022</t>
        </is>
      </c>
      <c r="B65" s="1" t="n">
        <v>44664</v>
      </c>
      <c r="C65" s="1" t="n">
        <v>45644</v>
      </c>
      <c r="D65" t="inlineStr">
        <is>
          <t>VÄSTMANLANDS LÄN</t>
        </is>
      </c>
      <c r="E65" t="inlineStr">
        <is>
          <t>SALA</t>
        </is>
      </c>
      <c r="G65" t="n">
        <v>5</v>
      </c>
      <c r="H65" t="n">
        <v>1</v>
      </c>
      <c r="I65" t="n">
        <v>0</v>
      </c>
      <c r="J65" t="n">
        <v>0</v>
      </c>
      <c r="K65" t="n">
        <v>1</v>
      </c>
      <c r="L65" t="n">
        <v>0</v>
      </c>
      <c r="M65" t="n">
        <v>0</v>
      </c>
      <c r="N65" t="n">
        <v>0</v>
      </c>
      <c r="O65" t="n">
        <v>1</v>
      </c>
      <c r="P65" t="n">
        <v>1</v>
      </c>
      <c r="Q65" t="n">
        <v>1</v>
      </c>
      <c r="R65" s="2" t="inlineStr">
        <is>
          <t>Knärot</t>
        </is>
      </c>
      <c r="S65">
        <f>HYPERLINK("https://klasma.github.io/Logging_1981/artfynd/A 15988-2022 artfynd.xlsx", "A 15988-2022")</f>
        <v/>
      </c>
      <c r="T65">
        <f>HYPERLINK("https://klasma.github.io/Logging_1981/kartor/A 15988-2022 karta.png", "A 15988-2022")</f>
        <v/>
      </c>
      <c r="U65">
        <f>HYPERLINK("https://klasma.github.io/Logging_1981/knärot/A 15988-2022 karta knärot.png", "A 15988-2022")</f>
        <v/>
      </c>
      <c r="V65">
        <f>HYPERLINK("https://klasma.github.io/Logging_1981/klagomål/A 15988-2022 FSC-klagomål.docx", "A 15988-2022")</f>
        <v/>
      </c>
      <c r="W65">
        <f>HYPERLINK("https://klasma.github.io/Logging_1981/klagomålsmail/A 15988-2022 FSC-klagomål mail.docx", "A 15988-2022")</f>
        <v/>
      </c>
      <c r="X65">
        <f>HYPERLINK("https://klasma.github.io/Logging_1981/tillsyn/A 15988-2022 tillsynsbegäran.docx", "A 15988-2022")</f>
        <v/>
      </c>
      <c r="Y65">
        <f>HYPERLINK("https://klasma.github.io/Logging_1981/tillsynsmail/A 15988-2022 tillsynsbegäran mail.docx", "A 15988-2022")</f>
        <v/>
      </c>
    </row>
    <row r="66" ht="15" customHeight="1">
      <c r="A66" t="inlineStr">
        <is>
          <t>A 29985-2022</t>
        </is>
      </c>
      <c r="B66" s="1" t="n">
        <v>44756</v>
      </c>
      <c r="C66" s="1" t="n">
        <v>45644</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43705-2022</t>
        </is>
      </c>
      <c r="B67" s="1" t="n">
        <v>44837</v>
      </c>
      <c r="C67" s="1" t="n">
        <v>45644</v>
      </c>
      <c r="D67" t="inlineStr">
        <is>
          <t>VÄSTMANLANDS LÄN</t>
        </is>
      </c>
      <c r="E67" t="inlineStr">
        <is>
          <t>SALA</t>
        </is>
      </c>
      <c r="G67" t="n">
        <v>2.9</v>
      </c>
      <c r="H67" t="n">
        <v>1</v>
      </c>
      <c r="I67" t="n">
        <v>0</v>
      </c>
      <c r="J67" t="n">
        <v>0</v>
      </c>
      <c r="K67" t="n">
        <v>1</v>
      </c>
      <c r="L67" t="n">
        <v>0</v>
      </c>
      <c r="M67" t="n">
        <v>0</v>
      </c>
      <c r="N67" t="n">
        <v>0</v>
      </c>
      <c r="O67" t="n">
        <v>1</v>
      </c>
      <c r="P67" t="n">
        <v>1</v>
      </c>
      <c r="Q67" t="n">
        <v>1</v>
      </c>
      <c r="R67" s="2" t="inlineStr">
        <is>
          <t>Knärot</t>
        </is>
      </c>
      <c r="S67">
        <f>HYPERLINK("https://klasma.github.io/Logging_1981/artfynd/A 43705-2022 artfynd.xlsx", "A 43705-2022")</f>
        <v/>
      </c>
      <c r="T67">
        <f>HYPERLINK("https://klasma.github.io/Logging_1981/kartor/A 43705-2022 karta.png", "A 43705-2022")</f>
        <v/>
      </c>
      <c r="U67">
        <f>HYPERLINK("https://klasma.github.io/Logging_1981/knärot/A 43705-2022 karta knärot.png", "A 43705-2022")</f>
        <v/>
      </c>
      <c r="V67">
        <f>HYPERLINK("https://klasma.github.io/Logging_1981/klagomål/A 43705-2022 FSC-klagomål.docx", "A 43705-2022")</f>
        <v/>
      </c>
      <c r="W67">
        <f>HYPERLINK("https://klasma.github.io/Logging_1981/klagomålsmail/A 43705-2022 FSC-klagomål mail.docx", "A 43705-2022")</f>
        <v/>
      </c>
      <c r="X67">
        <f>HYPERLINK("https://klasma.github.io/Logging_1981/tillsyn/A 43705-2022 tillsynsbegäran.docx", "A 43705-2022")</f>
        <v/>
      </c>
      <c r="Y67">
        <f>HYPERLINK("https://klasma.github.io/Logging_1981/tillsynsmail/A 43705-2022 tillsynsbegäran mail.docx", "A 43705-2022")</f>
        <v/>
      </c>
    </row>
    <row r="68" ht="15" customHeight="1">
      <c r="A68" t="inlineStr">
        <is>
          <t>A 56704-2022</t>
        </is>
      </c>
      <c r="B68" s="1" t="n">
        <v>44893</v>
      </c>
      <c r="C68" s="1" t="n">
        <v>45644</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7731-2023</t>
        </is>
      </c>
      <c r="B69" s="1" t="n">
        <v>44973</v>
      </c>
      <c r="C69" s="1" t="n">
        <v>45644</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14775-2023</t>
        </is>
      </c>
      <c r="B70" s="1" t="n">
        <v>45014</v>
      </c>
      <c r="C70" s="1" t="n">
        <v>45644</v>
      </c>
      <c r="D70" t="inlineStr">
        <is>
          <t>VÄSTMANLANDS LÄN</t>
        </is>
      </c>
      <c r="E70" t="inlineStr">
        <is>
          <t>SALA</t>
        </is>
      </c>
      <c r="G70" t="n">
        <v>1.3</v>
      </c>
      <c r="H70" t="n">
        <v>1</v>
      </c>
      <c r="I70" t="n">
        <v>0</v>
      </c>
      <c r="J70" t="n">
        <v>0</v>
      </c>
      <c r="K70" t="n">
        <v>1</v>
      </c>
      <c r="L70" t="n">
        <v>0</v>
      </c>
      <c r="M70" t="n">
        <v>0</v>
      </c>
      <c r="N70" t="n">
        <v>0</v>
      </c>
      <c r="O70" t="n">
        <v>1</v>
      </c>
      <c r="P70" t="n">
        <v>1</v>
      </c>
      <c r="Q70" t="n">
        <v>1</v>
      </c>
      <c r="R70" s="2" t="inlineStr">
        <is>
          <t>Knärot</t>
        </is>
      </c>
      <c r="S70">
        <f>HYPERLINK("https://klasma.github.io/Logging_1981/artfynd/A 14775-2023 artfynd.xlsx", "A 14775-2023")</f>
        <v/>
      </c>
      <c r="T70">
        <f>HYPERLINK("https://klasma.github.io/Logging_1981/kartor/A 14775-2023 karta.png", "A 14775-2023")</f>
        <v/>
      </c>
      <c r="U70">
        <f>HYPERLINK("https://klasma.github.io/Logging_1981/knärot/A 14775-2023 karta knärot.png", "A 14775-2023")</f>
        <v/>
      </c>
      <c r="V70">
        <f>HYPERLINK("https://klasma.github.io/Logging_1981/klagomål/A 14775-2023 FSC-klagomål.docx", "A 14775-2023")</f>
        <v/>
      </c>
      <c r="W70">
        <f>HYPERLINK("https://klasma.github.io/Logging_1981/klagomålsmail/A 14775-2023 FSC-klagomål mail.docx", "A 14775-2023")</f>
        <v/>
      </c>
      <c r="X70">
        <f>HYPERLINK("https://klasma.github.io/Logging_1981/tillsyn/A 14775-2023 tillsynsbegäran.docx", "A 14775-2023")</f>
        <v/>
      </c>
      <c r="Y70">
        <f>HYPERLINK("https://klasma.github.io/Logging_1981/tillsynsmail/A 14775-2023 tillsynsbegäran mail.docx", "A 14775-2023")</f>
        <v/>
      </c>
    </row>
    <row r="71" ht="15" customHeight="1">
      <c r="A71" t="inlineStr">
        <is>
          <t>A 29727-2023</t>
        </is>
      </c>
      <c r="B71" s="1" t="n">
        <v>45107</v>
      </c>
      <c r="C71" s="1" t="n">
        <v>45644</v>
      </c>
      <c r="D71" t="inlineStr">
        <is>
          <t>VÄSTMANLANDS LÄN</t>
        </is>
      </c>
      <c r="E71" t="inlineStr">
        <is>
          <t>SALA</t>
        </is>
      </c>
      <c r="G71" t="n">
        <v>1.9</v>
      </c>
      <c r="H71" t="n">
        <v>0</v>
      </c>
      <c r="I71" t="n">
        <v>0</v>
      </c>
      <c r="J71" t="n">
        <v>1</v>
      </c>
      <c r="K71" t="n">
        <v>0</v>
      </c>
      <c r="L71" t="n">
        <v>0</v>
      </c>
      <c r="M71" t="n">
        <v>0</v>
      </c>
      <c r="N71" t="n">
        <v>0</v>
      </c>
      <c r="O71" t="n">
        <v>1</v>
      </c>
      <c r="P71" t="n">
        <v>0</v>
      </c>
      <c r="Q71" t="n">
        <v>1</v>
      </c>
      <c r="R71" s="2" t="inlineStr">
        <is>
          <t>Vedtrappmossa</t>
        </is>
      </c>
      <c r="S71">
        <f>HYPERLINK("https://klasma.github.io/Logging_1981/artfynd/A 29727-2023 artfynd.xlsx", "A 29727-2023")</f>
        <v/>
      </c>
      <c r="T71">
        <f>HYPERLINK("https://klasma.github.io/Logging_1981/kartor/A 29727-2023 karta.png", "A 29727-2023")</f>
        <v/>
      </c>
      <c r="V71">
        <f>HYPERLINK("https://klasma.github.io/Logging_1981/klagomål/A 29727-2023 FSC-klagomål.docx", "A 29727-2023")</f>
        <v/>
      </c>
      <c r="W71">
        <f>HYPERLINK("https://klasma.github.io/Logging_1981/klagomålsmail/A 29727-2023 FSC-klagomål mail.docx", "A 29727-2023")</f>
        <v/>
      </c>
      <c r="X71">
        <f>HYPERLINK("https://klasma.github.io/Logging_1981/tillsyn/A 29727-2023 tillsynsbegäran.docx", "A 29727-2023")</f>
        <v/>
      </c>
      <c r="Y71">
        <f>HYPERLINK("https://klasma.github.io/Logging_1981/tillsynsmail/A 29727-2023 tillsynsbegäran mail.docx", "A 29727-2023")</f>
        <v/>
      </c>
    </row>
    <row r="72" ht="15" customHeight="1">
      <c r="A72" t="inlineStr">
        <is>
          <t>A 31535-2023</t>
        </is>
      </c>
      <c r="B72" s="1" t="n">
        <v>45116</v>
      </c>
      <c r="C72" s="1" t="n">
        <v>45644</v>
      </c>
      <c r="D72" t="inlineStr">
        <is>
          <t>VÄSTMANLANDS LÄN</t>
        </is>
      </c>
      <c r="E72" t="inlineStr">
        <is>
          <t>SALA</t>
        </is>
      </c>
      <c r="G72" t="n">
        <v>0.9</v>
      </c>
      <c r="H72" t="n">
        <v>0</v>
      </c>
      <c r="I72" t="n">
        <v>0</v>
      </c>
      <c r="J72" t="n">
        <v>1</v>
      </c>
      <c r="K72" t="n">
        <v>0</v>
      </c>
      <c r="L72" t="n">
        <v>0</v>
      </c>
      <c r="M72" t="n">
        <v>0</v>
      </c>
      <c r="N72" t="n">
        <v>0</v>
      </c>
      <c r="O72" t="n">
        <v>1</v>
      </c>
      <c r="P72" t="n">
        <v>0</v>
      </c>
      <c r="Q72" t="n">
        <v>1</v>
      </c>
      <c r="R72" s="2" t="inlineStr">
        <is>
          <t>Orange taggsvamp</t>
        </is>
      </c>
      <c r="S72">
        <f>HYPERLINK("https://klasma.github.io/Logging_1981/artfynd/A 31535-2023 artfynd.xlsx", "A 31535-2023")</f>
        <v/>
      </c>
      <c r="T72">
        <f>HYPERLINK("https://klasma.github.io/Logging_1981/kartor/A 31535-2023 karta.png", "A 31535-2023")</f>
        <v/>
      </c>
      <c r="V72">
        <f>HYPERLINK("https://klasma.github.io/Logging_1981/klagomål/A 31535-2023 FSC-klagomål.docx", "A 31535-2023")</f>
        <v/>
      </c>
      <c r="W72">
        <f>HYPERLINK("https://klasma.github.io/Logging_1981/klagomålsmail/A 31535-2023 FSC-klagomål mail.docx", "A 31535-2023")</f>
        <v/>
      </c>
      <c r="X72">
        <f>HYPERLINK("https://klasma.github.io/Logging_1981/tillsyn/A 31535-2023 tillsynsbegäran.docx", "A 31535-2023")</f>
        <v/>
      </c>
      <c r="Y72">
        <f>HYPERLINK("https://klasma.github.io/Logging_1981/tillsynsmail/A 31535-2023 tillsynsbegäran mail.docx", "A 31535-2023")</f>
        <v/>
      </c>
    </row>
    <row r="73" ht="15" customHeight="1">
      <c r="A73" t="inlineStr">
        <is>
          <t>A 43175-2023</t>
        </is>
      </c>
      <c r="B73" s="1" t="n">
        <v>45183</v>
      </c>
      <c r="C73" s="1" t="n">
        <v>45644</v>
      </c>
      <c r="D73" t="inlineStr">
        <is>
          <t>VÄSTMANLANDS LÄN</t>
        </is>
      </c>
      <c r="E73" t="inlineStr">
        <is>
          <t>SALA</t>
        </is>
      </c>
      <c r="G73" t="n">
        <v>5.6</v>
      </c>
      <c r="H73" t="n">
        <v>0</v>
      </c>
      <c r="I73" t="n">
        <v>1</v>
      </c>
      <c r="J73" t="n">
        <v>0</v>
      </c>
      <c r="K73" t="n">
        <v>0</v>
      </c>
      <c r="L73" t="n">
        <v>0</v>
      </c>
      <c r="M73" t="n">
        <v>0</v>
      </c>
      <c r="N73" t="n">
        <v>0</v>
      </c>
      <c r="O73" t="n">
        <v>0</v>
      </c>
      <c r="P73" t="n">
        <v>0</v>
      </c>
      <c r="Q73" t="n">
        <v>1</v>
      </c>
      <c r="R73" s="2" t="inlineStr">
        <is>
          <t>Grönpyrola</t>
        </is>
      </c>
      <c r="S73">
        <f>HYPERLINK("https://klasma.github.io/Logging_1981/artfynd/A 43175-2023 artfynd.xlsx", "A 43175-2023")</f>
        <v/>
      </c>
      <c r="T73">
        <f>HYPERLINK("https://klasma.github.io/Logging_1981/kartor/A 43175-2023 karta.png", "A 43175-2023")</f>
        <v/>
      </c>
      <c r="V73">
        <f>HYPERLINK("https://klasma.github.io/Logging_1981/klagomål/A 43175-2023 FSC-klagomål.docx", "A 43175-2023")</f>
        <v/>
      </c>
      <c r="W73">
        <f>HYPERLINK("https://klasma.github.io/Logging_1981/klagomålsmail/A 43175-2023 FSC-klagomål mail.docx", "A 43175-2023")</f>
        <v/>
      </c>
      <c r="X73">
        <f>HYPERLINK("https://klasma.github.io/Logging_1981/tillsyn/A 43175-2023 tillsynsbegäran.docx", "A 43175-2023")</f>
        <v/>
      </c>
      <c r="Y73">
        <f>HYPERLINK("https://klasma.github.io/Logging_1981/tillsynsmail/A 43175-2023 tillsynsbegäran mail.docx", "A 43175-2023")</f>
        <v/>
      </c>
    </row>
    <row r="74" ht="15" customHeight="1">
      <c r="A74" t="inlineStr">
        <is>
          <t>A 55550-2023</t>
        </is>
      </c>
      <c r="B74" s="1" t="n">
        <v>45232</v>
      </c>
      <c r="C74" s="1" t="n">
        <v>45644</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3534-2024</t>
        </is>
      </c>
      <c r="B75" s="1" t="n">
        <v>45320</v>
      </c>
      <c r="C75" s="1" t="n">
        <v>45644</v>
      </c>
      <c r="D75" t="inlineStr">
        <is>
          <t>VÄSTMANLANDS LÄN</t>
        </is>
      </c>
      <c r="E75" t="inlineStr">
        <is>
          <t>SALA</t>
        </is>
      </c>
      <c r="G75" t="n">
        <v>1.9</v>
      </c>
      <c r="H75" t="n">
        <v>1</v>
      </c>
      <c r="I75" t="n">
        <v>0</v>
      </c>
      <c r="J75" t="n">
        <v>0</v>
      </c>
      <c r="K75" t="n">
        <v>0</v>
      </c>
      <c r="L75" t="n">
        <v>1</v>
      </c>
      <c r="M75" t="n">
        <v>0</v>
      </c>
      <c r="N75" t="n">
        <v>0</v>
      </c>
      <c r="O75" t="n">
        <v>1</v>
      </c>
      <c r="P75" t="n">
        <v>1</v>
      </c>
      <c r="Q75" t="n">
        <v>1</v>
      </c>
      <c r="R75" s="2" t="inlineStr">
        <is>
          <t>Mosippa</t>
        </is>
      </c>
      <c r="S75">
        <f>HYPERLINK("https://klasma.github.io/Logging_1981/artfynd/A 3534-2024 artfynd.xlsx", "A 3534-2024")</f>
        <v/>
      </c>
      <c r="T75">
        <f>HYPERLINK("https://klasma.github.io/Logging_1981/kartor/A 3534-2024 karta.png", "A 3534-2024")</f>
        <v/>
      </c>
      <c r="V75">
        <f>HYPERLINK("https://klasma.github.io/Logging_1981/klagomål/A 3534-2024 FSC-klagomål.docx", "A 3534-2024")</f>
        <v/>
      </c>
      <c r="W75">
        <f>HYPERLINK("https://klasma.github.io/Logging_1981/klagomålsmail/A 3534-2024 FSC-klagomål mail.docx", "A 3534-2024")</f>
        <v/>
      </c>
      <c r="X75">
        <f>HYPERLINK("https://klasma.github.io/Logging_1981/tillsyn/A 3534-2024 tillsynsbegäran.docx", "A 3534-2024")</f>
        <v/>
      </c>
      <c r="Y75">
        <f>HYPERLINK("https://klasma.github.io/Logging_1981/tillsynsmail/A 3534-2024 tillsynsbegäran mail.docx", "A 3534-2024")</f>
        <v/>
      </c>
    </row>
    <row r="76" ht="15" customHeight="1">
      <c r="A76" t="inlineStr">
        <is>
          <t>A 12434-2024</t>
        </is>
      </c>
      <c r="B76" s="1" t="n">
        <v>45379</v>
      </c>
      <c r="C76" s="1" t="n">
        <v>45644</v>
      </c>
      <c r="D76" t="inlineStr">
        <is>
          <t>VÄSTMANLANDS LÄN</t>
        </is>
      </c>
      <c r="E76" t="inlineStr">
        <is>
          <t>SALA</t>
        </is>
      </c>
      <c r="G76" t="n">
        <v>7.8</v>
      </c>
      <c r="H76" t="n">
        <v>1</v>
      </c>
      <c r="I76" t="n">
        <v>0</v>
      </c>
      <c r="J76" t="n">
        <v>0</v>
      </c>
      <c r="K76" t="n">
        <v>1</v>
      </c>
      <c r="L76" t="n">
        <v>0</v>
      </c>
      <c r="M76" t="n">
        <v>0</v>
      </c>
      <c r="N76" t="n">
        <v>0</v>
      </c>
      <c r="O76" t="n">
        <v>1</v>
      </c>
      <c r="P76" t="n">
        <v>1</v>
      </c>
      <c r="Q76" t="n">
        <v>1</v>
      </c>
      <c r="R76" s="2" t="inlineStr">
        <is>
          <t>Knärot</t>
        </is>
      </c>
      <c r="S76">
        <f>HYPERLINK("https://klasma.github.io/Logging_1981/artfynd/A 12434-2024 artfynd.xlsx", "A 12434-2024")</f>
        <v/>
      </c>
      <c r="T76">
        <f>HYPERLINK("https://klasma.github.io/Logging_1981/kartor/A 12434-2024 karta.png", "A 12434-2024")</f>
        <v/>
      </c>
      <c r="U76">
        <f>HYPERLINK("https://klasma.github.io/Logging_1981/knärot/A 12434-2024 karta knärot.png", "A 12434-2024")</f>
        <v/>
      </c>
      <c r="V76">
        <f>HYPERLINK("https://klasma.github.io/Logging_1981/klagomål/A 12434-2024 FSC-klagomål.docx", "A 12434-2024")</f>
        <v/>
      </c>
      <c r="W76">
        <f>HYPERLINK("https://klasma.github.io/Logging_1981/klagomålsmail/A 12434-2024 FSC-klagomål mail.docx", "A 12434-2024")</f>
        <v/>
      </c>
      <c r="X76">
        <f>HYPERLINK("https://klasma.github.io/Logging_1981/tillsyn/A 12434-2024 tillsynsbegäran.docx", "A 12434-2024")</f>
        <v/>
      </c>
      <c r="Y76">
        <f>HYPERLINK("https://klasma.github.io/Logging_1981/tillsynsmail/A 12434-2024 tillsynsbegäran mail.docx", "A 12434-2024")</f>
        <v/>
      </c>
    </row>
    <row r="77" ht="15" customHeight="1">
      <c r="A77" t="inlineStr">
        <is>
          <t>A 19716-2024</t>
        </is>
      </c>
      <c r="B77" s="1" t="n">
        <v>45432</v>
      </c>
      <c r="C77" s="1" t="n">
        <v>45644</v>
      </c>
      <c r="D77" t="inlineStr">
        <is>
          <t>VÄSTMANLANDS LÄN</t>
        </is>
      </c>
      <c r="E77" t="inlineStr">
        <is>
          <t>SALA</t>
        </is>
      </c>
      <c r="G77" t="n">
        <v>5.5</v>
      </c>
      <c r="H77" t="n">
        <v>1</v>
      </c>
      <c r="I77" t="n">
        <v>0</v>
      </c>
      <c r="J77" t="n">
        <v>0</v>
      </c>
      <c r="K77" t="n">
        <v>0</v>
      </c>
      <c r="L77" t="n">
        <v>0</v>
      </c>
      <c r="M77" t="n">
        <v>0</v>
      </c>
      <c r="N77" t="n">
        <v>0</v>
      </c>
      <c r="O77" t="n">
        <v>0</v>
      </c>
      <c r="P77" t="n">
        <v>0</v>
      </c>
      <c r="Q77" t="n">
        <v>1</v>
      </c>
      <c r="R77" s="2" t="inlineStr">
        <is>
          <t>Fläcknycklar</t>
        </is>
      </c>
      <c r="S77">
        <f>HYPERLINK("https://klasma.github.io/Logging_1981/artfynd/A 19716-2024 artfynd.xlsx", "A 19716-2024")</f>
        <v/>
      </c>
      <c r="T77">
        <f>HYPERLINK("https://klasma.github.io/Logging_1981/kartor/A 19716-2024 karta.png", "A 19716-2024")</f>
        <v/>
      </c>
      <c r="V77">
        <f>HYPERLINK("https://klasma.github.io/Logging_1981/klagomål/A 19716-2024 FSC-klagomål.docx", "A 19716-2024")</f>
        <v/>
      </c>
      <c r="W77">
        <f>HYPERLINK("https://klasma.github.io/Logging_1981/klagomålsmail/A 19716-2024 FSC-klagomål mail.docx", "A 19716-2024")</f>
        <v/>
      </c>
      <c r="X77">
        <f>HYPERLINK("https://klasma.github.io/Logging_1981/tillsyn/A 19716-2024 tillsynsbegäran.docx", "A 19716-2024")</f>
        <v/>
      </c>
      <c r="Y77">
        <f>HYPERLINK("https://klasma.github.io/Logging_1981/tillsynsmail/A 19716-2024 tillsynsbegäran mail.docx", "A 19716-2024")</f>
        <v/>
      </c>
    </row>
    <row r="78" ht="15" customHeight="1">
      <c r="A78" t="inlineStr">
        <is>
          <t>A 22350-2024</t>
        </is>
      </c>
      <c r="B78" s="1" t="n">
        <v>45446</v>
      </c>
      <c r="C78" s="1" t="n">
        <v>45644</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Blåsippa</t>
        </is>
      </c>
      <c r="S78">
        <f>HYPERLINK("https://klasma.github.io/Logging_1981/artfynd/A 22350-2024 artfynd.xlsx", "A 22350-2024")</f>
        <v/>
      </c>
      <c r="T78">
        <f>HYPERLINK("https://klasma.github.io/Logging_1981/kartor/A 22350-2024 karta.png", "A 22350-2024")</f>
        <v/>
      </c>
      <c r="V78">
        <f>HYPERLINK("https://klasma.github.io/Logging_1981/klagomål/A 22350-2024 FSC-klagomål.docx", "A 22350-2024")</f>
        <v/>
      </c>
      <c r="W78">
        <f>HYPERLINK("https://klasma.github.io/Logging_1981/klagomålsmail/A 22350-2024 FSC-klagomål mail.docx", "A 22350-2024")</f>
        <v/>
      </c>
      <c r="X78">
        <f>HYPERLINK("https://klasma.github.io/Logging_1981/tillsyn/A 22350-2024 tillsynsbegäran.docx", "A 22350-2024")</f>
        <v/>
      </c>
      <c r="Y78">
        <f>HYPERLINK("https://klasma.github.io/Logging_1981/tillsynsmail/A 22350-2024 tillsynsbegäran mail.docx", "A 22350-2024")</f>
        <v/>
      </c>
    </row>
    <row r="79" ht="15" customHeight="1">
      <c r="A79" t="inlineStr">
        <is>
          <t>A 27591-2024</t>
        </is>
      </c>
      <c r="B79" s="1" t="n">
        <v>45474</v>
      </c>
      <c r="C79" s="1" t="n">
        <v>45644</v>
      </c>
      <c r="D79" t="inlineStr">
        <is>
          <t>VÄSTMANLANDS LÄN</t>
        </is>
      </c>
      <c r="E79" t="inlineStr">
        <is>
          <t>SALA</t>
        </is>
      </c>
      <c r="G79" t="n">
        <v>5.1</v>
      </c>
      <c r="H79" t="n">
        <v>1</v>
      </c>
      <c r="I79" t="n">
        <v>0</v>
      </c>
      <c r="J79" t="n">
        <v>1</v>
      </c>
      <c r="K79" t="n">
        <v>0</v>
      </c>
      <c r="L79" t="n">
        <v>0</v>
      </c>
      <c r="M79" t="n">
        <v>0</v>
      </c>
      <c r="N79" t="n">
        <v>0</v>
      </c>
      <c r="O79" t="n">
        <v>1</v>
      </c>
      <c r="P79" t="n">
        <v>0</v>
      </c>
      <c r="Q79" t="n">
        <v>1</v>
      </c>
      <c r="R79" s="2" t="inlineStr">
        <is>
          <t>Spillkråka</t>
        </is>
      </c>
      <c r="S79">
        <f>HYPERLINK("https://klasma.github.io/Logging_1981/artfynd/A 27591-2024 artfynd.xlsx", "A 27591-2024")</f>
        <v/>
      </c>
      <c r="T79">
        <f>HYPERLINK("https://klasma.github.io/Logging_1981/kartor/A 27591-2024 karta.png", "A 27591-2024")</f>
        <v/>
      </c>
      <c r="V79">
        <f>HYPERLINK("https://klasma.github.io/Logging_1981/klagomål/A 27591-2024 FSC-klagomål.docx", "A 27591-2024")</f>
        <v/>
      </c>
      <c r="W79">
        <f>HYPERLINK("https://klasma.github.io/Logging_1981/klagomålsmail/A 27591-2024 FSC-klagomål mail.docx", "A 27591-2024")</f>
        <v/>
      </c>
      <c r="X79">
        <f>HYPERLINK("https://klasma.github.io/Logging_1981/tillsyn/A 27591-2024 tillsynsbegäran.docx", "A 27591-2024")</f>
        <v/>
      </c>
      <c r="Y79">
        <f>HYPERLINK("https://klasma.github.io/Logging_1981/tillsynsmail/A 27591-2024 tillsynsbegäran mail.docx", "A 27591-2024")</f>
        <v/>
      </c>
      <c r="Z79">
        <f>HYPERLINK("https://klasma.github.io/Logging_1981/fåglar/A 27591-2024 prioriterade fågelarter.docx", "A 27591-2024")</f>
        <v/>
      </c>
    </row>
    <row r="80" ht="15" customHeight="1">
      <c r="A80" t="inlineStr">
        <is>
          <t>A 41270-2024</t>
        </is>
      </c>
      <c r="B80" s="1" t="n">
        <v>45559</v>
      </c>
      <c r="C80" s="1" t="n">
        <v>45644</v>
      </c>
      <c r="D80" t="inlineStr">
        <is>
          <t>VÄSTMANLANDS LÄN</t>
        </is>
      </c>
      <c r="E80" t="inlineStr">
        <is>
          <t>SALA</t>
        </is>
      </c>
      <c r="G80" t="n">
        <v>15.2</v>
      </c>
      <c r="H80" t="n">
        <v>1</v>
      </c>
      <c r="I80" t="n">
        <v>0</v>
      </c>
      <c r="J80" t="n">
        <v>1</v>
      </c>
      <c r="K80" t="n">
        <v>0</v>
      </c>
      <c r="L80" t="n">
        <v>0</v>
      </c>
      <c r="M80" t="n">
        <v>0</v>
      </c>
      <c r="N80" t="n">
        <v>0</v>
      </c>
      <c r="O80" t="n">
        <v>1</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43068-2024</t>
        </is>
      </c>
      <c r="B81" s="1" t="n">
        <v>45567</v>
      </c>
      <c r="C81" s="1" t="n">
        <v>45644</v>
      </c>
      <c r="D81" t="inlineStr">
        <is>
          <t>VÄSTMANLANDS LÄN</t>
        </is>
      </c>
      <c r="E81" t="inlineStr">
        <is>
          <t>SALA</t>
        </is>
      </c>
      <c r="G81" t="n">
        <v>1.1</v>
      </c>
      <c r="H81" t="n">
        <v>0</v>
      </c>
      <c r="I81" t="n">
        <v>1</v>
      </c>
      <c r="J81" t="n">
        <v>0</v>
      </c>
      <c r="K81" t="n">
        <v>0</v>
      </c>
      <c r="L81" t="n">
        <v>0</v>
      </c>
      <c r="M81" t="n">
        <v>0</v>
      </c>
      <c r="N81" t="n">
        <v>0</v>
      </c>
      <c r="O81" t="n">
        <v>0</v>
      </c>
      <c r="P81" t="n">
        <v>0</v>
      </c>
      <c r="Q81" t="n">
        <v>1</v>
      </c>
      <c r="R81" s="2" t="inlineStr">
        <is>
          <t>Vedticka</t>
        </is>
      </c>
      <c r="S81">
        <f>HYPERLINK("https://klasma.github.io/Logging_1981/artfynd/A 43068-2024 artfynd.xlsx", "A 43068-2024")</f>
        <v/>
      </c>
      <c r="T81">
        <f>HYPERLINK("https://klasma.github.io/Logging_1981/kartor/A 43068-2024 karta.png", "A 43068-2024")</f>
        <v/>
      </c>
      <c r="V81">
        <f>HYPERLINK("https://klasma.github.io/Logging_1981/klagomål/A 43068-2024 FSC-klagomål.docx", "A 43068-2024")</f>
        <v/>
      </c>
      <c r="W81">
        <f>HYPERLINK("https://klasma.github.io/Logging_1981/klagomålsmail/A 43068-2024 FSC-klagomål mail.docx", "A 43068-2024")</f>
        <v/>
      </c>
      <c r="X81">
        <f>HYPERLINK("https://klasma.github.io/Logging_1981/tillsyn/A 43068-2024 tillsynsbegäran.docx", "A 43068-2024")</f>
        <v/>
      </c>
      <c r="Y81">
        <f>HYPERLINK("https://klasma.github.io/Logging_1981/tillsynsmail/A 43068-2024 tillsynsbegäran mail.docx", "A 43068-2024")</f>
        <v/>
      </c>
    </row>
    <row r="82" ht="15" customHeight="1">
      <c r="A82" t="inlineStr">
        <is>
          <t>A 18255-2019</t>
        </is>
      </c>
      <c r="B82" s="1" t="n">
        <v>43558</v>
      </c>
      <c r="C82" s="1" t="n">
        <v>45644</v>
      </c>
      <c r="D82" t="inlineStr">
        <is>
          <t>VÄSTMANLANDS LÄN</t>
        </is>
      </c>
      <c r="E82" t="inlineStr">
        <is>
          <t>SALA</t>
        </is>
      </c>
      <c r="F82" t="inlineStr">
        <is>
          <t>Kommuner</t>
        </is>
      </c>
      <c r="G82" t="n">
        <v>2.2</v>
      </c>
      <c r="H82" t="n">
        <v>0</v>
      </c>
      <c r="I82" t="n">
        <v>0</v>
      </c>
      <c r="J82" t="n">
        <v>0</v>
      </c>
      <c r="K82" t="n">
        <v>0</v>
      </c>
      <c r="L82" t="n">
        <v>0</v>
      </c>
      <c r="M82" t="n">
        <v>0</v>
      </c>
      <c r="N82" t="n">
        <v>0</v>
      </c>
      <c r="O82" t="n">
        <v>0</v>
      </c>
      <c r="P82" t="n">
        <v>0</v>
      </c>
      <c r="Q82" t="n">
        <v>0</v>
      </c>
      <c r="R82" s="2" t="inlineStr"/>
    </row>
    <row r="83" ht="15" customHeight="1">
      <c r="A83" t="inlineStr">
        <is>
          <t>A 18352-2019</t>
        </is>
      </c>
      <c r="B83" s="1" t="n">
        <v>43559</v>
      </c>
      <c r="C83" s="1" t="n">
        <v>45644</v>
      </c>
      <c r="D83" t="inlineStr">
        <is>
          <t>VÄSTMANLANDS LÄN</t>
        </is>
      </c>
      <c r="E83" t="inlineStr">
        <is>
          <t>SALA</t>
        </is>
      </c>
      <c r="F83" t="inlineStr">
        <is>
          <t>Kommuner</t>
        </is>
      </c>
      <c r="G83" t="n">
        <v>1.7</v>
      </c>
      <c r="H83" t="n">
        <v>0</v>
      </c>
      <c r="I83" t="n">
        <v>0</v>
      </c>
      <c r="J83" t="n">
        <v>0</v>
      </c>
      <c r="K83" t="n">
        <v>0</v>
      </c>
      <c r="L83" t="n">
        <v>0</v>
      </c>
      <c r="M83" t="n">
        <v>0</v>
      </c>
      <c r="N83" t="n">
        <v>0</v>
      </c>
      <c r="O83" t="n">
        <v>0</v>
      </c>
      <c r="P83" t="n">
        <v>0</v>
      </c>
      <c r="Q83" t="n">
        <v>0</v>
      </c>
      <c r="R83" s="2" t="inlineStr"/>
    </row>
    <row r="84" ht="15" customHeight="1">
      <c r="A84" t="inlineStr">
        <is>
          <t>A 18791-2019</t>
        </is>
      </c>
      <c r="B84" s="1" t="n">
        <v>43562</v>
      </c>
      <c r="C84" s="1" t="n">
        <v>45644</v>
      </c>
      <c r="D84" t="inlineStr">
        <is>
          <t>VÄSTMANLANDS LÄN</t>
        </is>
      </c>
      <c r="E84" t="inlineStr">
        <is>
          <t>SALA</t>
        </is>
      </c>
      <c r="G84" t="n">
        <v>3.4</v>
      </c>
      <c r="H84" t="n">
        <v>0</v>
      </c>
      <c r="I84" t="n">
        <v>0</v>
      </c>
      <c r="J84" t="n">
        <v>0</v>
      </c>
      <c r="K84" t="n">
        <v>0</v>
      </c>
      <c r="L84" t="n">
        <v>0</v>
      </c>
      <c r="M84" t="n">
        <v>0</v>
      </c>
      <c r="N84" t="n">
        <v>0</v>
      </c>
      <c r="O84" t="n">
        <v>0</v>
      </c>
      <c r="P84" t="n">
        <v>0</v>
      </c>
      <c r="Q84" t="n">
        <v>0</v>
      </c>
      <c r="R84" s="2" t="inlineStr"/>
    </row>
    <row r="85" ht="15" customHeight="1">
      <c r="A85" t="inlineStr">
        <is>
          <t>A 18961-2019</t>
        </is>
      </c>
      <c r="B85" s="1" t="n">
        <v>43563</v>
      </c>
      <c r="C85" s="1" t="n">
        <v>45644</v>
      </c>
      <c r="D85" t="inlineStr">
        <is>
          <t>VÄSTMANLANDS LÄN</t>
        </is>
      </c>
      <c r="E85" t="inlineStr">
        <is>
          <t>SALA</t>
        </is>
      </c>
      <c r="F85" t="inlineStr">
        <is>
          <t>Kommuner</t>
        </is>
      </c>
      <c r="G85" t="n">
        <v>1.5</v>
      </c>
      <c r="H85" t="n">
        <v>0</v>
      </c>
      <c r="I85" t="n">
        <v>0</v>
      </c>
      <c r="J85" t="n">
        <v>0</v>
      </c>
      <c r="K85" t="n">
        <v>0</v>
      </c>
      <c r="L85" t="n">
        <v>0</v>
      </c>
      <c r="M85" t="n">
        <v>0</v>
      </c>
      <c r="N85" t="n">
        <v>0</v>
      </c>
      <c r="O85" t="n">
        <v>0</v>
      </c>
      <c r="P85" t="n">
        <v>0</v>
      </c>
      <c r="Q85" t="n">
        <v>0</v>
      </c>
      <c r="R85" s="2" t="inlineStr"/>
    </row>
    <row r="86" ht="15" customHeight="1">
      <c r="A86" t="inlineStr">
        <is>
          <t>A 19869-2019</t>
        </is>
      </c>
      <c r="B86" s="1" t="n">
        <v>43567</v>
      </c>
      <c r="C86" s="1" t="n">
        <v>45644</v>
      </c>
      <c r="D86" t="inlineStr">
        <is>
          <t>VÄSTMANLANDS LÄN</t>
        </is>
      </c>
      <c r="E86" t="inlineStr">
        <is>
          <t>SALA</t>
        </is>
      </c>
      <c r="G86" t="n">
        <v>1.6</v>
      </c>
      <c r="H86" t="n">
        <v>0</v>
      </c>
      <c r="I86" t="n">
        <v>0</v>
      </c>
      <c r="J86" t="n">
        <v>0</v>
      </c>
      <c r="K86" t="n">
        <v>0</v>
      </c>
      <c r="L86" t="n">
        <v>0</v>
      </c>
      <c r="M86" t="n">
        <v>0</v>
      </c>
      <c r="N86" t="n">
        <v>0</v>
      </c>
      <c r="O86" t="n">
        <v>0</v>
      </c>
      <c r="P86" t="n">
        <v>0</v>
      </c>
      <c r="Q86" t="n">
        <v>0</v>
      </c>
      <c r="R86" s="2" t="inlineStr"/>
    </row>
    <row r="87" ht="15" customHeight="1">
      <c r="A87" t="inlineStr">
        <is>
          <t>A 21985-2019</t>
        </is>
      </c>
      <c r="B87" s="1" t="n">
        <v>43584</v>
      </c>
      <c r="C87" s="1" t="n">
        <v>45644</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22249-2019</t>
        </is>
      </c>
      <c r="B88" s="1" t="n">
        <v>43585</v>
      </c>
      <c r="C88" s="1" t="n">
        <v>45644</v>
      </c>
      <c r="D88" t="inlineStr">
        <is>
          <t>VÄSTMANLANDS LÄN</t>
        </is>
      </c>
      <c r="E88" t="inlineStr">
        <is>
          <t>SALA</t>
        </is>
      </c>
      <c r="F88" t="inlineStr">
        <is>
          <t>Kommuner</t>
        </is>
      </c>
      <c r="G88" t="n">
        <v>0.8</v>
      </c>
      <c r="H88" t="n">
        <v>0</v>
      </c>
      <c r="I88" t="n">
        <v>0</v>
      </c>
      <c r="J88" t="n">
        <v>0</v>
      </c>
      <c r="K88" t="n">
        <v>0</v>
      </c>
      <c r="L88" t="n">
        <v>0</v>
      </c>
      <c r="M88" t="n">
        <v>0</v>
      </c>
      <c r="N88" t="n">
        <v>0</v>
      </c>
      <c r="O88" t="n">
        <v>0</v>
      </c>
      <c r="P88" t="n">
        <v>0</v>
      </c>
      <c r="Q88" t="n">
        <v>0</v>
      </c>
      <c r="R88" s="2" t="inlineStr"/>
    </row>
    <row r="89" ht="15" customHeight="1">
      <c r="A89" t="inlineStr">
        <is>
          <t>A 22833-2019</t>
        </is>
      </c>
      <c r="B89" s="1" t="n">
        <v>43591</v>
      </c>
      <c r="C89" s="1" t="n">
        <v>45644</v>
      </c>
      <c r="D89" t="inlineStr">
        <is>
          <t>VÄSTMANLANDS LÄN</t>
        </is>
      </c>
      <c r="E89" t="inlineStr">
        <is>
          <t>SALA</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25005-2019</t>
        </is>
      </c>
      <c r="B90" s="1" t="n">
        <v>43602</v>
      </c>
      <c r="C90" s="1" t="n">
        <v>45644</v>
      </c>
      <c r="D90" t="inlineStr">
        <is>
          <t>VÄSTMANLANDS LÄN</t>
        </is>
      </c>
      <c r="E90" t="inlineStr">
        <is>
          <t>SALA</t>
        </is>
      </c>
      <c r="F90" t="inlineStr">
        <is>
          <t>Kommuner</t>
        </is>
      </c>
      <c r="G90" t="n">
        <v>4.3</v>
      </c>
      <c r="H90" t="n">
        <v>0</v>
      </c>
      <c r="I90" t="n">
        <v>0</v>
      </c>
      <c r="J90" t="n">
        <v>0</v>
      </c>
      <c r="K90" t="n">
        <v>0</v>
      </c>
      <c r="L90" t="n">
        <v>0</v>
      </c>
      <c r="M90" t="n">
        <v>0</v>
      </c>
      <c r="N90" t="n">
        <v>0</v>
      </c>
      <c r="O90" t="n">
        <v>0</v>
      </c>
      <c r="P90" t="n">
        <v>0</v>
      </c>
      <c r="Q90" t="n">
        <v>0</v>
      </c>
      <c r="R90" s="2" t="inlineStr"/>
    </row>
    <row r="91" ht="15" customHeight="1">
      <c r="A91" t="inlineStr">
        <is>
          <t>A 25814-2019</t>
        </is>
      </c>
      <c r="B91" s="1" t="n">
        <v>43608</v>
      </c>
      <c r="C91" s="1" t="n">
        <v>45644</v>
      </c>
      <c r="D91" t="inlineStr">
        <is>
          <t>VÄSTMANLANDS LÄN</t>
        </is>
      </c>
      <c r="E91" t="inlineStr">
        <is>
          <t>SALA</t>
        </is>
      </c>
      <c r="G91" t="n">
        <v>2.1</v>
      </c>
      <c r="H91" t="n">
        <v>0</v>
      </c>
      <c r="I91" t="n">
        <v>0</v>
      </c>
      <c r="J91" t="n">
        <v>0</v>
      </c>
      <c r="K91" t="n">
        <v>0</v>
      </c>
      <c r="L91" t="n">
        <v>0</v>
      </c>
      <c r="M91" t="n">
        <v>0</v>
      </c>
      <c r="N91" t="n">
        <v>0</v>
      </c>
      <c r="O91" t="n">
        <v>0</v>
      </c>
      <c r="P91" t="n">
        <v>0</v>
      </c>
      <c r="Q91" t="n">
        <v>0</v>
      </c>
      <c r="R91" s="2" t="inlineStr"/>
    </row>
    <row r="92" ht="15" customHeight="1">
      <c r="A92" t="inlineStr">
        <is>
          <t>A 26861-2019</t>
        </is>
      </c>
      <c r="B92" s="1" t="n">
        <v>43613</v>
      </c>
      <c r="C92" s="1" t="n">
        <v>45644</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27164-2019</t>
        </is>
      </c>
      <c r="B93" s="1" t="n">
        <v>43614</v>
      </c>
      <c r="C93" s="1" t="n">
        <v>45644</v>
      </c>
      <c r="D93" t="inlineStr">
        <is>
          <t>VÄSTMANLANDS LÄN</t>
        </is>
      </c>
      <c r="E93" t="inlineStr">
        <is>
          <t>SALA</t>
        </is>
      </c>
      <c r="G93" t="n">
        <v>1.9</v>
      </c>
      <c r="H93" t="n">
        <v>0</v>
      </c>
      <c r="I93" t="n">
        <v>0</v>
      </c>
      <c r="J93" t="n">
        <v>0</v>
      </c>
      <c r="K93" t="n">
        <v>0</v>
      </c>
      <c r="L93" t="n">
        <v>0</v>
      </c>
      <c r="M93" t="n">
        <v>0</v>
      </c>
      <c r="N93" t="n">
        <v>0</v>
      </c>
      <c r="O93" t="n">
        <v>0</v>
      </c>
      <c r="P93" t="n">
        <v>0</v>
      </c>
      <c r="Q93" t="n">
        <v>0</v>
      </c>
      <c r="R93" s="2" t="inlineStr"/>
    </row>
    <row r="94" ht="15" customHeight="1">
      <c r="A94" t="inlineStr">
        <is>
          <t>A 27040-2019</t>
        </is>
      </c>
      <c r="B94" s="1" t="n">
        <v>43614</v>
      </c>
      <c r="C94" s="1" t="n">
        <v>45644</v>
      </c>
      <c r="D94" t="inlineStr">
        <is>
          <t>VÄSTMANLANDS LÄN</t>
        </is>
      </c>
      <c r="E94" t="inlineStr">
        <is>
          <t>SALA</t>
        </is>
      </c>
      <c r="G94" t="n">
        <v>1.4</v>
      </c>
      <c r="H94" t="n">
        <v>0</v>
      </c>
      <c r="I94" t="n">
        <v>0</v>
      </c>
      <c r="J94" t="n">
        <v>0</v>
      </c>
      <c r="K94" t="n">
        <v>0</v>
      </c>
      <c r="L94" t="n">
        <v>0</v>
      </c>
      <c r="M94" t="n">
        <v>0</v>
      </c>
      <c r="N94" t="n">
        <v>0</v>
      </c>
      <c r="O94" t="n">
        <v>0</v>
      </c>
      <c r="P94" t="n">
        <v>0</v>
      </c>
      <c r="Q94" t="n">
        <v>0</v>
      </c>
      <c r="R94" s="2" t="inlineStr"/>
    </row>
    <row r="95" ht="15" customHeight="1">
      <c r="A95" t="inlineStr">
        <is>
          <t>A 28132-2019</t>
        </is>
      </c>
      <c r="B95" s="1" t="n">
        <v>43621</v>
      </c>
      <c r="C95" s="1" t="n">
        <v>45644</v>
      </c>
      <c r="D95" t="inlineStr">
        <is>
          <t>VÄSTMANLANDS LÄN</t>
        </is>
      </c>
      <c r="E95" t="inlineStr">
        <is>
          <t>SALA</t>
        </is>
      </c>
      <c r="G95" t="n">
        <v>2.4</v>
      </c>
      <c r="H95" t="n">
        <v>0</v>
      </c>
      <c r="I95" t="n">
        <v>0</v>
      </c>
      <c r="J95" t="n">
        <v>0</v>
      </c>
      <c r="K95" t="n">
        <v>0</v>
      </c>
      <c r="L95" t="n">
        <v>0</v>
      </c>
      <c r="M95" t="n">
        <v>0</v>
      </c>
      <c r="N95" t="n">
        <v>0</v>
      </c>
      <c r="O95" t="n">
        <v>0</v>
      </c>
      <c r="P95" t="n">
        <v>0</v>
      </c>
      <c r="Q95" t="n">
        <v>0</v>
      </c>
      <c r="R95" s="2" t="inlineStr"/>
    </row>
    <row r="96" ht="15" customHeight="1">
      <c r="A96" t="inlineStr">
        <is>
          <t>A 28143-2019</t>
        </is>
      </c>
      <c r="B96" s="1" t="n">
        <v>43621</v>
      </c>
      <c r="C96" s="1" t="n">
        <v>45644</v>
      </c>
      <c r="D96" t="inlineStr">
        <is>
          <t>VÄSTMANLANDS LÄN</t>
        </is>
      </c>
      <c r="E96" t="inlineStr">
        <is>
          <t>SALA</t>
        </is>
      </c>
      <c r="G96" t="n">
        <v>2.3</v>
      </c>
      <c r="H96" t="n">
        <v>0</v>
      </c>
      <c r="I96" t="n">
        <v>0</v>
      </c>
      <c r="J96" t="n">
        <v>0</v>
      </c>
      <c r="K96" t="n">
        <v>0</v>
      </c>
      <c r="L96" t="n">
        <v>0</v>
      </c>
      <c r="M96" t="n">
        <v>0</v>
      </c>
      <c r="N96" t="n">
        <v>0</v>
      </c>
      <c r="O96" t="n">
        <v>0</v>
      </c>
      <c r="P96" t="n">
        <v>0</v>
      </c>
      <c r="Q96" t="n">
        <v>0</v>
      </c>
      <c r="R96" s="2" t="inlineStr"/>
    </row>
    <row r="97" ht="15" customHeight="1">
      <c r="A97" t="inlineStr">
        <is>
          <t>A 28162-2019</t>
        </is>
      </c>
      <c r="B97" s="1" t="n">
        <v>43621</v>
      </c>
      <c r="C97" s="1" t="n">
        <v>45644</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29023-2019</t>
        </is>
      </c>
      <c r="B98" s="1" t="n">
        <v>43628</v>
      </c>
      <c r="C98" s="1" t="n">
        <v>45644</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29331-2019</t>
        </is>
      </c>
      <c r="B99" s="1" t="n">
        <v>43629</v>
      </c>
      <c r="C99" s="1" t="n">
        <v>45644</v>
      </c>
      <c r="D99" t="inlineStr">
        <is>
          <t>VÄSTMANLANDS LÄN</t>
        </is>
      </c>
      <c r="E99" t="inlineStr">
        <is>
          <t>SALA</t>
        </is>
      </c>
      <c r="G99" t="n">
        <v>5</v>
      </c>
      <c r="H99" t="n">
        <v>0</v>
      </c>
      <c r="I99" t="n">
        <v>0</v>
      </c>
      <c r="J99" t="n">
        <v>0</v>
      </c>
      <c r="K99" t="n">
        <v>0</v>
      </c>
      <c r="L99" t="n">
        <v>0</v>
      </c>
      <c r="M99" t="n">
        <v>0</v>
      </c>
      <c r="N99" t="n">
        <v>0</v>
      </c>
      <c r="O99" t="n">
        <v>0</v>
      </c>
      <c r="P99" t="n">
        <v>0</v>
      </c>
      <c r="Q99" t="n">
        <v>0</v>
      </c>
      <c r="R99" s="2" t="inlineStr"/>
    </row>
    <row r="100" ht="15" customHeight="1">
      <c r="A100" t="inlineStr">
        <is>
          <t>A 31225-2019</t>
        </is>
      </c>
      <c r="B100" s="1" t="n">
        <v>43635</v>
      </c>
      <c r="C100" s="1" t="n">
        <v>45644</v>
      </c>
      <c r="D100" t="inlineStr">
        <is>
          <t>VÄSTMANLANDS LÄN</t>
        </is>
      </c>
      <c r="E100" t="inlineStr">
        <is>
          <t>SALA</t>
        </is>
      </c>
      <c r="G100" t="n">
        <v>1.5</v>
      </c>
      <c r="H100" t="n">
        <v>0</v>
      </c>
      <c r="I100" t="n">
        <v>0</v>
      </c>
      <c r="J100" t="n">
        <v>0</v>
      </c>
      <c r="K100" t="n">
        <v>0</v>
      </c>
      <c r="L100" t="n">
        <v>0</v>
      </c>
      <c r="M100" t="n">
        <v>0</v>
      </c>
      <c r="N100" t="n">
        <v>0</v>
      </c>
      <c r="O100" t="n">
        <v>0</v>
      </c>
      <c r="P100" t="n">
        <v>0</v>
      </c>
      <c r="Q100" t="n">
        <v>0</v>
      </c>
      <c r="R100" s="2" t="inlineStr"/>
    </row>
    <row r="101" ht="15" customHeight="1">
      <c r="A101" t="inlineStr">
        <is>
          <t>A 30974-2019</t>
        </is>
      </c>
      <c r="B101" s="1" t="n">
        <v>43639</v>
      </c>
      <c r="C101" s="1" t="n">
        <v>45644</v>
      </c>
      <c r="D101" t="inlineStr">
        <is>
          <t>VÄSTMANLANDS LÄN</t>
        </is>
      </c>
      <c r="E101" t="inlineStr">
        <is>
          <t>SALA</t>
        </is>
      </c>
      <c r="G101" t="n">
        <v>3.1</v>
      </c>
      <c r="H101" t="n">
        <v>0</v>
      </c>
      <c r="I101" t="n">
        <v>0</v>
      </c>
      <c r="J101" t="n">
        <v>0</v>
      </c>
      <c r="K101" t="n">
        <v>0</v>
      </c>
      <c r="L101" t="n">
        <v>0</v>
      </c>
      <c r="M101" t="n">
        <v>0</v>
      </c>
      <c r="N101" t="n">
        <v>0</v>
      </c>
      <c r="O101" t="n">
        <v>0</v>
      </c>
      <c r="P101" t="n">
        <v>0</v>
      </c>
      <c r="Q101" t="n">
        <v>0</v>
      </c>
      <c r="R101" s="2" t="inlineStr"/>
    </row>
    <row r="102" ht="15" customHeight="1">
      <c r="A102" t="inlineStr">
        <is>
          <t>A 34709-2019</t>
        </is>
      </c>
      <c r="B102" s="1" t="n">
        <v>43648</v>
      </c>
      <c r="C102" s="1" t="n">
        <v>45644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35690-2019</t>
        </is>
      </c>
      <c r="B103" s="1" t="n">
        <v>43664</v>
      </c>
      <c r="C103" s="1" t="n">
        <v>45644</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36142-2019</t>
        </is>
      </c>
      <c r="B104" s="1" t="n">
        <v>43668</v>
      </c>
      <c r="C104" s="1" t="n">
        <v>45644</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36429-2019</t>
        </is>
      </c>
      <c r="B105" s="1" t="n">
        <v>43670</v>
      </c>
      <c r="C105" s="1" t="n">
        <v>45644</v>
      </c>
      <c r="D105" t="inlineStr">
        <is>
          <t>VÄSTMANLANDS LÄN</t>
        </is>
      </c>
      <c r="E105" t="inlineStr">
        <is>
          <t>SALA</t>
        </is>
      </c>
      <c r="G105" t="n">
        <v>2</v>
      </c>
      <c r="H105" t="n">
        <v>0</v>
      </c>
      <c r="I105" t="n">
        <v>0</v>
      </c>
      <c r="J105" t="n">
        <v>0</v>
      </c>
      <c r="K105" t="n">
        <v>0</v>
      </c>
      <c r="L105" t="n">
        <v>0</v>
      </c>
      <c r="M105" t="n">
        <v>0</v>
      </c>
      <c r="N105" t="n">
        <v>0</v>
      </c>
      <c r="O105" t="n">
        <v>0</v>
      </c>
      <c r="P105" t="n">
        <v>0</v>
      </c>
      <c r="Q105" t="n">
        <v>0</v>
      </c>
      <c r="R105" s="2" t="inlineStr"/>
    </row>
    <row r="106" ht="15" customHeight="1">
      <c r="A106" t="inlineStr">
        <is>
          <t>A 36600-2019</t>
        </is>
      </c>
      <c r="B106" s="1" t="n">
        <v>43671</v>
      </c>
      <c r="C106" s="1" t="n">
        <v>45644</v>
      </c>
      <c r="D106" t="inlineStr">
        <is>
          <t>VÄSTMANLANDS LÄN</t>
        </is>
      </c>
      <c r="E106" t="inlineStr">
        <is>
          <t>SALA</t>
        </is>
      </c>
      <c r="F106" t="inlineStr">
        <is>
          <t>Kyrkan</t>
        </is>
      </c>
      <c r="G106" t="n">
        <v>4.3</v>
      </c>
      <c r="H106" t="n">
        <v>0</v>
      </c>
      <c r="I106" t="n">
        <v>0</v>
      </c>
      <c r="J106" t="n">
        <v>0</v>
      </c>
      <c r="K106" t="n">
        <v>0</v>
      </c>
      <c r="L106" t="n">
        <v>0</v>
      </c>
      <c r="M106" t="n">
        <v>0</v>
      </c>
      <c r="N106" t="n">
        <v>0</v>
      </c>
      <c r="O106" t="n">
        <v>0</v>
      </c>
      <c r="P106" t="n">
        <v>0</v>
      </c>
      <c r="Q106" t="n">
        <v>0</v>
      </c>
      <c r="R106" s="2" t="inlineStr"/>
    </row>
    <row r="107" ht="15" customHeight="1">
      <c r="A107" t="inlineStr">
        <is>
          <t>A 37186-2019</t>
        </is>
      </c>
      <c r="B107" s="1" t="n">
        <v>43677</v>
      </c>
      <c r="C107" s="1" t="n">
        <v>45644</v>
      </c>
      <c r="D107" t="inlineStr">
        <is>
          <t>VÄSTMANLANDS LÄN</t>
        </is>
      </c>
      <c r="E107" t="inlineStr">
        <is>
          <t>SALA</t>
        </is>
      </c>
      <c r="G107" t="n">
        <v>1.8</v>
      </c>
      <c r="H107" t="n">
        <v>0</v>
      </c>
      <c r="I107" t="n">
        <v>0</v>
      </c>
      <c r="J107" t="n">
        <v>0</v>
      </c>
      <c r="K107" t="n">
        <v>0</v>
      </c>
      <c r="L107" t="n">
        <v>0</v>
      </c>
      <c r="M107" t="n">
        <v>0</v>
      </c>
      <c r="N107" t="n">
        <v>0</v>
      </c>
      <c r="O107" t="n">
        <v>0</v>
      </c>
      <c r="P107" t="n">
        <v>0</v>
      </c>
      <c r="Q107" t="n">
        <v>0</v>
      </c>
      <c r="R107" s="2" t="inlineStr"/>
    </row>
    <row r="108" ht="15" customHeight="1">
      <c r="A108" t="inlineStr">
        <is>
          <t>A 37533-2019</t>
        </is>
      </c>
      <c r="B108" s="1" t="n">
        <v>43679</v>
      </c>
      <c r="C108" s="1" t="n">
        <v>45644</v>
      </c>
      <c r="D108" t="inlineStr">
        <is>
          <t>VÄSTMANLANDS LÄN</t>
        </is>
      </c>
      <c r="E108" t="inlineStr">
        <is>
          <t>SALA</t>
        </is>
      </c>
      <c r="G108" t="n">
        <v>7.9</v>
      </c>
      <c r="H108" t="n">
        <v>0</v>
      </c>
      <c r="I108" t="n">
        <v>0</v>
      </c>
      <c r="J108" t="n">
        <v>0</v>
      </c>
      <c r="K108" t="n">
        <v>0</v>
      </c>
      <c r="L108" t="n">
        <v>0</v>
      </c>
      <c r="M108" t="n">
        <v>0</v>
      </c>
      <c r="N108" t="n">
        <v>0</v>
      </c>
      <c r="O108" t="n">
        <v>0</v>
      </c>
      <c r="P108" t="n">
        <v>0</v>
      </c>
      <c r="Q108" t="n">
        <v>0</v>
      </c>
      <c r="R108" s="2" t="inlineStr"/>
    </row>
    <row r="109" ht="15" customHeight="1">
      <c r="A109" t="inlineStr">
        <is>
          <t>A 38645-2019</t>
        </is>
      </c>
      <c r="B109" s="1" t="n">
        <v>43686</v>
      </c>
      <c r="C109" s="1" t="n">
        <v>45644</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45644</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45644</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45644</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45644</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45644</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45644</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45644</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45644</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45644</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45644</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45644</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45644</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45644</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45644</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45644</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45644</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45644</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45644</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45644</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45644</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45644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45644</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45644</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45644</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45644</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45644</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45644</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45644</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45644</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45644</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45644</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45644</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45644</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45644</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45644</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45644</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45644</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45644</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45644</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45644</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45644</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45644</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45644</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45644</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45644</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45644</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45644</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45644</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45644</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45644</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45644</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45644</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45644</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45644</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45644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45644</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45644</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45644</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45644</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45644</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45644</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45644</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45644</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45644</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45644</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45644</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45644</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45644</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45644</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45644</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45644</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45644</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45644</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45644</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45644</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45644</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45644</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45644</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45644</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45644</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45644</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45644</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45644</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45644</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45644</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45644</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45644</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45644</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45644</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45644</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45644</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45644</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45644</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45644</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45644</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45644</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45644</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45644</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45644</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45644</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45644</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45644</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45644</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45644</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45644</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45644</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45644</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45644</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45644</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45644</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45644</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45644</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45644</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45644</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45644</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45644</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45644</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45644</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45644</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45644</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45644</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45644</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45644</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45644</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45644</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45644</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45644</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45644</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45644</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45644</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45644</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45644</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45644</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45644</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45644</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45644</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45644</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45644</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45644</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45644</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45644</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45644</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45644</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45644</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45644</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45644</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45644</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45644</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45644</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45644</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45644</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45644</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45644</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45644</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45644</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45644</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45644</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45644</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45644</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45644</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45644</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45644</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45644</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45644</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45644</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45644</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45644</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45644</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45644</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45644</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45644</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45644</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45644</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45644</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45644</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45644</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45644</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45644</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45644</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45644</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45644</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45644</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45644</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45644</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45644</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45644</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45644</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45644</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45644</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45644</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45644</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45644</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45644</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45644</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45644</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45644</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45644</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45644</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45644</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45644</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45644</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45644</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45644</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45644</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45644</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45644</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45644</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45644</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45644</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45644</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45644</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45644</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45644</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45644</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45644</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45644</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45644</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45644</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45644</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45644</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45644</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45644</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45644</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45644</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45644</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45644</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45644</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45644</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45644</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45644</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45644</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45644</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45644</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45644</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45644</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45644</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45644</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45644</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45644</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45644</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45644</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45644</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45644</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45644</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45644</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45644</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45644</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45644</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45644</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45644</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45644</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45644</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45644</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45644</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45644</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45644</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45644</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45644</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45644</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45644</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45644</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45644</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45644</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45644</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45644</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45644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45644</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45644</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45644</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45644</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45644</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45644</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45644</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45644</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45644</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45644</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45644</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45644</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45644</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45644</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45644</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45644</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45644</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45644</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45644</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45644</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45644</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45644</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45644</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45644</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45644</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45644</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45644</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45644</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45644</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45644</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45644</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45644</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45644</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45644</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45644</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45644</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45644</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45644</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45644</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45644</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45644</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45644</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45644</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45644</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45644</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45644</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45644</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45644</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45644</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45644</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45644</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45644</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45644</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45644</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45644</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45644</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45644</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45644</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45644</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45644</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45644</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45644</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45644</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45644</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45644</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45644</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45644</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45644</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45644</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45644</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45644</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45644</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45644</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45644</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45644</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45644</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45644</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45644</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45644</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45644</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45644</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45644</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45644</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45644</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45644</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45644</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45644</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45644</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45644</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45644</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45644</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45644</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45644</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45644</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45644</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45644</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45644</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45644</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45644</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45644</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45644</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45644</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45644</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45644</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45644</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45644</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45644</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45644</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45644</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45644</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45644</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45644</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45644</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45644</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45644</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45644</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45644</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45644</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45644</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45644</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45644</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45644</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45644</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45644</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45644</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45644</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45644</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45644</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45644</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45644</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45644</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45644</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45644</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45644</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45644</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45644</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45644</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45644</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45644</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45644</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45644</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45644</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45644</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45644</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45644</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45644</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45644</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45644</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45644</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45644</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45644</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45644</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45644</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45644</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45644</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45644</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45644</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45644</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45644</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45644</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45644</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45644</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45644</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45644</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45644</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45644</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45644</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45644</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45644</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45644</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45644</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45644</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45644</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45644</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45644</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45644</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45644</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45644</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45644</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45644</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45644</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45644</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45644</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45644</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45644</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45644</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45644</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45644</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45644</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45644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45644</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45644</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45644</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45644</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45644</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45644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45644</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45644</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45644</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45644</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45644</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45644</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45644</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45644</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45644</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45644</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45644</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45644</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45644</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45644</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45644</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45644</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45644</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45644</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45644</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45644</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45644</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45644</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45644</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45644</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45644</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45644</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45644</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45644</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45644</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45644</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45644</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45644</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45644</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45644</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45644</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45644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45644</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45644</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45644</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45644</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45644</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45644</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45644</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45644</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45644</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45644</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45644</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45644</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45644</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45644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45644</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45644</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45644</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45644</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45644</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45644</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45644</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45644</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45644</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45644</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45644</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45644</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45644</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45644</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45644</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45644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45644</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45644</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45644</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45644</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45644</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45644</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45644</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45644</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45644</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45644</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45644</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45644</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45644</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45644</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45644</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45644</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45644</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45644</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45644</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45644</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45644</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45644</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45644</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45644</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45644</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45644</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45644</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45644</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45644</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45644</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45644</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45644</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45644</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45644</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45644</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45644</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45644</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45644</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45644</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45644</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45644</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45644</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45644</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45644</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45644</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45644</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45644</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45644</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45644</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45644</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45644</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45644</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45644</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45644</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45644</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45644</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45644</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45644</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45644</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45644</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45644</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45644</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45644</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45644</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45644</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45644</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45644</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45644</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45644</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45644</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45644</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45644</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45644</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45644</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45644</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45644</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45644</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45644</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45644</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45644</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45644</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45644</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45644</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45644</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45644</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45644</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45644</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45644</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45644</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45644</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45644</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45644</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45644</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45644</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45644</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45644</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45644</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45644</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45644</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45644</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45644</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45644</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45644</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45644</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45644</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45644</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45644</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45644</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45644</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45644</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45644</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45644</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45644</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45644</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45644</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45644</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45644</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45644</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45644</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45644</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45644</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45644</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45644</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45644</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45644</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45644</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45644</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45644</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45644</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45644</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45644</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45644</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45644</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45644</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45644</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45644</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45644</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45644</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45644</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45644</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45644</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45644</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45644</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45644</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45644</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45644</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45644</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45644</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45644</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45644</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45644</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45644</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45644</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45644</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45644</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45644</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45644</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45644</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45644</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45644</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45644</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45644</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45644</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45644</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45644</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45644</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45644</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45644</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45644</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45644</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45644</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45644</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45644</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45644</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45644</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45644</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45644</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45644</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45644</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45644</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45644</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45644</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45644</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45644</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45644</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45644</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45644</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45644</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45644</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45644</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45644</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45644</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45644</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45644</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45644</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45644</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45644</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45644</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45644</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45644</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45644</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45644</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45644</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45644</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45644</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45644</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45644</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45644</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45644</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45644</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45644</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45644</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45644</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45644</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45644</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45644</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45644</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45644</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45644</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45644</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45644</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45644</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45644</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45644</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45644</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45644</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45644</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45644</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45644</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45644</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45644</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45644</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45644</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45644</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45644</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45644</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45644</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45644</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45644</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45644</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45644</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45644</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45644</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45644</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45644</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45644</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45644</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45644</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45644</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45644</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45644</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45644</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45644</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45644</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45644</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45644</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45644</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45644</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45644</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45644</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45644</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45644</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45644</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45644</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45644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45644</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45644</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45644</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45644</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45644</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45644</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45644</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45644</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45644</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45644</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45644</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45644</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45644</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45644</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45644</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45644</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45644</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45644</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45644</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45644</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45644</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45644</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45644</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45644</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45644</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45644</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45644</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45644</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45644</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45644</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45644</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45644</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45644</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45644</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45644</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45644</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45644</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45644</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45644</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45644</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45644</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45644</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45644</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45644</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45644</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45644</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45644</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45644</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45644</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45644</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45644</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45644</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45644</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45644</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45644</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45644</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45644</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45644</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45644</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45644</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45644</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45644</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45644</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45644</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45644</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45644</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45644</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45644</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45644</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45644</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45644</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45644</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45644</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45644</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45644</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45644</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45644</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45644</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45644</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45644</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45644</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45644</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45644</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45644</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45644</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45644</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45644</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45644</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45644</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45644</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45644</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45644</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45644</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45644</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45644</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45644</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45644</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45644</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45644</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45644</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45644</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45644</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45644</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45644</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45644</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45644</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45644</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45644</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45644</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45644</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45644</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45644</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45644</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45644</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45644</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45644</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45644</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45644</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45644</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45644</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45644</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45644</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45644</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45644</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45644</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45644</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45644</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45644</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45644</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45644</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45644</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45644</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45644</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45644</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45644</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45644</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45644</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45644</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45644</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45644</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45644</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45644</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45644</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45644</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45644</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45644</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45644</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45644</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45644</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45644</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45644</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45644</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45644</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45644</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45644</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45644</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45644</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45644</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45644</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45644</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45644</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45644</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45644</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45644</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45644</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45644</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45644</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45644</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45644</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45644</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45644</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45644</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45644</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45644</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45644</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45644</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45644</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45644</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45644</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45644</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45644</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45644</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45644</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45644</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45644</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45644</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45644</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45644</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45644</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45644</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45644</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45644</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45644</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45644</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45644</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45644</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45644</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45644</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45644</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45644</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45644</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54768-2024</t>
        </is>
      </c>
      <c r="B1104" s="1" t="n">
        <v>45618</v>
      </c>
      <c r="C1104" s="1" t="n">
        <v>45644</v>
      </c>
      <c r="D1104" t="inlineStr">
        <is>
          <t>VÄSTMANLANDS LÄN</t>
        </is>
      </c>
      <c r="E1104" t="inlineStr">
        <is>
          <t>SALA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54771-2024</t>
        </is>
      </c>
      <c r="B1105" s="1" t="n">
        <v>45618</v>
      </c>
      <c r="C1105" s="1" t="n">
        <v>45644</v>
      </c>
      <c r="D1105" t="inlineStr">
        <is>
          <t>VÄSTMANLANDS LÄN</t>
        </is>
      </c>
      <c r="E1105" t="inlineStr">
        <is>
          <t>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54836-2024</t>
        </is>
      </c>
      <c r="B1106" s="1" t="n">
        <v>45618</v>
      </c>
      <c r="C1106" s="1" t="n">
        <v>45644</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45644</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45644</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45644</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45644</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45644</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55107-2024</t>
        </is>
      </c>
      <c r="B1112" s="1" t="n">
        <v>45618</v>
      </c>
      <c r="C1112" s="1" t="n">
        <v>45644</v>
      </c>
      <c r="D1112" t="inlineStr">
        <is>
          <t>VÄSTMANLANDS LÄN</t>
        </is>
      </c>
      <c r="E1112" t="inlineStr">
        <is>
          <t>SALA</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45644</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45644</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45644</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45644</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45644</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45644</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45644</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56689-2024</t>
        </is>
      </c>
      <c r="B1120" s="1" t="n">
        <v>45627</v>
      </c>
      <c r="C1120" s="1" t="n">
        <v>45644</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45644</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45644</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45644</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45644</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45644</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45644</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45644</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45644</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45644</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58651-2024</t>
        </is>
      </c>
      <c r="B1130" s="1" t="n">
        <v>45635</v>
      </c>
      <c r="C1130" s="1" t="n">
        <v>45644</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58655-2024</t>
        </is>
      </c>
      <c r="B1131" s="1" t="n">
        <v>45635</v>
      </c>
      <c r="C1131" s="1" t="n">
        <v>45644</v>
      </c>
      <c r="D1131" t="inlineStr">
        <is>
          <t>VÄSTMANLANDS LÄN</t>
        </is>
      </c>
      <c r="E1131" t="inlineStr">
        <is>
          <t>SALA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58711-2024</t>
        </is>
      </c>
      <c r="B1132" s="1" t="n">
        <v>45635</v>
      </c>
      <c r="C1132" s="1" t="n">
        <v>45644</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59860-2024</t>
        </is>
      </c>
      <c r="B1133" s="1" t="n">
        <v>45638</v>
      </c>
      <c r="C1133" s="1" t="n">
        <v>45644</v>
      </c>
      <c r="D1133" t="inlineStr">
        <is>
          <t>VÄSTMANLANDS LÄN</t>
        </is>
      </c>
      <c r="E1133" t="inlineStr">
        <is>
          <t>SALA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59909-2024</t>
        </is>
      </c>
      <c r="B1134" s="1" t="n">
        <v>45641</v>
      </c>
      <c r="C1134" s="1" t="n">
        <v>45644</v>
      </c>
      <c r="D1134" t="inlineStr">
        <is>
          <t>VÄSTMANLANDS LÄN</t>
        </is>
      </c>
      <c r="E1134" t="inlineStr">
        <is>
          <t>SALA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60034-2024</t>
        </is>
      </c>
      <c r="B1135" s="1" t="n">
        <v>45642</v>
      </c>
      <c r="C1135" s="1" t="n">
        <v>45644</v>
      </c>
      <c r="D1135" t="inlineStr">
        <is>
          <t>VÄSTMANLANDS LÄN</t>
        </is>
      </c>
      <c r="E1135" t="inlineStr">
        <is>
          <t>SALA</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60036-2024</t>
        </is>
      </c>
      <c r="B1136" s="1" t="n">
        <v>45642</v>
      </c>
      <c r="C1136" s="1" t="n">
        <v>45644</v>
      </c>
      <c r="D1136" t="inlineStr">
        <is>
          <t>VÄSTMANLANDS LÄN</t>
        </is>
      </c>
      <c r="E1136" t="inlineStr">
        <is>
          <t>SALA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60328-2024</t>
        </is>
      </c>
      <c r="B1137" s="1" t="n">
        <v>45643</v>
      </c>
      <c r="C1137" s="1" t="n">
        <v>45644</v>
      </c>
      <c r="D1137" t="inlineStr">
        <is>
          <t>VÄSTMANLANDS LÄN</t>
        </is>
      </c>
      <c r="E1137" t="inlineStr">
        <is>
          <t>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60547-2024</t>
        </is>
      </c>
      <c r="B1138" s="1" t="n">
        <v>45643</v>
      </c>
      <c r="C1138" s="1" t="n">
        <v>45644</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60550-2024</t>
        </is>
      </c>
      <c r="B1139" s="1" t="n">
        <v>45643</v>
      </c>
      <c r="C1139" s="1" t="n">
        <v>45644</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60548-2024</t>
        </is>
      </c>
      <c r="B1140" s="1" t="n">
        <v>45643</v>
      </c>
      <c r="C1140" s="1" t="n">
        <v>45644</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45644</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c r="A1142" t="inlineStr">
        <is>
          <t>A 60545-2024</t>
        </is>
      </c>
      <c r="B1142" s="1" t="n">
        <v>45643</v>
      </c>
      <c r="C1142" s="1" t="n">
        <v>45644</v>
      </c>
      <c r="D1142" t="inlineStr">
        <is>
          <t>VÄSTMANLANDS LÄN</t>
        </is>
      </c>
      <c r="E1142" t="inlineStr">
        <is>
          <t>SALA</t>
        </is>
      </c>
      <c r="G1142" t="n">
        <v>3.3</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2024-12-18T15:56:37Z</dcterms:created>
  <dcterms:modified xmlns:dcterms="http://purl.org/dc/terms/" xmlns:xsi="http://www.w3.org/2001/XMLSchema-instance" xsi:type="dcterms:W3CDTF">2024-12-18T15:56:38Z</dcterms:modified>
</cp:coreProperties>
</file>