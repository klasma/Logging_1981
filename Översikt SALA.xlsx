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46140</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46140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46140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46140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46140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46140</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46140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46140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46140</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46140</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46140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46140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46140</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46140</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46140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46140</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53019-2024</t>
        </is>
      </c>
      <c r="B19" s="1" t="n">
        <v>45610</v>
      </c>
      <c r="C19" s="1" t="n">
        <v>46140</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40895-2025</t>
        </is>
      </c>
      <c r="B20" s="1" t="n">
        <v>45897.61241898148</v>
      </c>
      <c r="C20" s="1" t="n">
        <v>46140</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62768-2021</t>
        </is>
      </c>
      <c r="B21" s="1" t="n">
        <v>44504</v>
      </c>
      <c r="C21" s="1" t="n">
        <v>46140</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40493-2024</t>
        </is>
      </c>
      <c r="B22" s="1" t="n">
        <v>45555</v>
      </c>
      <c r="C22" s="1" t="n">
        <v>46140</v>
      </c>
      <c r="D22" t="inlineStr">
        <is>
          <t>VÄSTMANLANDS LÄN</t>
        </is>
      </c>
      <c r="E22" t="inlineStr">
        <is>
          <t>SALA</t>
        </is>
      </c>
      <c r="G22" t="n">
        <v>3.8</v>
      </c>
      <c r="H22" t="n">
        <v>0</v>
      </c>
      <c r="I22" t="n">
        <v>1</v>
      </c>
      <c r="J22" t="n">
        <v>2</v>
      </c>
      <c r="K22" t="n">
        <v>0</v>
      </c>
      <c r="L22" t="n">
        <v>0</v>
      </c>
      <c r="M22" t="n">
        <v>0</v>
      </c>
      <c r="N22" t="n">
        <v>0</v>
      </c>
      <c r="O22" t="n">
        <v>2</v>
      </c>
      <c r="P22" t="n">
        <v>0</v>
      </c>
      <c r="Q22" t="n">
        <v>3</v>
      </c>
      <c r="R22" s="2" t="inlineStr">
        <is>
          <t>Vedskivlav
Äggvaxskivling
Dropptaggsvamp</t>
        </is>
      </c>
      <c r="S22">
        <f>HYPERLINK("https://klasma.github.io/Logging_1981/artfynd/A 40493-2024 artfynd.xlsx", "A 40493-2024")</f>
        <v/>
      </c>
      <c r="T22">
        <f>HYPERLINK("https://klasma.github.io/Logging_1981/kartor/A 40493-2024 karta.png", "A 40493-2024")</f>
        <v/>
      </c>
      <c r="U22">
        <f>HYPERLINK("https://klasma.github.io/Logging_1981/knärot/A 40493-2024 karta knärot.png", "A 40493-2024")</f>
        <v/>
      </c>
      <c r="V22">
        <f>HYPERLINK("https://klasma.github.io/Logging_1981/klagomål/A 40493-2024 FSC-klagomål.docx", "A 40493-2024")</f>
        <v/>
      </c>
      <c r="W22">
        <f>HYPERLINK("https://klasma.github.io/Logging_1981/klagomålsmail/A 40493-2024 FSC-klagomål mail.docx", "A 40493-2024")</f>
        <v/>
      </c>
      <c r="X22">
        <f>HYPERLINK("https://klasma.github.io/Logging_1981/tillsyn/A 40493-2024 tillsynsbegäran.docx", "A 40493-2024")</f>
        <v/>
      </c>
      <c r="Y22">
        <f>HYPERLINK("https://klasma.github.io/Logging_1981/tillsynsmail/A 40493-2024 tillsynsbegäran mail.docx", "A 40493-2024")</f>
        <v/>
      </c>
    </row>
    <row r="23" ht="15" customHeight="1">
      <c r="A23" t="inlineStr">
        <is>
          <t>A 4264-2024</t>
        </is>
      </c>
      <c r="B23" s="1" t="n">
        <v>45324</v>
      </c>
      <c r="C23" s="1" t="n">
        <v>46140</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46140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3930-2026</t>
        </is>
      </c>
      <c r="B25" s="1" t="n">
        <v>46043</v>
      </c>
      <c r="C25" s="1" t="n">
        <v>46140</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46140</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46140</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52909-2022</t>
        </is>
      </c>
      <c r="B28" s="1" t="n">
        <v>44875</v>
      </c>
      <c r="C28" s="1" t="n">
        <v>46140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46140</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46140</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46140</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46140</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46140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46140</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46140</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46140</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15102-2025</t>
        </is>
      </c>
      <c r="B37" s="1" t="n">
        <v>45744.34585648148</v>
      </c>
      <c r="C37" s="1" t="n">
        <v>46140</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14485-2026</t>
        </is>
      </c>
      <c r="B38" s="1" t="n">
        <v>46100.59055555556</v>
      </c>
      <c r="C38" s="1" t="n">
        <v>46140</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24872-2025</t>
        </is>
      </c>
      <c r="B39" s="1" t="n">
        <v>45799.49038194444</v>
      </c>
      <c r="C39" s="1" t="n">
        <v>46140</v>
      </c>
      <c r="D39" t="inlineStr">
        <is>
          <t>VÄSTMANLANDS LÄN</t>
        </is>
      </c>
      <c r="E39" t="inlineStr">
        <is>
          <t>SALA</t>
        </is>
      </c>
      <c r="G39" t="n">
        <v>13.9</v>
      </c>
      <c r="H39" t="n">
        <v>1</v>
      </c>
      <c r="I39" t="n">
        <v>0</v>
      </c>
      <c r="J39" t="n">
        <v>1</v>
      </c>
      <c r="K39" t="n">
        <v>1</v>
      </c>
      <c r="L39" t="n">
        <v>0</v>
      </c>
      <c r="M39" t="n">
        <v>0</v>
      </c>
      <c r="N39" t="n">
        <v>0</v>
      </c>
      <c r="O39" t="n">
        <v>2</v>
      </c>
      <c r="P39" t="n">
        <v>1</v>
      </c>
      <c r="Q39" t="n">
        <v>2</v>
      </c>
      <c r="R39" s="2" t="inlineStr">
        <is>
          <t>Knärot
Motaggsvamp</t>
        </is>
      </c>
      <c r="S39">
        <f>HYPERLINK("https://klasma.github.io/Logging_1981/artfynd/A 24872-2025 artfynd.xlsx", "A 24872-2025")</f>
        <v/>
      </c>
      <c r="T39">
        <f>HYPERLINK("https://klasma.github.io/Logging_1981/kartor/A 24872-2025 karta.png", "A 24872-2025")</f>
        <v/>
      </c>
      <c r="U39">
        <f>HYPERLINK("https://klasma.github.io/Logging_1981/knärot/A 24872-2025 karta knärot.png", "A 24872-2025")</f>
        <v/>
      </c>
      <c r="V39">
        <f>HYPERLINK("https://klasma.github.io/Logging_1981/klagomål/A 24872-2025 FSC-klagomål.docx", "A 24872-2025")</f>
        <v/>
      </c>
      <c r="W39">
        <f>HYPERLINK("https://klasma.github.io/Logging_1981/klagomålsmail/A 24872-2025 FSC-klagomål mail.docx", "A 24872-2025")</f>
        <v/>
      </c>
      <c r="X39">
        <f>HYPERLINK("https://klasma.github.io/Logging_1981/tillsyn/A 24872-2025 tillsynsbegäran.docx", "A 24872-2025")</f>
        <v/>
      </c>
      <c r="Y39">
        <f>HYPERLINK("https://klasma.github.io/Logging_1981/tillsynsmail/A 24872-2025 tillsynsbegäran mail.docx", "A 24872-2025")</f>
        <v/>
      </c>
    </row>
    <row r="40" ht="15" customHeight="1">
      <c r="A40" t="inlineStr">
        <is>
          <t>A 44970-2021</t>
        </is>
      </c>
      <c r="B40" s="1" t="n">
        <v>44438.74399305556</v>
      </c>
      <c r="C40" s="1" t="n">
        <v>46140</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46140</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56704-2022</t>
        </is>
      </c>
      <c r="B42" s="1" t="n">
        <v>44893.78075231481</v>
      </c>
      <c r="C42" s="1" t="n">
        <v>46140</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43175-2023</t>
        </is>
      </c>
      <c r="B43" s="1" t="n">
        <v>45183</v>
      </c>
      <c r="C43" s="1" t="n">
        <v>46140</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46140</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60852-2024</t>
        </is>
      </c>
      <c r="B45" s="1" t="n">
        <v>45644</v>
      </c>
      <c r="C45" s="1" t="n">
        <v>46140</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43068-2024</t>
        </is>
      </c>
      <c r="B46" s="1" t="n">
        <v>45567</v>
      </c>
      <c r="C46" s="1" t="n">
        <v>46140</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7731-2023</t>
        </is>
      </c>
      <c r="B47" s="1" t="n">
        <v>44973</v>
      </c>
      <c r="C47" s="1" t="n">
        <v>46140</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38255-2025</t>
        </is>
      </c>
      <c r="B48" s="1" t="n">
        <v>45883.38020833334</v>
      </c>
      <c r="C48" s="1" t="n">
        <v>46140</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12509-2023</t>
        </is>
      </c>
      <c r="B49" s="1" t="n">
        <v>44999.95988425926</v>
      </c>
      <c r="C49" s="1" t="n">
        <v>46140</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14775-2023</t>
        </is>
      </c>
      <c r="B50" s="1" t="n">
        <v>45014</v>
      </c>
      <c r="C50" s="1" t="n">
        <v>46140</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48705-2025</t>
        </is>
      </c>
      <c r="B51" s="1" t="n">
        <v>45936.62290509259</v>
      </c>
      <c r="C51" s="1" t="n">
        <v>46140</v>
      </c>
      <c r="D51" t="inlineStr">
        <is>
          <t>VÄSTMANLANDS LÄN</t>
        </is>
      </c>
      <c r="E51" t="inlineStr">
        <is>
          <t>SALA</t>
        </is>
      </c>
      <c r="G51" t="n">
        <v>4.4</v>
      </c>
      <c r="H51" t="n">
        <v>1</v>
      </c>
      <c r="I51" t="n">
        <v>1</v>
      </c>
      <c r="J51" t="n">
        <v>0</v>
      </c>
      <c r="K51" t="n">
        <v>0</v>
      </c>
      <c r="L51" t="n">
        <v>0</v>
      </c>
      <c r="M51" t="n">
        <v>0</v>
      </c>
      <c r="N51" t="n">
        <v>0</v>
      </c>
      <c r="O51" t="n">
        <v>0</v>
      </c>
      <c r="P51" t="n">
        <v>0</v>
      </c>
      <c r="Q51" t="n">
        <v>1</v>
      </c>
      <c r="R51" s="2" t="inlineStr">
        <is>
          <t>Plattlummer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19361-2025</t>
        </is>
      </c>
      <c r="B52" s="1" t="n">
        <v>45769.63357638889</v>
      </c>
      <c r="C52" s="1" t="n">
        <v>46140</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46140</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50268-2025</t>
        </is>
      </c>
      <c r="B54" s="1" t="n">
        <v>45944.35162037037</v>
      </c>
      <c r="C54" s="1" t="n">
        <v>46140</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53052-2025</t>
        </is>
      </c>
      <c r="B55" s="1" t="n">
        <v>45958.36266203703</v>
      </c>
      <c r="C55" s="1" t="n">
        <v>46140</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37166-2024</t>
        </is>
      </c>
      <c r="B56" s="1" t="n">
        <v>45539</v>
      </c>
      <c r="C56" s="1" t="n">
        <v>46140</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55995-2025</t>
        </is>
      </c>
      <c r="B57" s="1" t="n">
        <v>45973.56733796297</v>
      </c>
      <c r="C57" s="1" t="n">
        <v>46140</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29985-2022</t>
        </is>
      </c>
      <c r="B58" s="1" t="n">
        <v>44756</v>
      </c>
      <c r="C58" s="1" t="n">
        <v>46140</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46140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14487-2026</t>
        </is>
      </c>
      <c r="B60" s="1" t="n">
        <v>46100.59162037037</v>
      </c>
      <c r="C60" s="1" t="n">
        <v>46140</v>
      </c>
      <c r="D60" t="inlineStr">
        <is>
          <t>VÄSTMANLANDS LÄN</t>
        </is>
      </c>
      <c r="E60" t="inlineStr">
        <is>
          <t>SALA</t>
        </is>
      </c>
      <c r="F60" t="inlineStr">
        <is>
          <t>Sveaskog</t>
        </is>
      </c>
      <c r="G60" t="n">
        <v>6.7</v>
      </c>
      <c r="H60" t="n">
        <v>0</v>
      </c>
      <c r="I60" t="n">
        <v>0</v>
      </c>
      <c r="J60" t="n">
        <v>1</v>
      </c>
      <c r="K60" t="n">
        <v>0</v>
      </c>
      <c r="L60" t="n">
        <v>0</v>
      </c>
      <c r="M60" t="n">
        <v>0</v>
      </c>
      <c r="N60" t="n">
        <v>0</v>
      </c>
      <c r="O60" t="n">
        <v>1</v>
      </c>
      <c r="P60" t="n">
        <v>0</v>
      </c>
      <c r="Q60" t="n">
        <v>1</v>
      </c>
      <c r="R60" s="2" t="inlineStr">
        <is>
          <t>Motaggsvamp</t>
        </is>
      </c>
      <c r="S60">
        <f>HYPERLINK("https://klasma.github.io/Logging_1981/artfynd/A 14487-2026 artfynd.xlsx", "A 14487-2026")</f>
        <v/>
      </c>
      <c r="T60">
        <f>HYPERLINK("https://klasma.github.io/Logging_1981/kartor/A 14487-2026 karta.png", "A 14487-2026")</f>
        <v/>
      </c>
      <c r="V60">
        <f>HYPERLINK("https://klasma.github.io/Logging_1981/klagomål/A 14487-2026 FSC-klagomål.docx", "A 14487-2026")</f>
        <v/>
      </c>
      <c r="W60">
        <f>HYPERLINK("https://klasma.github.io/Logging_1981/klagomålsmail/A 14487-2026 FSC-klagomål mail.docx", "A 14487-2026")</f>
        <v/>
      </c>
      <c r="X60">
        <f>HYPERLINK("https://klasma.github.io/Logging_1981/tillsyn/A 14487-2026 tillsynsbegäran.docx", "A 14487-2026")</f>
        <v/>
      </c>
      <c r="Y60">
        <f>HYPERLINK("https://klasma.github.io/Logging_1981/tillsynsmail/A 14487-2026 tillsynsbegäran mail.docx", "A 14487-2026")</f>
        <v/>
      </c>
    </row>
    <row r="61" ht="15" customHeight="1">
      <c r="A61" t="inlineStr">
        <is>
          <t>A 14488-2026</t>
        </is>
      </c>
      <c r="B61" s="1" t="n">
        <v>46100.59216435185</v>
      </c>
      <c r="C61" s="1" t="n">
        <v>46140</v>
      </c>
      <c r="D61" t="inlineStr">
        <is>
          <t>VÄSTMANLANDS LÄN</t>
        </is>
      </c>
      <c r="E61" t="inlineStr">
        <is>
          <t>SALA</t>
        </is>
      </c>
      <c r="F61" t="inlineStr">
        <is>
          <t>Sveaskog</t>
        </is>
      </c>
      <c r="G61" t="n">
        <v>1.5</v>
      </c>
      <c r="H61" t="n">
        <v>1</v>
      </c>
      <c r="I61" t="n">
        <v>0</v>
      </c>
      <c r="J61" t="n">
        <v>0</v>
      </c>
      <c r="K61" t="n">
        <v>0</v>
      </c>
      <c r="L61" t="n">
        <v>0</v>
      </c>
      <c r="M61" t="n">
        <v>0</v>
      </c>
      <c r="N61" t="n">
        <v>0</v>
      </c>
      <c r="O61" t="n">
        <v>0</v>
      </c>
      <c r="P61" t="n">
        <v>0</v>
      </c>
      <c r="Q61" t="n">
        <v>1</v>
      </c>
      <c r="R61" s="2" t="inlineStr">
        <is>
          <t>Mattlummer</t>
        </is>
      </c>
      <c r="S61">
        <f>HYPERLINK("https://klasma.github.io/Logging_1981/artfynd/A 14488-2026 artfynd.xlsx", "A 14488-2026")</f>
        <v/>
      </c>
      <c r="T61">
        <f>HYPERLINK("https://klasma.github.io/Logging_1981/kartor/A 14488-2026 karta.png", "A 14488-2026")</f>
        <v/>
      </c>
      <c r="V61">
        <f>HYPERLINK("https://klasma.github.io/Logging_1981/klagomål/A 14488-2026 FSC-klagomål.docx", "A 14488-2026")</f>
        <v/>
      </c>
      <c r="W61">
        <f>HYPERLINK("https://klasma.github.io/Logging_1981/klagomålsmail/A 14488-2026 FSC-klagomål mail.docx", "A 14488-2026")</f>
        <v/>
      </c>
      <c r="X61">
        <f>HYPERLINK("https://klasma.github.io/Logging_1981/tillsyn/A 14488-2026 tillsynsbegäran.docx", "A 14488-2026")</f>
        <v/>
      </c>
      <c r="Y61">
        <f>HYPERLINK("https://klasma.github.io/Logging_1981/tillsynsmail/A 14488-2026 tillsynsbegäran mail.docx", "A 14488-2026")</f>
        <v/>
      </c>
    </row>
    <row r="62" ht="15" customHeight="1">
      <c r="A62" t="inlineStr">
        <is>
          <t>A 7672-2026</t>
        </is>
      </c>
      <c r="B62" s="1" t="n">
        <v>46062.42077546296</v>
      </c>
      <c r="C62" s="1" t="n">
        <v>46140</v>
      </c>
      <c r="D62" t="inlineStr">
        <is>
          <t>VÄSTMANLANDS LÄN</t>
        </is>
      </c>
      <c r="E62" t="inlineStr">
        <is>
          <t>SALA</t>
        </is>
      </c>
      <c r="G62" t="n">
        <v>2.9</v>
      </c>
      <c r="H62" t="n">
        <v>1</v>
      </c>
      <c r="I62" t="n">
        <v>0</v>
      </c>
      <c r="J62" t="n">
        <v>0</v>
      </c>
      <c r="K62" t="n">
        <v>0</v>
      </c>
      <c r="L62" t="n">
        <v>0</v>
      </c>
      <c r="M62" t="n">
        <v>0</v>
      </c>
      <c r="N62" t="n">
        <v>0</v>
      </c>
      <c r="O62" t="n">
        <v>0</v>
      </c>
      <c r="P62" t="n">
        <v>0</v>
      </c>
      <c r="Q62" t="n">
        <v>1</v>
      </c>
      <c r="R62" s="2" t="inlineStr">
        <is>
          <t>Nattviol</t>
        </is>
      </c>
      <c r="S62">
        <f>HYPERLINK("https://klasma.github.io/Logging_1981/artfynd/A 7672-2026 artfynd.xlsx", "A 7672-2026")</f>
        <v/>
      </c>
      <c r="T62">
        <f>HYPERLINK("https://klasma.github.io/Logging_1981/kartor/A 7672-2026 karta.png", "A 7672-2026")</f>
        <v/>
      </c>
      <c r="V62">
        <f>HYPERLINK("https://klasma.github.io/Logging_1981/klagomål/A 7672-2026 FSC-klagomål.docx", "A 7672-2026")</f>
        <v/>
      </c>
      <c r="W62">
        <f>HYPERLINK("https://klasma.github.io/Logging_1981/klagomålsmail/A 7672-2026 FSC-klagomål mail.docx", "A 7672-2026")</f>
        <v/>
      </c>
      <c r="X62">
        <f>HYPERLINK("https://klasma.github.io/Logging_1981/tillsyn/A 7672-2026 tillsynsbegäran.docx", "A 7672-2026")</f>
        <v/>
      </c>
      <c r="Y62">
        <f>HYPERLINK("https://klasma.github.io/Logging_1981/tillsynsmail/A 7672-2026 tillsynsbegäran mail.docx", "A 7672-2026")</f>
        <v/>
      </c>
    </row>
    <row r="63" ht="15" customHeight="1">
      <c r="A63" t="inlineStr">
        <is>
          <t>A 29727-2023</t>
        </is>
      </c>
      <c r="B63" s="1" t="n">
        <v>45107</v>
      </c>
      <c r="C63" s="1" t="n">
        <v>46140</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18896-2026</t>
        </is>
      </c>
      <c r="B64" s="1" t="n">
        <v>46129</v>
      </c>
      <c r="C64" s="1" t="n">
        <v>46140</v>
      </c>
      <c r="D64" t="inlineStr">
        <is>
          <t>VÄSTMANLANDS LÄN</t>
        </is>
      </c>
      <c r="E64" t="inlineStr">
        <is>
          <t>SALA</t>
        </is>
      </c>
      <c r="F64" t="inlineStr">
        <is>
          <t>Kommuner</t>
        </is>
      </c>
      <c r="G64" t="n">
        <v>1.1</v>
      </c>
      <c r="H64" t="n">
        <v>0</v>
      </c>
      <c r="I64" t="n">
        <v>0</v>
      </c>
      <c r="J64" t="n">
        <v>1</v>
      </c>
      <c r="K64" t="n">
        <v>0</v>
      </c>
      <c r="L64" t="n">
        <v>0</v>
      </c>
      <c r="M64" t="n">
        <v>0</v>
      </c>
      <c r="N64" t="n">
        <v>0</v>
      </c>
      <c r="O64" t="n">
        <v>1</v>
      </c>
      <c r="P64" t="n">
        <v>0</v>
      </c>
      <c r="Q64" t="n">
        <v>1</v>
      </c>
      <c r="R64" s="2" t="inlineStr">
        <is>
          <t>Ullticka</t>
        </is>
      </c>
      <c r="S64">
        <f>HYPERLINK("https://klasma.github.io/Logging_1981/artfynd/A 18896-2026 artfynd.xlsx", "A 18896-2026")</f>
        <v/>
      </c>
      <c r="T64">
        <f>HYPERLINK("https://klasma.github.io/Logging_1981/kartor/A 18896-2026 karta.png", "A 18896-2026")</f>
        <v/>
      </c>
      <c r="V64">
        <f>HYPERLINK("https://klasma.github.io/Logging_1981/klagomål/A 18896-2026 FSC-klagomål.docx", "A 18896-2026")</f>
        <v/>
      </c>
      <c r="W64">
        <f>HYPERLINK("https://klasma.github.io/Logging_1981/klagomålsmail/A 18896-2026 FSC-klagomål mail.docx", "A 18896-2026")</f>
        <v/>
      </c>
      <c r="X64">
        <f>HYPERLINK("https://klasma.github.io/Logging_1981/tillsyn/A 18896-2026 tillsynsbegäran.docx", "A 18896-2026")</f>
        <v/>
      </c>
      <c r="Y64">
        <f>HYPERLINK("https://klasma.github.io/Logging_1981/tillsynsmail/A 18896-2026 tillsynsbegäran mail.docx", "A 18896-2026")</f>
        <v/>
      </c>
    </row>
    <row r="65" ht="15" customHeight="1">
      <c r="A65" t="inlineStr">
        <is>
          <t>A 55550-2023</t>
        </is>
      </c>
      <c r="B65" s="1" t="n">
        <v>45232</v>
      </c>
      <c r="C65" s="1" t="n">
        <v>46140</v>
      </c>
      <c r="D65" t="inlineStr">
        <is>
          <t>VÄSTMANLANDS LÄN</t>
        </is>
      </c>
      <c r="E65" t="inlineStr">
        <is>
          <t>SALA</t>
        </is>
      </c>
      <c r="G65" t="n">
        <v>9.9</v>
      </c>
      <c r="H65" t="n">
        <v>1</v>
      </c>
      <c r="I65" t="n">
        <v>0</v>
      </c>
      <c r="J65" t="n">
        <v>0</v>
      </c>
      <c r="K65" t="n">
        <v>1</v>
      </c>
      <c r="L65" t="n">
        <v>0</v>
      </c>
      <c r="M65" t="n">
        <v>0</v>
      </c>
      <c r="N65" t="n">
        <v>0</v>
      </c>
      <c r="O65" t="n">
        <v>1</v>
      </c>
      <c r="P65" t="n">
        <v>1</v>
      </c>
      <c r="Q65" t="n">
        <v>1</v>
      </c>
      <c r="R65" s="2" t="inlineStr">
        <is>
          <t>Knärot</t>
        </is>
      </c>
      <c r="S65">
        <f>HYPERLINK("https://klasma.github.io/Logging_1981/artfynd/A 55550-2023 artfynd.xlsx", "A 55550-2023")</f>
        <v/>
      </c>
      <c r="T65">
        <f>HYPERLINK("https://klasma.github.io/Logging_1981/kartor/A 55550-2023 karta.png", "A 55550-2023")</f>
        <v/>
      </c>
      <c r="U65">
        <f>HYPERLINK("https://klasma.github.io/Logging_1981/knärot/A 55550-2023 karta knärot.png", "A 55550-2023")</f>
        <v/>
      </c>
      <c r="V65">
        <f>HYPERLINK("https://klasma.github.io/Logging_1981/klagomål/A 55550-2023 FSC-klagomål.docx", "A 55550-2023")</f>
        <v/>
      </c>
      <c r="W65">
        <f>HYPERLINK("https://klasma.github.io/Logging_1981/klagomålsmail/A 55550-2023 FSC-klagomål mail.docx", "A 55550-2023")</f>
        <v/>
      </c>
      <c r="X65">
        <f>HYPERLINK("https://klasma.github.io/Logging_1981/tillsyn/A 55550-2023 tillsynsbegäran.docx", "A 55550-2023")</f>
        <v/>
      </c>
      <c r="Y65">
        <f>HYPERLINK("https://klasma.github.io/Logging_1981/tillsynsmail/A 55550-2023 tillsynsbegäran mail.docx", "A 55550-2023")</f>
        <v/>
      </c>
    </row>
    <row r="66" ht="15" customHeight="1">
      <c r="A66" t="inlineStr">
        <is>
          <t>A 21738-2025</t>
        </is>
      </c>
      <c r="B66" s="1" t="n">
        <v>45783.59173611111</v>
      </c>
      <c r="C66" s="1" t="n">
        <v>46140</v>
      </c>
      <c r="D66" t="inlineStr">
        <is>
          <t>VÄSTMANLANDS LÄN</t>
        </is>
      </c>
      <c r="E66" t="inlineStr">
        <is>
          <t>SALA</t>
        </is>
      </c>
      <c r="G66" t="n">
        <v>2.1</v>
      </c>
      <c r="H66" t="n">
        <v>0</v>
      </c>
      <c r="I66" t="n">
        <v>0</v>
      </c>
      <c r="J66" t="n">
        <v>1</v>
      </c>
      <c r="K66" t="n">
        <v>0</v>
      </c>
      <c r="L66" t="n">
        <v>0</v>
      </c>
      <c r="M66" t="n">
        <v>0</v>
      </c>
      <c r="N66" t="n">
        <v>0</v>
      </c>
      <c r="O66" t="n">
        <v>1</v>
      </c>
      <c r="P66" t="n">
        <v>0</v>
      </c>
      <c r="Q66" t="n">
        <v>1</v>
      </c>
      <c r="R66" s="2" t="inlineStr">
        <is>
          <t>Motaggsvamp</t>
        </is>
      </c>
      <c r="S66">
        <f>HYPERLINK("https://klasma.github.io/Logging_1981/artfynd/A 21738-2025 artfynd.xlsx", "A 21738-2025")</f>
        <v/>
      </c>
      <c r="T66">
        <f>HYPERLINK("https://klasma.github.io/Logging_1981/kartor/A 21738-2025 karta.png", "A 21738-2025")</f>
        <v/>
      </c>
      <c r="V66">
        <f>HYPERLINK("https://klasma.github.io/Logging_1981/klagomål/A 21738-2025 FSC-klagomål.docx", "A 21738-2025")</f>
        <v/>
      </c>
      <c r="W66">
        <f>HYPERLINK("https://klasma.github.io/Logging_1981/klagomålsmail/A 21738-2025 FSC-klagomål mail.docx", "A 21738-2025")</f>
        <v/>
      </c>
      <c r="X66">
        <f>HYPERLINK("https://klasma.github.io/Logging_1981/tillsyn/A 21738-2025 tillsynsbegäran.docx", "A 21738-2025")</f>
        <v/>
      </c>
      <c r="Y66">
        <f>HYPERLINK("https://klasma.github.io/Logging_1981/tillsynsmail/A 21738-2025 tillsynsbegäran mail.docx", "A 21738-2025")</f>
        <v/>
      </c>
    </row>
    <row r="67" ht="15" customHeight="1">
      <c r="A67" t="inlineStr">
        <is>
          <t>A 22950-2025</t>
        </is>
      </c>
      <c r="B67" s="1" t="n">
        <v>45790.50728009259</v>
      </c>
      <c r="C67" s="1" t="n">
        <v>46140</v>
      </c>
      <c r="D67" t="inlineStr">
        <is>
          <t>VÄSTMANLANDS LÄN</t>
        </is>
      </c>
      <c r="E67" t="inlineStr">
        <is>
          <t>SALA</t>
        </is>
      </c>
      <c r="G67" t="n">
        <v>6.2</v>
      </c>
      <c r="H67" t="n">
        <v>1</v>
      </c>
      <c r="I67" t="n">
        <v>0</v>
      </c>
      <c r="J67" t="n">
        <v>1</v>
      </c>
      <c r="K67" t="n">
        <v>0</v>
      </c>
      <c r="L67" t="n">
        <v>0</v>
      </c>
      <c r="M67" t="n">
        <v>0</v>
      </c>
      <c r="N67" t="n">
        <v>0</v>
      </c>
      <c r="O67" t="n">
        <v>1</v>
      </c>
      <c r="P67" t="n">
        <v>0</v>
      </c>
      <c r="Q67" t="n">
        <v>1</v>
      </c>
      <c r="R67" s="2" t="inlineStr">
        <is>
          <t>Svartvit flugsnappare</t>
        </is>
      </c>
      <c r="S67">
        <f>HYPERLINK("https://klasma.github.io/Logging_1981/artfynd/A 22950-2025 artfynd.xlsx", "A 22950-2025")</f>
        <v/>
      </c>
      <c r="T67">
        <f>HYPERLINK("https://klasma.github.io/Logging_1981/kartor/A 22950-2025 karta.png", "A 22950-2025")</f>
        <v/>
      </c>
      <c r="V67">
        <f>HYPERLINK("https://klasma.github.io/Logging_1981/klagomål/A 22950-2025 FSC-klagomål.docx", "A 22950-2025")</f>
        <v/>
      </c>
      <c r="W67">
        <f>HYPERLINK("https://klasma.github.io/Logging_1981/klagomålsmail/A 22950-2025 FSC-klagomål mail.docx", "A 22950-2025")</f>
        <v/>
      </c>
      <c r="X67">
        <f>HYPERLINK("https://klasma.github.io/Logging_1981/tillsyn/A 22950-2025 tillsynsbegäran.docx", "A 22950-2025")</f>
        <v/>
      </c>
      <c r="Y67">
        <f>HYPERLINK("https://klasma.github.io/Logging_1981/tillsynsmail/A 22950-2025 tillsynsbegäran mail.docx", "A 22950-2025")</f>
        <v/>
      </c>
      <c r="Z67">
        <f>HYPERLINK("https://klasma.github.io/Logging_1981/fåglar/A 22950-2025 prioriterade fågelarter.docx", "A 22950-2025")</f>
        <v/>
      </c>
    </row>
    <row r="68" ht="15" customHeight="1">
      <c r="A68" t="inlineStr">
        <is>
          <t>A 32594-2025</t>
        </is>
      </c>
      <c r="B68" s="1" t="n">
        <v>45838</v>
      </c>
      <c r="C68" s="1" t="n">
        <v>46140</v>
      </c>
      <c r="D68" t="inlineStr">
        <is>
          <t>VÄSTMANLANDS LÄN</t>
        </is>
      </c>
      <c r="E68" t="inlineStr">
        <is>
          <t>SALA</t>
        </is>
      </c>
      <c r="F68" t="inlineStr">
        <is>
          <t>Bergvik skog öst AB</t>
        </is>
      </c>
      <c r="G68" t="n">
        <v>0.9</v>
      </c>
      <c r="H68" t="n">
        <v>1</v>
      </c>
      <c r="I68" t="n">
        <v>0</v>
      </c>
      <c r="J68" t="n">
        <v>0</v>
      </c>
      <c r="K68" t="n">
        <v>0</v>
      </c>
      <c r="L68" t="n">
        <v>0</v>
      </c>
      <c r="M68" t="n">
        <v>0</v>
      </c>
      <c r="N68" t="n">
        <v>0</v>
      </c>
      <c r="O68" t="n">
        <v>0</v>
      </c>
      <c r="P68" t="n">
        <v>0</v>
      </c>
      <c r="Q68" t="n">
        <v>1</v>
      </c>
      <c r="R68" s="2" t="inlineStr">
        <is>
          <t>Blåsippa</t>
        </is>
      </c>
      <c r="S68">
        <f>HYPERLINK("https://klasma.github.io/Logging_1981/artfynd/A 32594-2025 artfynd.xlsx", "A 32594-2025")</f>
        <v/>
      </c>
      <c r="T68">
        <f>HYPERLINK("https://klasma.github.io/Logging_1981/kartor/A 32594-2025 karta.png", "A 32594-2025")</f>
        <v/>
      </c>
      <c r="V68">
        <f>HYPERLINK("https://klasma.github.io/Logging_1981/klagomål/A 32594-2025 FSC-klagomål.docx", "A 32594-2025")</f>
        <v/>
      </c>
      <c r="W68">
        <f>HYPERLINK("https://klasma.github.io/Logging_1981/klagomålsmail/A 32594-2025 FSC-klagomål mail.docx", "A 32594-2025")</f>
        <v/>
      </c>
      <c r="X68">
        <f>HYPERLINK("https://klasma.github.io/Logging_1981/tillsyn/A 32594-2025 tillsynsbegäran.docx", "A 32594-2025")</f>
        <v/>
      </c>
      <c r="Y68">
        <f>HYPERLINK("https://klasma.github.io/Logging_1981/tillsynsmail/A 32594-2025 tillsynsbegäran mail.docx", "A 32594-2025")</f>
        <v/>
      </c>
    </row>
    <row r="69" ht="15" customHeight="1">
      <c r="A69" t="inlineStr">
        <is>
          <t>A 22350-2024</t>
        </is>
      </c>
      <c r="B69" s="1" t="n">
        <v>45446</v>
      </c>
      <c r="C69" s="1" t="n">
        <v>46140</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Blåsippa</t>
        </is>
      </c>
      <c r="S69">
        <f>HYPERLINK("https://klasma.github.io/Logging_1981/artfynd/A 22350-2024 artfynd.xlsx", "A 22350-2024")</f>
        <v/>
      </c>
      <c r="T69">
        <f>HYPERLINK("https://klasma.github.io/Logging_1981/kartor/A 22350-2024 karta.png", "A 22350-2024")</f>
        <v/>
      </c>
      <c r="V69">
        <f>HYPERLINK("https://klasma.github.io/Logging_1981/klagomål/A 22350-2024 FSC-klagomål.docx", "A 22350-2024")</f>
        <v/>
      </c>
      <c r="W69">
        <f>HYPERLINK("https://klasma.github.io/Logging_1981/klagomålsmail/A 22350-2024 FSC-klagomål mail.docx", "A 22350-2024")</f>
        <v/>
      </c>
      <c r="X69">
        <f>HYPERLINK("https://klasma.github.io/Logging_1981/tillsyn/A 22350-2024 tillsynsbegäran.docx", "A 22350-2024")</f>
        <v/>
      </c>
      <c r="Y69">
        <f>HYPERLINK("https://klasma.github.io/Logging_1981/tillsynsmail/A 22350-2024 tillsynsbegäran mail.docx", "A 22350-2024")</f>
        <v/>
      </c>
    </row>
    <row r="70" ht="15" customHeight="1">
      <c r="A70" t="inlineStr">
        <is>
          <t>A 73124-2021</t>
        </is>
      </c>
      <c r="B70" s="1" t="n">
        <v>44550</v>
      </c>
      <c r="C70" s="1" t="n">
        <v>46140</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46140</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46140</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46140</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46140</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46140</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46140</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46140</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46140</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46140</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46140</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46140</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46140</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46140</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46140</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46140</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46140</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46140</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46140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46140</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46140</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46140</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46140</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46140</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46140</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46140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46140</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46140</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46140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46140</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46140</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46140</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46140</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46140</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46140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46140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46140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46140</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46140</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46140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46140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46140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46140</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65835-2021</t>
        </is>
      </c>
      <c r="B113" s="1" t="n">
        <v>44517</v>
      </c>
      <c r="C113" s="1" t="n">
        <v>46140</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31904-2021</t>
        </is>
      </c>
      <c r="B114" s="1" t="n">
        <v>44370.46853009259</v>
      </c>
      <c r="C114" s="1" t="n">
        <v>46140</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44217-2022</t>
        </is>
      </c>
      <c r="B115" s="1" t="n">
        <v>44839.49953703704</v>
      </c>
      <c r="C115" s="1" t="n">
        <v>46140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61897-2021</t>
        </is>
      </c>
      <c r="B116" s="1" t="n">
        <v>44502</v>
      </c>
      <c r="C116" s="1" t="n">
        <v>46140</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46140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46140</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46140</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46140</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46140</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46140</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46140</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46140</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46140</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66508-2021</t>
        </is>
      </c>
      <c r="B126" s="1" t="n">
        <v>44519.33401620371</v>
      </c>
      <c r="C126" s="1" t="n">
        <v>46140</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46140</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46140</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46140</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46140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46140</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46140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46140</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46140</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46140</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46140</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46140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46140</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46140</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46140</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46140</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46140</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46140</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46140</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46140</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46140</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46140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46140</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46140</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46140</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46140</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46140</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30915-2021</t>
        </is>
      </c>
      <c r="B153" s="1" t="n">
        <v>44365</v>
      </c>
      <c r="C153" s="1" t="n">
        <v>46140</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30918-2021</t>
        </is>
      </c>
      <c r="B154" s="1" t="n">
        <v>44365.60569444444</v>
      </c>
      <c r="C154" s="1" t="n">
        <v>46140</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46140</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65353-2021</t>
        </is>
      </c>
      <c r="B156" s="1" t="n">
        <v>44515</v>
      </c>
      <c r="C156" s="1" t="n">
        <v>46140</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22575-2022</t>
        </is>
      </c>
      <c r="B157" s="1" t="n">
        <v>44713</v>
      </c>
      <c r="C157" s="1" t="n">
        <v>46140</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46140</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46140</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72405-2021</t>
        </is>
      </c>
      <c r="B160" s="1" t="n">
        <v>44545</v>
      </c>
      <c r="C160" s="1" t="n">
        <v>46140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63290-2021</t>
        </is>
      </c>
      <c r="B161" s="1" t="n">
        <v>44505</v>
      </c>
      <c r="C161" s="1" t="n">
        <v>46140</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46140</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37881-2021</t>
        </is>
      </c>
      <c r="B163" s="1" t="n">
        <v>44403</v>
      </c>
      <c r="C163" s="1" t="n">
        <v>46140</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46140</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46140</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46140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46140</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46140</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46140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46140</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46140</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46140</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46140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46140</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46140</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56688-2024</t>
        </is>
      </c>
      <c r="B176" s="1" t="n">
        <v>45627.66478009259</v>
      </c>
      <c r="C176" s="1" t="n">
        <v>46140</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27486-2022</t>
        </is>
      </c>
      <c r="B177" s="1" t="n">
        <v>44742.60846064815</v>
      </c>
      <c r="C177" s="1" t="n">
        <v>46140</v>
      </c>
      <c r="D177" t="inlineStr">
        <is>
          <t>VÄSTMANLANDS LÄN</t>
        </is>
      </c>
      <c r="E177" t="inlineStr">
        <is>
          <t>SALA</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6134-2024</t>
        </is>
      </c>
      <c r="B178" s="1" t="n">
        <v>45337</v>
      </c>
      <c r="C178" s="1" t="n">
        <v>46140</v>
      </c>
      <c r="D178" t="inlineStr">
        <is>
          <t>VÄSTMANLANDS LÄN</t>
        </is>
      </c>
      <c r="E178" t="inlineStr">
        <is>
          <t>SALA</t>
        </is>
      </c>
      <c r="G178" t="n">
        <v>1.8</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46140</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18713-2025</t>
        </is>
      </c>
      <c r="B180" s="1" t="n">
        <v>45763</v>
      </c>
      <c r="C180" s="1" t="n">
        <v>46140</v>
      </c>
      <c r="D180" t="inlineStr">
        <is>
          <t>VÄSTMANLANDS LÄN</t>
        </is>
      </c>
      <c r="E180" t="inlineStr">
        <is>
          <t>SALA</t>
        </is>
      </c>
      <c r="F180" t="inlineStr">
        <is>
          <t>Bergvik skog öst AB</t>
        </is>
      </c>
      <c r="G180" t="n">
        <v>11.6</v>
      </c>
      <c r="H180" t="n">
        <v>0</v>
      </c>
      <c r="I180" t="n">
        <v>0</v>
      </c>
      <c r="J180" t="n">
        <v>0</v>
      </c>
      <c r="K180" t="n">
        <v>0</v>
      </c>
      <c r="L180" t="n">
        <v>0</v>
      </c>
      <c r="M180" t="n">
        <v>0</v>
      </c>
      <c r="N180" t="n">
        <v>0</v>
      </c>
      <c r="O180" t="n">
        <v>0</v>
      </c>
      <c r="P180" t="n">
        <v>0</v>
      </c>
      <c r="Q180" t="n">
        <v>0</v>
      </c>
      <c r="R180" s="2" t="inlineStr"/>
    </row>
    <row r="181" ht="15" customHeight="1">
      <c r="A181" t="inlineStr">
        <is>
          <t>A 54959-2024</t>
        </is>
      </c>
      <c r="B181" s="1" t="n">
        <v>45619</v>
      </c>
      <c r="C181" s="1" t="n">
        <v>46140</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39597-2022</t>
        </is>
      </c>
      <c r="B182" s="1" t="n">
        <v>44818</v>
      </c>
      <c r="C182" s="1" t="n">
        <v>46140</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22026-2021</t>
        </is>
      </c>
      <c r="B183" s="1" t="n">
        <v>44323</v>
      </c>
      <c r="C183" s="1" t="n">
        <v>46140</v>
      </c>
      <c r="D183" t="inlineStr">
        <is>
          <t>VÄSTMANLANDS LÄN</t>
        </is>
      </c>
      <c r="E183" t="inlineStr">
        <is>
          <t>SALA</t>
        </is>
      </c>
      <c r="G183" t="n">
        <v>2.9</v>
      </c>
      <c r="H183" t="n">
        <v>0</v>
      </c>
      <c r="I183" t="n">
        <v>0</v>
      </c>
      <c r="J183" t="n">
        <v>0</v>
      </c>
      <c r="K183" t="n">
        <v>0</v>
      </c>
      <c r="L183" t="n">
        <v>0</v>
      </c>
      <c r="M183" t="n">
        <v>0</v>
      </c>
      <c r="N183" t="n">
        <v>0</v>
      </c>
      <c r="O183" t="n">
        <v>0</v>
      </c>
      <c r="P183" t="n">
        <v>0</v>
      </c>
      <c r="Q183" t="n">
        <v>0</v>
      </c>
      <c r="R183" s="2" t="inlineStr"/>
    </row>
    <row r="184" ht="15" customHeight="1">
      <c r="A184" t="inlineStr">
        <is>
          <t>A 16160-2024</t>
        </is>
      </c>
      <c r="B184" s="1" t="n">
        <v>45406</v>
      </c>
      <c r="C184" s="1" t="n">
        <v>46140</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40597-2022</t>
        </is>
      </c>
      <c r="B185" s="1" t="n">
        <v>44823.84862268518</v>
      </c>
      <c r="C185" s="1" t="n">
        <v>46140</v>
      </c>
      <c r="D185" t="inlineStr">
        <is>
          <t>VÄSTMANLANDS LÄN</t>
        </is>
      </c>
      <c r="E185" t="inlineStr">
        <is>
          <t>SALA</t>
        </is>
      </c>
      <c r="G185" t="n">
        <v>3.5</v>
      </c>
      <c r="H185" t="n">
        <v>0</v>
      </c>
      <c r="I185" t="n">
        <v>0</v>
      </c>
      <c r="J185" t="n">
        <v>0</v>
      </c>
      <c r="K185" t="n">
        <v>0</v>
      </c>
      <c r="L185" t="n">
        <v>0</v>
      </c>
      <c r="M185" t="n">
        <v>0</v>
      </c>
      <c r="N185" t="n">
        <v>0</v>
      </c>
      <c r="O185" t="n">
        <v>0</v>
      </c>
      <c r="P185" t="n">
        <v>0</v>
      </c>
      <c r="Q185" t="n">
        <v>0</v>
      </c>
      <c r="R185" s="2" t="inlineStr"/>
    </row>
    <row r="186" ht="15" customHeight="1">
      <c r="A186" t="inlineStr">
        <is>
          <t>A 7196-2025</t>
        </is>
      </c>
      <c r="B186" s="1" t="n">
        <v>45702</v>
      </c>
      <c r="C186" s="1" t="n">
        <v>46140</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6183-2025</t>
        </is>
      </c>
      <c r="B187" s="1" t="n">
        <v>45698</v>
      </c>
      <c r="C187" s="1" t="n">
        <v>46140</v>
      </c>
      <c r="D187" t="inlineStr">
        <is>
          <t>VÄSTMANLANDS LÄN</t>
        </is>
      </c>
      <c r="E187" t="inlineStr">
        <is>
          <t>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19803-2024</t>
        </is>
      </c>
      <c r="B188" s="1" t="n">
        <v>45432</v>
      </c>
      <c r="C188" s="1" t="n">
        <v>46140</v>
      </c>
      <c r="D188" t="inlineStr">
        <is>
          <t>VÄSTMANLANDS LÄN</t>
        </is>
      </c>
      <c r="E188" t="inlineStr">
        <is>
          <t>SALA</t>
        </is>
      </c>
      <c r="G188" t="n">
        <v>3.1</v>
      </c>
      <c r="H188" t="n">
        <v>0</v>
      </c>
      <c r="I188" t="n">
        <v>0</v>
      </c>
      <c r="J188" t="n">
        <v>0</v>
      </c>
      <c r="K188" t="n">
        <v>0</v>
      </c>
      <c r="L188" t="n">
        <v>0</v>
      </c>
      <c r="M188" t="n">
        <v>0</v>
      </c>
      <c r="N188" t="n">
        <v>0</v>
      </c>
      <c r="O188" t="n">
        <v>0</v>
      </c>
      <c r="P188" t="n">
        <v>0</v>
      </c>
      <c r="Q188" t="n">
        <v>0</v>
      </c>
      <c r="R188" s="2" t="inlineStr"/>
    </row>
    <row r="189" ht="15" customHeight="1">
      <c r="A189" t="inlineStr">
        <is>
          <t>A 40871-2021</t>
        </is>
      </c>
      <c r="B189" s="1" t="n">
        <v>44421</v>
      </c>
      <c r="C189" s="1" t="n">
        <v>46140</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25860-2024</t>
        </is>
      </c>
      <c r="B190" s="1" t="n">
        <v>45467.46278935186</v>
      </c>
      <c r="C190" s="1" t="n">
        <v>46140</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24864-2024</t>
        </is>
      </c>
      <c r="B191" s="1" t="n">
        <v>45461.48888888889</v>
      </c>
      <c r="C191" s="1" t="n">
        <v>46140</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1118-2024</t>
        </is>
      </c>
      <c r="B192" s="1" t="n">
        <v>45302</v>
      </c>
      <c r="C192" s="1" t="n">
        <v>46140</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39439-2021</t>
        </is>
      </c>
      <c r="B193" s="1" t="n">
        <v>44414</v>
      </c>
      <c r="C193" s="1" t="n">
        <v>46140</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63933-2023</t>
        </is>
      </c>
      <c r="B194" s="1" t="n">
        <v>45278</v>
      </c>
      <c r="C194" s="1" t="n">
        <v>46140</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30971-2022</t>
        </is>
      </c>
      <c r="B195" s="1" t="n">
        <v>44768.46725694444</v>
      </c>
      <c r="C195" s="1" t="n">
        <v>46140</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11389-2024</t>
        </is>
      </c>
      <c r="B196" s="1" t="n">
        <v>45372.45016203704</v>
      </c>
      <c r="C196" s="1" t="n">
        <v>46140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56706-2022</t>
        </is>
      </c>
      <c r="B197" s="1" t="n">
        <v>44893.78893518518</v>
      </c>
      <c r="C197" s="1" t="n">
        <v>46140</v>
      </c>
      <c r="D197" t="inlineStr">
        <is>
          <t>VÄSTMANLANDS LÄN</t>
        </is>
      </c>
      <c r="E197" t="inlineStr">
        <is>
          <t>SALA</t>
        </is>
      </c>
      <c r="G197" t="n">
        <v>4.5</v>
      </c>
      <c r="H197" t="n">
        <v>0</v>
      </c>
      <c r="I197" t="n">
        <v>0</v>
      </c>
      <c r="J197" t="n">
        <v>0</v>
      </c>
      <c r="K197" t="n">
        <v>0</v>
      </c>
      <c r="L197" t="n">
        <v>0</v>
      </c>
      <c r="M197" t="n">
        <v>0</v>
      </c>
      <c r="N197" t="n">
        <v>0</v>
      </c>
      <c r="O197" t="n">
        <v>0</v>
      </c>
      <c r="P197" t="n">
        <v>0</v>
      </c>
      <c r="Q197" t="n">
        <v>0</v>
      </c>
      <c r="R197" s="2" t="inlineStr"/>
    </row>
    <row r="198" ht="15" customHeight="1">
      <c r="A198" t="inlineStr">
        <is>
          <t>A 56707-2022</t>
        </is>
      </c>
      <c r="B198" s="1" t="n">
        <v>44893.79412037037</v>
      </c>
      <c r="C198" s="1" t="n">
        <v>46140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2900-2023</t>
        </is>
      </c>
      <c r="B199" s="1" t="n">
        <v>44943</v>
      </c>
      <c r="C199" s="1" t="n">
        <v>46140</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60730-2023</t>
        </is>
      </c>
      <c r="B200" s="1" t="n">
        <v>45260</v>
      </c>
      <c r="C200" s="1" t="n">
        <v>46140</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60731-2023</t>
        </is>
      </c>
      <c r="B201" s="1" t="n">
        <v>45260</v>
      </c>
      <c r="C201" s="1" t="n">
        <v>46140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35976-2024</t>
        </is>
      </c>
      <c r="B202" s="1" t="n">
        <v>45533.49555555556</v>
      </c>
      <c r="C202" s="1" t="n">
        <v>46140</v>
      </c>
      <c r="D202" t="inlineStr">
        <is>
          <t>VÄSTMANLANDS LÄN</t>
        </is>
      </c>
      <c r="E202" t="inlineStr">
        <is>
          <t>SALA</t>
        </is>
      </c>
      <c r="G202" t="n">
        <v>2.3</v>
      </c>
      <c r="H202" t="n">
        <v>0</v>
      </c>
      <c r="I202" t="n">
        <v>0</v>
      </c>
      <c r="J202" t="n">
        <v>0</v>
      </c>
      <c r="K202" t="n">
        <v>0</v>
      </c>
      <c r="L202" t="n">
        <v>0</v>
      </c>
      <c r="M202" t="n">
        <v>0</v>
      </c>
      <c r="N202" t="n">
        <v>0</v>
      </c>
      <c r="O202" t="n">
        <v>0</v>
      </c>
      <c r="P202" t="n">
        <v>0</v>
      </c>
      <c r="Q202" t="n">
        <v>0</v>
      </c>
      <c r="R202" s="2" t="inlineStr"/>
    </row>
    <row r="203" ht="15" customHeight="1">
      <c r="A203" t="inlineStr">
        <is>
          <t>A 71471-2021</t>
        </is>
      </c>
      <c r="B203" s="1" t="n">
        <v>44540.53421296296</v>
      </c>
      <c r="C203" s="1" t="n">
        <v>46140</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8775-2024</t>
        </is>
      </c>
      <c r="B204" s="1" t="n">
        <v>45356</v>
      </c>
      <c r="C204" s="1" t="n">
        <v>46140</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56547-2022</t>
        </is>
      </c>
      <c r="B205" s="1" t="n">
        <v>44893.48284722222</v>
      </c>
      <c r="C205" s="1" t="n">
        <v>46140</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56916-2022</t>
        </is>
      </c>
      <c r="B206" s="1" t="n">
        <v>44888</v>
      </c>
      <c r="C206" s="1" t="n">
        <v>46140</v>
      </c>
      <c r="D206" t="inlineStr">
        <is>
          <t>VÄSTMANLANDS LÄN</t>
        </is>
      </c>
      <c r="E206" t="inlineStr">
        <is>
          <t>SALA</t>
        </is>
      </c>
      <c r="G206" t="n">
        <v>1.7</v>
      </c>
      <c r="H206" t="n">
        <v>0</v>
      </c>
      <c r="I206" t="n">
        <v>0</v>
      </c>
      <c r="J206" t="n">
        <v>0</v>
      </c>
      <c r="K206" t="n">
        <v>0</v>
      </c>
      <c r="L206" t="n">
        <v>0</v>
      </c>
      <c r="M206" t="n">
        <v>0</v>
      </c>
      <c r="N206" t="n">
        <v>0</v>
      </c>
      <c r="O206" t="n">
        <v>0</v>
      </c>
      <c r="P206" t="n">
        <v>0</v>
      </c>
      <c r="Q206" t="n">
        <v>0</v>
      </c>
      <c r="R206" s="2" t="inlineStr"/>
    </row>
    <row r="207" ht="15" customHeight="1">
      <c r="A207" t="inlineStr">
        <is>
          <t>A 39011-2023</t>
        </is>
      </c>
      <c r="B207" s="1" t="n">
        <v>45162</v>
      </c>
      <c r="C207" s="1" t="n">
        <v>46140</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37190-2024</t>
        </is>
      </c>
      <c r="B208" s="1" t="n">
        <v>45539</v>
      </c>
      <c r="C208" s="1" t="n">
        <v>46140</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56687-2024</t>
        </is>
      </c>
      <c r="B209" s="1" t="n">
        <v>45627.63271990741</v>
      </c>
      <c r="C209" s="1" t="n">
        <v>46140</v>
      </c>
      <c r="D209" t="inlineStr">
        <is>
          <t>VÄSTMANLANDS LÄN</t>
        </is>
      </c>
      <c r="E209" t="inlineStr">
        <is>
          <t>SALA</t>
        </is>
      </c>
      <c r="G209" t="n">
        <v>1.2</v>
      </c>
      <c r="H209" t="n">
        <v>0</v>
      </c>
      <c r="I209" t="n">
        <v>0</v>
      </c>
      <c r="J209" t="n">
        <v>0</v>
      </c>
      <c r="K209" t="n">
        <v>0</v>
      </c>
      <c r="L209" t="n">
        <v>0</v>
      </c>
      <c r="M209" t="n">
        <v>0</v>
      </c>
      <c r="N209" t="n">
        <v>0</v>
      </c>
      <c r="O209" t="n">
        <v>0</v>
      </c>
      <c r="P209" t="n">
        <v>0</v>
      </c>
      <c r="Q209" t="n">
        <v>0</v>
      </c>
      <c r="R209" s="2" t="inlineStr"/>
    </row>
    <row r="210" ht="15" customHeight="1">
      <c r="A210" t="inlineStr">
        <is>
          <t>A 61715-2024</t>
        </is>
      </c>
      <c r="B210" s="1" t="n">
        <v>45648.89519675926</v>
      </c>
      <c r="C210" s="1" t="n">
        <v>46140</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45313-2024</t>
        </is>
      </c>
      <c r="B211" s="1" t="n">
        <v>45576</v>
      </c>
      <c r="C211" s="1" t="n">
        <v>46140</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16404-2022</t>
        </is>
      </c>
      <c r="B212" s="1" t="n">
        <v>44671</v>
      </c>
      <c r="C212" s="1" t="n">
        <v>46140</v>
      </c>
      <c r="D212" t="inlineStr">
        <is>
          <t>VÄSTMANLANDS LÄN</t>
        </is>
      </c>
      <c r="E212" t="inlineStr">
        <is>
          <t>SALA</t>
        </is>
      </c>
      <c r="G212" t="n">
        <v>0.8</v>
      </c>
      <c r="H212" t="n">
        <v>0</v>
      </c>
      <c r="I212" t="n">
        <v>0</v>
      </c>
      <c r="J212" t="n">
        <v>0</v>
      </c>
      <c r="K212" t="n">
        <v>0</v>
      </c>
      <c r="L212" t="n">
        <v>0</v>
      </c>
      <c r="M212" t="n">
        <v>0</v>
      </c>
      <c r="N212" t="n">
        <v>0</v>
      </c>
      <c r="O212" t="n">
        <v>0</v>
      </c>
      <c r="P212" t="n">
        <v>0</v>
      </c>
      <c r="Q212" t="n">
        <v>0</v>
      </c>
      <c r="R212" s="2" t="inlineStr"/>
    </row>
    <row r="213" ht="15" customHeight="1">
      <c r="A213" t="inlineStr">
        <is>
          <t>A 6097-2022</t>
        </is>
      </c>
      <c r="B213" s="1" t="n">
        <v>44599</v>
      </c>
      <c r="C213" s="1" t="n">
        <v>46140</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60545-2024</t>
        </is>
      </c>
      <c r="B214" s="1" t="n">
        <v>45643</v>
      </c>
      <c r="C214" s="1" t="n">
        <v>46140</v>
      </c>
      <c r="D214" t="inlineStr">
        <is>
          <t>VÄSTMANLANDS LÄN</t>
        </is>
      </c>
      <c r="E214" t="inlineStr">
        <is>
          <t>SALA</t>
        </is>
      </c>
      <c r="G214" t="n">
        <v>3.3</v>
      </c>
      <c r="H214" t="n">
        <v>0</v>
      </c>
      <c r="I214" t="n">
        <v>0</v>
      </c>
      <c r="J214" t="n">
        <v>0</v>
      </c>
      <c r="K214" t="n">
        <v>0</v>
      </c>
      <c r="L214" t="n">
        <v>0</v>
      </c>
      <c r="M214" t="n">
        <v>0</v>
      </c>
      <c r="N214" t="n">
        <v>0</v>
      </c>
      <c r="O214" t="n">
        <v>0</v>
      </c>
      <c r="P214" t="n">
        <v>0</v>
      </c>
      <c r="Q214" t="n">
        <v>0</v>
      </c>
      <c r="R214" s="2" t="inlineStr"/>
    </row>
    <row r="215" ht="15" customHeight="1">
      <c r="A215" t="inlineStr">
        <is>
          <t>A 60547-2024</t>
        </is>
      </c>
      <c r="B215" s="1" t="n">
        <v>45643</v>
      </c>
      <c r="C215" s="1" t="n">
        <v>46140</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10559-2024</t>
        </is>
      </c>
      <c r="B216" s="1" t="n">
        <v>45366</v>
      </c>
      <c r="C216" s="1" t="n">
        <v>46140</v>
      </c>
      <c r="D216" t="inlineStr">
        <is>
          <t>VÄSTMANLANDS LÄN</t>
        </is>
      </c>
      <c r="E216" t="inlineStr">
        <is>
          <t>SALA</t>
        </is>
      </c>
      <c r="G216" t="n">
        <v>0.3</v>
      </c>
      <c r="H216" t="n">
        <v>0</v>
      </c>
      <c r="I216" t="n">
        <v>0</v>
      </c>
      <c r="J216" t="n">
        <v>0</v>
      </c>
      <c r="K216" t="n">
        <v>0</v>
      </c>
      <c r="L216" t="n">
        <v>0</v>
      </c>
      <c r="M216" t="n">
        <v>0</v>
      </c>
      <c r="N216" t="n">
        <v>0</v>
      </c>
      <c r="O216" t="n">
        <v>0</v>
      </c>
      <c r="P216" t="n">
        <v>0</v>
      </c>
      <c r="Q216" t="n">
        <v>0</v>
      </c>
      <c r="R216" s="2" t="inlineStr"/>
    </row>
    <row r="217" ht="15" customHeight="1">
      <c r="A217" t="inlineStr">
        <is>
          <t>A 56535-2022</t>
        </is>
      </c>
      <c r="B217" s="1" t="n">
        <v>44893.47173611111</v>
      </c>
      <c r="C217" s="1" t="n">
        <v>46140</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1196-2023</t>
        </is>
      </c>
      <c r="B218" s="1" t="n">
        <v>44935.82290509259</v>
      </c>
      <c r="C218" s="1" t="n">
        <v>46140</v>
      </c>
      <c r="D218" t="inlineStr">
        <is>
          <t>VÄSTMANLANDS LÄN</t>
        </is>
      </c>
      <c r="E218" t="inlineStr">
        <is>
          <t>SALA</t>
        </is>
      </c>
      <c r="G218" t="n">
        <v>4.1</v>
      </c>
      <c r="H218" t="n">
        <v>0</v>
      </c>
      <c r="I218" t="n">
        <v>0</v>
      </c>
      <c r="J218" t="n">
        <v>0</v>
      </c>
      <c r="K218" t="n">
        <v>0</v>
      </c>
      <c r="L218" t="n">
        <v>0</v>
      </c>
      <c r="M218" t="n">
        <v>0</v>
      </c>
      <c r="N218" t="n">
        <v>0</v>
      </c>
      <c r="O218" t="n">
        <v>0</v>
      </c>
      <c r="P218" t="n">
        <v>0</v>
      </c>
      <c r="Q218" t="n">
        <v>0</v>
      </c>
      <c r="R218" s="2" t="inlineStr"/>
    </row>
    <row r="219" ht="15" customHeight="1">
      <c r="A219" t="inlineStr">
        <is>
          <t>A 15965-2024</t>
        </is>
      </c>
      <c r="B219" s="1" t="n">
        <v>45405.55740740741</v>
      </c>
      <c r="C219" s="1" t="n">
        <v>46140</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46140</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73835-2021</t>
        </is>
      </c>
      <c r="B221" s="1" t="n">
        <v>44552.92112268518</v>
      </c>
      <c r="C221" s="1" t="n">
        <v>46140</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60379-2022</t>
        </is>
      </c>
      <c r="B222" s="1" t="n">
        <v>44910</v>
      </c>
      <c r="C222" s="1" t="n">
        <v>46140</v>
      </c>
      <c r="D222" t="inlineStr">
        <is>
          <t>VÄSTMANLANDS LÄN</t>
        </is>
      </c>
      <c r="E222" t="inlineStr">
        <is>
          <t>SALA</t>
        </is>
      </c>
      <c r="F222" t="inlineStr">
        <is>
          <t>Kyrkan</t>
        </is>
      </c>
      <c r="G222" t="n">
        <v>2.5</v>
      </c>
      <c r="H222" t="n">
        <v>0</v>
      </c>
      <c r="I222" t="n">
        <v>0</v>
      </c>
      <c r="J222" t="n">
        <v>0</v>
      </c>
      <c r="K222" t="n">
        <v>0</v>
      </c>
      <c r="L222" t="n">
        <v>0</v>
      </c>
      <c r="M222" t="n">
        <v>0</v>
      </c>
      <c r="N222" t="n">
        <v>0</v>
      </c>
      <c r="O222" t="n">
        <v>0</v>
      </c>
      <c r="P222" t="n">
        <v>0</v>
      </c>
      <c r="Q222" t="n">
        <v>0</v>
      </c>
      <c r="R222" s="2" t="inlineStr"/>
    </row>
    <row r="223" ht="15" customHeight="1">
      <c r="A223" t="inlineStr">
        <is>
          <t>A 1638-2023</t>
        </is>
      </c>
      <c r="B223" s="1" t="n">
        <v>44937</v>
      </c>
      <c r="C223" s="1" t="n">
        <v>46140</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7953-2024</t>
        </is>
      </c>
      <c r="B224" s="1" t="n">
        <v>45350</v>
      </c>
      <c r="C224" s="1" t="n">
        <v>46140</v>
      </c>
      <c r="D224" t="inlineStr">
        <is>
          <t>VÄSTMANLANDS LÄN</t>
        </is>
      </c>
      <c r="E224" t="inlineStr">
        <is>
          <t>SALA</t>
        </is>
      </c>
      <c r="G224" t="n">
        <v>2.6</v>
      </c>
      <c r="H224" t="n">
        <v>0</v>
      </c>
      <c r="I224" t="n">
        <v>0</v>
      </c>
      <c r="J224" t="n">
        <v>0</v>
      </c>
      <c r="K224" t="n">
        <v>0</v>
      </c>
      <c r="L224" t="n">
        <v>0</v>
      </c>
      <c r="M224" t="n">
        <v>0</v>
      </c>
      <c r="N224" t="n">
        <v>0</v>
      </c>
      <c r="O224" t="n">
        <v>0</v>
      </c>
      <c r="P224" t="n">
        <v>0</v>
      </c>
      <c r="Q224" t="n">
        <v>0</v>
      </c>
      <c r="R224" s="2" t="inlineStr"/>
    </row>
    <row r="225" ht="15" customHeight="1">
      <c r="A225" t="inlineStr">
        <is>
          <t>A 62651-2022</t>
        </is>
      </c>
      <c r="B225" s="1" t="n">
        <v>44917</v>
      </c>
      <c r="C225" s="1" t="n">
        <v>46140</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54836-2024</t>
        </is>
      </c>
      <c r="B226" s="1" t="n">
        <v>45618</v>
      </c>
      <c r="C226" s="1" t="n">
        <v>46140</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5477-2024</t>
        </is>
      </c>
      <c r="B227" s="1" t="n">
        <v>45333.67833333334</v>
      </c>
      <c r="C227" s="1" t="n">
        <v>46140</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52630-2022</t>
        </is>
      </c>
      <c r="B228" s="1" t="n">
        <v>44874</v>
      </c>
      <c r="C228" s="1" t="n">
        <v>46140</v>
      </c>
      <c r="D228" t="inlineStr">
        <is>
          <t>VÄSTMANLANDS LÄN</t>
        </is>
      </c>
      <c r="E228" t="inlineStr">
        <is>
          <t>SALA</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13987-2023</t>
        </is>
      </c>
      <c r="B229" s="1" t="n">
        <v>45007</v>
      </c>
      <c r="C229" s="1" t="n">
        <v>46140</v>
      </c>
      <c r="D229" t="inlineStr">
        <is>
          <t>VÄSTMANLANDS LÄN</t>
        </is>
      </c>
      <c r="E229" t="inlineStr">
        <is>
          <t>SALA</t>
        </is>
      </c>
      <c r="G229" t="n">
        <v>3.2</v>
      </c>
      <c r="H229" t="n">
        <v>0</v>
      </c>
      <c r="I229" t="n">
        <v>0</v>
      </c>
      <c r="J229" t="n">
        <v>0</v>
      </c>
      <c r="K229" t="n">
        <v>0</v>
      </c>
      <c r="L229" t="n">
        <v>0</v>
      </c>
      <c r="M229" t="n">
        <v>0</v>
      </c>
      <c r="N229" t="n">
        <v>0</v>
      </c>
      <c r="O229" t="n">
        <v>0</v>
      </c>
      <c r="P229" t="n">
        <v>0</v>
      </c>
      <c r="Q229" t="n">
        <v>0</v>
      </c>
      <c r="R229" s="2" t="inlineStr"/>
    </row>
    <row r="230" ht="15" customHeight="1">
      <c r="A230" t="inlineStr">
        <is>
          <t>A 13990-2023</t>
        </is>
      </c>
      <c r="B230" s="1" t="n">
        <v>45007</v>
      </c>
      <c r="C230" s="1" t="n">
        <v>46140</v>
      </c>
      <c r="D230" t="inlineStr">
        <is>
          <t>VÄSTMANLANDS LÄN</t>
        </is>
      </c>
      <c r="E230" t="inlineStr">
        <is>
          <t>SALA</t>
        </is>
      </c>
      <c r="G230" t="n">
        <v>2.6</v>
      </c>
      <c r="H230" t="n">
        <v>0</v>
      </c>
      <c r="I230" t="n">
        <v>0</v>
      </c>
      <c r="J230" t="n">
        <v>0</v>
      </c>
      <c r="K230" t="n">
        <v>0</v>
      </c>
      <c r="L230" t="n">
        <v>0</v>
      </c>
      <c r="M230" t="n">
        <v>0</v>
      </c>
      <c r="N230" t="n">
        <v>0</v>
      </c>
      <c r="O230" t="n">
        <v>0</v>
      </c>
      <c r="P230" t="n">
        <v>0</v>
      </c>
      <c r="Q230" t="n">
        <v>0</v>
      </c>
      <c r="R230" s="2" t="inlineStr"/>
    </row>
    <row r="231" ht="15" customHeight="1">
      <c r="A231" t="inlineStr">
        <is>
          <t>A 26507-2023</t>
        </is>
      </c>
      <c r="B231" s="1" t="n">
        <v>45092</v>
      </c>
      <c r="C231" s="1" t="n">
        <v>46140</v>
      </c>
      <c r="D231" t="inlineStr">
        <is>
          <t>VÄSTMANLANDS LÄN</t>
        </is>
      </c>
      <c r="E231" t="inlineStr">
        <is>
          <t>SALA</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6032-2025</t>
        </is>
      </c>
      <c r="B232" s="1" t="n">
        <v>45695.6371875</v>
      </c>
      <c r="C232" s="1" t="n">
        <v>46140</v>
      </c>
      <c r="D232" t="inlineStr">
        <is>
          <t>VÄSTMANLANDS LÄN</t>
        </is>
      </c>
      <c r="E232" t="inlineStr">
        <is>
          <t>SALA</t>
        </is>
      </c>
      <c r="F232" t="inlineStr">
        <is>
          <t>Bergvik skog öst AB</t>
        </is>
      </c>
      <c r="G232" t="n">
        <v>8.1</v>
      </c>
      <c r="H232" t="n">
        <v>0</v>
      </c>
      <c r="I232" t="n">
        <v>0</v>
      </c>
      <c r="J232" t="n">
        <v>0</v>
      </c>
      <c r="K232" t="n">
        <v>0</v>
      </c>
      <c r="L232" t="n">
        <v>0</v>
      </c>
      <c r="M232" t="n">
        <v>0</v>
      </c>
      <c r="N232" t="n">
        <v>0</v>
      </c>
      <c r="O232" t="n">
        <v>0</v>
      </c>
      <c r="P232" t="n">
        <v>0</v>
      </c>
      <c r="Q232" t="n">
        <v>0</v>
      </c>
      <c r="R232" s="2" t="inlineStr"/>
    </row>
    <row r="233" ht="15" customHeight="1">
      <c r="A233" t="inlineStr">
        <is>
          <t>A 51464-2024</t>
        </is>
      </c>
      <c r="B233" s="1" t="n">
        <v>45604.49768518518</v>
      </c>
      <c r="C233" s="1" t="n">
        <v>46140</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1128-2025</t>
        </is>
      </c>
      <c r="B234" s="1" t="n">
        <v>45666.68469907407</v>
      </c>
      <c r="C234" s="1" t="n">
        <v>46140</v>
      </c>
      <c r="D234" t="inlineStr">
        <is>
          <t>VÄSTMANLANDS LÄN</t>
        </is>
      </c>
      <c r="E234" t="inlineStr">
        <is>
          <t>SALA</t>
        </is>
      </c>
      <c r="G234" t="n">
        <v>2.5</v>
      </c>
      <c r="H234" t="n">
        <v>0</v>
      </c>
      <c r="I234" t="n">
        <v>0</v>
      </c>
      <c r="J234" t="n">
        <v>0</v>
      </c>
      <c r="K234" t="n">
        <v>0</v>
      </c>
      <c r="L234" t="n">
        <v>0</v>
      </c>
      <c r="M234" t="n">
        <v>0</v>
      </c>
      <c r="N234" t="n">
        <v>0</v>
      </c>
      <c r="O234" t="n">
        <v>0</v>
      </c>
      <c r="P234" t="n">
        <v>0</v>
      </c>
      <c r="Q234" t="n">
        <v>0</v>
      </c>
      <c r="R234" s="2" t="inlineStr"/>
    </row>
    <row r="235" ht="15" customHeight="1">
      <c r="A235" t="inlineStr">
        <is>
          <t>A 43176-2023</t>
        </is>
      </c>
      <c r="B235" s="1" t="n">
        <v>45183</v>
      </c>
      <c r="C235" s="1" t="n">
        <v>46140</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34814-2021</t>
        </is>
      </c>
      <c r="B236" s="1" t="n">
        <v>44383</v>
      </c>
      <c r="C236" s="1" t="n">
        <v>46140</v>
      </c>
      <c r="D236" t="inlineStr">
        <is>
          <t>VÄSTMANLANDS LÄN</t>
        </is>
      </c>
      <c r="E236" t="inlineStr">
        <is>
          <t>SALA</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54118-2023</t>
        </is>
      </c>
      <c r="B237" s="1" t="n">
        <v>45232</v>
      </c>
      <c r="C237" s="1" t="n">
        <v>46140</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35462-2024</t>
        </is>
      </c>
      <c r="B238" s="1" t="n">
        <v>45531</v>
      </c>
      <c r="C238" s="1" t="n">
        <v>46140</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35016-2024</t>
        </is>
      </c>
      <c r="B239" s="1" t="n">
        <v>45527.59115740741</v>
      </c>
      <c r="C239" s="1" t="n">
        <v>46140</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36393-2023</t>
        </is>
      </c>
      <c r="B240" s="1" t="n">
        <v>45152</v>
      </c>
      <c r="C240" s="1" t="n">
        <v>46140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45790-2023</t>
        </is>
      </c>
      <c r="B241" s="1" t="n">
        <v>45195.45958333334</v>
      </c>
      <c r="C241" s="1" t="n">
        <v>46140</v>
      </c>
      <c r="D241" t="inlineStr">
        <is>
          <t>VÄSTMANLANDS LÄN</t>
        </is>
      </c>
      <c r="E241" t="inlineStr">
        <is>
          <t>SALA</t>
        </is>
      </c>
      <c r="G241" t="n">
        <v>5.7</v>
      </c>
      <c r="H241" t="n">
        <v>0</v>
      </c>
      <c r="I241" t="n">
        <v>0</v>
      </c>
      <c r="J241" t="n">
        <v>0</v>
      </c>
      <c r="K241" t="n">
        <v>0</v>
      </c>
      <c r="L241" t="n">
        <v>0</v>
      </c>
      <c r="M241" t="n">
        <v>0</v>
      </c>
      <c r="N241" t="n">
        <v>0</v>
      </c>
      <c r="O241" t="n">
        <v>0</v>
      </c>
      <c r="P241" t="n">
        <v>0</v>
      </c>
      <c r="Q241" t="n">
        <v>0</v>
      </c>
      <c r="R241" s="2" t="inlineStr"/>
    </row>
    <row r="242" ht="15" customHeight="1">
      <c r="A242" t="inlineStr">
        <is>
          <t>A 56949-2023</t>
        </is>
      </c>
      <c r="B242" s="1" t="n">
        <v>45244.61589120371</v>
      </c>
      <c r="C242" s="1" t="n">
        <v>46140</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37612-2024</t>
        </is>
      </c>
      <c r="B243" s="1" t="n">
        <v>45541</v>
      </c>
      <c r="C243" s="1" t="n">
        <v>46140</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37615-2024</t>
        </is>
      </c>
      <c r="B244" s="1" t="n">
        <v>45541.50673611111</v>
      </c>
      <c r="C244" s="1" t="n">
        <v>46140</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5728-2022</t>
        </is>
      </c>
      <c r="B245" s="1" t="n">
        <v>44596.42082175926</v>
      </c>
      <c r="C245" s="1" t="n">
        <v>46140</v>
      </c>
      <c r="D245" t="inlineStr">
        <is>
          <t>VÄSTMANLANDS LÄN</t>
        </is>
      </c>
      <c r="E245" t="inlineStr">
        <is>
          <t>SALA</t>
        </is>
      </c>
      <c r="G245" t="n">
        <v>1.7</v>
      </c>
      <c r="H245" t="n">
        <v>0</v>
      </c>
      <c r="I245" t="n">
        <v>0</v>
      </c>
      <c r="J245" t="n">
        <v>0</v>
      </c>
      <c r="K245" t="n">
        <v>0</v>
      </c>
      <c r="L245" t="n">
        <v>0</v>
      </c>
      <c r="M245" t="n">
        <v>0</v>
      </c>
      <c r="N245" t="n">
        <v>0</v>
      </c>
      <c r="O245" t="n">
        <v>0</v>
      </c>
      <c r="P245" t="n">
        <v>0</v>
      </c>
      <c r="Q245" t="n">
        <v>0</v>
      </c>
      <c r="R245" s="2" t="inlineStr"/>
    </row>
    <row r="246" ht="15" customHeight="1">
      <c r="A246" t="inlineStr">
        <is>
          <t>A 19751-2022</t>
        </is>
      </c>
      <c r="B246" s="1" t="n">
        <v>44694</v>
      </c>
      <c r="C246" s="1" t="n">
        <v>46140</v>
      </c>
      <c r="D246" t="inlineStr">
        <is>
          <t>VÄSTMANLANDS LÄN</t>
        </is>
      </c>
      <c r="E246" t="inlineStr">
        <is>
          <t>SALA</t>
        </is>
      </c>
      <c r="G246" t="n">
        <v>2.7</v>
      </c>
      <c r="H246" t="n">
        <v>0</v>
      </c>
      <c r="I246" t="n">
        <v>0</v>
      </c>
      <c r="J246" t="n">
        <v>0</v>
      </c>
      <c r="K246" t="n">
        <v>0</v>
      </c>
      <c r="L246" t="n">
        <v>0</v>
      </c>
      <c r="M246" t="n">
        <v>0</v>
      </c>
      <c r="N246" t="n">
        <v>0</v>
      </c>
      <c r="O246" t="n">
        <v>0</v>
      </c>
      <c r="P246" t="n">
        <v>0</v>
      </c>
      <c r="Q246" t="n">
        <v>0</v>
      </c>
      <c r="R246" s="2" t="inlineStr"/>
    </row>
    <row r="247" ht="15" customHeight="1">
      <c r="A247" t="inlineStr">
        <is>
          <t>A 6312-2025</t>
        </is>
      </c>
      <c r="B247" s="1" t="n">
        <v>45698</v>
      </c>
      <c r="C247" s="1" t="n">
        <v>46140</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46140</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55035-2023</t>
        </is>
      </c>
      <c r="B249" s="1" t="n">
        <v>45229</v>
      </c>
      <c r="C249" s="1" t="n">
        <v>46140</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40214-2023</t>
        </is>
      </c>
      <c r="B250" s="1" t="n">
        <v>45169.45173611111</v>
      </c>
      <c r="C250" s="1" t="n">
        <v>46140</v>
      </c>
      <c r="D250" t="inlineStr">
        <is>
          <t>VÄSTMANLANDS LÄN</t>
        </is>
      </c>
      <c r="E250" t="inlineStr">
        <is>
          <t>SALA</t>
        </is>
      </c>
      <c r="G250" t="n">
        <v>5.5</v>
      </c>
      <c r="H250" t="n">
        <v>0</v>
      </c>
      <c r="I250" t="n">
        <v>0</v>
      </c>
      <c r="J250" t="n">
        <v>0</v>
      </c>
      <c r="K250" t="n">
        <v>0</v>
      </c>
      <c r="L250" t="n">
        <v>0</v>
      </c>
      <c r="M250" t="n">
        <v>0</v>
      </c>
      <c r="N250" t="n">
        <v>0</v>
      </c>
      <c r="O250" t="n">
        <v>0</v>
      </c>
      <c r="P250" t="n">
        <v>0</v>
      </c>
      <c r="Q250" t="n">
        <v>0</v>
      </c>
      <c r="R250" s="2" t="inlineStr"/>
    </row>
    <row r="251" ht="15" customHeight="1">
      <c r="A251" t="inlineStr">
        <is>
          <t>A 7950-2025</t>
        </is>
      </c>
      <c r="B251" s="1" t="n">
        <v>45707.41799768519</v>
      </c>
      <c r="C251" s="1" t="n">
        <v>46140</v>
      </c>
      <c r="D251" t="inlineStr">
        <is>
          <t>VÄSTMANLANDS LÄN</t>
        </is>
      </c>
      <c r="E251" t="inlineStr">
        <is>
          <t>SALA</t>
        </is>
      </c>
      <c r="G251" t="n">
        <v>3.2</v>
      </c>
      <c r="H251" t="n">
        <v>0</v>
      </c>
      <c r="I251" t="n">
        <v>0</v>
      </c>
      <c r="J251" t="n">
        <v>0</v>
      </c>
      <c r="K251" t="n">
        <v>0</v>
      </c>
      <c r="L251" t="n">
        <v>0</v>
      </c>
      <c r="M251" t="n">
        <v>0</v>
      </c>
      <c r="N251" t="n">
        <v>0</v>
      </c>
      <c r="O251" t="n">
        <v>0</v>
      </c>
      <c r="P251" t="n">
        <v>0</v>
      </c>
      <c r="Q251" t="n">
        <v>0</v>
      </c>
      <c r="R251" s="2" t="inlineStr"/>
    </row>
    <row r="252" ht="15" customHeight="1">
      <c r="A252" t="inlineStr">
        <is>
          <t>A 16328-2025</t>
        </is>
      </c>
      <c r="B252" s="1" t="n">
        <v>45751</v>
      </c>
      <c r="C252" s="1" t="n">
        <v>46140</v>
      </c>
      <c r="D252" t="inlineStr">
        <is>
          <t>VÄSTMANLANDS LÄN</t>
        </is>
      </c>
      <c r="E252" t="inlineStr">
        <is>
          <t>SALA</t>
        </is>
      </c>
      <c r="G252" t="n">
        <v>2.9</v>
      </c>
      <c r="H252" t="n">
        <v>0</v>
      </c>
      <c r="I252" t="n">
        <v>0</v>
      </c>
      <c r="J252" t="n">
        <v>0</v>
      </c>
      <c r="K252" t="n">
        <v>0</v>
      </c>
      <c r="L252" t="n">
        <v>0</v>
      </c>
      <c r="M252" t="n">
        <v>0</v>
      </c>
      <c r="N252" t="n">
        <v>0</v>
      </c>
      <c r="O252" t="n">
        <v>0</v>
      </c>
      <c r="P252" t="n">
        <v>0</v>
      </c>
      <c r="Q252" t="n">
        <v>0</v>
      </c>
      <c r="R252" s="2" t="inlineStr"/>
    </row>
    <row r="253" ht="15" customHeight="1">
      <c r="A253" t="inlineStr">
        <is>
          <t>A 37017-2025</t>
        </is>
      </c>
      <c r="B253" s="1" t="n">
        <v>45874</v>
      </c>
      <c r="C253" s="1" t="n">
        <v>46140</v>
      </c>
      <c r="D253" t="inlineStr">
        <is>
          <t>VÄSTMANLANDS LÄN</t>
        </is>
      </c>
      <c r="E253" t="inlineStr">
        <is>
          <t>SALA</t>
        </is>
      </c>
      <c r="G253" t="n">
        <v>11.1</v>
      </c>
      <c r="H253" t="n">
        <v>0</v>
      </c>
      <c r="I253" t="n">
        <v>0</v>
      </c>
      <c r="J253" t="n">
        <v>0</v>
      </c>
      <c r="K253" t="n">
        <v>0</v>
      </c>
      <c r="L253" t="n">
        <v>0</v>
      </c>
      <c r="M253" t="n">
        <v>0</v>
      </c>
      <c r="N253" t="n">
        <v>0</v>
      </c>
      <c r="O253" t="n">
        <v>0</v>
      </c>
      <c r="P253" t="n">
        <v>0</v>
      </c>
      <c r="Q253" t="n">
        <v>0</v>
      </c>
      <c r="R253" s="2" t="inlineStr"/>
    </row>
    <row r="254" ht="15" customHeight="1">
      <c r="A254" t="inlineStr">
        <is>
          <t>A 37103-2025</t>
        </is>
      </c>
      <c r="B254" s="1" t="n">
        <v>45875.47743055555</v>
      </c>
      <c r="C254" s="1" t="n">
        <v>46140</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37246-2025</t>
        </is>
      </c>
      <c r="B255" s="1" t="n">
        <v>45876.39435185185</v>
      </c>
      <c r="C255" s="1" t="n">
        <v>46140</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31609-2024</t>
        </is>
      </c>
      <c r="B256" s="1" t="n">
        <v>45506</v>
      </c>
      <c r="C256" s="1" t="n">
        <v>46140</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39182-2025</t>
        </is>
      </c>
      <c r="B257" s="1" t="n">
        <v>45888.66204861111</v>
      </c>
      <c r="C257" s="1" t="n">
        <v>46140</v>
      </c>
      <c r="D257" t="inlineStr">
        <is>
          <t>VÄSTMANLANDS LÄN</t>
        </is>
      </c>
      <c r="E257" t="inlineStr">
        <is>
          <t>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37590-2025</t>
        </is>
      </c>
      <c r="B258" s="1" t="n">
        <v>45880.41138888889</v>
      </c>
      <c r="C258" s="1" t="n">
        <v>46140</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37593-2025</t>
        </is>
      </c>
      <c r="B259" s="1" t="n">
        <v>45880.41325231481</v>
      </c>
      <c r="C259" s="1" t="n">
        <v>46140</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46279-2021</t>
        </is>
      </c>
      <c r="B260" s="1" t="n">
        <v>44442.57797453704</v>
      </c>
      <c r="C260" s="1" t="n">
        <v>46140</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31864-2025</t>
        </is>
      </c>
      <c r="B261" s="1" t="n">
        <v>45834.63819444444</v>
      </c>
      <c r="C261" s="1" t="n">
        <v>46140</v>
      </c>
      <c r="D261" t="inlineStr">
        <is>
          <t>VÄSTMANLANDS LÄN</t>
        </is>
      </c>
      <c r="E261" t="inlineStr">
        <is>
          <t>SALA</t>
        </is>
      </c>
      <c r="G261" t="n">
        <v>6.3</v>
      </c>
      <c r="H261" t="n">
        <v>0</v>
      </c>
      <c r="I261" t="n">
        <v>0</v>
      </c>
      <c r="J261" t="n">
        <v>0</v>
      </c>
      <c r="K261" t="n">
        <v>0</v>
      </c>
      <c r="L261" t="n">
        <v>0</v>
      </c>
      <c r="M261" t="n">
        <v>0</v>
      </c>
      <c r="N261" t="n">
        <v>0</v>
      </c>
      <c r="O261" t="n">
        <v>0</v>
      </c>
      <c r="P261" t="n">
        <v>0</v>
      </c>
      <c r="Q261" t="n">
        <v>0</v>
      </c>
      <c r="R261" s="2" t="inlineStr"/>
    </row>
    <row r="262" ht="15" customHeight="1">
      <c r="A262" t="inlineStr">
        <is>
          <t>A 35410-2022</t>
        </is>
      </c>
      <c r="B262" s="1" t="n">
        <v>44798.62576388889</v>
      </c>
      <c r="C262" s="1" t="n">
        <v>46140</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43359-2024</t>
        </is>
      </c>
      <c r="B263" s="1" t="n">
        <v>45568.57724537037</v>
      </c>
      <c r="C263" s="1" t="n">
        <v>46140</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29972-2025</t>
        </is>
      </c>
      <c r="B264" s="1" t="n">
        <v>45826</v>
      </c>
      <c r="C264" s="1" t="n">
        <v>46140</v>
      </c>
      <c r="D264" t="inlineStr">
        <is>
          <t>VÄSTMANLANDS LÄN</t>
        </is>
      </c>
      <c r="E264" t="inlineStr">
        <is>
          <t>SALA</t>
        </is>
      </c>
      <c r="G264" t="n">
        <v>2.7</v>
      </c>
      <c r="H264" t="n">
        <v>0</v>
      </c>
      <c r="I264" t="n">
        <v>0</v>
      </c>
      <c r="J264" t="n">
        <v>0</v>
      </c>
      <c r="K264" t="n">
        <v>0</v>
      </c>
      <c r="L264" t="n">
        <v>0</v>
      </c>
      <c r="M264" t="n">
        <v>0</v>
      </c>
      <c r="N264" t="n">
        <v>0</v>
      </c>
      <c r="O264" t="n">
        <v>0</v>
      </c>
      <c r="P264" t="n">
        <v>0</v>
      </c>
      <c r="Q264" t="n">
        <v>0</v>
      </c>
      <c r="R264" s="2" t="inlineStr"/>
    </row>
    <row r="265" ht="15" customHeight="1">
      <c r="A265" t="inlineStr">
        <is>
          <t>A 39167-2025</t>
        </is>
      </c>
      <c r="B265" s="1" t="n">
        <v>45888</v>
      </c>
      <c r="C265" s="1" t="n">
        <v>46140</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52498-2022</t>
        </is>
      </c>
      <c r="B266" s="1" t="n">
        <v>44874.50152777778</v>
      </c>
      <c r="C266" s="1" t="n">
        <v>46140</v>
      </c>
      <c r="D266" t="inlineStr">
        <is>
          <t>VÄSTMANLANDS LÄN</t>
        </is>
      </c>
      <c r="E266" t="inlineStr">
        <is>
          <t>SALA</t>
        </is>
      </c>
      <c r="G266" t="n">
        <v>2.1</v>
      </c>
      <c r="H266" t="n">
        <v>0</v>
      </c>
      <c r="I266" t="n">
        <v>0</v>
      </c>
      <c r="J266" t="n">
        <v>0</v>
      </c>
      <c r="K266" t="n">
        <v>0</v>
      </c>
      <c r="L266" t="n">
        <v>0</v>
      </c>
      <c r="M266" t="n">
        <v>0</v>
      </c>
      <c r="N266" t="n">
        <v>0</v>
      </c>
      <c r="O266" t="n">
        <v>0</v>
      </c>
      <c r="P266" t="n">
        <v>0</v>
      </c>
      <c r="Q266" t="n">
        <v>0</v>
      </c>
      <c r="R266" s="2" t="inlineStr"/>
    </row>
    <row r="267" ht="15" customHeight="1">
      <c r="A267" t="inlineStr">
        <is>
          <t>A 21159-2022</t>
        </is>
      </c>
      <c r="B267" s="1" t="n">
        <v>44704</v>
      </c>
      <c r="C267" s="1" t="n">
        <v>46140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41292-2021</t>
        </is>
      </c>
      <c r="B268" s="1" t="n">
        <v>44424</v>
      </c>
      <c r="C268" s="1" t="n">
        <v>46140</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60328-2024</t>
        </is>
      </c>
      <c r="B269" s="1" t="n">
        <v>45643.38416666666</v>
      </c>
      <c r="C269" s="1" t="n">
        <v>46140</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row>
    <row r="270" ht="15" customHeight="1">
      <c r="A270" t="inlineStr">
        <is>
          <t>A 33273-2023</t>
        </is>
      </c>
      <c r="B270" s="1" t="n">
        <v>45127</v>
      </c>
      <c r="C270" s="1" t="n">
        <v>46140</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40556-2025</t>
        </is>
      </c>
      <c r="B271" s="1" t="n">
        <v>45896.44944444444</v>
      </c>
      <c r="C271" s="1" t="n">
        <v>46140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40559-2025</t>
        </is>
      </c>
      <c r="B272" s="1" t="n">
        <v>45896.45037037037</v>
      </c>
      <c r="C272" s="1" t="n">
        <v>46140</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40620-2025</t>
        </is>
      </c>
      <c r="B273" s="1" t="n">
        <v>45896.58609953704</v>
      </c>
      <c r="C273" s="1" t="n">
        <v>46140</v>
      </c>
      <c r="D273" t="inlineStr">
        <is>
          <t>VÄSTMANLANDS LÄN</t>
        </is>
      </c>
      <c r="E273" t="inlineStr">
        <is>
          <t>SALA</t>
        </is>
      </c>
      <c r="G273" t="n">
        <v>6.7</v>
      </c>
      <c r="H273" t="n">
        <v>0</v>
      </c>
      <c r="I273" t="n">
        <v>0</v>
      </c>
      <c r="J273" t="n">
        <v>0</v>
      </c>
      <c r="K273" t="n">
        <v>0</v>
      </c>
      <c r="L273" t="n">
        <v>0</v>
      </c>
      <c r="M273" t="n">
        <v>0</v>
      </c>
      <c r="N273" t="n">
        <v>0</v>
      </c>
      <c r="O273" t="n">
        <v>0</v>
      </c>
      <c r="P273" t="n">
        <v>0</v>
      </c>
      <c r="Q273" t="n">
        <v>0</v>
      </c>
      <c r="R273" s="2" t="inlineStr"/>
    </row>
    <row r="274" ht="15" customHeight="1">
      <c r="A274" t="inlineStr">
        <is>
          <t>A 52827-2024</t>
        </is>
      </c>
      <c r="B274" s="1" t="n">
        <v>45610</v>
      </c>
      <c r="C274" s="1" t="n">
        <v>46140</v>
      </c>
      <c r="D274" t="inlineStr">
        <is>
          <t>VÄSTMANLANDS LÄN</t>
        </is>
      </c>
      <c r="E274" t="inlineStr">
        <is>
          <t>SALA</t>
        </is>
      </c>
      <c r="G274" t="n">
        <v>0.2</v>
      </c>
      <c r="H274" t="n">
        <v>0</v>
      </c>
      <c r="I274" t="n">
        <v>0</v>
      </c>
      <c r="J274" t="n">
        <v>0</v>
      </c>
      <c r="K274" t="n">
        <v>0</v>
      </c>
      <c r="L274" t="n">
        <v>0</v>
      </c>
      <c r="M274" t="n">
        <v>0</v>
      </c>
      <c r="N274" t="n">
        <v>0</v>
      </c>
      <c r="O274" t="n">
        <v>0</v>
      </c>
      <c r="P274" t="n">
        <v>0</v>
      </c>
      <c r="Q274" t="n">
        <v>0</v>
      </c>
      <c r="R274" s="2" t="inlineStr"/>
    </row>
    <row r="275" ht="15" customHeight="1">
      <c r="A275" t="inlineStr">
        <is>
          <t>A 53166-2024</t>
        </is>
      </c>
      <c r="B275" s="1" t="n">
        <v>45611</v>
      </c>
      <c r="C275" s="1" t="n">
        <v>46140</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11244-2024</t>
        </is>
      </c>
      <c r="B276" s="1" t="n">
        <v>45371</v>
      </c>
      <c r="C276" s="1" t="n">
        <v>46140</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62654-2022</t>
        </is>
      </c>
      <c r="B277" s="1" t="n">
        <v>44917</v>
      </c>
      <c r="C277" s="1" t="n">
        <v>46140</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row>
    <row r="278" ht="15" customHeight="1">
      <c r="A278" t="inlineStr">
        <is>
          <t>A 73673-2021</t>
        </is>
      </c>
      <c r="B278" s="1" t="n">
        <v>44552.46501157407</v>
      </c>
      <c r="C278" s="1" t="n">
        <v>46140</v>
      </c>
      <c r="D278" t="inlineStr">
        <is>
          <t>VÄSTMANLANDS LÄN</t>
        </is>
      </c>
      <c r="E278" t="inlineStr">
        <is>
          <t>SALA</t>
        </is>
      </c>
      <c r="G278" t="n">
        <v>11.4</v>
      </c>
      <c r="H278" t="n">
        <v>0</v>
      </c>
      <c r="I278" t="n">
        <v>0</v>
      </c>
      <c r="J278" t="n">
        <v>0</v>
      </c>
      <c r="K278" t="n">
        <v>0</v>
      </c>
      <c r="L278" t="n">
        <v>0</v>
      </c>
      <c r="M278" t="n">
        <v>0</v>
      </c>
      <c r="N278" t="n">
        <v>0</v>
      </c>
      <c r="O278" t="n">
        <v>0</v>
      </c>
      <c r="P278" t="n">
        <v>0</v>
      </c>
      <c r="Q278" t="n">
        <v>0</v>
      </c>
      <c r="R278" s="2" t="inlineStr"/>
    </row>
    <row r="279" ht="15" customHeight="1">
      <c r="A279" t="inlineStr">
        <is>
          <t>A 6135-2023</t>
        </is>
      </c>
      <c r="B279" s="1" t="n">
        <v>44964.62628472222</v>
      </c>
      <c r="C279" s="1" t="n">
        <v>46140</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53864-2022</t>
        </is>
      </c>
      <c r="B280" s="1" t="n">
        <v>44880.64016203704</v>
      </c>
      <c r="C280" s="1" t="n">
        <v>46140</v>
      </c>
      <c r="D280" t="inlineStr">
        <is>
          <t>VÄSTMANLANDS LÄN</t>
        </is>
      </c>
      <c r="E280" t="inlineStr">
        <is>
          <t>SALA</t>
        </is>
      </c>
      <c r="G280" t="n">
        <v>5.9</v>
      </c>
      <c r="H280" t="n">
        <v>0</v>
      </c>
      <c r="I280" t="n">
        <v>0</v>
      </c>
      <c r="J280" t="n">
        <v>0</v>
      </c>
      <c r="K280" t="n">
        <v>0</v>
      </c>
      <c r="L280" t="n">
        <v>0</v>
      </c>
      <c r="M280" t="n">
        <v>0</v>
      </c>
      <c r="N280" t="n">
        <v>0</v>
      </c>
      <c r="O280" t="n">
        <v>0</v>
      </c>
      <c r="P280" t="n">
        <v>0</v>
      </c>
      <c r="Q280" t="n">
        <v>0</v>
      </c>
      <c r="R280" s="2" t="inlineStr"/>
    </row>
    <row r="281" ht="15" customHeight="1">
      <c r="A281" t="inlineStr">
        <is>
          <t>A 41230-2025</t>
        </is>
      </c>
      <c r="B281" s="1" t="n">
        <v>45898</v>
      </c>
      <c r="C281" s="1" t="n">
        <v>46140</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27255-2023</t>
        </is>
      </c>
      <c r="B282" s="1" t="n">
        <v>45096</v>
      </c>
      <c r="C282" s="1" t="n">
        <v>46140</v>
      </c>
      <c r="D282" t="inlineStr">
        <is>
          <t>VÄSTMANLANDS LÄN</t>
        </is>
      </c>
      <c r="E282" t="inlineStr">
        <is>
          <t>SALA</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38574-2025</t>
        </is>
      </c>
      <c r="B283" s="1" t="n">
        <v>45884.46390046296</v>
      </c>
      <c r="C283" s="1" t="n">
        <v>46140</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38294-2025</t>
        </is>
      </c>
      <c r="B284" s="1" t="n">
        <v>45883.44854166666</v>
      </c>
      <c r="C284" s="1" t="n">
        <v>46140</v>
      </c>
      <c r="D284" t="inlineStr">
        <is>
          <t>VÄSTMANLANDS LÄN</t>
        </is>
      </c>
      <c r="E284" t="inlineStr">
        <is>
          <t>SALA</t>
        </is>
      </c>
      <c r="G284" t="n">
        <v>1.5</v>
      </c>
      <c r="H284" t="n">
        <v>0</v>
      </c>
      <c r="I284" t="n">
        <v>0</v>
      </c>
      <c r="J284" t="n">
        <v>0</v>
      </c>
      <c r="K284" t="n">
        <v>0</v>
      </c>
      <c r="L284" t="n">
        <v>0</v>
      </c>
      <c r="M284" t="n">
        <v>0</v>
      </c>
      <c r="N284" t="n">
        <v>0</v>
      </c>
      <c r="O284" t="n">
        <v>0</v>
      </c>
      <c r="P284" t="n">
        <v>0</v>
      </c>
      <c r="Q284" t="n">
        <v>0</v>
      </c>
      <c r="R284" s="2" t="inlineStr"/>
    </row>
    <row r="285" ht="15" customHeight="1">
      <c r="A285" t="inlineStr">
        <is>
          <t>A 41431-2025</t>
        </is>
      </c>
      <c r="B285" s="1" t="n">
        <v>45901.39347222223</v>
      </c>
      <c r="C285" s="1" t="n">
        <v>46140</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60034-2024</t>
        </is>
      </c>
      <c r="B286" s="1" t="n">
        <v>45642.46261574074</v>
      </c>
      <c r="C286" s="1" t="n">
        <v>46140</v>
      </c>
      <c r="D286" t="inlineStr">
        <is>
          <t>VÄSTMANLANDS LÄN</t>
        </is>
      </c>
      <c r="E286" t="inlineStr">
        <is>
          <t>SALA</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3810-2023</t>
        </is>
      </c>
      <c r="B287" s="1" t="n">
        <v>44951.60454861111</v>
      </c>
      <c r="C287" s="1" t="n">
        <v>46140</v>
      </c>
      <c r="D287" t="inlineStr">
        <is>
          <t>VÄSTMANLANDS LÄN</t>
        </is>
      </c>
      <c r="E287" t="inlineStr">
        <is>
          <t>SALA</t>
        </is>
      </c>
      <c r="G287" t="n">
        <v>4.2</v>
      </c>
      <c r="H287" t="n">
        <v>0</v>
      </c>
      <c r="I287" t="n">
        <v>0</v>
      </c>
      <c r="J287" t="n">
        <v>0</v>
      </c>
      <c r="K287" t="n">
        <v>0</v>
      </c>
      <c r="L287" t="n">
        <v>0</v>
      </c>
      <c r="M287" t="n">
        <v>0</v>
      </c>
      <c r="N287" t="n">
        <v>0</v>
      </c>
      <c r="O287" t="n">
        <v>0</v>
      </c>
      <c r="P287" t="n">
        <v>0</v>
      </c>
      <c r="Q287" t="n">
        <v>0</v>
      </c>
      <c r="R287" s="2" t="inlineStr"/>
    </row>
    <row r="288" ht="15" customHeight="1">
      <c r="A288" t="inlineStr">
        <is>
          <t>A 41414-2025</t>
        </is>
      </c>
      <c r="B288" s="1" t="n">
        <v>45901.360625</v>
      </c>
      <c r="C288" s="1" t="n">
        <v>46140</v>
      </c>
      <c r="D288" t="inlineStr">
        <is>
          <t>VÄSTMANLANDS LÄN</t>
        </is>
      </c>
      <c r="E288" t="inlineStr">
        <is>
          <t>SALA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53164-2024</t>
        </is>
      </c>
      <c r="B289" s="1" t="n">
        <v>45611.64887731482</v>
      </c>
      <c r="C289" s="1" t="n">
        <v>46140</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61717-2024</t>
        </is>
      </c>
      <c r="B290" s="1" t="n">
        <v>45648</v>
      </c>
      <c r="C290" s="1" t="n">
        <v>46140</v>
      </c>
      <c r="D290" t="inlineStr">
        <is>
          <t>VÄSTMANLANDS LÄN</t>
        </is>
      </c>
      <c r="E290" t="inlineStr">
        <is>
          <t>SALA</t>
        </is>
      </c>
      <c r="G290" t="n">
        <v>3.7</v>
      </c>
      <c r="H290" t="n">
        <v>0</v>
      </c>
      <c r="I290" t="n">
        <v>0</v>
      </c>
      <c r="J290" t="n">
        <v>0</v>
      </c>
      <c r="K290" t="n">
        <v>0</v>
      </c>
      <c r="L290" t="n">
        <v>0</v>
      </c>
      <c r="M290" t="n">
        <v>0</v>
      </c>
      <c r="N290" t="n">
        <v>0</v>
      </c>
      <c r="O290" t="n">
        <v>0</v>
      </c>
      <c r="P290" t="n">
        <v>0</v>
      </c>
      <c r="Q290" t="n">
        <v>0</v>
      </c>
      <c r="R290" s="2" t="inlineStr"/>
    </row>
    <row r="291" ht="15" customHeight="1">
      <c r="A291" t="inlineStr">
        <is>
          <t>A 52503-2024</t>
        </is>
      </c>
      <c r="B291" s="1" t="n">
        <v>45609.58806712963</v>
      </c>
      <c r="C291" s="1" t="n">
        <v>46140</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2521-2025</t>
        </is>
      </c>
      <c r="B292" s="1" t="n">
        <v>45674</v>
      </c>
      <c r="C292" s="1" t="n">
        <v>46140</v>
      </c>
      <c r="D292" t="inlineStr">
        <is>
          <t>VÄSTMANLANDS LÄN</t>
        </is>
      </c>
      <c r="E292" t="inlineStr">
        <is>
          <t>SALA</t>
        </is>
      </c>
      <c r="G292" t="n">
        <v>3.5</v>
      </c>
      <c r="H292" t="n">
        <v>0</v>
      </c>
      <c r="I292" t="n">
        <v>0</v>
      </c>
      <c r="J292" t="n">
        <v>0</v>
      </c>
      <c r="K292" t="n">
        <v>0</v>
      </c>
      <c r="L292" t="n">
        <v>0</v>
      </c>
      <c r="M292" t="n">
        <v>0</v>
      </c>
      <c r="N292" t="n">
        <v>0</v>
      </c>
      <c r="O292" t="n">
        <v>0</v>
      </c>
      <c r="P292" t="n">
        <v>0</v>
      </c>
      <c r="Q292" t="n">
        <v>0</v>
      </c>
      <c r="R292" s="2" t="inlineStr"/>
    </row>
    <row r="293" ht="15" customHeight="1">
      <c r="A293" t="inlineStr">
        <is>
          <t>A 31000-2022</t>
        </is>
      </c>
      <c r="B293" s="1" t="n">
        <v>44768</v>
      </c>
      <c r="C293" s="1" t="n">
        <v>46140</v>
      </c>
      <c r="D293" t="inlineStr">
        <is>
          <t>VÄSTMANLANDS LÄN</t>
        </is>
      </c>
      <c r="E293" t="inlineStr">
        <is>
          <t>SALA</t>
        </is>
      </c>
      <c r="G293" t="n">
        <v>5.7</v>
      </c>
      <c r="H293" t="n">
        <v>0</v>
      </c>
      <c r="I293" t="n">
        <v>0</v>
      </c>
      <c r="J293" t="n">
        <v>0</v>
      </c>
      <c r="K293" t="n">
        <v>0</v>
      </c>
      <c r="L293" t="n">
        <v>0</v>
      </c>
      <c r="M293" t="n">
        <v>0</v>
      </c>
      <c r="N293" t="n">
        <v>0</v>
      </c>
      <c r="O293" t="n">
        <v>0</v>
      </c>
      <c r="P293" t="n">
        <v>0</v>
      </c>
      <c r="Q293" t="n">
        <v>0</v>
      </c>
      <c r="R293" s="2" t="inlineStr"/>
    </row>
    <row r="294" ht="15" customHeight="1">
      <c r="A294" t="inlineStr">
        <is>
          <t>A 21968-2024</t>
        </is>
      </c>
      <c r="B294" s="1" t="n">
        <v>45443</v>
      </c>
      <c r="C294" s="1" t="n">
        <v>46140</v>
      </c>
      <c r="D294" t="inlineStr">
        <is>
          <t>VÄSTMANLANDS LÄN</t>
        </is>
      </c>
      <c r="E294" t="inlineStr">
        <is>
          <t>SALA</t>
        </is>
      </c>
      <c r="G294" t="n">
        <v>1.9</v>
      </c>
      <c r="H294" t="n">
        <v>0</v>
      </c>
      <c r="I294" t="n">
        <v>0</v>
      </c>
      <c r="J294" t="n">
        <v>0</v>
      </c>
      <c r="K294" t="n">
        <v>0</v>
      </c>
      <c r="L294" t="n">
        <v>0</v>
      </c>
      <c r="M294" t="n">
        <v>0</v>
      </c>
      <c r="N294" t="n">
        <v>0</v>
      </c>
      <c r="O294" t="n">
        <v>0</v>
      </c>
      <c r="P294" t="n">
        <v>0</v>
      </c>
      <c r="Q294" t="n">
        <v>0</v>
      </c>
      <c r="R294" s="2" t="inlineStr"/>
    </row>
    <row r="295" ht="15" customHeight="1">
      <c r="A295" t="inlineStr">
        <is>
          <t>A 31950-2023</t>
        </is>
      </c>
      <c r="B295" s="1" t="n">
        <v>45107</v>
      </c>
      <c r="C295" s="1" t="n">
        <v>46140</v>
      </c>
      <c r="D295" t="inlineStr">
        <is>
          <t>VÄSTMANLANDS LÄN</t>
        </is>
      </c>
      <c r="E295" t="inlineStr">
        <is>
          <t>SALA</t>
        </is>
      </c>
      <c r="G295" t="n">
        <v>0.1</v>
      </c>
      <c r="H295" t="n">
        <v>0</v>
      </c>
      <c r="I295" t="n">
        <v>0</v>
      </c>
      <c r="J295" t="n">
        <v>0</v>
      </c>
      <c r="K295" t="n">
        <v>0</v>
      </c>
      <c r="L295" t="n">
        <v>0</v>
      </c>
      <c r="M295" t="n">
        <v>0</v>
      </c>
      <c r="N295" t="n">
        <v>0</v>
      </c>
      <c r="O295" t="n">
        <v>0</v>
      </c>
      <c r="P295" t="n">
        <v>0</v>
      </c>
      <c r="Q295" t="n">
        <v>0</v>
      </c>
      <c r="R295" s="2" t="inlineStr"/>
    </row>
    <row r="296" ht="15" customHeight="1">
      <c r="A296" t="inlineStr">
        <is>
          <t>A 42421-2025</t>
        </is>
      </c>
      <c r="B296" s="1" t="n">
        <v>45905.40067129629</v>
      </c>
      <c r="C296" s="1" t="n">
        <v>46140</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16693-2023</t>
        </is>
      </c>
      <c r="B297" s="1" t="n">
        <v>45028</v>
      </c>
      <c r="C297" s="1" t="n">
        <v>46140</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23182-2022</t>
        </is>
      </c>
      <c r="B298" s="1" t="n">
        <v>44719.79707175926</v>
      </c>
      <c r="C298" s="1" t="n">
        <v>46140</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43028-2025</t>
        </is>
      </c>
      <c r="B299" s="1" t="n">
        <v>45909.53472222222</v>
      </c>
      <c r="C299" s="1" t="n">
        <v>46140</v>
      </c>
      <c r="D299" t="inlineStr">
        <is>
          <t>VÄSTMANLANDS LÄN</t>
        </is>
      </c>
      <c r="E299" t="inlineStr">
        <is>
          <t>SALA</t>
        </is>
      </c>
      <c r="G299" t="n">
        <v>3.8</v>
      </c>
      <c r="H299" t="n">
        <v>0</v>
      </c>
      <c r="I299" t="n">
        <v>0</v>
      </c>
      <c r="J299" t="n">
        <v>0</v>
      </c>
      <c r="K299" t="n">
        <v>0</v>
      </c>
      <c r="L299" t="n">
        <v>0</v>
      </c>
      <c r="M299" t="n">
        <v>0</v>
      </c>
      <c r="N299" t="n">
        <v>0</v>
      </c>
      <c r="O299" t="n">
        <v>0</v>
      </c>
      <c r="P299" t="n">
        <v>0</v>
      </c>
      <c r="Q299" t="n">
        <v>0</v>
      </c>
      <c r="R299" s="2" t="inlineStr"/>
    </row>
    <row r="300" ht="15" customHeight="1">
      <c r="A300" t="inlineStr">
        <is>
          <t>A 43328-2025</t>
        </is>
      </c>
      <c r="B300" s="1" t="n">
        <v>45910</v>
      </c>
      <c r="C300" s="1" t="n">
        <v>46140</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57371-2022</t>
        </is>
      </c>
      <c r="B301" s="1" t="n">
        <v>44896.43832175926</v>
      </c>
      <c r="C301" s="1" t="n">
        <v>46140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43031-2025</t>
        </is>
      </c>
      <c r="B302" s="1" t="n">
        <v>45909.53856481481</v>
      </c>
      <c r="C302" s="1" t="n">
        <v>46140</v>
      </c>
      <c r="D302" t="inlineStr">
        <is>
          <t>VÄSTMANLANDS LÄN</t>
        </is>
      </c>
      <c r="E302" t="inlineStr">
        <is>
          <t>SALA</t>
        </is>
      </c>
      <c r="G302" t="n">
        <v>0.2</v>
      </c>
      <c r="H302" t="n">
        <v>0</v>
      </c>
      <c r="I302" t="n">
        <v>0</v>
      </c>
      <c r="J302" t="n">
        <v>0</v>
      </c>
      <c r="K302" t="n">
        <v>0</v>
      </c>
      <c r="L302" t="n">
        <v>0</v>
      </c>
      <c r="M302" t="n">
        <v>0</v>
      </c>
      <c r="N302" t="n">
        <v>0</v>
      </c>
      <c r="O302" t="n">
        <v>0</v>
      </c>
      <c r="P302" t="n">
        <v>0</v>
      </c>
      <c r="Q302" t="n">
        <v>0</v>
      </c>
      <c r="R302" s="2" t="inlineStr"/>
    </row>
    <row r="303" ht="15" customHeight="1">
      <c r="A303" t="inlineStr">
        <is>
          <t>A 17495-2024</t>
        </is>
      </c>
      <c r="B303" s="1" t="n">
        <v>45415</v>
      </c>
      <c r="C303" s="1" t="n">
        <v>46140</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37263-2025</t>
        </is>
      </c>
      <c r="B304" s="1" t="n">
        <v>45876.4584837963</v>
      </c>
      <c r="C304" s="1" t="n">
        <v>46140</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40554-2025</t>
        </is>
      </c>
      <c r="B305" s="1" t="n">
        <v>45896.44506944445</v>
      </c>
      <c r="C305" s="1" t="n">
        <v>46140</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43129-2025</t>
        </is>
      </c>
      <c r="B306" s="1" t="n">
        <v>45909</v>
      </c>
      <c r="C306" s="1" t="n">
        <v>46140</v>
      </c>
      <c r="D306" t="inlineStr">
        <is>
          <t>VÄSTMANLANDS LÄN</t>
        </is>
      </c>
      <c r="E306" t="inlineStr">
        <is>
          <t>SALA</t>
        </is>
      </c>
      <c r="G306" t="n">
        <v>2.4</v>
      </c>
      <c r="H306" t="n">
        <v>0</v>
      </c>
      <c r="I306" t="n">
        <v>0</v>
      </c>
      <c r="J306" t="n">
        <v>0</v>
      </c>
      <c r="K306" t="n">
        <v>0</v>
      </c>
      <c r="L306" t="n">
        <v>0</v>
      </c>
      <c r="M306" t="n">
        <v>0</v>
      </c>
      <c r="N306" t="n">
        <v>0</v>
      </c>
      <c r="O306" t="n">
        <v>0</v>
      </c>
      <c r="P306" t="n">
        <v>0</v>
      </c>
      <c r="Q306" t="n">
        <v>0</v>
      </c>
      <c r="R306" s="2" t="inlineStr"/>
    </row>
    <row r="307" ht="15" customHeight="1">
      <c r="A307" t="inlineStr">
        <is>
          <t>A 43130-2025</t>
        </is>
      </c>
      <c r="B307" s="1" t="n">
        <v>45909</v>
      </c>
      <c r="C307" s="1" t="n">
        <v>46140</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43128-2025</t>
        </is>
      </c>
      <c r="B308" s="1" t="n">
        <v>45909</v>
      </c>
      <c r="C308" s="1" t="n">
        <v>46140</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43127-2025</t>
        </is>
      </c>
      <c r="B309" s="1" t="n">
        <v>45909</v>
      </c>
      <c r="C309" s="1" t="n">
        <v>46140</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56548-2024</t>
        </is>
      </c>
      <c r="B310" s="1" t="n">
        <v>45625</v>
      </c>
      <c r="C310" s="1" t="n">
        <v>46140</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47086-2022</t>
        </is>
      </c>
      <c r="B311" s="1" t="n">
        <v>44852</v>
      </c>
      <c r="C311" s="1" t="n">
        <v>46140</v>
      </c>
      <c r="D311" t="inlineStr">
        <is>
          <t>VÄSTMANLANDS LÄN</t>
        </is>
      </c>
      <c r="E311" t="inlineStr">
        <is>
          <t>SALA</t>
        </is>
      </c>
      <c r="G311" t="n">
        <v>12.5</v>
      </c>
      <c r="H311" t="n">
        <v>0</v>
      </c>
      <c r="I311" t="n">
        <v>0</v>
      </c>
      <c r="J311" t="n">
        <v>0</v>
      </c>
      <c r="K311" t="n">
        <v>0</v>
      </c>
      <c r="L311" t="n">
        <v>0</v>
      </c>
      <c r="M311" t="n">
        <v>0</v>
      </c>
      <c r="N311" t="n">
        <v>0</v>
      </c>
      <c r="O311" t="n">
        <v>0</v>
      </c>
      <c r="P311" t="n">
        <v>0</v>
      </c>
      <c r="Q311" t="n">
        <v>0</v>
      </c>
      <c r="R311" s="2" t="inlineStr"/>
    </row>
    <row r="312" ht="15" customHeight="1">
      <c r="A312" t="inlineStr">
        <is>
          <t>A 44100-2025</t>
        </is>
      </c>
      <c r="B312" s="1" t="n">
        <v>45915.56707175926</v>
      </c>
      <c r="C312" s="1" t="n">
        <v>46140</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44486-2025</t>
        </is>
      </c>
      <c r="B313" s="1" t="n">
        <v>45916.65517361111</v>
      </c>
      <c r="C313" s="1" t="n">
        <v>46140</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988-2025</t>
        </is>
      </c>
      <c r="B314" s="1" t="n">
        <v>45666.44038194444</v>
      </c>
      <c r="C314" s="1" t="n">
        <v>46140</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44524-2025</t>
        </is>
      </c>
      <c r="B315" s="1" t="n">
        <v>45916.72920138889</v>
      </c>
      <c r="C315" s="1" t="n">
        <v>46140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5032-2025</t>
        </is>
      </c>
      <c r="B316" s="1" t="n">
        <v>45691</v>
      </c>
      <c r="C316" s="1" t="n">
        <v>46140</v>
      </c>
      <c r="D316" t="inlineStr">
        <is>
          <t>VÄSTMANLANDS LÄN</t>
        </is>
      </c>
      <c r="E316" t="inlineStr">
        <is>
          <t>SALA</t>
        </is>
      </c>
      <c r="G316" t="n">
        <v>0.9</v>
      </c>
      <c r="H316" t="n">
        <v>0</v>
      </c>
      <c r="I316" t="n">
        <v>0</v>
      </c>
      <c r="J316" t="n">
        <v>0</v>
      </c>
      <c r="K316" t="n">
        <v>0</v>
      </c>
      <c r="L316" t="n">
        <v>0</v>
      </c>
      <c r="M316" t="n">
        <v>0</v>
      </c>
      <c r="N316" t="n">
        <v>0</v>
      </c>
      <c r="O316" t="n">
        <v>0</v>
      </c>
      <c r="P316" t="n">
        <v>0</v>
      </c>
      <c r="Q316" t="n">
        <v>0</v>
      </c>
      <c r="R316" s="2" t="inlineStr"/>
    </row>
    <row r="317" ht="15" customHeight="1">
      <c r="A317" t="inlineStr">
        <is>
          <t>A 43122-2025</t>
        </is>
      </c>
      <c r="B317" s="1" t="n">
        <v>45909</v>
      </c>
      <c r="C317" s="1" t="n">
        <v>46140</v>
      </c>
      <c r="D317" t="inlineStr">
        <is>
          <t>VÄSTMANLANDS LÄN</t>
        </is>
      </c>
      <c r="E317" t="inlineStr">
        <is>
          <t>SALA</t>
        </is>
      </c>
      <c r="G317" t="n">
        <v>3.2</v>
      </c>
      <c r="H317" t="n">
        <v>0</v>
      </c>
      <c r="I317" t="n">
        <v>0</v>
      </c>
      <c r="J317" t="n">
        <v>0</v>
      </c>
      <c r="K317" t="n">
        <v>0</v>
      </c>
      <c r="L317" t="n">
        <v>0</v>
      </c>
      <c r="M317" t="n">
        <v>0</v>
      </c>
      <c r="N317" t="n">
        <v>0</v>
      </c>
      <c r="O317" t="n">
        <v>0</v>
      </c>
      <c r="P317" t="n">
        <v>0</v>
      </c>
      <c r="Q317" t="n">
        <v>0</v>
      </c>
      <c r="R317" s="2" t="inlineStr"/>
    </row>
    <row r="318" ht="15" customHeight="1">
      <c r="A318" t="inlineStr">
        <is>
          <t>A 66908-2021</t>
        </is>
      </c>
      <c r="B318" s="1" t="n">
        <v>44522</v>
      </c>
      <c r="C318" s="1" t="n">
        <v>46140</v>
      </c>
      <c r="D318" t="inlineStr">
        <is>
          <t>VÄSTMANLANDS LÄN</t>
        </is>
      </c>
      <c r="E318" t="inlineStr">
        <is>
          <t>SALA</t>
        </is>
      </c>
      <c r="G318" t="n">
        <v>2.6</v>
      </c>
      <c r="H318" t="n">
        <v>0</v>
      </c>
      <c r="I318" t="n">
        <v>0</v>
      </c>
      <c r="J318" t="n">
        <v>0</v>
      </c>
      <c r="K318" t="n">
        <v>0</v>
      </c>
      <c r="L318" t="n">
        <v>0</v>
      </c>
      <c r="M318" t="n">
        <v>0</v>
      </c>
      <c r="N318" t="n">
        <v>0</v>
      </c>
      <c r="O318" t="n">
        <v>0</v>
      </c>
      <c r="P318" t="n">
        <v>0</v>
      </c>
      <c r="Q318" t="n">
        <v>0</v>
      </c>
      <c r="R318" s="2" t="inlineStr"/>
    </row>
    <row r="319" ht="15" customHeight="1">
      <c r="A319" t="inlineStr">
        <is>
          <t>A 11696-2025</t>
        </is>
      </c>
      <c r="B319" s="1" t="n">
        <v>45727</v>
      </c>
      <c r="C319" s="1" t="n">
        <v>46140</v>
      </c>
      <c r="D319" t="inlineStr">
        <is>
          <t>VÄSTMANLANDS LÄN</t>
        </is>
      </c>
      <c r="E319" t="inlineStr">
        <is>
          <t>SALA</t>
        </is>
      </c>
      <c r="F319" t="inlineStr">
        <is>
          <t>Bergvik skog öst AB</t>
        </is>
      </c>
      <c r="G319" t="n">
        <v>1.6</v>
      </c>
      <c r="H319" t="n">
        <v>0</v>
      </c>
      <c r="I319" t="n">
        <v>0</v>
      </c>
      <c r="J319" t="n">
        <v>0</v>
      </c>
      <c r="K319" t="n">
        <v>0</v>
      </c>
      <c r="L319" t="n">
        <v>0</v>
      </c>
      <c r="M319" t="n">
        <v>0</v>
      </c>
      <c r="N319" t="n">
        <v>0</v>
      </c>
      <c r="O319" t="n">
        <v>0</v>
      </c>
      <c r="P319" t="n">
        <v>0</v>
      </c>
      <c r="Q319" t="n">
        <v>0</v>
      </c>
      <c r="R319" s="2" t="inlineStr"/>
    </row>
    <row r="320" ht="15" customHeight="1">
      <c r="A320" t="inlineStr">
        <is>
          <t>A 45371-2025</t>
        </is>
      </c>
      <c r="B320" s="1" t="n">
        <v>45922.39001157408</v>
      </c>
      <c r="C320" s="1" t="n">
        <v>46140</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45177-2025</t>
        </is>
      </c>
      <c r="B321" s="1" t="n">
        <v>45919.52444444445</v>
      </c>
      <c r="C321" s="1" t="n">
        <v>46140</v>
      </c>
      <c r="D321" t="inlineStr">
        <is>
          <t>VÄSTMANLANDS LÄN</t>
        </is>
      </c>
      <c r="E321" t="inlineStr">
        <is>
          <t>SALA</t>
        </is>
      </c>
      <c r="G321" t="n">
        <v>2.4</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46140</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13746-2025</t>
        </is>
      </c>
      <c r="B323" s="1" t="n">
        <v>45737.40944444444</v>
      </c>
      <c r="C323" s="1" t="n">
        <v>46140</v>
      </c>
      <c r="D323" t="inlineStr">
        <is>
          <t>VÄSTMANLANDS LÄN</t>
        </is>
      </c>
      <c r="E323" t="inlineStr">
        <is>
          <t>SALA</t>
        </is>
      </c>
      <c r="G323" t="n">
        <v>2.1</v>
      </c>
      <c r="H323" t="n">
        <v>0</v>
      </c>
      <c r="I323" t="n">
        <v>0</v>
      </c>
      <c r="J323" t="n">
        <v>0</v>
      </c>
      <c r="K323" t="n">
        <v>0</v>
      </c>
      <c r="L323" t="n">
        <v>0</v>
      </c>
      <c r="M323" t="n">
        <v>0</v>
      </c>
      <c r="N323" t="n">
        <v>0</v>
      </c>
      <c r="O323" t="n">
        <v>0</v>
      </c>
      <c r="P323" t="n">
        <v>0</v>
      </c>
      <c r="Q323" t="n">
        <v>0</v>
      </c>
      <c r="R323" s="2" t="inlineStr"/>
    </row>
    <row r="324" ht="15" customHeight="1">
      <c r="A324" t="inlineStr">
        <is>
          <t>A 25897-2024</t>
        </is>
      </c>
      <c r="B324" s="1" t="n">
        <v>45467.54435185185</v>
      </c>
      <c r="C324" s="1" t="n">
        <v>46140</v>
      </c>
      <c r="D324" t="inlineStr">
        <is>
          <t>VÄSTMANLANDS LÄN</t>
        </is>
      </c>
      <c r="E324" t="inlineStr">
        <is>
          <t>SALA</t>
        </is>
      </c>
      <c r="G324" t="n">
        <v>9.9</v>
      </c>
      <c r="H324" t="n">
        <v>0</v>
      </c>
      <c r="I324" t="n">
        <v>0</v>
      </c>
      <c r="J324" t="n">
        <v>0</v>
      </c>
      <c r="K324" t="n">
        <v>0</v>
      </c>
      <c r="L324" t="n">
        <v>0</v>
      </c>
      <c r="M324" t="n">
        <v>0</v>
      </c>
      <c r="N324" t="n">
        <v>0</v>
      </c>
      <c r="O324" t="n">
        <v>0</v>
      </c>
      <c r="P324" t="n">
        <v>0</v>
      </c>
      <c r="Q324" t="n">
        <v>0</v>
      </c>
      <c r="R324" s="2" t="inlineStr"/>
    </row>
    <row r="325" ht="15" customHeight="1">
      <c r="A325" t="inlineStr">
        <is>
          <t>A 45914-2025</t>
        </is>
      </c>
      <c r="B325" s="1" t="n">
        <v>45923.82582175926</v>
      </c>
      <c r="C325" s="1" t="n">
        <v>46140</v>
      </c>
      <c r="D325" t="inlineStr">
        <is>
          <t>VÄSTMANLANDS LÄN</t>
        </is>
      </c>
      <c r="E325" t="inlineStr">
        <is>
          <t>SALA</t>
        </is>
      </c>
      <c r="F325" t="inlineStr">
        <is>
          <t>Kommuner</t>
        </is>
      </c>
      <c r="G325" t="n">
        <v>18.2</v>
      </c>
      <c r="H325" t="n">
        <v>0</v>
      </c>
      <c r="I325" t="n">
        <v>0</v>
      </c>
      <c r="J325" t="n">
        <v>0</v>
      </c>
      <c r="K325" t="n">
        <v>0</v>
      </c>
      <c r="L325" t="n">
        <v>0</v>
      </c>
      <c r="M325" t="n">
        <v>0</v>
      </c>
      <c r="N325" t="n">
        <v>0</v>
      </c>
      <c r="O325" t="n">
        <v>0</v>
      </c>
      <c r="P325" t="n">
        <v>0</v>
      </c>
      <c r="Q325" t="n">
        <v>0</v>
      </c>
      <c r="R325" s="2" t="inlineStr"/>
      <c r="U325">
        <f>HYPERLINK("https://klasma.github.io/Logging_1981/knärot/A 45914-2025 karta knärot.png", "A 45914-2025")</f>
        <v/>
      </c>
      <c r="V325">
        <f>HYPERLINK("https://klasma.github.io/Logging_1981/klagomål/A 45914-2025 FSC-klagomål.docx", "A 45914-2025")</f>
        <v/>
      </c>
      <c r="W325">
        <f>HYPERLINK("https://klasma.github.io/Logging_1981/klagomålsmail/A 45914-2025 FSC-klagomål mail.docx", "A 45914-2025")</f>
        <v/>
      </c>
      <c r="X325">
        <f>HYPERLINK("https://klasma.github.io/Logging_1981/tillsyn/A 45914-2025 tillsynsbegäran.docx", "A 45914-2025")</f>
        <v/>
      </c>
      <c r="Y325">
        <f>HYPERLINK("https://klasma.github.io/Logging_1981/tillsynsmail/A 45914-2025 tillsynsbegäran mail.docx", "A 45914-2025")</f>
        <v/>
      </c>
    </row>
    <row r="326" ht="15" customHeight="1">
      <c r="A326" t="inlineStr">
        <is>
          <t>A 23222-2023</t>
        </is>
      </c>
      <c r="B326" s="1" t="n">
        <v>45075</v>
      </c>
      <c r="C326" s="1" t="n">
        <v>46140</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23224-2023</t>
        </is>
      </c>
      <c r="B327" s="1" t="n">
        <v>45075.65040509259</v>
      </c>
      <c r="C327" s="1" t="n">
        <v>46140</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45909-2025</t>
        </is>
      </c>
      <c r="B328" s="1" t="n">
        <v>45923.75078703704</v>
      </c>
      <c r="C328" s="1" t="n">
        <v>46140</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50479-2022</t>
        </is>
      </c>
      <c r="B329" s="1" t="n">
        <v>44861</v>
      </c>
      <c r="C329" s="1" t="n">
        <v>46140</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46597-2025</t>
        </is>
      </c>
      <c r="B330" s="1" t="n">
        <v>45926.40113425926</v>
      </c>
      <c r="C330" s="1" t="n">
        <v>46140</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14919-2025</t>
        </is>
      </c>
      <c r="B331" s="1" t="n">
        <v>45743.54256944444</v>
      </c>
      <c r="C331" s="1" t="n">
        <v>46140</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14920-2025</t>
        </is>
      </c>
      <c r="B332" s="1" t="n">
        <v>45743</v>
      </c>
      <c r="C332" s="1" t="n">
        <v>46140</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13855-2023</t>
        </is>
      </c>
      <c r="B333" s="1" t="n">
        <v>45007</v>
      </c>
      <c r="C333" s="1" t="n">
        <v>46140</v>
      </c>
      <c r="D333" t="inlineStr">
        <is>
          <t>VÄSTMANLANDS LÄN</t>
        </is>
      </c>
      <c r="E333" t="inlineStr">
        <is>
          <t>SALA</t>
        </is>
      </c>
      <c r="G333" t="n">
        <v>2.9</v>
      </c>
      <c r="H333" t="n">
        <v>0</v>
      </c>
      <c r="I333" t="n">
        <v>0</v>
      </c>
      <c r="J333" t="n">
        <v>0</v>
      </c>
      <c r="K333" t="n">
        <v>0</v>
      </c>
      <c r="L333" t="n">
        <v>0</v>
      </c>
      <c r="M333" t="n">
        <v>0</v>
      </c>
      <c r="N333" t="n">
        <v>0</v>
      </c>
      <c r="O333" t="n">
        <v>0</v>
      </c>
      <c r="P333" t="n">
        <v>0</v>
      </c>
      <c r="Q333" t="n">
        <v>0</v>
      </c>
      <c r="R333" s="2" t="inlineStr"/>
    </row>
    <row r="334" ht="15" customHeight="1">
      <c r="A334" t="inlineStr">
        <is>
          <t>A 46661-2025</t>
        </is>
      </c>
      <c r="B334" s="1" t="n">
        <v>45926</v>
      </c>
      <c r="C334" s="1" t="n">
        <v>46140</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18877-2023</t>
        </is>
      </c>
      <c r="B335" s="1" t="n">
        <v>45044</v>
      </c>
      <c r="C335" s="1" t="n">
        <v>46140</v>
      </c>
      <c r="D335" t="inlineStr">
        <is>
          <t>VÄSTMANLANDS LÄN</t>
        </is>
      </c>
      <c r="E335" t="inlineStr">
        <is>
          <t>SALA</t>
        </is>
      </c>
      <c r="F335" t="inlineStr">
        <is>
          <t>Kommuner</t>
        </is>
      </c>
      <c r="G335" t="n">
        <v>4.4</v>
      </c>
      <c r="H335" t="n">
        <v>0</v>
      </c>
      <c r="I335" t="n">
        <v>0</v>
      </c>
      <c r="J335" t="n">
        <v>0</v>
      </c>
      <c r="K335" t="n">
        <v>0</v>
      </c>
      <c r="L335" t="n">
        <v>0</v>
      </c>
      <c r="M335" t="n">
        <v>0</v>
      </c>
      <c r="N335" t="n">
        <v>0</v>
      </c>
      <c r="O335" t="n">
        <v>0</v>
      </c>
      <c r="P335" t="n">
        <v>0</v>
      </c>
      <c r="Q335" t="n">
        <v>0</v>
      </c>
      <c r="R335" s="2" t="inlineStr"/>
    </row>
    <row r="336" ht="15" customHeight="1">
      <c r="A336" t="inlineStr">
        <is>
          <t>A 55556-2023</t>
        </is>
      </c>
      <c r="B336" s="1" t="n">
        <v>45232</v>
      </c>
      <c r="C336" s="1" t="n">
        <v>46140</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34494-2023</t>
        </is>
      </c>
      <c r="B337" s="1" t="n">
        <v>45133</v>
      </c>
      <c r="C337" s="1" t="n">
        <v>46140</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46915-2025</t>
        </is>
      </c>
      <c r="B338" s="1" t="n">
        <v>45929.42114583333</v>
      </c>
      <c r="C338" s="1" t="n">
        <v>46140</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13752-2025</t>
        </is>
      </c>
      <c r="B339" s="1" t="n">
        <v>45737.41416666667</v>
      </c>
      <c r="C339" s="1" t="n">
        <v>46140</v>
      </c>
      <c r="D339" t="inlineStr">
        <is>
          <t>VÄSTMANLANDS LÄN</t>
        </is>
      </c>
      <c r="E339" t="inlineStr">
        <is>
          <t>SALA</t>
        </is>
      </c>
      <c r="G339" t="n">
        <v>0.4</v>
      </c>
      <c r="H339" t="n">
        <v>0</v>
      </c>
      <c r="I339" t="n">
        <v>0</v>
      </c>
      <c r="J339" t="n">
        <v>0</v>
      </c>
      <c r="K339" t="n">
        <v>0</v>
      </c>
      <c r="L339" t="n">
        <v>0</v>
      </c>
      <c r="M339" t="n">
        <v>0</v>
      </c>
      <c r="N339" t="n">
        <v>0</v>
      </c>
      <c r="O339" t="n">
        <v>0</v>
      </c>
      <c r="P339" t="n">
        <v>0</v>
      </c>
      <c r="Q339" t="n">
        <v>0</v>
      </c>
      <c r="R339" s="2" t="inlineStr"/>
    </row>
    <row r="340" ht="15" customHeight="1">
      <c r="A340" t="inlineStr">
        <is>
          <t>A 19398-2025</t>
        </is>
      </c>
      <c r="B340" s="1" t="n">
        <v>45769</v>
      </c>
      <c r="C340" s="1" t="n">
        <v>46140</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48057-2025</t>
        </is>
      </c>
      <c r="B341" s="1" t="n">
        <v>45932.67947916667</v>
      </c>
      <c r="C341" s="1" t="n">
        <v>46140</v>
      </c>
      <c r="D341" t="inlineStr">
        <is>
          <t>VÄSTMANLANDS LÄN</t>
        </is>
      </c>
      <c r="E341" t="inlineStr">
        <is>
          <t>SALA</t>
        </is>
      </c>
      <c r="G341" t="n">
        <v>4.3</v>
      </c>
      <c r="H341" t="n">
        <v>0</v>
      </c>
      <c r="I341" t="n">
        <v>0</v>
      </c>
      <c r="J341" t="n">
        <v>0</v>
      </c>
      <c r="K341" t="n">
        <v>0</v>
      </c>
      <c r="L341" t="n">
        <v>0</v>
      </c>
      <c r="M341" t="n">
        <v>0</v>
      </c>
      <c r="N341" t="n">
        <v>0</v>
      </c>
      <c r="O341" t="n">
        <v>0</v>
      </c>
      <c r="P341" t="n">
        <v>0</v>
      </c>
      <c r="Q341" t="n">
        <v>0</v>
      </c>
      <c r="R341" s="2" t="inlineStr"/>
    </row>
    <row r="342" ht="15" customHeight="1">
      <c r="A342" t="inlineStr">
        <is>
          <t>A 47577-2025</t>
        </is>
      </c>
      <c r="B342" s="1" t="n">
        <v>45931.4047337963</v>
      </c>
      <c r="C342" s="1" t="n">
        <v>46140</v>
      </c>
      <c r="D342" t="inlineStr">
        <is>
          <t>VÄSTMANLANDS LÄN</t>
        </is>
      </c>
      <c r="E342" t="inlineStr">
        <is>
          <t>SALA</t>
        </is>
      </c>
      <c r="G342" t="n">
        <v>3.7</v>
      </c>
      <c r="H342" t="n">
        <v>0</v>
      </c>
      <c r="I342" t="n">
        <v>0</v>
      </c>
      <c r="J342" t="n">
        <v>0</v>
      </c>
      <c r="K342" t="n">
        <v>0</v>
      </c>
      <c r="L342" t="n">
        <v>0</v>
      </c>
      <c r="M342" t="n">
        <v>0</v>
      </c>
      <c r="N342" t="n">
        <v>0</v>
      </c>
      <c r="O342" t="n">
        <v>0</v>
      </c>
      <c r="P342" t="n">
        <v>0</v>
      </c>
      <c r="Q342" t="n">
        <v>0</v>
      </c>
      <c r="R342" s="2" t="inlineStr"/>
    </row>
    <row r="343" ht="15" customHeight="1">
      <c r="A343" t="inlineStr">
        <is>
          <t>A 22921-2023</t>
        </is>
      </c>
      <c r="B343" s="1" t="n">
        <v>45070</v>
      </c>
      <c r="C343" s="1" t="n">
        <v>46140</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16133-2025</t>
        </is>
      </c>
      <c r="B344" s="1" t="n">
        <v>45750</v>
      </c>
      <c r="C344" s="1" t="n">
        <v>46140</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48710-2025</t>
        </is>
      </c>
      <c r="B345" s="1" t="n">
        <v>45936.63184027778</v>
      </c>
      <c r="C345" s="1" t="n">
        <v>46140</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6127-2025</t>
        </is>
      </c>
      <c r="B346" s="1" t="n">
        <v>45698</v>
      </c>
      <c r="C346" s="1" t="n">
        <v>46140</v>
      </c>
      <c r="D346" t="inlineStr">
        <is>
          <t>VÄSTMANLANDS LÄN</t>
        </is>
      </c>
      <c r="E346" t="inlineStr">
        <is>
          <t>SALA</t>
        </is>
      </c>
      <c r="F346" t="inlineStr">
        <is>
          <t>Bergvik skog öst AB</t>
        </is>
      </c>
      <c r="G346" t="n">
        <v>4.3</v>
      </c>
      <c r="H346" t="n">
        <v>0</v>
      </c>
      <c r="I346" t="n">
        <v>0</v>
      </c>
      <c r="J346" t="n">
        <v>0</v>
      </c>
      <c r="K346" t="n">
        <v>0</v>
      </c>
      <c r="L346" t="n">
        <v>0</v>
      </c>
      <c r="M346" t="n">
        <v>0</v>
      </c>
      <c r="N346" t="n">
        <v>0</v>
      </c>
      <c r="O346" t="n">
        <v>0</v>
      </c>
      <c r="P346" t="n">
        <v>0</v>
      </c>
      <c r="Q346" t="n">
        <v>0</v>
      </c>
      <c r="R346" s="2" t="inlineStr"/>
    </row>
    <row r="347" ht="15" customHeight="1">
      <c r="A347" t="inlineStr">
        <is>
          <t>A 15272-2025</t>
        </is>
      </c>
      <c r="B347" s="1" t="n">
        <v>45744</v>
      </c>
      <c r="C347" s="1" t="n">
        <v>46140</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24248-2023</t>
        </is>
      </c>
      <c r="B348" s="1" t="n">
        <v>45079</v>
      </c>
      <c r="C348" s="1" t="n">
        <v>46140</v>
      </c>
      <c r="D348" t="inlineStr">
        <is>
          <t>VÄSTMANLANDS LÄN</t>
        </is>
      </c>
      <c r="E348" t="inlineStr">
        <is>
          <t>SALA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46140</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27228-2023</t>
        </is>
      </c>
      <c r="B350" s="1" t="n">
        <v>45096.59189814814</v>
      </c>
      <c r="C350" s="1" t="n">
        <v>46140</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53838-2022</t>
        </is>
      </c>
      <c r="B351" s="1" t="n">
        <v>44880.59363425926</v>
      </c>
      <c r="C351" s="1" t="n">
        <v>46140</v>
      </c>
      <c r="D351" t="inlineStr">
        <is>
          <t>VÄSTMANLANDS LÄN</t>
        </is>
      </c>
      <c r="E351" t="inlineStr">
        <is>
          <t>SALA</t>
        </is>
      </c>
      <c r="G351" t="n">
        <v>3.9</v>
      </c>
      <c r="H351" t="n">
        <v>0</v>
      </c>
      <c r="I351" t="n">
        <v>0</v>
      </c>
      <c r="J351" t="n">
        <v>0</v>
      </c>
      <c r="K351" t="n">
        <v>0</v>
      </c>
      <c r="L351" t="n">
        <v>0</v>
      </c>
      <c r="M351" t="n">
        <v>0</v>
      </c>
      <c r="N351" t="n">
        <v>0</v>
      </c>
      <c r="O351" t="n">
        <v>0</v>
      </c>
      <c r="P351" t="n">
        <v>0</v>
      </c>
      <c r="Q351" t="n">
        <v>0</v>
      </c>
      <c r="R351" s="2" t="inlineStr"/>
    </row>
    <row r="352" ht="15" customHeight="1">
      <c r="A352" t="inlineStr">
        <is>
          <t>A 48910-2025</t>
        </is>
      </c>
      <c r="B352" s="1" t="n">
        <v>45937.48649305556</v>
      </c>
      <c r="C352" s="1" t="n">
        <v>46140</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49640-2025</t>
        </is>
      </c>
      <c r="B353" s="1" t="n">
        <v>45939.61459490741</v>
      </c>
      <c r="C353" s="1" t="n">
        <v>46140</v>
      </c>
      <c r="D353" t="inlineStr">
        <is>
          <t>VÄSTMANLANDS LÄN</t>
        </is>
      </c>
      <c r="E353" t="inlineStr">
        <is>
          <t>SALA</t>
        </is>
      </c>
      <c r="F353" t="inlineStr">
        <is>
          <t>Kommuner</t>
        </is>
      </c>
      <c r="G353" t="n">
        <v>18.8</v>
      </c>
      <c r="H353" t="n">
        <v>0</v>
      </c>
      <c r="I353" t="n">
        <v>0</v>
      </c>
      <c r="J353" t="n">
        <v>0</v>
      </c>
      <c r="K353" t="n">
        <v>0</v>
      </c>
      <c r="L353" t="n">
        <v>0</v>
      </c>
      <c r="M353" t="n">
        <v>0</v>
      </c>
      <c r="N353" t="n">
        <v>0</v>
      </c>
      <c r="O353" t="n">
        <v>0</v>
      </c>
      <c r="P353" t="n">
        <v>0</v>
      </c>
      <c r="Q353" t="n">
        <v>0</v>
      </c>
      <c r="R353" s="2" t="inlineStr"/>
    </row>
    <row r="354" ht="15" customHeight="1">
      <c r="A354" t="inlineStr">
        <is>
          <t>A 25260-2023</t>
        </is>
      </c>
      <c r="B354" s="1" t="n">
        <v>45086</v>
      </c>
      <c r="C354" s="1" t="n">
        <v>46140</v>
      </c>
      <c r="D354" t="inlineStr">
        <is>
          <t>VÄSTMANLANDS LÄN</t>
        </is>
      </c>
      <c r="E354" t="inlineStr">
        <is>
          <t>SALA</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16769-2024</t>
        </is>
      </c>
      <c r="B355" s="1" t="n">
        <v>45411.38738425926</v>
      </c>
      <c r="C355" s="1" t="n">
        <v>46140</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49585-2025</t>
        </is>
      </c>
      <c r="B356" s="1" t="n">
        <v>45939.5043287037</v>
      </c>
      <c r="C356" s="1" t="n">
        <v>46140</v>
      </c>
      <c r="D356" t="inlineStr">
        <is>
          <t>VÄSTMANLANDS LÄN</t>
        </is>
      </c>
      <c r="E356" t="inlineStr">
        <is>
          <t>SALA</t>
        </is>
      </c>
      <c r="G356" t="n">
        <v>2.2</v>
      </c>
      <c r="H356" t="n">
        <v>0</v>
      </c>
      <c r="I356" t="n">
        <v>0</v>
      </c>
      <c r="J356" t="n">
        <v>0</v>
      </c>
      <c r="K356" t="n">
        <v>0</v>
      </c>
      <c r="L356" t="n">
        <v>0</v>
      </c>
      <c r="M356" t="n">
        <v>0</v>
      </c>
      <c r="N356" t="n">
        <v>0</v>
      </c>
      <c r="O356" t="n">
        <v>0</v>
      </c>
      <c r="P356" t="n">
        <v>0</v>
      </c>
      <c r="Q356" t="n">
        <v>0</v>
      </c>
      <c r="R356" s="2" t="inlineStr"/>
    </row>
    <row r="357" ht="15" customHeight="1">
      <c r="A357" t="inlineStr">
        <is>
          <t>A 60249-2023</t>
        </is>
      </c>
      <c r="B357" s="1" t="n">
        <v>45258</v>
      </c>
      <c r="C357" s="1" t="n">
        <v>46140</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14271-2025</t>
        </is>
      </c>
      <c r="B358" s="1" t="n">
        <v>45740.64129629629</v>
      </c>
      <c r="C358" s="1" t="n">
        <v>46140</v>
      </c>
      <c r="D358" t="inlineStr">
        <is>
          <t>VÄSTMANLANDS LÄN</t>
        </is>
      </c>
      <c r="E358" t="inlineStr">
        <is>
          <t>SALA</t>
        </is>
      </c>
      <c r="G358" t="n">
        <v>0.8</v>
      </c>
      <c r="H358" t="n">
        <v>0</v>
      </c>
      <c r="I358" t="n">
        <v>0</v>
      </c>
      <c r="J358" t="n">
        <v>0</v>
      </c>
      <c r="K358" t="n">
        <v>0</v>
      </c>
      <c r="L358" t="n">
        <v>0</v>
      </c>
      <c r="M358" t="n">
        <v>0</v>
      </c>
      <c r="N358" t="n">
        <v>0</v>
      </c>
      <c r="O358" t="n">
        <v>0</v>
      </c>
      <c r="P358" t="n">
        <v>0</v>
      </c>
      <c r="Q358" t="n">
        <v>0</v>
      </c>
      <c r="R358" s="2" t="inlineStr"/>
    </row>
    <row r="359" ht="15" customHeight="1">
      <c r="A359" t="inlineStr">
        <is>
          <t>A 69232-2021</t>
        </is>
      </c>
      <c r="B359" s="1" t="n">
        <v>44531.39696759259</v>
      </c>
      <c r="C359" s="1" t="n">
        <v>46140</v>
      </c>
      <c r="D359" t="inlineStr">
        <is>
          <t>VÄSTMANLANDS LÄN</t>
        </is>
      </c>
      <c r="E359" t="inlineStr">
        <is>
          <t>SALA</t>
        </is>
      </c>
      <c r="G359" t="n">
        <v>2.3</v>
      </c>
      <c r="H359" t="n">
        <v>0</v>
      </c>
      <c r="I359" t="n">
        <v>0</v>
      </c>
      <c r="J359" t="n">
        <v>0</v>
      </c>
      <c r="K359" t="n">
        <v>0</v>
      </c>
      <c r="L359" t="n">
        <v>0</v>
      </c>
      <c r="M359" t="n">
        <v>0</v>
      </c>
      <c r="N359" t="n">
        <v>0</v>
      </c>
      <c r="O359" t="n">
        <v>0</v>
      </c>
      <c r="P359" t="n">
        <v>0</v>
      </c>
      <c r="Q359" t="n">
        <v>0</v>
      </c>
      <c r="R359" s="2" t="inlineStr"/>
    </row>
    <row r="360" ht="15" customHeight="1">
      <c r="A360" t="inlineStr">
        <is>
          <t>A 50128-2025</t>
        </is>
      </c>
      <c r="B360" s="1" t="n">
        <v>45943.55318287037</v>
      </c>
      <c r="C360" s="1" t="n">
        <v>46140</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28328-2023</t>
        </is>
      </c>
      <c r="B361" s="1" t="n">
        <v>45099.71063657408</v>
      </c>
      <c r="C361" s="1" t="n">
        <v>46140</v>
      </c>
      <c r="D361" t="inlineStr">
        <is>
          <t>VÄSTMANLANDS LÄN</t>
        </is>
      </c>
      <c r="E361" t="inlineStr">
        <is>
          <t>SALA</t>
        </is>
      </c>
      <c r="G361" t="n">
        <v>1.8</v>
      </c>
      <c r="H361" t="n">
        <v>0</v>
      </c>
      <c r="I361" t="n">
        <v>0</v>
      </c>
      <c r="J361" t="n">
        <v>0</v>
      </c>
      <c r="K361" t="n">
        <v>0</v>
      </c>
      <c r="L361" t="n">
        <v>0</v>
      </c>
      <c r="M361" t="n">
        <v>0</v>
      </c>
      <c r="N361" t="n">
        <v>0</v>
      </c>
      <c r="O361" t="n">
        <v>0</v>
      </c>
      <c r="P361" t="n">
        <v>0</v>
      </c>
      <c r="Q361" t="n">
        <v>0</v>
      </c>
      <c r="R361" s="2" t="inlineStr"/>
    </row>
    <row r="362" ht="15" customHeight="1">
      <c r="A362" t="inlineStr">
        <is>
          <t>A 50249-2025</t>
        </is>
      </c>
      <c r="B362" s="1" t="n">
        <v>45944.31508101852</v>
      </c>
      <c r="C362" s="1" t="n">
        <v>46140</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40085-2024</t>
        </is>
      </c>
      <c r="B363" s="1" t="n">
        <v>45554</v>
      </c>
      <c r="C363" s="1" t="n">
        <v>46140</v>
      </c>
      <c r="D363" t="inlineStr">
        <is>
          <t>VÄSTMANLANDS LÄN</t>
        </is>
      </c>
      <c r="E363" t="inlineStr">
        <is>
          <t>SALA</t>
        </is>
      </c>
      <c r="G363" t="n">
        <v>2.8</v>
      </c>
      <c r="H363" t="n">
        <v>0</v>
      </c>
      <c r="I363" t="n">
        <v>0</v>
      </c>
      <c r="J363" t="n">
        <v>0</v>
      </c>
      <c r="K363" t="n">
        <v>0</v>
      </c>
      <c r="L363" t="n">
        <v>0</v>
      </c>
      <c r="M363" t="n">
        <v>0</v>
      </c>
      <c r="N363" t="n">
        <v>0</v>
      </c>
      <c r="O363" t="n">
        <v>0</v>
      </c>
      <c r="P363" t="n">
        <v>0</v>
      </c>
      <c r="Q363" t="n">
        <v>0</v>
      </c>
      <c r="R363" s="2" t="inlineStr"/>
    </row>
    <row r="364" ht="15" customHeight="1">
      <c r="A364" t="inlineStr">
        <is>
          <t>A 50119-2025</t>
        </is>
      </c>
      <c r="B364" s="1" t="n">
        <v>45943.54883101852</v>
      </c>
      <c r="C364" s="1" t="n">
        <v>46140</v>
      </c>
      <c r="D364" t="inlineStr">
        <is>
          <t>VÄSTMANLANDS LÄN</t>
        </is>
      </c>
      <c r="E364" t="inlineStr">
        <is>
          <t>SALA</t>
        </is>
      </c>
      <c r="G364" t="n">
        <v>3.3</v>
      </c>
      <c r="H364" t="n">
        <v>0</v>
      </c>
      <c r="I364" t="n">
        <v>0</v>
      </c>
      <c r="J364" t="n">
        <v>0</v>
      </c>
      <c r="K364" t="n">
        <v>0</v>
      </c>
      <c r="L364" t="n">
        <v>0</v>
      </c>
      <c r="M364" t="n">
        <v>0</v>
      </c>
      <c r="N364" t="n">
        <v>0</v>
      </c>
      <c r="O364" t="n">
        <v>0</v>
      </c>
      <c r="P364" t="n">
        <v>0</v>
      </c>
      <c r="Q364" t="n">
        <v>0</v>
      </c>
      <c r="R364" s="2" t="inlineStr"/>
    </row>
    <row r="365" ht="15" customHeight="1">
      <c r="A365" t="inlineStr">
        <is>
          <t>A 50059-2025</t>
        </is>
      </c>
      <c r="B365" s="1" t="n">
        <v>45943.44125</v>
      </c>
      <c r="C365" s="1" t="n">
        <v>46140</v>
      </c>
      <c r="D365" t="inlineStr">
        <is>
          <t>VÄSTMANLANDS LÄN</t>
        </is>
      </c>
      <c r="E365" t="inlineStr">
        <is>
          <t>SALA</t>
        </is>
      </c>
      <c r="G365" t="n">
        <v>4.4</v>
      </c>
      <c r="H365" t="n">
        <v>0</v>
      </c>
      <c r="I365" t="n">
        <v>0</v>
      </c>
      <c r="J365" t="n">
        <v>0</v>
      </c>
      <c r="K365" t="n">
        <v>0</v>
      </c>
      <c r="L365" t="n">
        <v>0</v>
      </c>
      <c r="M365" t="n">
        <v>0</v>
      </c>
      <c r="N365" t="n">
        <v>0</v>
      </c>
      <c r="O365" t="n">
        <v>0</v>
      </c>
      <c r="P365" t="n">
        <v>0</v>
      </c>
      <c r="Q365" t="n">
        <v>0</v>
      </c>
      <c r="R365" s="2" t="inlineStr"/>
    </row>
    <row r="366" ht="15" customHeight="1">
      <c r="A366" t="inlineStr">
        <is>
          <t>A 18158-2025</t>
        </is>
      </c>
      <c r="B366" s="1" t="n">
        <v>45761</v>
      </c>
      <c r="C366" s="1" t="n">
        <v>46140</v>
      </c>
      <c r="D366" t="inlineStr">
        <is>
          <t>VÄSTMANLANDS LÄN</t>
        </is>
      </c>
      <c r="E366" t="inlineStr">
        <is>
          <t>SALA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49661-2024</t>
        </is>
      </c>
      <c r="B367" s="1" t="n">
        <v>45596</v>
      </c>
      <c r="C367" s="1" t="n">
        <v>46140</v>
      </c>
      <c r="D367" t="inlineStr">
        <is>
          <t>VÄSTMANLANDS LÄN</t>
        </is>
      </c>
      <c r="E367" t="inlineStr">
        <is>
          <t>SALA</t>
        </is>
      </c>
      <c r="G367" t="n">
        <v>6.7</v>
      </c>
      <c r="H367" t="n">
        <v>0</v>
      </c>
      <c r="I367" t="n">
        <v>0</v>
      </c>
      <c r="J367" t="n">
        <v>0</v>
      </c>
      <c r="K367" t="n">
        <v>0</v>
      </c>
      <c r="L367" t="n">
        <v>0</v>
      </c>
      <c r="M367" t="n">
        <v>0</v>
      </c>
      <c r="N367" t="n">
        <v>0</v>
      </c>
      <c r="O367" t="n">
        <v>0</v>
      </c>
      <c r="P367" t="n">
        <v>0</v>
      </c>
      <c r="Q367" t="n">
        <v>0</v>
      </c>
      <c r="R367" s="2" t="inlineStr"/>
    </row>
    <row r="368" ht="15" customHeight="1">
      <c r="A368" t="inlineStr">
        <is>
          <t>A 35519-2024</t>
        </is>
      </c>
      <c r="B368" s="1" t="n">
        <v>45531</v>
      </c>
      <c r="C368" s="1" t="n">
        <v>46140</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54347-2024</t>
        </is>
      </c>
      <c r="B369" s="1" t="n">
        <v>45617.39325231482</v>
      </c>
      <c r="C369" s="1" t="n">
        <v>46140</v>
      </c>
      <c r="D369" t="inlineStr">
        <is>
          <t>VÄSTMANLANDS LÄN</t>
        </is>
      </c>
      <c r="E369" t="inlineStr">
        <is>
          <t>SALA</t>
        </is>
      </c>
      <c r="G369" t="n">
        <v>2</v>
      </c>
      <c r="H369" t="n">
        <v>0</v>
      </c>
      <c r="I369" t="n">
        <v>0</v>
      </c>
      <c r="J369" t="n">
        <v>0</v>
      </c>
      <c r="K369" t="n">
        <v>0</v>
      </c>
      <c r="L369" t="n">
        <v>0</v>
      </c>
      <c r="M369" t="n">
        <v>0</v>
      </c>
      <c r="N369" t="n">
        <v>0</v>
      </c>
      <c r="O369" t="n">
        <v>0</v>
      </c>
      <c r="P369" t="n">
        <v>0</v>
      </c>
      <c r="Q369" t="n">
        <v>0</v>
      </c>
      <c r="R369" s="2" t="inlineStr"/>
    </row>
    <row r="370" ht="15" customHeight="1">
      <c r="A370" t="inlineStr">
        <is>
          <t>A 13022-2023</t>
        </is>
      </c>
      <c r="B370" s="1" t="n">
        <v>45002.33291666667</v>
      </c>
      <c r="C370" s="1" t="n">
        <v>46140</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35003-2024</t>
        </is>
      </c>
      <c r="B371" s="1" t="n">
        <v>45527.56790509259</v>
      </c>
      <c r="C371" s="1" t="n">
        <v>46140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66307-2021</t>
        </is>
      </c>
      <c r="B372" s="1" t="n">
        <v>44518.48670138889</v>
      </c>
      <c r="C372" s="1" t="n">
        <v>46140</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6030-2024</t>
        </is>
      </c>
      <c r="B373" s="1" t="n">
        <v>45336.62782407407</v>
      </c>
      <c r="C373" s="1" t="n">
        <v>46140</v>
      </c>
      <c r="D373" t="inlineStr">
        <is>
          <t>VÄSTMANLANDS LÄN</t>
        </is>
      </c>
      <c r="E373" t="inlineStr">
        <is>
          <t>SALA</t>
        </is>
      </c>
      <c r="G373" t="n">
        <v>3.9</v>
      </c>
      <c r="H373" t="n">
        <v>0</v>
      </c>
      <c r="I373" t="n">
        <v>0</v>
      </c>
      <c r="J373" t="n">
        <v>0</v>
      </c>
      <c r="K373" t="n">
        <v>0</v>
      </c>
      <c r="L373" t="n">
        <v>0</v>
      </c>
      <c r="M373" t="n">
        <v>0</v>
      </c>
      <c r="N373" t="n">
        <v>0</v>
      </c>
      <c r="O373" t="n">
        <v>0</v>
      </c>
      <c r="P373" t="n">
        <v>0</v>
      </c>
      <c r="Q373" t="n">
        <v>0</v>
      </c>
      <c r="R373" s="2" t="inlineStr"/>
    </row>
    <row r="374" ht="15" customHeight="1">
      <c r="A374" t="inlineStr">
        <is>
          <t>A 51626-2025</t>
        </is>
      </c>
      <c r="B374" s="1" t="n">
        <v>45951.41769675926</v>
      </c>
      <c r="C374" s="1" t="n">
        <v>46140</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51690-2025</t>
        </is>
      </c>
      <c r="B375" s="1" t="n">
        <v>45951.53462962963</v>
      </c>
      <c r="C375" s="1" t="n">
        <v>46140</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26761-2023</t>
        </is>
      </c>
      <c r="B376" s="1" t="n">
        <v>45093</v>
      </c>
      <c r="C376" s="1" t="n">
        <v>46140</v>
      </c>
      <c r="D376" t="inlineStr">
        <is>
          <t>VÄSTMANLANDS LÄN</t>
        </is>
      </c>
      <c r="E376" t="inlineStr">
        <is>
          <t>SALA</t>
        </is>
      </c>
      <c r="G376" t="n">
        <v>4.3</v>
      </c>
      <c r="H376" t="n">
        <v>0</v>
      </c>
      <c r="I376" t="n">
        <v>0</v>
      </c>
      <c r="J376" t="n">
        <v>0</v>
      </c>
      <c r="K376" t="n">
        <v>0</v>
      </c>
      <c r="L376" t="n">
        <v>0</v>
      </c>
      <c r="M376" t="n">
        <v>0</v>
      </c>
      <c r="N376" t="n">
        <v>0</v>
      </c>
      <c r="O376" t="n">
        <v>0</v>
      </c>
      <c r="P376" t="n">
        <v>0</v>
      </c>
      <c r="Q376" t="n">
        <v>0</v>
      </c>
      <c r="R376" s="2" t="inlineStr"/>
    </row>
    <row r="377" ht="15" customHeight="1">
      <c r="A377" t="inlineStr">
        <is>
          <t>A 61892-2021</t>
        </is>
      </c>
      <c r="B377" s="1" t="n">
        <v>44502</v>
      </c>
      <c r="C377" s="1" t="n">
        <v>46140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51809-2025</t>
        </is>
      </c>
      <c r="B378" s="1" t="n">
        <v>45951.80116898148</v>
      </c>
      <c r="C378" s="1" t="n">
        <v>46140</v>
      </c>
      <c r="D378" t="inlineStr">
        <is>
          <t>VÄSTMANLANDS LÄN</t>
        </is>
      </c>
      <c r="E378" t="inlineStr">
        <is>
          <t>SALA</t>
        </is>
      </c>
      <c r="F378" t="inlineStr">
        <is>
          <t>Kommuner</t>
        </is>
      </c>
      <c r="G378" t="n">
        <v>3.5</v>
      </c>
      <c r="H378" t="n">
        <v>0</v>
      </c>
      <c r="I378" t="n">
        <v>0</v>
      </c>
      <c r="J378" t="n">
        <v>0</v>
      </c>
      <c r="K378" t="n">
        <v>0</v>
      </c>
      <c r="L378" t="n">
        <v>0</v>
      </c>
      <c r="M378" t="n">
        <v>0</v>
      </c>
      <c r="N378" t="n">
        <v>0</v>
      </c>
      <c r="O378" t="n">
        <v>0</v>
      </c>
      <c r="P378" t="n">
        <v>0</v>
      </c>
      <c r="Q378" t="n">
        <v>0</v>
      </c>
      <c r="R378" s="2" t="inlineStr"/>
    </row>
    <row r="379" ht="15" customHeight="1">
      <c r="A379" t="inlineStr">
        <is>
          <t>A 51803-2025</t>
        </is>
      </c>
      <c r="B379" s="1" t="n">
        <v>45951.76818287037</v>
      </c>
      <c r="C379" s="1" t="n">
        <v>46140</v>
      </c>
      <c r="D379" t="inlineStr">
        <is>
          <t>VÄSTMANLANDS LÄN</t>
        </is>
      </c>
      <c r="E379" t="inlineStr">
        <is>
          <t>SALA</t>
        </is>
      </c>
      <c r="F379" t="inlineStr">
        <is>
          <t>Kommuner</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51805-2025</t>
        </is>
      </c>
      <c r="B380" s="1" t="n">
        <v>45951.78359953704</v>
      </c>
      <c r="C380" s="1" t="n">
        <v>46140</v>
      </c>
      <c r="D380" t="inlineStr">
        <is>
          <t>VÄSTMANLANDS LÄN</t>
        </is>
      </c>
      <c r="E380" t="inlineStr">
        <is>
          <t>SALA</t>
        </is>
      </c>
      <c r="F380" t="inlineStr">
        <is>
          <t>Kommuner</t>
        </is>
      </c>
      <c r="G380" t="n">
        <v>1.3</v>
      </c>
      <c r="H380" t="n">
        <v>0</v>
      </c>
      <c r="I380" t="n">
        <v>0</v>
      </c>
      <c r="J380" t="n">
        <v>0</v>
      </c>
      <c r="K380" t="n">
        <v>0</v>
      </c>
      <c r="L380" t="n">
        <v>0</v>
      </c>
      <c r="M380" t="n">
        <v>0</v>
      </c>
      <c r="N380" t="n">
        <v>0</v>
      </c>
      <c r="O380" t="n">
        <v>0</v>
      </c>
      <c r="P380" t="n">
        <v>0</v>
      </c>
      <c r="Q380" t="n">
        <v>0</v>
      </c>
      <c r="R380" s="2" t="inlineStr"/>
    </row>
    <row r="381" ht="15" customHeight="1">
      <c r="A381" t="inlineStr">
        <is>
          <t>A 51804-2025</t>
        </is>
      </c>
      <c r="B381" s="1" t="n">
        <v>45951.77697916667</v>
      </c>
      <c r="C381" s="1" t="n">
        <v>46140</v>
      </c>
      <c r="D381" t="inlineStr">
        <is>
          <t>VÄSTMANLANDS LÄN</t>
        </is>
      </c>
      <c r="E381" t="inlineStr">
        <is>
          <t>SALA</t>
        </is>
      </c>
      <c r="F381" t="inlineStr">
        <is>
          <t>Kommuner</t>
        </is>
      </c>
      <c r="G381" t="n">
        <v>2</v>
      </c>
      <c r="H381" t="n">
        <v>0</v>
      </c>
      <c r="I381" t="n">
        <v>0</v>
      </c>
      <c r="J381" t="n">
        <v>0</v>
      </c>
      <c r="K381" t="n">
        <v>0</v>
      </c>
      <c r="L381" t="n">
        <v>0</v>
      </c>
      <c r="M381" t="n">
        <v>0</v>
      </c>
      <c r="N381" t="n">
        <v>0</v>
      </c>
      <c r="O381" t="n">
        <v>0</v>
      </c>
      <c r="P381" t="n">
        <v>0</v>
      </c>
      <c r="Q381" t="n">
        <v>0</v>
      </c>
      <c r="R381" s="2" t="inlineStr"/>
    </row>
    <row r="382" ht="15" customHeight="1">
      <c r="A382" t="inlineStr">
        <is>
          <t>A 51808-2025</t>
        </is>
      </c>
      <c r="B382" s="1" t="n">
        <v>45951.79302083333</v>
      </c>
      <c r="C382" s="1" t="n">
        <v>46140</v>
      </c>
      <c r="D382" t="inlineStr">
        <is>
          <t>VÄSTMANLANDS LÄN</t>
        </is>
      </c>
      <c r="E382" t="inlineStr">
        <is>
          <t>SALA</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51764-2025</t>
        </is>
      </c>
      <c r="B383" s="1" t="n">
        <v>45951.63636574074</v>
      </c>
      <c r="C383" s="1" t="n">
        <v>46140</v>
      </c>
      <c r="D383" t="inlineStr">
        <is>
          <t>VÄSTMANLANDS LÄN</t>
        </is>
      </c>
      <c r="E383" t="inlineStr">
        <is>
          <t>SALA</t>
        </is>
      </c>
      <c r="G383" t="n">
        <v>1.5</v>
      </c>
      <c r="H383" t="n">
        <v>0</v>
      </c>
      <c r="I383" t="n">
        <v>0</v>
      </c>
      <c r="J383" t="n">
        <v>0</v>
      </c>
      <c r="K383" t="n">
        <v>0</v>
      </c>
      <c r="L383" t="n">
        <v>0</v>
      </c>
      <c r="M383" t="n">
        <v>0</v>
      </c>
      <c r="N383" t="n">
        <v>0</v>
      </c>
      <c r="O383" t="n">
        <v>0</v>
      </c>
      <c r="P383" t="n">
        <v>0</v>
      </c>
      <c r="Q383" t="n">
        <v>0</v>
      </c>
      <c r="R383" s="2" t="inlineStr"/>
    </row>
    <row r="384" ht="15" customHeight="1">
      <c r="A384" t="inlineStr">
        <is>
          <t>A 7772-2023</t>
        </is>
      </c>
      <c r="B384" s="1" t="n">
        <v>44973.40076388889</v>
      </c>
      <c r="C384" s="1" t="n">
        <v>46140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42416-2022</t>
        </is>
      </c>
      <c r="B385" s="1" t="n">
        <v>44831</v>
      </c>
      <c r="C385" s="1" t="n">
        <v>46140</v>
      </c>
      <c r="D385" t="inlineStr">
        <is>
          <t>VÄSTMANLANDS LÄN</t>
        </is>
      </c>
      <c r="E385" t="inlineStr">
        <is>
          <t>SALA</t>
        </is>
      </c>
      <c r="G385" t="n">
        <v>2.2</v>
      </c>
      <c r="H385" t="n">
        <v>0</v>
      </c>
      <c r="I385" t="n">
        <v>0</v>
      </c>
      <c r="J385" t="n">
        <v>0</v>
      </c>
      <c r="K385" t="n">
        <v>0</v>
      </c>
      <c r="L385" t="n">
        <v>0</v>
      </c>
      <c r="M385" t="n">
        <v>0</v>
      </c>
      <c r="N385" t="n">
        <v>0</v>
      </c>
      <c r="O385" t="n">
        <v>0</v>
      </c>
      <c r="P385" t="n">
        <v>0</v>
      </c>
      <c r="Q385" t="n">
        <v>0</v>
      </c>
      <c r="R385" s="2" t="inlineStr"/>
    </row>
    <row r="386" ht="15" customHeight="1">
      <c r="A386" t="inlineStr">
        <is>
          <t>A 19381-2025</t>
        </is>
      </c>
      <c r="B386" s="1" t="n">
        <v>45769</v>
      </c>
      <c r="C386" s="1" t="n">
        <v>46140</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48688-2024</t>
        </is>
      </c>
      <c r="B387" s="1" t="n">
        <v>45593.50541666667</v>
      </c>
      <c r="C387" s="1" t="n">
        <v>46140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45187-2024</t>
        </is>
      </c>
      <c r="B388" s="1" t="n">
        <v>45575</v>
      </c>
      <c r="C388" s="1" t="n">
        <v>46140</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15968-2024</t>
        </is>
      </c>
      <c r="B389" s="1" t="n">
        <v>45405.56021990741</v>
      </c>
      <c r="C389" s="1" t="n">
        <v>46140</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53744-2025</t>
        </is>
      </c>
      <c r="B390" s="1" t="n">
        <v>45960.64863425926</v>
      </c>
      <c r="C390" s="1" t="n">
        <v>46140</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53725-2025</t>
        </is>
      </c>
      <c r="B391" s="1" t="n">
        <v>45960.63394675926</v>
      </c>
      <c r="C391" s="1" t="n">
        <v>46140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3733-2023</t>
        </is>
      </c>
      <c r="B392" s="1" t="n">
        <v>44951.42501157407</v>
      </c>
      <c r="C392" s="1" t="n">
        <v>46140</v>
      </c>
      <c r="D392" t="inlineStr">
        <is>
          <t>VÄSTMANLANDS LÄN</t>
        </is>
      </c>
      <c r="E392" t="inlineStr">
        <is>
          <t>SALA</t>
        </is>
      </c>
      <c r="G392" t="n">
        <v>3.1</v>
      </c>
      <c r="H392" t="n">
        <v>0</v>
      </c>
      <c r="I392" t="n">
        <v>0</v>
      </c>
      <c r="J392" t="n">
        <v>0</v>
      </c>
      <c r="K392" t="n">
        <v>0</v>
      </c>
      <c r="L392" t="n">
        <v>0</v>
      </c>
      <c r="M392" t="n">
        <v>0</v>
      </c>
      <c r="N392" t="n">
        <v>0</v>
      </c>
      <c r="O392" t="n">
        <v>0</v>
      </c>
      <c r="P392" t="n">
        <v>0</v>
      </c>
      <c r="Q392" t="n">
        <v>0</v>
      </c>
      <c r="R392" s="2" t="inlineStr"/>
    </row>
    <row r="393" ht="15" customHeight="1">
      <c r="A393" t="inlineStr">
        <is>
          <t>A 44544-2024</t>
        </is>
      </c>
      <c r="B393" s="1" t="n">
        <v>45574.46119212963</v>
      </c>
      <c r="C393" s="1" t="n">
        <v>46140</v>
      </c>
      <c r="D393" t="inlineStr">
        <is>
          <t>VÄSTMANLANDS LÄN</t>
        </is>
      </c>
      <c r="E393" t="inlineStr">
        <is>
          <t>SALA</t>
        </is>
      </c>
      <c r="G393" t="n">
        <v>3.3</v>
      </c>
      <c r="H393" t="n">
        <v>0</v>
      </c>
      <c r="I393" t="n">
        <v>0</v>
      </c>
      <c r="J393" t="n">
        <v>0</v>
      </c>
      <c r="K393" t="n">
        <v>0</v>
      </c>
      <c r="L393" t="n">
        <v>0</v>
      </c>
      <c r="M393" t="n">
        <v>0</v>
      </c>
      <c r="N393" t="n">
        <v>0</v>
      </c>
      <c r="O393" t="n">
        <v>0</v>
      </c>
      <c r="P393" t="n">
        <v>0</v>
      </c>
      <c r="Q393" t="n">
        <v>0</v>
      </c>
      <c r="R393" s="2" t="inlineStr"/>
    </row>
    <row r="394" ht="15" customHeight="1">
      <c r="A394" t="inlineStr">
        <is>
          <t>A 53724-2025</t>
        </is>
      </c>
      <c r="B394" s="1" t="n">
        <v>45960.63174768518</v>
      </c>
      <c r="C394" s="1" t="n">
        <v>46140</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64729-2023</t>
        </is>
      </c>
      <c r="B395" s="1" t="n">
        <v>45281</v>
      </c>
      <c r="C395" s="1" t="n">
        <v>46140</v>
      </c>
      <c r="D395" t="inlineStr">
        <is>
          <t>VÄSTMANLANDS LÄN</t>
        </is>
      </c>
      <c r="E395" t="inlineStr">
        <is>
          <t>SALA</t>
        </is>
      </c>
      <c r="G395" t="n">
        <v>1.8</v>
      </c>
      <c r="H395" t="n">
        <v>0</v>
      </c>
      <c r="I395" t="n">
        <v>0</v>
      </c>
      <c r="J395" t="n">
        <v>0</v>
      </c>
      <c r="K395" t="n">
        <v>0</v>
      </c>
      <c r="L395" t="n">
        <v>0</v>
      </c>
      <c r="M395" t="n">
        <v>0</v>
      </c>
      <c r="N395" t="n">
        <v>0</v>
      </c>
      <c r="O395" t="n">
        <v>0</v>
      </c>
      <c r="P395" t="n">
        <v>0</v>
      </c>
      <c r="Q395" t="n">
        <v>0</v>
      </c>
      <c r="R395" s="2" t="inlineStr"/>
    </row>
    <row r="396" ht="15" customHeight="1">
      <c r="A396" t="inlineStr">
        <is>
          <t>A 38636-2024</t>
        </is>
      </c>
      <c r="B396" s="1" t="n">
        <v>45546</v>
      </c>
      <c r="C396" s="1" t="n">
        <v>46140</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54201-2025</t>
        </is>
      </c>
      <c r="B397" s="1" t="n">
        <v>45964.58055555556</v>
      </c>
      <c r="C397" s="1" t="n">
        <v>46140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68864-2021</t>
        </is>
      </c>
      <c r="B398" s="1" t="n">
        <v>44530</v>
      </c>
      <c r="C398" s="1" t="n">
        <v>46140</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54344-2025</t>
        </is>
      </c>
      <c r="B399" s="1" t="n">
        <v>45965.36462962963</v>
      </c>
      <c r="C399" s="1" t="n">
        <v>46140</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64925-2023</t>
        </is>
      </c>
      <c r="B400" s="1" t="n">
        <v>45282</v>
      </c>
      <c r="C400" s="1" t="n">
        <v>46140</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48570-2024</t>
        </is>
      </c>
      <c r="B401" s="1" t="n">
        <v>45591</v>
      </c>
      <c r="C401" s="1" t="n">
        <v>46140</v>
      </c>
      <c r="D401" t="inlineStr">
        <is>
          <t>VÄSTMANLANDS LÄN</t>
        </is>
      </c>
      <c r="E401" t="inlineStr">
        <is>
          <t>SALA</t>
        </is>
      </c>
      <c r="G401" t="n">
        <v>3</v>
      </c>
      <c r="H401" t="n">
        <v>0</v>
      </c>
      <c r="I401" t="n">
        <v>0</v>
      </c>
      <c r="J401" t="n">
        <v>0</v>
      </c>
      <c r="K401" t="n">
        <v>0</v>
      </c>
      <c r="L401" t="n">
        <v>0</v>
      </c>
      <c r="M401" t="n">
        <v>0</v>
      </c>
      <c r="N401" t="n">
        <v>0</v>
      </c>
      <c r="O401" t="n">
        <v>0</v>
      </c>
      <c r="P401" t="n">
        <v>0</v>
      </c>
      <c r="Q401" t="n">
        <v>0</v>
      </c>
      <c r="R401" s="2" t="inlineStr"/>
    </row>
    <row r="402" ht="15" customHeight="1">
      <c r="A402" t="inlineStr">
        <is>
          <t>A 54590-2025</t>
        </is>
      </c>
      <c r="B402" s="1" t="n">
        <v>45965.74199074074</v>
      </c>
      <c r="C402" s="1" t="n">
        <v>46140</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61517-2024</t>
        </is>
      </c>
      <c r="B403" s="1" t="n">
        <v>45645</v>
      </c>
      <c r="C403" s="1" t="n">
        <v>46140</v>
      </c>
      <c r="D403" t="inlineStr">
        <is>
          <t>VÄSTMANLANDS LÄN</t>
        </is>
      </c>
      <c r="E403" t="inlineStr">
        <is>
          <t>SALA</t>
        </is>
      </c>
      <c r="G403" t="n">
        <v>0.6</v>
      </c>
      <c r="H403" t="n">
        <v>0</v>
      </c>
      <c r="I403" t="n">
        <v>0</v>
      </c>
      <c r="J403" t="n">
        <v>0</v>
      </c>
      <c r="K403" t="n">
        <v>0</v>
      </c>
      <c r="L403" t="n">
        <v>0</v>
      </c>
      <c r="M403" t="n">
        <v>0</v>
      </c>
      <c r="N403" t="n">
        <v>0</v>
      </c>
      <c r="O403" t="n">
        <v>0</v>
      </c>
      <c r="P403" t="n">
        <v>0</v>
      </c>
      <c r="Q403" t="n">
        <v>0</v>
      </c>
      <c r="R403" s="2" t="inlineStr"/>
    </row>
    <row r="404" ht="15" customHeight="1">
      <c r="A404" t="inlineStr">
        <is>
          <t>A 16760-2024</t>
        </is>
      </c>
      <c r="B404" s="1" t="n">
        <v>45411</v>
      </c>
      <c r="C404" s="1" t="n">
        <v>46140</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54893-2025</t>
        </is>
      </c>
      <c r="B405" s="1" t="n">
        <v>45967.36383101852</v>
      </c>
      <c r="C405" s="1" t="n">
        <v>46140</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54603-2024</t>
        </is>
      </c>
      <c r="B406" s="1" t="n">
        <v>45617.68224537037</v>
      </c>
      <c r="C406" s="1" t="n">
        <v>46140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19033-2025</t>
        </is>
      </c>
      <c r="B407" s="1" t="n">
        <v>45764.65796296296</v>
      </c>
      <c r="C407" s="1" t="n">
        <v>46140</v>
      </c>
      <c r="D407" t="inlineStr">
        <is>
          <t>VÄSTMANLANDS LÄN</t>
        </is>
      </c>
      <c r="E407" t="inlineStr">
        <is>
          <t>SALA</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18762-2024</t>
        </is>
      </c>
      <c r="B408" s="1" t="n">
        <v>45426.55240740741</v>
      </c>
      <c r="C408" s="1" t="n">
        <v>46140</v>
      </c>
      <c r="D408" t="inlineStr">
        <is>
          <t>VÄSTMANLANDS LÄN</t>
        </is>
      </c>
      <c r="E408" t="inlineStr">
        <is>
          <t>SALA</t>
        </is>
      </c>
      <c r="G408" t="n">
        <v>6.2</v>
      </c>
      <c r="H408" t="n">
        <v>0</v>
      </c>
      <c r="I408" t="n">
        <v>0</v>
      </c>
      <c r="J408" t="n">
        <v>0</v>
      </c>
      <c r="K408" t="n">
        <v>0</v>
      </c>
      <c r="L408" t="n">
        <v>0</v>
      </c>
      <c r="M408" t="n">
        <v>0</v>
      </c>
      <c r="N408" t="n">
        <v>0</v>
      </c>
      <c r="O408" t="n">
        <v>0</v>
      </c>
      <c r="P408" t="n">
        <v>0</v>
      </c>
      <c r="Q408" t="n">
        <v>0</v>
      </c>
      <c r="R408" s="2" t="inlineStr"/>
    </row>
    <row r="409" ht="15" customHeight="1">
      <c r="A409" t="inlineStr">
        <is>
          <t>A 17120-2023</t>
        </is>
      </c>
      <c r="B409" s="1" t="n">
        <v>45034</v>
      </c>
      <c r="C409" s="1" t="n">
        <v>46140</v>
      </c>
      <c r="D409" t="inlineStr">
        <is>
          <t>VÄSTMANLANDS LÄN</t>
        </is>
      </c>
      <c r="E409" t="inlineStr">
        <is>
          <t>SALA</t>
        </is>
      </c>
      <c r="G409" t="n">
        <v>0.1</v>
      </c>
      <c r="H409" t="n">
        <v>0</v>
      </c>
      <c r="I409" t="n">
        <v>0</v>
      </c>
      <c r="J409" t="n">
        <v>0</v>
      </c>
      <c r="K409" t="n">
        <v>0</v>
      </c>
      <c r="L409" t="n">
        <v>0</v>
      </c>
      <c r="M409" t="n">
        <v>0</v>
      </c>
      <c r="N409" t="n">
        <v>0</v>
      </c>
      <c r="O409" t="n">
        <v>0</v>
      </c>
      <c r="P409" t="n">
        <v>0</v>
      </c>
      <c r="Q409" t="n">
        <v>0</v>
      </c>
      <c r="R409" s="2" t="inlineStr"/>
    </row>
    <row r="410" ht="15" customHeight="1">
      <c r="A410" t="inlineStr">
        <is>
          <t>A 42938-2023</t>
        </is>
      </c>
      <c r="B410" s="1" t="n">
        <v>45179</v>
      </c>
      <c r="C410" s="1" t="n">
        <v>46140</v>
      </c>
      <c r="D410" t="inlineStr">
        <is>
          <t>VÄSTMANLANDS LÄN</t>
        </is>
      </c>
      <c r="E410" t="inlineStr">
        <is>
          <t>SALA</t>
        </is>
      </c>
      <c r="G410" t="n">
        <v>10.9</v>
      </c>
      <c r="H410" t="n">
        <v>0</v>
      </c>
      <c r="I410" t="n">
        <v>0</v>
      </c>
      <c r="J410" t="n">
        <v>0</v>
      </c>
      <c r="K410" t="n">
        <v>0</v>
      </c>
      <c r="L410" t="n">
        <v>0</v>
      </c>
      <c r="M410" t="n">
        <v>0</v>
      </c>
      <c r="N410" t="n">
        <v>0</v>
      </c>
      <c r="O410" t="n">
        <v>0</v>
      </c>
      <c r="P410" t="n">
        <v>0</v>
      </c>
      <c r="Q410" t="n">
        <v>0</v>
      </c>
      <c r="R410" s="2" t="inlineStr"/>
    </row>
    <row r="411" ht="15" customHeight="1">
      <c r="A411" t="inlineStr">
        <is>
          <t>A 42984-2023</t>
        </is>
      </c>
      <c r="B411" s="1" t="n">
        <v>45179</v>
      </c>
      <c r="C411" s="1" t="n">
        <v>46140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55997-2025</t>
        </is>
      </c>
      <c r="B412" s="1" t="n">
        <v>45973.56833333334</v>
      </c>
      <c r="C412" s="1" t="n">
        <v>46140</v>
      </c>
      <c r="D412" t="inlineStr">
        <is>
          <t>VÄSTMANLANDS LÄN</t>
        </is>
      </c>
      <c r="E412" t="inlineStr">
        <is>
          <t>SALA</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15972-2024</t>
        </is>
      </c>
      <c r="B413" s="1" t="n">
        <v>45405.56498842593</v>
      </c>
      <c r="C413" s="1" t="n">
        <v>46140</v>
      </c>
      <c r="D413" t="inlineStr">
        <is>
          <t>VÄSTMANLANDS LÄN</t>
        </is>
      </c>
      <c r="E413" t="inlineStr">
        <is>
          <t>SALA</t>
        </is>
      </c>
      <c r="G413" t="n">
        <v>1.8</v>
      </c>
      <c r="H413" t="n">
        <v>0</v>
      </c>
      <c r="I413" t="n">
        <v>0</v>
      </c>
      <c r="J413" t="n">
        <v>0</v>
      </c>
      <c r="K413" t="n">
        <v>0</v>
      </c>
      <c r="L413" t="n">
        <v>0</v>
      </c>
      <c r="M413" t="n">
        <v>0</v>
      </c>
      <c r="N413" t="n">
        <v>0</v>
      </c>
      <c r="O413" t="n">
        <v>0</v>
      </c>
      <c r="P413" t="n">
        <v>0</v>
      </c>
      <c r="Q413" t="n">
        <v>0</v>
      </c>
      <c r="R413" s="2" t="inlineStr"/>
    </row>
    <row r="414" ht="15" customHeight="1">
      <c r="A414" t="inlineStr">
        <is>
          <t>A 39714-2023</t>
        </is>
      </c>
      <c r="B414" s="1" t="n">
        <v>45167.62133101852</v>
      </c>
      <c r="C414" s="1" t="n">
        <v>46140</v>
      </c>
      <c r="D414" t="inlineStr">
        <is>
          <t>VÄSTMANLANDS LÄN</t>
        </is>
      </c>
      <c r="E414" t="inlineStr">
        <is>
          <t>SALA</t>
        </is>
      </c>
      <c r="G414" t="n">
        <v>1.3</v>
      </c>
      <c r="H414" t="n">
        <v>0</v>
      </c>
      <c r="I414" t="n">
        <v>0</v>
      </c>
      <c r="J414" t="n">
        <v>0</v>
      </c>
      <c r="K414" t="n">
        <v>0</v>
      </c>
      <c r="L414" t="n">
        <v>0</v>
      </c>
      <c r="M414" t="n">
        <v>0</v>
      </c>
      <c r="N414" t="n">
        <v>0</v>
      </c>
      <c r="O414" t="n">
        <v>0</v>
      </c>
      <c r="P414" t="n">
        <v>0</v>
      </c>
      <c r="Q414" t="n">
        <v>0</v>
      </c>
      <c r="R414" s="2" t="inlineStr"/>
    </row>
    <row r="415" ht="15" customHeight="1">
      <c r="A415" t="inlineStr">
        <is>
          <t>A 55714-2025</t>
        </is>
      </c>
      <c r="B415" s="1" t="n">
        <v>45972.49131944445</v>
      </c>
      <c r="C415" s="1" t="n">
        <v>46140</v>
      </c>
      <c r="D415" t="inlineStr">
        <is>
          <t>VÄSTMANLANDS LÄN</t>
        </is>
      </c>
      <c r="E415" t="inlineStr">
        <is>
          <t>SALA</t>
        </is>
      </c>
      <c r="G415" t="n">
        <v>6.6</v>
      </c>
      <c r="H415" t="n">
        <v>0</v>
      </c>
      <c r="I415" t="n">
        <v>0</v>
      </c>
      <c r="J415" t="n">
        <v>0</v>
      </c>
      <c r="K415" t="n">
        <v>0</v>
      </c>
      <c r="L415" t="n">
        <v>0</v>
      </c>
      <c r="M415" t="n">
        <v>0</v>
      </c>
      <c r="N415" t="n">
        <v>0</v>
      </c>
      <c r="O415" t="n">
        <v>0</v>
      </c>
      <c r="P415" t="n">
        <v>0</v>
      </c>
      <c r="Q415" t="n">
        <v>0</v>
      </c>
      <c r="R415" s="2" t="inlineStr"/>
    </row>
    <row r="416" ht="15" customHeight="1">
      <c r="A416" t="inlineStr">
        <is>
          <t>A 33527-2023</t>
        </is>
      </c>
      <c r="B416" s="1" t="n">
        <v>45131</v>
      </c>
      <c r="C416" s="1" t="n">
        <v>46140</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56614-2025</t>
        </is>
      </c>
      <c r="B417" s="1" t="n">
        <v>45975.59288194445</v>
      </c>
      <c r="C417" s="1" t="n">
        <v>46140</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56611-2025</t>
        </is>
      </c>
      <c r="B418" s="1" t="n">
        <v>45975</v>
      </c>
      <c r="C418" s="1" t="n">
        <v>46140</v>
      </c>
      <c r="D418" t="inlineStr">
        <is>
          <t>VÄSTMANLANDS LÄN</t>
        </is>
      </c>
      <c r="E418" t="inlineStr">
        <is>
          <t>SALA</t>
        </is>
      </c>
      <c r="G418" t="n">
        <v>2.8</v>
      </c>
      <c r="H418" t="n">
        <v>0</v>
      </c>
      <c r="I418" t="n">
        <v>0</v>
      </c>
      <c r="J418" t="n">
        <v>0</v>
      </c>
      <c r="K418" t="n">
        <v>0</v>
      </c>
      <c r="L418" t="n">
        <v>0</v>
      </c>
      <c r="M418" t="n">
        <v>0</v>
      </c>
      <c r="N418" t="n">
        <v>0</v>
      </c>
      <c r="O418" t="n">
        <v>0</v>
      </c>
      <c r="P418" t="n">
        <v>0</v>
      </c>
      <c r="Q418" t="n">
        <v>0</v>
      </c>
      <c r="R418" s="2" t="inlineStr"/>
    </row>
    <row r="419" ht="15" customHeight="1">
      <c r="A419" t="inlineStr">
        <is>
          <t>A 10913-2025</t>
        </is>
      </c>
      <c r="B419" s="1" t="n">
        <v>45722.73423611111</v>
      </c>
      <c r="C419" s="1" t="n">
        <v>46140</v>
      </c>
      <c r="D419" t="inlineStr">
        <is>
          <t>VÄSTMANLANDS LÄN</t>
        </is>
      </c>
      <c r="E419" t="inlineStr">
        <is>
          <t>SALA</t>
        </is>
      </c>
      <c r="G419" t="n">
        <v>7.6</v>
      </c>
      <c r="H419" t="n">
        <v>0</v>
      </c>
      <c r="I419" t="n">
        <v>0</v>
      </c>
      <c r="J419" t="n">
        <v>0</v>
      </c>
      <c r="K419" t="n">
        <v>0</v>
      </c>
      <c r="L419" t="n">
        <v>0</v>
      </c>
      <c r="M419" t="n">
        <v>0</v>
      </c>
      <c r="N419" t="n">
        <v>0</v>
      </c>
      <c r="O419" t="n">
        <v>0</v>
      </c>
      <c r="P419" t="n">
        <v>0</v>
      </c>
      <c r="Q419" t="n">
        <v>0</v>
      </c>
      <c r="R419" s="2" t="inlineStr"/>
    </row>
    <row r="420" ht="15" customHeight="1">
      <c r="A420" t="inlineStr">
        <is>
          <t>A 58107-2021</t>
        </is>
      </c>
      <c r="B420" s="1" t="n">
        <v>44487</v>
      </c>
      <c r="C420" s="1" t="n">
        <v>46140</v>
      </c>
      <c r="D420" t="inlineStr">
        <is>
          <t>VÄSTMANLANDS LÄN</t>
        </is>
      </c>
      <c r="E420" t="inlineStr">
        <is>
          <t>SALA</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57014-2025</t>
        </is>
      </c>
      <c r="B421" s="1" t="n">
        <v>45978</v>
      </c>
      <c r="C421" s="1" t="n">
        <v>46140</v>
      </c>
      <c r="D421" t="inlineStr">
        <is>
          <t>VÄSTMANLANDS LÄN</t>
        </is>
      </c>
      <c r="E421" t="inlineStr">
        <is>
          <t>SALA</t>
        </is>
      </c>
      <c r="G421" t="n">
        <v>2.2</v>
      </c>
      <c r="H421" t="n">
        <v>0</v>
      </c>
      <c r="I421" t="n">
        <v>0</v>
      </c>
      <c r="J421" t="n">
        <v>0</v>
      </c>
      <c r="K421" t="n">
        <v>0</v>
      </c>
      <c r="L421" t="n">
        <v>0</v>
      </c>
      <c r="M421" t="n">
        <v>0</v>
      </c>
      <c r="N421" t="n">
        <v>0</v>
      </c>
      <c r="O421" t="n">
        <v>0</v>
      </c>
      <c r="P421" t="n">
        <v>0</v>
      </c>
      <c r="Q421" t="n">
        <v>0</v>
      </c>
      <c r="R421" s="2" t="inlineStr"/>
    </row>
    <row r="422" ht="15" customHeight="1">
      <c r="A422" t="inlineStr">
        <is>
          <t>A 56502-2025</t>
        </is>
      </c>
      <c r="B422" s="1" t="n">
        <v>45975</v>
      </c>
      <c r="C422" s="1" t="n">
        <v>46140</v>
      </c>
      <c r="D422" t="inlineStr">
        <is>
          <t>VÄSTMANLANDS LÄN</t>
        </is>
      </c>
      <c r="E422" t="inlineStr">
        <is>
          <t>SALA</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2927-2024</t>
        </is>
      </c>
      <c r="B423" s="1" t="n">
        <v>45315.58989583333</v>
      </c>
      <c r="C423" s="1" t="n">
        <v>46140</v>
      </c>
      <c r="D423" t="inlineStr">
        <is>
          <t>VÄSTMANLANDS LÄN</t>
        </is>
      </c>
      <c r="E423" t="inlineStr">
        <is>
          <t>SALA</t>
        </is>
      </c>
      <c r="G423" t="n">
        <v>2.5</v>
      </c>
      <c r="H423" t="n">
        <v>0</v>
      </c>
      <c r="I423" t="n">
        <v>0</v>
      </c>
      <c r="J423" t="n">
        <v>0</v>
      </c>
      <c r="K423" t="n">
        <v>0</v>
      </c>
      <c r="L423" t="n">
        <v>0</v>
      </c>
      <c r="M423" t="n">
        <v>0</v>
      </c>
      <c r="N423" t="n">
        <v>0</v>
      </c>
      <c r="O423" t="n">
        <v>0</v>
      </c>
      <c r="P423" t="n">
        <v>0</v>
      </c>
      <c r="Q423" t="n">
        <v>0</v>
      </c>
      <c r="R423" s="2" t="inlineStr"/>
    </row>
    <row r="424" ht="15" customHeight="1">
      <c r="A424" t="inlineStr">
        <is>
          <t>A 56593-2025</t>
        </is>
      </c>
      <c r="B424" s="1" t="n">
        <v>45975</v>
      </c>
      <c r="C424" s="1" t="n">
        <v>46140</v>
      </c>
      <c r="D424" t="inlineStr">
        <is>
          <t>VÄSTMANLANDS LÄN</t>
        </is>
      </c>
      <c r="E424" t="inlineStr">
        <is>
          <t>SALA</t>
        </is>
      </c>
      <c r="F424" t="inlineStr">
        <is>
          <t>Kyrkan</t>
        </is>
      </c>
      <c r="G424" t="n">
        <v>0.1</v>
      </c>
      <c r="H424" t="n">
        <v>0</v>
      </c>
      <c r="I424" t="n">
        <v>0</v>
      </c>
      <c r="J424" t="n">
        <v>0</v>
      </c>
      <c r="K424" t="n">
        <v>0</v>
      </c>
      <c r="L424" t="n">
        <v>0</v>
      </c>
      <c r="M424" t="n">
        <v>0</v>
      </c>
      <c r="N424" t="n">
        <v>0</v>
      </c>
      <c r="O424" t="n">
        <v>0</v>
      </c>
      <c r="P424" t="n">
        <v>0</v>
      </c>
      <c r="Q424" t="n">
        <v>0</v>
      </c>
      <c r="R424" s="2" t="inlineStr"/>
    </row>
    <row r="425" ht="15" customHeight="1">
      <c r="A425" t="inlineStr">
        <is>
          <t>A 56645-2025</t>
        </is>
      </c>
      <c r="B425" s="1" t="n">
        <v>45975.63063657407</v>
      </c>
      <c r="C425" s="1" t="n">
        <v>46140</v>
      </c>
      <c r="D425" t="inlineStr">
        <is>
          <t>VÄSTMANLANDS LÄN</t>
        </is>
      </c>
      <c r="E425" t="inlineStr">
        <is>
          <t>SALA</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37183-2024</t>
        </is>
      </c>
      <c r="B426" s="1" t="n">
        <v>45539</v>
      </c>
      <c r="C426" s="1" t="n">
        <v>46140</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54199-2024</t>
        </is>
      </c>
      <c r="B427" s="1" t="n">
        <v>45616.64703703704</v>
      </c>
      <c r="C427" s="1" t="n">
        <v>46140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57412-2025</t>
        </is>
      </c>
      <c r="B428" s="1" t="n">
        <v>45980.44883101852</v>
      </c>
      <c r="C428" s="1" t="n">
        <v>46140</v>
      </c>
      <c r="D428" t="inlineStr">
        <is>
          <t>VÄSTMANLANDS LÄN</t>
        </is>
      </c>
      <c r="E428" t="inlineStr">
        <is>
          <t>SALA</t>
        </is>
      </c>
      <c r="F428" t="inlineStr">
        <is>
          <t>Bergvik skog öst AB</t>
        </is>
      </c>
      <c r="G428" t="n">
        <v>4.5</v>
      </c>
      <c r="H428" t="n">
        <v>0</v>
      </c>
      <c r="I428" t="n">
        <v>0</v>
      </c>
      <c r="J428" t="n">
        <v>0</v>
      </c>
      <c r="K428" t="n">
        <v>0</v>
      </c>
      <c r="L428" t="n">
        <v>0</v>
      </c>
      <c r="M428" t="n">
        <v>0</v>
      </c>
      <c r="N428" t="n">
        <v>0</v>
      </c>
      <c r="O428" t="n">
        <v>0</v>
      </c>
      <c r="P428" t="n">
        <v>0</v>
      </c>
      <c r="Q428" t="n">
        <v>0</v>
      </c>
      <c r="R428" s="2" t="inlineStr"/>
    </row>
    <row r="429" ht="15" customHeight="1">
      <c r="A429" t="inlineStr">
        <is>
          <t>A 60548-2024</t>
        </is>
      </c>
      <c r="B429" s="1" t="n">
        <v>45643.80978009259</v>
      </c>
      <c r="C429" s="1" t="n">
        <v>46140</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57414-2025</t>
        </is>
      </c>
      <c r="B430" s="1" t="n">
        <v>45980.45003472222</v>
      </c>
      <c r="C430" s="1" t="n">
        <v>46140</v>
      </c>
      <c r="D430" t="inlineStr">
        <is>
          <t>VÄSTMANLANDS LÄN</t>
        </is>
      </c>
      <c r="E430" t="inlineStr">
        <is>
          <t>SALA</t>
        </is>
      </c>
      <c r="F430" t="inlineStr">
        <is>
          <t>Bergvik skog öst AB</t>
        </is>
      </c>
      <c r="G430" t="n">
        <v>2</v>
      </c>
      <c r="H430" t="n">
        <v>0</v>
      </c>
      <c r="I430" t="n">
        <v>0</v>
      </c>
      <c r="J430" t="n">
        <v>0</v>
      </c>
      <c r="K430" t="n">
        <v>0</v>
      </c>
      <c r="L430" t="n">
        <v>0</v>
      </c>
      <c r="M430" t="n">
        <v>0</v>
      </c>
      <c r="N430" t="n">
        <v>0</v>
      </c>
      <c r="O430" t="n">
        <v>0</v>
      </c>
      <c r="P430" t="n">
        <v>0</v>
      </c>
      <c r="Q430" t="n">
        <v>0</v>
      </c>
      <c r="R430" s="2" t="inlineStr"/>
    </row>
    <row r="431" ht="15" customHeight="1">
      <c r="A431" t="inlineStr">
        <is>
          <t>A 57415-2025</t>
        </is>
      </c>
      <c r="B431" s="1" t="n">
        <v>45980.45099537037</v>
      </c>
      <c r="C431" s="1" t="n">
        <v>46140</v>
      </c>
      <c r="D431" t="inlineStr">
        <is>
          <t>VÄSTMANLANDS LÄN</t>
        </is>
      </c>
      <c r="E431" t="inlineStr">
        <is>
          <t>SALA</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58357-2025</t>
        </is>
      </c>
      <c r="B432" s="1" t="n">
        <v>45985.51518518518</v>
      </c>
      <c r="C432" s="1" t="n">
        <v>46140</v>
      </c>
      <c r="D432" t="inlineStr">
        <is>
          <t>VÄSTMANLANDS LÄN</t>
        </is>
      </c>
      <c r="E432" t="inlineStr">
        <is>
          <t>SALA</t>
        </is>
      </c>
      <c r="G432" t="n">
        <v>3</v>
      </c>
      <c r="H432" t="n">
        <v>0</v>
      </c>
      <c r="I432" t="n">
        <v>0</v>
      </c>
      <c r="J432" t="n">
        <v>0</v>
      </c>
      <c r="K432" t="n">
        <v>0</v>
      </c>
      <c r="L432" t="n">
        <v>0</v>
      </c>
      <c r="M432" t="n">
        <v>0</v>
      </c>
      <c r="N432" t="n">
        <v>0</v>
      </c>
      <c r="O432" t="n">
        <v>0</v>
      </c>
      <c r="P432" t="n">
        <v>0</v>
      </c>
      <c r="Q432" t="n">
        <v>0</v>
      </c>
      <c r="R432" s="2" t="inlineStr"/>
    </row>
    <row r="433" ht="15" customHeight="1">
      <c r="A433" t="inlineStr">
        <is>
          <t>A 55760-2025</t>
        </is>
      </c>
      <c r="B433" s="1" t="n">
        <v>45972</v>
      </c>
      <c r="C433" s="1" t="n">
        <v>46140</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58365-2025</t>
        </is>
      </c>
      <c r="B434" s="1" t="n">
        <v>45985.52288194445</v>
      </c>
      <c r="C434" s="1" t="n">
        <v>46140</v>
      </c>
      <c r="D434" t="inlineStr">
        <is>
          <t>VÄSTMANLANDS LÄN</t>
        </is>
      </c>
      <c r="E434" t="inlineStr">
        <is>
          <t>SALA</t>
        </is>
      </c>
      <c r="G434" t="n">
        <v>3.9</v>
      </c>
      <c r="H434" t="n">
        <v>0</v>
      </c>
      <c r="I434" t="n">
        <v>0</v>
      </c>
      <c r="J434" t="n">
        <v>0</v>
      </c>
      <c r="K434" t="n">
        <v>0</v>
      </c>
      <c r="L434" t="n">
        <v>0</v>
      </c>
      <c r="M434" t="n">
        <v>0</v>
      </c>
      <c r="N434" t="n">
        <v>0</v>
      </c>
      <c r="O434" t="n">
        <v>0</v>
      </c>
      <c r="P434" t="n">
        <v>0</v>
      </c>
      <c r="Q434" t="n">
        <v>0</v>
      </c>
      <c r="R434" s="2" t="inlineStr"/>
    </row>
    <row r="435" ht="15" customHeight="1">
      <c r="A435" t="inlineStr">
        <is>
          <t>A 58282-2025</t>
        </is>
      </c>
      <c r="B435" s="1" t="n">
        <v>45985.44309027777</v>
      </c>
      <c r="C435" s="1" t="n">
        <v>46140</v>
      </c>
      <c r="D435" t="inlineStr">
        <is>
          <t>VÄSTMANLANDS LÄN</t>
        </is>
      </c>
      <c r="E435" t="inlineStr">
        <is>
          <t>SALA</t>
        </is>
      </c>
      <c r="G435" t="n">
        <v>8.9</v>
      </c>
      <c r="H435" t="n">
        <v>0</v>
      </c>
      <c r="I435" t="n">
        <v>0</v>
      </c>
      <c r="J435" t="n">
        <v>0</v>
      </c>
      <c r="K435" t="n">
        <v>0</v>
      </c>
      <c r="L435" t="n">
        <v>0</v>
      </c>
      <c r="M435" t="n">
        <v>0</v>
      </c>
      <c r="N435" t="n">
        <v>0</v>
      </c>
      <c r="O435" t="n">
        <v>0</v>
      </c>
      <c r="P435" t="n">
        <v>0</v>
      </c>
      <c r="Q435" t="n">
        <v>0</v>
      </c>
      <c r="R435" s="2" t="inlineStr"/>
    </row>
    <row r="436" ht="15" customHeight="1">
      <c r="A436" t="inlineStr">
        <is>
          <t>A 57895-2024</t>
        </is>
      </c>
      <c r="B436" s="1" t="n">
        <v>45631</v>
      </c>
      <c r="C436" s="1" t="n">
        <v>46140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58359-2025</t>
        </is>
      </c>
      <c r="B437" s="1" t="n">
        <v>45985.51594907408</v>
      </c>
      <c r="C437" s="1" t="n">
        <v>46140</v>
      </c>
      <c r="D437" t="inlineStr">
        <is>
          <t>VÄSTMANLANDS LÄN</t>
        </is>
      </c>
      <c r="E437" t="inlineStr">
        <is>
          <t>SALA</t>
        </is>
      </c>
      <c r="G437" t="n">
        <v>3.7</v>
      </c>
      <c r="H437" t="n">
        <v>0</v>
      </c>
      <c r="I437" t="n">
        <v>0</v>
      </c>
      <c r="J437" t="n">
        <v>0</v>
      </c>
      <c r="K437" t="n">
        <v>0</v>
      </c>
      <c r="L437" t="n">
        <v>0</v>
      </c>
      <c r="M437" t="n">
        <v>0</v>
      </c>
      <c r="N437" t="n">
        <v>0</v>
      </c>
      <c r="O437" t="n">
        <v>0</v>
      </c>
      <c r="P437" t="n">
        <v>0</v>
      </c>
      <c r="Q437" t="n">
        <v>0</v>
      </c>
      <c r="R437" s="2" t="inlineStr"/>
    </row>
    <row r="438" ht="15" customHeight="1">
      <c r="A438" t="inlineStr">
        <is>
          <t>A 58364-2025</t>
        </is>
      </c>
      <c r="B438" s="1" t="n">
        <v>45985.5228125</v>
      </c>
      <c r="C438" s="1" t="n">
        <v>46140</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31597-2024</t>
        </is>
      </c>
      <c r="B439" s="1" t="n">
        <v>45506</v>
      </c>
      <c r="C439" s="1" t="n">
        <v>46140</v>
      </c>
      <c r="D439" t="inlineStr">
        <is>
          <t>VÄSTMANLANDS LÄN</t>
        </is>
      </c>
      <c r="E439" t="inlineStr">
        <is>
          <t>SALA</t>
        </is>
      </c>
      <c r="G439" t="n">
        <v>2.4</v>
      </c>
      <c r="H439" t="n">
        <v>0</v>
      </c>
      <c r="I439" t="n">
        <v>0</v>
      </c>
      <c r="J439" t="n">
        <v>0</v>
      </c>
      <c r="K439" t="n">
        <v>0</v>
      </c>
      <c r="L439" t="n">
        <v>0</v>
      </c>
      <c r="M439" t="n">
        <v>0</v>
      </c>
      <c r="N439" t="n">
        <v>0</v>
      </c>
      <c r="O439" t="n">
        <v>0</v>
      </c>
      <c r="P439" t="n">
        <v>0</v>
      </c>
      <c r="Q439" t="n">
        <v>0</v>
      </c>
      <c r="R439" s="2" t="inlineStr"/>
    </row>
    <row r="440" ht="15" customHeight="1">
      <c r="A440" t="inlineStr">
        <is>
          <t>A 17458-2024</t>
        </is>
      </c>
      <c r="B440" s="1" t="n">
        <v>45415</v>
      </c>
      <c r="C440" s="1" t="n">
        <v>46140</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56543-2024</t>
        </is>
      </c>
      <c r="B441" s="1" t="n">
        <v>45625</v>
      </c>
      <c r="C441" s="1" t="n">
        <v>46140</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51247-2025</t>
        </is>
      </c>
      <c r="B442" s="1" t="n">
        <v>45947.86487268518</v>
      </c>
      <c r="C442" s="1" t="n">
        <v>46140</v>
      </c>
      <c r="D442" t="inlineStr">
        <is>
          <t>VÄSTMANLANDS LÄN</t>
        </is>
      </c>
      <c r="E442" t="inlineStr">
        <is>
          <t>SALA</t>
        </is>
      </c>
      <c r="G442" t="n">
        <v>10.4</v>
      </c>
      <c r="H442" t="n">
        <v>0</v>
      </c>
      <c r="I442" t="n">
        <v>0</v>
      </c>
      <c r="J442" t="n">
        <v>0</v>
      </c>
      <c r="K442" t="n">
        <v>0</v>
      </c>
      <c r="L442" t="n">
        <v>0</v>
      </c>
      <c r="M442" t="n">
        <v>0</v>
      </c>
      <c r="N442" t="n">
        <v>0</v>
      </c>
      <c r="O442" t="n">
        <v>0</v>
      </c>
      <c r="P442" t="n">
        <v>0</v>
      </c>
      <c r="Q442" t="n">
        <v>0</v>
      </c>
      <c r="R442" s="2" t="inlineStr"/>
    </row>
    <row r="443" ht="15" customHeight="1">
      <c r="A443" t="inlineStr">
        <is>
          <t>A 28661-2024</t>
        </is>
      </c>
      <c r="B443" s="1" t="n">
        <v>45478</v>
      </c>
      <c r="C443" s="1" t="n">
        <v>46140</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2529-2022</t>
        </is>
      </c>
      <c r="B444" s="1" t="n">
        <v>44579.86452546297</v>
      </c>
      <c r="C444" s="1" t="n">
        <v>46140</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56540-2024</t>
        </is>
      </c>
      <c r="B445" s="1" t="n">
        <v>45625</v>
      </c>
      <c r="C445" s="1" t="n">
        <v>46140</v>
      </c>
      <c r="D445" t="inlineStr">
        <is>
          <t>VÄSTMANLANDS LÄN</t>
        </is>
      </c>
      <c r="E445" t="inlineStr">
        <is>
          <t>SALA</t>
        </is>
      </c>
      <c r="G445" t="n">
        <v>1.8</v>
      </c>
      <c r="H445" t="n">
        <v>0</v>
      </c>
      <c r="I445" t="n">
        <v>0</v>
      </c>
      <c r="J445" t="n">
        <v>0</v>
      </c>
      <c r="K445" t="n">
        <v>0</v>
      </c>
      <c r="L445" t="n">
        <v>0</v>
      </c>
      <c r="M445" t="n">
        <v>0</v>
      </c>
      <c r="N445" t="n">
        <v>0</v>
      </c>
      <c r="O445" t="n">
        <v>0</v>
      </c>
      <c r="P445" t="n">
        <v>0</v>
      </c>
      <c r="Q445" t="n">
        <v>0</v>
      </c>
      <c r="R445" s="2" t="inlineStr"/>
    </row>
    <row r="446" ht="15" customHeight="1">
      <c r="A446" t="inlineStr">
        <is>
          <t>A 31599-2024</t>
        </is>
      </c>
      <c r="B446" s="1" t="n">
        <v>45506</v>
      </c>
      <c r="C446" s="1" t="n">
        <v>46140</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31601-2024</t>
        </is>
      </c>
      <c r="B447" s="1" t="n">
        <v>45506</v>
      </c>
      <c r="C447" s="1" t="n">
        <v>46140</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31608-2024</t>
        </is>
      </c>
      <c r="B448" s="1" t="n">
        <v>45506</v>
      </c>
      <c r="C448" s="1" t="n">
        <v>46140</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31612-2024</t>
        </is>
      </c>
      <c r="B449" s="1" t="n">
        <v>45506</v>
      </c>
      <c r="C449" s="1" t="n">
        <v>46140</v>
      </c>
      <c r="D449" t="inlineStr">
        <is>
          <t>VÄSTMANLANDS LÄN</t>
        </is>
      </c>
      <c r="E449" t="inlineStr">
        <is>
          <t>SALA</t>
        </is>
      </c>
      <c r="G449" t="n">
        <v>3.2</v>
      </c>
      <c r="H449" t="n">
        <v>0</v>
      </c>
      <c r="I449" t="n">
        <v>0</v>
      </c>
      <c r="J449" t="n">
        <v>0</v>
      </c>
      <c r="K449" t="n">
        <v>0</v>
      </c>
      <c r="L449" t="n">
        <v>0</v>
      </c>
      <c r="M449" t="n">
        <v>0</v>
      </c>
      <c r="N449" t="n">
        <v>0</v>
      </c>
      <c r="O449" t="n">
        <v>0</v>
      </c>
      <c r="P449" t="n">
        <v>0</v>
      </c>
      <c r="Q449" t="n">
        <v>0</v>
      </c>
      <c r="R449" s="2" t="inlineStr"/>
    </row>
    <row r="450" ht="15" customHeight="1">
      <c r="A450" t="inlineStr">
        <is>
          <t>A 10579-2022</t>
        </is>
      </c>
      <c r="B450" s="1" t="n">
        <v>44624</v>
      </c>
      <c r="C450" s="1" t="n">
        <v>46140</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64693-2023</t>
        </is>
      </c>
      <c r="B451" s="1" t="n">
        <v>45281.63850694444</v>
      </c>
      <c r="C451" s="1" t="n">
        <v>46140</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64695-2023</t>
        </is>
      </c>
      <c r="B452" s="1" t="n">
        <v>45281.64099537037</v>
      </c>
      <c r="C452" s="1" t="n">
        <v>46140</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59817-2025</t>
        </is>
      </c>
      <c r="B453" s="1" t="n">
        <v>45992.63711805556</v>
      </c>
      <c r="C453" s="1" t="n">
        <v>46140</v>
      </c>
      <c r="D453" t="inlineStr">
        <is>
          <t>VÄSTMANLANDS LÄN</t>
        </is>
      </c>
      <c r="E453" t="inlineStr">
        <is>
          <t>SALA</t>
        </is>
      </c>
      <c r="G453" t="n">
        <v>6.9</v>
      </c>
      <c r="H453" t="n">
        <v>0</v>
      </c>
      <c r="I453" t="n">
        <v>0</v>
      </c>
      <c r="J453" t="n">
        <v>0</v>
      </c>
      <c r="K453" t="n">
        <v>0</v>
      </c>
      <c r="L453" t="n">
        <v>0</v>
      </c>
      <c r="M453" t="n">
        <v>0</v>
      </c>
      <c r="N453" t="n">
        <v>0</v>
      </c>
      <c r="O453" t="n">
        <v>0</v>
      </c>
      <c r="P453" t="n">
        <v>0</v>
      </c>
      <c r="Q453" t="n">
        <v>0</v>
      </c>
      <c r="R453" s="2" t="inlineStr"/>
    </row>
    <row r="454" ht="15" customHeight="1">
      <c r="A454" t="inlineStr">
        <is>
          <t>A 59390-2025</t>
        </is>
      </c>
      <c r="B454" s="1" t="n">
        <v>45989.4640162037</v>
      </c>
      <c r="C454" s="1" t="n">
        <v>46140</v>
      </c>
      <c r="D454" t="inlineStr">
        <is>
          <t>VÄSTMANLANDS LÄN</t>
        </is>
      </c>
      <c r="E454" t="inlineStr">
        <is>
          <t>SALA</t>
        </is>
      </c>
      <c r="G454" t="n">
        <v>1.8</v>
      </c>
      <c r="H454" t="n">
        <v>0</v>
      </c>
      <c r="I454" t="n">
        <v>0</v>
      </c>
      <c r="J454" t="n">
        <v>0</v>
      </c>
      <c r="K454" t="n">
        <v>0</v>
      </c>
      <c r="L454" t="n">
        <v>0</v>
      </c>
      <c r="M454" t="n">
        <v>0</v>
      </c>
      <c r="N454" t="n">
        <v>0</v>
      </c>
      <c r="O454" t="n">
        <v>0</v>
      </c>
      <c r="P454" t="n">
        <v>0</v>
      </c>
      <c r="Q454" t="n">
        <v>0</v>
      </c>
      <c r="R454" s="2" t="inlineStr"/>
    </row>
    <row r="455" ht="15" customHeight="1">
      <c r="A455" t="inlineStr">
        <is>
          <t>A 59385-2025</t>
        </is>
      </c>
      <c r="B455" s="1" t="n">
        <v>45989.45746527778</v>
      </c>
      <c r="C455" s="1" t="n">
        <v>46140</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60017-2025</t>
        </is>
      </c>
      <c r="B456" s="1" t="n">
        <v>45993.59998842593</v>
      </c>
      <c r="C456" s="1" t="n">
        <v>46140</v>
      </c>
      <c r="D456" t="inlineStr">
        <is>
          <t>VÄSTMANLANDS LÄN</t>
        </is>
      </c>
      <c r="E456" t="inlineStr">
        <is>
          <t>SALA</t>
        </is>
      </c>
      <c r="G456" t="n">
        <v>4.4</v>
      </c>
      <c r="H456" t="n">
        <v>0</v>
      </c>
      <c r="I456" t="n">
        <v>0</v>
      </c>
      <c r="J456" t="n">
        <v>0</v>
      </c>
      <c r="K456" t="n">
        <v>0</v>
      </c>
      <c r="L456" t="n">
        <v>0</v>
      </c>
      <c r="M456" t="n">
        <v>0</v>
      </c>
      <c r="N456" t="n">
        <v>0</v>
      </c>
      <c r="O456" t="n">
        <v>0</v>
      </c>
      <c r="P456" t="n">
        <v>0</v>
      </c>
      <c r="Q456" t="n">
        <v>0</v>
      </c>
      <c r="R456" s="2" t="inlineStr"/>
    </row>
    <row r="457" ht="15" customHeight="1">
      <c r="A457" t="inlineStr">
        <is>
          <t>A 60258-2025</t>
        </is>
      </c>
      <c r="B457" s="1" t="n">
        <v>45994.6064699074</v>
      </c>
      <c r="C457" s="1" t="n">
        <v>46140</v>
      </c>
      <c r="D457" t="inlineStr">
        <is>
          <t>VÄSTMANLANDS LÄN</t>
        </is>
      </c>
      <c r="E457" t="inlineStr">
        <is>
          <t>SALA</t>
        </is>
      </c>
      <c r="G457" t="n">
        <v>2.2</v>
      </c>
      <c r="H457" t="n">
        <v>0</v>
      </c>
      <c r="I457" t="n">
        <v>0</v>
      </c>
      <c r="J457" t="n">
        <v>0</v>
      </c>
      <c r="K457" t="n">
        <v>0</v>
      </c>
      <c r="L457" t="n">
        <v>0</v>
      </c>
      <c r="M457" t="n">
        <v>0</v>
      </c>
      <c r="N457" t="n">
        <v>0</v>
      </c>
      <c r="O457" t="n">
        <v>0</v>
      </c>
      <c r="P457" t="n">
        <v>0</v>
      </c>
      <c r="Q457" t="n">
        <v>0</v>
      </c>
      <c r="R457" s="2" t="inlineStr"/>
    </row>
    <row r="458" ht="15" customHeight="1">
      <c r="A458" t="inlineStr">
        <is>
          <t>A 60241-2025</t>
        </is>
      </c>
      <c r="B458" s="1" t="n">
        <v>45994.58454861111</v>
      </c>
      <c r="C458" s="1" t="n">
        <v>46140</v>
      </c>
      <c r="D458" t="inlineStr">
        <is>
          <t>VÄSTMANLANDS LÄN</t>
        </is>
      </c>
      <c r="E458" t="inlineStr">
        <is>
          <t>SALA</t>
        </is>
      </c>
      <c r="G458" t="n">
        <v>1.6</v>
      </c>
      <c r="H458" t="n">
        <v>0</v>
      </c>
      <c r="I458" t="n">
        <v>0</v>
      </c>
      <c r="J458" t="n">
        <v>0</v>
      </c>
      <c r="K458" t="n">
        <v>0</v>
      </c>
      <c r="L458" t="n">
        <v>0</v>
      </c>
      <c r="M458" t="n">
        <v>0</v>
      </c>
      <c r="N458" t="n">
        <v>0</v>
      </c>
      <c r="O458" t="n">
        <v>0</v>
      </c>
      <c r="P458" t="n">
        <v>0</v>
      </c>
      <c r="Q458" t="n">
        <v>0</v>
      </c>
      <c r="R458" s="2" t="inlineStr"/>
    </row>
    <row r="459" ht="15" customHeight="1">
      <c r="A459" t="inlineStr">
        <is>
          <t>A 59870-2025</t>
        </is>
      </c>
      <c r="B459" s="1" t="n">
        <v>45992.92226851852</v>
      </c>
      <c r="C459" s="1" t="n">
        <v>46140</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60259-2025</t>
        </is>
      </c>
      <c r="B460" s="1" t="n">
        <v>45994.60913194445</v>
      </c>
      <c r="C460" s="1" t="n">
        <v>46140</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60246-2025</t>
        </is>
      </c>
      <c r="B461" s="1" t="n">
        <v>45994.58931712963</v>
      </c>
      <c r="C461" s="1" t="n">
        <v>46140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60254-2025</t>
        </is>
      </c>
      <c r="B462" s="1" t="n">
        <v>45994.60146990741</v>
      </c>
      <c r="C462" s="1" t="n">
        <v>46140</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59926-2025</t>
        </is>
      </c>
      <c r="B463" s="1" t="n">
        <v>45993.39221064815</v>
      </c>
      <c r="C463" s="1" t="n">
        <v>46140</v>
      </c>
      <c r="D463" t="inlineStr">
        <is>
          <t>VÄSTMANLANDS LÄN</t>
        </is>
      </c>
      <c r="E463" t="inlineStr">
        <is>
          <t>SALA</t>
        </is>
      </c>
      <c r="G463" t="n">
        <v>7.1</v>
      </c>
      <c r="H463" t="n">
        <v>0</v>
      </c>
      <c r="I463" t="n">
        <v>0</v>
      </c>
      <c r="J463" t="n">
        <v>0</v>
      </c>
      <c r="K463" t="n">
        <v>0</v>
      </c>
      <c r="L463" t="n">
        <v>0</v>
      </c>
      <c r="M463" t="n">
        <v>0</v>
      </c>
      <c r="N463" t="n">
        <v>0</v>
      </c>
      <c r="O463" t="n">
        <v>0</v>
      </c>
      <c r="P463" t="n">
        <v>0</v>
      </c>
      <c r="Q463" t="n">
        <v>0</v>
      </c>
      <c r="R463" s="2" t="inlineStr"/>
    </row>
    <row r="464" ht="15" customHeight="1">
      <c r="A464" t="inlineStr">
        <is>
          <t>A 55784-2024</t>
        </is>
      </c>
      <c r="B464" s="1" t="n">
        <v>45623</v>
      </c>
      <c r="C464" s="1" t="n">
        <v>46140</v>
      </c>
      <c r="D464" t="inlineStr">
        <is>
          <t>VÄSTMANLANDS LÄN</t>
        </is>
      </c>
      <c r="E464" t="inlineStr">
        <is>
          <t>SALA</t>
        </is>
      </c>
      <c r="F464" t="inlineStr">
        <is>
          <t>Bergvik skog öst AB</t>
        </is>
      </c>
      <c r="G464" t="n">
        <v>28.4</v>
      </c>
      <c r="H464" t="n">
        <v>0</v>
      </c>
      <c r="I464" t="n">
        <v>0</v>
      </c>
      <c r="J464" t="n">
        <v>0</v>
      </c>
      <c r="K464" t="n">
        <v>0</v>
      </c>
      <c r="L464" t="n">
        <v>0</v>
      </c>
      <c r="M464" t="n">
        <v>0</v>
      </c>
      <c r="N464" t="n">
        <v>0</v>
      </c>
      <c r="O464" t="n">
        <v>0</v>
      </c>
      <c r="P464" t="n">
        <v>0</v>
      </c>
      <c r="Q464" t="n">
        <v>0</v>
      </c>
      <c r="R464" s="2" t="inlineStr"/>
    </row>
    <row r="465" ht="15" customHeight="1">
      <c r="A465" t="inlineStr">
        <is>
          <t>A 60629-2025</t>
        </is>
      </c>
      <c r="B465" s="1" t="n">
        <v>45996.41972222222</v>
      </c>
      <c r="C465" s="1" t="n">
        <v>46140</v>
      </c>
      <c r="D465" t="inlineStr">
        <is>
          <t>VÄSTMANLANDS LÄN</t>
        </is>
      </c>
      <c r="E465" t="inlineStr">
        <is>
          <t>SALA</t>
        </is>
      </c>
      <c r="G465" t="n">
        <v>4.3</v>
      </c>
      <c r="H465" t="n">
        <v>0</v>
      </c>
      <c r="I465" t="n">
        <v>0</v>
      </c>
      <c r="J465" t="n">
        <v>0</v>
      </c>
      <c r="K465" t="n">
        <v>0</v>
      </c>
      <c r="L465" t="n">
        <v>0</v>
      </c>
      <c r="M465" t="n">
        <v>0</v>
      </c>
      <c r="N465" t="n">
        <v>0</v>
      </c>
      <c r="O465" t="n">
        <v>0</v>
      </c>
      <c r="P465" t="n">
        <v>0</v>
      </c>
      <c r="Q465" t="n">
        <v>0</v>
      </c>
      <c r="R465" s="2" t="inlineStr"/>
    </row>
    <row r="466" ht="15" customHeight="1">
      <c r="A466" t="inlineStr">
        <is>
          <t>A 29542-2023</t>
        </is>
      </c>
      <c r="B466" s="1" t="n">
        <v>45098</v>
      </c>
      <c r="C466" s="1" t="n">
        <v>46140</v>
      </c>
      <c r="D466" t="inlineStr">
        <is>
          <t>VÄSTMANLANDS LÄN</t>
        </is>
      </c>
      <c r="E466" t="inlineStr">
        <is>
          <t>SALA</t>
        </is>
      </c>
      <c r="G466" t="n">
        <v>4.8</v>
      </c>
      <c r="H466" t="n">
        <v>0</v>
      </c>
      <c r="I466" t="n">
        <v>0</v>
      </c>
      <c r="J466" t="n">
        <v>0</v>
      </c>
      <c r="K466" t="n">
        <v>0</v>
      </c>
      <c r="L466" t="n">
        <v>0</v>
      </c>
      <c r="M466" t="n">
        <v>0</v>
      </c>
      <c r="N466" t="n">
        <v>0</v>
      </c>
      <c r="O466" t="n">
        <v>0</v>
      </c>
      <c r="P466" t="n">
        <v>0</v>
      </c>
      <c r="Q466" t="n">
        <v>0</v>
      </c>
      <c r="R466" s="2" t="inlineStr"/>
    </row>
    <row r="467" ht="15" customHeight="1">
      <c r="A467" t="inlineStr">
        <is>
          <t>A 27038-2023</t>
        </is>
      </c>
      <c r="B467" s="1" t="n">
        <v>45095</v>
      </c>
      <c r="C467" s="1" t="n">
        <v>46140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17051-2025</t>
        </is>
      </c>
      <c r="B468" s="1" t="n">
        <v>45755</v>
      </c>
      <c r="C468" s="1" t="n">
        <v>46140</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8285-2025</t>
        </is>
      </c>
      <c r="B469" s="1" t="n">
        <v>45708</v>
      </c>
      <c r="C469" s="1" t="n">
        <v>46140</v>
      </c>
      <c r="D469" t="inlineStr">
        <is>
          <t>VÄSTMANLANDS LÄN</t>
        </is>
      </c>
      <c r="E469" t="inlineStr">
        <is>
          <t>SALA</t>
        </is>
      </c>
      <c r="G469" t="n">
        <v>5.7</v>
      </c>
      <c r="H469" t="n">
        <v>0</v>
      </c>
      <c r="I469" t="n">
        <v>0</v>
      </c>
      <c r="J469" t="n">
        <v>0</v>
      </c>
      <c r="K469" t="n">
        <v>0</v>
      </c>
      <c r="L469" t="n">
        <v>0</v>
      </c>
      <c r="M469" t="n">
        <v>0</v>
      </c>
      <c r="N469" t="n">
        <v>0</v>
      </c>
      <c r="O469" t="n">
        <v>0</v>
      </c>
      <c r="P469" t="n">
        <v>0</v>
      </c>
      <c r="Q469" t="n">
        <v>0</v>
      </c>
      <c r="R469" s="2" t="inlineStr"/>
    </row>
    <row r="470" ht="15" customHeight="1">
      <c r="A470" t="inlineStr">
        <is>
          <t>A 61522-2025</t>
        </is>
      </c>
      <c r="B470" s="1" t="n">
        <v>46001.68684027778</v>
      </c>
      <c r="C470" s="1" t="n">
        <v>46140</v>
      </c>
      <c r="D470" t="inlineStr">
        <is>
          <t>VÄSTMANLANDS LÄN</t>
        </is>
      </c>
      <c r="E470" t="inlineStr">
        <is>
          <t>SALA</t>
        </is>
      </c>
      <c r="G470" t="n">
        <v>5.7</v>
      </c>
      <c r="H470" t="n">
        <v>0</v>
      </c>
      <c r="I470" t="n">
        <v>0</v>
      </c>
      <c r="J470" t="n">
        <v>0</v>
      </c>
      <c r="K470" t="n">
        <v>0</v>
      </c>
      <c r="L470" t="n">
        <v>0</v>
      </c>
      <c r="M470" t="n">
        <v>0</v>
      </c>
      <c r="N470" t="n">
        <v>0</v>
      </c>
      <c r="O470" t="n">
        <v>0</v>
      </c>
      <c r="P470" t="n">
        <v>0</v>
      </c>
      <c r="Q470" t="n">
        <v>0</v>
      </c>
      <c r="R470" s="2" t="inlineStr"/>
    </row>
    <row r="471" ht="15" customHeight="1">
      <c r="A471" t="inlineStr">
        <is>
          <t>A 22019-2021</t>
        </is>
      </c>
      <c r="B471" s="1" t="n">
        <v>44323</v>
      </c>
      <c r="C471" s="1" t="n">
        <v>46140</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57404-2024</t>
        </is>
      </c>
      <c r="B472" s="1" t="n">
        <v>45629.71967592592</v>
      </c>
      <c r="C472" s="1" t="n">
        <v>46140</v>
      </c>
      <c r="D472" t="inlineStr">
        <is>
          <t>VÄSTMANLANDS LÄN</t>
        </is>
      </c>
      <c r="E472" t="inlineStr">
        <is>
          <t>SALA</t>
        </is>
      </c>
      <c r="G472" t="n">
        <v>0.3</v>
      </c>
      <c r="H472" t="n">
        <v>0</v>
      </c>
      <c r="I472" t="n">
        <v>0</v>
      </c>
      <c r="J472" t="n">
        <v>0</v>
      </c>
      <c r="K472" t="n">
        <v>0</v>
      </c>
      <c r="L472" t="n">
        <v>0</v>
      </c>
      <c r="M472" t="n">
        <v>0</v>
      </c>
      <c r="N472" t="n">
        <v>0</v>
      </c>
      <c r="O472" t="n">
        <v>0</v>
      </c>
      <c r="P472" t="n">
        <v>0</v>
      </c>
      <c r="Q472" t="n">
        <v>0</v>
      </c>
      <c r="R472" s="2" t="inlineStr"/>
    </row>
    <row r="473" ht="15" customHeight="1">
      <c r="A473" t="inlineStr">
        <is>
          <t>A 62523-2025</t>
        </is>
      </c>
      <c r="B473" s="1" t="n">
        <v>46007.61512731481</v>
      </c>
      <c r="C473" s="1" t="n">
        <v>46140</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21777-2022</t>
        </is>
      </c>
      <c r="B474" s="1" t="n">
        <v>44708.48194444444</v>
      </c>
      <c r="C474" s="1" t="n">
        <v>46140</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17866-2025</t>
        </is>
      </c>
      <c r="B475" s="1" t="n">
        <v>45758</v>
      </c>
      <c r="C475" s="1" t="n">
        <v>46140</v>
      </c>
      <c r="D475" t="inlineStr">
        <is>
          <t>VÄSTMANLANDS LÄN</t>
        </is>
      </c>
      <c r="E475" t="inlineStr">
        <is>
          <t>SALA</t>
        </is>
      </c>
      <c r="F475" t="inlineStr">
        <is>
          <t>Bergvik skog öst AB</t>
        </is>
      </c>
      <c r="G475" t="n">
        <v>2.1</v>
      </c>
      <c r="H475" t="n">
        <v>0</v>
      </c>
      <c r="I475" t="n">
        <v>0</v>
      </c>
      <c r="J475" t="n">
        <v>0</v>
      </c>
      <c r="K475" t="n">
        <v>0</v>
      </c>
      <c r="L475" t="n">
        <v>0</v>
      </c>
      <c r="M475" t="n">
        <v>0</v>
      </c>
      <c r="N475" t="n">
        <v>0</v>
      </c>
      <c r="O475" t="n">
        <v>0</v>
      </c>
      <c r="P475" t="n">
        <v>0</v>
      </c>
      <c r="Q475" t="n">
        <v>0</v>
      </c>
      <c r="R475" s="2" t="inlineStr"/>
    </row>
    <row r="476" ht="15" customHeight="1">
      <c r="A476" t="inlineStr">
        <is>
          <t>A 33732-2023</t>
        </is>
      </c>
      <c r="B476" s="1" t="n">
        <v>45133.32409722222</v>
      </c>
      <c r="C476" s="1" t="n">
        <v>46140</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63055-2025</t>
        </is>
      </c>
      <c r="B477" s="1" t="n">
        <v>46009.63619212963</v>
      </c>
      <c r="C477" s="1" t="n">
        <v>46140</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7166-2025</t>
        </is>
      </c>
      <c r="B478" s="1" t="n">
        <v>45702</v>
      </c>
      <c r="C478" s="1" t="n">
        <v>46140</v>
      </c>
      <c r="D478" t="inlineStr">
        <is>
          <t>VÄSTMANLANDS LÄN</t>
        </is>
      </c>
      <c r="E478" t="inlineStr">
        <is>
          <t>SALA</t>
        </is>
      </c>
      <c r="G478" t="n">
        <v>6.1</v>
      </c>
      <c r="H478" t="n">
        <v>0</v>
      </c>
      <c r="I478" t="n">
        <v>0</v>
      </c>
      <c r="J478" t="n">
        <v>0</v>
      </c>
      <c r="K478" t="n">
        <v>0</v>
      </c>
      <c r="L478" t="n">
        <v>0</v>
      </c>
      <c r="M478" t="n">
        <v>0</v>
      </c>
      <c r="N478" t="n">
        <v>0</v>
      </c>
      <c r="O478" t="n">
        <v>0</v>
      </c>
      <c r="P478" t="n">
        <v>0</v>
      </c>
      <c r="Q478" t="n">
        <v>0</v>
      </c>
      <c r="R478" s="2" t="inlineStr"/>
    </row>
    <row r="479" ht="15" customHeight="1">
      <c r="A479" t="inlineStr">
        <is>
          <t>A 44857-2023</t>
        </is>
      </c>
      <c r="B479" s="1" t="n">
        <v>45190.58479166667</v>
      </c>
      <c r="C479" s="1" t="n">
        <v>46140</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63353-2025</t>
        </is>
      </c>
      <c r="B480" s="1" t="n">
        <v>46010.66670138889</v>
      </c>
      <c r="C480" s="1" t="n">
        <v>46140</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46352-2023</t>
        </is>
      </c>
      <c r="B481" s="1" t="n">
        <v>45192</v>
      </c>
      <c r="C481" s="1" t="n">
        <v>46140</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46140</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63051-2025</t>
        </is>
      </c>
      <c r="B483" s="1" t="n">
        <v>46009.63134259259</v>
      </c>
      <c r="C483" s="1" t="n">
        <v>46140</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27424-2023</t>
        </is>
      </c>
      <c r="B484" s="1" t="n">
        <v>45097.37690972222</v>
      </c>
      <c r="C484" s="1" t="n">
        <v>46140</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63046-2025</t>
        </is>
      </c>
      <c r="B485" s="1" t="n">
        <v>46009.62373842593</v>
      </c>
      <c r="C485" s="1" t="n">
        <v>46140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63269-2025</t>
        </is>
      </c>
      <c r="B486" s="1" t="n">
        <v>46010</v>
      </c>
      <c r="C486" s="1" t="n">
        <v>46140</v>
      </c>
      <c r="D486" t="inlineStr">
        <is>
          <t>VÄSTMANLANDS LÄN</t>
        </is>
      </c>
      <c r="E486" t="inlineStr">
        <is>
          <t>SALA</t>
        </is>
      </c>
      <c r="G486" t="n">
        <v>6.4</v>
      </c>
      <c r="H486" t="n">
        <v>0</v>
      </c>
      <c r="I486" t="n">
        <v>0</v>
      </c>
      <c r="J486" t="n">
        <v>0</v>
      </c>
      <c r="K486" t="n">
        <v>0</v>
      </c>
      <c r="L486" t="n">
        <v>0</v>
      </c>
      <c r="M486" t="n">
        <v>0</v>
      </c>
      <c r="N486" t="n">
        <v>0</v>
      </c>
      <c r="O486" t="n">
        <v>0</v>
      </c>
      <c r="P486" t="n">
        <v>0</v>
      </c>
      <c r="Q486" t="n">
        <v>0</v>
      </c>
      <c r="R486" s="2" t="inlineStr"/>
    </row>
    <row r="487" ht="15" customHeight="1">
      <c r="A487" t="inlineStr">
        <is>
          <t>A 7469-2025</t>
        </is>
      </c>
      <c r="B487" s="1" t="n">
        <v>45705</v>
      </c>
      <c r="C487" s="1" t="n">
        <v>46140</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6691-2025</t>
        </is>
      </c>
      <c r="B488" s="1" t="n">
        <v>45700.50625</v>
      </c>
      <c r="C488" s="1" t="n">
        <v>46140</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60036-2024</t>
        </is>
      </c>
      <c r="B489" s="1" t="n">
        <v>45642.46434027778</v>
      </c>
      <c r="C489" s="1" t="n">
        <v>46140</v>
      </c>
      <c r="D489" t="inlineStr">
        <is>
          <t>VÄSTMANLANDS LÄN</t>
        </is>
      </c>
      <c r="E489" t="inlineStr">
        <is>
          <t>SALA</t>
        </is>
      </c>
      <c r="G489" t="n">
        <v>2.5</v>
      </c>
      <c r="H489" t="n">
        <v>0</v>
      </c>
      <c r="I489" t="n">
        <v>0</v>
      </c>
      <c r="J489" t="n">
        <v>0</v>
      </c>
      <c r="K489" t="n">
        <v>0</v>
      </c>
      <c r="L489" t="n">
        <v>0</v>
      </c>
      <c r="M489" t="n">
        <v>0</v>
      </c>
      <c r="N489" t="n">
        <v>0</v>
      </c>
      <c r="O489" t="n">
        <v>0</v>
      </c>
      <c r="P489" t="n">
        <v>0</v>
      </c>
      <c r="Q489" t="n">
        <v>0</v>
      </c>
      <c r="R489" s="2" t="inlineStr"/>
    </row>
    <row r="490" ht="15" customHeight="1">
      <c r="A490" t="inlineStr">
        <is>
          <t>A 17722-2025</t>
        </is>
      </c>
      <c r="B490" s="1" t="n">
        <v>45758</v>
      </c>
      <c r="C490" s="1" t="n">
        <v>46140</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63749-2025</t>
        </is>
      </c>
      <c r="B491" s="1" t="n">
        <v>46017.75243055556</v>
      </c>
      <c r="C491" s="1" t="n">
        <v>46140</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43188-2023</t>
        </is>
      </c>
      <c r="B492" s="1" t="n">
        <v>45183</v>
      </c>
      <c r="C492" s="1" t="n">
        <v>46140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43205-2023</t>
        </is>
      </c>
      <c r="B493" s="1" t="n">
        <v>45183</v>
      </c>
      <c r="C493" s="1" t="n">
        <v>46140</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44749.45561342593</v>
      </c>
      <c r="C494" s="1" t="n">
        <v>46140</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15756-2025</t>
        </is>
      </c>
      <c r="B495" s="1" t="n">
        <v>45748.56810185185</v>
      </c>
      <c r="C495" s="1" t="n">
        <v>46140</v>
      </c>
      <c r="D495" t="inlineStr">
        <is>
          <t>VÄSTMANLANDS LÄN</t>
        </is>
      </c>
      <c r="E495" t="inlineStr">
        <is>
          <t>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63748-2025</t>
        </is>
      </c>
      <c r="B496" s="1" t="n">
        <v>46017.71640046296</v>
      </c>
      <c r="C496" s="1" t="n">
        <v>46140</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19243-2025</t>
        </is>
      </c>
      <c r="B497" s="1" t="n">
        <v>45769</v>
      </c>
      <c r="C497" s="1" t="n">
        <v>46140</v>
      </c>
      <c r="D497" t="inlineStr">
        <is>
          <t>VÄSTMANLANDS LÄN</t>
        </is>
      </c>
      <c r="E497" t="inlineStr">
        <is>
          <t>SALA</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59297-2023</t>
        </is>
      </c>
      <c r="B498" s="1" t="n">
        <v>45253</v>
      </c>
      <c r="C498" s="1" t="n">
        <v>46140</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6136-2025</t>
        </is>
      </c>
      <c r="B499" s="1" t="n">
        <v>45698.37601851852</v>
      </c>
      <c r="C499" s="1" t="n">
        <v>46140</v>
      </c>
      <c r="D499" t="inlineStr">
        <is>
          <t>VÄSTMANLANDS LÄN</t>
        </is>
      </c>
      <c r="E499" t="inlineStr">
        <is>
          <t>SALA</t>
        </is>
      </c>
      <c r="F499" t="inlineStr">
        <is>
          <t>Bergvik skog öst AB</t>
        </is>
      </c>
      <c r="G499" t="n">
        <v>2.2</v>
      </c>
      <c r="H499" t="n">
        <v>0</v>
      </c>
      <c r="I499" t="n">
        <v>0</v>
      </c>
      <c r="J499" t="n">
        <v>0</v>
      </c>
      <c r="K499" t="n">
        <v>0</v>
      </c>
      <c r="L499" t="n">
        <v>0</v>
      </c>
      <c r="M499" t="n">
        <v>0</v>
      </c>
      <c r="N499" t="n">
        <v>0</v>
      </c>
      <c r="O499" t="n">
        <v>0</v>
      </c>
      <c r="P499" t="n">
        <v>0</v>
      </c>
      <c r="Q499" t="n">
        <v>0</v>
      </c>
      <c r="R499" s="2" t="inlineStr"/>
    </row>
    <row r="500" ht="15" customHeight="1">
      <c r="A500" t="inlineStr">
        <is>
          <t>A 6190-2025</t>
        </is>
      </c>
      <c r="B500" s="1" t="n">
        <v>45698</v>
      </c>
      <c r="C500" s="1" t="n">
        <v>46140</v>
      </c>
      <c r="D500" t="inlineStr">
        <is>
          <t>VÄSTMANLANDS LÄN</t>
        </is>
      </c>
      <c r="E500" t="inlineStr">
        <is>
          <t>SALA</t>
        </is>
      </c>
      <c r="F500" t="inlineStr">
        <is>
          <t>Bergvik skog öst AB</t>
        </is>
      </c>
      <c r="G500" t="n">
        <v>4.6</v>
      </c>
      <c r="H500" t="n">
        <v>0</v>
      </c>
      <c r="I500" t="n">
        <v>0</v>
      </c>
      <c r="J500" t="n">
        <v>0</v>
      </c>
      <c r="K500" t="n">
        <v>0</v>
      </c>
      <c r="L500" t="n">
        <v>0</v>
      </c>
      <c r="M500" t="n">
        <v>0</v>
      </c>
      <c r="N500" t="n">
        <v>0</v>
      </c>
      <c r="O500" t="n">
        <v>0</v>
      </c>
      <c r="P500" t="n">
        <v>0</v>
      </c>
      <c r="Q500" t="n">
        <v>0</v>
      </c>
      <c r="R500" s="2" t="inlineStr"/>
    </row>
    <row r="501" ht="15" customHeight="1">
      <c r="A501" t="inlineStr">
        <is>
          <t>A 28863-2022</t>
        </is>
      </c>
      <c r="B501" s="1" t="n">
        <v>44749.50649305555</v>
      </c>
      <c r="C501" s="1" t="n">
        <v>46140</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25541-2024</t>
        </is>
      </c>
      <c r="B502" s="1" t="n">
        <v>45463.56337962963</v>
      </c>
      <c r="C502" s="1" t="n">
        <v>46140</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910-2026</t>
        </is>
      </c>
      <c r="B503" s="1" t="n">
        <v>46030.4771412037</v>
      </c>
      <c r="C503" s="1" t="n">
        <v>46140</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29213-2022</t>
        </is>
      </c>
      <c r="B504" s="1" t="n">
        <v>44750.57474537037</v>
      </c>
      <c r="C504" s="1" t="n">
        <v>46140</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56964-2023</t>
        </is>
      </c>
      <c r="B505" s="1" t="n">
        <v>45244.63140046296</v>
      </c>
      <c r="C505" s="1" t="n">
        <v>46140</v>
      </c>
      <c r="D505" t="inlineStr">
        <is>
          <t>VÄSTMANLANDS LÄN</t>
        </is>
      </c>
      <c r="E505" t="inlineStr">
        <is>
          <t>SALA</t>
        </is>
      </c>
      <c r="G505" t="n">
        <v>4.6</v>
      </c>
      <c r="H505" t="n">
        <v>0</v>
      </c>
      <c r="I505" t="n">
        <v>0</v>
      </c>
      <c r="J505" t="n">
        <v>0</v>
      </c>
      <c r="K505" t="n">
        <v>0</v>
      </c>
      <c r="L505" t="n">
        <v>0</v>
      </c>
      <c r="M505" t="n">
        <v>0</v>
      </c>
      <c r="N505" t="n">
        <v>0</v>
      </c>
      <c r="O505" t="n">
        <v>0</v>
      </c>
      <c r="P505" t="n">
        <v>0</v>
      </c>
      <c r="Q505" t="n">
        <v>0</v>
      </c>
      <c r="R505" s="2" t="inlineStr"/>
    </row>
    <row r="506" ht="15" customHeight="1">
      <c r="A506" t="inlineStr">
        <is>
          <t>A 914-2026</t>
        </is>
      </c>
      <c r="B506" s="1" t="n">
        <v>46030.47952546296</v>
      </c>
      <c r="C506" s="1" t="n">
        <v>46140</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948-2026</t>
        </is>
      </c>
      <c r="B507" s="1" t="n">
        <v>46030.53986111111</v>
      </c>
      <c r="C507" s="1" t="n">
        <v>46140</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1555-2024</t>
        </is>
      </c>
      <c r="B508" s="1" t="n">
        <v>45306</v>
      </c>
      <c r="C508" s="1" t="n">
        <v>46140</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13188-2025</t>
        </is>
      </c>
      <c r="B509" s="1" t="n">
        <v>45735.39246527778</v>
      </c>
      <c r="C509" s="1" t="n">
        <v>46140</v>
      </c>
      <c r="D509" t="inlineStr">
        <is>
          <t>VÄSTMANLANDS LÄN</t>
        </is>
      </c>
      <c r="E509" t="inlineStr">
        <is>
          <t>SALA</t>
        </is>
      </c>
      <c r="F509" t="inlineStr">
        <is>
          <t>Naturvårdsverket</t>
        </is>
      </c>
      <c r="G509" t="n">
        <v>18.4</v>
      </c>
      <c r="H509" t="n">
        <v>0</v>
      </c>
      <c r="I509" t="n">
        <v>0</v>
      </c>
      <c r="J509" t="n">
        <v>0</v>
      </c>
      <c r="K509" t="n">
        <v>0</v>
      </c>
      <c r="L509" t="n">
        <v>0</v>
      </c>
      <c r="M509" t="n">
        <v>0</v>
      </c>
      <c r="N509" t="n">
        <v>0</v>
      </c>
      <c r="O509" t="n">
        <v>0</v>
      </c>
      <c r="P509" t="n">
        <v>0</v>
      </c>
      <c r="Q509" t="n">
        <v>0</v>
      </c>
      <c r="R509" s="2" t="inlineStr"/>
    </row>
    <row r="510" ht="15" customHeight="1">
      <c r="A510" t="inlineStr">
        <is>
          <t>A 1705-2026</t>
        </is>
      </c>
      <c r="B510" s="1" t="n">
        <v>46034.59930555556</v>
      </c>
      <c r="C510" s="1" t="n">
        <v>46140</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7197-2025</t>
        </is>
      </c>
      <c r="B511" s="1" t="n">
        <v>45702</v>
      </c>
      <c r="C511" s="1" t="n">
        <v>46140</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15099-2025</t>
        </is>
      </c>
      <c r="B512" s="1" t="n">
        <v>45744.3434837963</v>
      </c>
      <c r="C512" s="1" t="n">
        <v>46140</v>
      </c>
      <c r="D512" t="inlineStr">
        <is>
          <t>VÄSTMANLANDS LÄN</t>
        </is>
      </c>
      <c r="E512" t="inlineStr">
        <is>
          <t>SALA</t>
        </is>
      </c>
      <c r="F512" t="inlineStr">
        <is>
          <t>Sveaskog</t>
        </is>
      </c>
      <c r="G512" t="n">
        <v>14.4</v>
      </c>
      <c r="H512" t="n">
        <v>0</v>
      </c>
      <c r="I512" t="n">
        <v>0</v>
      </c>
      <c r="J512" t="n">
        <v>0</v>
      </c>
      <c r="K512" t="n">
        <v>0</v>
      </c>
      <c r="L512" t="n">
        <v>0</v>
      </c>
      <c r="M512" t="n">
        <v>0</v>
      </c>
      <c r="N512" t="n">
        <v>0</v>
      </c>
      <c r="O512" t="n">
        <v>0</v>
      </c>
      <c r="P512" t="n">
        <v>0</v>
      </c>
      <c r="Q512" t="n">
        <v>0</v>
      </c>
      <c r="R512" s="2" t="inlineStr"/>
    </row>
    <row r="513" ht="15" customHeight="1">
      <c r="A513" t="inlineStr">
        <is>
          <t>A 2928-2024</t>
        </is>
      </c>
      <c r="B513" s="1" t="n">
        <v>45315.59041666667</v>
      </c>
      <c r="C513" s="1" t="n">
        <v>46140</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9962-2025</t>
        </is>
      </c>
      <c r="B514" s="1" t="n">
        <v>45719.37072916667</v>
      </c>
      <c r="C514" s="1" t="n">
        <v>46140</v>
      </c>
      <c r="D514" t="inlineStr">
        <is>
          <t>VÄSTMANLANDS LÄN</t>
        </is>
      </c>
      <c r="E514" t="inlineStr">
        <is>
          <t>SALA</t>
        </is>
      </c>
      <c r="G514" t="n">
        <v>4.5</v>
      </c>
      <c r="H514" t="n">
        <v>0</v>
      </c>
      <c r="I514" t="n">
        <v>0</v>
      </c>
      <c r="J514" t="n">
        <v>0</v>
      </c>
      <c r="K514" t="n">
        <v>0</v>
      </c>
      <c r="L514" t="n">
        <v>0</v>
      </c>
      <c r="M514" t="n">
        <v>0</v>
      </c>
      <c r="N514" t="n">
        <v>0</v>
      </c>
      <c r="O514" t="n">
        <v>0</v>
      </c>
      <c r="P514" t="n">
        <v>0</v>
      </c>
      <c r="Q514" t="n">
        <v>0</v>
      </c>
      <c r="R514" s="2" t="inlineStr"/>
    </row>
    <row r="515" ht="15" customHeight="1">
      <c r="A515" t="inlineStr">
        <is>
          <t>A 14024-2025</t>
        </is>
      </c>
      <c r="B515" s="1" t="n">
        <v>45740.34650462963</v>
      </c>
      <c r="C515" s="1" t="n">
        <v>46140</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3551-2024</t>
        </is>
      </c>
      <c r="B516" s="1" t="n">
        <v>45320.61099537037</v>
      </c>
      <c r="C516" s="1" t="n">
        <v>46140</v>
      </c>
      <c r="D516" t="inlineStr">
        <is>
          <t>VÄSTMANLANDS LÄN</t>
        </is>
      </c>
      <c r="E516" t="inlineStr">
        <is>
          <t>SALA</t>
        </is>
      </c>
      <c r="F516" t="inlineStr">
        <is>
          <t>Kommuner</t>
        </is>
      </c>
      <c r="G516" t="n">
        <v>6</v>
      </c>
      <c r="H516" t="n">
        <v>0</v>
      </c>
      <c r="I516" t="n">
        <v>0</v>
      </c>
      <c r="J516" t="n">
        <v>0</v>
      </c>
      <c r="K516" t="n">
        <v>0</v>
      </c>
      <c r="L516" t="n">
        <v>0</v>
      </c>
      <c r="M516" t="n">
        <v>0</v>
      </c>
      <c r="N516" t="n">
        <v>0</v>
      </c>
      <c r="O516" t="n">
        <v>0</v>
      </c>
      <c r="P516" t="n">
        <v>0</v>
      </c>
      <c r="Q516" t="n">
        <v>0</v>
      </c>
      <c r="R516" s="2" t="inlineStr"/>
    </row>
    <row r="517" ht="15" customHeight="1">
      <c r="A517" t="inlineStr">
        <is>
          <t>A 62635-2022</t>
        </is>
      </c>
      <c r="B517" s="1" t="n">
        <v>44917</v>
      </c>
      <c r="C517" s="1" t="n">
        <v>46140</v>
      </c>
      <c r="D517" t="inlineStr">
        <is>
          <t>VÄSTMANLANDS LÄN</t>
        </is>
      </c>
      <c r="E517" t="inlineStr">
        <is>
          <t>SALA</t>
        </is>
      </c>
      <c r="G517" t="n">
        <v>0.4</v>
      </c>
      <c r="H517" t="n">
        <v>0</v>
      </c>
      <c r="I517" t="n">
        <v>0</v>
      </c>
      <c r="J517" t="n">
        <v>0</v>
      </c>
      <c r="K517" t="n">
        <v>0</v>
      </c>
      <c r="L517" t="n">
        <v>0</v>
      </c>
      <c r="M517" t="n">
        <v>0</v>
      </c>
      <c r="N517" t="n">
        <v>0</v>
      </c>
      <c r="O517" t="n">
        <v>0</v>
      </c>
      <c r="P517" t="n">
        <v>0</v>
      </c>
      <c r="Q517" t="n">
        <v>0</v>
      </c>
      <c r="R517" s="2" t="inlineStr"/>
    </row>
    <row r="518" ht="15" customHeight="1">
      <c r="A518" t="inlineStr">
        <is>
          <t>A 19304-2025</t>
        </is>
      </c>
      <c r="B518" s="1" t="n">
        <v>45769</v>
      </c>
      <c r="C518" s="1" t="n">
        <v>46140</v>
      </c>
      <c r="D518" t="inlineStr">
        <is>
          <t>VÄSTMANLANDS LÄN</t>
        </is>
      </c>
      <c r="E518" t="inlineStr">
        <is>
          <t>SALA</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56057-2023</t>
        </is>
      </c>
      <c r="B519" s="1" t="n">
        <v>45233</v>
      </c>
      <c r="C519" s="1" t="n">
        <v>46140</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55024-2023</t>
        </is>
      </c>
      <c r="B520" s="1" t="n">
        <v>45229</v>
      </c>
      <c r="C520" s="1" t="n">
        <v>46140</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55032-2023</t>
        </is>
      </c>
      <c r="B521" s="1" t="n">
        <v>45229</v>
      </c>
      <c r="C521" s="1" t="n">
        <v>46140</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4681-2026</t>
        </is>
      </c>
      <c r="B522" s="1" t="n">
        <v>46048.43016203704</v>
      </c>
      <c r="C522" s="1" t="n">
        <v>46140</v>
      </c>
      <c r="D522" t="inlineStr">
        <is>
          <t>VÄSTMANLANDS LÄN</t>
        </is>
      </c>
      <c r="E522" t="inlineStr">
        <is>
          <t>SALA</t>
        </is>
      </c>
      <c r="G522" t="n">
        <v>2.5</v>
      </c>
      <c r="H522" t="n">
        <v>0</v>
      </c>
      <c r="I522" t="n">
        <v>0</v>
      </c>
      <c r="J522" t="n">
        <v>0</v>
      </c>
      <c r="K522" t="n">
        <v>0</v>
      </c>
      <c r="L522" t="n">
        <v>0</v>
      </c>
      <c r="M522" t="n">
        <v>0</v>
      </c>
      <c r="N522" t="n">
        <v>0</v>
      </c>
      <c r="O522" t="n">
        <v>0</v>
      </c>
      <c r="P522" t="n">
        <v>0</v>
      </c>
      <c r="Q522" t="n">
        <v>0</v>
      </c>
      <c r="R522" s="2" t="inlineStr"/>
    </row>
    <row r="523" ht="15" customHeight="1">
      <c r="A523" t="inlineStr">
        <is>
          <t>A 4664-2026</t>
        </is>
      </c>
      <c r="B523" s="1" t="n">
        <v>46048.41061342593</v>
      </c>
      <c r="C523" s="1" t="n">
        <v>46140</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29248-2022</t>
        </is>
      </c>
      <c r="B524" s="1" t="n">
        <v>44750</v>
      </c>
      <c r="C524" s="1" t="n">
        <v>46140</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59175-2022</t>
        </is>
      </c>
      <c r="B525" s="1" t="n">
        <v>44904.48502314815</v>
      </c>
      <c r="C525" s="1" t="n">
        <v>46140</v>
      </c>
      <c r="D525" t="inlineStr">
        <is>
          <t>VÄSTMANLANDS LÄN</t>
        </is>
      </c>
      <c r="E525" t="inlineStr">
        <is>
          <t>SALA</t>
        </is>
      </c>
      <c r="G525" t="n">
        <v>2.1</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44818.36606481481</v>
      </c>
      <c r="C526" s="1" t="n">
        <v>46140</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4712-2026</t>
        </is>
      </c>
      <c r="B527" s="1" t="n">
        <v>46048.46082175926</v>
      </c>
      <c r="C527" s="1" t="n">
        <v>46140</v>
      </c>
      <c r="D527" t="inlineStr">
        <is>
          <t>VÄSTMANLANDS LÄN</t>
        </is>
      </c>
      <c r="E527" t="inlineStr">
        <is>
          <t>SALA</t>
        </is>
      </c>
      <c r="G527" t="n">
        <v>4.1</v>
      </c>
      <c r="H527" t="n">
        <v>0</v>
      </c>
      <c r="I527" t="n">
        <v>0</v>
      </c>
      <c r="J527" t="n">
        <v>0</v>
      </c>
      <c r="K527" t="n">
        <v>0</v>
      </c>
      <c r="L527" t="n">
        <v>0</v>
      </c>
      <c r="M527" t="n">
        <v>0</v>
      </c>
      <c r="N527" t="n">
        <v>0</v>
      </c>
      <c r="O527" t="n">
        <v>0</v>
      </c>
      <c r="P527" t="n">
        <v>0</v>
      </c>
      <c r="Q527" t="n">
        <v>0</v>
      </c>
      <c r="R527" s="2" t="inlineStr"/>
    </row>
    <row r="528" ht="15" customHeight="1">
      <c r="A528" t="inlineStr">
        <is>
          <t>A 4624-2026</t>
        </is>
      </c>
      <c r="B528" s="1" t="n">
        <v>46048.38107638889</v>
      </c>
      <c r="C528" s="1" t="n">
        <v>46140</v>
      </c>
      <c r="D528" t="inlineStr">
        <is>
          <t>VÄSTMANLANDS LÄN</t>
        </is>
      </c>
      <c r="E528" t="inlineStr">
        <is>
          <t>SALA</t>
        </is>
      </c>
      <c r="G528" t="n">
        <v>12.3</v>
      </c>
      <c r="H528" t="n">
        <v>0</v>
      </c>
      <c r="I528" t="n">
        <v>0</v>
      </c>
      <c r="J528" t="n">
        <v>0</v>
      </c>
      <c r="K528" t="n">
        <v>0</v>
      </c>
      <c r="L528" t="n">
        <v>0</v>
      </c>
      <c r="M528" t="n">
        <v>0</v>
      </c>
      <c r="N528" t="n">
        <v>0</v>
      </c>
      <c r="O528" t="n">
        <v>0</v>
      </c>
      <c r="P528" t="n">
        <v>0</v>
      </c>
      <c r="Q528" t="n">
        <v>0</v>
      </c>
      <c r="R528" s="2" t="inlineStr"/>
    </row>
    <row r="529" ht="15" customHeight="1">
      <c r="A529" t="inlineStr">
        <is>
          <t>A 4214-2026</t>
        </is>
      </c>
      <c r="B529" s="1" t="n">
        <v>46044.76459490741</v>
      </c>
      <c r="C529" s="1" t="n">
        <v>46140</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4683-2026</t>
        </is>
      </c>
      <c r="B530" s="1" t="n">
        <v>46048.43489583334</v>
      </c>
      <c r="C530" s="1" t="n">
        <v>46140</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11631-2023</t>
        </is>
      </c>
      <c r="B531" s="1" t="n">
        <v>44994.44001157407</v>
      </c>
      <c r="C531" s="1" t="n">
        <v>46140</v>
      </c>
      <c r="D531" t="inlineStr">
        <is>
          <t>VÄSTMANLANDS LÄN</t>
        </is>
      </c>
      <c r="E531" t="inlineStr">
        <is>
          <t>SALA</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62648-2022</t>
        </is>
      </c>
      <c r="B532" s="1" t="n">
        <v>44917</v>
      </c>
      <c r="C532" s="1" t="n">
        <v>46140</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1934-2023</t>
        </is>
      </c>
      <c r="B533" s="1" t="n">
        <v>44939.43024305555</v>
      </c>
      <c r="C533" s="1" t="n">
        <v>46140</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11927-2025</t>
        </is>
      </c>
      <c r="B534" s="1" t="n">
        <v>45728.5137962963</v>
      </c>
      <c r="C534" s="1" t="n">
        <v>46140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5418-2026</t>
        </is>
      </c>
      <c r="B535" s="1" t="n">
        <v>46050.53740740741</v>
      </c>
      <c r="C535" s="1" t="n">
        <v>46140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60823-2024</t>
        </is>
      </c>
      <c r="B536" s="1" t="n">
        <v>45644</v>
      </c>
      <c r="C536" s="1" t="n">
        <v>46140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5525-2026</t>
        </is>
      </c>
      <c r="B537" s="1" t="n">
        <v>46050.65055555556</v>
      </c>
      <c r="C537" s="1" t="n">
        <v>46140</v>
      </c>
      <c r="D537" t="inlineStr">
        <is>
          <t>VÄSTMANLANDS LÄN</t>
        </is>
      </c>
      <c r="E537" t="inlineStr">
        <is>
          <t>SALA</t>
        </is>
      </c>
      <c r="G537" t="n">
        <v>13.1</v>
      </c>
      <c r="H537" t="n">
        <v>0</v>
      </c>
      <c r="I537" t="n">
        <v>0</v>
      </c>
      <c r="J537" t="n">
        <v>0</v>
      </c>
      <c r="K537" t="n">
        <v>0</v>
      </c>
      <c r="L537" t="n">
        <v>0</v>
      </c>
      <c r="M537" t="n">
        <v>0</v>
      </c>
      <c r="N537" t="n">
        <v>0</v>
      </c>
      <c r="O537" t="n">
        <v>0</v>
      </c>
      <c r="P537" t="n">
        <v>0</v>
      </c>
      <c r="Q537" t="n">
        <v>0</v>
      </c>
      <c r="R537" s="2" t="inlineStr"/>
    </row>
    <row r="538" ht="15" customHeight="1">
      <c r="A538" t="inlineStr">
        <is>
          <t>A 5219-2026</t>
        </is>
      </c>
      <c r="B538" s="1" t="n">
        <v>46049.76225694444</v>
      </c>
      <c r="C538" s="1" t="n">
        <v>46140</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96-2024</t>
        </is>
      </c>
      <c r="B539" s="1" t="n">
        <v>45293.85872685185</v>
      </c>
      <c r="C539" s="1" t="n">
        <v>46140</v>
      </c>
      <c r="D539" t="inlineStr">
        <is>
          <t>VÄSTMANLANDS LÄN</t>
        </is>
      </c>
      <c r="E539" t="inlineStr">
        <is>
          <t>SALA</t>
        </is>
      </c>
      <c r="G539" t="n">
        <v>1.1</v>
      </c>
      <c r="H539" t="n">
        <v>0</v>
      </c>
      <c r="I539" t="n">
        <v>0</v>
      </c>
      <c r="J539" t="n">
        <v>0</v>
      </c>
      <c r="K539" t="n">
        <v>0</v>
      </c>
      <c r="L539" t="n">
        <v>0</v>
      </c>
      <c r="M539" t="n">
        <v>0</v>
      </c>
      <c r="N539" t="n">
        <v>0</v>
      </c>
      <c r="O539" t="n">
        <v>0</v>
      </c>
      <c r="P539" t="n">
        <v>0</v>
      </c>
      <c r="Q539" t="n">
        <v>0</v>
      </c>
      <c r="R539" s="2" t="inlineStr"/>
    </row>
    <row r="540" ht="15" customHeight="1">
      <c r="A540" t="inlineStr">
        <is>
          <t>A 23374-2023</t>
        </is>
      </c>
      <c r="B540" s="1" t="n">
        <v>45076.4399537037</v>
      </c>
      <c r="C540" s="1" t="n">
        <v>46140</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5894-2026</t>
        </is>
      </c>
      <c r="B541" s="1" t="n">
        <v>46052.42412037037</v>
      </c>
      <c r="C541" s="1" t="n">
        <v>46140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61874-2021</t>
        </is>
      </c>
      <c r="B542" s="1" t="n">
        <v>44502</v>
      </c>
      <c r="C542" s="1" t="n">
        <v>46140</v>
      </c>
      <c r="D542" t="inlineStr">
        <is>
          <t>VÄSTMANLANDS LÄN</t>
        </is>
      </c>
      <c r="E542" t="inlineStr">
        <is>
          <t>SALA</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9856-2022</t>
        </is>
      </c>
      <c r="B543" s="1" t="n">
        <v>44620</v>
      </c>
      <c r="C543" s="1" t="n">
        <v>46140</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16159-2024</t>
        </is>
      </c>
      <c r="B544" s="1" t="n">
        <v>45406</v>
      </c>
      <c r="C544" s="1" t="n">
        <v>46140</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50241-2023</t>
        </is>
      </c>
      <c r="B545" s="1" t="n">
        <v>45216</v>
      </c>
      <c r="C545" s="1" t="n">
        <v>46140</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14000-2026</t>
        </is>
      </c>
      <c r="B546" s="1" t="n">
        <v>46098.64246527778</v>
      </c>
      <c r="C546" s="1" t="n">
        <v>46140</v>
      </c>
      <c r="D546" t="inlineStr">
        <is>
          <t>VÄSTMANLANDS LÄN</t>
        </is>
      </c>
      <c r="E546" t="inlineStr">
        <is>
          <t>SALA</t>
        </is>
      </c>
      <c r="G546" t="n">
        <v>0.8</v>
      </c>
      <c r="H546" t="n">
        <v>0</v>
      </c>
      <c r="I546" t="n">
        <v>0</v>
      </c>
      <c r="J546" t="n">
        <v>0</v>
      </c>
      <c r="K546" t="n">
        <v>0</v>
      </c>
      <c r="L546" t="n">
        <v>0</v>
      </c>
      <c r="M546" t="n">
        <v>0</v>
      </c>
      <c r="N546" t="n">
        <v>0</v>
      </c>
      <c r="O546" t="n">
        <v>0</v>
      </c>
      <c r="P546" t="n">
        <v>0</v>
      </c>
      <c r="Q546" t="n">
        <v>0</v>
      </c>
      <c r="R546" s="2" t="inlineStr"/>
    </row>
    <row r="547" ht="15" customHeight="1">
      <c r="A547" t="inlineStr">
        <is>
          <t>A 3332-2024</t>
        </is>
      </c>
      <c r="B547" s="1" t="n">
        <v>45317</v>
      </c>
      <c r="C547" s="1" t="n">
        <v>46140</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35637-2022</t>
        </is>
      </c>
      <c r="B548" s="1" t="n">
        <v>44799.55194444444</v>
      </c>
      <c r="C548" s="1" t="n">
        <v>46140</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13996-2026</t>
        </is>
      </c>
      <c r="B549" s="1" t="n">
        <v>46098.63159722222</v>
      </c>
      <c r="C549" s="1" t="n">
        <v>46140</v>
      </c>
      <c r="D549" t="inlineStr">
        <is>
          <t>VÄSTMANLANDS LÄN</t>
        </is>
      </c>
      <c r="E549" t="inlineStr">
        <is>
          <t>SALA</t>
        </is>
      </c>
      <c r="G549" t="n">
        <v>2.5</v>
      </c>
      <c r="H549" t="n">
        <v>0</v>
      </c>
      <c r="I549" t="n">
        <v>0</v>
      </c>
      <c r="J549" t="n">
        <v>0</v>
      </c>
      <c r="K549" t="n">
        <v>0</v>
      </c>
      <c r="L549" t="n">
        <v>0</v>
      </c>
      <c r="M549" t="n">
        <v>0</v>
      </c>
      <c r="N549" t="n">
        <v>0</v>
      </c>
      <c r="O549" t="n">
        <v>0</v>
      </c>
      <c r="P549" t="n">
        <v>0</v>
      </c>
      <c r="Q549" t="n">
        <v>0</v>
      </c>
      <c r="R549" s="2" t="inlineStr"/>
    </row>
    <row r="550" ht="15" customHeight="1">
      <c r="A550" t="inlineStr">
        <is>
          <t>A 6021-2026</t>
        </is>
      </c>
      <c r="B550" s="1" t="n">
        <v>46050</v>
      </c>
      <c r="C550" s="1" t="n">
        <v>46140</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57883-2024</t>
        </is>
      </c>
      <c r="B551" s="1" t="n">
        <v>45630</v>
      </c>
      <c r="C551" s="1" t="n">
        <v>46140</v>
      </c>
      <c r="D551" t="inlineStr">
        <is>
          <t>VÄSTMANLANDS LÄN</t>
        </is>
      </c>
      <c r="E551" t="inlineStr">
        <is>
          <t>SALA</t>
        </is>
      </c>
      <c r="G551" t="n">
        <v>5.4</v>
      </c>
      <c r="H551" t="n">
        <v>0</v>
      </c>
      <c r="I551" t="n">
        <v>0</v>
      </c>
      <c r="J551" t="n">
        <v>0</v>
      </c>
      <c r="K551" t="n">
        <v>0</v>
      </c>
      <c r="L551" t="n">
        <v>0</v>
      </c>
      <c r="M551" t="n">
        <v>0</v>
      </c>
      <c r="N551" t="n">
        <v>0</v>
      </c>
      <c r="O551" t="n">
        <v>0</v>
      </c>
      <c r="P551" t="n">
        <v>0</v>
      </c>
      <c r="Q551" t="n">
        <v>0</v>
      </c>
      <c r="R551" s="2" t="inlineStr"/>
    </row>
    <row r="552" ht="15" customHeight="1">
      <c r="A552" t="inlineStr">
        <is>
          <t>A 7327-2026</t>
        </is>
      </c>
      <c r="B552" s="1" t="n">
        <v>46058.68371527778</v>
      </c>
      <c r="C552" s="1" t="n">
        <v>46140</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7332-2026</t>
        </is>
      </c>
      <c r="B553" s="1" t="n">
        <v>46058.68884259259</v>
      </c>
      <c r="C553" s="1" t="n">
        <v>46140</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14490-2026</t>
        </is>
      </c>
      <c r="B554" s="1" t="n">
        <v>46100.59277777778</v>
      </c>
      <c r="C554" s="1" t="n">
        <v>46140</v>
      </c>
      <c r="D554" t="inlineStr">
        <is>
          <t>VÄSTMANLANDS LÄN</t>
        </is>
      </c>
      <c r="E554" t="inlineStr">
        <is>
          <t>SALA</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50876-2023</t>
        </is>
      </c>
      <c r="B555" s="1" t="n">
        <v>45211</v>
      </c>
      <c r="C555" s="1" t="n">
        <v>46140</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37624-2024</t>
        </is>
      </c>
      <c r="B556" s="1" t="n">
        <v>45541</v>
      </c>
      <c r="C556" s="1" t="n">
        <v>46140</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7324-2026</t>
        </is>
      </c>
      <c r="B557" s="1" t="n">
        <v>46058.68023148148</v>
      </c>
      <c r="C557" s="1" t="n">
        <v>46140</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40398-2021</t>
        </is>
      </c>
      <c r="B558" s="1" t="n">
        <v>44419</v>
      </c>
      <c r="C558" s="1" t="n">
        <v>46140</v>
      </c>
      <c r="D558" t="inlineStr">
        <is>
          <t>VÄSTMANLANDS LÄN</t>
        </is>
      </c>
      <c r="E558" t="inlineStr">
        <is>
          <t>SALA</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6351-2023</t>
        </is>
      </c>
      <c r="B559" s="1" t="n">
        <v>44965</v>
      </c>
      <c r="C559" s="1" t="n">
        <v>46140</v>
      </c>
      <c r="D559" t="inlineStr">
        <is>
          <t>VÄSTMANLANDS LÄN</t>
        </is>
      </c>
      <c r="E559" t="inlineStr">
        <is>
          <t>SALA</t>
        </is>
      </c>
      <c r="F559" t="inlineStr">
        <is>
          <t>Kommuner</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27262-2024</t>
        </is>
      </c>
      <c r="B560" s="1" t="n">
        <v>45471</v>
      </c>
      <c r="C560" s="1" t="n">
        <v>46140</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23119-2022</t>
        </is>
      </c>
      <c r="B561" s="1" t="n">
        <v>44719.56697916667</v>
      </c>
      <c r="C561" s="1" t="n">
        <v>46140</v>
      </c>
      <c r="D561" t="inlineStr">
        <is>
          <t>VÄSTMANLANDS LÄN</t>
        </is>
      </c>
      <c r="E561" t="inlineStr">
        <is>
          <t>SALA</t>
        </is>
      </c>
      <c r="G561" t="n">
        <v>7</v>
      </c>
      <c r="H561" t="n">
        <v>0</v>
      </c>
      <c r="I561" t="n">
        <v>0</v>
      </c>
      <c r="J561" t="n">
        <v>0</v>
      </c>
      <c r="K561" t="n">
        <v>0</v>
      </c>
      <c r="L561" t="n">
        <v>0</v>
      </c>
      <c r="M561" t="n">
        <v>0</v>
      </c>
      <c r="N561" t="n">
        <v>0</v>
      </c>
      <c r="O561" t="n">
        <v>0</v>
      </c>
      <c r="P561" t="n">
        <v>0</v>
      </c>
      <c r="Q561" t="n">
        <v>0</v>
      </c>
      <c r="R561" s="2" t="inlineStr"/>
    </row>
    <row r="562" ht="15" customHeight="1">
      <c r="A562" t="inlineStr">
        <is>
          <t>A 43751-2021</t>
        </is>
      </c>
      <c r="B562" s="1" t="n">
        <v>44433</v>
      </c>
      <c r="C562" s="1" t="n">
        <v>46140</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14481-2026</t>
        </is>
      </c>
      <c r="B563" s="1" t="n">
        <v>46100.58707175926</v>
      </c>
      <c r="C563" s="1" t="n">
        <v>46140</v>
      </c>
      <c r="D563" t="inlineStr">
        <is>
          <t>VÄSTMANLANDS LÄN</t>
        </is>
      </c>
      <c r="E563" t="inlineStr">
        <is>
          <t>SALA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14482-2026</t>
        </is>
      </c>
      <c r="B564" s="1" t="n">
        <v>46100.588125</v>
      </c>
      <c r="C564" s="1" t="n">
        <v>46140</v>
      </c>
      <c r="D564" t="inlineStr">
        <is>
          <t>VÄSTMANLANDS LÄN</t>
        </is>
      </c>
      <c r="E564" t="inlineStr">
        <is>
          <t>SALA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59483-2022</t>
        </is>
      </c>
      <c r="B565" s="1" t="n">
        <v>44907.45679398148</v>
      </c>
      <c r="C565" s="1" t="n">
        <v>46140</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14484-2026</t>
        </is>
      </c>
      <c r="B566" s="1" t="n">
        <v>46100.5887962963</v>
      </c>
      <c r="C566" s="1" t="n">
        <v>46140</v>
      </c>
      <c r="D566" t="inlineStr">
        <is>
          <t>VÄSTMANLANDS LÄN</t>
        </is>
      </c>
      <c r="E566" t="inlineStr">
        <is>
          <t>SALA</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7329-2026</t>
        </is>
      </c>
      <c r="B567" s="1" t="n">
        <v>46058.68678240741</v>
      </c>
      <c r="C567" s="1" t="n">
        <v>46140</v>
      </c>
      <c r="D567" t="inlineStr">
        <is>
          <t>VÄSTMANLANDS LÄN</t>
        </is>
      </c>
      <c r="E567" t="inlineStr">
        <is>
          <t>SALA</t>
        </is>
      </c>
      <c r="G567" t="n">
        <v>3.1</v>
      </c>
      <c r="H567" t="n">
        <v>0</v>
      </c>
      <c r="I567" t="n">
        <v>0</v>
      </c>
      <c r="J567" t="n">
        <v>0</v>
      </c>
      <c r="K567" t="n">
        <v>0</v>
      </c>
      <c r="L567" t="n">
        <v>0</v>
      </c>
      <c r="M567" t="n">
        <v>0</v>
      </c>
      <c r="N567" t="n">
        <v>0</v>
      </c>
      <c r="O567" t="n">
        <v>0</v>
      </c>
      <c r="P567" t="n">
        <v>0</v>
      </c>
      <c r="Q567" t="n">
        <v>0</v>
      </c>
      <c r="R567" s="2" t="inlineStr"/>
    </row>
    <row r="568" ht="15" customHeight="1">
      <c r="A568" t="inlineStr">
        <is>
          <t>A 73673-2021</t>
        </is>
      </c>
      <c r="B568" s="1" t="n">
        <v>44552.46501157407</v>
      </c>
      <c r="C568" s="1" t="n">
        <v>46140</v>
      </c>
      <c r="D568" t="inlineStr">
        <is>
          <t>VÄSTMANLANDS LÄN</t>
        </is>
      </c>
      <c r="E568" t="inlineStr">
        <is>
          <t>SALA</t>
        </is>
      </c>
      <c r="G568" t="n">
        <v>11.4</v>
      </c>
      <c r="H568" t="n">
        <v>0</v>
      </c>
      <c r="I568" t="n">
        <v>0</v>
      </c>
      <c r="J568" t="n">
        <v>0</v>
      </c>
      <c r="K568" t="n">
        <v>0</v>
      </c>
      <c r="L568" t="n">
        <v>0</v>
      </c>
      <c r="M568" t="n">
        <v>0</v>
      </c>
      <c r="N568" t="n">
        <v>0</v>
      </c>
      <c r="O568" t="n">
        <v>0</v>
      </c>
      <c r="P568" t="n">
        <v>0</v>
      </c>
      <c r="Q568" t="n">
        <v>0</v>
      </c>
      <c r="R568" s="2" t="inlineStr"/>
    </row>
    <row r="569" ht="15" customHeight="1">
      <c r="A569" t="inlineStr">
        <is>
          <t>A 4853-2023</t>
        </is>
      </c>
      <c r="B569" s="1" t="n">
        <v>44957.73234953704</v>
      </c>
      <c r="C569" s="1" t="n">
        <v>46140</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7850-2026</t>
        </is>
      </c>
      <c r="B570" s="1" t="n">
        <v>46062.66236111111</v>
      </c>
      <c r="C570" s="1" t="n">
        <v>46140</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1993-2022</t>
        </is>
      </c>
      <c r="B571" s="1" t="n">
        <v>44575</v>
      </c>
      <c r="C571" s="1" t="n">
        <v>46140</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1793-2023</t>
        </is>
      </c>
      <c r="B572" s="1" t="n">
        <v>44937</v>
      </c>
      <c r="C572" s="1" t="n">
        <v>46140</v>
      </c>
      <c r="D572" t="inlineStr">
        <is>
          <t>VÄSTMANLANDS LÄN</t>
        </is>
      </c>
      <c r="E572" t="inlineStr">
        <is>
          <t>SALA</t>
        </is>
      </c>
      <c r="G572" t="n">
        <v>2.6</v>
      </c>
      <c r="H572" t="n">
        <v>0</v>
      </c>
      <c r="I572" t="n">
        <v>0</v>
      </c>
      <c r="J572" t="n">
        <v>0</v>
      </c>
      <c r="K572" t="n">
        <v>0</v>
      </c>
      <c r="L572" t="n">
        <v>0</v>
      </c>
      <c r="M572" t="n">
        <v>0</v>
      </c>
      <c r="N572" t="n">
        <v>0</v>
      </c>
      <c r="O572" t="n">
        <v>0</v>
      </c>
      <c r="P572" t="n">
        <v>0</v>
      </c>
      <c r="Q572" t="n">
        <v>0</v>
      </c>
      <c r="R572" s="2" t="inlineStr"/>
    </row>
    <row r="573" ht="15" customHeight="1">
      <c r="A573" t="inlineStr">
        <is>
          <t>A 7654-2026</t>
        </is>
      </c>
      <c r="B573" s="1" t="n">
        <v>46062.38828703704</v>
      </c>
      <c r="C573" s="1" t="n">
        <v>46140</v>
      </c>
      <c r="D573" t="inlineStr">
        <is>
          <t>VÄSTMANLANDS LÄN</t>
        </is>
      </c>
      <c r="E573" t="inlineStr">
        <is>
          <t>SALA</t>
        </is>
      </c>
      <c r="G573" t="n">
        <v>4.5</v>
      </c>
      <c r="H573" t="n">
        <v>0</v>
      </c>
      <c r="I573" t="n">
        <v>0</v>
      </c>
      <c r="J573" t="n">
        <v>0</v>
      </c>
      <c r="K573" t="n">
        <v>0</v>
      </c>
      <c r="L573" t="n">
        <v>0</v>
      </c>
      <c r="M573" t="n">
        <v>0</v>
      </c>
      <c r="N573" t="n">
        <v>0</v>
      </c>
      <c r="O573" t="n">
        <v>0</v>
      </c>
      <c r="P573" t="n">
        <v>0</v>
      </c>
      <c r="Q573" t="n">
        <v>0</v>
      </c>
      <c r="R573" s="2" t="inlineStr"/>
    </row>
    <row r="574" ht="15" customHeight="1">
      <c r="A574" t="inlineStr">
        <is>
          <t>A 7597-2026</t>
        </is>
      </c>
      <c r="B574" s="1" t="n">
        <v>46061.91765046296</v>
      </c>
      <c r="C574" s="1" t="n">
        <v>46140</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11617-2026</t>
        </is>
      </c>
      <c r="B575" s="1" t="n">
        <v>46084</v>
      </c>
      <c r="C575" s="1" t="n">
        <v>46140</v>
      </c>
      <c r="D575" t="inlineStr">
        <is>
          <t>VÄSTMANLANDS LÄN</t>
        </is>
      </c>
      <c r="E575" t="inlineStr">
        <is>
          <t>SALA</t>
        </is>
      </c>
      <c r="F575" t="inlineStr">
        <is>
          <t>Kyrkan</t>
        </is>
      </c>
      <c r="G575" t="n">
        <v>3.7</v>
      </c>
      <c r="H575" t="n">
        <v>0</v>
      </c>
      <c r="I575" t="n">
        <v>0</v>
      </c>
      <c r="J575" t="n">
        <v>0</v>
      </c>
      <c r="K575" t="n">
        <v>0</v>
      </c>
      <c r="L575" t="n">
        <v>0</v>
      </c>
      <c r="M575" t="n">
        <v>0</v>
      </c>
      <c r="N575" t="n">
        <v>0</v>
      </c>
      <c r="O575" t="n">
        <v>0</v>
      </c>
      <c r="P575" t="n">
        <v>0</v>
      </c>
      <c r="Q575" t="n">
        <v>0</v>
      </c>
      <c r="R575" s="2" t="inlineStr"/>
    </row>
    <row r="576" ht="15" customHeight="1">
      <c r="A576" t="inlineStr">
        <is>
          <t>A 7611-2026</t>
        </is>
      </c>
      <c r="B576" s="1" t="n">
        <v>46062.32387731481</v>
      </c>
      <c r="C576" s="1" t="n">
        <v>46140</v>
      </c>
      <c r="D576" t="inlineStr">
        <is>
          <t>VÄSTMANLANDS LÄN</t>
        </is>
      </c>
      <c r="E576" t="inlineStr">
        <is>
          <t>SALA</t>
        </is>
      </c>
      <c r="G576" t="n">
        <v>1.9</v>
      </c>
      <c r="H576" t="n">
        <v>0</v>
      </c>
      <c r="I576" t="n">
        <v>0</v>
      </c>
      <c r="J576" t="n">
        <v>0</v>
      </c>
      <c r="K576" t="n">
        <v>0</v>
      </c>
      <c r="L576" t="n">
        <v>0</v>
      </c>
      <c r="M576" t="n">
        <v>0</v>
      </c>
      <c r="N576" t="n">
        <v>0</v>
      </c>
      <c r="O576" t="n">
        <v>0</v>
      </c>
      <c r="P576" t="n">
        <v>0</v>
      </c>
      <c r="Q576" t="n">
        <v>0</v>
      </c>
      <c r="R576" s="2" t="inlineStr"/>
    </row>
    <row r="577" ht="15" customHeight="1">
      <c r="A577" t="inlineStr">
        <is>
          <t>A 7676-2026</t>
        </is>
      </c>
      <c r="B577" s="1" t="n">
        <v>46062.42498842593</v>
      </c>
      <c r="C577" s="1" t="n">
        <v>46140</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7680-2026</t>
        </is>
      </c>
      <c r="B578" s="1" t="n">
        <v>46062.43087962963</v>
      </c>
      <c r="C578" s="1" t="n">
        <v>46140</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7584-2026</t>
        </is>
      </c>
      <c r="B579" s="1" t="n">
        <v>46061.81653935185</v>
      </c>
      <c r="C579" s="1" t="n">
        <v>46140</v>
      </c>
      <c r="D579" t="inlineStr">
        <is>
          <t>VÄSTMANLANDS LÄN</t>
        </is>
      </c>
      <c r="E579" t="inlineStr">
        <is>
          <t>SALA</t>
        </is>
      </c>
      <c r="G579" t="n">
        <v>16.7</v>
      </c>
      <c r="H579" t="n">
        <v>0</v>
      </c>
      <c r="I579" t="n">
        <v>0</v>
      </c>
      <c r="J579" t="n">
        <v>0</v>
      </c>
      <c r="K579" t="n">
        <v>0</v>
      </c>
      <c r="L579" t="n">
        <v>0</v>
      </c>
      <c r="M579" t="n">
        <v>0</v>
      </c>
      <c r="N579" t="n">
        <v>0</v>
      </c>
      <c r="O579" t="n">
        <v>0</v>
      </c>
      <c r="P579" t="n">
        <v>0</v>
      </c>
      <c r="Q579" t="n">
        <v>0</v>
      </c>
      <c r="R579" s="2" t="inlineStr"/>
    </row>
    <row r="580" ht="15" customHeight="1">
      <c r="A580" t="inlineStr">
        <is>
          <t>A 7590-2026</t>
        </is>
      </c>
      <c r="B580" s="1" t="n">
        <v>46061.85252314815</v>
      </c>
      <c r="C580" s="1" t="n">
        <v>46140</v>
      </c>
      <c r="D580" t="inlineStr">
        <is>
          <t>VÄSTMANLANDS LÄN</t>
        </is>
      </c>
      <c r="E580" t="inlineStr">
        <is>
          <t>SALA</t>
        </is>
      </c>
      <c r="G580" t="n">
        <v>1.9</v>
      </c>
      <c r="H580" t="n">
        <v>0</v>
      </c>
      <c r="I580" t="n">
        <v>0</v>
      </c>
      <c r="J580" t="n">
        <v>0</v>
      </c>
      <c r="K580" t="n">
        <v>0</v>
      </c>
      <c r="L580" t="n">
        <v>0</v>
      </c>
      <c r="M580" t="n">
        <v>0</v>
      </c>
      <c r="N580" t="n">
        <v>0</v>
      </c>
      <c r="O580" t="n">
        <v>0</v>
      </c>
      <c r="P580" t="n">
        <v>0</v>
      </c>
      <c r="Q580" t="n">
        <v>0</v>
      </c>
      <c r="R580" s="2" t="inlineStr"/>
    </row>
    <row r="581" ht="15" customHeight="1">
      <c r="A581" t="inlineStr">
        <is>
          <t>A 7596-2026</t>
        </is>
      </c>
      <c r="B581" s="1" t="n">
        <v>46061.90922453703</v>
      </c>
      <c r="C581" s="1" t="n">
        <v>46140</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7661-2026</t>
        </is>
      </c>
      <c r="B582" s="1" t="n">
        <v>46062.39614583334</v>
      </c>
      <c r="C582" s="1" t="n">
        <v>46140</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7588-2026</t>
        </is>
      </c>
      <c r="B583" s="1" t="n">
        <v>46061.83528935185</v>
      </c>
      <c r="C583" s="1" t="n">
        <v>46140</v>
      </c>
      <c r="D583" t="inlineStr">
        <is>
          <t>VÄSTMANLANDS LÄN</t>
        </is>
      </c>
      <c r="E583" t="inlineStr">
        <is>
          <t>SALA</t>
        </is>
      </c>
      <c r="G583" t="n">
        <v>2.8</v>
      </c>
      <c r="H583" t="n">
        <v>0</v>
      </c>
      <c r="I583" t="n">
        <v>0</v>
      </c>
      <c r="J583" t="n">
        <v>0</v>
      </c>
      <c r="K583" t="n">
        <v>0</v>
      </c>
      <c r="L583" t="n">
        <v>0</v>
      </c>
      <c r="M583" t="n">
        <v>0</v>
      </c>
      <c r="N583" t="n">
        <v>0</v>
      </c>
      <c r="O583" t="n">
        <v>0</v>
      </c>
      <c r="P583" t="n">
        <v>0</v>
      </c>
      <c r="Q583" t="n">
        <v>0</v>
      </c>
      <c r="R583" s="2" t="inlineStr"/>
    </row>
    <row r="584" ht="15" customHeight="1">
      <c r="A584" t="inlineStr">
        <is>
          <t>A 7595-2026</t>
        </is>
      </c>
      <c r="B584" s="1" t="n">
        <v>46061.90009259259</v>
      </c>
      <c r="C584" s="1" t="n">
        <v>46140</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7593-2026</t>
        </is>
      </c>
      <c r="B585" s="1" t="n">
        <v>46061.88057870371</v>
      </c>
      <c r="C585" s="1" t="n">
        <v>46140</v>
      </c>
      <c r="D585" t="inlineStr">
        <is>
          <t>VÄSTMANLANDS LÄN</t>
        </is>
      </c>
      <c r="E585" t="inlineStr">
        <is>
          <t>SALA</t>
        </is>
      </c>
      <c r="G585" t="n">
        <v>7.5</v>
      </c>
      <c r="H585" t="n">
        <v>0</v>
      </c>
      <c r="I585" t="n">
        <v>0</v>
      </c>
      <c r="J585" t="n">
        <v>0</v>
      </c>
      <c r="K585" t="n">
        <v>0</v>
      </c>
      <c r="L585" t="n">
        <v>0</v>
      </c>
      <c r="M585" t="n">
        <v>0</v>
      </c>
      <c r="N585" t="n">
        <v>0</v>
      </c>
      <c r="O585" t="n">
        <v>0</v>
      </c>
      <c r="P585" t="n">
        <v>0</v>
      </c>
      <c r="Q585" t="n">
        <v>0</v>
      </c>
      <c r="R585" s="2" t="inlineStr"/>
    </row>
    <row r="586" ht="15" customHeight="1">
      <c r="A586" t="inlineStr">
        <is>
          <t>A 42447-2022</t>
        </is>
      </c>
      <c r="B586" s="1" t="n">
        <v>44831</v>
      </c>
      <c r="C586" s="1" t="n">
        <v>46140</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11183-2023</t>
        </is>
      </c>
      <c r="B587" s="1" t="n">
        <v>44992.57782407408</v>
      </c>
      <c r="C587" s="1" t="n">
        <v>46140</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11190-2023</t>
        </is>
      </c>
      <c r="B588" s="1" t="n">
        <v>44992</v>
      </c>
      <c r="C588" s="1" t="n">
        <v>46140</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31950-2023</t>
        </is>
      </c>
      <c r="B589" s="1" t="n">
        <v>45107</v>
      </c>
      <c r="C589" s="1" t="n">
        <v>46140</v>
      </c>
      <c r="D589" t="inlineStr">
        <is>
          <t>VÄSTMANLANDS LÄN</t>
        </is>
      </c>
      <c r="E589" t="inlineStr">
        <is>
          <t>SALA</t>
        </is>
      </c>
      <c r="G589" t="n">
        <v>1.9</v>
      </c>
      <c r="H589" t="n">
        <v>0</v>
      </c>
      <c r="I589" t="n">
        <v>0</v>
      </c>
      <c r="J589" t="n">
        <v>0</v>
      </c>
      <c r="K589" t="n">
        <v>0</v>
      </c>
      <c r="L589" t="n">
        <v>0</v>
      </c>
      <c r="M589" t="n">
        <v>0</v>
      </c>
      <c r="N589" t="n">
        <v>0</v>
      </c>
      <c r="O589" t="n">
        <v>0</v>
      </c>
      <c r="P589" t="n">
        <v>0</v>
      </c>
      <c r="Q589" t="n">
        <v>0</v>
      </c>
      <c r="R589" s="2" t="inlineStr"/>
    </row>
    <row r="590" ht="15" customHeight="1">
      <c r="A590" t="inlineStr">
        <is>
          <t>A 15630-2026</t>
        </is>
      </c>
      <c r="B590" s="1" t="n">
        <v>46106.62283564815</v>
      </c>
      <c r="C590" s="1" t="n">
        <v>46140</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48710-2024</t>
        </is>
      </c>
      <c r="B591" s="1" t="n">
        <v>45593.53636574074</v>
      </c>
      <c r="C591" s="1" t="n">
        <v>46140</v>
      </c>
      <c r="D591" t="inlineStr">
        <is>
          <t>VÄSTMANLANDS LÄN</t>
        </is>
      </c>
      <c r="E591" t="inlineStr">
        <is>
          <t>SALA</t>
        </is>
      </c>
      <c r="G591" t="n">
        <v>6.5</v>
      </c>
      <c r="H591" t="n">
        <v>0</v>
      </c>
      <c r="I591" t="n">
        <v>0</v>
      </c>
      <c r="J591" t="n">
        <v>0</v>
      </c>
      <c r="K591" t="n">
        <v>0</v>
      </c>
      <c r="L591" t="n">
        <v>0</v>
      </c>
      <c r="M591" t="n">
        <v>0</v>
      </c>
      <c r="N591" t="n">
        <v>0</v>
      </c>
      <c r="O591" t="n">
        <v>0</v>
      </c>
      <c r="P591" t="n">
        <v>0</v>
      </c>
      <c r="Q591" t="n">
        <v>0</v>
      </c>
      <c r="R591" s="2" t="inlineStr"/>
    </row>
    <row r="592" ht="15" customHeight="1">
      <c r="A592" t="inlineStr">
        <is>
          <t>A 23406-2024</t>
        </is>
      </c>
      <c r="B592" s="1" t="n">
        <v>45453.58296296297</v>
      </c>
      <c r="C592" s="1" t="n">
        <v>46140</v>
      </c>
      <c r="D592" t="inlineStr">
        <is>
          <t>VÄSTMANLANDS LÄN</t>
        </is>
      </c>
      <c r="E592" t="inlineStr">
        <is>
          <t>SALA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12246-2023</t>
        </is>
      </c>
      <c r="B593" s="1" t="n">
        <v>44995</v>
      </c>
      <c r="C593" s="1" t="n">
        <v>46140</v>
      </c>
      <c r="D593" t="inlineStr">
        <is>
          <t>VÄSTMANLANDS LÄN</t>
        </is>
      </c>
      <c r="E593" t="inlineStr">
        <is>
          <t>SALA</t>
        </is>
      </c>
      <c r="G593" t="n">
        <v>2.4</v>
      </c>
      <c r="H593" t="n">
        <v>0</v>
      </c>
      <c r="I593" t="n">
        <v>0</v>
      </c>
      <c r="J593" t="n">
        <v>0</v>
      </c>
      <c r="K593" t="n">
        <v>0</v>
      </c>
      <c r="L593" t="n">
        <v>0</v>
      </c>
      <c r="M593" t="n">
        <v>0</v>
      </c>
      <c r="N593" t="n">
        <v>0</v>
      </c>
      <c r="O593" t="n">
        <v>0</v>
      </c>
      <c r="P593" t="n">
        <v>0</v>
      </c>
      <c r="Q593" t="n">
        <v>0</v>
      </c>
      <c r="R593" s="2" t="inlineStr"/>
    </row>
    <row r="594" ht="15" customHeight="1">
      <c r="A594" t="inlineStr">
        <is>
          <t>A 48571-2024</t>
        </is>
      </c>
      <c r="B594" s="1" t="n">
        <v>45591</v>
      </c>
      <c r="C594" s="1" t="n">
        <v>46140</v>
      </c>
      <c r="D594" t="inlineStr">
        <is>
          <t>VÄSTMANLANDS LÄN</t>
        </is>
      </c>
      <c r="E594" t="inlineStr">
        <is>
          <t>SALA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43362-2023</t>
        </is>
      </c>
      <c r="B595" s="1" t="n">
        <v>45183</v>
      </c>
      <c r="C595" s="1" t="n">
        <v>46140</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15823-2026</t>
        </is>
      </c>
      <c r="B596" s="1" t="n">
        <v>46107.54096064815</v>
      </c>
      <c r="C596" s="1" t="n">
        <v>46140</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16767-2024</t>
        </is>
      </c>
      <c r="B597" s="1" t="n">
        <v>45411.38171296296</v>
      </c>
      <c r="C597" s="1" t="n">
        <v>46140</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31470-2021</t>
        </is>
      </c>
      <c r="B598" s="1" t="n">
        <v>44369</v>
      </c>
      <c r="C598" s="1" t="n">
        <v>46140</v>
      </c>
      <c r="D598" t="inlineStr">
        <is>
          <t>VÄSTMANLANDS LÄN</t>
        </is>
      </c>
      <c r="E598" t="inlineStr">
        <is>
          <t>SALA</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18461-2024</t>
        </is>
      </c>
      <c r="B599" s="1" t="n">
        <v>45425.47435185185</v>
      </c>
      <c r="C599" s="1" t="n">
        <v>46140</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29230-2022</t>
        </is>
      </c>
      <c r="B600" s="1" t="n">
        <v>44750</v>
      </c>
      <c r="C600" s="1" t="n">
        <v>46140</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9335-2022</t>
        </is>
      </c>
      <c r="B601" s="1" t="n">
        <v>44616.56579861111</v>
      </c>
      <c r="C601" s="1" t="n">
        <v>46140</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47479-2024</t>
        </is>
      </c>
      <c r="B602" s="1" t="n">
        <v>45587</v>
      </c>
      <c r="C602" s="1" t="n">
        <v>46140</v>
      </c>
      <c r="D602" t="inlineStr">
        <is>
          <t>VÄSTMANLANDS LÄN</t>
        </is>
      </c>
      <c r="E602" t="inlineStr">
        <is>
          <t>SALA</t>
        </is>
      </c>
      <c r="F602" t="inlineStr">
        <is>
          <t>Kommuner</t>
        </is>
      </c>
      <c r="G602" t="n">
        <v>0.8</v>
      </c>
      <c r="H602" t="n">
        <v>0</v>
      </c>
      <c r="I602" t="n">
        <v>0</v>
      </c>
      <c r="J602" t="n">
        <v>0</v>
      </c>
      <c r="K602" t="n">
        <v>0</v>
      </c>
      <c r="L602" t="n">
        <v>0</v>
      </c>
      <c r="M602" t="n">
        <v>0</v>
      </c>
      <c r="N602" t="n">
        <v>0</v>
      </c>
      <c r="O602" t="n">
        <v>0</v>
      </c>
      <c r="P602" t="n">
        <v>0</v>
      </c>
      <c r="Q602" t="n">
        <v>0</v>
      </c>
      <c r="R602" s="2" t="inlineStr"/>
    </row>
    <row r="603" ht="15" customHeight="1">
      <c r="A603" t="inlineStr">
        <is>
          <t>A 16354-2026</t>
        </is>
      </c>
      <c r="B603" s="1" t="n">
        <v>46111.5968287037</v>
      </c>
      <c r="C603" s="1" t="n">
        <v>46140</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16598-2026</t>
        </is>
      </c>
      <c r="B604" s="1" t="n">
        <v>46112.59598379629</v>
      </c>
      <c r="C604" s="1" t="n">
        <v>46140</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19065-2022</t>
        </is>
      </c>
      <c r="B605" s="1" t="n">
        <v>44691.44309027777</v>
      </c>
      <c r="C605" s="1" t="n">
        <v>46140</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22961-2023</t>
        </is>
      </c>
      <c r="B606" s="1" t="n">
        <v>45072</v>
      </c>
      <c r="C606" s="1" t="n">
        <v>46140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22963-2023</t>
        </is>
      </c>
      <c r="B607" s="1" t="n">
        <v>45072</v>
      </c>
      <c r="C607" s="1" t="n">
        <v>46140</v>
      </c>
      <c r="D607" t="inlineStr">
        <is>
          <t>VÄSTMANLANDS LÄN</t>
        </is>
      </c>
      <c r="E607" t="inlineStr">
        <is>
          <t>SALA</t>
        </is>
      </c>
      <c r="G607" t="n">
        <v>1.2</v>
      </c>
      <c r="H607" t="n">
        <v>0</v>
      </c>
      <c r="I607" t="n">
        <v>0</v>
      </c>
      <c r="J607" t="n">
        <v>0</v>
      </c>
      <c r="K607" t="n">
        <v>0</v>
      </c>
      <c r="L607" t="n">
        <v>0</v>
      </c>
      <c r="M607" t="n">
        <v>0</v>
      </c>
      <c r="N607" t="n">
        <v>0</v>
      </c>
      <c r="O607" t="n">
        <v>0</v>
      </c>
      <c r="P607" t="n">
        <v>0</v>
      </c>
      <c r="Q607" t="n">
        <v>0</v>
      </c>
      <c r="R607" s="2" t="inlineStr"/>
    </row>
    <row r="608" ht="15" customHeight="1">
      <c r="A608" t="inlineStr">
        <is>
          <t>A 16367-2026</t>
        </is>
      </c>
      <c r="B608" s="1" t="n">
        <v>46111.61380787037</v>
      </c>
      <c r="C608" s="1" t="n">
        <v>46140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16369-2026</t>
        </is>
      </c>
      <c r="B609" s="1" t="n">
        <v>46111</v>
      </c>
      <c r="C609" s="1" t="n">
        <v>46140</v>
      </c>
      <c r="D609" t="inlineStr">
        <is>
          <t>VÄSTMANLANDS LÄN</t>
        </is>
      </c>
      <c r="E609" t="inlineStr">
        <is>
          <t>SALA</t>
        </is>
      </c>
      <c r="G609" t="n">
        <v>1.4</v>
      </c>
      <c r="H609" t="n">
        <v>0</v>
      </c>
      <c r="I609" t="n">
        <v>0</v>
      </c>
      <c r="J609" t="n">
        <v>0</v>
      </c>
      <c r="K609" t="n">
        <v>0</v>
      </c>
      <c r="L609" t="n">
        <v>0</v>
      </c>
      <c r="M609" t="n">
        <v>0</v>
      </c>
      <c r="N609" t="n">
        <v>0</v>
      </c>
      <c r="O609" t="n">
        <v>0</v>
      </c>
      <c r="P609" t="n">
        <v>0</v>
      </c>
      <c r="Q609" t="n">
        <v>0</v>
      </c>
      <c r="R609" s="2" t="inlineStr"/>
    </row>
    <row r="610" ht="15" customHeight="1">
      <c r="A610" t="inlineStr">
        <is>
          <t>A 16364-2026</t>
        </is>
      </c>
      <c r="B610" s="1" t="n">
        <v>46111.6115625</v>
      </c>
      <c r="C610" s="1" t="n">
        <v>46140</v>
      </c>
      <c r="D610" t="inlineStr">
        <is>
          <t>VÄSTMANLANDS LÄN</t>
        </is>
      </c>
      <c r="E610" t="inlineStr">
        <is>
          <t>SALA</t>
        </is>
      </c>
      <c r="G610" t="n">
        <v>4.7</v>
      </c>
      <c r="H610" t="n">
        <v>0</v>
      </c>
      <c r="I610" t="n">
        <v>0</v>
      </c>
      <c r="J610" t="n">
        <v>0</v>
      </c>
      <c r="K610" t="n">
        <v>0</v>
      </c>
      <c r="L610" t="n">
        <v>0</v>
      </c>
      <c r="M610" t="n">
        <v>0</v>
      </c>
      <c r="N610" t="n">
        <v>0</v>
      </c>
      <c r="O610" t="n">
        <v>0</v>
      </c>
      <c r="P610" t="n">
        <v>0</v>
      </c>
      <c r="Q610" t="n">
        <v>0</v>
      </c>
      <c r="R610" s="2" t="inlineStr"/>
    </row>
    <row r="611" ht="15" customHeight="1">
      <c r="A611" t="inlineStr">
        <is>
          <t>A 10585-2022</t>
        </is>
      </c>
      <c r="B611" s="1" t="n">
        <v>44624</v>
      </c>
      <c r="C611" s="1" t="n">
        <v>46140</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69236-2021</t>
        </is>
      </c>
      <c r="B612" s="1" t="n">
        <v>44531.4047337963</v>
      </c>
      <c r="C612" s="1" t="n">
        <v>46140</v>
      </c>
      <c r="D612" t="inlineStr">
        <is>
          <t>VÄSTMANLANDS LÄN</t>
        </is>
      </c>
      <c r="E612" t="inlineStr">
        <is>
          <t>SALA</t>
        </is>
      </c>
      <c r="G612" t="n">
        <v>2.8</v>
      </c>
      <c r="H612" t="n">
        <v>0</v>
      </c>
      <c r="I612" t="n">
        <v>0</v>
      </c>
      <c r="J612" t="n">
        <v>0</v>
      </c>
      <c r="K612" t="n">
        <v>0</v>
      </c>
      <c r="L612" t="n">
        <v>0</v>
      </c>
      <c r="M612" t="n">
        <v>0</v>
      </c>
      <c r="N612" t="n">
        <v>0</v>
      </c>
      <c r="O612" t="n">
        <v>0</v>
      </c>
      <c r="P612" t="n">
        <v>0</v>
      </c>
      <c r="Q612" t="n">
        <v>0</v>
      </c>
      <c r="R612" s="2" t="inlineStr"/>
    </row>
    <row r="613" ht="15" customHeight="1">
      <c r="A613" t="inlineStr">
        <is>
          <t>A 48117-2024</t>
        </is>
      </c>
      <c r="B613" s="1" t="n">
        <v>45589</v>
      </c>
      <c r="C613" s="1" t="n">
        <v>46140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12225-2023</t>
        </is>
      </c>
      <c r="B614" s="1" t="n">
        <v>44995</v>
      </c>
      <c r="C614" s="1" t="n">
        <v>46140</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12252-2023</t>
        </is>
      </c>
      <c r="B615" s="1" t="n">
        <v>44995</v>
      </c>
      <c r="C615" s="1" t="n">
        <v>46140</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6116-2023</t>
        </is>
      </c>
      <c r="B616" s="1" t="n">
        <v>44964</v>
      </c>
      <c r="C616" s="1" t="n">
        <v>46140</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18100-2023</t>
        </is>
      </c>
      <c r="B617" s="1" t="n">
        <v>45040</v>
      </c>
      <c r="C617" s="1" t="n">
        <v>46140</v>
      </c>
      <c r="D617" t="inlineStr">
        <is>
          <t>VÄSTMANLANDS LÄN</t>
        </is>
      </c>
      <c r="E617" t="inlineStr">
        <is>
          <t>SALA</t>
        </is>
      </c>
      <c r="G617" t="n">
        <v>1.8</v>
      </c>
      <c r="H617" t="n">
        <v>0</v>
      </c>
      <c r="I617" t="n">
        <v>0</v>
      </c>
      <c r="J617" t="n">
        <v>0</v>
      </c>
      <c r="K617" t="n">
        <v>0</v>
      </c>
      <c r="L617" t="n">
        <v>0</v>
      </c>
      <c r="M617" t="n">
        <v>0</v>
      </c>
      <c r="N617" t="n">
        <v>0</v>
      </c>
      <c r="O617" t="n">
        <v>0</v>
      </c>
      <c r="P617" t="n">
        <v>0</v>
      </c>
      <c r="Q617" t="n">
        <v>0</v>
      </c>
      <c r="R617" s="2" t="inlineStr"/>
    </row>
    <row r="618" ht="15" customHeight="1">
      <c r="A618" t="inlineStr">
        <is>
          <t>A 13471-2025</t>
        </is>
      </c>
      <c r="B618" s="1" t="n">
        <v>45736.40579861111</v>
      </c>
      <c r="C618" s="1" t="n">
        <v>46140</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26854-2024</t>
        </is>
      </c>
      <c r="B619" s="1" t="n">
        <v>45470</v>
      </c>
      <c r="C619" s="1" t="n">
        <v>46140</v>
      </c>
      <c r="D619" t="inlineStr">
        <is>
          <t>VÄSTMANLANDS LÄN</t>
        </is>
      </c>
      <c r="E619" t="inlineStr">
        <is>
          <t>SALA</t>
        </is>
      </c>
      <c r="G619" t="n">
        <v>1.4</v>
      </c>
      <c r="H619" t="n">
        <v>0</v>
      </c>
      <c r="I619" t="n">
        <v>0</v>
      </c>
      <c r="J619" t="n">
        <v>0</v>
      </c>
      <c r="K619" t="n">
        <v>0</v>
      </c>
      <c r="L619" t="n">
        <v>0</v>
      </c>
      <c r="M619" t="n">
        <v>0</v>
      </c>
      <c r="N619" t="n">
        <v>0</v>
      </c>
      <c r="O619" t="n">
        <v>0</v>
      </c>
      <c r="P619" t="n">
        <v>0</v>
      </c>
      <c r="Q619" t="n">
        <v>0</v>
      </c>
      <c r="R619" s="2" t="inlineStr"/>
    </row>
    <row r="620" ht="15" customHeight="1">
      <c r="A620" t="inlineStr">
        <is>
          <t>A 37602-2024</t>
        </is>
      </c>
      <c r="B620" s="1" t="n">
        <v>45541</v>
      </c>
      <c r="C620" s="1" t="n">
        <v>46140</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1985-2022</t>
        </is>
      </c>
      <c r="B621" s="1" t="n">
        <v>44575</v>
      </c>
      <c r="C621" s="1" t="n">
        <v>46140</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21455-2023</t>
        </is>
      </c>
      <c r="B622" s="1" t="n">
        <v>45058</v>
      </c>
      <c r="C622" s="1" t="n">
        <v>46140</v>
      </c>
      <c r="D622" t="inlineStr">
        <is>
          <t>VÄSTMANLANDS LÄN</t>
        </is>
      </c>
      <c r="E622" t="inlineStr">
        <is>
          <t>SALA</t>
        </is>
      </c>
      <c r="G622" t="n">
        <v>6.4</v>
      </c>
      <c r="H622" t="n">
        <v>0</v>
      </c>
      <c r="I622" t="n">
        <v>0</v>
      </c>
      <c r="J622" t="n">
        <v>0</v>
      </c>
      <c r="K622" t="n">
        <v>0</v>
      </c>
      <c r="L622" t="n">
        <v>0</v>
      </c>
      <c r="M622" t="n">
        <v>0</v>
      </c>
      <c r="N622" t="n">
        <v>0</v>
      </c>
      <c r="O622" t="n">
        <v>0</v>
      </c>
      <c r="P622" t="n">
        <v>0</v>
      </c>
      <c r="Q622" t="n">
        <v>0</v>
      </c>
      <c r="R622" s="2" t="inlineStr"/>
    </row>
    <row r="623" ht="15" customHeight="1">
      <c r="A623" t="inlineStr">
        <is>
          <t>A 10245-2026</t>
        </is>
      </c>
      <c r="B623" s="1" t="n">
        <v>46076.55144675926</v>
      </c>
      <c r="C623" s="1" t="n">
        <v>46140</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10252-2026</t>
        </is>
      </c>
      <c r="B624" s="1" t="n">
        <v>46076.55700231482</v>
      </c>
      <c r="C624" s="1" t="n">
        <v>46140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46140</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44957.72496527778</v>
      </c>
      <c r="C626" s="1" t="n">
        <v>46140</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36858-2023</t>
        </is>
      </c>
      <c r="B627" s="1" t="n">
        <v>45154.55184027777</v>
      </c>
      <c r="C627" s="1" t="n">
        <v>46140</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10239-2026</t>
        </is>
      </c>
      <c r="B628" s="1" t="n">
        <v>46076.54824074074</v>
      </c>
      <c r="C628" s="1" t="n">
        <v>46140</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58701-2021</t>
        </is>
      </c>
      <c r="B629" s="1" t="n">
        <v>44489.46454861111</v>
      </c>
      <c r="C629" s="1" t="n">
        <v>46140</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37337-2024</t>
        </is>
      </c>
      <c r="B630" s="1" t="n">
        <v>45540</v>
      </c>
      <c r="C630" s="1" t="n">
        <v>46140</v>
      </c>
      <c r="D630" t="inlineStr">
        <is>
          <t>VÄSTMANLANDS LÄN</t>
        </is>
      </c>
      <c r="E630" t="inlineStr">
        <is>
          <t>SALA</t>
        </is>
      </c>
      <c r="G630" t="n">
        <v>6.5</v>
      </c>
      <c r="H630" t="n">
        <v>0</v>
      </c>
      <c r="I630" t="n">
        <v>0</v>
      </c>
      <c r="J630" t="n">
        <v>0</v>
      </c>
      <c r="K630" t="n">
        <v>0</v>
      </c>
      <c r="L630" t="n">
        <v>0</v>
      </c>
      <c r="M630" t="n">
        <v>0</v>
      </c>
      <c r="N630" t="n">
        <v>0</v>
      </c>
      <c r="O630" t="n">
        <v>0</v>
      </c>
      <c r="P630" t="n">
        <v>0</v>
      </c>
      <c r="Q630" t="n">
        <v>0</v>
      </c>
      <c r="R630" s="2" t="inlineStr"/>
    </row>
    <row r="631" ht="15" customHeight="1">
      <c r="A631" t="inlineStr">
        <is>
          <t>A 10250-2025</t>
        </is>
      </c>
      <c r="B631" s="1" t="n">
        <v>45720.36165509259</v>
      </c>
      <c r="C631" s="1" t="n">
        <v>46140</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23180-2022</t>
        </is>
      </c>
      <c r="B632" s="1" t="n">
        <v>44719.79344907407</v>
      </c>
      <c r="C632" s="1" t="n">
        <v>46140</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21053-2022</t>
        </is>
      </c>
      <c r="B633" s="1" t="n">
        <v>44704</v>
      </c>
      <c r="C633" s="1" t="n">
        <v>46140</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18340-2025</t>
        </is>
      </c>
      <c r="B634" s="1" t="n">
        <v>45762</v>
      </c>
      <c r="C634" s="1" t="n">
        <v>46140</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16638-2023</t>
        </is>
      </c>
      <c r="B635" s="1" t="n">
        <v>45027</v>
      </c>
      <c r="C635" s="1" t="n">
        <v>46140</v>
      </c>
      <c r="D635" t="inlineStr">
        <is>
          <t>VÄSTMANLANDS LÄN</t>
        </is>
      </c>
      <c r="E635" t="inlineStr">
        <is>
          <t>SALA</t>
        </is>
      </c>
      <c r="G635" t="n">
        <v>14.8</v>
      </c>
      <c r="H635" t="n">
        <v>0</v>
      </c>
      <c r="I635" t="n">
        <v>0</v>
      </c>
      <c r="J635" t="n">
        <v>0</v>
      </c>
      <c r="K635" t="n">
        <v>0</v>
      </c>
      <c r="L635" t="n">
        <v>0</v>
      </c>
      <c r="M635" t="n">
        <v>0</v>
      </c>
      <c r="N635" t="n">
        <v>0</v>
      </c>
      <c r="O635" t="n">
        <v>0</v>
      </c>
      <c r="P635" t="n">
        <v>0</v>
      </c>
      <c r="Q635" t="n">
        <v>0</v>
      </c>
      <c r="R635" s="2" t="inlineStr"/>
    </row>
    <row r="636" ht="15" customHeight="1">
      <c r="A636" t="inlineStr">
        <is>
          <t>A 17117-2023</t>
        </is>
      </c>
      <c r="B636" s="1" t="n">
        <v>45034</v>
      </c>
      <c r="C636" s="1" t="n">
        <v>46140</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59909-2024</t>
        </is>
      </c>
      <c r="B637" s="1" t="n">
        <v>45641</v>
      </c>
      <c r="C637" s="1" t="n">
        <v>46140</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18592-2026</t>
        </is>
      </c>
      <c r="B638" s="1" t="n">
        <v>46127.64232638889</v>
      </c>
      <c r="C638" s="1" t="n">
        <v>46140</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30028-2024</t>
        </is>
      </c>
      <c r="B639" s="1" t="n">
        <v>45485</v>
      </c>
      <c r="C639" s="1" t="n">
        <v>46140</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18382-2026</t>
        </is>
      </c>
      <c r="B640" s="1" t="n">
        <v>46126.63601851852</v>
      </c>
      <c r="C640" s="1" t="n">
        <v>46140</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33309-2022</t>
        </is>
      </c>
      <c r="B641" s="1" t="n">
        <v>44788.40986111111</v>
      </c>
      <c r="C641" s="1" t="n">
        <v>46140</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7377-2023</t>
        </is>
      </c>
      <c r="B642" s="1" t="n">
        <v>44971</v>
      </c>
      <c r="C642" s="1" t="n">
        <v>46140</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27229-2022</t>
        </is>
      </c>
      <c r="B643" s="1" t="n">
        <v>44741</v>
      </c>
      <c r="C643" s="1" t="n">
        <v>46140</v>
      </c>
      <c r="D643" t="inlineStr">
        <is>
          <t>VÄSTMANLANDS LÄN</t>
        </is>
      </c>
      <c r="E643" t="inlineStr">
        <is>
          <t>SALA</t>
        </is>
      </c>
      <c r="F643" t="inlineStr">
        <is>
          <t>Kommuner</t>
        </is>
      </c>
      <c r="G643" t="n">
        <v>1.4</v>
      </c>
      <c r="H643" t="n">
        <v>0</v>
      </c>
      <c r="I643" t="n">
        <v>0</v>
      </c>
      <c r="J643" t="n">
        <v>0</v>
      </c>
      <c r="K643" t="n">
        <v>0</v>
      </c>
      <c r="L643" t="n">
        <v>0</v>
      </c>
      <c r="M643" t="n">
        <v>0</v>
      </c>
      <c r="N643" t="n">
        <v>0</v>
      </c>
      <c r="O643" t="n">
        <v>0</v>
      </c>
      <c r="P643" t="n">
        <v>0</v>
      </c>
      <c r="Q643" t="n">
        <v>0</v>
      </c>
      <c r="R643" s="2" t="inlineStr"/>
    </row>
    <row r="644" ht="15" customHeight="1">
      <c r="A644" t="inlineStr">
        <is>
          <t>A 12144-2026</t>
        </is>
      </c>
      <c r="B644" s="1" t="n">
        <v>46086.58008101852</v>
      </c>
      <c r="C644" s="1" t="n">
        <v>46140</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24755-2021</t>
        </is>
      </c>
      <c r="B645" s="1" t="n">
        <v>44340</v>
      </c>
      <c r="C645" s="1" t="n">
        <v>46140</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34867-2023</t>
        </is>
      </c>
      <c r="B646" s="1" t="n">
        <v>45142.33481481481</v>
      </c>
      <c r="C646" s="1" t="n">
        <v>46140</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25748-2022</t>
        </is>
      </c>
      <c r="B647" s="1" t="n">
        <v>44732</v>
      </c>
      <c r="C647" s="1" t="n">
        <v>46140</v>
      </c>
      <c r="D647" t="inlineStr">
        <is>
          <t>VÄSTMANLANDS LÄN</t>
        </is>
      </c>
      <c r="E647" t="inlineStr">
        <is>
          <t>SALA</t>
        </is>
      </c>
      <c r="G647" t="n">
        <v>7.7</v>
      </c>
      <c r="H647" t="n">
        <v>0</v>
      </c>
      <c r="I647" t="n">
        <v>0</v>
      </c>
      <c r="J647" t="n">
        <v>0</v>
      </c>
      <c r="K647" t="n">
        <v>0</v>
      </c>
      <c r="L647" t="n">
        <v>0</v>
      </c>
      <c r="M647" t="n">
        <v>0</v>
      </c>
      <c r="N647" t="n">
        <v>0</v>
      </c>
      <c r="O647" t="n">
        <v>0</v>
      </c>
      <c r="P647" t="n">
        <v>0</v>
      </c>
      <c r="Q647" t="n">
        <v>0</v>
      </c>
      <c r="R647" s="2" t="inlineStr"/>
    </row>
    <row r="648" ht="15" customHeight="1">
      <c r="A648" t="inlineStr">
        <is>
          <t>A 19044-2026</t>
        </is>
      </c>
      <c r="B648" s="1" t="n">
        <v>46132.33789351852</v>
      </c>
      <c r="C648" s="1" t="n">
        <v>46140</v>
      </c>
      <c r="D648" t="inlineStr">
        <is>
          <t>VÄSTMANLANDS LÄN</t>
        </is>
      </c>
      <c r="E648" t="inlineStr">
        <is>
          <t>SALA</t>
        </is>
      </c>
      <c r="G648" t="n">
        <v>1.7</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46140</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13128-2023</t>
        </is>
      </c>
      <c r="B650" s="1" t="n">
        <v>45002</v>
      </c>
      <c r="C650" s="1" t="n">
        <v>46140</v>
      </c>
      <c r="D650" t="inlineStr">
        <is>
          <t>VÄSTMANLANDS LÄN</t>
        </is>
      </c>
      <c r="E650" t="inlineStr">
        <is>
          <t>SALA</t>
        </is>
      </c>
      <c r="G650" t="n">
        <v>7.9</v>
      </c>
      <c r="H650" t="n">
        <v>0</v>
      </c>
      <c r="I650" t="n">
        <v>0</v>
      </c>
      <c r="J650" t="n">
        <v>0</v>
      </c>
      <c r="K650" t="n">
        <v>0</v>
      </c>
      <c r="L650" t="n">
        <v>0</v>
      </c>
      <c r="M650" t="n">
        <v>0</v>
      </c>
      <c r="N650" t="n">
        <v>0</v>
      </c>
      <c r="O650" t="n">
        <v>0</v>
      </c>
      <c r="P650" t="n">
        <v>0</v>
      </c>
      <c r="Q650" t="n">
        <v>0</v>
      </c>
      <c r="R650" s="2" t="inlineStr"/>
    </row>
    <row r="651" ht="15" customHeight="1">
      <c r="A651" t="inlineStr">
        <is>
          <t>A 12497-2026</t>
        </is>
      </c>
      <c r="B651" s="1" t="n">
        <v>46090.57240740741</v>
      </c>
      <c r="C651" s="1" t="n">
        <v>46140</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37958-2024</t>
        </is>
      </c>
      <c r="B652" s="1" t="n">
        <v>45544</v>
      </c>
      <c r="C652" s="1" t="n">
        <v>46140</v>
      </c>
      <c r="D652" t="inlineStr">
        <is>
          <t>VÄSTMANLANDS LÄN</t>
        </is>
      </c>
      <c r="E652" t="inlineStr">
        <is>
          <t>SALA</t>
        </is>
      </c>
      <c r="G652" t="n">
        <v>5.6</v>
      </c>
      <c r="H652" t="n">
        <v>0</v>
      </c>
      <c r="I652" t="n">
        <v>0</v>
      </c>
      <c r="J652" t="n">
        <v>0</v>
      </c>
      <c r="K652" t="n">
        <v>0</v>
      </c>
      <c r="L652" t="n">
        <v>0</v>
      </c>
      <c r="M652" t="n">
        <v>0</v>
      </c>
      <c r="N652" t="n">
        <v>0</v>
      </c>
      <c r="O652" t="n">
        <v>0</v>
      </c>
      <c r="P652" t="n">
        <v>0</v>
      </c>
      <c r="Q652" t="n">
        <v>0</v>
      </c>
      <c r="R652" s="2" t="inlineStr"/>
    </row>
    <row r="653" ht="15" customHeight="1">
      <c r="A653" t="inlineStr">
        <is>
          <t>A 19376-2026</t>
        </is>
      </c>
      <c r="B653" s="1" t="n">
        <v>46133.54998842593</v>
      </c>
      <c r="C653" s="1" t="n">
        <v>46140</v>
      </c>
      <c r="D653" t="inlineStr">
        <is>
          <t>VÄSTMANLANDS LÄN</t>
        </is>
      </c>
      <c r="E653" t="inlineStr">
        <is>
          <t>SALA</t>
        </is>
      </c>
      <c r="G653" t="n">
        <v>3.8</v>
      </c>
      <c r="H653" t="n">
        <v>0</v>
      </c>
      <c r="I653" t="n">
        <v>0</v>
      </c>
      <c r="J653" t="n">
        <v>0</v>
      </c>
      <c r="K653" t="n">
        <v>0</v>
      </c>
      <c r="L653" t="n">
        <v>0</v>
      </c>
      <c r="M653" t="n">
        <v>0</v>
      </c>
      <c r="N653" t="n">
        <v>0</v>
      </c>
      <c r="O653" t="n">
        <v>0</v>
      </c>
      <c r="P653" t="n">
        <v>0</v>
      </c>
      <c r="Q653" t="n">
        <v>0</v>
      </c>
      <c r="R653" s="2" t="inlineStr"/>
    </row>
    <row r="654" ht="15" customHeight="1">
      <c r="A654" t="inlineStr">
        <is>
          <t>A 18431-2023</t>
        </is>
      </c>
      <c r="B654" s="1" t="n">
        <v>45042</v>
      </c>
      <c r="C654" s="1" t="n">
        <v>46140</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57650-2024</t>
        </is>
      </c>
      <c r="B655" s="1" t="n">
        <v>45630</v>
      </c>
      <c r="C655" s="1" t="n">
        <v>46140</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10255-2024</t>
        </is>
      </c>
      <c r="B656" s="1" t="n">
        <v>45365</v>
      </c>
      <c r="C656" s="1" t="n">
        <v>46140</v>
      </c>
      <c r="D656" t="inlineStr">
        <is>
          <t>VÄSTMANLANDS LÄN</t>
        </is>
      </c>
      <c r="E656" t="inlineStr">
        <is>
          <t>SALA</t>
        </is>
      </c>
      <c r="F656" t="inlineStr">
        <is>
          <t>Kommuner</t>
        </is>
      </c>
      <c r="G656" t="n">
        <v>0.8</v>
      </c>
      <c r="H656" t="n">
        <v>0</v>
      </c>
      <c r="I656" t="n">
        <v>0</v>
      </c>
      <c r="J656" t="n">
        <v>0</v>
      </c>
      <c r="K656" t="n">
        <v>0</v>
      </c>
      <c r="L656" t="n">
        <v>0</v>
      </c>
      <c r="M656" t="n">
        <v>0</v>
      </c>
      <c r="N656" t="n">
        <v>0</v>
      </c>
      <c r="O656" t="n">
        <v>0</v>
      </c>
      <c r="P656" t="n">
        <v>0</v>
      </c>
      <c r="Q656" t="n">
        <v>0</v>
      </c>
      <c r="R656" s="2" t="inlineStr"/>
    </row>
    <row r="657" ht="15" customHeight="1">
      <c r="A657" t="inlineStr">
        <is>
          <t>A 28696-2023</t>
        </is>
      </c>
      <c r="B657" s="1" t="n">
        <v>45103.71759259259</v>
      </c>
      <c r="C657" s="1" t="n">
        <v>46140</v>
      </c>
      <c r="D657" t="inlineStr">
        <is>
          <t>VÄSTMANLANDS LÄN</t>
        </is>
      </c>
      <c r="E657" t="inlineStr">
        <is>
          <t>SALA</t>
        </is>
      </c>
      <c r="F657" t="inlineStr">
        <is>
          <t>Kommuner</t>
        </is>
      </c>
      <c r="G657" t="n">
        <v>5.9</v>
      </c>
      <c r="H657" t="n">
        <v>0</v>
      </c>
      <c r="I657" t="n">
        <v>0</v>
      </c>
      <c r="J657" t="n">
        <v>0</v>
      </c>
      <c r="K657" t="n">
        <v>0</v>
      </c>
      <c r="L657" t="n">
        <v>0</v>
      </c>
      <c r="M657" t="n">
        <v>0</v>
      </c>
      <c r="N657" t="n">
        <v>0</v>
      </c>
      <c r="O657" t="n">
        <v>0</v>
      </c>
      <c r="P657" t="n">
        <v>0</v>
      </c>
      <c r="Q657" t="n">
        <v>0</v>
      </c>
      <c r="R657" s="2" t="inlineStr"/>
    </row>
    <row r="658" ht="15" customHeight="1">
      <c r="A658" t="inlineStr">
        <is>
          <t>A 13032-2026</t>
        </is>
      </c>
      <c r="B658" s="1" t="n">
        <v>46092.90436342593</v>
      </c>
      <c r="C658" s="1" t="n">
        <v>46140</v>
      </c>
      <c r="D658" t="inlineStr">
        <is>
          <t>VÄSTMANLANDS LÄN</t>
        </is>
      </c>
      <c r="E658" t="inlineStr">
        <is>
          <t>SALA</t>
        </is>
      </c>
      <c r="G658" t="n">
        <v>3.4</v>
      </c>
      <c r="H658" t="n">
        <v>0</v>
      </c>
      <c r="I658" t="n">
        <v>0</v>
      </c>
      <c r="J658" t="n">
        <v>0</v>
      </c>
      <c r="K658" t="n">
        <v>0</v>
      </c>
      <c r="L658" t="n">
        <v>0</v>
      </c>
      <c r="M658" t="n">
        <v>0</v>
      </c>
      <c r="N658" t="n">
        <v>0</v>
      </c>
      <c r="O658" t="n">
        <v>0</v>
      </c>
      <c r="P658" t="n">
        <v>0</v>
      </c>
      <c r="Q658" t="n">
        <v>0</v>
      </c>
      <c r="R658" s="2" t="inlineStr"/>
    </row>
    <row r="659" ht="15" customHeight="1">
      <c r="A659" t="inlineStr">
        <is>
          <t>A 31072-2021</t>
        </is>
      </c>
      <c r="B659" s="1" t="n">
        <v>44368</v>
      </c>
      <c r="C659" s="1" t="n">
        <v>46140</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16543-2023</t>
        </is>
      </c>
      <c r="B660" s="1" t="n">
        <v>45029</v>
      </c>
      <c r="C660" s="1" t="n">
        <v>46140</v>
      </c>
      <c r="D660" t="inlineStr">
        <is>
          <t>VÄSTMANLANDS LÄN</t>
        </is>
      </c>
      <c r="E660" t="inlineStr">
        <is>
          <t>SALA</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22523-2023</t>
        </is>
      </c>
      <c r="B661" s="1" t="n">
        <v>45069</v>
      </c>
      <c r="C661" s="1" t="n">
        <v>46140</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4663-2022</t>
        </is>
      </c>
      <c r="B662" s="1" t="n">
        <v>44592.45429398148</v>
      </c>
      <c r="C662" s="1" t="n">
        <v>46140</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6132-2025</t>
        </is>
      </c>
      <c r="B663" s="1" t="n">
        <v>45698</v>
      </c>
      <c r="C663" s="1" t="n">
        <v>46140</v>
      </c>
      <c r="D663" t="inlineStr">
        <is>
          <t>VÄSTMANLANDS LÄN</t>
        </is>
      </c>
      <c r="E663" t="inlineStr">
        <is>
          <t>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31859-2023</t>
        </is>
      </c>
      <c r="B664" s="1" t="n">
        <v>45118</v>
      </c>
      <c r="C664" s="1" t="n">
        <v>46140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c r="U664">
        <f>HYPERLINK("https://klasma.github.io/Logging_1981/knärot/A 31859-2023 karta knärot.png", "A 31859-2023")</f>
        <v/>
      </c>
      <c r="V664">
        <f>HYPERLINK("https://klasma.github.io/Logging_1981/klagomål/A 31859-2023 FSC-klagomål.docx", "A 31859-2023")</f>
        <v/>
      </c>
      <c r="W664">
        <f>HYPERLINK("https://klasma.github.io/Logging_1981/klagomålsmail/A 31859-2023 FSC-klagomål mail.docx", "A 31859-2023")</f>
        <v/>
      </c>
      <c r="X664">
        <f>HYPERLINK("https://klasma.github.io/Logging_1981/tillsyn/A 31859-2023 tillsynsbegäran.docx", "A 31859-2023")</f>
        <v/>
      </c>
      <c r="Y664">
        <f>HYPERLINK("https://klasma.github.io/Logging_1981/tillsynsmail/A 31859-2023 tillsynsbegäran mail.docx", "A 31859-2023")</f>
        <v/>
      </c>
    </row>
    <row r="665" ht="15" customHeight="1">
      <c r="A665" t="inlineStr">
        <is>
          <t>A 61681-2024</t>
        </is>
      </c>
      <c r="B665" s="1" t="n">
        <v>45647</v>
      </c>
      <c r="C665" s="1" t="n">
        <v>46140</v>
      </c>
      <c r="D665" t="inlineStr">
        <is>
          <t>VÄSTMANLANDS LÄN</t>
        </is>
      </c>
      <c r="E665" t="inlineStr">
        <is>
          <t>SALA</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54960-2024</t>
        </is>
      </c>
      <c r="B666" s="1" t="n">
        <v>45619.85208333333</v>
      </c>
      <c r="C666" s="1" t="n">
        <v>46140</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31082-2021</t>
        </is>
      </c>
      <c r="B667" s="1" t="n">
        <v>44368</v>
      </c>
      <c r="C667" s="1" t="n">
        <v>46140</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20352-2022</t>
        </is>
      </c>
      <c r="B668" s="1" t="n">
        <v>44699.37318287037</v>
      </c>
      <c r="C668" s="1" t="n">
        <v>46140</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13639-2026</t>
        </is>
      </c>
      <c r="B669" s="1" t="n">
        <v>46097</v>
      </c>
      <c r="C669" s="1" t="n">
        <v>46140</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27657-2023</t>
        </is>
      </c>
      <c r="B670" s="1" t="n">
        <v>45097.76631944445</v>
      </c>
      <c r="C670" s="1" t="n">
        <v>46140</v>
      </c>
      <c r="D670" t="inlineStr">
        <is>
          <t>VÄSTMANLANDS LÄN</t>
        </is>
      </c>
      <c r="E670" t="inlineStr">
        <is>
          <t>SALA</t>
        </is>
      </c>
      <c r="G670" t="n">
        <v>0.1</v>
      </c>
      <c r="H670" t="n">
        <v>0</v>
      </c>
      <c r="I670" t="n">
        <v>0</v>
      </c>
      <c r="J670" t="n">
        <v>0</v>
      </c>
      <c r="K670" t="n">
        <v>0</v>
      </c>
      <c r="L670" t="n">
        <v>0</v>
      </c>
      <c r="M670" t="n">
        <v>0</v>
      </c>
      <c r="N670" t="n">
        <v>0</v>
      </c>
      <c r="O670" t="n">
        <v>0</v>
      </c>
      <c r="P670" t="n">
        <v>0</v>
      </c>
      <c r="Q670" t="n">
        <v>0</v>
      </c>
      <c r="R670" s="2" t="inlineStr"/>
    </row>
    <row r="671" ht="15" customHeight="1">
      <c r="A671" t="inlineStr">
        <is>
          <t>A 2766-2024</t>
        </is>
      </c>
      <c r="B671" s="1" t="n">
        <v>45314.60950231482</v>
      </c>
      <c r="C671" s="1" t="n">
        <v>46140</v>
      </c>
      <c r="D671" t="inlineStr">
        <is>
          <t>VÄSTMANLANDS LÄN</t>
        </is>
      </c>
      <c r="E671" t="inlineStr">
        <is>
          <t>SALA</t>
        </is>
      </c>
      <c r="G671" t="n">
        <v>2.8</v>
      </c>
      <c r="H671" t="n">
        <v>0</v>
      </c>
      <c r="I671" t="n">
        <v>0</v>
      </c>
      <c r="J671" t="n">
        <v>0</v>
      </c>
      <c r="K671" t="n">
        <v>0</v>
      </c>
      <c r="L671" t="n">
        <v>0</v>
      </c>
      <c r="M671" t="n">
        <v>0</v>
      </c>
      <c r="N671" t="n">
        <v>0</v>
      </c>
      <c r="O671" t="n">
        <v>0</v>
      </c>
      <c r="P671" t="n">
        <v>0</v>
      </c>
      <c r="Q671" t="n">
        <v>0</v>
      </c>
      <c r="R671" s="2" t="inlineStr"/>
    </row>
    <row r="672" ht="15" customHeight="1">
      <c r="A672" t="inlineStr">
        <is>
          <t>A 60550-2024</t>
        </is>
      </c>
      <c r="B672" s="1" t="n">
        <v>45643</v>
      </c>
      <c r="C672" s="1" t="n">
        <v>46140</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14690-2025</t>
        </is>
      </c>
      <c r="B673" s="1" t="n">
        <v>45742.58212962963</v>
      </c>
      <c r="C673" s="1" t="n">
        <v>46140</v>
      </c>
      <c r="D673" t="inlineStr">
        <is>
          <t>VÄSTMANLANDS LÄN</t>
        </is>
      </c>
      <c r="E673" t="inlineStr">
        <is>
          <t>SALA</t>
        </is>
      </c>
      <c r="G673" t="n">
        <v>3.4</v>
      </c>
      <c r="H673" t="n">
        <v>0</v>
      </c>
      <c r="I673" t="n">
        <v>0</v>
      </c>
      <c r="J673" t="n">
        <v>0</v>
      </c>
      <c r="K673" t="n">
        <v>0</v>
      </c>
      <c r="L673" t="n">
        <v>0</v>
      </c>
      <c r="M673" t="n">
        <v>0</v>
      </c>
      <c r="N673" t="n">
        <v>0</v>
      </c>
      <c r="O673" t="n">
        <v>0</v>
      </c>
      <c r="P673" t="n">
        <v>0</v>
      </c>
      <c r="Q673" t="n">
        <v>0</v>
      </c>
      <c r="R673" s="2" t="inlineStr"/>
    </row>
    <row r="674" ht="15" customHeight="1">
      <c r="A674" t="inlineStr">
        <is>
          <t>A 24175-2024</t>
        </is>
      </c>
      <c r="B674" s="1" t="n">
        <v>45456</v>
      </c>
      <c r="C674" s="1" t="n">
        <v>46140</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62449-2023</t>
        </is>
      </c>
      <c r="B675" s="1" t="n">
        <v>45268.49008101852</v>
      </c>
      <c r="C675" s="1" t="n">
        <v>46140</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54910-2023</t>
        </is>
      </c>
      <c r="B676" s="1" t="n">
        <v>45229</v>
      </c>
      <c r="C676" s="1" t="n">
        <v>46140</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19222-2025</t>
        </is>
      </c>
      <c r="B677" s="1" t="n">
        <v>45769</v>
      </c>
      <c r="C677" s="1" t="n">
        <v>46140</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19241-2025</t>
        </is>
      </c>
      <c r="B678" s="1" t="n">
        <v>45769</v>
      </c>
      <c r="C678" s="1" t="n">
        <v>46140</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26416-2023</t>
        </is>
      </c>
      <c r="B679" s="1" t="n">
        <v>45092.38087962963</v>
      </c>
      <c r="C679" s="1" t="n">
        <v>46140</v>
      </c>
      <c r="D679" t="inlineStr">
        <is>
          <t>VÄSTMANLANDS LÄN</t>
        </is>
      </c>
      <c r="E679" t="inlineStr">
        <is>
          <t>SALA</t>
        </is>
      </c>
      <c r="G679" t="n">
        <v>2.9</v>
      </c>
      <c r="H679" t="n">
        <v>0</v>
      </c>
      <c r="I679" t="n">
        <v>0</v>
      </c>
      <c r="J679" t="n">
        <v>0</v>
      </c>
      <c r="K679" t="n">
        <v>0</v>
      </c>
      <c r="L679" t="n">
        <v>0</v>
      </c>
      <c r="M679" t="n">
        <v>0</v>
      </c>
      <c r="N679" t="n">
        <v>0</v>
      </c>
      <c r="O679" t="n">
        <v>0</v>
      </c>
      <c r="P679" t="n">
        <v>0</v>
      </c>
      <c r="Q679" t="n">
        <v>0</v>
      </c>
      <c r="R679" s="2" t="inlineStr"/>
    </row>
    <row r="680" ht="15" customHeight="1">
      <c r="A680" t="inlineStr">
        <is>
          <t>A 26692-2023</t>
        </is>
      </c>
      <c r="B680" s="1" t="n">
        <v>45093.360625</v>
      </c>
      <c r="C680" s="1" t="n">
        <v>46140</v>
      </c>
      <c r="D680" t="inlineStr">
        <is>
          <t>VÄSTMANLANDS LÄN</t>
        </is>
      </c>
      <c r="E680" t="inlineStr">
        <is>
          <t>SALA</t>
        </is>
      </c>
      <c r="G680" t="n">
        <v>1.8</v>
      </c>
      <c r="H680" t="n">
        <v>0</v>
      </c>
      <c r="I680" t="n">
        <v>0</v>
      </c>
      <c r="J680" t="n">
        <v>0</v>
      </c>
      <c r="K680" t="n">
        <v>0</v>
      </c>
      <c r="L680" t="n">
        <v>0</v>
      </c>
      <c r="M680" t="n">
        <v>0</v>
      </c>
      <c r="N680" t="n">
        <v>0</v>
      </c>
      <c r="O680" t="n">
        <v>0</v>
      </c>
      <c r="P680" t="n">
        <v>0</v>
      </c>
      <c r="Q680" t="n">
        <v>0</v>
      </c>
      <c r="R680" s="2" t="inlineStr"/>
    </row>
    <row r="681" ht="15" customHeight="1">
      <c r="A681" t="inlineStr">
        <is>
          <t>A 15681-2025</t>
        </is>
      </c>
      <c r="B681" s="1" t="n">
        <v>45748.45454861111</v>
      </c>
      <c r="C681" s="1" t="n">
        <v>46140</v>
      </c>
      <c r="D681" t="inlineStr">
        <is>
          <t>VÄSTMANLANDS LÄN</t>
        </is>
      </c>
      <c r="E681" t="inlineStr">
        <is>
          <t>SALA</t>
        </is>
      </c>
      <c r="F681" t="inlineStr">
        <is>
          <t>Bergvik skog öst AB</t>
        </is>
      </c>
      <c r="G681" t="n">
        <v>4.3</v>
      </c>
      <c r="H681" t="n">
        <v>0</v>
      </c>
      <c r="I681" t="n">
        <v>0</v>
      </c>
      <c r="J681" t="n">
        <v>0</v>
      </c>
      <c r="K681" t="n">
        <v>0</v>
      </c>
      <c r="L681" t="n">
        <v>0</v>
      </c>
      <c r="M681" t="n">
        <v>0</v>
      </c>
      <c r="N681" t="n">
        <v>0</v>
      </c>
      <c r="O681" t="n">
        <v>0</v>
      </c>
      <c r="P681" t="n">
        <v>0</v>
      </c>
      <c r="Q681" t="n">
        <v>0</v>
      </c>
      <c r="R681" s="2" t="inlineStr"/>
    </row>
    <row r="682" ht="15" customHeight="1">
      <c r="A682" t="inlineStr">
        <is>
          <t>A 2925-2024</t>
        </is>
      </c>
      <c r="B682" s="1" t="n">
        <v>45315.58909722222</v>
      </c>
      <c r="C682" s="1" t="n">
        <v>46140</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44746-2024</t>
        </is>
      </c>
      <c r="B683" s="1" t="n">
        <v>45574.59813657407</v>
      </c>
      <c r="C683" s="1" t="n">
        <v>46140</v>
      </c>
      <c r="D683" t="inlineStr">
        <is>
          <t>VÄSTMANLANDS LÄN</t>
        </is>
      </c>
      <c r="E683" t="inlineStr">
        <is>
          <t>SALA</t>
        </is>
      </c>
      <c r="G683" t="n">
        <v>6.7</v>
      </c>
      <c r="H683" t="n">
        <v>0</v>
      </c>
      <c r="I683" t="n">
        <v>0</v>
      </c>
      <c r="J683" t="n">
        <v>0</v>
      </c>
      <c r="K683" t="n">
        <v>0</v>
      </c>
      <c r="L683" t="n">
        <v>0</v>
      </c>
      <c r="M683" t="n">
        <v>0</v>
      </c>
      <c r="N683" t="n">
        <v>0</v>
      </c>
      <c r="O683" t="n">
        <v>0</v>
      </c>
      <c r="P683" t="n">
        <v>0</v>
      </c>
      <c r="Q683" t="n">
        <v>0</v>
      </c>
      <c r="R683" s="2" t="inlineStr"/>
    </row>
    <row r="684" ht="15" customHeight="1">
      <c r="A684" t="inlineStr">
        <is>
          <t>A 44713-2023</t>
        </is>
      </c>
      <c r="B684" s="1" t="n">
        <v>45184</v>
      </c>
      <c r="C684" s="1" t="n">
        <v>46140</v>
      </c>
      <c r="D684" t="inlineStr">
        <is>
          <t>VÄSTMANLANDS LÄN</t>
        </is>
      </c>
      <c r="E684" t="inlineStr">
        <is>
          <t>SALA</t>
        </is>
      </c>
      <c r="F684" t="inlineStr">
        <is>
          <t>Kyrkan</t>
        </is>
      </c>
      <c r="G684" t="n">
        <v>7.6</v>
      </c>
      <c r="H684" t="n">
        <v>0</v>
      </c>
      <c r="I684" t="n">
        <v>0</v>
      </c>
      <c r="J684" t="n">
        <v>0</v>
      </c>
      <c r="K684" t="n">
        <v>0</v>
      </c>
      <c r="L684" t="n">
        <v>0</v>
      </c>
      <c r="M684" t="n">
        <v>0</v>
      </c>
      <c r="N684" t="n">
        <v>0</v>
      </c>
      <c r="O684" t="n">
        <v>0</v>
      </c>
      <c r="P684" t="n">
        <v>0</v>
      </c>
      <c r="Q684" t="n">
        <v>0</v>
      </c>
      <c r="R684" s="2" t="inlineStr"/>
    </row>
    <row r="685" ht="15" customHeight="1">
      <c r="A685" t="inlineStr">
        <is>
          <t>A 23431-2024</t>
        </is>
      </c>
      <c r="B685" s="1" t="n">
        <v>45453</v>
      </c>
      <c r="C685" s="1" t="n">
        <v>46140</v>
      </c>
      <c r="D685" t="inlineStr">
        <is>
          <t>VÄSTMANLANDS LÄN</t>
        </is>
      </c>
      <c r="E685" t="inlineStr">
        <is>
          <t>SALA</t>
        </is>
      </c>
      <c r="G685" t="n">
        <v>1.6</v>
      </c>
      <c r="H685" t="n">
        <v>0</v>
      </c>
      <c r="I685" t="n">
        <v>0</v>
      </c>
      <c r="J685" t="n">
        <v>0</v>
      </c>
      <c r="K685" t="n">
        <v>0</v>
      </c>
      <c r="L685" t="n">
        <v>0</v>
      </c>
      <c r="M685" t="n">
        <v>0</v>
      </c>
      <c r="N685" t="n">
        <v>0</v>
      </c>
      <c r="O685" t="n">
        <v>0</v>
      </c>
      <c r="P685" t="n">
        <v>0</v>
      </c>
      <c r="Q685" t="n">
        <v>0</v>
      </c>
      <c r="R685" s="2" t="inlineStr"/>
    </row>
    <row r="686" ht="15" customHeight="1">
      <c r="A686" t="inlineStr">
        <is>
          <t>A 21168-2025</t>
        </is>
      </c>
      <c r="B686" s="1" t="n">
        <v>45777</v>
      </c>
      <c r="C686" s="1" t="n">
        <v>46140</v>
      </c>
      <c r="D686" t="inlineStr">
        <is>
          <t>VÄSTMANLANDS LÄN</t>
        </is>
      </c>
      <c r="E686" t="inlineStr">
        <is>
          <t>SALA</t>
        </is>
      </c>
      <c r="G686" t="n">
        <v>4.5</v>
      </c>
      <c r="H686" t="n">
        <v>0</v>
      </c>
      <c r="I686" t="n">
        <v>0</v>
      </c>
      <c r="J686" t="n">
        <v>0</v>
      </c>
      <c r="K686" t="n">
        <v>0</v>
      </c>
      <c r="L686" t="n">
        <v>0</v>
      </c>
      <c r="M686" t="n">
        <v>0</v>
      </c>
      <c r="N686" t="n">
        <v>0</v>
      </c>
      <c r="O686" t="n">
        <v>0</v>
      </c>
      <c r="P686" t="n">
        <v>0</v>
      </c>
      <c r="Q686" t="n">
        <v>0</v>
      </c>
      <c r="R686" s="2" t="inlineStr"/>
    </row>
    <row r="687" ht="15" customHeight="1">
      <c r="A687" t="inlineStr">
        <is>
          <t>A 21751-2025</t>
        </is>
      </c>
      <c r="B687" s="1" t="n">
        <v>45783.61372685185</v>
      </c>
      <c r="C687" s="1" t="n">
        <v>46140</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21754-2025</t>
        </is>
      </c>
      <c r="B688" s="1" t="n">
        <v>45783.61837962963</v>
      </c>
      <c r="C688" s="1" t="n">
        <v>46140</v>
      </c>
      <c r="D688" t="inlineStr">
        <is>
          <t>VÄSTMANLANDS LÄN</t>
        </is>
      </c>
      <c r="E688" t="inlineStr">
        <is>
          <t>SALA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37587-2024</t>
        </is>
      </c>
      <c r="B689" s="1" t="n">
        <v>45541</v>
      </c>
      <c r="C689" s="1" t="n">
        <v>46140</v>
      </c>
      <c r="D689" t="inlineStr">
        <is>
          <t>VÄSTMANLANDS LÄN</t>
        </is>
      </c>
      <c r="E689" t="inlineStr">
        <is>
          <t>SALA</t>
        </is>
      </c>
      <c r="G689" t="n">
        <v>1.2</v>
      </c>
      <c r="H689" t="n">
        <v>0</v>
      </c>
      <c r="I689" t="n">
        <v>0</v>
      </c>
      <c r="J689" t="n">
        <v>0</v>
      </c>
      <c r="K689" t="n">
        <v>0</v>
      </c>
      <c r="L689" t="n">
        <v>0</v>
      </c>
      <c r="M689" t="n">
        <v>0</v>
      </c>
      <c r="N689" t="n">
        <v>0</v>
      </c>
      <c r="O689" t="n">
        <v>0</v>
      </c>
      <c r="P689" t="n">
        <v>0</v>
      </c>
      <c r="Q689" t="n">
        <v>0</v>
      </c>
      <c r="R689" s="2" t="inlineStr"/>
    </row>
    <row r="690" ht="15" customHeight="1">
      <c r="A690" t="inlineStr">
        <is>
          <t>A 22353-2025</t>
        </is>
      </c>
      <c r="B690" s="1" t="n">
        <v>45786</v>
      </c>
      <c r="C690" s="1" t="n">
        <v>46140</v>
      </c>
      <c r="D690" t="inlineStr">
        <is>
          <t>VÄSTMANLANDS LÄN</t>
        </is>
      </c>
      <c r="E690" t="inlineStr">
        <is>
          <t>SALA</t>
        </is>
      </c>
      <c r="G690" t="n">
        <v>2.5</v>
      </c>
      <c r="H690" t="n">
        <v>0</v>
      </c>
      <c r="I690" t="n">
        <v>0</v>
      </c>
      <c r="J690" t="n">
        <v>0</v>
      </c>
      <c r="K690" t="n">
        <v>0</v>
      </c>
      <c r="L690" t="n">
        <v>0</v>
      </c>
      <c r="M690" t="n">
        <v>0</v>
      </c>
      <c r="N690" t="n">
        <v>0</v>
      </c>
      <c r="O690" t="n">
        <v>0</v>
      </c>
      <c r="P690" t="n">
        <v>0</v>
      </c>
      <c r="Q690" t="n">
        <v>0</v>
      </c>
      <c r="R690" s="2" t="inlineStr"/>
    </row>
    <row r="691" ht="15" customHeight="1">
      <c r="A691" t="inlineStr">
        <is>
          <t>A 64724-2023</t>
        </is>
      </c>
      <c r="B691" s="1" t="n">
        <v>45281.7602662037</v>
      </c>
      <c r="C691" s="1" t="n">
        <v>46140</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22370-2025</t>
        </is>
      </c>
      <c r="B692" s="1" t="n">
        <v>45786</v>
      </c>
      <c r="C692" s="1" t="n">
        <v>46140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22383-2025</t>
        </is>
      </c>
      <c r="B693" s="1" t="n">
        <v>45786</v>
      </c>
      <c r="C693" s="1" t="n">
        <v>46140</v>
      </c>
      <c r="D693" t="inlineStr">
        <is>
          <t>VÄSTMANLANDS LÄN</t>
        </is>
      </c>
      <c r="E693" t="inlineStr">
        <is>
          <t>SALA</t>
        </is>
      </c>
      <c r="G693" t="n">
        <v>2.2</v>
      </c>
      <c r="H693" t="n">
        <v>0</v>
      </c>
      <c r="I693" t="n">
        <v>0</v>
      </c>
      <c r="J693" t="n">
        <v>0</v>
      </c>
      <c r="K693" t="n">
        <v>0</v>
      </c>
      <c r="L693" t="n">
        <v>0</v>
      </c>
      <c r="M693" t="n">
        <v>0</v>
      </c>
      <c r="N693" t="n">
        <v>0</v>
      </c>
      <c r="O693" t="n">
        <v>0</v>
      </c>
      <c r="P693" t="n">
        <v>0</v>
      </c>
      <c r="Q693" t="n">
        <v>0</v>
      </c>
      <c r="R693" s="2" t="inlineStr"/>
    </row>
    <row r="694" ht="15" customHeight="1">
      <c r="A694" t="inlineStr">
        <is>
          <t>A 7176-2023</t>
        </is>
      </c>
      <c r="B694" s="1" t="n">
        <v>44970</v>
      </c>
      <c r="C694" s="1" t="n">
        <v>46140</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22624-2025</t>
        </is>
      </c>
      <c r="B695" s="1" t="n">
        <v>45789.43327546296</v>
      </c>
      <c r="C695" s="1" t="n">
        <v>46140</v>
      </c>
      <c r="D695" t="inlineStr">
        <is>
          <t>VÄSTMANLANDS LÄN</t>
        </is>
      </c>
      <c r="E695" t="inlineStr">
        <is>
          <t>SALA</t>
        </is>
      </c>
      <c r="G695" t="n">
        <v>1.5</v>
      </c>
      <c r="H695" t="n">
        <v>0</v>
      </c>
      <c r="I695" t="n">
        <v>0</v>
      </c>
      <c r="J695" t="n">
        <v>0</v>
      </c>
      <c r="K695" t="n">
        <v>0</v>
      </c>
      <c r="L695" t="n">
        <v>0</v>
      </c>
      <c r="M695" t="n">
        <v>0</v>
      </c>
      <c r="N695" t="n">
        <v>0</v>
      </c>
      <c r="O695" t="n">
        <v>0</v>
      </c>
      <c r="P695" t="n">
        <v>0</v>
      </c>
      <c r="Q695" t="n">
        <v>0</v>
      </c>
      <c r="R695" s="2" t="inlineStr"/>
    </row>
    <row r="696" ht="15" customHeight="1">
      <c r="A696" t="inlineStr">
        <is>
          <t>A 31405-2024</t>
        </is>
      </c>
      <c r="B696" s="1" t="n">
        <v>45505.5490625</v>
      </c>
      <c r="C696" s="1" t="n">
        <v>46140</v>
      </c>
      <c r="D696" t="inlineStr">
        <is>
          <t>VÄSTMANLANDS LÄN</t>
        </is>
      </c>
      <c r="E696" t="inlineStr">
        <is>
          <t>SALA</t>
        </is>
      </c>
      <c r="G696" t="n">
        <v>5.2</v>
      </c>
      <c r="H696" t="n">
        <v>0</v>
      </c>
      <c r="I696" t="n">
        <v>0</v>
      </c>
      <c r="J696" t="n">
        <v>0</v>
      </c>
      <c r="K696" t="n">
        <v>0</v>
      </c>
      <c r="L696" t="n">
        <v>0</v>
      </c>
      <c r="M696" t="n">
        <v>0</v>
      </c>
      <c r="N696" t="n">
        <v>0</v>
      </c>
      <c r="O696" t="n">
        <v>0</v>
      </c>
      <c r="P696" t="n">
        <v>0</v>
      </c>
      <c r="Q696" t="n">
        <v>0</v>
      </c>
      <c r="R696" s="2" t="inlineStr"/>
    </row>
    <row r="697" ht="15" customHeight="1">
      <c r="A697" t="inlineStr">
        <is>
          <t>A 22616-2025</t>
        </is>
      </c>
      <c r="B697" s="1" t="n">
        <v>45789.42752314815</v>
      </c>
      <c r="C697" s="1" t="n">
        <v>46140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43600-2024</t>
        </is>
      </c>
      <c r="B698" s="1" t="n">
        <v>45569</v>
      </c>
      <c r="C698" s="1" t="n">
        <v>46140</v>
      </c>
      <c r="D698" t="inlineStr">
        <is>
          <t>VÄSTMANLANDS LÄN</t>
        </is>
      </c>
      <c r="E698" t="inlineStr">
        <is>
          <t>SALA</t>
        </is>
      </c>
      <c r="G698" t="n">
        <v>0.9</v>
      </c>
      <c r="H698" t="n">
        <v>0</v>
      </c>
      <c r="I698" t="n">
        <v>0</v>
      </c>
      <c r="J698" t="n">
        <v>0</v>
      </c>
      <c r="K698" t="n">
        <v>0</v>
      </c>
      <c r="L698" t="n">
        <v>0</v>
      </c>
      <c r="M698" t="n">
        <v>0</v>
      </c>
      <c r="N698" t="n">
        <v>0</v>
      </c>
      <c r="O698" t="n">
        <v>0</v>
      </c>
      <c r="P698" t="n">
        <v>0</v>
      </c>
      <c r="Q698" t="n">
        <v>0</v>
      </c>
      <c r="R698" s="2" t="inlineStr"/>
    </row>
    <row r="699" ht="15" customHeight="1">
      <c r="A699" t="inlineStr">
        <is>
          <t>A 13130-2025</t>
        </is>
      </c>
      <c r="B699" s="1" t="n">
        <v>45734</v>
      </c>
      <c r="C699" s="1" t="n">
        <v>46140</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24169-2025</t>
        </is>
      </c>
      <c r="B700" s="1" t="n">
        <v>45796</v>
      </c>
      <c r="C700" s="1" t="n">
        <v>46140</v>
      </c>
      <c r="D700" t="inlineStr">
        <is>
          <t>VÄSTMANLANDS LÄN</t>
        </is>
      </c>
      <c r="E700" t="inlineStr">
        <is>
          <t>SALA</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22126-2025</t>
        </is>
      </c>
      <c r="B701" s="1" t="n">
        <v>45785</v>
      </c>
      <c r="C701" s="1" t="n">
        <v>46140</v>
      </c>
      <c r="D701" t="inlineStr">
        <is>
          <t>VÄSTMANLANDS LÄN</t>
        </is>
      </c>
      <c r="E701" t="inlineStr">
        <is>
          <t>SALA</t>
        </is>
      </c>
      <c r="G701" t="n">
        <v>10.6</v>
      </c>
      <c r="H701" t="n">
        <v>0</v>
      </c>
      <c r="I701" t="n">
        <v>0</v>
      </c>
      <c r="J701" t="n">
        <v>0</v>
      </c>
      <c r="K701" t="n">
        <v>0</v>
      </c>
      <c r="L701" t="n">
        <v>0</v>
      </c>
      <c r="M701" t="n">
        <v>0</v>
      </c>
      <c r="N701" t="n">
        <v>0</v>
      </c>
      <c r="O701" t="n">
        <v>0</v>
      </c>
      <c r="P701" t="n">
        <v>0</v>
      </c>
      <c r="Q701" t="n">
        <v>0</v>
      </c>
      <c r="R701" s="2" t="inlineStr"/>
    </row>
    <row r="702" ht="15" customHeight="1">
      <c r="A702" t="inlineStr">
        <is>
          <t>A 23810-2025</t>
        </is>
      </c>
      <c r="B702" s="1" t="n">
        <v>45793.56989583333</v>
      </c>
      <c r="C702" s="1" t="n">
        <v>46140</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24944-2023</t>
        </is>
      </c>
      <c r="B703" s="1" t="n">
        <v>45085</v>
      </c>
      <c r="C703" s="1" t="n">
        <v>46140</v>
      </c>
      <c r="D703" t="inlineStr">
        <is>
          <t>VÄSTMANLANDS LÄN</t>
        </is>
      </c>
      <c r="E703" t="inlineStr">
        <is>
          <t>SALA</t>
        </is>
      </c>
      <c r="G703" t="n">
        <v>3.8</v>
      </c>
      <c r="H703" t="n">
        <v>0</v>
      </c>
      <c r="I703" t="n">
        <v>0</v>
      </c>
      <c r="J703" t="n">
        <v>0</v>
      </c>
      <c r="K703" t="n">
        <v>0</v>
      </c>
      <c r="L703" t="n">
        <v>0</v>
      </c>
      <c r="M703" t="n">
        <v>0</v>
      </c>
      <c r="N703" t="n">
        <v>0</v>
      </c>
      <c r="O703" t="n">
        <v>0</v>
      </c>
      <c r="P703" t="n">
        <v>0</v>
      </c>
      <c r="Q703" t="n">
        <v>0</v>
      </c>
      <c r="R703" s="2" t="inlineStr"/>
    </row>
    <row r="704" ht="15" customHeight="1">
      <c r="A704" t="inlineStr">
        <is>
          <t>A 23804-2025</t>
        </is>
      </c>
      <c r="B704" s="1" t="n">
        <v>45793.55995370371</v>
      </c>
      <c r="C704" s="1" t="n">
        <v>46140</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11210-2025</t>
        </is>
      </c>
      <c r="B705" s="1" t="n">
        <v>45726</v>
      </c>
      <c r="C705" s="1" t="n">
        <v>46140</v>
      </c>
      <c r="D705" t="inlineStr">
        <is>
          <t>VÄSTMANLANDS LÄN</t>
        </is>
      </c>
      <c r="E705" t="inlineStr">
        <is>
          <t>SALA</t>
        </is>
      </c>
      <c r="G705" t="n">
        <v>4.1</v>
      </c>
      <c r="H705" t="n">
        <v>0</v>
      </c>
      <c r="I705" t="n">
        <v>0</v>
      </c>
      <c r="J705" t="n">
        <v>0</v>
      </c>
      <c r="K705" t="n">
        <v>0</v>
      </c>
      <c r="L705" t="n">
        <v>0</v>
      </c>
      <c r="M705" t="n">
        <v>0</v>
      </c>
      <c r="N705" t="n">
        <v>0</v>
      </c>
      <c r="O705" t="n">
        <v>0</v>
      </c>
      <c r="P705" t="n">
        <v>0</v>
      </c>
      <c r="Q705" t="n">
        <v>0</v>
      </c>
      <c r="R705" s="2" t="inlineStr"/>
    </row>
    <row r="706" ht="15" customHeight="1">
      <c r="A706" t="inlineStr">
        <is>
          <t>A 19297-2025</t>
        </is>
      </c>
      <c r="B706" s="1" t="n">
        <v>45769.56261574074</v>
      </c>
      <c r="C706" s="1" t="n">
        <v>46140</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24460-2025</t>
        </is>
      </c>
      <c r="B707" s="1" t="n">
        <v>45798</v>
      </c>
      <c r="C707" s="1" t="n">
        <v>46140</v>
      </c>
      <c r="D707" t="inlineStr">
        <is>
          <t>VÄSTMANLANDS LÄN</t>
        </is>
      </c>
      <c r="E707" t="inlineStr">
        <is>
          <t>SALA</t>
        </is>
      </c>
      <c r="F707" t="inlineStr">
        <is>
          <t>Bergvik skog öst AB</t>
        </is>
      </c>
      <c r="G707" t="n">
        <v>2.6</v>
      </c>
      <c r="H707" t="n">
        <v>0</v>
      </c>
      <c r="I707" t="n">
        <v>0</v>
      </c>
      <c r="J707" t="n">
        <v>0</v>
      </c>
      <c r="K707" t="n">
        <v>0</v>
      </c>
      <c r="L707" t="n">
        <v>0</v>
      </c>
      <c r="M707" t="n">
        <v>0</v>
      </c>
      <c r="N707" t="n">
        <v>0</v>
      </c>
      <c r="O707" t="n">
        <v>0</v>
      </c>
      <c r="P707" t="n">
        <v>0</v>
      </c>
      <c r="Q707" t="n">
        <v>0</v>
      </c>
      <c r="R707" s="2" t="inlineStr"/>
    </row>
    <row r="708" ht="15" customHeight="1">
      <c r="A708" t="inlineStr">
        <is>
          <t>A 55065-2024</t>
        </is>
      </c>
      <c r="B708" s="1" t="n">
        <v>45618</v>
      </c>
      <c r="C708" s="1" t="n">
        <v>46140</v>
      </c>
      <c r="D708" t="inlineStr">
        <is>
          <t>VÄSTMANLANDS LÄN</t>
        </is>
      </c>
      <c r="E708" t="inlineStr">
        <is>
          <t>SALA</t>
        </is>
      </c>
      <c r="G708" t="n">
        <v>3.5</v>
      </c>
      <c r="H708" t="n">
        <v>0</v>
      </c>
      <c r="I708" t="n">
        <v>0</v>
      </c>
      <c r="J708" t="n">
        <v>0</v>
      </c>
      <c r="K708" t="n">
        <v>0</v>
      </c>
      <c r="L708" t="n">
        <v>0</v>
      </c>
      <c r="M708" t="n">
        <v>0</v>
      </c>
      <c r="N708" t="n">
        <v>0</v>
      </c>
      <c r="O708" t="n">
        <v>0</v>
      </c>
      <c r="P708" t="n">
        <v>0</v>
      </c>
      <c r="Q708" t="n">
        <v>0</v>
      </c>
      <c r="R708" s="2" t="inlineStr"/>
    </row>
    <row r="709" ht="15" customHeight="1">
      <c r="A709" t="inlineStr">
        <is>
          <t>A 24463-2025</t>
        </is>
      </c>
      <c r="B709" s="1" t="n">
        <v>45798</v>
      </c>
      <c r="C709" s="1" t="n">
        <v>46140</v>
      </c>
      <c r="D709" t="inlineStr">
        <is>
          <t>VÄSTMANLANDS LÄN</t>
        </is>
      </c>
      <c r="E709" t="inlineStr">
        <is>
          <t>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24907-2025</t>
        </is>
      </c>
      <c r="B710" s="1" t="n">
        <v>45799</v>
      </c>
      <c r="C710" s="1" t="n">
        <v>46140</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24910-2025</t>
        </is>
      </c>
      <c r="B711" s="1" t="n">
        <v>45799.53775462963</v>
      </c>
      <c r="C711" s="1" t="n">
        <v>46140</v>
      </c>
      <c r="D711" t="inlineStr">
        <is>
          <t>VÄSTMANLANDS LÄN</t>
        </is>
      </c>
      <c r="E711" t="inlineStr">
        <is>
          <t>SALA</t>
        </is>
      </c>
      <c r="G711" t="n">
        <v>3.5</v>
      </c>
      <c r="H711" t="n">
        <v>0</v>
      </c>
      <c r="I711" t="n">
        <v>0</v>
      </c>
      <c r="J711" t="n">
        <v>0</v>
      </c>
      <c r="K711" t="n">
        <v>0</v>
      </c>
      <c r="L711" t="n">
        <v>0</v>
      </c>
      <c r="M711" t="n">
        <v>0</v>
      </c>
      <c r="N711" t="n">
        <v>0</v>
      </c>
      <c r="O711" t="n">
        <v>0</v>
      </c>
      <c r="P711" t="n">
        <v>0</v>
      </c>
      <c r="Q711" t="n">
        <v>0</v>
      </c>
      <c r="R711" s="2" t="inlineStr"/>
    </row>
    <row r="712" ht="15" customHeight="1">
      <c r="A712" t="inlineStr">
        <is>
          <t>A 10909-2024</t>
        </is>
      </c>
      <c r="B712" s="1" t="n">
        <v>45370</v>
      </c>
      <c r="C712" s="1" t="n">
        <v>46140</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26661-2025</t>
        </is>
      </c>
      <c r="B713" s="1" t="n">
        <v>45810</v>
      </c>
      <c r="C713" s="1" t="n">
        <v>46140</v>
      </c>
      <c r="D713" t="inlineStr">
        <is>
          <t>VÄSTMANLANDS LÄN</t>
        </is>
      </c>
      <c r="E713" t="inlineStr">
        <is>
          <t>SALA</t>
        </is>
      </c>
      <c r="G713" t="n">
        <v>3.5</v>
      </c>
      <c r="H713" t="n">
        <v>0</v>
      </c>
      <c r="I713" t="n">
        <v>0</v>
      </c>
      <c r="J713" t="n">
        <v>0</v>
      </c>
      <c r="K713" t="n">
        <v>0</v>
      </c>
      <c r="L713" t="n">
        <v>0</v>
      </c>
      <c r="M713" t="n">
        <v>0</v>
      </c>
      <c r="N713" t="n">
        <v>0</v>
      </c>
      <c r="O713" t="n">
        <v>0</v>
      </c>
      <c r="P713" t="n">
        <v>0</v>
      </c>
      <c r="Q713" t="n">
        <v>0</v>
      </c>
      <c r="R713" s="2" t="inlineStr"/>
    </row>
    <row r="714" ht="15" customHeight="1">
      <c r="A714" t="inlineStr">
        <is>
          <t>A 28193-2025</t>
        </is>
      </c>
      <c r="B714" s="1" t="n">
        <v>45818.425625</v>
      </c>
      <c r="C714" s="1" t="n">
        <v>46140</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27981-2025</t>
        </is>
      </c>
      <c r="B715" s="1" t="n">
        <v>45817.57471064815</v>
      </c>
      <c r="C715" s="1" t="n">
        <v>46140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28278-2025</t>
        </is>
      </c>
      <c r="B716" s="1" t="n">
        <v>45818.58454861111</v>
      </c>
      <c r="C716" s="1" t="n">
        <v>46140</v>
      </c>
      <c r="D716" t="inlineStr">
        <is>
          <t>VÄSTMANLANDS LÄN</t>
        </is>
      </c>
      <c r="E716" t="inlineStr">
        <is>
          <t>SALA</t>
        </is>
      </c>
      <c r="G716" t="n">
        <v>7.6</v>
      </c>
      <c r="H716" t="n">
        <v>0</v>
      </c>
      <c r="I716" t="n">
        <v>0</v>
      </c>
      <c r="J716" t="n">
        <v>0</v>
      </c>
      <c r="K716" t="n">
        <v>0</v>
      </c>
      <c r="L716" t="n">
        <v>0</v>
      </c>
      <c r="M716" t="n">
        <v>0</v>
      </c>
      <c r="N716" t="n">
        <v>0</v>
      </c>
      <c r="O716" t="n">
        <v>0</v>
      </c>
      <c r="P716" t="n">
        <v>0</v>
      </c>
      <c r="Q716" t="n">
        <v>0</v>
      </c>
      <c r="R716" s="2" t="inlineStr"/>
    </row>
    <row r="717" ht="15" customHeight="1">
      <c r="A717" t="inlineStr">
        <is>
          <t>A 27989-2025</t>
        </is>
      </c>
      <c r="B717" s="1" t="n">
        <v>45817.58716435185</v>
      </c>
      <c r="C717" s="1" t="n">
        <v>46140</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28284-2025</t>
        </is>
      </c>
      <c r="B718" s="1" t="n">
        <v>45818.58893518519</v>
      </c>
      <c r="C718" s="1" t="n">
        <v>46140</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28632-2025</t>
        </is>
      </c>
      <c r="B719" s="1" t="n">
        <v>45819.62344907408</v>
      </c>
      <c r="C719" s="1" t="n">
        <v>46140</v>
      </c>
      <c r="D719" t="inlineStr">
        <is>
          <t>VÄSTMANLANDS LÄN</t>
        </is>
      </c>
      <c r="E719" t="inlineStr">
        <is>
          <t>SALA</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28628-2025</t>
        </is>
      </c>
      <c r="B720" s="1" t="n">
        <v>45819.62158564815</v>
      </c>
      <c r="C720" s="1" t="n">
        <v>46140</v>
      </c>
      <c r="D720" t="inlineStr">
        <is>
          <t>VÄSTMANLANDS LÄN</t>
        </is>
      </c>
      <c r="E720" t="inlineStr">
        <is>
          <t>SALA</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28630-2025</t>
        </is>
      </c>
      <c r="B721" s="1" t="n">
        <v>45819.62274305556</v>
      </c>
      <c r="C721" s="1" t="n">
        <v>46140</v>
      </c>
      <c r="D721" t="inlineStr">
        <is>
          <t>VÄSTMANLANDS LÄN</t>
        </is>
      </c>
      <c r="E721" t="inlineStr">
        <is>
          <t>SALA</t>
        </is>
      </c>
      <c r="F721" t="inlineStr">
        <is>
          <t>Sveaskog</t>
        </is>
      </c>
      <c r="G721" t="n">
        <v>9</v>
      </c>
      <c r="H721" t="n">
        <v>0</v>
      </c>
      <c r="I721" t="n">
        <v>0</v>
      </c>
      <c r="J721" t="n">
        <v>0</v>
      </c>
      <c r="K721" t="n">
        <v>0</v>
      </c>
      <c r="L721" t="n">
        <v>0</v>
      </c>
      <c r="M721" t="n">
        <v>0</v>
      </c>
      <c r="N721" t="n">
        <v>0</v>
      </c>
      <c r="O721" t="n">
        <v>0</v>
      </c>
      <c r="P721" t="n">
        <v>0</v>
      </c>
      <c r="Q721" t="n">
        <v>0</v>
      </c>
      <c r="R721" s="2" t="inlineStr"/>
    </row>
    <row r="722" ht="15" customHeight="1">
      <c r="A722" t="inlineStr">
        <is>
          <t>A 28837-2025</t>
        </is>
      </c>
      <c r="B722" s="1" t="n">
        <v>45820.56243055555</v>
      </c>
      <c r="C722" s="1" t="n">
        <v>46140</v>
      </c>
      <c r="D722" t="inlineStr">
        <is>
          <t>VÄSTMANLANDS LÄN</t>
        </is>
      </c>
      <c r="E722" t="inlineStr">
        <is>
          <t>SALA</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28849-2025</t>
        </is>
      </c>
      <c r="B723" s="1" t="n">
        <v>45820</v>
      </c>
      <c r="C723" s="1" t="n">
        <v>46140</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29085-2025</t>
        </is>
      </c>
      <c r="B724" s="1" t="n">
        <v>45821</v>
      </c>
      <c r="C724" s="1" t="n">
        <v>46140</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60541-2024</t>
        </is>
      </c>
      <c r="B725" s="1" t="n">
        <v>45643</v>
      </c>
      <c r="C725" s="1" t="n">
        <v>46140</v>
      </c>
      <c r="D725" t="inlineStr">
        <is>
          <t>VÄSTMANLANDS LÄN</t>
        </is>
      </c>
      <c r="E725" t="inlineStr">
        <is>
          <t>SALA</t>
        </is>
      </c>
      <c r="G725" t="n">
        <v>10.6</v>
      </c>
      <c r="H725" t="n">
        <v>0</v>
      </c>
      <c r="I725" t="n">
        <v>0</v>
      </c>
      <c r="J725" t="n">
        <v>0</v>
      </c>
      <c r="K725" t="n">
        <v>0</v>
      </c>
      <c r="L725" t="n">
        <v>0</v>
      </c>
      <c r="M725" t="n">
        <v>0</v>
      </c>
      <c r="N725" t="n">
        <v>0</v>
      </c>
      <c r="O725" t="n">
        <v>0</v>
      </c>
      <c r="P725" t="n">
        <v>0</v>
      </c>
      <c r="Q725" t="n">
        <v>0</v>
      </c>
      <c r="R725" s="2" t="inlineStr"/>
    </row>
    <row r="726" ht="15" customHeight="1">
      <c r="A726" t="inlineStr">
        <is>
          <t>A 29826-2025</t>
        </is>
      </c>
      <c r="B726" s="1" t="n">
        <v>45825.85761574074</v>
      </c>
      <c r="C726" s="1" t="n">
        <v>46140</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29691-2025</t>
        </is>
      </c>
      <c r="B727" s="1" t="n">
        <v>45825.53645833334</v>
      </c>
      <c r="C727" s="1" t="n">
        <v>46140</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30874-2025</t>
        </is>
      </c>
      <c r="B728" s="1" t="n">
        <v>45832.34430555555</v>
      </c>
      <c r="C728" s="1" t="n">
        <v>46140</v>
      </c>
      <c r="D728" t="inlineStr">
        <is>
          <t>VÄSTMANLANDS LÄN</t>
        </is>
      </c>
      <c r="E728" t="inlineStr">
        <is>
          <t>SALA</t>
        </is>
      </c>
      <c r="G728" t="n">
        <v>8.4</v>
      </c>
      <c r="H728" t="n">
        <v>0</v>
      </c>
      <c r="I728" t="n">
        <v>0</v>
      </c>
      <c r="J728" t="n">
        <v>0</v>
      </c>
      <c r="K728" t="n">
        <v>0</v>
      </c>
      <c r="L728" t="n">
        <v>0</v>
      </c>
      <c r="M728" t="n">
        <v>0</v>
      </c>
      <c r="N728" t="n">
        <v>0</v>
      </c>
      <c r="O728" t="n">
        <v>0</v>
      </c>
      <c r="P728" t="n">
        <v>0</v>
      </c>
      <c r="Q728" t="n">
        <v>0</v>
      </c>
      <c r="R728" s="2" t="inlineStr"/>
    </row>
    <row r="729" ht="15" customHeight="1">
      <c r="A729" t="inlineStr">
        <is>
          <t>A 30899-2025</t>
        </is>
      </c>
      <c r="B729" s="1" t="n">
        <v>45832.35767361111</v>
      </c>
      <c r="C729" s="1" t="n">
        <v>46140</v>
      </c>
      <c r="D729" t="inlineStr">
        <is>
          <t>VÄSTMANLANDS LÄN</t>
        </is>
      </c>
      <c r="E729" t="inlineStr">
        <is>
          <t>SALA</t>
        </is>
      </c>
      <c r="G729" t="n">
        <v>3.1</v>
      </c>
      <c r="H729" t="n">
        <v>0</v>
      </c>
      <c r="I729" t="n">
        <v>0</v>
      </c>
      <c r="J729" t="n">
        <v>0</v>
      </c>
      <c r="K729" t="n">
        <v>0</v>
      </c>
      <c r="L729" t="n">
        <v>0</v>
      </c>
      <c r="M729" t="n">
        <v>0</v>
      </c>
      <c r="N729" t="n">
        <v>0</v>
      </c>
      <c r="O729" t="n">
        <v>0</v>
      </c>
      <c r="P729" t="n">
        <v>0</v>
      </c>
      <c r="Q729" t="n">
        <v>0</v>
      </c>
      <c r="R729" s="2" t="inlineStr"/>
    </row>
    <row r="730" ht="15" customHeight="1">
      <c r="A730" t="inlineStr">
        <is>
          <t>A 30866-2025</t>
        </is>
      </c>
      <c r="B730" s="1" t="n">
        <v>45832.3246875</v>
      </c>
      <c r="C730" s="1" t="n">
        <v>46140</v>
      </c>
      <c r="D730" t="inlineStr">
        <is>
          <t>VÄSTMANLANDS LÄN</t>
        </is>
      </c>
      <c r="E730" t="inlineStr">
        <is>
          <t>SALA</t>
        </is>
      </c>
      <c r="G730" t="n">
        <v>14.3</v>
      </c>
      <c r="H730" t="n">
        <v>0</v>
      </c>
      <c r="I730" t="n">
        <v>0</v>
      </c>
      <c r="J730" t="n">
        <v>0</v>
      </c>
      <c r="K730" t="n">
        <v>0</v>
      </c>
      <c r="L730" t="n">
        <v>0</v>
      </c>
      <c r="M730" t="n">
        <v>0</v>
      </c>
      <c r="N730" t="n">
        <v>0</v>
      </c>
      <c r="O730" t="n">
        <v>0</v>
      </c>
      <c r="P730" t="n">
        <v>0</v>
      </c>
      <c r="Q730" t="n">
        <v>0</v>
      </c>
      <c r="R730" s="2" t="inlineStr"/>
    </row>
    <row r="731" ht="15" customHeight="1">
      <c r="A731" t="inlineStr">
        <is>
          <t>A 31065-2025</t>
        </is>
      </c>
      <c r="B731" s="1" t="n">
        <v>45832.57571759259</v>
      </c>
      <c r="C731" s="1" t="n">
        <v>46140</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31612-2025</t>
        </is>
      </c>
      <c r="B732" s="1" t="n">
        <v>45833.80056712963</v>
      </c>
      <c r="C732" s="1" t="n">
        <v>46140</v>
      </c>
      <c r="D732" t="inlineStr">
        <is>
          <t>VÄSTMANLANDS LÄN</t>
        </is>
      </c>
      <c r="E732" t="inlineStr">
        <is>
          <t>SALA</t>
        </is>
      </c>
      <c r="G732" t="n">
        <v>6.3</v>
      </c>
      <c r="H732" t="n">
        <v>0</v>
      </c>
      <c r="I732" t="n">
        <v>0</v>
      </c>
      <c r="J732" t="n">
        <v>0</v>
      </c>
      <c r="K732" t="n">
        <v>0</v>
      </c>
      <c r="L732" t="n">
        <v>0</v>
      </c>
      <c r="M732" t="n">
        <v>0</v>
      </c>
      <c r="N732" t="n">
        <v>0</v>
      </c>
      <c r="O732" t="n">
        <v>0</v>
      </c>
      <c r="P732" t="n">
        <v>0</v>
      </c>
      <c r="Q732" t="n">
        <v>0</v>
      </c>
      <c r="R732" s="2" t="inlineStr"/>
    </row>
    <row r="733" ht="15" customHeight="1">
      <c r="A733" t="inlineStr">
        <is>
          <t>A 31748-2025</t>
        </is>
      </c>
      <c r="B733" s="1" t="n">
        <v>45834</v>
      </c>
      <c r="C733" s="1" t="n">
        <v>46140</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31288-2025</t>
        </is>
      </c>
      <c r="B734" s="1" t="n">
        <v>45833</v>
      </c>
      <c r="C734" s="1" t="n">
        <v>46140</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31771-2025</t>
        </is>
      </c>
      <c r="B735" s="1" t="n">
        <v>45834.50910879629</v>
      </c>
      <c r="C735" s="1" t="n">
        <v>46140</v>
      </c>
      <c r="D735" t="inlineStr">
        <is>
          <t>VÄSTMANLANDS LÄN</t>
        </is>
      </c>
      <c r="E735" t="inlineStr">
        <is>
          <t>SALA</t>
        </is>
      </c>
      <c r="G735" t="n">
        <v>5.1</v>
      </c>
      <c r="H735" t="n">
        <v>0</v>
      </c>
      <c r="I735" t="n">
        <v>0</v>
      </c>
      <c r="J735" t="n">
        <v>0</v>
      </c>
      <c r="K735" t="n">
        <v>0</v>
      </c>
      <c r="L735" t="n">
        <v>0</v>
      </c>
      <c r="M735" t="n">
        <v>0</v>
      </c>
      <c r="N735" t="n">
        <v>0</v>
      </c>
      <c r="O735" t="n">
        <v>0</v>
      </c>
      <c r="P735" t="n">
        <v>0</v>
      </c>
      <c r="Q735" t="n">
        <v>0</v>
      </c>
      <c r="R735" s="2" t="inlineStr"/>
    </row>
    <row r="736" ht="15" customHeight="1">
      <c r="A736" t="inlineStr">
        <is>
          <t>A 31554-2025</t>
        </is>
      </c>
      <c r="B736" s="1" t="n">
        <v>45833</v>
      </c>
      <c r="C736" s="1" t="n">
        <v>46140</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31762-2025</t>
        </is>
      </c>
      <c r="B737" s="1" t="n">
        <v>45834.49288194445</v>
      </c>
      <c r="C737" s="1" t="n">
        <v>46140</v>
      </c>
      <c r="D737" t="inlineStr">
        <is>
          <t>VÄSTMANLANDS LÄN</t>
        </is>
      </c>
      <c r="E737" t="inlineStr">
        <is>
          <t>SALA</t>
        </is>
      </c>
      <c r="G737" t="n">
        <v>5.9</v>
      </c>
      <c r="H737" t="n">
        <v>0</v>
      </c>
      <c r="I737" t="n">
        <v>0</v>
      </c>
      <c r="J737" t="n">
        <v>0</v>
      </c>
      <c r="K737" t="n">
        <v>0</v>
      </c>
      <c r="L737" t="n">
        <v>0</v>
      </c>
      <c r="M737" t="n">
        <v>0</v>
      </c>
      <c r="N737" t="n">
        <v>0</v>
      </c>
      <c r="O737" t="n">
        <v>0</v>
      </c>
      <c r="P737" t="n">
        <v>0</v>
      </c>
      <c r="Q737" t="n">
        <v>0</v>
      </c>
      <c r="R737" s="2" t="inlineStr"/>
    </row>
    <row r="738" ht="15" customHeight="1">
      <c r="A738" t="inlineStr">
        <is>
          <t>A 31608-2025</t>
        </is>
      </c>
      <c r="B738" s="1" t="n">
        <v>45833</v>
      </c>
      <c r="C738" s="1" t="n">
        <v>46140</v>
      </c>
      <c r="D738" t="inlineStr">
        <is>
          <t>VÄSTMANLANDS LÄN</t>
        </is>
      </c>
      <c r="E738" t="inlineStr">
        <is>
          <t>SALA</t>
        </is>
      </c>
      <c r="G738" t="n">
        <v>6.1</v>
      </c>
      <c r="H738" t="n">
        <v>0</v>
      </c>
      <c r="I738" t="n">
        <v>0</v>
      </c>
      <c r="J738" t="n">
        <v>0</v>
      </c>
      <c r="K738" t="n">
        <v>0</v>
      </c>
      <c r="L738" t="n">
        <v>0</v>
      </c>
      <c r="M738" t="n">
        <v>0</v>
      </c>
      <c r="N738" t="n">
        <v>0</v>
      </c>
      <c r="O738" t="n">
        <v>0</v>
      </c>
      <c r="P738" t="n">
        <v>0</v>
      </c>
      <c r="Q738" t="n">
        <v>0</v>
      </c>
      <c r="R738" s="2" t="inlineStr"/>
    </row>
    <row r="739" ht="15" customHeight="1">
      <c r="A739" t="inlineStr">
        <is>
          <t>A 31610-2025</t>
        </is>
      </c>
      <c r="B739" s="1" t="n">
        <v>45833.78650462963</v>
      </c>
      <c r="C739" s="1" t="n">
        <v>46140</v>
      </c>
      <c r="D739" t="inlineStr">
        <is>
          <t>VÄSTMANLANDS LÄN</t>
        </is>
      </c>
      <c r="E739" t="inlineStr">
        <is>
          <t>SALA</t>
        </is>
      </c>
      <c r="G739" t="n">
        <v>8</v>
      </c>
      <c r="H739" t="n">
        <v>0</v>
      </c>
      <c r="I739" t="n">
        <v>0</v>
      </c>
      <c r="J739" t="n">
        <v>0</v>
      </c>
      <c r="K739" t="n">
        <v>0</v>
      </c>
      <c r="L739" t="n">
        <v>0</v>
      </c>
      <c r="M739" t="n">
        <v>0</v>
      </c>
      <c r="N739" t="n">
        <v>0</v>
      </c>
      <c r="O739" t="n">
        <v>0</v>
      </c>
      <c r="P739" t="n">
        <v>0</v>
      </c>
      <c r="Q739" t="n">
        <v>0</v>
      </c>
      <c r="R739" s="2" t="inlineStr"/>
    </row>
    <row r="740" ht="15" customHeight="1">
      <c r="A740" t="inlineStr">
        <is>
          <t>A 31296-2025</t>
        </is>
      </c>
      <c r="B740" s="1" t="n">
        <v>45833.36765046296</v>
      </c>
      <c r="C740" s="1" t="n">
        <v>46140</v>
      </c>
      <c r="D740" t="inlineStr">
        <is>
          <t>VÄSTMANLANDS LÄN</t>
        </is>
      </c>
      <c r="E740" t="inlineStr">
        <is>
          <t>SALA</t>
        </is>
      </c>
      <c r="G740" t="n">
        <v>3.7</v>
      </c>
      <c r="H740" t="n">
        <v>0</v>
      </c>
      <c r="I740" t="n">
        <v>0</v>
      </c>
      <c r="J740" t="n">
        <v>0</v>
      </c>
      <c r="K740" t="n">
        <v>0</v>
      </c>
      <c r="L740" t="n">
        <v>0</v>
      </c>
      <c r="M740" t="n">
        <v>0</v>
      </c>
      <c r="N740" t="n">
        <v>0</v>
      </c>
      <c r="O740" t="n">
        <v>0</v>
      </c>
      <c r="P740" t="n">
        <v>0</v>
      </c>
      <c r="Q740" t="n">
        <v>0</v>
      </c>
      <c r="R740" s="2" t="inlineStr"/>
    </row>
    <row r="741" ht="15" customHeight="1">
      <c r="A741" t="inlineStr">
        <is>
          <t>A 31573-2025</t>
        </is>
      </c>
      <c r="B741" s="1" t="n">
        <v>45833</v>
      </c>
      <c r="C741" s="1" t="n">
        <v>46140</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32201-2025</t>
        </is>
      </c>
      <c r="B742" s="1" t="n">
        <v>45835</v>
      </c>
      <c r="C742" s="1" t="n">
        <v>46140</v>
      </c>
      <c r="D742" t="inlineStr">
        <is>
          <t>VÄSTMANLANDS LÄN</t>
        </is>
      </c>
      <c r="E742" t="inlineStr">
        <is>
          <t>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32205-2025</t>
        </is>
      </c>
      <c r="B743" s="1" t="n">
        <v>45835</v>
      </c>
      <c r="C743" s="1" t="n">
        <v>46140</v>
      </c>
      <c r="D743" t="inlineStr">
        <is>
          <t>VÄSTMANLANDS LÄN</t>
        </is>
      </c>
      <c r="E743" t="inlineStr">
        <is>
          <t>SALA</t>
        </is>
      </c>
      <c r="F743" t="inlineStr">
        <is>
          <t>Bergvik skog öst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32210-2025</t>
        </is>
      </c>
      <c r="B744" s="1" t="n">
        <v>45835</v>
      </c>
      <c r="C744" s="1" t="n">
        <v>46140</v>
      </c>
      <c r="D744" t="inlineStr">
        <is>
          <t>VÄSTMANLANDS LÄN</t>
        </is>
      </c>
      <c r="E744" t="inlineStr">
        <is>
          <t>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32286-2025</t>
        </is>
      </c>
      <c r="B745" s="1" t="n">
        <v>45835</v>
      </c>
      <c r="C745" s="1" t="n">
        <v>46140</v>
      </c>
      <c r="D745" t="inlineStr">
        <is>
          <t>VÄSTMANLANDS LÄN</t>
        </is>
      </c>
      <c r="E745" t="inlineStr">
        <is>
          <t>SALA</t>
        </is>
      </c>
      <c r="G745" t="n">
        <v>6.4</v>
      </c>
      <c r="H745" t="n">
        <v>0</v>
      </c>
      <c r="I745" t="n">
        <v>0</v>
      </c>
      <c r="J745" t="n">
        <v>0</v>
      </c>
      <c r="K745" t="n">
        <v>0</v>
      </c>
      <c r="L745" t="n">
        <v>0</v>
      </c>
      <c r="M745" t="n">
        <v>0</v>
      </c>
      <c r="N745" t="n">
        <v>0</v>
      </c>
      <c r="O745" t="n">
        <v>0</v>
      </c>
      <c r="P745" t="n">
        <v>0</v>
      </c>
      <c r="Q745" t="n">
        <v>0</v>
      </c>
      <c r="R745" s="2" t="inlineStr"/>
    </row>
    <row r="746" ht="15" customHeight="1">
      <c r="A746" t="inlineStr">
        <is>
          <t>A 32207-2025</t>
        </is>
      </c>
      <c r="B746" s="1" t="n">
        <v>45835</v>
      </c>
      <c r="C746" s="1" t="n">
        <v>46140</v>
      </c>
      <c r="D746" t="inlineStr">
        <is>
          <t>VÄSTMANLANDS LÄN</t>
        </is>
      </c>
      <c r="E746" t="inlineStr">
        <is>
          <t>SALA</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32902-2025</t>
        </is>
      </c>
      <c r="B747" s="1" t="n">
        <v>45839</v>
      </c>
      <c r="C747" s="1" t="n">
        <v>46140</v>
      </c>
      <c r="D747" t="inlineStr">
        <is>
          <t>VÄSTMANLANDS LÄN</t>
        </is>
      </c>
      <c r="E747" t="inlineStr">
        <is>
          <t>SALA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34069-2025</t>
        </is>
      </c>
      <c r="B748" s="1" t="n">
        <v>45845.43560185185</v>
      </c>
      <c r="C748" s="1" t="n">
        <v>46140</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c r="U748">
        <f>HYPERLINK("https://klasma.github.io/Logging_1981/knärot/A 34069-2025 karta knärot.png", "A 34069-2025")</f>
        <v/>
      </c>
      <c r="V748">
        <f>HYPERLINK("https://klasma.github.io/Logging_1981/klagomål/A 34069-2025 FSC-klagomål.docx", "A 34069-2025")</f>
        <v/>
      </c>
      <c r="W748">
        <f>HYPERLINK("https://klasma.github.io/Logging_1981/klagomålsmail/A 34069-2025 FSC-klagomål mail.docx", "A 34069-2025")</f>
        <v/>
      </c>
      <c r="X748">
        <f>HYPERLINK("https://klasma.github.io/Logging_1981/tillsyn/A 34069-2025 tillsynsbegäran.docx", "A 34069-2025")</f>
        <v/>
      </c>
      <c r="Y748">
        <f>HYPERLINK("https://klasma.github.io/Logging_1981/tillsynsmail/A 34069-2025 tillsynsbegäran mail.docx", "A 34069-2025")</f>
        <v/>
      </c>
    </row>
    <row r="749" ht="15" customHeight="1">
      <c r="A749" t="inlineStr">
        <is>
          <t>A 15744-2025</t>
        </is>
      </c>
      <c r="B749" s="1" t="n">
        <v>45748</v>
      </c>
      <c r="C749" s="1" t="n">
        <v>46140</v>
      </c>
      <c r="D749" t="inlineStr">
        <is>
          <t>VÄSTMANLANDS LÄN</t>
        </is>
      </c>
      <c r="E749" t="inlineStr">
        <is>
          <t>SALA</t>
        </is>
      </c>
      <c r="G749" t="n">
        <v>1.6</v>
      </c>
      <c r="H749" t="n">
        <v>0</v>
      </c>
      <c r="I749" t="n">
        <v>0</v>
      </c>
      <c r="J749" t="n">
        <v>0</v>
      </c>
      <c r="K749" t="n">
        <v>0</v>
      </c>
      <c r="L749" t="n">
        <v>0</v>
      </c>
      <c r="M749" t="n">
        <v>0</v>
      </c>
      <c r="N749" t="n">
        <v>0</v>
      </c>
      <c r="O749" t="n">
        <v>0</v>
      </c>
      <c r="P749" t="n">
        <v>0</v>
      </c>
      <c r="Q749" t="n">
        <v>0</v>
      </c>
      <c r="R749" s="2" t="inlineStr"/>
    </row>
    <row r="750" ht="15" customHeight="1">
      <c r="A750" t="inlineStr">
        <is>
          <t>A 35715-2025</t>
        </is>
      </c>
      <c r="B750" s="1" t="n">
        <v>45860.42148148148</v>
      </c>
      <c r="C750" s="1" t="n">
        <v>46140</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35651-2025</t>
        </is>
      </c>
      <c r="B751" s="1" t="n">
        <v>45859.52435185185</v>
      </c>
      <c r="C751" s="1" t="n">
        <v>46140</v>
      </c>
      <c r="D751" t="inlineStr">
        <is>
          <t>VÄSTMANLANDS LÄN</t>
        </is>
      </c>
      <c r="E751" t="inlineStr">
        <is>
          <t>SALA</t>
        </is>
      </c>
      <c r="G751" t="n">
        <v>6.3</v>
      </c>
      <c r="H751" t="n">
        <v>0</v>
      </c>
      <c r="I751" t="n">
        <v>0</v>
      </c>
      <c r="J751" t="n">
        <v>0</v>
      </c>
      <c r="K751" t="n">
        <v>0</v>
      </c>
      <c r="L751" t="n">
        <v>0</v>
      </c>
      <c r="M751" t="n">
        <v>0</v>
      </c>
      <c r="N751" t="n">
        <v>0</v>
      </c>
      <c r="O751" t="n">
        <v>0</v>
      </c>
      <c r="P751" t="n">
        <v>0</v>
      </c>
      <c r="Q751" t="n">
        <v>0</v>
      </c>
      <c r="R751" s="2" t="inlineStr"/>
    </row>
    <row r="752" ht="15" customHeight="1">
      <c r="A752" t="inlineStr">
        <is>
          <t>A 35775-2025</t>
        </is>
      </c>
      <c r="B752" s="1" t="n">
        <v>45860</v>
      </c>
      <c r="C752" s="1" t="n">
        <v>46140</v>
      </c>
      <c r="D752" t="inlineStr">
        <is>
          <t>VÄSTMANLANDS LÄN</t>
        </is>
      </c>
      <c r="E752" t="inlineStr">
        <is>
          <t>SALA</t>
        </is>
      </c>
      <c r="G752" t="n">
        <v>2.6</v>
      </c>
      <c r="H752" t="n">
        <v>0</v>
      </c>
      <c r="I752" t="n">
        <v>0</v>
      </c>
      <c r="J752" t="n">
        <v>0</v>
      </c>
      <c r="K752" t="n">
        <v>0</v>
      </c>
      <c r="L752" t="n">
        <v>0</v>
      </c>
      <c r="M752" t="n">
        <v>0</v>
      </c>
      <c r="N752" t="n">
        <v>0</v>
      </c>
      <c r="O752" t="n">
        <v>0</v>
      </c>
      <c r="P752" t="n">
        <v>0</v>
      </c>
      <c r="Q752" t="n">
        <v>0</v>
      </c>
      <c r="R752" s="2" t="inlineStr"/>
    </row>
    <row r="753" ht="15" customHeight="1">
      <c r="A753" t="inlineStr">
        <is>
          <t>A 35774-2025</t>
        </is>
      </c>
      <c r="B753" s="1" t="n">
        <v>45860.68780092592</v>
      </c>
      <c r="C753" s="1" t="n">
        <v>46140</v>
      </c>
      <c r="D753" t="inlineStr">
        <is>
          <t>VÄSTMANLANDS LÄN</t>
        </is>
      </c>
      <c r="E753" t="inlineStr">
        <is>
          <t>SALA</t>
        </is>
      </c>
      <c r="G753" t="n">
        <v>6.5</v>
      </c>
      <c r="H753" t="n">
        <v>0</v>
      </c>
      <c r="I753" t="n">
        <v>0</v>
      </c>
      <c r="J753" t="n">
        <v>0</v>
      </c>
      <c r="K753" t="n">
        <v>0</v>
      </c>
      <c r="L753" t="n">
        <v>0</v>
      </c>
      <c r="M753" t="n">
        <v>0</v>
      </c>
      <c r="N753" t="n">
        <v>0</v>
      </c>
      <c r="O753" t="n">
        <v>0</v>
      </c>
      <c r="P753" t="n">
        <v>0</v>
      </c>
      <c r="Q753" t="n">
        <v>0</v>
      </c>
      <c r="R753" s="2" t="inlineStr"/>
    </row>
    <row r="754" ht="15" customHeight="1">
      <c r="A754" t="inlineStr">
        <is>
          <t>A 35776-2025</t>
        </is>
      </c>
      <c r="B754" s="1" t="n">
        <v>45860.69211805556</v>
      </c>
      <c r="C754" s="1" t="n">
        <v>46140</v>
      </c>
      <c r="D754" t="inlineStr">
        <is>
          <t>VÄSTMANLANDS LÄN</t>
        </is>
      </c>
      <c r="E754" t="inlineStr">
        <is>
          <t>SALA</t>
        </is>
      </c>
      <c r="G754" t="n">
        <v>14.2</v>
      </c>
      <c r="H754" t="n">
        <v>0</v>
      </c>
      <c r="I754" t="n">
        <v>0</v>
      </c>
      <c r="J754" t="n">
        <v>0</v>
      </c>
      <c r="K754" t="n">
        <v>0</v>
      </c>
      <c r="L754" t="n">
        <v>0</v>
      </c>
      <c r="M754" t="n">
        <v>0</v>
      </c>
      <c r="N754" t="n">
        <v>0</v>
      </c>
      <c r="O754" t="n">
        <v>0</v>
      </c>
      <c r="P754" t="n">
        <v>0</v>
      </c>
      <c r="Q754" t="n">
        <v>0</v>
      </c>
      <c r="R754" s="2" t="inlineStr"/>
    </row>
    <row r="755" ht="15" customHeight="1">
      <c r="A755" t="inlineStr">
        <is>
          <t>A 35779-2025</t>
        </is>
      </c>
      <c r="B755" s="1" t="n">
        <v>45860.69495370371</v>
      </c>
      <c r="C755" s="1" t="n">
        <v>46140</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36049-2025</t>
        </is>
      </c>
      <c r="B756" s="1" t="n">
        <v>45866.37065972222</v>
      </c>
      <c r="C756" s="1" t="n">
        <v>46140</v>
      </c>
      <c r="D756" t="inlineStr">
        <is>
          <t>VÄSTMANLANDS LÄN</t>
        </is>
      </c>
      <c r="E756" t="inlineStr">
        <is>
          <t>SALA</t>
        </is>
      </c>
      <c r="F756" t="inlineStr">
        <is>
          <t>Kommuner</t>
        </is>
      </c>
      <c r="G756" t="n">
        <v>1.9</v>
      </c>
      <c r="H756" t="n">
        <v>0</v>
      </c>
      <c r="I756" t="n">
        <v>0</v>
      </c>
      <c r="J756" t="n">
        <v>0</v>
      </c>
      <c r="K756" t="n">
        <v>0</v>
      </c>
      <c r="L756" t="n">
        <v>0</v>
      </c>
      <c r="M756" t="n">
        <v>0</v>
      </c>
      <c r="N756" t="n">
        <v>0</v>
      </c>
      <c r="O756" t="n">
        <v>0</v>
      </c>
      <c r="P756" t="n">
        <v>0</v>
      </c>
      <c r="Q756" t="n">
        <v>0</v>
      </c>
      <c r="R756" s="2" t="inlineStr"/>
    </row>
    <row r="757" ht="15" customHeight="1">
      <c r="A757" t="inlineStr">
        <is>
          <t>A 36031-2025</t>
        </is>
      </c>
      <c r="B757" s="1" t="n">
        <v>45865.46111111111</v>
      </c>
      <c r="C757" s="1" t="n">
        <v>46140</v>
      </c>
      <c r="D757" t="inlineStr">
        <is>
          <t>VÄSTMANLANDS LÄN</t>
        </is>
      </c>
      <c r="E757" t="inlineStr">
        <is>
          <t>SALA</t>
        </is>
      </c>
      <c r="G757" t="n">
        <v>7.2</v>
      </c>
      <c r="H757" t="n">
        <v>0</v>
      </c>
      <c r="I757" t="n">
        <v>0</v>
      </c>
      <c r="J757" t="n">
        <v>0</v>
      </c>
      <c r="K757" t="n">
        <v>0</v>
      </c>
      <c r="L757" t="n">
        <v>0</v>
      </c>
      <c r="M757" t="n">
        <v>0</v>
      </c>
      <c r="N757" t="n">
        <v>0</v>
      </c>
      <c r="O757" t="n">
        <v>0</v>
      </c>
      <c r="P757" t="n">
        <v>0</v>
      </c>
      <c r="Q757" t="n">
        <v>0</v>
      </c>
      <c r="R757" s="2" t="inlineStr"/>
    </row>
    <row r="758" ht="15" customHeight="1">
      <c r="A758" t="inlineStr">
        <is>
          <t>A 36060-2025</t>
        </is>
      </c>
      <c r="B758" s="1" t="n">
        <v>45866.39469907407</v>
      </c>
      <c r="C758" s="1" t="n">
        <v>46140</v>
      </c>
      <c r="D758" t="inlineStr">
        <is>
          <t>VÄSTMANLANDS LÄN</t>
        </is>
      </c>
      <c r="E758" t="inlineStr">
        <is>
          <t>SALA</t>
        </is>
      </c>
      <c r="F758" t="inlineStr">
        <is>
          <t>Kommuner</t>
        </is>
      </c>
      <c r="G758" t="n">
        <v>4.3</v>
      </c>
      <c r="H758" t="n">
        <v>0</v>
      </c>
      <c r="I758" t="n">
        <v>0</v>
      </c>
      <c r="J758" t="n">
        <v>0</v>
      </c>
      <c r="K758" t="n">
        <v>0</v>
      </c>
      <c r="L758" t="n">
        <v>0</v>
      </c>
      <c r="M758" t="n">
        <v>0</v>
      </c>
      <c r="N758" t="n">
        <v>0</v>
      </c>
      <c r="O758" t="n">
        <v>0</v>
      </c>
      <c r="P758" t="n">
        <v>0</v>
      </c>
      <c r="Q758" t="n">
        <v>0</v>
      </c>
      <c r="R758" s="2" t="inlineStr"/>
    </row>
    <row r="759" ht="15" customHeight="1">
      <c r="A759" t="inlineStr">
        <is>
          <t>A 36032-2025</t>
        </is>
      </c>
      <c r="B759" s="1" t="n">
        <v>45865.48740740741</v>
      </c>
      <c r="C759" s="1" t="n">
        <v>46140</v>
      </c>
      <c r="D759" t="inlineStr">
        <is>
          <t>VÄSTMANLANDS LÄN</t>
        </is>
      </c>
      <c r="E759" t="inlineStr">
        <is>
          <t>SALA</t>
        </is>
      </c>
      <c r="G759" t="n">
        <v>0.7</v>
      </c>
      <c r="H759" t="n">
        <v>0</v>
      </c>
      <c r="I759" t="n">
        <v>0</v>
      </c>
      <c r="J759" t="n">
        <v>0</v>
      </c>
      <c r="K759" t="n">
        <v>0</v>
      </c>
      <c r="L759" t="n">
        <v>0</v>
      </c>
      <c r="M759" t="n">
        <v>0</v>
      </c>
      <c r="N759" t="n">
        <v>0</v>
      </c>
      <c r="O759" t="n">
        <v>0</v>
      </c>
      <c r="P759" t="n">
        <v>0</v>
      </c>
      <c r="Q759" t="n">
        <v>0</v>
      </c>
      <c r="R759" s="2" t="inlineStr"/>
    </row>
    <row r="760" ht="15" customHeight="1">
      <c r="A760" t="inlineStr">
        <is>
          <t>A 36043-2025</t>
        </is>
      </c>
      <c r="B760" s="1" t="n">
        <v>45866.35333333333</v>
      </c>
      <c r="C760" s="1" t="n">
        <v>46140</v>
      </c>
      <c r="D760" t="inlineStr">
        <is>
          <t>VÄSTMANLANDS LÄN</t>
        </is>
      </c>
      <c r="E760" t="inlineStr">
        <is>
          <t>SALA</t>
        </is>
      </c>
      <c r="F760" t="inlineStr">
        <is>
          <t>Kommuner</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36045-2025</t>
        </is>
      </c>
      <c r="B761" s="1" t="n">
        <v>45866.36200231482</v>
      </c>
      <c r="C761" s="1" t="n">
        <v>46140</v>
      </c>
      <c r="D761" t="inlineStr">
        <is>
          <t>VÄSTMANLANDS LÄN</t>
        </is>
      </c>
      <c r="E761" t="inlineStr">
        <is>
          <t>SALA</t>
        </is>
      </c>
      <c r="F761" t="inlineStr">
        <is>
          <t>Kommuner</t>
        </is>
      </c>
      <c r="G761" t="n">
        <v>1.7</v>
      </c>
      <c r="H761" t="n">
        <v>0</v>
      </c>
      <c r="I761" t="n">
        <v>0</v>
      </c>
      <c r="J761" t="n">
        <v>0</v>
      </c>
      <c r="K761" t="n">
        <v>0</v>
      </c>
      <c r="L761" t="n">
        <v>0</v>
      </c>
      <c r="M761" t="n">
        <v>0</v>
      </c>
      <c r="N761" t="n">
        <v>0</v>
      </c>
      <c r="O761" t="n">
        <v>0</v>
      </c>
      <c r="P761" t="n">
        <v>0</v>
      </c>
      <c r="Q761" t="n">
        <v>0</v>
      </c>
      <c r="R761" s="2" t="inlineStr"/>
    </row>
    <row r="762" ht="15" customHeight="1">
      <c r="A762" t="inlineStr">
        <is>
          <t>A 17985-2025</t>
        </is>
      </c>
      <c r="B762" s="1" t="n">
        <v>45761</v>
      </c>
      <c r="C762" s="1" t="n">
        <v>46140</v>
      </c>
      <c r="D762" t="inlineStr">
        <is>
          <t>VÄSTMANLANDS LÄN</t>
        </is>
      </c>
      <c r="E762" t="inlineStr">
        <is>
          <t>SALA</t>
        </is>
      </c>
      <c r="G762" t="n">
        <v>12.5</v>
      </c>
      <c r="H762" t="n">
        <v>0</v>
      </c>
      <c r="I762" t="n">
        <v>0</v>
      </c>
      <c r="J762" t="n">
        <v>0</v>
      </c>
      <c r="K762" t="n">
        <v>0</v>
      </c>
      <c r="L762" t="n">
        <v>0</v>
      </c>
      <c r="M762" t="n">
        <v>0</v>
      </c>
      <c r="N762" t="n">
        <v>0</v>
      </c>
      <c r="O762" t="n">
        <v>0</v>
      </c>
      <c r="P762" t="n">
        <v>0</v>
      </c>
      <c r="Q762" t="n">
        <v>0</v>
      </c>
      <c r="R762" s="2" t="inlineStr"/>
    </row>
    <row r="763" ht="15" customHeight="1">
      <c r="A763" t="inlineStr">
        <is>
          <t>A 31869-2025</t>
        </is>
      </c>
      <c r="B763" s="1" t="n">
        <v>45834.64555555556</v>
      </c>
      <c r="C763" s="1" t="n">
        <v>46140</v>
      </c>
      <c r="D763" t="inlineStr">
        <is>
          <t>VÄSTMANLANDS LÄN</t>
        </is>
      </c>
      <c r="E763" t="inlineStr">
        <is>
          <t>SALA</t>
        </is>
      </c>
      <c r="G763" t="n">
        <v>17.5</v>
      </c>
      <c r="H763" t="n">
        <v>0</v>
      </c>
      <c r="I763" t="n">
        <v>0</v>
      </c>
      <c r="J763" t="n">
        <v>0</v>
      </c>
      <c r="K763" t="n">
        <v>0</v>
      </c>
      <c r="L763" t="n">
        <v>0</v>
      </c>
      <c r="M763" t="n">
        <v>0</v>
      </c>
      <c r="N763" t="n">
        <v>0</v>
      </c>
      <c r="O763" t="n">
        <v>0</v>
      </c>
      <c r="P763" t="n">
        <v>0</v>
      </c>
      <c r="Q763" t="n">
        <v>0</v>
      </c>
      <c r="R763" s="2" t="inlineStr"/>
    </row>
    <row r="764" ht="15" customHeight="1">
      <c r="A764" t="inlineStr">
        <is>
          <t>A 31863-2025</t>
        </is>
      </c>
      <c r="B764" s="1" t="n">
        <v>45834.63303240741</v>
      </c>
      <c r="C764" s="1" t="n">
        <v>46140</v>
      </c>
      <c r="D764" t="inlineStr">
        <is>
          <t>VÄSTMANLANDS LÄN</t>
        </is>
      </c>
      <c r="E764" t="inlineStr">
        <is>
          <t>SALA</t>
        </is>
      </c>
      <c r="G764" t="n">
        <v>2.5</v>
      </c>
      <c r="H764" t="n">
        <v>0</v>
      </c>
      <c r="I764" t="n">
        <v>0</v>
      </c>
      <c r="J764" t="n">
        <v>0</v>
      </c>
      <c r="K764" t="n">
        <v>0</v>
      </c>
      <c r="L764" t="n">
        <v>0</v>
      </c>
      <c r="M764" t="n">
        <v>0</v>
      </c>
      <c r="N764" t="n">
        <v>0</v>
      </c>
      <c r="O764" t="n">
        <v>0</v>
      </c>
      <c r="P764" t="n">
        <v>0</v>
      </c>
      <c r="Q764" t="n">
        <v>0</v>
      </c>
      <c r="R764" s="2" t="inlineStr"/>
    </row>
    <row r="765" ht="15" customHeight="1">
      <c r="A765" t="inlineStr">
        <is>
          <t>A 17766-2025</t>
        </is>
      </c>
      <c r="B765" s="1" t="n">
        <v>45758</v>
      </c>
      <c r="C765" s="1" t="n">
        <v>46140</v>
      </c>
      <c r="D765" t="inlineStr">
        <is>
          <t>VÄSTMANLANDS LÄN</t>
        </is>
      </c>
      <c r="E765" t="inlineStr">
        <is>
          <t>SALA</t>
        </is>
      </c>
      <c r="G765" t="n">
        <v>16.5</v>
      </c>
      <c r="H765" t="n">
        <v>0</v>
      </c>
      <c r="I765" t="n">
        <v>0</v>
      </c>
      <c r="J765" t="n">
        <v>0</v>
      </c>
      <c r="K765" t="n">
        <v>0</v>
      </c>
      <c r="L765" t="n">
        <v>0</v>
      </c>
      <c r="M765" t="n">
        <v>0</v>
      </c>
      <c r="N765" t="n">
        <v>0</v>
      </c>
      <c r="O765" t="n">
        <v>0</v>
      </c>
      <c r="P765" t="n">
        <v>0</v>
      </c>
      <c r="Q765" t="n">
        <v>0</v>
      </c>
      <c r="R765" s="2" t="inlineStr"/>
    </row>
    <row r="766" ht="15" customHeight="1">
      <c r="A766" t="inlineStr">
        <is>
          <t>A 7664-2023</t>
        </is>
      </c>
      <c r="B766" s="1" t="n">
        <v>44972</v>
      </c>
      <c r="C766" s="1" t="n">
        <v>46140</v>
      </c>
      <c r="D766" t="inlineStr">
        <is>
          <t>VÄSTMANLANDS LÄN</t>
        </is>
      </c>
      <c r="E766" t="inlineStr">
        <is>
          <t>SALA</t>
        </is>
      </c>
      <c r="G766" t="n">
        <v>1.4</v>
      </c>
      <c r="H766" t="n">
        <v>0</v>
      </c>
      <c r="I766" t="n">
        <v>0</v>
      </c>
      <c r="J766" t="n">
        <v>0</v>
      </c>
      <c r="K766" t="n">
        <v>0</v>
      </c>
      <c r="L766" t="n">
        <v>0</v>
      </c>
      <c r="M766" t="n">
        <v>0</v>
      </c>
      <c r="N766" t="n">
        <v>0</v>
      </c>
      <c r="O766" t="n">
        <v>0</v>
      </c>
      <c r="P766" t="n">
        <v>0</v>
      </c>
      <c r="Q766" t="n">
        <v>0</v>
      </c>
      <c r="R766" s="2" t="inlineStr"/>
    </row>
    <row r="767">
      <c r="A767" t="inlineStr">
        <is>
          <t>A 3546-2025</t>
        </is>
      </c>
      <c r="B767" s="1" t="n">
        <v>45680</v>
      </c>
      <c r="C767" s="1" t="n">
        <v>46140</v>
      </c>
      <c r="D767" t="inlineStr">
        <is>
          <t>VÄSTMANLANDS LÄN</t>
        </is>
      </c>
      <c r="E767" t="inlineStr">
        <is>
          <t>SALA</t>
        </is>
      </c>
      <c r="G767" t="n">
        <v>0.4</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2026-04-28T10:48:45Z</dcterms:created>
  <dcterms:modified xmlns:dcterms="http://purl.org/dc/terms/" xmlns:xsi="http://www.w3.org/2001/XMLSchema-instance" xsi:type="dcterms:W3CDTF">2026-04-28T10:48:46Z</dcterms:modified>
</cp:coreProperties>
</file>