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46193</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46193</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46193</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46193</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46193</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46193</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46193</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9092-2025</t>
        </is>
      </c>
      <c r="B9" s="1" t="n">
        <v>45713</v>
      </c>
      <c r="C9" s="1" t="n">
        <v>46193</v>
      </c>
      <c r="D9" t="inlineStr">
        <is>
          <t>VÄSTMANLANDS LÄN</t>
        </is>
      </c>
      <c r="E9" t="inlineStr">
        <is>
          <t>SALA</t>
        </is>
      </c>
      <c r="G9" t="n">
        <v>11</v>
      </c>
      <c r="H9" t="n">
        <v>0</v>
      </c>
      <c r="I9" t="n">
        <v>1</v>
      </c>
      <c r="J9" t="n">
        <v>3</v>
      </c>
      <c r="K9" t="n">
        <v>2</v>
      </c>
      <c r="L9" t="n">
        <v>1</v>
      </c>
      <c r="M9" t="n">
        <v>0</v>
      </c>
      <c r="N9" t="n">
        <v>0</v>
      </c>
      <c r="O9" t="n">
        <v>6</v>
      </c>
      <c r="P9" t="n">
        <v>3</v>
      </c>
      <c r="Q9" t="n">
        <v>7</v>
      </c>
      <c r="R9" s="2" t="inlineStr">
        <is>
          <t>Ask
Grangråticka
Gyllenspindling
Dofttaggsvamp
Fjällig taggsvamp s.str.
Orange taggsvamp
Anisspindling</t>
        </is>
      </c>
      <c r="S9">
        <f>HYPERLINK("https://klasma.github.io/Logging_1981/artfynd/A 9092-2025 artfynd.xlsx", "A 9092-2025")</f>
        <v/>
      </c>
      <c r="T9">
        <f>HYPERLINK("https://klasma.github.io/Logging_1981/kartor/A 9092-2025 karta.png", "A 9092-2025")</f>
        <v/>
      </c>
      <c r="V9">
        <f>HYPERLINK("https://klasma.github.io/Logging_1981/klagomål/A 9092-2025 FSC-klagomål.docx", "A 9092-2025")</f>
        <v/>
      </c>
      <c r="W9">
        <f>HYPERLINK("https://klasma.github.io/Logging_1981/klagomålsmail/A 9092-2025 FSC-klagomål mail.docx", "A 9092-2025")</f>
        <v/>
      </c>
      <c r="X9">
        <f>HYPERLINK("https://klasma.github.io/Logging_1981/tillsyn/A 9092-2025 tillsynsbegäran.docx", "A 9092-2025")</f>
        <v/>
      </c>
      <c r="Y9">
        <f>HYPERLINK("https://klasma.github.io/Logging_1981/tillsynsmail/A 9092-2025 tillsynsbegäran mail.docx", "A 9092-2025")</f>
        <v/>
      </c>
    </row>
    <row r="10" ht="15" customHeight="1">
      <c r="A10" t="inlineStr">
        <is>
          <t>A 53627-2025</t>
        </is>
      </c>
      <c r="B10" s="1" t="n">
        <v>45960</v>
      </c>
      <c r="C10" s="1" t="n">
        <v>46193</v>
      </c>
      <c r="D10" t="inlineStr">
        <is>
          <t>VÄSTMANLANDS LÄN</t>
        </is>
      </c>
      <c r="E10" t="inlineStr">
        <is>
          <t>SALA</t>
        </is>
      </c>
      <c r="G10" t="n">
        <v>10.5</v>
      </c>
      <c r="H10" t="n">
        <v>3</v>
      </c>
      <c r="I10" t="n">
        <v>2</v>
      </c>
      <c r="J10" t="n">
        <v>2</v>
      </c>
      <c r="K10" t="n">
        <v>1</v>
      </c>
      <c r="L10" t="n">
        <v>0</v>
      </c>
      <c r="M10" t="n">
        <v>0</v>
      </c>
      <c r="N10" t="n">
        <v>0</v>
      </c>
      <c r="O10" t="n">
        <v>3</v>
      </c>
      <c r="P10" t="n">
        <v>1</v>
      </c>
      <c r="Q10" t="n">
        <v>7</v>
      </c>
      <c r="R10" s="2" t="inlineStr">
        <is>
          <t>Knärot
Brunklöver
Ullticka
Grönpyrola
Vedticka
Mattlummer
Revlummer</t>
        </is>
      </c>
      <c r="S10">
        <f>HYPERLINK("https://klasma.github.io/Logging_1981/artfynd/A 53627-2025 artfynd.xlsx", "A 53627-2025")</f>
        <v/>
      </c>
      <c r="T10">
        <f>HYPERLINK("https://klasma.github.io/Logging_1981/kartor/A 53627-2025 karta.png", "A 53627-2025")</f>
        <v/>
      </c>
      <c r="U10">
        <f>HYPERLINK("https://klasma.github.io/Logging_1981/knärot/A 53627-2025 karta knärot.png", "A 53627-2025")</f>
        <v/>
      </c>
      <c r="V10">
        <f>HYPERLINK("https://klasma.github.io/Logging_1981/klagomål/A 53627-2025 FSC-klagomål.docx", "A 53627-2025")</f>
        <v/>
      </c>
      <c r="W10">
        <f>HYPERLINK("https://klasma.github.io/Logging_1981/klagomålsmail/A 53627-2025 FSC-klagomål mail.docx", "A 53627-2025")</f>
        <v/>
      </c>
      <c r="X10">
        <f>HYPERLINK("https://klasma.github.io/Logging_1981/tillsyn/A 53627-2025 tillsynsbegäran.docx", "A 53627-2025")</f>
        <v/>
      </c>
      <c r="Y10">
        <f>HYPERLINK("https://klasma.github.io/Logging_1981/tillsynsmail/A 53627-2025 tillsynsbegäran mail.docx", "A 53627-2025")</f>
        <v/>
      </c>
    </row>
    <row r="11" ht="15" customHeight="1">
      <c r="A11" t="inlineStr">
        <is>
          <t>A 40493-2024</t>
        </is>
      </c>
      <c r="B11" s="1" t="n">
        <v>45555</v>
      </c>
      <c r="C11" s="1" t="n">
        <v>46193</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47475-2024</t>
        </is>
      </c>
      <c r="B12" s="1" t="n">
        <v>45587</v>
      </c>
      <c r="C12" s="1" t="n">
        <v>46193</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46193</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46193</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46193</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46193</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34752-2023</t>
        </is>
      </c>
      <c r="B17" s="1" t="n">
        <v>45141</v>
      </c>
      <c r="C17" s="1" t="n">
        <v>46193</v>
      </c>
      <c r="D17" t="inlineStr">
        <is>
          <t>VÄSTMANLANDS LÄN</t>
        </is>
      </c>
      <c r="E17" t="inlineStr">
        <is>
          <t>SALA</t>
        </is>
      </c>
      <c r="G17" t="n">
        <v>4.9</v>
      </c>
      <c r="H17" t="n">
        <v>2</v>
      </c>
      <c r="I17" t="n">
        <v>1</v>
      </c>
      <c r="J17" t="n">
        <v>1</v>
      </c>
      <c r="K17" t="n">
        <v>2</v>
      </c>
      <c r="L17" t="n">
        <v>0</v>
      </c>
      <c r="M17" t="n">
        <v>0</v>
      </c>
      <c r="N17" t="n">
        <v>0</v>
      </c>
      <c r="O17" t="n">
        <v>3</v>
      </c>
      <c r="P17" t="n">
        <v>2</v>
      </c>
      <c r="Q17" t="n">
        <v>5</v>
      </c>
      <c r="R17" s="2" t="inlineStr">
        <is>
          <t>Knärot
Sprickporing
Svinrot
Grönpyrola
Spillkråka</t>
        </is>
      </c>
      <c r="S17">
        <f>HYPERLINK("https://klasma.github.io/Logging_1981/artfynd/A 34752-2023 artfynd.xlsx", "A 34752-2023")</f>
        <v/>
      </c>
      <c r="T17">
        <f>HYPERLINK("https://klasma.github.io/Logging_1981/kartor/A 34752-2023 karta.png", "A 34752-2023")</f>
        <v/>
      </c>
      <c r="U17">
        <f>HYPERLINK("https://klasma.github.io/Logging_1981/knärot/A 34752-2023 karta knärot.png", "A 34752-2023")</f>
        <v/>
      </c>
      <c r="V17">
        <f>HYPERLINK("https://klasma.github.io/Logging_1981/klagomål/A 34752-2023 FSC-klagomål.docx", "A 34752-2023")</f>
        <v/>
      </c>
      <c r="W17">
        <f>HYPERLINK("https://klasma.github.io/Logging_1981/klagomålsmail/A 34752-2023 FSC-klagomål mail.docx", "A 34752-2023")</f>
        <v/>
      </c>
      <c r="X17">
        <f>HYPERLINK("https://klasma.github.io/Logging_1981/tillsyn/A 34752-2023 tillsynsbegäran.docx", "A 34752-2023")</f>
        <v/>
      </c>
      <c r="Y17">
        <f>HYPERLINK("https://klasma.github.io/Logging_1981/tillsynsmail/A 34752-2023 tillsynsbegäran mail.docx", "A 34752-2023")</f>
        <v/>
      </c>
      <c r="Z17">
        <f>HYPERLINK("https://klasma.github.io/Logging_1981/fåglar/A 34752-2023 prioriterade fågelarter.docx", "A 34752-2023")</f>
        <v/>
      </c>
    </row>
    <row r="18" ht="15" customHeight="1">
      <c r="A18" t="inlineStr">
        <is>
          <t>A 10344-2025</t>
        </is>
      </c>
      <c r="B18" s="1" t="n">
        <v>45720</v>
      </c>
      <c r="C18" s="1" t="n">
        <v>46193</v>
      </c>
      <c r="D18" t="inlineStr">
        <is>
          <t>VÄSTMANLANDS LÄN</t>
        </is>
      </c>
      <c r="E18" t="inlineStr">
        <is>
          <t>SALA</t>
        </is>
      </c>
      <c r="G18" t="n">
        <v>4.2</v>
      </c>
      <c r="H18" t="n">
        <v>2</v>
      </c>
      <c r="I18" t="n">
        <v>1</v>
      </c>
      <c r="J18" t="n">
        <v>1</v>
      </c>
      <c r="K18" t="n">
        <v>2</v>
      </c>
      <c r="L18" t="n">
        <v>0</v>
      </c>
      <c r="M18" t="n">
        <v>0</v>
      </c>
      <c r="N18" t="n">
        <v>0</v>
      </c>
      <c r="O18" t="n">
        <v>3</v>
      </c>
      <c r="P18" t="n">
        <v>2</v>
      </c>
      <c r="Q18" t="n">
        <v>5</v>
      </c>
      <c r="R18" s="2" t="inlineStr">
        <is>
          <t>Knärot
Sprickporing
Svinrot
Grönpyrola
Spillkråka</t>
        </is>
      </c>
      <c r="S18">
        <f>HYPERLINK("https://klasma.github.io/Logging_1981/artfynd/A 10344-2025 artfynd.xlsx", "A 10344-2025")</f>
        <v/>
      </c>
      <c r="T18">
        <f>HYPERLINK("https://klasma.github.io/Logging_1981/kartor/A 10344-2025 karta.png", "A 10344-2025")</f>
        <v/>
      </c>
      <c r="U18">
        <f>HYPERLINK("https://klasma.github.io/Logging_1981/knärot/A 10344-2025 karta knärot.png", "A 10344-2025")</f>
        <v/>
      </c>
      <c r="V18">
        <f>HYPERLINK("https://klasma.github.io/Logging_1981/klagomål/A 10344-2025 FSC-klagomål.docx", "A 10344-2025")</f>
        <v/>
      </c>
      <c r="W18">
        <f>HYPERLINK("https://klasma.github.io/Logging_1981/klagomålsmail/A 10344-2025 FSC-klagomål mail.docx", "A 10344-2025")</f>
        <v/>
      </c>
      <c r="X18">
        <f>HYPERLINK("https://klasma.github.io/Logging_1981/tillsyn/A 10344-2025 tillsynsbegäran.docx", "A 10344-2025")</f>
        <v/>
      </c>
      <c r="Y18">
        <f>HYPERLINK("https://klasma.github.io/Logging_1981/tillsynsmail/A 10344-2025 tillsynsbegäran mail.docx", "A 10344-2025")</f>
        <v/>
      </c>
      <c r="Z18">
        <f>HYPERLINK("https://klasma.github.io/Logging_1981/fåglar/A 10344-2025 prioriterade fågelarter.docx", "A 10344-2025")</f>
        <v/>
      </c>
    </row>
    <row r="19" ht="15" customHeight="1">
      <c r="A19" t="inlineStr">
        <is>
          <t>A 34065-2025</t>
        </is>
      </c>
      <c r="B19" s="1" t="n">
        <v>45845</v>
      </c>
      <c r="C19" s="1" t="n">
        <v>46193</v>
      </c>
      <c r="D19" t="inlineStr">
        <is>
          <t>VÄSTMANLANDS LÄN</t>
        </is>
      </c>
      <c r="E19" t="inlineStr">
        <is>
          <t>SALA</t>
        </is>
      </c>
      <c r="G19" t="n">
        <v>3</v>
      </c>
      <c r="H19" t="n">
        <v>0</v>
      </c>
      <c r="I19" t="n">
        <v>3</v>
      </c>
      <c r="J19" t="n">
        <v>2</v>
      </c>
      <c r="K19" t="n">
        <v>0</v>
      </c>
      <c r="L19" t="n">
        <v>0</v>
      </c>
      <c r="M19" t="n">
        <v>0</v>
      </c>
      <c r="N19" t="n">
        <v>0</v>
      </c>
      <c r="O19" t="n">
        <v>2</v>
      </c>
      <c r="P19" t="n">
        <v>0</v>
      </c>
      <c r="Q19" t="n">
        <v>5</v>
      </c>
      <c r="R19" s="2" t="inlineStr">
        <is>
          <t>Kötticka
Skorpgelélav
Grönpyrola
Skinnlav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1182-2022</t>
        </is>
      </c>
      <c r="B20" s="1" t="n">
        <v>44572</v>
      </c>
      <c r="C20" s="1" t="n">
        <v>46193</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46193</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7643-2026</t>
        </is>
      </c>
      <c r="B22" s="1" t="n">
        <v>46062</v>
      </c>
      <c r="C22" s="1" t="n">
        <v>46193</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50128-2025</t>
        </is>
      </c>
      <c r="B23" s="1" t="n">
        <v>45943</v>
      </c>
      <c r="C23" s="1" t="n">
        <v>46193</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21044-2026</t>
        </is>
      </c>
      <c r="B24" s="1" t="n">
        <v>46146</v>
      </c>
      <c r="C24" s="1" t="n">
        <v>46193</v>
      </c>
      <c r="D24" t="inlineStr">
        <is>
          <t>VÄSTMANLANDS LÄN</t>
        </is>
      </c>
      <c r="E24" t="inlineStr">
        <is>
          <t>SALA</t>
        </is>
      </c>
      <c r="G24" t="n">
        <v>41.2</v>
      </c>
      <c r="H24" t="n">
        <v>1</v>
      </c>
      <c r="I24" t="n">
        <v>0</v>
      </c>
      <c r="J24" t="n">
        <v>2</v>
      </c>
      <c r="K24" t="n">
        <v>2</v>
      </c>
      <c r="L24" t="n">
        <v>0</v>
      </c>
      <c r="M24" t="n">
        <v>0</v>
      </c>
      <c r="N24" t="n">
        <v>0</v>
      </c>
      <c r="O24" t="n">
        <v>4</v>
      </c>
      <c r="P24" t="n">
        <v>2</v>
      </c>
      <c r="Q24" t="n">
        <v>4</v>
      </c>
      <c r="R24" s="2" t="inlineStr">
        <is>
          <t>Garnlav
Knärot
Motaggsvamp
Tallticka</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37166-2024</t>
        </is>
      </c>
      <c r="B25" s="1" t="n">
        <v>45539</v>
      </c>
      <c r="C25" s="1" t="n">
        <v>46193</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14485-2026</t>
        </is>
      </c>
      <c r="B26" s="1" t="n">
        <v>46100</v>
      </c>
      <c r="C26" s="1" t="n">
        <v>46193</v>
      </c>
      <c r="D26" t="inlineStr">
        <is>
          <t>VÄSTMANLANDS LÄN</t>
        </is>
      </c>
      <c r="E26" t="inlineStr">
        <is>
          <t>SALA</t>
        </is>
      </c>
      <c r="F26" t="inlineStr">
        <is>
          <t>Sveaskog</t>
        </is>
      </c>
      <c r="G26" t="n">
        <v>13.6</v>
      </c>
      <c r="H26" t="n">
        <v>2</v>
      </c>
      <c r="I26" t="n">
        <v>0</v>
      </c>
      <c r="J26" t="n">
        <v>3</v>
      </c>
      <c r="K26" t="n">
        <v>0</v>
      </c>
      <c r="L26" t="n">
        <v>0</v>
      </c>
      <c r="M26" t="n">
        <v>0</v>
      </c>
      <c r="N26" t="n">
        <v>0</v>
      </c>
      <c r="O26" t="n">
        <v>3</v>
      </c>
      <c r="P26" t="n">
        <v>0</v>
      </c>
      <c r="Q26" t="n">
        <v>4</v>
      </c>
      <c r="R26" s="2" t="inlineStr">
        <is>
          <t>Dvärgbägarlav
Motaggsvamp
Talltita
Tjäder</t>
        </is>
      </c>
      <c r="S26">
        <f>HYPERLINK("https://klasma.github.io/Logging_1981/artfynd/A 14485-2026 artfynd.xlsx", "A 14485-2026")</f>
        <v/>
      </c>
      <c r="T26">
        <f>HYPERLINK("https://klasma.github.io/Logging_1981/kartor/A 14485-2026 karta.png", "A 14485-2026")</f>
        <v/>
      </c>
      <c r="V26">
        <f>HYPERLINK("https://klasma.github.io/Logging_1981/klagomål/A 14485-2026 FSC-klagomål.docx", "A 14485-2026")</f>
        <v/>
      </c>
      <c r="W26">
        <f>HYPERLINK("https://klasma.github.io/Logging_1981/klagomålsmail/A 14485-2026 FSC-klagomål mail.docx", "A 14485-2026")</f>
        <v/>
      </c>
      <c r="X26">
        <f>HYPERLINK("https://klasma.github.io/Logging_1981/tillsyn/A 14485-2026 tillsynsbegäran.docx", "A 14485-2026")</f>
        <v/>
      </c>
      <c r="Y26">
        <f>HYPERLINK("https://klasma.github.io/Logging_1981/tillsynsmail/A 14485-2026 tillsynsbegäran mail.docx", "A 14485-2026")</f>
        <v/>
      </c>
      <c r="Z26">
        <f>HYPERLINK("https://klasma.github.io/Logging_1981/fåglar/A 14485-2026 prioriterade fågelarter.docx", "A 14485-2026")</f>
        <v/>
      </c>
    </row>
    <row r="27" ht="15" customHeight="1">
      <c r="A27" t="inlineStr">
        <is>
          <t>A 29727-2023</t>
        </is>
      </c>
      <c r="B27" s="1" t="n">
        <v>45107</v>
      </c>
      <c r="C27" s="1" t="n">
        <v>46193</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12444-2024</t>
        </is>
      </c>
      <c r="B28" s="1" t="n">
        <v>45379</v>
      </c>
      <c r="C28" s="1" t="n">
        <v>46193</v>
      </c>
      <c r="D28" t="inlineStr">
        <is>
          <t>VÄSTMANLANDS LÄN</t>
        </is>
      </c>
      <c r="E28" t="inlineStr">
        <is>
          <t>SALA</t>
        </is>
      </c>
      <c r="G28" t="n">
        <v>5.5</v>
      </c>
      <c r="H28" t="n">
        <v>1</v>
      </c>
      <c r="I28" t="n">
        <v>1</v>
      </c>
      <c r="J28" t="n">
        <v>1</v>
      </c>
      <c r="K28" t="n">
        <v>1</v>
      </c>
      <c r="L28" t="n">
        <v>0</v>
      </c>
      <c r="M28" t="n">
        <v>0</v>
      </c>
      <c r="N28" t="n">
        <v>0</v>
      </c>
      <c r="O28" t="n">
        <v>2</v>
      </c>
      <c r="P28" t="n">
        <v>1</v>
      </c>
      <c r="Q28" t="n">
        <v>3</v>
      </c>
      <c r="R28" s="2" t="inlineStr">
        <is>
          <t>Knärot
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3567-2024</t>
        </is>
      </c>
      <c r="B29" s="1" t="n">
        <v>45320</v>
      </c>
      <c r="C29" s="1" t="n">
        <v>46193</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46193</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22350-2024</t>
        </is>
      </c>
      <c r="B31" s="1" t="n">
        <v>45446</v>
      </c>
      <c r="C31" s="1" t="n">
        <v>46193</v>
      </c>
      <c r="D31" t="inlineStr">
        <is>
          <t>VÄSTMANLANDS LÄN</t>
        </is>
      </c>
      <c r="E31" t="inlineStr">
        <is>
          <t>SALA</t>
        </is>
      </c>
      <c r="G31" t="n">
        <v>1.2</v>
      </c>
      <c r="H31" t="n">
        <v>1</v>
      </c>
      <c r="I31" t="n">
        <v>1</v>
      </c>
      <c r="J31" t="n">
        <v>0</v>
      </c>
      <c r="K31" t="n">
        <v>1</v>
      </c>
      <c r="L31" t="n">
        <v>0</v>
      </c>
      <c r="M31" t="n">
        <v>0</v>
      </c>
      <c r="N31" t="n">
        <v>0</v>
      </c>
      <c r="O31" t="n">
        <v>1</v>
      </c>
      <c r="P31" t="n">
        <v>1</v>
      </c>
      <c r="Q31" t="n">
        <v>3</v>
      </c>
      <c r="R31" s="2" t="inlineStr">
        <is>
          <t>Laxporing
Rödgul trumpetsvamp
Blåsippa</t>
        </is>
      </c>
      <c r="S31">
        <f>HYPERLINK("https://klasma.github.io/Logging_1981/artfynd/A 22350-2024 artfynd.xlsx", "A 22350-2024")</f>
        <v/>
      </c>
      <c r="T31">
        <f>HYPERLINK("https://klasma.github.io/Logging_1981/kartor/A 22350-2024 karta.png", "A 22350-2024")</f>
        <v/>
      </c>
      <c r="V31">
        <f>HYPERLINK("https://klasma.github.io/Logging_1981/klagomål/A 22350-2024 FSC-klagomål.docx", "A 22350-2024")</f>
        <v/>
      </c>
      <c r="W31">
        <f>HYPERLINK("https://klasma.github.io/Logging_1981/klagomålsmail/A 22350-2024 FSC-klagomål mail.docx", "A 22350-2024")</f>
        <v/>
      </c>
      <c r="X31">
        <f>HYPERLINK("https://klasma.github.io/Logging_1981/tillsyn/A 22350-2024 tillsynsbegäran.docx", "A 22350-2024")</f>
        <v/>
      </c>
      <c r="Y31">
        <f>HYPERLINK("https://klasma.github.io/Logging_1981/tillsynsmail/A 22350-2024 tillsynsbegäran mail.docx", "A 22350-2024")</f>
        <v/>
      </c>
    </row>
    <row r="32" ht="15" customHeight="1">
      <c r="A32" t="inlineStr">
        <is>
          <t>A 63584-2025</t>
        </is>
      </c>
      <c r="B32" s="1" t="n">
        <v>46013</v>
      </c>
      <c r="C32" s="1" t="n">
        <v>46193</v>
      </c>
      <c r="D32" t="inlineStr">
        <is>
          <t>VÄSTMANLANDS LÄN</t>
        </is>
      </c>
      <c r="E32" t="inlineStr">
        <is>
          <t>SALA</t>
        </is>
      </c>
      <c r="G32" t="n">
        <v>7.3</v>
      </c>
      <c r="H32" t="n">
        <v>1</v>
      </c>
      <c r="I32" t="n">
        <v>0</v>
      </c>
      <c r="J32" t="n">
        <v>2</v>
      </c>
      <c r="K32" t="n">
        <v>1</v>
      </c>
      <c r="L32" t="n">
        <v>0</v>
      </c>
      <c r="M32" t="n">
        <v>0</v>
      </c>
      <c r="N32" t="n">
        <v>0</v>
      </c>
      <c r="O32" t="n">
        <v>3</v>
      </c>
      <c r="P32" t="n">
        <v>1</v>
      </c>
      <c r="Q32" t="n">
        <v>3</v>
      </c>
      <c r="R32" s="2" t="inlineStr">
        <is>
          <t>Knärot
Ullticka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4264-2024</t>
        </is>
      </c>
      <c r="B33" s="1" t="n">
        <v>45324</v>
      </c>
      <c r="C33" s="1" t="n">
        <v>46193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15630-2026</t>
        </is>
      </c>
      <c r="B34" s="1" t="n">
        <v>46106</v>
      </c>
      <c r="C34" s="1" t="n">
        <v>46193</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46193</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46193</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46193</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11846-2024</t>
        </is>
      </c>
      <c r="B38" s="1" t="n">
        <v>45376</v>
      </c>
      <c r="C38" s="1" t="n">
        <v>46193</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72805-2021</t>
        </is>
      </c>
      <c r="B39" s="1" t="n">
        <v>44546</v>
      </c>
      <c r="C39" s="1" t="n">
        <v>46193</v>
      </c>
      <c r="D39" t="inlineStr">
        <is>
          <t>VÄSTMANLANDS LÄN</t>
        </is>
      </c>
      <c r="E39" t="inlineStr">
        <is>
          <t>SALA</t>
        </is>
      </c>
      <c r="G39" t="n">
        <v>7.8</v>
      </c>
      <c r="H39" t="n">
        <v>0</v>
      </c>
      <c r="I39" t="n">
        <v>1</v>
      </c>
      <c r="J39" t="n">
        <v>0</v>
      </c>
      <c r="K39" t="n">
        <v>1</v>
      </c>
      <c r="L39" t="n">
        <v>0</v>
      </c>
      <c r="M39" t="n">
        <v>0</v>
      </c>
      <c r="N39" t="n">
        <v>0</v>
      </c>
      <c r="O39" t="n">
        <v>1</v>
      </c>
      <c r="P39" t="n">
        <v>1</v>
      </c>
      <c r="Q39" t="n">
        <v>2</v>
      </c>
      <c r="R39" s="2" t="inlineStr">
        <is>
          <t>Aspgelélav
Skinnlav</t>
        </is>
      </c>
      <c r="S39">
        <f>HYPERLINK("https://klasma.github.io/Logging_1981/artfynd/A 72805-2021 artfynd.xlsx", "A 72805-2021")</f>
        <v/>
      </c>
      <c r="T39">
        <f>HYPERLINK("https://klasma.github.io/Logging_1981/kartor/A 72805-2021 karta.png", "A 72805-2021")</f>
        <v/>
      </c>
      <c r="V39">
        <f>HYPERLINK("https://klasma.github.io/Logging_1981/klagomål/A 72805-2021 FSC-klagomål.docx", "A 72805-2021")</f>
        <v/>
      </c>
      <c r="W39">
        <f>HYPERLINK("https://klasma.github.io/Logging_1981/klagomålsmail/A 72805-2021 FSC-klagomål mail.docx", "A 72805-2021")</f>
        <v/>
      </c>
      <c r="X39">
        <f>HYPERLINK("https://klasma.github.io/Logging_1981/tillsyn/A 72805-2021 tillsynsbegäran.docx", "A 72805-2021")</f>
        <v/>
      </c>
      <c r="Y39">
        <f>HYPERLINK("https://klasma.github.io/Logging_1981/tillsynsmail/A 72805-2021 tillsynsbegäran mail.docx", "A 72805-2021")</f>
        <v/>
      </c>
    </row>
    <row r="40" ht="15" customHeight="1">
      <c r="A40" t="inlineStr">
        <is>
          <t>A 38574-2025</t>
        </is>
      </c>
      <c r="B40" s="1" t="n">
        <v>45884</v>
      </c>
      <c r="C40" s="1" t="n">
        <v>46193</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56704-2022</t>
        </is>
      </c>
      <c r="B41" s="1" t="n">
        <v>44893</v>
      </c>
      <c r="C41" s="1" t="n">
        <v>46193</v>
      </c>
      <c r="D41" t="inlineStr">
        <is>
          <t>VÄSTMANLANDS LÄN</t>
        </is>
      </c>
      <c r="E41" t="inlineStr">
        <is>
          <t>SALA</t>
        </is>
      </c>
      <c r="G41" t="n">
        <v>3.2</v>
      </c>
      <c r="H41" t="n">
        <v>2</v>
      </c>
      <c r="I41" t="n">
        <v>0</v>
      </c>
      <c r="J41" t="n">
        <v>0</v>
      </c>
      <c r="K41" t="n">
        <v>1</v>
      </c>
      <c r="L41" t="n">
        <v>0</v>
      </c>
      <c r="M41" t="n">
        <v>0</v>
      </c>
      <c r="N41" t="n">
        <v>0</v>
      </c>
      <c r="O41" t="n">
        <v>1</v>
      </c>
      <c r="P41" t="n">
        <v>1</v>
      </c>
      <c r="Q41" t="n">
        <v>2</v>
      </c>
      <c r="R41" s="2" t="inlineStr">
        <is>
          <t>Knärot
Fläcknycklar</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18431-2023</t>
        </is>
      </c>
      <c r="B42" s="1" t="n">
        <v>45042</v>
      </c>
      <c r="C42" s="1" t="n">
        <v>46193</v>
      </c>
      <c r="D42" t="inlineStr">
        <is>
          <t>VÄSTMANLANDS LÄN</t>
        </is>
      </c>
      <c r="E42" t="inlineStr">
        <is>
          <t>SALA</t>
        </is>
      </c>
      <c r="G42" t="n">
        <v>1.9</v>
      </c>
      <c r="H42" t="n">
        <v>0</v>
      </c>
      <c r="I42" t="n">
        <v>1</v>
      </c>
      <c r="J42" t="n">
        <v>1</v>
      </c>
      <c r="K42" t="n">
        <v>0</v>
      </c>
      <c r="L42" t="n">
        <v>0</v>
      </c>
      <c r="M42" t="n">
        <v>0</v>
      </c>
      <c r="N42" t="n">
        <v>0</v>
      </c>
      <c r="O42" t="n">
        <v>1</v>
      </c>
      <c r="P42" t="n">
        <v>0</v>
      </c>
      <c r="Q42" t="n">
        <v>2</v>
      </c>
      <c r="R42" s="2" t="inlineStr">
        <is>
          <t>Scharlakansvaxing
Blodvaxing</t>
        </is>
      </c>
      <c r="S42">
        <f>HYPERLINK("https://klasma.github.io/Logging_1981/artfynd/A 18431-2023 artfynd.xlsx", "A 18431-2023")</f>
        <v/>
      </c>
      <c r="T42">
        <f>HYPERLINK("https://klasma.github.io/Logging_1981/kartor/A 18431-2023 karta.png", "A 18431-2023")</f>
        <v/>
      </c>
      <c r="V42">
        <f>HYPERLINK("https://klasma.github.io/Logging_1981/klagomål/A 18431-2023 FSC-klagomål.docx", "A 18431-2023")</f>
        <v/>
      </c>
      <c r="W42">
        <f>HYPERLINK("https://klasma.github.io/Logging_1981/klagomålsmail/A 18431-2023 FSC-klagomål mail.docx", "A 18431-2023")</f>
        <v/>
      </c>
      <c r="X42">
        <f>HYPERLINK("https://klasma.github.io/Logging_1981/tillsyn/A 18431-2023 tillsynsbegäran.docx", "A 18431-2023")</f>
        <v/>
      </c>
      <c r="Y42">
        <f>HYPERLINK("https://klasma.github.io/Logging_1981/tillsynsmail/A 18431-2023 tillsynsbegäran mail.docx", "A 18431-2023")</f>
        <v/>
      </c>
    </row>
    <row r="43" ht="15" customHeight="1">
      <c r="A43" t="inlineStr">
        <is>
          <t>A 43068-2024</t>
        </is>
      </c>
      <c r="B43" s="1" t="n">
        <v>45567</v>
      </c>
      <c r="C43" s="1" t="n">
        <v>46193</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46193</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48705-2025</t>
        </is>
      </c>
      <c r="B45" s="1" t="n">
        <v>45936</v>
      </c>
      <c r="C45" s="1" t="n">
        <v>46193</v>
      </c>
      <c r="D45" t="inlineStr">
        <is>
          <t>VÄSTMANLANDS LÄN</t>
        </is>
      </c>
      <c r="E45" t="inlineStr">
        <is>
          <t>SALA</t>
        </is>
      </c>
      <c r="G45" t="n">
        <v>4.4</v>
      </c>
      <c r="H45" t="n">
        <v>2</v>
      </c>
      <c r="I45" t="n">
        <v>1</v>
      </c>
      <c r="J45" t="n">
        <v>0</v>
      </c>
      <c r="K45" t="n">
        <v>0</v>
      </c>
      <c r="L45" t="n">
        <v>0</v>
      </c>
      <c r="M45" t="n">
        <v>0</v>
      </c>
      <c r="N45" t="n">
        <v>0</v>
      </c>
      <c r="O45" t="n">
        <v>0</v>
      </c>
      <c r="P45" t="n">
        <v>0</v>
      </c>
      <c r="Q45" t="n">
        <v>2</v>
      </c>
      <c r="R45" s="2" t="inlineStr">
        <is>
          <t>Plattlummer
Revlummer</t>
        </is>
      </c>
      <c r="S45">
        <f>HYPERLINK("https://klasma.github.io/Logging_1981/artfynd/A 48705-2025 artfynd.xlsx", "A 48705-2025")</f>
        <v/>
      </c>
      <c r="T45">
        <f>HYPERLINK("https://klasma.github.io/Logging_1981/kartor/A 48705-2025 karta.png", "A 48705-2025")</f>
        <v/>
      </c>
      <c r="V45">
        <f>HYPERLINK("https://klasma.github.io/Logging_1981/klagomål/A 48705-2025 FSC-klagomål.docx", "A 48705-2025")</f>
        <v/>
      </c>
      <c r="W45">
        <f>HYPERLINK("https://klasma.github.io/Logging_1981/klagomålsmail/A 48705-2025 FSC-klagomål mail.docx", "A 48705-2025")</f>
        <v/>
      </c>
      <c r="X45">
        <f>HYPERLINK("https://klasma.github.io/Logging_1981/tillsyn/A 48705-2025 tillsynsbegäran.docx", "A 48705-2025")</f>
        <v/>
      </c>
      <c r="Y45">
        <f>HYPERLINK("https://klasma.github.io/Logging_1981/tillsynsmail/A 48705-2025 tillsynsbegäran mail.docx", "A 48705-2025")</f>
        <v/>
      </c>
    </row>
    <row r="46" ht="15" customHeight="1">
      <c r="A46" t="inlineStr">
        <is>
          <t>A 34494-2023</t>
        </is>
      </c>
      <c r="B46" s="1" t="n">
        <v>45133</v>
      </c>
      <c r="C46" s="1" t="n">
        <v>46193</v>
      </c>
      <c r="D46" t="inlineStr">
        <is>
          <t>VÄSTMANLANDS LÄN</t>
        </is>
      </c>
      <c r="E46" t="inlineStr">
        <is>
          <t>SALA</t>
        </is>
      </c>
      <c r="G46" t="n">
        <v>0.8</v>
      </c>
      <c r="H46" t="n">
        <v>0</v>
      </c>
      <c r="I46" t="n">
        <v>2</v>
      </c>
      <c r="J46" t="n">
        <v>0</v>
      </c>
      <c r="K46" t="n">
        <v>0</v>
      </c>
      <c r="L46" t="n">
        <v>0</v>
      </c>
      <c r="M46" t="n">
        <v>0</v>
      </c>
      <c r="N46" t="n">
        <v>0</v>
      </c>
      <c r="O46" t="n">
        <v>0</v>
      </c>
      <c r="P46" t="n">
        <v>0</v>
      </c>
      <c r="Q46" t="n">
        <v>2</v>
      </c>
      <c r="R46" s="2" t="inlineStr">
        <is>
          <t>Bronshjon
Thomsons trägnagare</t>
        </is>
      </c>
      <c r="S46">
        <f>HYPERLINK("https://klasma.github.io/Logging_1981/artfynd/A 34494-2023 artfynd.xlsx", "A 34494-2023")</f>
        <v/>
      </c>
      <c r="T46">
        <f>HYPERLINK("https://klasma.github.io/Logging_1981/kartor/A 34494-2023 karta.png", "A 34494-2023")</f>
        <v/>
      </c>
      <c r="V46">
        <f>HYPERLINK("https://klasma.github.io/Logging_1981/klagomål/A 34494-2023 FSC-klagomål.docx", "A 34494-2023")</f>
        <v/>
      </c>
      <c r="W46">
        <f>HYPERLINK("https://klasma.github.io/Logging_1981/klagomålsmail/A 34494-2023 FSC-klagomål mail.docx", "A 34494-2023")</f>
        <v/>
      </c>
      <c r="X46">
        <f>HYPERLINK("https://klasma.github.io/Logging_1981/tillsyn/A 34494-2023 tillsynsbegäran.docx", "A 34494-2023")</f>
        <v/>
      </c>
      <c r="Y46">
        <f>HYPERLINK("https://klasma.github.io/Logging_1981/tillsynsmail/A 34494-2023 tillsynsbegäran mail.docx", "A 34494-2023")</f>
        <v/>
      </c>
    </row>
    <row r="47" ht="15" customHeight="1">
      <c r="A47" t="inlineStr">
        <is>
          <t>A 41570-2021</t>
        </is>
      </c>
      <c r="B47" s="1" t="n">
        <v>44425</v>
      </c>
      <c r="C47" s="1" t="n">
        <v>46193</v>
      </c>
      <c r="D47" t="inlineStr">
        <is>
          <t>VÄSTMANLANDS LÄN</t>
        </is>
      </c>
      <c r="E47" t="inlineStr">
        <is>
          <t>SALA</t>
        </is>
      </c>
      <c r="G47" t="n">
        <v>1.4</v>
      </c>
      <c r="H47" t="n">
        <v>0</v>
      </c>
      <c r="I47" t="n">
        <v>1</v>
      </c>
      <c r="J47" t="n">
        <v>1</v>
      </c>
      <c r="K47" t="n">
        <v>0</v>
      </c>
      <c r="L47" t="n">
        <v>0</v>
      </c>
      <c r="M47" t="n">
        <v>0</v>
      </c>
      <c r="N47" t="n">
        <v>0</v>
      </c>
      <c r="O47" t="n">
        <v>1</v>
      </c>
      <c r="P47" t="n">
        <v>0</v>
      </c>
      <c r="Q47" t="n">
        <v>2</v>
      </c>
      <c r="R47" s="2" t="inlineStr">
        <is>
          <t>Vedtrappmossa
Dvärghäxört</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24872-2025</t>
        </is>
      </c>
      <c r="B48" s="1" t="n">
        <v>45799</v>
      </c>
      <c r="C48" s="1" t="n">
        <v>46193</v>
      </c>
      <c r="D48" t="inlineStr">
        <is>
          <t>VÄSTMANLANDS LÄN</t>
        </is>
      </c>
      <c r="E48" t="inlineStr">
        <is>
          <t>SALA</t>
        </is>
      </c>
      <c r="G48" t="n">
        <v>13.9</v>
      </c>
      <c r="H48" t="n">
        <v>1</v>
      </c>
      <c r="I48" t="n">
        <v>0</v>
      </c>
      <c r="J48" t="n">
        <v>1</v>
      </c>
      <c r="K48" t="n">
        <v>1</v>
      </c>
      <c r="L48" t="n">
        <v>0</v>
      </c>
      <c r="M48" t="n">
        <v>0</v>
      </c>
      <c r="N48" t="n">
        <v>0</v>
      </c>
      <c r="O48" t="n">
        <v>2</v>
      </c>
      <c r="P48" t="n">
        <v>1</v>
      </c>
      <c r="Q48" t="n">
        <v>2</v>
      </c>
      <c r="R48" s="2" t="inlineStr">
        <is>
          <t>Knärot
Motaggsvamp</t>
        </is>
      </c>
      <c r="S48">
        <f>HYPERLINK("https://klasma.github.io/Logging_1981/artfynd/A 24872-2025 artfynd.xlsx", "A 24872-2025")</f>
        <v/>
      </c>
      <c r="T48">
        <f>HYPERLINK("https://klasma.github.io/Logging_1981/kartor/A 24872-2025 karta.png", "A 24872-2025")</f>
        <v/>
      </c>
      <c r="U48">
        <f>HYPERLINK("https://klasma.github.io/Logging_1981/knärot/A 24872-2025 karta knärot.png", "A 24872-2025")</f>
        <v/>
      </c>
      <c r="V48">
        <f>HYPERLINK("https://klasma.github.io/Logging_1981/klagomål/A 24872-2025 FSC-klagomål.docx", "A 24872-2025")</f>
        <v/>
      </c>
      <c r="W48">
        <f>HYPERLINK("https://klasma.github.io/Logging_1981/klagomålsmail/A 24872-2025 FSC-klagomål mail.docx", "A 24872-2025")</f>
        <v/>
      </c>
      <c r="X48">
        <f>HYPERLINK("https://klasma.github.io/Logging_1981/tillsyn/A 24872-2025 tillsynsbegäran.docx", "A 24872-2025")</f>
        <v/>
      </c>
      <c r="Y48">
        <f>HYPERLINK("https://klasma.github.io/Logging_1981/tillsynsmail/A 24872-2025 tillsynsbegäran mail.docx", "A 24872-2025")</f>
        <v/>
      </c>
    </row>
    <row r="49" ht="15" customHeight="1">
      <c r="A49" t="inlineStr">
        <is>
          <t>A 53048-2025</t>
        </is>
      </c>
      <c r="B49" s="1" t="n">
        <v>45958</v>
      </c>
      <c r="C49" s="1" t="n">
        <v>46193</v>
      </c>
      <c r="D49" t="inlineStr">
        <is>
          <t>VÄSTMANLANDS LÄN</t>
        </is>
      </c>
      <c r="E49" t="inlineStr">
        <is>
          <t>SALA</t>
        </is>
      </c>
      <c r="F49" t="inlineStr">
        <is>
          <t>Sveaskog</t>
        </is>
      </c>
      <c r="G49" t="n">
        <v>7.5</v>
      </c>
      <c r="H49" t="n">
        <v>1</v>
      </c>
      <c r="I49" t="n">
        <v>1</v>
      </c>
      <c r="J49" t="n">
        <v>1</v>
      </c>
      <c r="K49" t="n">
        <v>0</v>
      </c>
      <c r="L49" t="n">
        <v>0</v>
      </c>
      <c r="M49" t="n">
        <v>0</v>
      </c>
      <c r="N49" t="n">
        <v>0</v>
      </c>
      <c r="O49" t="n">
        <v>1</v>
      </c>
      <c r="P49" t="n">
        <v>0</v>
      </c>
      <c r="Q49" t="n">
        <v>2</v>
      </c>
      <c r="R49" s="2" t="inlineStr">
        <is>
          <t>Motaggsvamp
Plattlummer</t>
        </is>
      </c>
      <c r="S49">
        <f>HYPERLINK("https://klasma.github.io/Logging_1981/artfynd/A 53048-2025 artfynd.xlsx", "A 53048-2025")</f>
        <v/>
      </c>
      <c r="T49">
        <f>HYPERLINK("https://klasma.github.io/Logging_1981/kartor/A 53048-2025 karta.png", "A 53048-2025")</f>
        <v/>
      </c>
      <c r="V49">
        <f>HYPERLINK("https://klasma.github.io/Logging_1981/klagomål/A 53048-2025 FSC-klagomål.docx", "A 53048-2025")</f>
        <v/>
      </c>
      <c r="W49">
        <f>HYPERLINK("https://klasma.github.io/Logging_1981/klagomålsmail/A 53048-2025 FSC-klagomål mail.docx", "A 53048-2025")</f>
        <v/>
      </c>
      <c r="X49">
        <f>HYPERLINK("https://klasma.github.io/Logging_1981/tillsyn/A 53048-2025 tillsynsbegäran.docx", "A 53048-2025")</f>
        <v/>
      </c>
      <c r="Y49">
        <f>HYPERLINK("https://klasma.github.io/Logging_1981/tillsynsmail/A 53048-2025 tillsynsbegäran mail.docx", "A 53048-2025")</f>
        <v/>
      </c>
    </row>
    <row r="50" ht="15" customHeight="1">
      <c r="A50" t="inlineStr">
        <is>
          <t>A 59826-2025</t>
        </is>
      </c>
      <c r="B50" s="1" t="n">
        <v>45992</v>
      </c>
      <c r="C50" s="1" t="n">
        <v>46193</v>
      </c>
      <c r="D50" t="inlineStr">
        <is>
          <t>VÄSTMANLANDS LÄN</t>
        </is>
      </c>
      <c r="E50" t="inlineStr">
        <is>
          <t>SALA</t>
        </is>
      </c>
      <c r="G50" t="n">
        <v>2.7</v>
      </c>
      <c r="H50" t="n">
        <v>0</v>
      </c>
      <c r="I50" t="n">
        <v>1</v>
      </c>
      <c r="J50" t="n">
        <v>1</v>
      </c>
      <c r="K50" t="n">
        <v>0</v>
      </c>
      <c r="L50" t="n">
        <v>0</v>
      </c>
      <c r="M50" t="n">
        <v>0</v>
      </c>
      <c r="N50" t="n">
        <v>0</v>
      </c>
      <c r="O50" t="n">
        <v>1</v>
      </c>
      <c r="P50" t="n">
        <v>0</v>
      </c>
      <c r="Q50" t="n">
        <v>2</v>
      </c>
      <c r="R50" s="2" t="inlineStr">
        <is>
          <t>Motaggsvamp
Gullgröppa</t>
        </is>
      </c>
      <c r="S50">
        <f>HYPERLINK("https://klasma.github.io/Logging_1981/artfynd/A 59826-2025 artfynd.xlsx", "A 59826-2025")</f>
        <v/>
      </c>
      <c r="T50">
        <f>HYPERLINK("https://klasma.github.io/Logging_1981/kartor/A 59826-2025 karta.png", "A 59826-2025")</f>
        <v/>
      </c>
      <c r="V50">
        <f>HYPERLINK("https://klasma.github.io/Logging_1981/klagomål/A 59826-2025 FSC-klagomål.docx", "A 59826-2025")</f>
        <v/>
      </c>
      <c r="W50">
        <f>HYPERLINK("https://klasma.github.io/Logging_1981/klagomålsmail/A 59826-2025 FSC-klagomål mail.docx", "A 59826-2025")</f>
        <v/>
      </c>
      <c r="X50">
        <f>HYPERLINK("https://klasma.github.io/Logging_1981/tillsyn/A 59826-2025 tillsynsbegäran.docx", "A 59826-2025")</f>
        <v/>
      </c>
      <c r="Y50">
        <f>HYPERLINK("https://klasma.github.io/Logging_1981/tillsynsmail/A 59826-2025 tillsynsbegäran mail.docx", "A 59826-2025")</f>
        <v/>
      </c>
    </row>
    <row r="51" ht="15" customHeight="1">
      <c r="A51" t="inlineStr">
        <is>
          <t>A 1500-2022</t>
        </is>
      </c>
      <c r="B51" s="1" t="n">
        <v>44573</v>
      </c>
      <c r="C51" s="1" t="n">
        <v>46193</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15102-2025</t>
        </is>
      </c>
      <c r="B52" s="1" t="n">
        <v>45744</v>
      </c>
      <c r="C52" s="1" t="n">
        <v>46193</v>
      </c>
      <c r="D52" t="inlineStr">
        <is>
          <t>VÄSTMANLANDS LÄN</t>
        </is>
      </c>
      <c r="E52" t="inlineStr">
        <is>
          <t>SALA</t>
        </is>
      </c>
      <c r="F52" t="inlineStr">
        <is>
          <t>Sveaskog</t>
        </is>
      </c>
      <c r="G52" t="n">
        <v>4.2</v>
      </c>
      <c r="H52" t="n">
        <v>2</v>
      </c>
      <c r="I52" t="n">
        <v>0</v>
      </c>
      <c r="J52" t="n">
        <v>0</v>
      </c>
      <c r="K52" t="n">
        <v>0</v>
      </c>
      <c r="L52" t="n">
        <v>0</v>
      </c>
      <c r="M52" t="n">
        <v>0</v>
      </c>
      <c r="N52" t="n">
        <v>0</v>
      </c>
      <c r="O52" t="n">
        <v>0</v>
      </c>
      <c r="P52" t="n">
        <v>0</v>
      </c>
      <c r="Q52" t="n">
        <v>2</v>
      </c>
      <c r="R52" s="2" t="inlineStr">
        <is>
          <t>Spillkråka
Grönsiska</t>
        </is>
      </c>
      <c r="S52">
        <f>HYPERLINK("https://klasma.github.io/Logging_1981/artfynd/A 15102-2025 artfynd.xlsx", "A 15102-2025")</f>
        <v/>
      </c>
      <c r="T52">
        <f>HYPERLINK("https://klasma.github.io/Logging_1981/kartor/A 15102-2025 karta.png", "A 15102-2025")</f>
        <v/>
      </c>
      <c r="V52">
        <f>HYPERLINK("https://klasma.github.io/Logging_1981/klagomål/A 15102-2025 FSC-klagomål.docx", "A 15102-2025")</f>
        <v/>
      </c>
      <c r="W52">
        <f>HYPERLINK("https://klasma.github.io/Logging_1981/klagomålsmail/A 15102-2025 FSC-klagomål mail.docx", "A 15102-2025")</f>
        <v/>
      </c>
      <c r="X52">
        <f>HYPERLINK("https://klasma.github.io/Logging_1981/tillsyn/A 15102-2025 tillsynsbegäran.docx", "A 15102-2025")</f>
        <v/>
      </c>
      <c r="Y52">
        <f>HYPERLINK("https://klasma.github.io/Logging_1981/tillsynsmail/A 15102-2025 tillsynsbegäran mail.docx", "A 15102-2025")</f>
        <v/>
      </c>
      <c r="Z52">
        <f>HYPERLINK("https://klasma.github.io/Logging_1981/fåglar/A 15102-2025 prioriterade fågelarter.docx", "A 15102-2025")</f>
        <v/>
      </c>
    </row>
    <row r="53" ht="15" customHeight="1">
      <c r="A53" t="inlineStr">
        <is>
          <t>A 37624-2024</t>
        </is>
      </c>
      <c r="B53" s="1" t="n">
        <v>45541</v>
      </c>
      <c r="C53" s="1" t="n">
        <v>46193</v>
      </c>
      <c r="D53" t="inlineStr">
        <is>
          <t>VÄSTMANLANDS LÄN</t>
        </is>
      </c>
      <c r="E53" t="inlineStr">
        <is>
          <t>SALA</t>
        </is>
      </c>
      <c r="G53" t="n">
        <v>0.7</v>
      </c>
      <c r="H53" t="n">
        <v>0</v>
      </c>
      <c r="I53" t="n">
        <v>2</v>
      </c>
      <c r="J53" t="n">
        <v>0</v>
      </c>
      <c r="K53" t="n">
        <v>0</v>
      </c>
      <c r="L53" t="n">
        <v>0</v>
      </c>
      <c r="M53" t="n">
        <v>0</v>
      </c>
      <c r="N53" t="n">
        <v>0</v>
      </c>
      <c r="O53" t="n">
        <v>0</v>
      </c>
      <c r="P53" t="n">
        <v>0</v>
      </c>
      <c r="Q53" t="n">
        <v>2</v>
      </c>
      <c r="R53" s="2" t="inlineStr">
        <is>
          <t>Barkticka
Vedticka</t>
        </is>
      </c>
      <c r="S53">
        <f>HYPERLINK("https://klasma.github.io/Logging_1981/artfynd/A 37624-2024 artfynd.xlsx", "A 37624-2024")</f>
        <v/>
      </c>
      <c r="T53">
        <f>HYPERLINK("https://klasma.github.io/Logging_1981/kartor/A 37624-2024 karta.png", "A 37624-2024")</f>
        <v/>
      </c>
      <c r="V53">
        <f>HYPERLINK("https://klasma.github.io/Logging_1981/klagomål/A 37624-2024 FSC-klagomål.docx", "A 37624-2024")</f>
        <v/>
      </c>
      <c r="W53">
        <f>HYPERLINK("https://klasma.github.io/Logging_1981/klagomålsmail/A 37624-2024 FSC-klagomål mail.docx", "A 37624-2024")</f>
        <v/>
      </c>
      <c r="X53">
        <f>HYPERLINK("https://klasma.github.io/Logging_1981/tillsyn/A 37624-2024 tillsynsbegäran.docx", "A 37624-2024")</f>
        <v/>
      </c>
      <c r="Y53">
        <f>HYPERLINK("https://klasma.github.io/Logging_1981/tillsynsmail/A 37624-2024 tillsynsbegäran mail.docx", "A 37624-2024")</f>
        <v/>
      </c>
    </row>
    <row r="54" ht="15" customHeight="1">
      <c r="A54" t="inlineStr">
        <is>
          <t>A 6351-2023</t>
        </is>
      </c>
      <c r="B54" s="1" t="n">
        <v>44965</v>
      </c>
      <c r="C54" s="1" t="n">
        <v>46193</v>
      </c>
      <c r="D54" t="inlineStr">
        <is>
          <t>VÄSTMANLANDS LÄN</t>
        </is>
      </c>
      <c r="E54" t="inlineStr">
        <is>
          <t>SALA</t>
        </is>
      </c>
      <c r="F54" t="inlineStr">
        <is>
          <t>Kommuner</t>
        </is>
      </c>
      <c r="G54" t="n">
        <v>8.800000000000001</v>
      </c>
      <c r="H54" t="n">
        <v>2</v>
      </c>
      <c r="I54" t="n">
        <v>0</v>
      </c>
      <c r="J54" t="n">
        <v>0</v>
      </c>
      <c r="K54" t="n">
        <v>0</v>
      </c>
      <c r="L54" t="n">
        <v>0</v>
      </c>
      <c r="M54" t="n">
        <v>0</v>
      </c>
      <c r="N54" t="n">
        <v>0</v>
      </c>
      <c r="O54" t="n">
        <v>0</v>
      </c>
      <c r="P54" t="n">
        <v>0</v>
      </c>
      <c r="Q54" t="n">
        <v>2</v>
      </c>
      <c r="R54" s="2" t="inlineStr">
        <is>
          <t>Havsörn
Skogsödla</t>
        </is>
      </c>
      <c r="S54">
        <f>HYPERLINK("https://klasma.github.io/Logging_1981/artfynd/A 6351-2023 artfynd.xlsx", "A 6351-2023")</f>
        <v/>
      </c>
      <c r="T54">
        <f>HYPERLINK("https://klasma.github.io/Logging_1981/kartor/A 6351-2023 karta.png", "A 6351-2023")</f>
        <v/>
      </c>
      <c r="V54">
        <f>HYPERLINK("https://klasma.github.io/Logging_1981/klagomål/A 6351-2023 FSC-klagomål.docx", "A 6351-2023")</f>
        <v/>
      </c>
      <c r="W54">
        <f>HYPERLINK("https://klasma.github.io/Logging_1981/klagomålsmail/A 6351-2023 FSC-klagomål mail.docx", "A 6351-2023")</f>
        <v/>
      </c>
      <c r="X54">
        <f>HYPERLINK("https://klasma.github.io/Logging_1981/tillsyn/A 6351-2023 tillsynsbegäran.docx", "A 6351-2023")</f>
        <v/>
      </c>
      <c r="Y54">
        <f>HYPERLINK("https://klasma.github.io/Logging_1981/tillsynsmail/A 6351-2023 tillsynsbegäran mail.docx", "A 6351-2023")</f>
        <v/>
      </c>
      <c r="Z54">
        <f>HYPERLINK("https://klasma.github.io/Logging_1981/fåglar/A 6351-2023 prioriterade fågelarter.docx", "A 6351-2023")</f>
        <v/>
      </c>
    </row>
    <row r="55" ht="15" customHeight="1">
      <c r="A55" t="inlineStr">
        <is>
          <t>A 53432-2022</t>
        </is>
      </c>
      <c r="B55" s="1" t="n">
        <v>44879</v>
      </c>
      <c r="C55" s="1" t="n">
        <v>46193</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46193</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46193</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46193</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46193</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46193</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46193</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12246-2023</t>
        </is>
      </c>
      <c r="B62" s="1" t="n">
        <v>44995</v>
      </c>
      <c r="C62" s="1" t="n">
        <v>46193</v>
      </c>
      <c r="D62" t="inlineStr">
        <is>
          <t>VÄSTMANLANDS LÄN</t>
        </is>
      </c>
      <c r="E62" t="inlineStr">
        <is>
          <t>SALA</t>
        </is>
      </c>
      <c r="G62" t="n">
        <v>2.4</v>
      </c>
      <c r="H62" t="n">
        <v>1</v>
      </c>
      <c r="I62" t="n">
        <v>0</v>
      </c>
      <c r="J62" t="n">
        <v>0</v>
      </c>
      <c r="K62" t="n">
        <v>0</v>
      </c>
      <c r="L62" t="n">
        <v>0</v>
      </c>
      <c r="M62" t="n">
        <v>0</v>
      </c>
      <c r="N62" t="n">
        <v>0</v>
      </c>
      <c r="O62" t="n">
        <v>0</v>
      </c>
      <c r="P62" t="n">
        <v>0</v>
      </c>
      <c r="Q62" t="n">
        <v>1</v>
      </c>
      <c r="R62" s="2" t="inlineStr">
        <is>
          <t>Trana</t>
        </is>
      </c>
      <c r="S62">
        <f>HYPERLINK("https://klasma.github.io/Logging_1981/artfynd/A 12246-2023 artfynd.xlsx", "A 12246-2023")</f>
        <v/>
      </c>
      <c r="T62">
        <f>HYPERLINK("https://klasma.github.io/Logging_1981/kartor/A 12246-2023 karta.png", "A 12246-2023")</f>
        <v/>
      </c>
      <c r="V62">
        <f>HYPERLINK("https://klasma.github.io/Logging_1981/klagomål/A 12246-2023 FSC-klagomål.docx", "A 12246-2023")</f>
        <v/>
      </c>
      <c r="W62">
        <f>HYPERLINK("https://klasma.github.io/Logging_1981/klagomålsmail/A 12246-2023 FSC-klagomål mail.docx", "A 12246-2023")</f>
        <v/>
      </c>
      <c r="X62">
        <f>HYPERLINK("https://klasma.github.io/Logging_1981/tillsyn/A 12246-2023 tillsynsbegäran.docx", "A 12246-2023")</f>
        <v/>
      </c>
      <c r="Y62">
        <f>HYPERLINK("https://klasma.github.io/Logging_1981/tillsynsmail/A 12246-2023 tillsynsbegäran mail.docx", "A 12246-2023")</f>
        <v/>
      </c>
      <c r="Z62">
        <f>HYPERLINK("https://klasma.github.io/Logging_1981/fåglar/A 12246-2023 prioriterade fågelarter.docx", "A 12246-2023")</f>
        <v/>
      </c>
    </row>
    <row r="63" ht="15" customHeight="1">
      <c r="A63" t="inlineStr">
        <is>
          <t>A 43175-2023</t>
        </is>
      </c>
      <c r="B63" s="1" t="n">
        <v>45183</v>
      </c>
      <c r="C63" s="1" t="n">
        <v>46193</v>
      </c>
      <c r="D63" t="inlineStr">
        <is>
          <t>VÄSTMANLANDS LÄN</t>
        </is>
      </c>
      <c r="E63" t="inlineStr">
        <is>
          <t>SALA</t>
        </is>
      </c>
      <c r="G63" t="n">
        <v>5.6</v>
      </c>
      <c r="H63" t="n">
        <v>0</v>
      </c>
      <c r="I63" t="n">
        <v>1</v>
      </c>
      <c r="J63" t="n">
        <v>0</v>
      </c>
      <c r="K63" t="n">
        <v>0</v>
      </c>
      <c r="L63" t="n">
        <v>0</v>
      </c>
      <c r="M63" t="n">
        <v>0</v>
      </c>
      <c r="N63" t="n">
        <v>0</v>
      </c>
      <c r="O63" t="n">
        <v>0</v>
      </c>
      <c r="P63" t="n">
        <v>0</v>
      </c>
      <c r="Q63" t="n">
        <v>1</v>
      </c>
      <c r="R63" s="2" t="inlineStr">
        <is>
          <t>Grönpyrola</t>
        </is>
      </c>
      <c r="S63">
        <f>HYPERLINK("https://klasma.github.io/Logging_1981/artfynd/A 43175-2023 artfynd.xlsx", "A 43175-2023")</f>
        <v/>
      </c>
      <c r="T63">
        <f>HYPERLINK("https://klasma.github.io/Logging_1981/kartor/A 43175-2023 karta.png", "A 43175-2023")</f>
        <v/>
      </c>
      <c r="V63">
        <f>HYPERLINK("https://klasma.github.io/Logging_1981/klagomål/A 43175-2023 FSC-klagomål.docx", "A 43175-2023")</f>
        <v/>
      </c>
      <c r="W63">
        <f>HYPERLINK("https://klasma.github.io/Logging_1981/klagomålsmail/A 43175-2023 FSC-klagomål mail.docx", "A 43175-2023")</f>
        <v/>
      </c>
      <c r="X63">
        <f>HYPERLINK("https://klasma.github.io/Logging_1981/tillsyn/A 43175-2023 tillsynsbegäran.docx", "A 43175-2023")</f>
        <v/>
      </c>
      <c r="Y63">
        <f>HYPERLINK("https://klasma.github.io/Logging_1981/tillsynsmail/A 43175-2023 tillsynsbegäran mail.docx", "A 43175-2023")</f>
        <v/>
      </c>
    </row>
    <row r="64" ht="15" customHeight="1">
      <c r="A64" t="inlineStr">
        <is>
          <t>A 1196-2023</t>
        </is>
      </c>
      <c r="B64" s="1" t="n">
        <v>44935</v>
      </c>
      <c r="C64" s="1" t="n">
        <v>46193</v>
      </c>
      <c r="D64" t="inlineStr">
        <is>
          <t>VÄSTMANLANDS LÄN</t>
        </is>
      </c>
      <c r="E64" t="inlineStr">
        <is>
          <t>SALA</t>
        </is>
      </c>
      <c r="G64" t="n">
        <v>4.1</v>
      </c>
      <c r="H64" t="n">
        <v>0</v>
      </c>
      <c r="I64" t="n">
        <v>1</v>
      </c>
      <c r="J64" t="n">
        <v>0</v>
      </c>
      <c r="K64" t="n">
        <v>0</v>
      </c>
      <c r="L64" t="n">
        <v>0</v>
      </c>
      <c r="M64" t="n">
        <v>0</v>
      </c>
      <c r="N64" t="n">
        <v>0</v>
      </c>
      <c r="O64" t="n">
        <v>0</v>
      </c>
      <c r="P64" t="n">
        <v>0</v>
      </c>
      <c r="Q64" t="n">
        <v>1</v>
      </c>
      <c r="R64" s="2" t="inlineStr">
        <is>
          <t>Guldlockmossa</t>
        </is>
      </c>
      <c r="S64">
        <f>HYPERLINK("https://klasma.github.io/Logging_1981/artfynd/A 1196-2023 artfynd.xlsx", "A 1196-2023")</f>
        <v/>
      </c>
      <c r="T64">
        <f>HYPERLINK("https://klasma.github.io/Logging_1981/kartor/A 1196-2023 karta.png", "A 1196-2023")</f>
        <v/>
      </c>
      <c r="V64">
        <f>HYPERLINK("https://klasma.github.io/Logging_1981/klagomål/A 1196-2023 FSC-klagomål.docx", "A 1196-2023")</f>
        <v/>
      </c>
      <c r="W64">
        <f>HYPERLINK("https://klasma.github.io/Logging_1981/klagomålsmail/A 1196-2023 FSC-klagomål mail.docx", "A 1196-2023")</f>
        <v/>
      </c>
      <c r="X64">
        <f>HYPERLINK("https://klasma.github.io/Logging_1981/tillsyn/A 1196-2023 tillsynsbegäran.docx", "A 1196-2023")</f>
        <v/>
      </c>
      <c r="Y64">
        <f>HYPERLINK("https://klasma.github.io/Logging_1981/tillsynsmail/A 1196-2023 tillsynsbegäran mail.docx", "A 1196-2023")</f>
        <v/>
      </c>
    </row>
    <row r="65" ht="15" customHeight="1">
      <c r="A65" t="inlineStr">
        <is>
          <t>A 43176-2023</t>
        </is>
      </c>
      <c r="B65" s="1" t="n">
        <v>45183</v>
      </c>
      <c r="C65" s="1" t="n">
        <v>46193</v>
      </c>
      <c r="D65" t="inlineStr">
        <is>
          <t>VÄSTMANLANDS LÄN</t>
        </is>
      </c>
      <c r="E65" t="inlineStr">
        <is>
          <t>SALA</t>
        </is>
      </c>
      <c r="G65" t="n">
        <v>1.2</v>
      </c>
      <c r="H65" t="n">
        <v>1</v>
      </c>
      <c r="I65" t="n">
        <v>0</v>
      </c>
      <c r="J65" t="n">
        <v>0</v>
      </c>
      <c r="K65" t="n">
        <v>0</v>
      </c>
      <c r="L65" t="n">
        <v>0</v>
      </c>
      <c r="M65" t="n">
        <v>0</v>
      </c>
      <c r="N65" t="n">
        <v>0</v>
      </c>
      <c r="O65" t="n">
        <v>0</v>
      </c>
      <c r="P65" t="n">
        <v>0</v>
      </c>
      <c r="Q65" t="n">
        <v>1</v>
      </c>
      <c r="R65" s="2" t="inlineStr">
        <is>
          <t>Mattlummer</t>
        </is>
      </c>
      <c r="S65">
        <f>HYPERLINK("https://klasma.github.io/Logging_1981/artfynd/A 43176-2023 artfynd.xlsx", "A 43176-2023")</f>
        <v/>
      </c>
      <c r="T65">
        <f>HYPERLINK("https://klasma.github.io/Logging_1981/kartor/A 43176-2023 karta.png", "A 43176-2023")</f>
        <v/>
      </c>
      <c r="V65">
        <f>HYPERLINK("https://klasma.github.io/Logging_1981/klagomål/A 43176-2023 FSC-klagomål.docx", "A 43176-2023")</f>
        <v/>
      </c>
      <c r="W65">
        <f>HYPERLINK("https://klasma.github.io/Logging_1981/klagomålsmail/A 43176-2023 FSC-klagomål mail.docx", "A 43176-2023")</f>
        <v/>
      </c>
      <c r="X65">
        <f>HYPERLINK("https://klasma.github.io/Logging_1981/tillsyn/A 43176-2023 tillsynsbegäran.docx", "A 43176-2023")</f>
        <v/>
      </c>
      <c r="Y65">
        <f>HYPERLINK("https://klasma.github.io/Logging_1981/tillsynsmail/A 43176-2023 tillsynsbegäran mail.docx", "A 43176-2023")</f>
        <v/>
      </c>
    </row>
    <row r="66" ht="15" customHeight="1">
      <c r="A66" t="inlineStr">
        <is>
          <t>A 41270-2024</t>
        </is>
      </c>
      <c r="B66" s="1" t="n">
        <v>45559</v>
      </c>
      <c r="C66" s="1" t="n">
        <v>46193</v>
      </c>
      <c r="D66" t="inlineStr">
        <is>
          <t>VÄSTMANLANDS LÄN</t>
        </is>
      </c>
      <c r="E66" t="inlineStr">
        <is>
          <t>SALA</t>
        </is>
      </c>
      <c r="G66" t="n">
        <v>15.2</v>
      </c>
      <c r="H66" t="n">
        <v>1</v>
      </c>
      <c r="I66" t="n">
        <v>0</v>
      </c>
      <c r="J66" t="n">
        <v>0</v>
      </c>
      <c r="K66" t="n">
        <v>0</v>
      </c>
      <c r="L66" t="n">
        <v>0</v>
      </c>
      <c r="M66" t="n">
        <v>0</v>
      </c>
      <c r="N66" t="n">
        <v>0</v>
      </c>
      <c r="O66" t="n">
        <v>0</v>
      </c>
      <c r="P66" t="n">
        <v>0</v>
      </c>
      <c r="Q66" t="n">
        <v>1</v>
      </c>
      <c r="R66" s="2" t="inlineStr">
        <is>
          <t>Havsörn</t>
        </is>
      </c>
      <c r="S66">
        <f>HYPERLINK("https://klasma.github.io/Logging_1981/artfynd/A 41270-2024 artfynd.xlsx", "A 41270-2024")</f>
        <v/>
      </c>
      <c r="T66">
        <f>HYPERLINK("https://klasma.github.io/Logging_1981/kartor/A 41270-2024 karta.png", "A 41270-2024")</f>
        <v/>
      </c>
      <c r="V66">
        <f>HYPERLINK("https://klasma.github.io/Logging_1981/klagomål/A 41270-2024 FSC-klagomål.docx", "A 41270-2024")</f>
        <v/>
      </c>
      <c r="W66">
        <f>HYPERLINK("https://klasma.github.io/Logging_1981/klagomålsmail/A 41270-2024 FSC-klagomål mail.docx", "A 41270-2024")</f>
        <v/>
      </c>
      <c r="X66">
        <f>HYPERLINK("https://klasma.github.io/Logging_1981/tillsyn/A 41270-2024 tillsynsbegäran.docx", "A 41270-2024")</f>
        <v/>
      </c>
      <c r="Y66">
        <f>HYPERLINK("https://klasma.github.io/Logging_1981/tillsynsmail/A 41270-2024 tillsynsbegäran mail.docx", "A 41270-2024")</f>
        <v/>
      </c>
      <c r="Z66">
        <f>HYPERLINK("https://klasma.github.io/Logging_1981/fåglar/A 41270-2024 prioriterade fågelarter.docx", "A 41270-2024")</f>
        <v/>
      </c>
    </row>
    <row r="67" ht="15" customHeight="1">
      <c r="A67" t="inlineStr">
        <is>
          <t>A 38255-2025</t>
        </is>
      </c>
      <c r="B67" s="1" t="n">
        <v>45883</v>
      </c>
      <c r="C67" s="1" t="n">
        <v>46193</v>
      </c>
      <c r="D67" t="inlineStr">
        <is>
          <t>VÄSTMANLANDS LÄN</t>
        </is>
      </c>
      <c r="E67" t="inlineStr">
        <is>
          <t>SALA</t>
        </is>
      </c>
      <c r="G67" t="n">
        <v>0.9</v>
      </c>
      <c r="H67" t="n">
        <v>1</v>
      </c>
      <c r="I67" t="n">
        <v>0</v>
      </c>
      <c r="J67" t="n">
        <v>0</v>
      </c>
      <c r="K67" t="n">
        <v>1</v>
      </c>
      <c r="L67" t="n">
        <v>0</v>
      </c>
      <c r="M67" t="n">
        <v>0</v>
      </c>
      <c r="N67" t="n">
        <v>0</v>
      </c>
      <c r="O67" t="n">
        <v>1</v>
      </c>
      <c r="P67" t="n">
        <v>1</v>
      </c>
      <c r="Q67" t="n">
        <v>1</v>
      </c>
      <c r="R67" s="2" t="inlineStr">
        <is>
          <t>Knärot</t>
        </is>
      </c>
      <c r="S67">
        <f>HYPERLINK("https://klasma.github.io/Logging_1981/artfynd/A 38255-2025 artfynd.xlsx", "A 38255-2025")</f>
        <v/>
      </c>
      <c r="T67">
        <f>HYPERLINK("https://klasma.github.io/Logging_1981/kartor/A 38255-2025 karta.png", "A 38255-2025")</f>
        <v/>
      </c>
      <c r="U67">
        <f>HYPERLINK("https://klasma.github.io/Logging_1981/knärot/A 38255-2025 karta knärot.png", "A 38255-2025")</f>
        <v/>
      </c>
      <c r="V67">
        <f>HYPERLINK("https://klasma.github.io/Logging_1981/klagomål/A 38255-2025 FSC-klagomål.docx", "A 38255-2025")</f>
        <v/>
      </c>
      <c r="W67">
        <f>HYPERLINK("https://klasma.github.io/Logging_1981/klagomålsmail/A 38255-2025 FSC-klagomål mail.docx", "A 38255-2025")</f>
        <v/>
      </c>
      <c r="X67">
        <f>HYPERLINK("https://klasma.github.io/Logging_1981/tillsyn/A 38255-2025 tillsynsbegäran.docx", "A 38255-2025")</f>
        <v/>
      </c>
      <c r="Y67">
        <f>HYPERLINK("https://klasma.github.io/Logging_1981/tillsynsmail/A 38255-2025 tillsynsbegäran mail.docx", "A 38255-2025")</f>
        <v/>
      </c>
    </row>
    <row r="68" ht="15" customHeight="1">
      <c r="A68" t="inlineStr">
        <is>
          <t>A 25748-2022</t>
        </is>
      </c>
      <c r="B68" s="1" t="n">
        <v>44732</v>
      </c>
      <c r="C68" s="1" t="n">
        <v>46193</v>
      </c>
      <c r="D68" t="inlineStr">
        <is>
          <t>VÄSTMANLANDS LÄN</t>
        </is>
      </c>
      <c r="E68" t="inlineStr">
        <is>
          <t>SALA</t>
        </is>
      </c>
      <c r="G68" t="n">
        <v>7.7</v>
      </c>
      <c r="H68" t="n">
        <v>1</v>
      </c>
      <c r="I68" t="n">
        <v>0</v>
      </c>
      <c r="J68" t="n">
        <v>0</v>
      </c>
      <c r="K68" t="n">
        <v>0</v>
      </c>
      <c r="L68" t="n">
        <v>0</v>
      </c>
      <c r="M68" t="n">
        <v>0</v>
      </c>
      <c r="N68" t="n">
        <v>0</v>
      </c>
      <c r="O68" t="n">
        <v>0</v>
      </c>
      <c r="P68" t="n">
        <v>0</v>
      </c>
      <c r="Q68" t="n">
        <v>1</v>
      </c>
      <c r="R68" s="2" t="inlineStr">
        <is>
          <t>Kungsfågel</t>
        </is>
      </c>
      <c r="S68">
        <f>HYPERLINK("https://klasma.github.io/Logging_1981/artfynd/A 25748-2022 artfynd.xlsx", "A 25748-2022")</f>
        <v/>
      </c>
      <c r="T68">
        <f>HYPERLINK("https://klasma.github.io/Logging_1981/kartor/A 25748-2022 karta.png", "A 25748-2022")</f>
        <v/>
      </c>
      <c r="V68">
        <f>HYPERLINK("https://klasma.github.io/Logging_1981/klagomål/A 25748-2022 FSC-klagomål.docx", "A 25748-2022")</f>
        <v/>
      </c>
      <c r="W68">
        <f>HYPERLINK("https://klasma.github.io/Logging_1981/klagomålsmail/A 25748-2022 FSC-klagomål mail.docx", "A 25748-2022")</f>
        <v/>
      </c>
      <c r="X68">
        <f>HYPERLINK("https://klasma.github.io/Logging_1981/tillsyn/A 25748-2022 tillsynsbegäran.docx", "A 25748-2022")</f>
        <v/>
      </c>
      <c r="Y68">
        <f>HYPERLINK("https://klasma.github.io/Logging_1981/tillsynsmail/A 25748-2022 tillsynsbegäran mail.docx", "A 25748-2022")</f>
        <v/>
      </c>
      <c r="Z68">
        <f>HYPERLINK("https://klasma.github.io/Logging_1981/fåglar/A 25748-2022 prioriterade fågelarter.docx", "A 25748-2022")</f>
        <v/>
      </c>
    </row>
    <row r="69" ht="15" customHeight="1">
      <c r="A69" t="inlineStr">
        <is>
          <t>A 31859-2023</t>
        </is>
      </c>
      <c r="B69" s="1" t="n">
        <v>45118</v>
      </c>
      <c r="C69" s="1" t="n">
        <v>46193</v>
      </c>
      <c r="D69" t="inlineStr">
        <is>
          <t>VÄSTMANLANDS LÄN</t>
        </is>
      </c>
      <c r="E69" t="inlineStr">
        <is>
          <t>SALA</t>
        </is>
      </c>
      <c r="G69" t="n">
        <v>0.5</v>
      </c>
      <c r="H69" t="n">
        <v>1</v>
      </c>
      <c r="I69" t="n">
        <v>0</v>
      </c>
      <c r="J69" t="n">
        <v>0</v>
      </c>
      <c r="K69" t="n">
        <v>1</v>
      </c>
      <c r="L69" t="n">
        <v>0</v>
      </c>
      <c r="M69" t="n">
        <v>0</v>
      </c>
      <c r="N69" t="n">
        <v>0</v>
      </c>
      <c r="O69" t="n">
        <v>1</v>
      </c>
      <c r="P69" t="n">
        <v>1</v>
      </c>
      <c r="Q69" t="n">
        <v>1</v>
      </c>
      <c r="R69" s="2" t="inlineStr">
        <is>
          <t>Knärot</t>
        </is>
      </c>
      <c r="S69">
        <f>HYPERLINK("https://klasma.github.io/Logging_1981/artfynd/A 31859-2023 artfynd.xlsx", "A 31859-2023")</f>
        <v/>
      </c>
      <c r="T69">
        <f>HYPERLINK("https://klasma.github.io/Logging_1981/kartor/A 31859-2023 karta.png", "A 31859-2023")</f>
        <v/>
      </c>
      <c r="U69">
        <f>HYPERLINK("https://klasma.github.io/Logging_1981/knärot/A 31859-2023 karta knärot.png", "A 31859-2023")</f>
        <v/>
      </c>
      <c r="V69">
        <f>HYPERLINK("https://klasma.github.io/Logging_1981/klagomål/A 31859-2023 FSC-klagomål.docx", "A 31859-2023")</f>
        <v/>
      </c>
      <c r="W69">
        <f>HYPERLINK("https://klasma.github.io/Logging_1981/klagomålsmail/A 31859-2023 FSC-klagomål mail.docx", "A 31859-2023")</f>
        <v/>
      </c>
      <c r="X69">
        <f>HYPERLINK("https://klasma.github.io/Logging_1981/tillsyn/A 31859-2023 tillsynsbegäran.docx", "A 31859-2023")</f>
        <v/>
      </c>
      <c r="Y69">
        <f>HYPERLINK("https://klasma.github.io/Logging_1981/tillsynsmail/A 31859-2023 tillsynsbegäran mail.docx", "A 31859-2023")</f>
        <v/>
      </c>
    </row>
    <row r="70" ht="15" customHeight="1">
      <c r="A70" t="inlineStr">
        <is>
          <t>A 3810-2023</t>
        </is>
      </c>
      <c r="B70" s="1" t="n">
        <v>44951</v>
      </c>
      <c r="C70" s="1" t="n">
        <v>46193</v>
      </c>
      <c r="D70" t="inlineStr">
        <is>
          <t>VÄSTMANLANDS LÄN</t>
        </is>
      </c>
      <c r="E70" t="inlineStr">
        <is>
          <t>SALA</t>
        </is>
      </c>
      <c r="G70" t="n">
        <v>4.2</v>
      </c>
      <c r="H70" t="n">
        <v>0</v>
      </c>
      <c r="I70" t="n">
        <v>0</v>
      </c>
      <c r="J70" t="n">
        <v>0</v>
      </c>
      <c r="K70" t="n">
        <v>0</v>
      </c>
      <c r="L70" t="n">
        <v>0</v>
      </c>
      <c r="M70" t="n">
        <v>0</v>
      </c>
      <c r="N70" t="n">
        <v>0</v>
      </c>
      <c r="O70" t="n">
        <v>0</v>
      </c>
      <c r="P70" t="n">
        <v>0</v>
      </c>
      <c r="Q70" t="n">
        <v>1</v>
      </c>
      <c r="R70" s="2" t="inlineStr">
        <is>
          <t>Kärrviol</t>
        </is>
      </c>
      <c r="S70">
        <f>HYPERLINK("https://klasma.github.io/Logging_1981/artfynd/A 3810-2023 artfynd.xlsx", "A 3810-2023")</f>
        <v/>
      </c>
      <c r="T70">
        <f>HYPERLINK("https://klasma.github.io/Logging_1981/kartor/A 3810-2023 karta.png", "A 3810-2023")</f>
        <v/>
      </c>
      <c r="V70">
        <f>HYPERLINK("https://klasma.github.io/Logging_1981/klagomål/A 3810-2023 FSC-klagomål.docx", "A 3810-2023")</f>
        <v/>
      </c>
      <c r="W70">
        <f>HYPERLINK("https://klasma.github.io/Logging_1981/klagomålsmail/A 3810-2023 FSC-klagomål mail.docx", "A 3810-2023")</f>
        <v/>
      </c>
      <c r="X70">
        <f>HYPERLINK("https://klasma.github.io/Logging_1981/tillsyn/A 3810-2023 tillsynsbegäran.docx", "A 3810-2023")</f>
        <v/>
      </c>
      <c r="Y70">
        <f>HYPERLINK("https://klasma.github.io/Logging_1981/tillsynsmail/A 3810-2023 tillsynsbegäran mail.docx", "A 3810-2023")</f>
        <v/>
      </c>
    </row>
    <row r="71" ht="15" customHeight="1">
      <c r="A71" t="inlineStr">
        <is>
          <t>A 16693-2023</t>
        </is>
      </c>
      <c r="B71" s="1" t="n">
        <v>45028</v>
      </c>
      <c r="C71" s="1" t="n">
        <v>46193</v>
      </c>
      <c r="D71" t="inlineStr">
        <is>
          <t>VÄSTMANLANDS LÄN</t>
        </is>
      </c>
      <c r="E71" t="inlineStr">
        <is>
          <t>SALA</t>
        </is>
      </c>
      <c r="G71" t="n">
        <v>1.5</v>
      </c>
      <c r="H71" t="n">
        <v>0</v>
      </c>
      <c r="I71" t="n">
        <v>1</v>
      </c>
      <c r="J71" t="n">
        <v>0</v>
      </c>
      <c r="K71" t="n">
        <v>0</v>
      </c>
      <c r="L71" t="n">
        <v>0</v>
      </c>
      <c r="M71" t="n">
        <v>0</v>
      </c>
      <c r="N71" t="n">
        <v>0</v>
      </c>
      <c r="O71" t="n">
        <v>0</v>
      </c>
      <c r="P71" t="n">
        <v>0</v>
      </c>
      <c r="Q71" t="n">
        <v>1</v>
      </c>
      <c r="R71" s="2" t="inlineStr">
        <is>
          <t>Skinnlav</t>
        </is>
      </c>
      <c r="S71">
        <f>HYPERLINK("https://klasma.github.io/Logging_1981/artfynd/A 16693-2023 artfynd.xlsx", "A 16693-2023")</f>
        <v/>
      </c>
      <c r="T71">
        <f>HYPERLINK("https://klasma.github.io/Logging_1981/kartor/A 16693-2023 karta.png", "A 16693-2023")</f>
        <v/>
      </c>
      <c r="V71">
        <f>HYPERLINK("https://klasma.github.io/Logging_1981/klagomål/A 16693-2023 FSC-klagomål.docx", "A 16693-2023")</f>
        <v/>
      </c>
      <c r="W71">
        <f>HYPERLINK("https://klasma.github.io/Logging_1981/klagomålsmail/A 16693-2023 FSC-klagomål mail.docx", "A 16693-2023")</f>
        <v/>
      </c>
      <c r="X71">
        <f>HYPERLINK("https://klasma.github.io/Logging_1981/tillsyn/A 16693-2023 tillsynsbegäran.docx", "A 16693-2023")</f>
        <v/>
      </c>
      <c r="Y71">
        <f>HYPERLINK("https://klasma.github.io/Logging_1981/tillsynsmail/A 16693-2023 tillsynsbegäran mail.docx", "A 16693-2023")</f>
        <v/>
      </c>
    </row>
    <row r="72" ht="15" customHeight="1">
      <c r="A72" t="inlineStr">
        <is>
          <t>A 55550-2023</t>
        </is>
      </c>
      <c r="B72" s="1" t="n">
        <v>45232</v>
      </c>
      <c r="C72" s="1" t="n">
        <v>46193</v>
      </c>
      <c r="D72" t="inlineStr">
        <is>
          <t>VÄSTMANLANDS LÄN</t>
        </is>
      </c>
      <c r="E72" t="inlineStr">
        <is>
          <t>SALA</t>
        </is>
      </c>
      <c r="G72" t="n">
        <v>9.9</v>
      </c>
      <c r="H72" t="n">
        <v>1</v>
      </c>
      <c r="I72" t="n">
        <v>0</v>
      </c>
      <c r="J72" t="n">
        <v>0</v>
      </c>
      <c r="K72" t="n">
        <v>1</v>
      </c>
      <c r="L72" t="n">
        <v>0</v>
      </c>
      <c r="M72" t="n">
        <v>0</v>
      </c>
      <c r="N72" t="n">
        <v>0</v>
      </c>
      <c r="O72" t="n">
        <v>1</v>
      </c>
      <c r="P72" t="n">
        <v>1</v>
      </c>
      <c r="Q72" t="n">
        <v>1</v>
      </c>
      <c r="R72" s="2" t="inlineStr">
        <is>
          <t>Knärot</t>
        </is>
      </c>
      <c r="S72">
        <f>HYPERLINK("https://klasma.github.io/Logging_1981/artfynd/A 55550-2023 artfynd.xlsx", "A 55550-2023")</f>
        <v/>
      </c>
      <c r="T72">
        <f>HYPERLINK("https://klasma.github.io/Logging_1981/kartor/A 55550-2023 karta.png", "A 55550-2023")</f>
        <v/>
      </c>
      <c r="U72">
        <f>HYPERLINK("https://klasma.github.io/Logging_1981/knärot/A 55550-2023 karta knärot.png", "A 55550-2023")</f>
        <v/>
      </c>
      <c r="V72">
        <f>HYPERLINK("https://klasma.github.io/Logging_1981/klagomål/A 55550-2023 FSC-klagomål.docx", "A 55550-2023")</f>
        <v/>
      </c>
      <c r="W72">
        <f>HYPERLINK("https://klasma.github.io/Logging_1981/klagomålsmail/A 55550-2023 FSC-klagomål mail.docx", "A 55550-2023")</f>
        <v/>
      </c>
      <c r="X72">
        <f>HYPERLINK("https://klasma.github.io/Logging_1981/tillsyn/A 55550-2023 tillsynsbegäran.docx", "A 55550-2023")</f>
        <v/>
      </c>
      <c r="Y72">
        <f>HYPERLINK("https://klasma.github.io/Logging_1981/tillsynsmail/A 55550-2023 tillsynsbegäran mail.docx", "A 55550-2023")</f>
        <v/>
      </c>
    </row>
    <row r="73" ht="15" customHeight="1">
      <c r="A73" t="inlineStr">
        <is>
          <t>A 23224-2023</t>
        </is>
      </c>
      <c r="B73" s="1" t="n">
        <v>45075</v>
      </c>
      <c r="C73" s="1" t="n">
        <v>46193</v>
      </c>
      <c r="D73" t="inlineStr">
        <is>
          <t>VÄSTMANLANDS LÄN</t>
        </is>
      </c>
      <c r="E73" t="inlineStr">
        <is>
          <t>SALA</t>
        </is>
      </c>
      <c r="G73" t="n">
        <v>0.8</v>
      </c>
      <c r="H73" t="n">
        <v>1</v>
      </c>
      <c r="I73" t="n">
        <v>0</v>
      </c>
      <c r="J73" t="n">
        <v>0</v>
      </c>
      <c r="K73" t="n">
        <v>0</v>
      </c>
      <c r="L73" t="n">
        <v>0</v>
      </c>
      <c r="M73" t="n">
        <v>0</v>
      </c>
      <c r="N73" t="n">
        <v>0</v>
      </c>
      <c r="O73" t="n">
        <v>0</v>
      </c>
      <c r="P73" t="n">
        <v>0</v>
      </c>
      <c r="Q73" t="n">
        <v>1</v>
      </c>
      <c r="R73" s="2" t="inlineStr">
        <is>
          <t>Mindre vattensalamander</t>
        </is>
      </c>
      <c r="S73">
        <f>HYPERLINK("https://klasma.github.io/Logging_1981/artfynd/A 23224-2023 artfynd.xlsx", "A 23224-2023")</f>
        <v/>
      </c>
      <c r="T73">
        <f>HYPERLINK("https://klasma.github.io/Logging_1981/kartor/A 23224-2023 karta.png", "A 23224-2023")</f>
        <v/>
      </c>
      <c r="V73">
        <f>HYPERLINK("https://klasma.github.io/Logging_1981/klagomål/A 23224-2023 FSC-klagomål.docx", "A 23224-2023")</f>
        <v/>
      </c>
      <c r="W73">
        <f>HYPERLINK("https://klasma.github.io/Logging_1981/klagomålsmail/A 23224-2023 FSC-klagomål mail.docx", "A 23224-2023")</f>
        <v/>
      </c>
      <c r="X73">
        <f>HYPERLINK("https://klasma.github.io/Logging_1981/tillsyn/A 23224-2023 tillsynsbegäran.docx", "A 23224-2023")</f>
        <v/>
      </c>
      <c r="Y73">
        <f>HYPERLINK("https://klasma.github.io/Logging_1981/tillsynsmail/A 23224-2023 tillsynsbegäran mail.docx", "A 23224-2023")</f>
        <v/>
      </c>
    </row>
    <row r="74" ht="15" customHeight="1">
      <c r="A74" t="inlineStr">
        <is>
          <t>A 14775-2023</t>
        </is>
      </c>
      <c r="B74" s="1" t="n">
        <v>45014</v>
      </c>
      <c r="C74" s="1" t="n">
        <v>46193</v>
      </c>
      <c r="D74" t="inlineStr">
        <is>
          <t>VÄSTMANLANDS LÄN</t>
        </is>
      </c>
      <c r="E74" t="inlineStr">
        <is>
          <t>SALA</t>
        </is>
      </c>
      <c r="G74" t="n">
        <v>1.3</v>
      </c>
      <c r="H74" t="n">
        <v>1</v>
      </c>
      <c r="I74" t="n">
        <v>0</v>
      </c>
      <c r="J74" t="n">
        <v>0</v>
      </c>
      <c r="K74" t="n">
        <v>1</v>
      </c>
      <c r="L74" t="n">
        <v>0</v>
      </c>
      <c r="M74" t="n">
        <v>0</v>
      </c>
      <c r="N74" t="n">
        <v>0</v>
      </c>
      <c r="O74" t="n">
        <v>1</v>
      </c>
      <c r="P74" t="n">
        <v>1</v>
      </c>
      <c r="Q74" t="n">
        <v>1</v>
      </c>
      <c r="R74" s="2" t="inlineStr">
        <is>
          <t>Knärot</t>
        </is>
      </c>
      <c r="S74">
        <f>HYPERLINK("https://klasma.github.io/Logging_1981/artfynd/A 14775-2023 artfynd.xlsx", "A 14775-2023")</f>
        <v/>
      </c>
      <c r="T74">
        <f>HYPERLINK("https://klasma.github.io/Logging_1981/kartor/A 14775-2023 karta.png", "A 14775-2023")</f>
        <v/>
      </c>
      <c r="U74">
        <f>HYPERLINK("https://klasma.github.io/Logging_1981/knärot/A 14775-2023 karta knärot.png", "A 14775-2023")</f>
        <v/>
      </c>
      <c r="V74">
        <f>HYPERLINK("https://klasma.github.io/Logging_1981/klagomål/A 14775-2023 FSC-klagomål.docx", "A 14775-2023")</f>
        <v/>
      </c>
      <c r="W74">
        <f>HYPERLINK("https://klasma.github.io/Logging_1981/klagomålsmail/A 14775-2023 FSC-klagomål mail.docx", "A 14775-2023")</f>
        <v/>
      </c>
      <c r="X74">
        <f>HYPERLINK("https://klasma.github.io/Logging_1981/tillsyn/A 14775-2023 tillsynsbegäran.docx", "A 14775-2023")</f>
        <v/>
      </c>
      <c r="Y74">
        <f>HYPERLINK("https://klasma.github.io/Logging_1981/tillsynsmail/A 14775-2023 tillsynsbegäran mail.docx", "A 14775-2023")</f>
        <v/>
      </c>
    </row>
    <row r="75" ht="15" customHeight="1">
      <c r="A75" t="inlineStr">
        <is>
          <t>A 50268-2025</t>
        </is>
      </c>
      <c r="B75" s="1" t="n">
        <v>45944</v>
      </c>
      <c r="C75" s="1" t="n">
        <v>46193</v>
      </c>
      <c r="D75" t="inlineStr">
        <is>
          <t>VÄSTMANLANDS LÄN</t>
        </is>
      </c>
      <c r="E75" t="inlineStr">
        <is>
          <t>SALA</t>
        </is>
      </c>
      <c r="G75" t="n">
        <v>0.7</v>
      </c>
      <c r="H75" t="n">
        <v>1</v>
      </c>
      <c r="I75" t="n">
        <v>0</v>
      </c>
      <c r="J75" t="n">
        <v>0</v>
      </c>
      <c r="K75" t="n">
        <v>0</v>
      </c>
      <c r="L75" t="n">
        <v>0</v>
      </c>
      <c r="M75" t="n">
        <v>0</v>
      </c>
      <c r="N75" t="n">
        <v>0</v>
      </c>
      <c r="O75" t="n">
        <v>0</v>
      </c>
      <c r="P75" t="n">
        <v>0</v>
      </c>
      <c r="Q75" t="n">
        <v>1</v>
      </c>
      <c r="R75" s="2" t="inlineStr">
        <is>
          <t>Fläcknycklar</t>
        </is>
      </c>
      <c r="S75">
        <f>HYPERLINK("https://klasma.github.io/Logging_1981/artfynd/A 50268-2025 artfynd.xlsx", "A 50268-2025")</f>
        <v/>
      </c>
      <c r="T75">
        <f>HYPERLINK("https://klasma.github.io/Logging_1981/kartor/A 50268-2025 karta.png", "A 50268-2025")</f>
        <v/>
      </c>
      <c r="V75">
        <f>HYPERLINK("https://klasma.github.io/Logging_1981/klagomål/A 50268-2025 FSC-klagomål.docx", "A 50268-2025")</f>
        <v/>
      </c>
      <c r="W75">
        <f>HYPERLINK("https://klasma.github.io/Logging_1981/klagomålsmail/A 50268-2025 FSC-klagomål mail.docx", "A 50268-2025")</f>
        <v/>
      </c>
      <c r="X75">
        <f>HYPERLINK("https://klasma.github.io/Logging_1981/tillsyn/A 50268-2025 tillsynsbegäran.docx", "A 50268-2025")</f>
        <v/>
      </c>
      <c r="Y75">
        <f>HYPERLINK("https://klasma.github.io/Logging_1981/tillsynsmail/A 50268-2025 tillsynsbegäran mail.docx", "A 50268-2025")</f>
        <v/>
      </c>
    </row>
    <row r="76" ht="15" customHeight="1">
      <c r="A76" t="inlineStr">
        <is>
          <t>A 50249-2025</t>
        </is>
      </c>
      <c r="B76" s="1" t="n">
        <v>45944</v>
      </c>
      <c r="C76" s="1" t="n">
        <v>46193</v>
      </c>
      <c r="D76" t="inlineStr">
        <is>
          <t>VÄSTMANLANDS LÄN</t>
        </is>
      </c>
      <c r="E76" t="inlineStr">
        <is>
          <t>SALA</t>
        </is>
      </c>
      <c r="G76" t="n">
        <v>2.3</v>
      </c>
      <c r="H76" t="n">
        <v>1</v>
      </c>
      <c r="I76" t="n">
        <v>0</v>
      </c>
      <c r="J76" t="n">
        <v>0</v>
      </c>
      <c r="K76" t="n">
        <v>0</v>
      </c>
      <c r="L76" t="n">
        <v>0</v>
      </c>
      <c r="M76" t="n">
        <v>0</v>
      </c>
      <c r="N76" t="n">
        <v>0</v>
      </c>
      <c r="O76" t="n">
        <v>0</v>
      </c>
      <c r="P76" t="n">
        <v>0</v>
      </c>
      <c r="Q76" t="n">
        <v>1</v>
      </c>
      <c r="R76" s="2" t="inlineStr">
        <is>
          <t>Revlummer</t>
        </is>
      </c>
      <c r="S76">
        <f>HYPERLINK("https://klasma.github.io/Logging_1981/artfynd/A 50249-2025 artfynd.xlsx", "A 50249-2025")</f>
        <v/>
      </c>
      <c r="T76">
        <f>HYPERLINK("https://klasma.github.io/Logging_1981/kartor/A 50249-2025 karta.png", "A 50249-2025")</f>
        <v/>
      </c>
      <c r="V76">
        <f>HYPERLINK("https://klasma.github.io/Logging_1981/klagomål/A 50249-2025 FSC-klagomål.docx", "A 50249-2025")</f>
        <v/>
      </c>
      <c r="W76">
        <f>HYPERLINK("https://klasma.github.io/Logging_1981/klagomålsmail/A 50249-2025 FSC-klagomål mail.docx", "A 50249-2025")</f>
        <v/>
      </c>
      <c r="X76">
        <f>HYPERLINK("https://klasma.github.io/Logging_1981/tillsyn/A 50249-2025 tillsynsbegäran.docx", "A 50249-2025")</f>
        <v/>
      </c>
      <c r="Y76">
        <f>HYPERLINK("https://klasma.github.io/Logging_1981/tillsynsmail/A 50249-2025 tillsynsbegäran mail.docx", "A 50249-2025")</f>
        <v/>
      </c>
    </row>
    <row r="77" ht="15" customHeight="1">
      <c r="A77" t="inlineStr">
        <is>
          <t>A 24910-2025</t>
        </is>
      </c>
      <c r="B77" s="1" t="n">
        <v>45799</v>
      </c>
      <c r="C77" s="1" t="n">
        <v>46193</v>
      </c>
      <c r="D77" t="inlineStr">
        <is>
          <t>VÄSTMANLANDS LÄN</t>
        </is>
      </c>
      <c r="E77" t="inlineStr">
        <is>
          <t>SALA</t>
        </is>
      </c>
      <c r="G77" t="n">
        <v>3.5</v>
      </c>
      <c r="H77" t="n">
        <v>0</v>
      </c>
      <c r="I77" t="n">
        <v>0</v>
      </c>
      <c r="J77" t="n">
        <v>1</v>
      </c>
      <c r="K77" t="n">
        <v>0</v>
      </c>
      <c r="L77" t="n">
        <v>0</v>
      </c>
      <c r="M77" t="n">
        <v>0</v>
      </c>
      <c r="N77" t="n">
        <v>0</v>
      </c>
      <c r="O77" t="n">
        <v>1</v>
      </c>
      <c r="P77" t="n">
        <v>0</v>
      </c>
      <c r="Q77" t="n">
        <v>1</v>
      </c>
      <c r="R77" s="2" t="inlineStr">
        <is>
          <t>Motaggsvamp</t>
        </is>
      </c>
      <c r="S77">
        <f>HYPERLINK("https://klasma.github.io/Logging_1981/artfynd/A 24910-2025 artfynd.xlsx", "A 24910-2025")</f>
        <v/>
      </c>
      <c r="T77">
        <f>HYPERLINK("https://klasma.github.io/Logging_1981/kartor/A 24910-2025 karta.png", "A 24910-2025")</f>
        <v/>
      </c>
      <c r="V77">
        <f>HYPERLINK("https://klasma.github.io/Logging_1981/klagomål/A 24910-2025 FSC-klagomål.docx", "A 24910-2025")</f>
        <v/>
      </c>
      <c r="W77">
        <f>HYPERLINK("https://klasma.github.io/Logging_1981/klagomålsmail/A 24910-2025 FSC-klagomål mail.docx", "A 24910-2025")</f>
        <v/>
      </c>
      <c r="X77">
        <f>HYPERLINK("https://klasma.github.io/Logging_1981/tillsyn/A 24910-2025 tillsynsbegäran.docx", "A 24910-2025")</f>
        <v/>
      </c>
      <c r="Y77">
        <f>HYPERLINK("https://klasma.github.io/Logging_1981/tillsynsmail/A 24910-2025 tillsynsbegäran mail.docx", "A 24910-2025")</f>
        <v/>
      </c>
    </row>
    <row r="78" ht="15" customHeight="1">
      <c r="A78" t="inlineStr">
        <is>
          <t>A 10909-2024</t>
        </is>
      </c>
      <c r="B78" s="1" t="n">
        <v>45370</v>
      </c>
      <c r="C78" s="1" t="n">
        <v>46193</v>
      </c>
      <c r="D78" t="inlineStr">
        <is>
          <t>VÄSTMANLANDS LÄN</t>
        </is>
      </c>
      <c r="E78" t="inlineStr">
        <is>
          <t>SALA</t>
        </is>
      </c>
      <c r="G78" t="n">
        <v>3.3</v>
      </c>
      <c r="H78" t="n">
        <v>1</v>
      </c>
      <c r="I78" t="n">
        <v>0</v>
      </c>
      <c r="J78" t="n">
        <v>0</v>
      </c>
      <c r="K78" t="n">
        <v>0</v>
      </c>
      <c r="L78" t="n">
        <v>1</v>
      </c>
      <c r="M78" t="n">
        <v>0</v>
      </c>
      <c r="N78" t="n">
        <v>0</v>
      </c>
      <c r="O78" t="n">
        <v>1</v>
      </c>
      <c r="P78" t="n">
        <v>1</v>
      </c>
      <c r="Q78" t="n">
        <v>1</v>
      </c>
      <c r="R78" s="2" t="inlineStr">
        <is>
          <t>Mosippa</t>
        </is>
      </c>
      <c r="S78">
        <f>HYPERLINK("https://klasma.github.io/Logging_1981/artfynd/A 10909-2024 artfynd.xlsx", "A 10909-2024")</f>
        <v/>
      </c>
      <c r="T78">
        <f>HYPERLINK("https://klasma.github.io/Logging_1981/kartor/A 10909-2024 karta.png", "A 10909-2024")</f>
        <v/>
      </c>
      <c r="V78">
        <f>HYPERLINK("https://klasma.github.io/Logging_1981/klagomål/A 10909-2024 FSC-klagomål.docx", "A 10909-2024")</f>
        <v/>
      </c>
      <c r="W78">
        <f>HYPERLINK("https://klasma.github.io/Logging_1981/klagomålsmail/A 10909-2024 FSC-klagomål mail.docx", "A 10909-2024")</f>
        <v/>
      </c>
      <c r="X78">
        <f>HYPERLINK("https://klasma.github.io/Logging_1981/tillsyn/A 10909-2024 tillsynsbegäran.docx", "A 10909-2024")</f>
        <v/>
      </c>
      <c r="Y78">
        <f>HYPERLINK("https://klasma.github.io/Logging_1981/tillsynsmail/A 10909-2024 tillsynsbegäran mail.docx", "A 10909-2024")</f>
        <v/>
      </c>
    </row>
    <row r="79" ht="15" customHeight="1">
      <c r="A79" t="inlineStr">
        <is>
          <t>A 53052-2025</t>
        </is>
      </c>
      <c r="B79" s="1" t="n">
        <v>45958</v>
      </c>
      <c r="C79" s="1" t="n">
        <v>46193</v>
      </c>
      <c r="D79" t="inlineStr">
        <is>
          <t>VÄSTMANLANDS LÄN</t>
        </is>
      </c>
      <c r="E79" t="inlineStr">
        <is>
          <t>SALA</t>
        </is>
      </c>
      <c r="F79" t="inlineStr">
        <is>
          <t>Sveaskog</t>
        </is>
      </c>
      <c r="G79" t="n">
        <v>1.1</v>
      </c>
      <c r="H79" t="n">
        <v>0</v>
      </c>
      <c r="I79" t="n">
        <v>0</v>
      </c>
      <c r="J79" t="n">
        <v>1</v>
      </c>
      <c r="K79" t="n">
        <v>0</v>
      </c>
      <c r="L79" t="n">
        <v>0</v>
      </c>
      <c r="M79" t="n">
        <v>0</v>
      </c>
      <c r="N79" t="n">
        <v>0</v>
      </c>
      <c r="O79" t="n">
        <v>1</v>
      </c>
      <c r="P79" t="n">
        <v>0</v>
      </c>
      <c r="Q79" t="n">
        <v>1</v>
      </c>
      <c r="R79" s="2" t="inlineStr">
        <is>
          <t>Motaggsvamp</t>
        </is>
      </c>
      <c r="S79">
        <f>HYPERLINK("https://klasma.github.io/Logging_1981/artfynd/A 53052-2025 artfynd.xlsx", "A 53052-2025")</f>
        <v/>
      </c>
      <c r="T79">
        <f>HYPERLINK("https://klasma.github.io/Logging_1981/kartor/A 53052-2025 karta.png", "A 53052-2025")</f>
        <v/>
      </c>
      <c r="V79">
        <f>HYPERLINK("https://klasma.github.io/Logging_1981/klagomål/A 53052-2025 FSC-klagomål.docx", "A 53052-2025")</f>
        <v/>
      </c>
      <c r="W79">
        <f>HYPERLINK("https://klasma.github.io/Logging_1981/klagomålsmail/A 53052-2025 FSC-klagomål mail.docx", "A 53052-2025")</f>
        <v/>
      </c>
      <c r="X79">
        <f>HYPERLINK("https://klasma.github.io/Logging_1981/tillsyn/A 53052-2025 tillsynsbegäran.docx", "A 53052-2025")</f>
        <v/>
      </c>
      <c r="Y79">
        <f>HYPERLINK("https://klasma.github.io/Logging_1981/tillsynsmail/A 53052-2025 tillsynsbegäran mail.docx", "A 53052-2025")</f>
        <v/>
      </c>
    </row>
    <row r="80" ht="15" customHeight="1">
      <c r="A80" t="inlineStr">
        <is>
          <t>A 26369-2026</t>
        </is>
      </c>
      <c r="B80" s="1" t="n">
        <v>46182</v>
      </c>
      <c r="C80" s="1" t="n">
        <v>46193</v>
      </c>
      <c r="D80" t="inlineStr">
        <is>
          <t>VÄSTMANLANDS LÄN</t>
        </is>
      </c>
      <c r="E80" t="inlineStr">
        <is>
          <t>SALA</t>
        </is>
      </c>
      <c r="G80" t="n">
        <v>5.7</v>
      </c>
      <c r="H80" t="n">
        <v>1</v>
      </c>
      <c r="I80" t="n">
        <v>0</v>
      </c>
      <c r="J80" t="n">
        <v>0</v>
      </c>
      <c r="K80" t="n">
        <v>0</v>
      </c>
      <c r="L80" t="n">
        <v>0</v>
      </c>
      <c r="M80" t="n">
        <v>0</v>
      </c>
      <c r="N80" t="n">
        <v>0</v>
      </c>
      <c r="O80" t="n">
        <v>0</v>
      </c>
      <c r="P80" t="n">
        <v>0</v>
      </c>
      <c r="Q80" t="n">
        <v>1</v>
      </c>
      <c r="R80" s="2" t="inlineStr">
        <is>
          <t>Fläcknycklar</t>
        </is>
      </c>
      <c r="S80">
        <f>HYPERLINK("https://klasma.github.io/Logging_1981/artfynd/A 26369-2026 artfynd.xlsx", "A 26369-2026")</f>
        <v/>
      </c>
      <c r="T80">
        <f>HYPERLINK("https://klasma.github.io/Logging_1981/kartor/A 26369-2026 karta.png", "A 26369-2026")</f>
        <v/>
      </c>
      <c r="V80">
        <f>HYPERLINK("https://klasma.github.io/Logging_1981/klagomål/A 26369-2026 FSC-klagomål.docx", "A 26369-2026")</f>
        <v/>
      </c>
      <c r="W80">
        <f>HYPERLINK("https://klasma.github.io/Logging_1981/klagomålsmail/A 26369-2026 FSC-klagomål mail.docx", "A 26369-2026")</f>
        <v/>
      </c>
      <c r="X80">
        <f>HYPERLINK("https://klasma.github.io/Logging_1981/tillsyn/A 26369-2026 tillsynsbegäran.docx", "A 26369-2026")</f>
        <v/>
      </c>
      <c r="Y80">
        <f>HYPERLINK("https://klasma.github.io/Logging_1981/tillsynsmail/A 26369-2026 tillsynsbegäran mail.docx", "A 26369-2026")</f>
        <v/>
      </c>
    </row>
    <row r="81" ht="15" customHeight="1">
      <c r="A81" t="inlineStr">
        <is>
          <t>A 17120-2023</t>
        </is>
      </c>
      <c r="B81" s="1" t="n">
        <v>45034</v>
      </c>
      <c r="C81" s="1" t="n">
        <v>46193</v>
      </c>
      <c r="D81" t="inlineStr">
        <is>
          <t>VÄSTMANLANDS LÄN</t>
        </is>
      </c>
      <c r="E81" t="inlineStr">
        <is>
          <t>SALA</t>
        </is>
      </c>
      <c r="G81" t="n">
        <v>0.1</v>
      </c>
      <c r="H81" t="n">
        <v>0</v>
      </c>
      <c r="I81" t="n">
        <v>0</v>
      </c>
      <c r="J81" t="n">
        <v>1</v>
      </c>
      <c r="K81" t="n">
        <v>0</v>
      </c>
      <c r="L81" t="n">
        <v>0</v>
      </c>
      <c r="M81" t="n">
        <v>0</v>
      </c>
      <c r="N81" t="n">
        <v>0</v>
      </c>
      <c r="O81" t="n">
        <v>1</v>
      </c>
      <c r="P81" t="n">
        <v>0</v>
      </c>
      <c r="Q81" t="n">
        <v>1</v>
      </c>
      <c r="R81" s="2" t="inlineStr">
        <is>
          <t>Backtimjan</t>
        </is>
      </c>
      <c r="S81">
        <f>HYPERLINK("https://klasma.github.io/Logging_1981/artfynd/A 17120-2023 artfynd.xlsx", "A 17120-2023")</f>
        <v/>
      </c>
      <c r="T81">
        <f>HYPERLINK("https://klasma.github.io/Logging_1981/kartor/A 17120-2023 karta.png", "A 17120-2023")</f>
        <v/>
      </c>
      <c r="V81">
        <f>HYPERLINK("https://klasma.github.io/Logging_1981/klagomål/A 17120-2023 FSC-klagomål.docx", "A 17120-2023")</f>
        <v/>
      </c>
      <c r="W81">
        <f>HYPERLINK("https://klasma.github.io/Logging_1981/klagomålsmail/A 17120-2023 FSC-klagomål mail.docx", "A 17120-2023")</f>
        <v/>
      </c>
      <c r="X81">
        <f>HYPERLINK("https://klasma.github.io/Logging_1981/tillsyn/A 17120-2023 tillsynsbegäran.docx", "A 17120-2023")</f>
        <v/>
      </c>
      <c r="Y81">
        <f>HYPERLINK("https://klasma.github.io/Logging_1981/tillsynsmail/A 17120-2023 tillsynsbegäran mail.docx", "A 17120-2023")</f>
        <v/>
      </c>
    </row>
    <row r="82" ht="15" customHeight="1">
      <c r="A82" t="inlineStr">
        <is>
          <t>A 28661-2024</t>
        </is>
      </c>
      <c r="B82" s="1" t="n">
        <v>45478</v>
      </c>
      <c r="C82" s="1" t="n">
        <v>46193</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37593-2025</t>
        </is>
      </c>
      <c r="B83" s="1" t="n">
        <v>45880</v>
      </c>
      <c r="C83" s="1" t="n">
        <v>46193</v>
      </c>
      <c r="D83" t="inlineStr">
        <is>
          <t>VÄSTMANLANDS LÄN</t>
        </is>
      </c>
      <c r="E83" t="inlineStr">
        <is>
          <t>SALA</t>
        </is>
      </c>
      <c r="G83" t="n">
        <v>1.4</v>
      </c>
      <c r="H83" t="n">
        <v>1</v>
      </c>
      <c r="I83" t="n">
        <v>0</v>
      </c>
      <c r="J83" t="n">
        <v>0</v>
      </c>
      <c r="K83" t="n">
        <v>0</v>
      </c>
      <c r="L83" t="n">
        <v>0</v>
      </c>
      <c r="M83" t="n">
        <v>0</v>
      </c>
      <c r="N83" t="n">
        <v>0</v>
      </c>
      <c r="O83" t="n">
        <v>0</v>
      </c>
      <c r="P83" t="n">
        <v>0</v>
      </c>
      <c r="Q83" t="n">
        <v>1</v>
      </c>
      <c r="R83" s="2" t="inlineStr">
        <is>
          <t>Fläcknycklar</t>
        </is>
      </c>
      <c r="S83">
        <f>HYPERLINK("https://klasma.github.io/Logging_1981/artfynd/A 37593-2025 artfynd.xlsx", "A 37593-2025")</f>
        <v/>
      </c>
      <c r="T83">
        <f>HYPERLINK("https://klasma.github.io/Logging_1981/kartor/A 37593-2025 karta.png", "A 37593-2025")</f>
        <v/>
      </c>
      <c r="V83">
        <f>HYPERLINK("https://klasma.github.io/Logging_1981/klagomål/A 37593-2025 FSC-klagomål.docx", "A 37593-2025")</f>
        <v/>
      </c>
      <c r="W83">
        <f>HYPERLINK("https://klasma.github.io/Logging_1981/klagomålsmail/A 37593-2025 FSC-klagomål mail.docx", "A 37593-2025")</f>
        <v/>
      </c>
      <c r="X83">
        <f>HYPERLINK("https://klasma.github.io/Logging_1981/tillsyn/A 37593-2025 tillsynsbegäran.docx", "A 37593-2025")</f>
        <v/>
      </c>
      <c r="Y83">
        <f>HYPERLINK("https://klasma.github.io/Logging_1981/tillsynsmail/A 37593-2025 tillsynsbegäran mail.docx", "A 37593-2025")</f>
        <v/>
      </c>
    </row>
    <row r="84" ht="15" customHeight="1">
      <c r="A84" t="inlineStr">
        <is>
          <t>A 7672-2026</t>
        </is>
      </c>
      <c r="B84" s="1" t="n">
        <v>46062</v>
      </c>
      <c r="C84" s="1" t="n">
        <v>46193</v>
      </c>
      <c r="D84" t="inlineStr">
        <is>
          <t>VÄSTMANLANDS LÄN</t>
        </is>
      </c>
      <c r="E84" t="inlineStr">
        <is>
          <t>SALA</t>
        </is>
      </c>
      <c r="G84" t="n">
        <v>2.9</v>
      </c>
      <c r="H84" t="n">
        <v>1</v>
      </c>
      <c r="I84" t="n">
        <v>0</v>
      </c>
      <c r="J84" t="n">
        <v>0</v>
      </c>
      <c r="K84" t="n">
        <v>0</v>
      </c>
      <c r="L84" t="n">
        <v>0</v>
      </c>
      <c r="M84" t="n">
        <v>0</v>
      </c>
      <c r="N84" t="n">
        <v>0</v>
      </c>
      <c r="O84" t="n">
        <v>0</v>
      </c>
      <c r="P84" t="n">
        <v>0</v>
      </c>
      <c r="Q84" t="n">
        <v>1</v>
      </c>
      <c r="R84" s="2" t="inlineStr">
        <is>
          <t>Nattviol</t>
        </is>
      </c>
      <c r="S84">
        <f>HYPERLINK("https://klasma.github.io/Logging_1981/artfynd/A 7672-2026 artfynd.xlsx", "A 7672-2026")</f>
        <v/>
      </c>
      <c r="T84">
        <f>HYPERLINK("https://klasma.github.io/Logging_1981/kartor/A 7672-2026 karta.png", "A 7672-2026")</f>
        <v/>
      </c>
      <c r="V84">
        <f>HYPERLINK("https://klasma.github.io/Logging_1981/klagomål/A 7672-2026 FSC-klagomål.docx", "A 7672-2026")</f>
        <v/>
      </c>
      <c r="W84">
        <f>HYPERLINK("https://klasma.github.io/Logging_1981/klagomålsmail/A 7672-2026 FSC-klagomål mail.docx", "A 7672-2026")</f>
        <v/>
      </c>
      <c r="X84">
        <f>HYPERLINK("https://klasma.github.io/Logging_1981/tillsyn/A 7672-2026 tillsynsbegäran.docx", "A 7672-2026")</f>
        <v/>
      </c>
      <c r="Y84">
        <f>HYPERLINK("https://klasma.github.io/Logging_1981/tillsynsmail/A 7672-2026 tillsynsbegäran mail.docx", "A 7672-2026")</f>
        <v/>
      </c>
    </row>
    <row r="85" ht="15" customHeight="1">
      <c r="A85" t="inlineStr">
        <is>
          <t>A 7661-2026</t>
        </is>
      </c>
      <c r="B85" s="1" t="n">
        <v>46062</v>
      </c>
      <c r="C85" s="1" t="n">
        <v>46193</v>
      </c>
      <c r="D85" t="inlineStr">
        <is>
          <t>VÄSTMANLANDS LÄN</t>
        </is>
      </c>
      <c r="E85" t="inlineStr">
        <is>
          <t>SALA</t>
        </is>
      </c>
      <c r="G85" t="n">
        <v>1.3</v>
      </c>
      <c r="H85" t="n">
        <v>0</v>
      </c>
      <c r="I85" t="n">
        <v>0</v>
      </c>
      <c r="J85" t="n">
        <v>1</v>
      </c>
      <c r="K85" t="n">
        <v>0</v>
      </c>
      <c r="L85" t="n">
        <v>0</v>
      </c>
      <c r="M85" t="n">
        <v>0</v>
      </c>
      <c r="N85" t="n">
        <v>0</v>
      </c>
      <c r="O85" t="n">
        <v>1</v>
      </c>
      <c r="P85" t="n">
        <v>0</v>
      </c>
      <c r="Q85" t="n">
        <v>1</v>
      </c>
      <c r="R85" s="2" t="inlineStr">
        <is>
          <t>Vedtrappmossa</t>
        </is>
      </c>
      <c r="S85">
        <f>HYPERLINK("https://klasma.github.io/Logging_1981/artfynd/A 7661-2026 artfynd.xlsx", "A 7661-2026")</f>
        <v/>
      </c>
      <c r="T85">
        <f>HYPERLINK("https://klasma.github.io/Logging_1981/kartor/A 7661-2026 karta.png", "A 7661-2026")</f>
        <v/>
      </c>
      <c r="V85">
        <f>HYPERLINK("https://klasma.github.io/Logging_1981/klagomål/A 7661-2026 FSC-klagomål.docx", "A 7661-2026")</f>
        <v/>
      </c>
      <c r="W85">
        <f>HYPERLINK("https://klasma.github.io/Logging_1981/klagomålsmail/A 7661-2026 FSC-klagomål mail.docx", "A 7661-2026")</f>
        <v/>
      </c>
      <c r="X85">
        <f>HYPERLINK("https://klasma.github.io/Logging_1981/tillsyn/A 7661-2026 tillsynsbegäran.docx", "A 7661-2026")</f>
        <v/>
      </c>
      <c r="Y85">
        <f>HYPERLINK("https://klasma.github.io/Logging_1981/tillsynsmail/A 7661-2026 tillsynsbegäran mail.docx", "A 7661-2026")</f>
        <v/>
      </c>
    </row>
    <row r="86" ht="15" customHeight="1">
      <c r="A86" t="inlineStr">
        <is>
          <t>A 29985-2022</t>
        </is>
      </c>
      <c r="B86" s="1" t="n">
        <v>44756</v>
      </c>
      <c r="C86" s="1" t="n">
        <v>46193</v>
      </c>
      <c r="D86" t="inlineStr">
        <is>
          <t>VÄSTMANLANDS LÄN</t>
        </is>
      </c>
      <c r="E86" t="inlineStr">
        <is>
          <t>SALA</t>
        </is>
      </c>
      <c r="F86" t="inlineStr">
        <is>
          <t>Kommuner</t>
        </is>
      </c>
      <c r="G86" t="n">
        <v>1</v>
      </c>
      <c r="H86" t="n">
        <v>1</v>
      </c>
      <c r="I86" t="n">
        <v>1</v>
      </c>
      <c r="J86" t="n">
        <v>0</v>
      </c>
      <c r="K86" t="n">
        <v>0</v>
      </c>
      <c r="L86" t="n">
        <v>0</v>
      </c>
      <c r="M86" t="n">
        <v>0</v>
      </c>
      <c r="N86" t="n">
        <v>0</v>
      </c>
      <c r="O86" t="n">
        <v>0</v>
      </c>
      <c r="P86" t="n">
        <v>0</v>
      </c>
      <c r="Q86" t="n">
        <v>1</v>
      </c>
      <c r="R86" s="2" t="inlineStr">
        <is>
          <t>Skogsknipprot</t>
        </is>
      </c>
      <c r="S86">
        <f>HYPERLINK("https://klasma.github.io/Logging_1981/artfynd/A 29985-2022 artfynd.xlsx", "A 29985-2022")</f>
        <v/>
      </c>
      <c r="T86">
        <f>HYPERLINK("https://klasma.github.io/Logging_1981/kartor/A 29985-2022 karta.png", "A 29985-2022")</f>
        <v/>
      </c>
      <c r="V86">
        <f>HYPERLINK("https://klasma.github.io/Logging_1981/klagomål/A 29985-2022 FSC-klagomål.docx", "A 29985-2022")</f>
        <v/>
      </c>
      <c r="W86">
        <f>HYPERLINK("https://klasma.github.io/Logging_1981/klagomålsmail/A 29985-2022 FSC-klagomål mail.docx", "A 29985-2022")</f>
        <v/>
      </c>
      <c r="X86">
        <f>HYPERLINK("https://klasma.github.io/Logging_1981/tillsyn/A 29985-2022 tillsynsbegäran.docx", "A 29985-2022")</f>
        <v/>
      </c>
      <c r="Y86">
        <f>HYPERLINK("https://klasma.github.io/Logging_1981/tillsynsmail/A 29985-2022 tillsynsbegäran mail.docx", "A 29985-2022")</f>
        <v/>
      </c>
    </row>
    <row r="87" ht="15" customHeight="1">
      <c r="A87" t="inlineStr">
        <is>
          <t>A 3332-2024</t>
        </is>
      </c>
      <c r="B87" s="1" t="n">
        <v>45317</v>
      </c>
      <c r="C87" s="1" t="n">
        <v>46193</v>
      </c>
      <c r="D87" t="inlineStr">
        <is>
          <t>VÄSTMANLANDS LÄN</t>
        </is>
      </c>
      <c r="E87" t="inlineStr">
        <is>
          <t>SALA</t>
        </is>
      </c>
      <c r="G87" t="n">
        <v>2</v>
      </c>
      <c r="H87" t="n">
        <v>0</v>
      </c>
      <c r="I87" t="n">
        <v>0</v>
      </c>
      <c r="J87" t="n">
        <v>1</v>
      </c>
      <c r="K87" t="n">
        <v>0</v>
      </c>
      <c r="L87" t="n">
        <v>0</v>
      </c>
      <c r="M87" t="n">
        <v>0</v>
      </c>
      <c r="N87" t="n">
        <v>0</v>
      </c>
      <c r="O87" t="n">
        <v>1</v>
      </c>
      <c r="P87" t="n">
        <v>0</v>
      </c>
      <c r="Q87" t="n">
        <v>1</v>
      </c>
      <c r="R87" s="2" t="inlineStr">
        <is>
          <t>Rödlånke</t>
        </is>
      </c>
      <c r="S87">
        <f>HYPERLINK("https://klasma.github.io/Logging_1981/artfynd/A 3332-2024 artfynd.xlsx", "A 3332-2024")</f>
        <v/>
      </c>
      <c r="T87">
        <f>HYPERLINK("https://klasma.github.io/Logging_1981/kartor/A 3332-2024 karta.png", "A 3332-2024")</f>
        <v/>
      </c>
      <c r="V87">
        <f>HYPERLINK("https://klasma.github.io/Logging_1981/klagomål/A 3332-2024 FSC-klagomål.docx", "A 3332-2024")</f>
        <v/>
      </c>
      <c r="W87">
        <f>HYPERLINK("https://klasma.github.io/Logging_1981/klagomålsmail/A 3332-2024 FSC-klagomål mail.docx", "A 3332-2024")</f>
        <v/>
      </c>
      <c r="X87">
        <f>HYPERLINK("https://klasma.github.io/Logging_1981/tillsyn/A 3332-2024 tillsynsbegäran.docx", "A 3332-2024")</f>
        <v/>
      </c>
      <c r="Y87">
        <f>HYPERLINK("https://klasma.github.io/Logging_1981/tillsynsmail/A 3332-2024 tillsynsbegäran mail.docx", "A 3332-2024")</f>
        <v/>
      </c>
    </row>
    <row r="88" ht="15" customHeight="1">
      <c r="A88" t="inlineStr">
        <is>
          <t>A 14481-2026</t>
        </is>
      </c>
      <c r="B88" s="1" t="n">
        <v>46100</v>
      </c>
      <c r="C88" s="1" t="n">
        <v>46193</v>
      </c>
      <c r="D88" t="inlineStr">
        <is>
          <t>VÄSTMANLANDS LÄN</t>
        </is>
      </c>
      <c r="E88" t="inlineStr">
        <is>
          <t>SALA</t>
        </is>
      </c>
      <c r="F88" t="inlineStr">
        <is>
          <t>Sveaskog</t>
        </is>
      </c>
      <c r="G88" t="n">
        <v>0.9</v>
      </c>
      <c r="H88" t="n">
        <v>1</v>
      </c>
      <c r="I88" t="n">
        <v>0</v>
      </c>
      <c r="J88" t="n">
        <v>0</v>
      </c>
      <c r="K88" t="n">
        <v>0</v>
      </c>
      <c r="L88" t="n">
        <v>0</v>
      </c>
      <c r="M88" t="n">
        <v>0</v>
      </c>
      <c r="N88" t="n">
        <v>0</v>
      </c>
      <c r="O88" t="n">
        <v>0</v>
      </c>
      <c r="P88" t="n">
        <v>0</v>
      </c>
      <c r="Q88" t="n">
        <v>1</v>
      </c>
      <c r="R88" s="2" t="inlineStr">
        <is>
          <t>Tjäder</t>
        </is>
      </c>
      <c r="S88">
        <f>HYPERLINK("https://klasma.github.io/Logging_1981/artfynd/A 14481-2026 artfynd.xlsx", "A 14481-2026")</f>
        <v/>
      </c>
      <c r="T88">
        <f>HYPERLINK("https://klasma.github.io/Logging_1981/kartor/A 14481-2026 karta.png", "A 14481-2026")</f>
        <v/>
      </c>
      <c r="V88">
        <f>HYPERLINK("https://klasma.github.io/Logging_1981/klagomål/A 14481-2026 FSC-klagomål.docx", "A 14481-2026")</f>
        <v/>
      </c>
      <c r="W88">
        <f>HYPERLINK("https://klasma.github.io/Logging_1981/klagomålsmail/A 14481-2026 FSC-klagomål mail.docx", "A 14481-2026")</f>
        <v/>
      </c>
      <c r="X88">
        <f>HYPERLINK("https://klasma.github.io/Logging_1981/tillsyn/A 14481-2026 tillsynsbegäran.docx", "A 14481-2026")</f>
        <v/>
      </c>
      <c r="Y88">
        <f>HYPERLINK("https://klasma.github.io/Logging_1981/tillsynsmail/A 14481-2026 tillsynsbegäran mail.docx", "A 14481-2026")</f>
        <v/>
      </c>
      <c r="Z88">
        <f>HYPERLINK("https://klasma.github.io/Logging_1981/fåglar/A 14481-2026 prioriterade fågelarter.docx", "A 14481-2026")</f>
        <v/>
      </c>
    </row>
    <row r="89" ht="15" customHeight="1">
      <c r="A89" t="inlineStr">
        <is>
          <t>A 14488-2026</t>
        </is>
      </c>
      <c r="B89" s="1" t="n">
        <v>46100</v>
      </c>
      <c r="C89" s="1" t="n">
        <v>46193</v>
      </c>
      <c r="D89" t="inlineStr">
        <is>
          <t>VÄSTMANLANDS LÄN</t>
        </is>
      </c>
      <c r="E89" t="inlineStr">
        <is>
          <t>SALA</t>
        </is>
      </c>
      <c r="F89" t="inlineStr">
        <is>
          <t>Sveaskog</t>
        </is>
      </c>
      <c r="G89" t="n">
        <v>1.5</v>
      </c>
      <c r="H89" t="n">
        <v>1</v>
      </c>
      <c r="I89" t="n">
        <v>0</v>
      </c>
      <c r="J89" t="n">
        <v>0</v>
      </c>
      <c r="K89" t="n">
        <v>0</v>
      </c>
      <c r="L89" t="n">
        <v>0</v>
      </c>
      <c r="M89" t="n">
        <v>0</v>
      </c>
      <c r="N89" t="n">
        <v>0</v>
      </c>
      <c r="O89" t="n">
        <v>0</v>
      </c>
      <c r="P89" t="n">
        <v>0</v>
      </c>
      <c r="Q89" t="n">
        <v>1</v>
      </c>
      <c r="R89" s="2" t="inlineStr">
        <is>
          <t>Mattlummer</t>
        </is>
      </c>
      <c r="S89">
        <f>HYPERLINK("https://klasma.github.io/Logging_1981/artfynd/A 14488-2026 artfynd.xlsx", "A 14488-2026")</f>
        <v/>
      </c>
      <c r="T89">
        <f>HYPERLINK("https://klasma.github.io/Logging_1981/kartor/A 14488-2026 karta.png", "A 14488-2026")</f>
        <v/>
      </c>
      <c r="V89">
        <f>HYPERLINK("https://klasma.github.io/Logging_1981/klagomål/A 14488-2026 FSC-klagomål.docx", "A 14488-2026")</f>
        <v/>
      </c>
      <c r="W89">
        <f>HYPERLINK("https://klasma.github.io/Logging_1981/klagomålsmail/A 14488-2026 FSC-klagomål mail.docx", "A 14488-2026")</f>
        <v/>
      </c>
      <c r="X89">
        <f>HYPERLINK("https://klasma.github.io/Logging_1981/tillsyn/A 14488-2026 tillsynsbegäran.docx", "A 14488-2026")</f>
        <v/>
      </c>
      <c r="Y89">
        <f>HYPERLINK("https://klasma.github.io/Logging_1981/tillsynsmail/A 14488-2026 tillsynsbegäran mail.docx", "A 14488-2026")</f>
        <v/>
      </c>
    </row>
    <row r="90" ht="15" customHeight="1">
      <c r="A90" t="inlineStr">
        <is>
          <t>A 14487-2026</t>
        </is>
      </c>
      <c r="B90" s="1" t="n">
        <v>46100</v>
      </c>
      <c r="C90" s="1" t="n">
        <v>46193</v>
      </c>
      <c r="D90" t="inlineStr">
        <is>
          <t>VÄSTMANLANDS LÄN</t>
        </is>
      </c>
      <c r="E90" t="inlineStr">
        <is>
          <t>SALA</t>
        </is>
      </c>
      <c r="F90" t="inlineStr">
        <is>
          <t>Sveaskog</t>
        </is>
      </c>
      <c r="G90" t="n">
        <v>6.7</v>
      </c>
      <c r="H90" t="n">
        <v>0</v>
      </c>
      <c r="I90" t="n">
        <v>0</v>
      </c>
      <c r="J90" t="n">
        <v>1</v>
      </c>
      <c r="K90" t="n">
        <v>0</v>
      </c>
      <c r="L90" t="n">
        <v>0</v>
      </c>
      <c r="M90" t="n">
        <v>0</v>
      </c>
      <c r="N90" t="n">
        <v>0</v>
      </c>
      <c r="O90" t="n">
        <v>1</v>
      </c>
      <c r="P90" t="n">
        <v>0</v>
      </c>
      <c r="Q90" t="n">
        <v>1</v>
      </c>
      <c r="R90" s="2" t="inlineStr">
        <is>
          <t>Motaggsvamp</t>
        </is>
      </c>
      <c r="S90">
        <f>HYPERLINK("https://klasma.github.io/Logging_1981/artfynd/A 14487-2026 artfynd.xlsx", "A 14487-2026")</f>
        <v/>
      </c>
      <c r="T90">
        <f>HYPERLINK("https://klasma.github.io/Logging_1981/kartor/A 14487-2026 karta.png", "A 14487-2026")</f>
        <v/>
      </c>
      <c r="V90">
        <f>HYPERLINK("https://klasma.github.io/Logging_1981/klagomål/A 14487-2026 FSC-klagomål.docx", "A 14487-2026")</f>
        <v/>
      </c>
      <c r="W90">
        <f>HYPERLINK("https://klasma.github.io/Logging_1981/klagomålsmail/A 14487-2026 FSC-klagomål mail.docx", "A 14487-2026")</f>
        <v/>
      </c>
      <c r="X90">
        <f>HYPERLINK("https://klasma.github.io/Logging_1981/tillsyn/A 14487-2026 tillsynsbegäran.docx", "A 14487-2026")</f>
        <v/>
      </c>
      <c r="Y90">
        <f>HYPERLINK("https://klasma.github.io/Logging_1981/tillsynsmail/A 14487-2026 tillsynsbegäran mail.docx", "A 14487-2026")</f>
        <v/>
      </c>
    </row>
    <row r="91" ht="15" customHeight="1">
      <c r="A91" t="inlineStr">
        <is>
          <t>A 73124-2021</t>
        </is>
      </c>
      <c r="B91" s="1" t="n">
        <v>44550</v>
      </c>
      <c r="C91" s="1" t="n">
        <v>46193</v>
      </c>
      <c r="D91" t="inlineStr">
        <is>
          <t>VÄSTMANLANDS LÄN</t>
        </is>
      </c>
      <c r="E91" t="inlineStr">
        <is>
          <t>SALA</t>
        </is>
      </c>
      <c r="G91" t="n">
        <v>2.8</v>
      </c>
      <c r="H91" t="n">
        <v>0</v>
      </c>
      <c r="I91" t="n">
        <v>0</v>
      </c>
      <c r="J91" t="n">
        <v>0</v>
      </c>
      <c r="K91" t="n">
        <v>0</v>
      </c>
      <c r="L91" t="n">
        <v>0</v>
      </c>
      <c r="M91" t="n">
        <v>0</v>
      </c>
      <c r="N91" t="n">
        <v>0</v>
      </c>
      <c r="O91" t="n">
        <v>0</v>
      </c>
      <c r="P91" t="n">
        <v>0</v>
      </c>
      <c r="Q91" t="n">
        <v>0</v>
      </c>
      <c r="R91" s="2" t="inlineStr"/>
    </row>
    <row r="92" ht="15" customHeight="1">
      <c r="A92" t="inlineStr">
        <is>
          <t>A 73788-2021</t>
        </is>
      </c>
      <c r="B92" s="1" t="n">
        <v>44552</v>
      </c>
      <c r="C92" s="1" t="n">
        <v>46193</v>
      </c>
      <c r="D92" t="inlineStr">
        <is>
          <t>VÄSTMANLANDS LÄN</t>
        </is>
      </c>
      <c r="E92" t="inlineStr">
        <is>
          <t>SALA</t>
        </is>
      </c>
      <c r="G92" t="n">
        <v>0.8</v>
      </c>
      <c r="H92" t="n">
        <v>0</v>
      </c>
      <c r="I92" t="n">
        <v>0</v>
      </c>
      <c r="J92" t="n">
        <v>0</v>
      </c>
      <c r="K92" t="n">
        <v>0</v>
      </c>
      <c r="L92" t="n">
        <v>0</v>
      </c>
      <c r="M92" t="n">
        <v>0</v>
      </c>
      <c r="N92" t="n">
        <v>0</v>
      </c>
      <c r="O92" t="n">
        <v>0</v>
      </c>
      <c r="P92" t="n">
        <v>0</v>
      </c>
      <c r="Q92" t="n">
        <v>0</v>
      </c>
      <c r="R92" s="2" t="inlineStr"/>
    </row>
    <row r="93" ht="15" customHeight="1">
      <c r="A93" t="inlineStr">
        <is>
          <t>A 34110-2022</t>
        </is>
      </c>
      <c r="B93" s="1" t="n">
        <v>44791</v>
      </c>
      <c r="C93" s="1" t="n">
        <v>46193</v>
      </c>
      <c r="D93" t="inlineStr">
        <is>
          <t>VÄSTMANLANDS LÄN</t>
        </is>
      </c>
      <c r="E93" t="inlineStr">
        <is>
          <t>SALA</t>
        </is>
      </c>
      <c r="G93" t="n">
        <v>0.2</v>
      </c>
      <c r="H93" t="n">
        <v>0</v>
      </c>
      <c r="I93" t="n">
        <v>0</v>
      </c>
      <c r="J93" t="n">
        <v>0</v>
      </c>
      <c r="K93" t="n">
        <v>0</v>
      </c>
      <c r="L93" t="n">
        <v>0</v>
      </c>
      <c r="M93" t="n">
        <v>0</v>
      </c>
      <c r="N93" t="n">
        <v>0</v>
      </c>
      <c r="O93" t="n">
        <v>0</v>
      </c>
      <c r="P93" t="n">
        <v>0</v>
      </c>
      <c r="Q93" t="n">
        <v>0</v>
      </c>
      <c r="R93" s="2" t="inlineStr"/>
    </row>
    <row r="94" ht="15" customHeight="1">
      <c r="A94" t="inlineStr">
        <is>
          <t>A 66561-2021</t>
        </is>
      </c>
      <c r="B94" s="1" t="n">
        <v>44519</v>
      </c>
      <c r="C94" s="1" t="n">
        <v>46193</v>
      </c>
      <c r="D94" t="inlineStr">
        <is>
          <t>VÄSTMANLANDS LÄN</t>
        </is>
      </c>
      <c r="E94" t="inlineStr">
        <is>
          <t>SALA</t>
        </is>
      </c>
      <c r="G94" t="n">
        <v>0.3</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46193</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46193</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46193</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10083-2022</t>
        </is>
      </c>
      <c r="B98" s="1" t="n">
        <v>44621</v>
      </c>
      <c r="C98" s="1" t="n">
        <v>46193</v>
      </c>
      <c r="D98" t="inlineStr">
        <is>
          <t>VÄSTMANLANDS LÄN</t>
        </is>
      </c>
      <c r="E98" t="inlineStr">
        <is>
          <t>SALA</t>
        </is>
      </c>
      <c r="G98" t="n">
        <v>7.8</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46193</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46193</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46193</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46193</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46193</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46193</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46193</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46193</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46193</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46193</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46193</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46193</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939-2022</t>
        </is>
      </c>
      <c r="B113" s="1" t="n">
        <v>44571</v>
      </c>
      <c r="C113" s="1" t="n">
        <v>46193</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46193</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46193</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46193</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46193</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4237-2022</t>
        </is>
      </c>
      <c r="B118" s="1" t="n">
        <v>44588</v>
      </c>
      <c r="C118" s="1" t="n">
        <v>46193</v>
      </c>
      <c r="D118" t="inlineStr">
        <is>
          <t>VÄSTMANLANDS LÄN</t>
        </is>
      </c>
      <c r="E118" t="inlineStr">
        <is>
          <t>SALA</t>
        </is>
      </c>
      <c r="G118" t="n">
        <v>1.2</v>
      </c>
      <c r="H118" t="n">
        <v>0</v>
      </c>
      <c r="I118" t="n">
        <v>0</v>
      </c>
      <c r="J118" t="n">
        <v>0</v>
      </c>
      <c r="K118" t="n">
        <v>0</v>
      </c>
      <c r="L118" t="n">
        <v>0</v>
      </c>
      <c r="M118" t="n">
        <v>0</v>
      </c>
      <c r="N118" t="n">
        <v>0</v>
      </c>
      <c r="O118" t="n">
        <v>0</v>
      </c>
      <c r="P118" t="n">
        <v>0</v>
      </c>
      <c r="Q118" t="n">
        <v>0</v>
      </c>
      <c r="R118" s="2" t="inlineStr"/>
    </row>
    <row r="119" ht="15" customHeight="1">
      <c r="A119" t="inlineStr">
        <is>
          <t>A 51377-2022</t>
        </is>
      </c>
      <c r="B119" s="1" t="n">
        <v>44866</v>
      </c>
      <c r="C119" s="1" t="n">
        <v>46193</v>
      </c>
      <c r="D119" t="inlineStr">
        <is>
          <t>VÄSTMANLANDS LÄN</t>
        </is>
      </c>
      <c r="E119" t="inlineStr">
        <is>
          <t>SALA</t>
        </is>
      </c>
      <c r="G119" t="n">
        <v>6.3</v>
      </c>
      <c r="H119" t="n">
        <v>0</v>
      </c>
      <c r="I119" t="n">
        <v>0</v>
      </c>
      <c r="J119" t="n">
        <v>0</v>
      </c>
      <c r="K119" t="n">
        <v>0</v>
      </c>
      <c r="L119" t="n">
        <v>0</v>
      </c>
      <c r="M119" t="n">
        <v>0</v>
      </c>
      <c r="N119" t="n">
        <v>0</v>
      </c>
      <c r="O119" t="n">
        <v>0</v>
      </c>
      <c r="P119" t="n">
        <v>0</v>
      </c>
      <c r="Q119" t="n">
        <v>0</v>
      </c>
      <c r="R119" s="2" t="inlineStr"/>
    </row>
    <row r="120" ht="15" customHeight="1">
      <c r="A120" t="inlineStr">
        <is>
          <t>A 68355-2021</t>
        </is>
      </c>
      <c r="B120" s="1" t="n">
        <v>44528</v>
      </c>
      <c r="C120" s="1" t="n">
        <v>46193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44318-2022</t>
        </is>
      </c>
      <c r="B121" s="1" t="n">
        <v>44839</v>
      </c>
      <c r="C121" s="1" t="n">
        <v>46193</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1043-2022</t>
        </is>
      </c>
      <c r="B122" s="1" t="n">
        <v>44571</v>
      </c>
      <c r="C122" s="1" t="n">
        <v>46193</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15850-2022</t>
        </is>
      </c>
      <c r="B123" s="1" t="n">
        <v>44664</v>
      </c>
      <c r="C123" s="1" t="n">
        <v>46193</v>
      </c>
      <c r="D123" t="inlineStr">
        <is>
          <t>VÄSTMANLANDS LÄN</t>
        </is>
      </c>
      <c r="E123" t="inlineStr">
        <is>
          <t>SALA</t>
        </is>
      </c>
      <c r="G123" t="n">
        <v>1</v>
      </c>
      <c r="H123" t="n">
        <v>0</v>
      </c>
      <c r="I123" t="n">
        <v>0</v>
      </c>
      <c r="J123" t="n">
        <v>0</v>
      </c>
      <c r="K123" t="n">
        <v>0</v>
      </c>
      <c r="L123" t="n">
        <v>0</v>
      </c>
      <c r="M123" t="n">
        <v>0</v>
      </c>
      <c r="N123" t="n">
        <v>0</v>
      </c>
      <c r="O123" t="n">
        <v>0</v>
      </c>
      <c r="P123" t="n">
        <v>0</v>
      </c>
      <c r="Q123" t="n">
        <v>0</v>
      </c>
      <c r="R123" s="2" t="inlineStr"/>
    </row>
    <row r="124" ht="15" customHeight="1">
      <c r="A124" t="inlineStr">
        <is>
          <t>A 35921-2021</t>
        </is>
      </c>
      <c r="B124" s="1" t="n">
        <v>44388</v>
      </c>
      <c r="C124" s="1" t="n">
        <v>46193</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37856-2021</t>
        </is>
      </c>
      <c r="B125" s="1" t="n">
        <v>44403</v>
      </c>
      <c r="C125" s="1" t="n">
        <v>46193</v>
      </c>
      <c r="D125" t="inlineStr">
        <is>
          <t>VÄSTMANLANDS LÄN</t>
        </is>
      </c>
      <c r="E125" t="inlineStr">
        <is>
          <t>SALA</t>
        </is>
      </c>
      <c r="G125" t="n">
        <v>3.1</v>
      </c>
      <c r="H125" t="n">
        <v>0</v>
      </c>
      <c r="I125" t="n">
        <v>0</v>
      </c>
      <c r="J125" t="n">
        <v>0</v>
      </c>
      <c r="K125" t="n">
        <v>0</v>
      </c>
      <c r="L125" t="n">
        <v>0</v>
      </c>
      <c r="M125" t="n">
        <v>0</v>
      </c>
      <c r="N125" t="n">
        <v>0</v>
      </c>
      <c r="O125" t="n">
        <v>0</v>
      </c>
      <c r="P125" t="n">
        <v>0</v>
      </c>
      <c r="Q125" t="n">
        <v>0</v>
      </c>
      <c r="R125" s="2" t="inlineStr"/>
    </row>
    <row r="126" ht="15" customHeight="1">
      <c r="A126" t="inlineStr">
        <is>
          <t>A 37872-2021</t>
        </is>
      </c>
      <c r="B126" s="1" t="n">
        <v>44403</v>
      </c>
      <c r="C126" s="1" t="n">
        <v>46193</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65835-2021</t>
        </is>
      </c>
      <c r="B127" s="1" t="n">
        <v>44517</v>
      </c>
      <c r="C127" s="1" t="n">
        <v>46193</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31904-2021</t>
        </is>
      </c>
      <c r="B128" s="1" t="n">
        <v>44370</v>
      </c>
      <c r="C128" s="1" t="n">
        <v>46193</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46193</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46193</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46193</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46193</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46193</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46193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46193</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46193</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46193</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46193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46193</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46193</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46193</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46193</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46193</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46193</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46193</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46193</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46193</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46193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46193</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46193</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46193</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46193</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46193</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46193</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56916-2022</t>
        </is>
      </c>
      <c r="B156" s="1" t="n">
        <v>44888</v>
      </c>
      <c r="C156" s="1" t="n">
        <v>46193</v>
      </c>
      <c r="D156" t="inlineStr">
        <is>
          <t>VÄSTMANLANDS LÄN</t>
        </is>
      </c>
      <c r="E156" t="inlineStr">
        <is>
          <t>SALA</t>
        </is>
      </c>
      <c r="G156" t="n">
        <v>1.7</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46193</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v>
      </c>
      <c r="C158" s="1" t="n">
        <v>46193</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48710-2024</t>
        </is>
      </c>
      <c r="B159" s="1" t="n">
        <v>45593</v>
      </c>
      <c r="C159" s="1" t="n">
        <v>46193</v>
      </c>
      <c r="D159" t="inlineStr">
        <is>
          <t>VÄSTMANLANDS LÄN</t>
        </is>
      </c>
      <c r="E159" t="inlineStr">
        <is>
          <t>SALA</t>
        </is>
      </c>
      <c r="G159" t="n">
        <v>6.5</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v>
      </c>
      <c r="C160" s="1" t="n">
        <v>46193</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67958-2021</t>
        </is>
      </c>
      <c r="B161" s="1" t="n">
        <v>44525</v>
      </c>
      <c r="C161" s="1" t="n">
        <v>46193</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67965-2021</t>
        </is>
      </c>
      <c r="B162" s="1" t="n">
        <v>44525</v>
      </c>
      <c r="C162" s="1" t="n">
        <v>46193</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48571-2024</t>
        </is>
      </c>
      <c r="B163" s="1" t="n">
        <v>45591</v>
      </c>
      <c r="C163" s="1" t="n">
        <v>46193</v>
      </c>
      <c r="D163" t="inlineStr">
        <is>
          <t>VÄSTMANLANDS LÄN</t>
        </is>
      </c>
      <c r="E163" t="inlineStr">
        <is>
          <t>SALA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45015-2022</t>
        </is>
      </c>
      <c r="B164" s="1" t="n">
        <v>44841</v>
      </c>
      <c r="C164" s="1" t="n">
        <v>46193</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43362-2023</t>
        </is>
      </c>
      <c r="B165" s="1" t="n">
        <v>45183</v>
      </c>
      <c r="C165" s="1" t="n">
        <v>46193</v>
      </c>
      <c r="D165" t="inlineStr">
        <is>
          <t>VÄSTMANLANDS LÄN</t>
        </is>
      </c>
      <c r="E165" t="inlineStr">
        <is>
          <t>SALA</t>
        </is>
      </c>
      <c r="G165" t="n">
        <v>2</v>
      </c>
      <c r="H165" t="n">
        <v>0</v>
      </c>
      <c r="I165" t="n">
        <v>0</v>
      </c>
      <c r="J165" t="n">
        <v>0</v>
      </c>
      <c r="K165" t="n">
        <v>0</v>
      </c>
      <c r="L165" t="n">
        <v>0</v>
      </c>
      <c r="M165" t="n">
        <v>0</v>
      </c>
      <c r="N165" t="n">
        <v>0</v>
      </c>
      <c r="O165" t="n">
        <v>0</v>
      </c>
      <c r="P165" t="n">
        <v>0</v>
      </c>
      <c r="Q165" t="n">
        <v>0</v>
      </c>
      <c r="R165" s="2" t="inlineStr"/>
    </row>
    <row r="166" ht="15" customHeight="1">
      <c r="A166" t="inlineStr">
        <is>
          <t>A 56535-2022</t>
        </is>
      </c>
      <c r="B166" s="1" t="n">
        <v>44893</v>
      </c>
      <c r="C166" s="1" t="n">
        <v>46193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47909-2022</t>
        </is>
      </c>
      <c r="B167" s="1" t="n">
        <v>44855</v>
      </c>
      <c r="C167" s="1" t="n">
        <v>46193</v>
      </c>
      <c r="D167" t="inlineStr">
        <is>
          <t>VÄSTMANLANDS LÄN</t>
        </is>
      </c>
      <c r="E167" t="inlineStr">
        <is>
          <t>SALA</t>
        </is>
      </c>
      <c r="F167" t="inlineStr">
        <is>
          <t>Bergvik skog öst AB</t>
        </is>
      </c>
      <c r="G167" t="n">
        <v>2</v>
      </c>
      <c r="H167" t="n">
        <v>0</v>
      </c>
      <c r="I167" t="n">
        <v>0</v>
      </c>
      <c r="J167" t="n">
        <v>0</v>
      </c>
      <c r="K167" t="n">
        <v>0</v>
      </c>
      <c r="L167" t="n">
        <v>0</v>
      </c>
      <c r="M167" t="n">
        <v>0</v>
      </c>
      <c r="N167" t="n">
        <v>0</v>
      </c>
      <c r="O167" t="n">
        <v>0</v>
      </c>
      <c r="P167" t="n">
        <v>0</v>
      </c>
      <c r="Q167" t="n">
        <v>0</v>
      </c>
      <c r="R167" s="2" t="inlineStr"/>
    </row>
    <row r="168" ht="15" customHeight="1">
      <c r="A168" t="inlineStr">
        <is>
          <t>A 52630-2022</t>
        </is>
      </c>
      <c r="B168" s="1" t="n">
        <v>44874</v>
      </c>
      <c r="C168" s="1" t="n">
        <v>46193</v>
      </c>
      <c r="D168" t="inlineStr">
        <is>
          <t>VÄSTMANLANDS LÄN</t>
        </is>
      </c>
      <c r="E168" t="inlineStr">
        <is>
          <t>SALA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23847-2022</t>
        </is>
      </c>
      <c r="B169" s="1" t="n">
        <v>44722</v>
      </c>
      <c r="C169" s="1" t="n">
        <v>46193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22562-2022</t>
        </is>
      </c>
      <c r="B170" s="1" t="n">
        <v>44713</v>
      </c>
      <c r="C170" s="1" t="n">
        <v>46193</v>
      </c>
      <c r="D170" t="inlineStr">
        <is>
          <t>VÄSTMANLANDS LÄN</t>
        </is>
      </c>
      <c r="E170" t="inlineStr">
        <is>
          <t>SALA</t>
        </is>
      </c>
      <c r="G170" t="n">
        <v>0.8</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v>
      </c>
      <c r="C171" s="1" t="n">
        <v>46193</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31470-2021</t>
        </is>
      </c>
      <c r="B172" s="1" t="n">
        <v>44369</v>
      </c>
      <c r="C172" s="1" t="n">
        <v>46193</v>
      </c>
      <c r="D172" t="inlineStr">
        <is>
          <t>VÄSTMANLANDS LÄN</t>
        </is>
      </c>
      <c r="E172" t="inlineStr">
        <is>
          <t>SALA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18461-2024</t>
        </is>
      </c>
      <c r="B173" s="1" t="n">
        <v>45425</v>
      </c>
      <c r="C173" s="1" t="n">
        <v>46193</v>
      </c>
      <c r="D173" t="inlineStr">
        <is>
          <t>VÄSTMANLANDS LÄN</t>
        </is>
      </c>
      <c r="E173" t="inlineStr">
        <is>
          <t>SALA</t>
        </is>
      </c>
      <c r="G173" t="n">
        <v>1.7</v>
      </c>
      <c r="H173" t="n">
        <v>0</v>
      </c>
      <c r="I173" t="n">
        <v>0</v>
      </c>
      <c r="J173" t="n">
        <v>0</v>
      </c>
      <c r="K173" t="n">
        <v>0</v>
      </c>
      <c r="L173" t="n">
        <v>0</v>
      </c>
      <c r="M173" t="n">
        <v>0</v>
      </c>
      <c r="N173" t="n">
        <v>0</v>
      </c>
      <c r="O173" t="n">
        <v>0</v>
      </c>
      <c r="P173" t="n">
        <v>0</v>
      </c>
      <c r="Q173" t="n">
        <v>0</v>
      </c>
      <c r="R173" s="2" t="inlineStr"/>
    </row>
    <row r="174" ht="15" customHeight="1">
      <c r="A174" t="inlineStr">
        <is>
          <t>A 16404-2022</t>
        </is>
      </c>
      <c r="B174" s="1" t="n">
        <v>44671</v>
      </c>
      <c r="C174" s="1" t="n">
        <v>46193</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65353-2021</t>
        </is>
      </c>
      <c r="B175" s="1" t="n">
        <v>44515</v>
      </c>
      <c r="C175" s="1" t="n">
        <v>46193</v>
      </c>
      <c r="D175" t="inlineStr">
        <is>
          <t>VÄSTMANLANDS LÄN</t>
        </is>
      </c>
      <c r="E175" t="inlineStr">
        <is>
          <t>SALA</t>
        </is>
      </c>
      <c r="G175" t="n">
        <v>1.5</v>
      </c>
      <c r="H175" t="n">
        <v>0</v>
      </c>
      <c r="I175" t="n">
        <v>0</v>
      </c>
      <c r="J175" t="n">
        <v>0</v>
      </c>
      <c r="K175" t="n">
        <v>0</v>
      </c>
      <c r="L175" t="n">
        <v>0</v>
      </c>
      <c r="M175" t="n">
        <v>0</v>
      </c>
      <c r="N175" t="n">
        <v>0</v>
      </c>
      <c r="O175" t="n">
        <v>0</v>
      </c>
      <c r="P175" t="n">
        <v>0</v>
      </c>
      <c r="Q175" t="n">
        <v>0</v>
      </c>
      <c r="R175" s="2" t="inlineStr"/>
    </row>
    <row r="176" ht="15" customHeight="1">
      <c r="A176" t="inlineStr">
        <is>
          <t>A 29230-2022</t>
        </is>
      </c>
      <c r="B176" s="1" t="n">
        <v>44750</v>
      </c>
      <c r="C176" s="1" t="n">
        <v>46193</v>
      </c>
      <c r="D176" t="inlineStr">
        <is>
          <t>VÄSTMANLANDS LÄN</t>
        </is>
      </c>
      <c r="E176" t="inlineStr">
        <is>
          <t>SALA</t>
        </is>
      </c>
      <c r="G176" t="n">
        <v>1.1</v>
      </c>
      <c r="H176" t="n">
        <v>0</v>
      </c>
      <c r="I176" t="n">
        <v>0</v>
      </c>
      <c r="J176" t="n">
        <v>0</v>
      </c>
      <c r="K176" t="n">
        <v>0</v>
      </c>
      <c r="L176" t="n">
        <v>0</v>
      </c>
      <c r="M176" t="n">
        <v>0</v>
      </c>
      <c r="N176" t="n">
        <v>0</v>
      </c>
      <c r="O176" t="n">
        <v>0</v>
      </c>
      <c r="P176" t="n">
        <v>0</v>
      </c>
      <c r="Q176" t="n">
        <v>0</v>
      </c>
      <c r="R176" s="2" t="inlineStr"/>
    </row>
    <row r="177" ht="15" customHeight="1">
      <c r="A177" t="inlineStr">
        <is>
          <t>A 6097-2022</t>
        </is>
      </c>
      <c r="B177" s="1" t="n">
        <v>44599</v>
      </c>
      <c r="C177" s="1" t="n">
        <v>46193</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9335-2022</t>
        </is>
      </c>
      <c r="B178" s="1" t="n">
        <v>44616</v>
      </c>
      <c r="C178" s="1" t="n">
        <v>46193</v>
      </c>
      <c r="D178" t="inlineStr">
        <is>
          <t>VÄSTMANLANDS LÄN</t>
        </is>
      </c>
      <c r="E178" t="inlineStr">
        <is>
          <t>SALA</t>
        </is>
      </c>
      <c r="G178" t="n">
        <v>1.5</v>
      </c>
      <c r="H178" t="n">
        <v>0</v>
      </c>
      <c r="I178" t="n">
        <v>0</v>
      </c>
      <c r="J178" t="n">
        <v>0</v>
      </c>
      <c r="K178" t="n">
        <v>0</v>
      </c>
      <c r="L178" t="n">
        <v>0</v>
      </c>
      <c r="M178" t="n">
        <v>0</v>
      </c>
      <c r="N178" t="n">
        <v>0</v>
      </c>
      <c r="O178" t="n">
        <v>0</v>
      </c>
      <c r="P178" t="n">
        <v>0</v>
      </c>
      <c r="Q178" t="n">
        <v>0</v>
      </c>
      <c r="R178" s="2" t="inlineStr"/>
    </row>
    <row r="179" ht="15" customHeight="1">
      <c r="A179" t="inlineStr">
        <is>
          <t>A 10559-2024</t>
        </is>
      </c>
      <c r="B179" s="1" t="n">
        <v>45366</v>
      </c>
      <c r="C179" s="1" t="n">
        <v>46193</v>
      </c>
      <c r="D179" t="inlineStr">
        <is>
          <t>VÄSTMANLANDS LÄN</t>
        </is>
      </c>
      <c r="E179" t="inlineStr">
        <is>
          <t>SALA</t>
        </is>
      </c>
      <c r="G179" t="n">
        <v>0.3</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v>
      </c>
      <c r="C180" s="1" t="n">
        <v>46193</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19065-2022</t>
        </is>
      </c>
      <c r="B181" s="1" t="n">
        <v>44691</v>
      </c>
      <c r="C181" s="1" t="n">
        <v>46193</v>
      </c>
      <c r="D181" t="inlineStr">
        <is>
          <t>VÄSTMANLANDS LÄN</t>
        </is>
      </c>
      <c r="E181" t="inlineStr">
        <is>
          <t>SALA</t>
        </is>
      </c>
      <c r="G181" t="n">
        <v>3.4</v>
      </c>
      <c r="H181" t="n">
        <v>0</v>
      </c>
      <c r="I181" t="n">
        <v>0</v>
      </c>
      <c r="J181" t="n">
        <v>0</v>
      </c>
      <c r="K181" t="n">
        <v>0</v>
      </c>
      <c r="L181" t="n">
        <v>0</v>
      </c>
      <c r="M181" t="n">
        <v>0</v>
      </c>
      <c r="N181" t="n">
        <v>0</v>
      </c>
      <c r="O181" t="n">
        <v>0</v>
      </c>
      <c r="P181" t="n">
        <v>0</v>
      </c>
      <c r="Q181" t="n">
        <v>0</v>
      </c>
      <c r="R181" s="2" t="inlineStr"/>
    </row>
    <row r="182" ht="15" customHeight="1">
      <c r="A182" t="inlineStr">
        <is>
          <t>A 22961-2023</t>
        </is>
      </c>
      <c r="B182" s="1" t="n">
        <v>45072</v>
      </c>
      <c r="C182" s="1" t="n">
        <v>46193</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22963-2023</t>
        </is>
      </c>
      <c r="B183" s="1" t="n">
        <v>45072</v>
      </c>
      <c r="C183" s="1" t="n">
        <v>46193</v>
      </c>
      <c r="D183" t="inlineStr">
        <is>
          <t>VÄSTMANLANDS LÄN</t>
        </is>
      </c>
      <c r="E183" t="inlineStr">
        <is>
          <t>SALA</t>
        </is>
      </c>
      <c r="G183" t="n">
        <v>1.2</v>
      </c>
      <c r="H183" t="n">
        <v>0</v>
      </c>
      <c r="I183" t="n">
        <v>0</v>
      </c>
      <c r="J183" t="n">
        <v>0</v>
      </c>
      <c r="K183" t="n">
        <v>0</v>
      </c>
      <c r="L183" t="n">
        <v>0</v>
      </c>
      <c r="M183" t="n">
        <v>0</v>
      </c>
      <c r="N183" t="n">
        <v>0</v>
      </c>
      <c r="O183" t="n">
        <v>0</v>
      </c>
      <c r="P183" t="n">
        <v>0</v>
      </c>
      <c r="Q183" t="n">
        <v>0</v>
      </c>
      <c r="R183" s="2" t="inlineStr"/>
    </row>
    <row r="184" ht="15" customHeight="1">
      <c r="A184" t="inlineStr">
        <is>
          <t>A 60545-2024</t>
        </is>
      </c>
      <c r="B184" s="1" t="n">
        <v>45643</v>
      </c>
      <c r="C184" s="1" t="n">
        <v>46193</v>
      </c>
      <c r="D184" t="inlineStr">
        <is>
          <t>VÄSTMANLANDS LÄN</t>
        </is>
      </c>
      <c r="E184" t="inlineStr">
        <is>
          <t>SALA</t>
        </is>
      </c>
      <c r="G184" t="n">
        <v>3.3</v>
      </c>
      <c r="H184" t="n">
        <v>0</v>
      </c>
      <c r="I184" t="n">
        <v>0</v>
      </c>
      <c r="J184" t="n">
        <v>0</v>
      </c>
      <c r="K184" t="n">
        <v>0</v>
      </c>
      <c r="L184" t="n">
        <v>0</v>
      </c>
      <c r="M184" t="n">
        <v>0</v>
      </c>
      <c r="N184" t="n">
        <v>0</v>
      </c>
      <c r="O184" t="n">
        <v>0</v>
      </c>
      <c r="P184" t="n">
        <v>0</v>
      </c>
      <c r="Q184" t="n">
        <v>0</v>
      </c>
      <c r="R184" s="2" t="inlineStr"/>
    </row>
    <row r="185" ht="15" customHeight="1">
      <c r="A185" t="inlineStr">
        <is>
          <t>A 60547-2024</t>
        </is>
      </c>
      <c r="B185" s="1" t="n">
        <v>45643</v>
      </c>
      <c r="C185" s="1" t="n">
        <v>46193</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15965-2024</t>
        </is>
      </c>
      <c r="B186" s="1" t="n">
        <v>45405</v>
      </c>
      <c r="C186" s="1" t="n">
        <v>46193</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22575-2022</t>
        </is>
      </c>
      <c r="B187" s="1" t="n">
        <v>44713</v>
      </c>
      <c r="C187" s="1" t="n">
        <v>46193</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10585-2022</t>
        </is>
      </c>
      <c r="B188" s="1" t="n">
        <v>44624</v>
      </c>
      <c r="C188" s="1" t="n">
        <v>46193</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69236-2021</t>
        </is>
      </c>
      <c r="B189" s="1" t="n">
        <v>44531</v>
      </c>
      <c r="C189" s="1" t="n">
        <v>46193</v>
      </c>
      <c r="D189" t="inlineStr">
        <is>
          <t>VÄSTMANLANDS LÄN</t>
        </is>
      </c>
      <c r="E189" t="inlineStr">
        <is>
          <t>SALA</t>
        </is>
      </c>
      <c r="G189" t="n">
        <v>2.8</v>
      </c>
      <c r="H189" t="n">
        <v>0</v>
      </c>
      <c r="I189" t="n">
        <v>0</v>
      </c>
      <c r="J189" t="n">
        <v>0</v>
      </c>
      <c r="K189" t="n">
        <v>0</v>
      </c>
      <c r="L189" t="n">
        <v>0</v>
      </c>
      <c r="M189" t="n">
        <v>0</v>
      </c>
      <c r="N189" t="n">
        <v>0</v>
      </c>
      <c r="O189" t="n">
        <v>0</v>
      </c>
      <c r="P189" t="n">
        <v>0</v>
      </c>
      <c r="Q189" t="n">
        <v>0</v>
      </c>
      <c r="R189" s="2" t="inlineStr"/>
    </row>
    <row r="190" ht="15" customHeight="1">
      <c r="A190" t="inlineStr">
        <is>
          <t>A 64932-2021</t>
        </is>
      </c>
      <c r="B190" s="1" t="n">
        <v>44512</v>
      </c>
      <c r="C190" s="1" t="n">
        <v>46193</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48117-2024</t>
        </is>
      </c>
      <c r="B191" s="1" t="n">
        <v>45589</v>
      </c>
      <c r="C191" s="1" t="n">
        <v>46193</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12225-2023</t>
        </is>
      </c>
      <c r="B192" s="1" t="n">
        <v>44995</v>
      </c>
      <c r="C192" s="1" t="n">
        <v>46193</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12252-2023</t>
        </is>
      </c>
      <c r="B193" s="1" t="n">
        <v>44995</v>
      </c>
      <c r="C193" s="1" t="n">
        <v>46193</v>
      </c>
      <c r="D193" t="inlineStr">
        <is>
          <t>VÄSTMANLANDS LÄN</t>
        </is>
      </c>
      <c r="E193" t="inlineStr">
        <is>
          <t>SALA</t>
        </is>
      </c>
      <c r="G193" t="n">
        <v>2.6</v>
      </c>
      <c r="H193" t="n">
        <v>0</v>
      </c>
      <c r="I193" t="n">
        <v>0</v>
      </c>
      <c r="J193" t="n">
        <v>0</v>
      </c>
      <c r="K193" t="n">
        <v>0</v>
      </c>
      <c r="L193" t="n">
        <v>0</v>
      </c>
      <c r="M193" t="n">
        <v>0</v>
      </c>
      <c r="N193" t="n">
        <v>0</v>
      </c>
      <c r="O193" t="n">
        <v>0</v>
      </c>
      <c r="P193" t="n">
        <v>0</v>
      </c>
      <c r="Q193" t="n">
        <v>0</v>
      </c>
      <c r="R193" s="2" t="inlineStr"/>
    </row>
    <row r="194" ht="15" customHeight="1">
      <c r="A194" t="inlineStr">
        <is>
          <t>A 62651-2022</t>
        </is>
      </c>
      <c r="B194" s="1" t="n">
        <v>44917</v>
      </c>
      <c r="C194" s="1" t="n">
        <v>46193</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54836-2024</t>
        </is>
      </c>
      <c r="B195" s="1" t="n">
        <v>45618</v>
      </c>
      <c r="C195" s="1" t="n">
        <v>46193</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13987-2023</t>
        </is>
      </c>
      <c r="B196" s="1" t="n">
        <v>45007</v>
      </c>
      <c r="C196" s="1" t="n">
        <v>46193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13990-2023</t>
        </is>
      </c>
      <c r="B197" s="1" t="n">
        <v>45007</v>
      </c>
      <c r="C197" s="1" t="n">
        <v>46193</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40094-2022</t>
        </is>
      </c>
      <c r="B198" s="1" t="n">
        <v>44819</v>
      </c>
      <c r="C198" s="1" t="n">
        <v>46193</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v>
      </c>
      <c r="C199" s="1" t="n">
        <v>46193</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27261-2024</t>
        </is>
      </c>
      <c r="B200" s="1" t="n">
        <v>45471</v>
      </c>
      <c r="C200" s="1" t="n">
        <v>46193</v>
      </c>
      <c r="D200" t="inlineStr">
        <is>
          <t>VÄSTMANLANDS LÄN</t>
        </is>
      </c>
      <c r="E200" t="inlineStr">
        <is>
          <t>SALA</t>
        </is>
      </c>
      <c r="G200" t="n">
        <v>6.1</v>
      </c>
      <c r="H200" t="n">
        <v>0</v>
      </c>
      <c r="I200" t="n">
        <v>0</v>
      </c>
      <c r="J200" t="n">
        <v>0</v>
      </c>
      <c r="K200" t="n">
        <v>0</v>
      </c>
      <c r="L200" t="n">
        <v>0</v>
      </c>
      <c r="M200" t="n">
        <v>0</v>
      </c>
      <c r="N200" t="n">
        <v>0</v>
      </c>
      <c r="O200" t="n">
        <v>0</v>
      </c>
      <c r="P200" t="n">
        <v>0</v>
      </c>
      <c r="Q200" t="n">
        <v>0</v>
      </c>
      <c r="R200" s="2" t="inlineStr"/>
    </row>
    <row r="201" ht="15" customHeight="1">
      <c r="A201" t="inlineStr">
        <is>
          <t>A 6116-2023</t>
        </is>
      </c>
      <c r="B201" s="1" t="n">
        <v>44964</v>
      </c>
      <c r="C201" s="1" t="n">
        <v>46193</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18100-2023</t>
        </is>
      </c>
      <c r="B202" s="1" t="n">
        <v>45040</v>
      </c>
      <c r="C202" s="1" t="n">
        <v>46193</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1128-2025</t>
        </is>
      </c>
      <c r="B203" s="1" t="n">
        <v>45666</v>
      </c>
      <c r="C203" s="1" t="n">
        <v>46193</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54959-2024</t>
        </is>
      </c>
      <c r="B204" s="1" t="n">
        <v>45619</v>
      </c>
      <c r="C204" s="1" t="n">
        <v>46193</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73835-2021</t>
        </is>
      </c>
      <c r="B205" s="1" t="n">
        <v>44552</v>
      </c>
      <c r="C205" s="1" t="n">
        <v>46193</v>
      </c>
      <c r="D205" t="inlineStr">
        <is>
          <t>VÄSTMANLANDS LÄN</t>
        </is>
      </c>
      <c r="E205" t="inlineStr">
        <is>
          <t>SALA</t>
        </is>
      </c>
      <c r="G205" t="n">
        <v>2</v>
      </c>
      <c r="H205" t="n">
        <v>0</v>
      </c>
      <c r="I205" t="n">
        <v>0</v>
      </c>
      <c r="J205" t="n">
        <v>0</v>
      </c>
      <c r="K205" t="n">
        <v>0</v>
      </c>
      <c r="L205" t="n">
        <v>0</v>
      </c>
      <c r="M205" t="n">
        <v>0</v>
      </c>
      <c r="N205" t="n">
        <v>0</v>
      </c>
      <c r="O205" t="n">
        <v>0</v>
      </c>
      <c r="P205" t="n">
        <v>0</v>
      </c>
      <c r="Q205" t="n">
        <v>0</v>
      </c>
      <c r="R205" s="2" t="inlineStr"/>
    </row>
    <row r="206" ht="15" customHeight="1">
      <c r="A206" t="inlineStr">
        <is>
          <t>A 60379-2022</t>
        </is>
      </c>
      <c r="B206" s="1" t="n">
        <v>44910</v>
      </c>
      <c r="C206" s="1" t="n">
        <v>46193</v>
      </c>
      <c r="D206" t="inlineStr">
        <is>
          <t>VÄSTMANLANDS LÄN</t>
        </is>
      </c>
      <c r="E206" t="inlineStr">
        <is>
          <t>SALA</t>
        </is>
      </c>
      <c r="F206" t="inlineStr">
        <is>
          <t>Kyrkan</t>
        </is>
      </c>
      <c r="G206" t="n">
        <v>2.5</v>
      </c>
      <c r="H206" t="n">
        <v>0</v>
      </c>
      <c r="I206" t="n">
        <v>0</v>
      </c>
      <c r="J206" t="n">
        <v>0</v>
      </c>
      <c r="K206" t="n">
        <v>0</v>
      </c>
      <c r="L206" t="n">
        <v>0</v>
      </c>
      <c r="M206" t="n">
        <v>0</v>
      </c>
      <c r="N206" t="n">
        <v>0</v>
      </c>
      <c r="O206" t="n">
        <v>0</v>
      </c>
      <c r="P206" t="n">
        <v>0</v>
      </c>
      <c r="Q206" t="n">
        <v>0</v>
      </c>
      <c r="R206" s="2" t="inlineStr"/>
    </row>
    <row r="207" ht="15" customHeight="1">
      <c r="A207" t="inlineStr">
        <is>
          <t>A 53630-2022</t>
        </is>
      </c>
      <c r="B207" s="1" t="n">
        <v>44879</v>
      </c>
      <c r="C207" s="1" t="n">
        <v>46193</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13471-2025</t>
        </is>
      </c>
      <c r="B208" s="1" t="n">
        <v>45736</v>
      </c>
      <c r="C208" s="1" t="n">
        <v>46193</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26854-2024</t>
        </is>
      </c>
      <c r="B209" s="1" t="n">
        <v>45470</v>
      </c>
      <c r="C209" s="1" t="n">
        <v>46193</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1638-2023</t>
        </is>
      </c>
      <c r="B210" s="1" t="n">
        <v>44937</v>
      </c>
      <c r="C210" s="1" t="n">
        <v>46193</v>
      </c>
      <c r="D210" t="inlineStr">
        <is>
          <t>VÄSTMANLANDS LÄN</t>
        </is>
      </c>
      <c r="E210" t="inlineStr">
        <is>
          <t>SALA</t>
        </is>
      </c>
      <c r="G210" t="n">
        <v>3.1</v>
      </c>
      <c r="H210" t="n">
        <v>0</v>
      </c>
      <c r="I210" t="n">
        <v>0</v>
      </c>
      <c r="J210" t="n">
        <v>0</v>
      </c>
      <c r="K210" t="n">
        <v>0</v>
      </c>
      <c r="L210" t="n">
        <v>0</v>
      </c>
      <c r="M210" t="n">
        <v>0</v>
      </c>
      <c r="N210" t="n">
        <v>0</v>
      </c>
      <c r="O210" t="n">
        <v>0</v>
      </c>
      <c r="P210" t="n">
        <v>0</v>
      </c>
      <c r="Q210" t="n">
        <v>0</v>
      </c>
      <c r="R210" s="2" t="inlineStr"/>
    </row>
    <row r="211" ht="15" customHeight="1">
      <c r="A211" t="inlineStr">
        <is>
          <t>A 27486-2022</t>
        </is>
      </c>
      <c r="B211" s="1" t="n">
        <v>44742</v>
      </c>
      <c r="C211" s="1" t="n">
        <v>46193</v>
      </c>
      <c r="D211" t="inlineStr">
        <is>
          <t>VÄSTMANLANDS LÄN</t>
        </is>
      </c>
      <c r="E211" t="inlineStr">
        <is>
          <t>SALA</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7953-2024</t>
        </is>
      </c>
      <c r="B212" s="1" t="n">
        <v>45350</v>
      </c>
      <c r="C212" s="1" t="n">
        <v>46193</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37602-2024</t>
        </is>
      </c>
      <c r="B213" s="1" t="n">
        <v>45541</v>
      </c>
      <c r="C213" s="1" t="n">
        <v>46193</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5477-2024</t>
        </is>
      </c>
      <c r="B214" s="1" t="n">
        <v>45333</v>
      </c>
      <c r="C214" s="1" t="n">
        <v>46193</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46193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6134-2024</t>
        </is>
      </c>
      <c r="B216" s="1" t="n">
        <v>45337</v>
      </c>
      <c r="C216" s="1" t="n">
        <v>46193</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21455-2023</t>
        </is>
      </c>
      <c r="B217" s="1" t="n">
        <v>45058</v>
      </c>
      <c r="C217" s="1" t="n">
        <v>46193</v>
      </c>
      <c r="D217" t="inlineStr">
        <is>
          <t>VÄSTMANLANDS LÄN</t>
        </is>
      </c>
      <c r="E217" t="inlineStr">
        <is>
          <t>SALA</t>
        </is>
      </c>
      <c r="G217" t="n">
        <v>6.4</v>
      </c>
      <c r="H217" t="n">
        <v>0</v>
      </c>
      <c r="I217" t="n">
        <v>0</v>
      </c>
      <c r="J217" t="n">
        <v>0</v>
      </c>
      <c r="K217" t="n">
        <v>0</v>
      </c>
      <c r="L217" t="n">
        <v>0</v>
      </c>
      <c r="M217" t="n">
        <v>0</v>
      </c>
      <c r="N217" t="n">
        <v>0</v>
      </c>
      <c r="O217" t="n">
        <v>0</v>
      </c>
      <c r="P217" t="n">
        <v>0</v>
      </c>
      <c r="Q217" t="n">
        <v>0</v>
      </c>
      <c r="R217" s="2" t="inlineStr"/>
    </row>
    <row r="218" ht="15" customHeight="1">
      <c r="A218" t="inlineStr">
        <is>
          <t>A 26507-2023</t>
        </is>
      </c>
      <c r="B218" s="1" t="n">
        <v>45092</v>
      </c>
      <c r="C218" s="1" t="n">
        <v>46193</v>
      </c>
      <c r="D218" t="inlineStr">
        <is>
          <t>VÄSTMANLANDS LÄN</t>
        </is>
      </c>
      <c r="E218" t="inlineStr">
        <is>
          <t>SALA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4797-2023</t>
        </is>
      </c>
      <c r="B219" s="1" t="n">
        <v>44957</v>
      </c>
      <c r="C219" s="1" t="n">
        <v>46193</v>
      </c>
      <c r="D219" t="inlineStr">
        <is>
          <t>VÄSTMANLANDS LÄN</t>
        </is>
      </c>
      <c r="E219" t="inlineStr">
        <is>
          <t>SALA</t>
        </is>
      </c>
      <c r="G219" t="n">
        <v>5.7</v>
      </c>
      <c r="H219" t="n">
        <v>0</v>
      </c>
      <c r="I219" t="n">
        <v>0</v>
      </c>
      <c r="J219" t="n">
        <v>0</v>
      </c>
      <c r="K219" t="n">
        <v>0</v>
      </c>
      <c r="L219" t="n">
        <v>0</v>
      </c>
      <c r="M219" t="n">
        <v>0</v>
      </c>
      <c r="N219" t="n">
        <v>0</v>
      </c>
      <c r="O219" t="n">
        <v>0</v>
      </c>
      <c r="P219" t="n">
        <v>0</v>
      </c>
      <c r="Q219" t="n">
        <v>0</v>
      </c>
      <c r="R219" s="2" t="inlineStr"/>
    </row>
    <row r="220" ht="15" customHeight="1">
      <c r="A220" t="inlineStr">
        <is>
          <t>A 4852-2023</t>
        </is>
      </c>
      <c r="B220" s="1" t="n">
        <v>44957</v>
      </c>
      <c r="C220" s="1" t="n">
        <v>46193</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36858-2023</t>
        </is>
      </c>
      <c r="B221" s="1" t="n">
        <v>45154</v>
      </c>
      <c r="C221" s="1" t="n">
        <v>46193</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72405-2021</t>
        </is>
      </c>
      <c r="B222" s="1" t="n">
        <v>44545</v>
      </c>
      <c r="C222" s="1" t="n">
        <v>46193</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34814-2021</t>
        </is>
      </c>
      <c r="B223" s="1" t="n">
        <v>44383</v>
      </c>
      <c r="C223" s="1" t="n">
        <v>46193</v>
      </c>
      <c r="D223" t="inlineStr">
        <is>
          <t>VÄSTMANLANDS LÄN</t>
        </is>
      </c>
      <c r="E223" t="inlineStr">
        <is>
          <t>SALA</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63290-2021</t>
        </is>
      </c>
      <c r="B224" s="1" t="n">
        <v>44505</v>
      </c>
      <c r="C224" s="1" t="n">
        <v>46193</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58701-2021</t>
        </is>
      </c>
      <c r="B225" s="1" t="n">
        <v>44489</v>
      </c>
      <c r="C225" s="1" t="n">
        <v>46193</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54118-2023</t>
        </is>
      </c>
      <c r="B226" s="1" t="n">
        <v>45232</v>
      </c>
      <c r="C226" s="1" t="n">
        <v>46193</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25860-2024</t>
        </is>
      </c>
      <c r="B227" s="1" t="n">
        <v>45467</v>
      </c>
      <c r="C227" s="1" t="n">
        <v>46193</v>
      </c>
      <c r="D227" t="inlineStr">
        <is>
          <t>VÄSTMANLANDS LÄN</t>
        </is>
      </c>
      <c r="E227" t="inlineStr">
        <is>
          <t>SALA</t>
        </is>
      </c>
      <c r="G227" t="n">
        <v>0.7</v>
      </c>
      <c r="H227" t="n">
        <v>0</v>
      </c>
      <c r="I227" t="n">
        <v>0</v>
      </c>
      <c r="J227" t="n">
        <v>0</v>
      </c>
      <c r="K227" t="n">
        <v>0</v>
      </c>
      <c r="L227" t="n">
        <v>0</v>
      </c>
      <c r="M227" t="n">
        <v>0</v>
      </c>
      <c r="N227" t="n">
        <v>0</v>
      </c>
      <c r="O227" t="n">
        <v>0</v>
      </c>
      <c r="P227" t="n">
        <v>0</v>
      </c>
      <c r="Q227" t="n">
        <v>0</v>
      </c>
      <c r="R227" s="2" t="inlineStr"/>
    </row>
    <row r="228" ht="15" customHeight="1">
      <c r="A228" t="inlineStr">
        <is>
          <t>A 36393-2023</t>
        </is>
      </c>
      <c r="B228" s="1" t="n">
        <v>45152</v>
      </c>
      <c r="C228" s="1" t="n">
        <v>46193</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45790-2023</t>
        </is>
      </c>
      <c r="B229" s="1" t="n">
        <v>45195</v>
      </c>
      <c r="C229" s="1" t="n">
        <v>46193</v>
      </c>
      <c r="D229" t="inlineStr">
        <is>
          <t>VÄSTMANLANDS LÄN</t>
        </is>
      </c>
      <c r="E229" t="inlineStr">
        <is>
          <t>SALA</t>
        </is>
      </c>
      <c r="G229" t="n">
        <v>5.7</v>
      </c>
      <c r="H229" t="n">
        <v>0</v>
      </c>
      <c r="I229" t="n">
        <v>0</v>
      </c>
      <c r="J229" t="n">
        <v>0</v>
      </c>
      <c r="K229" t="n">
        <v>0</v>
      </c>
      <c r="L229" t="n">
        <v>0</v>
      </c>
      <c r="M229" t="n">
        <v>0</v>
      </c>
      <c r="N229" t="n">
        <v>0</v>
      </c>
      <c r="O229" t="n">
        <v>0</v>
      </c>
      <c r="P229" t="n">
        <v>0</v>
      </c>
      <c r="Q229" t="n">
        <v>0</v>
      </c>
      <c r="R229" s="2" t="inlineStr"/>
    </row>
    <row r="230" ht="15" customHeight="1">
      <c r="A230" t="inlineStr">
        <is>
          <t>A 73519-2021</t>
        </is>
      </c>
      <c r="B230" s="1" t="n">
        <v>44551</v>
      </c>
      <c r="C230" s="1" t="n">
        <v>46193</v>
      </c>
      <c r="D230" t="inlineStr">
        <is>
          <t>VÄSTMANLANDS LÄN</t>
        </is>
      </c>
      <c r="E230" t="inlineStr">
        <is>
          <t>SALA</t>
        </is>
      </c>
      <c r="G230" t="n">
        <v>0.3</v>
      </c>
      <c r="H230" t="n">
        <v>0</v>
      </c>
      <c r="I230" t="n">
        <v>0</v>
      </c>
      <c r="J230" t="n">
        <v>0</v>
      </c>
      <c r="K230" t="n">
        <v>0</v>
      </c>
      <c r="L230" t="n">
        <v>0</v>
      </c>
      <c r="M230" t="n">
        <v>0</v>
      </c>
      <c r="N230" t="n">
        <v>0</v>
      </c>
      <c r="O230" t="n">
        <v>0</v>
      </c>
      <c r="P230" t="n">
        <v>0</v>
      </c>
      <c r="Q230" t="n">
        <v>0</v>
      </c>
      <c r="R230" s="2" t="inlineStr"/>
    </row>
    <row r="231" ht="15" customHeight="1">
      <c r="A231" t="inlineStr">
        <is>
          <t>A 40214-2023</t>
        </is>
      </c>
      <c r="B231" s="1" t="n">
        <v>45169</v>
      </c>
      <c r="C231" s="1" t="n">
        <v>46193</v>
      </c>
      <c r="D231" t="inlineStr">
        <is>
          <t>VÄSTMANLANDS LÄN</t>
        </is>
      </c>
      <c r="E231" t="inlineStr">
        <is>
          <t>SALA</t>
        </is>
      </c>
      <c r="G231" t="n">
        <v>5.5</v>
      </c>
      <c r="H231" t="n">
        <v>0</v>
      </c>
      <c r="I231" t="n">
        <v>0</v>
      </c>
      <c r="J231" t="n">
        <v>0</v>
      </c>
      <c r="K231" t="n">
        <v>0</v>
      </c>
      <c r="L231" t="n">
        <v>0</v>
      </c>
      <c r="M231" t="n">
        <v>0</v>
      </c>
      <c r="N231" t="n">
        <v>0</v>
      </c>
      <c r="O231" t="n">
        <v>0</v>
      </c>
      <c r="P231" t="n">
        <v>0</v>
      </c>
      <c r="Q231" t="n">
        <v>0</v>
      </c>
      <c r="R231" s="2" t="inlineStr"/>
    </row>
    <row r="232" ht="15" customHeight="1">
      <c r="A232" t="inlineStr">
        <is>
          <t>A 37881-2021</t>
        </is>
      </c>
      <c r="B232" s="1" t="n">
        <v>44403</v>
      </c>
      <c r="C232" s="1" t="n">
        <v>46193</v>
      </c>
      <c r="D232" t="inlineStr">
        <is>
          <t>VÄSTMANLANDS LÄN</t>
        </is>
      </c>
      <c r="E232" t="inlineStr">
        <is>
          <t>SALA</t>
        </is>
      </c>
      <c r="G232" t="n">
        <v>4.6</v>
      </c>
      <c r="H232" t="n">
        <v>0</v>
      </c>
      <c r="I232" t="n">
        <v>0</v>
      </c>
      <c r="J232" t="n">
        <v>0</v>
      </c>
      <c r="K232" t="n">
        <v>0</v>
      </c>
      <c r="L232" t="n">
        <v>0</v>
      </c>
      <c r="M232" t="n">
        <v>0</v>
      </c>
      <c r="N232" t="n">
        <v>0</v>
      </c>
      <c r="O232" t="n">
        <v>0</v>
      </c>
      <c r="P232" t="n">
        <v>0</v>
      </c>
      <c r="Q232" t="n">
        <v>0</v>
      </c>
      <c r="R232" s="2" t="inlineStr"/>
    </row>
    <row r="233" ht="15" customHeight="1">
      <c r="A233" t="inlineStr">
        <is>
          <t>A 72808-2021</t>
        </is>
      </c>
      <c r="B233" s="1" t="n">
        <v>44546</v>
      </c>
      <c r="C233" s="1" t="n">
        <v>46193</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35016-2024</t>
        </is>
      </c>
      <c r="B234" s="1" t="n">
        <v>45527</v>
      </c>
      <c r="C234" s="1" t="n">
        <v>46193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16160-2024</t>
        </is>
      </c>
      <c r="B235" s="1" t="n">
        <v>45406</v>
      </c>
      <c r="C235" s="1" t="n">
        <v>46193</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10250-2025</t>
        </is>
      </c>
      <c r="B236" s="1" t="n">
        <v>45720</v>
      </c>
      <c r="C236" s="1" t="n">
        <v>46193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23180-2022</t>
        </is>
      </c>
      <c r="B237" s="1" t="n">
        <v>44719</v>
      </c>
      <c r="C237" s="1" t="n">
        <v>46193</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21053-2022</t>
        </is>
      </c>
      <c r="B238" s="1" t="n">
        <v>44704</v>
      </c>
      <c r="C238" s="1" t="n">
        <v>46193</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5728-2022</t>
        </is>
      </c>
      <c r="B239" s="1" t="n">
        <v>44596</v>
      </c>
      <c r="C239" s="1" t="n">
        <v>46193</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40597-2022</t>
        </is>
      </c>
      <c r="B240" s="1" t="n">
        <v>44823</v>
      </c>
      <c r="C240" s="1" t="n">
        <v>46193</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18340-2025</t>
        </is>
      </c>
      <c r="B241" s="1" t="n">
        <v>45762</v>
      </c>
      <c r="C241" s="1" t="n">
        <v>46193</v>
      </c>
      <c r="D241" t="inlineStr">
        <is>
          <t>VÄSTMANLANDS LÄN</t>
        </is>
      </c>
      <c r="E241" t="inlineStr">
        <is>
          <t>SALA</t>
        </is>
      </c>
      <c r="G241" t="n">
        <v>2.1</v>
      </c>
      <c r="H241" t="n">
        <v>0</v>
      </c>
      <c r="I241" t="n">
        <v>0</v>
      </c>
      <c r="J241" t="n">
        <v>0</v>
      </c>
      <c r="K241" t="n">
        <v>0</v>
      </c>
      <c r="L241" t="n">
        <v>0</v>
      </c>
      <c r="M241" t="n">
        <v>0</v>
      </c>
      <c r="N241" t="n">
        <v>0</v>
      </c>
      <c r="O241" t="n">
        <v>0</v>
      </c>
      <c r="P241" t="n">
        <v>0</v>
      </c>
      <c r="Q241" t="n">
        <v>0</v>
      </c>
      <c r="R241" s="2" t="inlineStr"/>
    </row>
    <row r="242" ht="15" customHeight="1">
      <c r="A242" t="inlineStr">
        <is>
          <t>A 19751-2022</t>
        </is>
      </c>
      <c r="B242" s="1" t="n">
        <v>44694</v>
      </c>
      <c r="C242" s="1" t="n">
        <v>46193</v>
      </c>
      <c r="D242" t="inlineStr">
        <is>
          <t>VÄSTMANLANDS LÄN</t>
        </is>
      </c>
      <c r="E242" t="inlineStr">
        <is>
          <t>SALA</t>
        </is>
      </c>
      <c r="G242" t="n">
        <v>2.7</v>
      </c>
      <c r="H242" t="n">
        <v>0</v>
      </c>
      <c r="I242" t="n">
        <v>0</v>
      </c>
      <c r="J242" t="n">
        <v>0</v>
      </c>
      <c r="K242" t="n">
        <v>0</v>
      </c>
      <c r="L242" t="n">
        <v>0</v>
      </c>
      <c r="M242" t="n">
        <v>0</v>
      </c>
      <c r="N242" t="n">
        <v>0</v>
      </c>
      <c r="O242" t="n">
        <v>0</v>
      </c>
      <c r="P242" t="n">
        <v>0</v>
      </c>
      <c r="Q242" t="n">
        <v>0</v>
      </c>
      <c r="R242" s="2" t="inlineStr"/>
    </row>
    <row r="243" ht="15" customHeight="1">
      <c r="A243" t="inlineStr">
        <is>
          <t>A 16638-2023</t>
        </is>
      </c>
      <c r="B243" s="1" t="n">
        <v>45027</v>
      </c>
      <c r="C243" s="1" t="n">
        <v>46193</v>
      </c>
      <c r="D243" t="inlineStr">
        <is>
          <t>VÄSTMANLANDS LÄN</t>
        </is>
      </c>
      <c r="E243" t="inlineStr">
        <is>
          <t>SALA</t>
        </is>
      </c>
      <c r="G243" t="n">
        <v>14.8</v>
      </c>
      <c r="H243" t="n">
        <v>0</v>
      </c>
      <c r="I243" t="n">
        <v>0</v>
      </c>
      <c r="J243" t="n">
        <v>0</v>
      </c>
      <c r="K243" t="n">
        <v>0</v>
      </c>
      <c r="L243" t="n">
        <v>0</v>
      </c>
      <c r="M243" t="n">
        <v>0</v>
      </c>
      <c r="N243" t="n">
        <v>0</v>
      </c>
      <c r="O243" t="n">
        <v>0</v>
      </c>
      <c r="P243" t="n">
        <v>0</v>
      </c>
      <c r="Q243" t="n">
        <v>0</v>
      </c>
      <c r="R243" s="2" t="inlineStr"/>
    </row>
    <row r="244" ht="15" customHeight="1">
      <c r="A244" t="inlineStr">
        <is>
          <t>A 40871-2021</t>
        </is>
      </c>
      <c r="B244" s="1" t="n">
        <v>44421</v>
      </c>
      <c r="C244" s="1" t="n">
        <v>46193</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19803-2024</t>
        </is>
      </c>
      <c r="B245" s="1" t="n">
        <v>45432</v>
      </c>
      <c r="C245" s="1" t="n">
        <v>46193</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73673-2021</t>
        </is>
      </c>
      <c r="B246" s="1" t="n">
        <v>44552</v>
      </c>
      <c r="C246" s="1" t="n">
        <v>46193</v>
      </c>
      <c r="D246" t="inlineStr">
        <is>
          <t>VÄSTMANLANDS LÄN</t>
        </is>
      </c>
      <c r="E246" t="inlineStr">
        <is>
          <t>SALA</t>
        </is>
      </c>
      <c r="G246" t="n">
        <v>11.4</v>
      </c>
      <c r="H246" t="n">
        <v>0</v>
      </c>
      <c r="I246" t="n">
        <v>0</v>
      </c>
      <c r="J246" t="n">
        <v>0</v>
      </c>
      <c r="K246" t="n">
        <v>0</v>
      </c>
      <c r="L246" t="n">
        <v>0</v>
      </c>
      <c r="M246" t="n">
        <v>0</v>
      </c>
      <c r="N246" t="n">
        <v>0</v>
      </c>
      <c r="O246" t="n">
        <v>0</v>
      </c>
      <c r="P246" t="n">
        <v>0</v>
      </c>
      <c r="Q246" t="n">
        <v>0</v>
      </c>
      <c r="R246" s="2" t="inlineStr"/>
    </row>
    <row r="247" ht="15" customHeight="1">
      <c r="A247" t="inlineStr">
        <is>
          <t>A 6312-2025</t>
        </is>
      </c>
      <c r="B247" s="1" t="n">
        <v>45698</v>
      </c>
      <c r="C247" s="1" t="n">
        <v>46193</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17117-2023</t>
        </is>
      </c>
      <c r="B248" s="1" t="n">
        <v>45034</v>
      </c>
      <c r="C248" s="1" t="n">
        <v>46193</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55035-2023</t>
        </is>
      </c>
      <c r="B249" s="1" t="n">
        <v>45229</v>
      </c>
      <c r="C249" s="1" t="n">
        <v>46193</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59909-2024</t>
        </is>
      </c>
      <c r="B250" s="1" t="n">
        <v>45641</v>
      </c>
      <c r="C250" s="1" t="n">
        <v>46193</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24864-2024</t>
        </is>
      </c>
      <c r="B251" s="1" t="n">
        <v>45461</v>
      </c>
      <c r="C251" s="1" t="n">
        <v>46193</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33309-2022</t>
        </is>
      </c>
      <c r="B252" s="1" t="n">
        <v>44788</v>
      </c>
      <c r="C252" s="1" t="n">
        <v>46193</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1118-2024</t>
        </is>
      </c>
      <c r="B253" s="1" t="n">
        <v>45302</v>
      </c>
      <c r="C253" s="1" t="n">
        <v>46193</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7377-2023</t>
        </is>
      </c>
      <c r="B254" s="1" t="n">
        <v>44971</v>
      </c>
      <c r="C254" s="1" t="n">
        <v>46193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63933-2023</t>
        </is>
      </c>
      <c r="B255" s="1" t="n">
        <v>45278</v>
      </c>
      <c r="C255" s="1" t="n">
        <v>46193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52500-2024</t>
        </is>
      </c>
      <c r="B256" s="1" t="n">
        <v>45609</v>
      </c>
      <c r="C256" s="1" t="n">
        <v>46193</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27229-2022</t>
        </is>
      </c>
      <c r="B257" s="1" t="n">
        <v>44741</v>
      </c>
      <c r="C257" s="1" t="n">
        <v>46193</v>
      </c>
      <c r="D257" t="inlineStr">
        <is>
          <t>VÄSTMANLANDS LÄN</t>
        </is>
      </c>
      <c r="E257" t="inlineStr">
        <is>
          <t>SALA</t>
        </is>
      </c>
      <c r="F257" t="inlineStr">
        <is>
          <t>Kommuner</t>
        </is>
      </c>
      <c r="G257" t="n">
        <v>1.4</v>
      </c>
      <c r="H257" t="n">
        <v>0</v>
      </c>
      <c r="I257" t="n">
        <v>0</v>
      </c>
      <c r="J257" t="n">
        <v>0</v>
      </c>
      <c r="K257" t="n">
        <v>0</v>
      </c>
      <c r="L257" t="n">
        <v>0</v>
      </c>
      <c r="M257" t="n">
        <v>0</v>
      </c>
      <c r="N257" t="n">
        <v>0</v>
      </c>
      <c r="O257" t="n">
        <v>0</v>
      </c>
      <c r="P257" t="n">
        <v>0</v>
      </c>
      <c r="Q257" t="n">
        <v>0</v>
      </c>
      <c r="R257" s="2" t="inlineStr"/>
    </row>
    <row r="258" ht="15" customHeight="1">
      <c r="A258" t="inlineStr">
        <is>
          <t>A 37190-2024</t>
        </is>
      </c>
      <c r="B258" s="1" t="n">
        <v>45539</v>
      </c>
      <c r="C258" s="1" t="n">
        <v>46193</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39439-2021</t>
        </is>
      </c>
      <c r="B259" s="1" t="n">
        <v>44414</v>
      </c>
      <c r="C259" s="1" t="n">
        <v>46193</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34867-2023</t>
        </is>
      </c>
      <c r="B260" s="1" t="n">
        <v>45142</v>
      </c>
      <c r="C260" s="1" t="n">
        <v>46193</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7950-2025</t>
        </is>
      </c>
      <c r="B261" s="1" t="n">
        <v>45707</v>
      </c>
      <c r="C261" s="1" t="n">
        <v>46193</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11389-2024</t>
        </is>
      </c>
      <c r="B262" s="1" t="n">
        <v>45372</v>
      </c>
      <c r="C262" s="1" t="n">
        <v>46193</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56706-2022</t>
        </is>
      </c>
      <c r="B263" s="1" t="n">
        <v>44893</v>
      </c>
      <c r="C263" s="1" t="n">
        <v>46193</v>
      </c>
      <c r="D263" t="inlineStr">
        <is>
          <t>VÄSTMANLANDS LÄN</t>
        </is>
      </c>
      <c r="E263" t="inlineStr">
        <is>
          <t>SALA</t>
        </is>
      </c>
      <c r="G263" t="n">
        <v>4.5</v>
      </c>
      <c r="H263" t="n">
        <v>0</v>
      </c>
      <c r="I263" t="n">
        <v>0</v>
      </c>
      <c r="J263" t="n">
        <v>0</v>
      </c>
      <c r="K263" t="n">
        <v>0</v>
      </c>
      <c r="L263" t="n">
        <v>0</v>
      </c>
      <c r="M263" t="n">
        <v>0</v>
      </c>
      <c r="N263" t="n">
        <v>0</v>
      </c>
      <c r="O263" t="n">
        <v>0</v>
      </c>
      <c r="P263" t="n">
        <v>0</v>
      </c>
      <c r="Q263" t="n">
        <v>0</v>
      </c>
      <c r="R263" s="2" t="inlineStr"/>
    </row>
    <row r="264" ht="15" customHeight="1">
      <c r="A264" t="inlineStr">
        <is>
          <t>A 56707-2022</t>
        </is>
      </c>
      <c r="B264" s="1" t="n">
        <v>44893</v>
      </c>
      <c r="C264" s="1" t="n">
        <v>46193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30971-2022</t>
        </is>
      </c>
      <c r="B265" s="1" t="n">
        <v>44768</v>
      </c>
      <c r="C265" s="1" t="n">
        <v>46193</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16328-2025</t>
        </is>
      </c>
      <c r="B266" s="1" t="n">
        <v>45751</v>
      </c>
      <c r="C266" s="1" t="n">
        <v>46193</v>
      </c>
      <c r="D266" t="inlineStr">
        <is>
          <t>VÄSTMANLANDS LÄN</t>
        </is>
      </c>
      <c r="E266" t="inlineStr">
        <is>
          <t>SALA</t>
        </is>
      </c>
      <c r="G266" t="n">
        <v>2.9</v>
      </c>
      <c r="H266" t="n">
        <v>0</v>
      </c>
      <c r="I266" t="n">
        <v>0</v>
      </c>
      <c r="J266" t="n">
        <v>0</v>
      </c>
      <c r="K266" t="n">
        <v>0</v>
      </c>
      <c r="L266" t="n">
        <v>0</v>
      </c>
      <c r="M266" t="n">
        <v>0</v>
      </c>
      <c r="N266" t="n">
        <v>0</v>
      </c>
      <c r="O266" t="n">
        <v>0</v>
      </c>
      <c r="P266" t="n">
        <v>0</v>
      </c>
      <c r="Q266" t="n">
        <v>0</v>
      </c>
      <c r="R266" s="2" t="inlineStr"/>
    </row>
    <row r="267" ht="15" customHeight="1">
      <c r="A267" t="inlineStr">
        <is>
          <t>A 31609-2024</t>
        </is>
      </c>
      <c r="B267" s="1" t="n">
        <v>45506</v>
      </c>
      <c r="C267" s="1" t="n">
        <v>46193</v>
      </c>
      <c r="D267" t="inlineStr">
        <is>
          <t>VÄSTMANLANDS LÄN</t>
        </is>
      </c>
      <c r="E267" t="inlineStr">
        <is>
          <t>SALA</t>
        </is>
      </c>
      <c r="G267" t="n">
        <v>0.8</v>
      </c>
      <c r="H267" t="n">
        <v>0</v>
      </c>
      <c r="I267" t="n">
        <v>0</v>
      </c>
      <c r="J267" t="n">
        <v>0</v>
      </c>
      <c r="K267" t="n">
        <v>0</v>
      </c>
      <c r="L267" t="n">
        <v>0</v>
      </c>
      <c r="M267" t="n">
        <v>0</v>
      </c>
      <c r="N267" t="n">
        <v>0</v>
      </c>
      <c r="O267" t="n">
        <v>0</v>
      </c>
      <c r="P267" t="n">
        <v>0</v>
      </c>
      <c r="Q267" t="n">
        <v>0</v>
      </c>
      <c r="R267" s="2" t="inlineStr"/>
    </row>
    <row r="268" ht="15" customHeight="1">
      <c r="A268" t="inlineStr">
        <is>
          <t>A 13128-2023</t>
        </is>
      </c>
      <c r="B268" s="1" t="n">
        <v>45002</v>
      </c>
      <c r="C268" s="1" t="n">
        <v>46193</v>
      </c>
      <c r="D268" t="inlineStr">
        <is>
          <t>VÄSTMANLANDS LÄN</t>
        </is>
      </c>
      <c r="E268" t="inlineStr">
        <is>
          <t>SALA</t>
        </is>
      </c>
      <c r="G268" t="n">
        <v>7.9</v>
      </c>
      <c r="H268" t="n">
        <v>0</v>
      </c>
      <c r="I268" t="n">
        <v>0</v>
      </c>
      <c r="J268" t="n">
        <v>0</v>
      </c>
      <c r="K268" t="n">
        <v>0</v>
      </c>
      <c r="L268" t="n">
        <v>0</v>
      </c>
      <c r="M268" t="n">
        <v>0</v>
      </c>
      <c r="N268" t="n">
        <v>0</v>
      </c>
      <c r="O268" t="n">
        <v>0</v>
      </c>
      <c r="P268" t="n">
        <v>0</v>
      </c>
      <c r="Q268" t="n">
        <v>0</v>
      </c>
      <c r="R268" s="2" t="inlineStr"/>
    </row>
    <row r="269" ht="15" customHeight="1">
      <c r="A269" t="inlineStr">
        <is>
          <t>A 37958-2024</t>
        </is>
      </c>
      <c r="B269" s="1" t="n">
        <v>45544</v>
      </c>
      <c r="C269" s="1" t="n">
        <v>46193</v>
      </c>
      <c r="D269" t="inlineStr">
        <is>
          <t>VÄSTMANLANDS LÄN</t>
        </is>
      </c>
      <c r="E269" t="inlineStr">
        <is>
          <t>SALA</t>
        </is>
      </c>
      <c r="G269" t="n">
        <v>5.6</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46193</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60730-2023</t>
        </is>
      </c>
      <c r="B271" s="1" t="n">
        <v>45260</v>
      </c>
      <c r="C271" s="1" t="n">
        <v>46193</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60731-2023</t>
        </is>
      </c>
      <c r="B272" s="1" t="n">
        <v>45260</v>
      </c>
      <c r="C272" s="1" t="n">
        <v>46193</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35410-2022</t>
        </is>
      </c>
      <c r="B273" s="1" t="n">
        <v>44798</v>
      </c>
      <c r="C273" s="1" t="n">
        <v>46193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31864-2025</t>
        </is>
      </c>
      <c r="B274" s="1" t="n">
        <v>45834</v>
      </c>
      <c r="C274" s="1" t="n">
        <v>46193</v>
      </c>
      <c r="D274" t="inlineStr">
        <is>
          <t>VÄSTMANLANDS LÄN</t>
        </is>
      </c>
      <c r="E274" t="inlineStr">
        <is>
          <t>SALA</t>
        </is>
      </c>
      <c r="G274" t="n">
        <v>6.3</v>
      </c>
      <c r="H274" t="n">
        <v>0</v>
      </c>
      <c r="I274" t="n">
        <v>0</v>
      </c>
      <c r="J274" t="n">
        <v>0</v>
      </c>
      <c r="K274" t="n">
        <v>0</v>
      </c>
      <c r="L274" t="n">
        <v>0</v>
      </c>
      <c r="M274" t="n">
        <v>0</v>
      </c>
      <c r="N274" t="n">
        <v>0</v>
      </c>
      <c r="O274" t="n">
        <v>0</v>
      </c>
      <c r="P274" t="n">
        <v>0</v>
      </c>
      <c r="Q274" t="n">
        <v>0</v>
      </c>
      <c r="R274" s="2" t="inlineStr"/>
    </row>
    <row r="275" ht="15" customHeight="1">
      <c r="A275" t="inlineStr">
        <is>
          <t>A 10255-2024</t>
        </is>
      </c>
      <c r="B275" s="1" t="n">
        <v>45365</v>
      </c>
      <c r="C275" s="1" t="n">
        <v>46193</v>
      </c>
      <c r="D275" t="inlineStr">
        <is>
          <t>VÄSTMANLANDS LÄN</t>
        </is>
      </c>
      <c r="E275" t="inlineStr">
        <is>
          <t>SALA</t>
        </is>
      </c>
      <c r="F275" t="inlineStr">
        <is>
          <t>Kommuner</t>
        </is>
      </c>
      <c r="G275" t="n">
        <v>0.8</v>
      </c>
      <c r="H275" t="n">
        <v>0</v>
      </c>
      <c r="I275" t="n">
        <v>0</v>
      </c>
      <c r="J275" t="n">
        <v>0</v>
      </c>
      <c r="K275" t="n">
        <v>0</v>
      </c>
      <c r="L275" t="n">
        <v>0</v>
      </c>
      <c r="M275" t="n">
        <v>0</v>
      </c>
      <c r="N275" t="n">
        <v>0</v>
      </c>
      <c r="O275" t="n">
        <v>0</v>
      </c>
      <c r="P275" t="n">
        <v>0</v>
      </c>
      <c r="Q275" t="n">
        <v>0</v>
      </c>
      <c r="R275" s="2" t="inlineStr"/>
    </row>
    <row r="276" ht="15" customHeight="1">
      <c r="A276" t="inlineStr">
        <is>
          <t>A 21159-2022</t>
        </is>
      </c>
      <c r="B276" s="1" t="n">
        <v>44704</v>
      </c>
      <c r="C276" s="1" t="n">
        <v>46193</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v>
      </c>
      <c r="C277" s="1" t="n">
        <v>46193</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41292-2021</t>
        </is>
      </c>
      <c r="B278" s="1" t="n">
        <v>44424</v>
      </c>
      <c r="C278" s="1" t="n">
        <v>46193</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60328-2024</t>
        </is>
      </c>
      <c r="B279" s="1" t="n">
        <v>45643</v>
      </c>
      <c r="C279" s="1" t="n">
        <v>46193</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46193</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16543-2023</t>
        </is>
      </c>
      <c r="B281" s="1" t="n">
        <v>45029</v>
      </c>
      <c r="C281" s="1" t="n">
        <v>46193</v>
      </c>
      <c r="D281" t="inlineStr">
        <is>
          <t>VÄSTMANLANDS LÄN</t>
        </is>
      </c>
      <c r="E281" t="inlineStr">
        <is>
          <t>SALA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35976-2024</t>
        </is>
      </c>
      <c r="B282" s="1" t="n">
        <v>45533</v>
      </c>
      <c r="C282" s="1" t="n">
        <v>46193</v>
      </c>
      <c r="D282" t="inlineStr">
        <is>
          <t>VÄSTMANLANDS LÄN</t>
        </is>
      </c>
      <c r="E282" t="inlineStr">
        <is>
          <t>SALA</t>
        </is>
      </c>
      <c r="G282" t="n">
        <v>2.3</v>
      </c>
      <c r="H282" t="n">
        <v>0</v>
      </c>
      <c r="I282" t="n">
        <v>0</v>
      </c>
      <c r="J282" t="n">
        <v>0</v>
      </c>
      <c r="K282" t="n">
        <v>0</v>
      </c>
      <c r="L282" t="n">
        <v>0</v>
      </c>
      <c r="M282" t="n">
        <v>0</v>
      </c>
      <c r="N282" t="n">
        <v>0</v>
      </c>
      <c r="O282" t="n">
        <v>0</v>
      </c>
      <c r="P282" t="n">
        <v>0</v>
      </c>
      <c r="Q282" t="n">
        <v>0</v>
      </c>
      <c r="R282" s="2" t="inlineStr"/>
    </row>
    <row r="283" ht="15" customHeight="1">
      <c r="A283" t="inlineStr">
        <is>
          <t>A 33273-2023</t>
        </is>
      </c>
      <c r="B283" s="1" t="n">
        <v>45127</v>
      </c>
      <c r="C283" s="1" t="n">
        <v>46193</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4663-2022</t>
        </is>
      </c>
      <c r="B284" s="1" t="n">
        <v>44592</v>
      </c>
      <c r="C284" s="1" t="n">
        <v>46193</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52827-2024</t>
        </is>
      </c>
      <c r="B285" s="1" t="n">
        <v>45610</v>
      </c>
      <c r="C285" s="1" t="n">
        <v>46193</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11244-2024</t>
        </is>
      </c>
      <c r="B286" s="1" t="n">
        <v>45371</v>
      </c>
      <c r="C286" s="1" t="n">
        <v>46193</v>
      </c>
      <c r="D286" t="inlineStr">
        <is>
          <t>VÄSTMANLANDS LÄN</t>
        </is>
      </c>
      <c r="E286" t="inlineStr">
        <is>
          <t>SALA</t>
        </is>
      </c>
      <c r="G286" t="n">
        <v>1.2</v>
      </c>
      <c r="H286" t="n">
        <v>0</v>
      </c>
      <c r="I286" t="n">
        <v>0</v>
      </c>
      <c r="J286" t="n">
        <v>0</v>
      </c>
      <c r="K286" t="n">
        <v>0</v>
      </c>
      <c r="L286" t="n">
        <v>0</v>
      </c>
      <c r="M286" t="n">
        <v>0</v>
      </c>
      <c r="N286" t="n">
        <v>0</v>
      </c>
      <c r="O286" t="n">
        <v>0</v>
      </c>
      <c r="P286" t="n">
        <v>0</v>
      </c>
      <c r="Q286" t="n">
        <v>0</v>
      </c>
      <c r="R286" s="2" t="inlineStr"/>
    </row>
    <row r="287" ht="15" customHeight="1">
      <c r="A287" t="inlineStr">
        <is>
          <t>A 62654-2022</t>
        </is>
      </c>
      <c r="B287" s="1" t="n">
        <v>44917</v>
      </c>
      <c r="C287" s="1" t="n">
        <v>46193</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61681-2024</t>
        </is>
      </c>
      <c r="B288" s="1" t="n">
        <v>45647</v>
      </c>
      <c r="C288" s="1" t="n">
        <v>46193</v>
      </c>
      <c r="D288" t="inlineStr">
        <is>
          <t>VÄSTMANLANDS LÄN</t>
        </is>
      </c>
      <c r="E288" t="inlineStr">
        <is>
          <t>SALA</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6135-2023</t>
        </is>
      </c>
      <c r="B289" s="1" t="n">
        <v>44964</v>
      </c>
      <c r="C289" s="1" t="n">
        <v>46193</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52498-2022</t>
        </is>
      </c>
      <c r="B290" s="1" t="n">
        <v>44874</v>
      </c>
      <c r="C290" s="1" t="n">
        <v>46193</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53864-2022</t>
        </is>
      </c>
      <c r="B291" s="1" t="n">
        <v>44880</v>
      </c>
      <c r="C291" s="1" t="n">
        <v>46193</v>
      </c>
      <c r="D291" t="inlineStr">
        <is>
          <t>VÄSTMANLANDS LÄN</t>
        </is>
      </c>
      <c r="E291" t="inlineStr">
        <is>
          <t>SALA</t>
        </is>
      </c>
      <c r="G291" t="n">
        <v>5.9</v>
      </c>
      <c r="H291" t="n">
        <v>0</v>
      </c>
      <c r="I291" t="n">
        <v>0</v>
      </c>
      <c r="J291" t="n">
        <v>0</v>
      </c>
      <c r="K291" t="n">
        <v>0</v>
      </c>
      <c r="L291" t="n">
        <v>0</v>
      </c>
      <c r="M291" t="n">
        <v>0</v>
      </c>
      <c r="N291" t="n">
        <v>0</v>
      </c>
      <c r="O291" t="n">
        <v>0</v>
      </c>
      <c r="P291" t="n">
        <v>0</v>
      </c>
      <c r="Q291" t="n">
        <v>0</v>
      </c>
      <c r="R291" s="2" t="inlineStr"/>
    </row>
    <row r="292" ht="15" customHeight="1">
      <c r="A292" t="inlineStr">
        <is>
          <t>A 27255-2023</t>
        </is>
      </c>
      <c r="B292" s="1" t="n">
        <v>45096</v>
      </c>
      <c r="C292" s="1" t="n">
        <v>46193</v>
      </c>
      <c r="D292" t="inlineStr">
        <is>
          <t>VÄSTMANLANDS LÄN</t>
        </is>
      </c>
      <c r="E292" t="inlineStr">
        <is>
          <t>SALA</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46193</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71471-2021</t>
        </is>
      </c>
      <c r="B294" s="1" t="n">
        <v>44540</v>
      </c>
      <c r="C294" s="1" t="n">
        <v>46193</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20352-2022</t>
        </is>
      </c>
      <c r="B295" s="1" t="n">
        <v>44699</v>
      </c>
      <c r="C295" s="1" t="n">
        <v>46193</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46193</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39011-2023</t>
        </is>
      </c>
      <c r="B297" s="1" t="n">
        <v>45162</v>
      </c>
      <c r="C297" s="1" t="n">
        <v>46193</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27657-2023</t>
        </is>
      </c>
      <c r="B298" s="1" t="n">
        <v>45097</v>
      </c>
      <c r="C298" s="1" t="n">
        <v>46193</v>
      </c>
      <c r="D298" t="inlineStr">
        <is>
          <t>VÄSTMANLANDS LÄN</t>
        </is>
      </c>
      <c r="E298" t="inlineStr">
        <is>
          <t>SALA</t>
        </is>
      </c>
      <c r="G298" t="n">
        <v>0.1</v>
      </c>
      <c r="H298" t="n">
        <v>0</v>
      </c>
      <c r="I298" t="n">
        <v>0</v>
      </c>
      <c r="J298" t="n">
        <v>0</v>
      </c>
      <c r="K298" t="n">
        <v>0</v>
      </c>
      <c r="L298" t="n">
        <v>0</v>
      </c>
      <c r="M298" t="n">
        <v>0</v>
      </c>
      <c r="N298" t="n">
        <v>0</v>
      </c>
      <c r="O298" t="n">
        <v>0</v>
      </c>
      <c r="P298" t="n">
        <v>0</v>
      </c>
      <c r="Q298" t="n">
        <v>0</v>
      </c>
      <c r="R298" s="2" t="inlineStr"/>
    </row>
    <row r="299" ht="15" customHeight="1">
      <c r="A299" t="inlineStr">
        <is>
          <t>A 2766-2024</t>
        </is>
      </c>
      <c r="B299" s="1" t="n">
        <v>45314</v>
      </c>
      <c r="C299" s="1" t="n">
        <v>46193</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52503-2024</t>
        </is>
      </c>
      <c r="B300" s="1" t="n">
        <v>45609</v>
      </c>
      <c r="C300" s="1" t="n">
        <v>46193</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2521-2025</t>
        </is>
      </c>
      <c r="B301" s="1" t="n">
        <v>45674</v>
      </c>
      <c r="C301" s="1" t="n">
        <v>46193</v>
      </c>
      <c r="D301" t="inlineStr">
        <is>
          <t>VÄSTMANLANDS LÄN</t>
        </is>
      </c>
      <c r="E301" t="inlineStr">
        <is>
          <t>SALA</t>
        </is>
      </c>
      <c r="G301" t="n">
        <v>3.5</v>
      </c>
      <c r="H301" t="n">
        <v>0</v>
      </c>
      <c r="I301" t="n">
        <v>0</v>
      </c>
      <c r="J301" t="n">
        <v>0</v>
      </c>
      <c r="K301" t="n">
        <v>0</v>
      </c>
      <c r="L301" t="n">
        <v>0</v>
      </c>
      <c r="M301" t="n">
        <v>0</v>
      </c>
      <c r="N301" t="n">
        <v>0</v>
      </c>
      <c r="O301" t="n">
        <v>0</v>
      </c>
      <c r="P301" t="n">
        <v>0</v>
      </c>
      <c r="Q301" t="n">
        <v>0</v>
      </c>
      <c r="R301" s="2" t="inlineStr"/>
    </row>
    <row r="302" ht="15" customHeight="1">
      <c r="A302" t="inlineStr">
        <is>
          <t>A 60550-2024</t>
        </is>
      </c>
      <c r="B302" s="1" t="n">
        <v>45643</v>
      </c>
      <c r="C302" s="1" t="n">
        <v>46193</v>
      </c>
      <c r="D302" t="inlineStr">
        <is>
          <t>VÄSTMANLANDS LÄN</t>
        </is>
      </c>
      <c r="E302" t="inlineStr">
        <is>
          <t>SALA</t>
        </is>
      </c>
      <c r="G302" t="n">
        <v>0.6</v>
      </c>
      <c r="H302" t="n">
        <v>0</v>
      </c>
      <c r="I302" t="n">
        <v>0</v>
      </c>
      <c r="J302" t="n">
        <v>0</v>
      </c>
      <c r="K302" t="n">
        <v>0</v>
      </c>
      <c r="L302" t="n">
        <v>0</v>
      </c>
      <c r="M302" t="n">
        <v>0</v>
      </c>
      <c r="N302" t="n">
        <v>0</v>
      </c>
      <c r="O302" t="n">
        <v>0</v>
      </c>
      <c r="P302" t="n">
        <v>0</v>
      </c>
      <c r="Q302" t="n">
        <v>0</v>
      </c>
      <c r="R302" s="2" t="inlineStr"/>
    </row>
    <row r="303" ht="15" customHeight="1">
      <c r="A303" t="inlineStr">
        <is>
          <t>A 56547-2022</t>
        </is>
      </c>
      <c r="B303" s="1" t="n">
        <v>44893</v>
      </c>
      <c r="C303" s="1" t="n">
        <v>46193</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24175-2024</t>
        </is>
      </c>
      <c r="B304" s="1" t="n">
        <v>45456</v>
      </c>
      <c r="C304" s="1" t="n">
        <v>46193</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31000-2022</t>
        </is>
      </c>
      <c r="B305" s="1" t="n">
        <v>44768</v>
      </c>
      <c r="C305" s="1" t="n">
        <v>46193</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62449-2023</t>
        </is>
      </c>
      <c r="B306" s="1" t="n">
        <v>45268</v>
      </c>
      <c r="C306" s="1" t="n">
        <v>46193</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54910-2023</t>
        </is>
      </c>
      <c r="B307" s="1" t="n">
        <v>45229</v>
      </c>
      <c r="C307" s="1" t="n">
        <v>46193</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40556-2025</t>
        </is>
      </c>
      <c r="B308" s="1" t="n">
        <v>45896</v>
      </c>
      <c r="C308" s="1" t="n">
        <v>46193</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40559-2025</t>
        </is>
      </c>
      <c r="B309" s="1" t="n">
        <v>45896</v>
      </c>
      <c r="C309" s="1" t="n">
        <v>46193</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21968-2024</t>
        </is>
      </c>
      <c r="B310" s="1" t="n">
        <v>45443</v>
      </c>
      <c r="C310" s="1" t="n">
        <v>46193</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23182-2022</t>
        </is>
      </c>
      <c r="B311" s="1" t="n">
        <v>44719</v>
      </c>
      <c r="C311" s="1" t="n">
        <v>46193</v>
      </c>
      <c r="D311" t="inlineStr">
        <is>
          <t>VÄSTMANLANDS LÄN</t>
        </is>
      </c>
      <c r="E311" t="inlineStr">
        <is>
          <t>SALA</t>
        </is>
      </c>
      <c r="G311" t="n">
        <v>1.2</v>
      </c>
      <c r="H311" t="n">
        <v>0</v>
      </c>
      <c r="I311" t="n">
        <v>0</v>
      </c>
      <c r="J311" t="n">
        <v>0</v>
      </c>
      <c r="K311" t="n">
        <v>0</v>
      </c>
      <c r="L311" t="n">
        <v>0</v>
      </c>
      <c r="M311" t="n">
        <v>0</v>
      </c>
      <c r="N311" t="n">
        <v>0</v>
      </c>
      <c r="O311" t="n">
        <v>0</v>
      </c>
      <c r="P311" t="n">
        <v>0</v>
      </c>
      <c r="Q311" t="n">
        <v>0</v>
      </c>
      <c r="R311" s="2" t="inlineStr"/>
    </row>
    <row r="312" ht="15" customHeight="1">
      <c r="A312" t="inlineStr">
        <is>
          <t>A 19304-2025</t>
        </is>
      </c>
      <c r="B312" s="1" t="n">
        <v>45769</v>
      </c>
      <c r="C312" s="1" t="n">
        <v>46193</v>
      </c>
      <c r="D312" t="inlineStr">
        <is>
          <t>VÄSTMANLANDS LÄN</t>
        </is>
      </c>
      <c r="E312" t="inlineStr">
        <is>
          <t>SALA</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19222-2025</t>
        </is>
      </c>
      <c r="B313" s="1" t="n">
        <v>45769</v>
      </c>
      <c r="C313" s="1" t="n">
        <v>46193</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19241-2025</t>
        </is>
      </c>
      <c r="B314" s="1" t="n">
        <v>45769</v>
      </c>
      <c r="C314" s="1" t="n">
        <v>46193</v>
      </c>
      <c r="D314" t="inlineStr">
        <is>
          <t>VÄSTMANLANDS LÄN</t>
        </is>
      </c>
      <c r="E314" t="inlineStr">
        <is>
          <t>SALA</t>
        </is>
      </c>
      <c r="G314" t="n">
        <v>3.6</v>
      </c>
      <c r="H314" t="n">
        <v>0</v>
      </c>
      <c r="I314" t="n">
        <v>0</v>
      </c>
      <c r="J314" t="n">
        <v>0</v>
      </c>
      <c r="K314" t="n">
        <v>0</v>
      </c>
      <c r="L314" t="n">
        <v>0</v>
      </c>
      <c r="M314" t="n">
        <v>0</v>
      </c>
      <c r="N314" t="n">
        <v>0</v>
      </c>
      <c r="O314" t="n">
        <v>0</v>
      </c>
      <c r="P314" t="n">
        <v>0</v>
      </c>
      <c r="Q314" t="n">
        <v>0</v>
      </c>
      <c r="R314" s="2" t="inlineStr"/>
    </row>
    <row r="315" ht="15" customHeight="1">
      <c r="A315" t="inlineStr">
        <is>
          <t>A 42421-2025</t>
        </is>
      </c>
      <c r="B315" s="1" t="n">
        <v>45905</v>
      </c>
      <c r="C315" s="1" t="n">
        <v>46193</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57371-2022</t>
        </is>
      </c>
      <c r="B316" s="1" t="n">
        <v>44896</v>
      </c>
      <c r="C316" s="1" t="n">
        <v>46193</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43028-2025</t>
        </is>
      </c>
      <c r="B317" s="1" t="n">
        <v>45909</v>
      </c>
      <c r="C317" s="1" t="n">
        <v>46193</v>
      </c>
      <c r="D317" t="inlineStr">
        <is>
          <t>VÄSTMANLANDS LÄN</t>
        </is>
      </c>
      <c r="E317" t="inlineStr">
        <is>
          <t>SALA</t>
        </is>
      </c>
      <c r="G317" t="n">
        <v>3.8</v>
      </c>
      <c r="H317" t="n">
        <v>0</v>
      </c>
      <c r="I317" t="n">
        <v>0</v>
      </c>
      <c r="J317" t="n">
        <v>0</v>
      </c>
      <c r="K317" t="n">
        <v>0</v>
      </c>
      <c r="L317" t="n">
        <v>0</v>
      </c>
      <c r="M317" t="n">
        <v>0</v>
      </c>
      <c r="N317" t="n">
        <v>0</v>
      </c>
      <c r="O317" t="n">
        <v>0</v>
      </c>
      <c r="P317" t="n">
        <v>0</v>
      </c>
      <c r="Q317" t="n">
        <v>0</v>
      </c>
      <c r="R317" s="2" t="inlineStr"/>
    </row>
    <row r="318" ht="15" customHeight="1">
      <c r="A318" t="inlineStr">
        <is>
          <t>A 43031-2025</t>
        </is>
      </c>
      <c r="B318" s="1" t="n">
        <v>45909</v>
      </c>
      <c r="C318" s="1" t="n">
        <v>46193</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v>
      </c>
      <c r="C319" s="1" t="n">
        <v>46193</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v>
      </c>
      <c r="C320" s="1" t="n">
        <v>46193</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46193</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43128-2025</t>
        </is>
      </c>
      <c r="B322" s="1" t="n">
        <v>45909</v>
      </c>
      <c r="C322" s="1" t="n">
        <v>46193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26416-2023</t>
        </is>
      </c>
      <c r="B323" s="1" t="n">
        <v>45092</v>
      </c>
      <c r="C323" s="1" t="n">
        <v>46193</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56548-2024</t>
        </is>
      </c>
      <c r="B324" s="1" t="n">
        <v>45625</v>
      </c>
      <c r="C324" s="1" t="n">
        <v>46193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37103-2025</t>
        </is>
      </c>
      <c r="B325" s="1" t="n">
        <v>45875</v>
      </c>
      <c r="C325" s="1" t="n">
        <v>46193</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46193</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43129-2025</t>
        </is>
      </c>
      <c r="B327" s="1" t="n">
        <v>45909</v>
      </c>
      <c r="C327" s="1" t="n">
        <v>46193</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47086-2022</t>
        </is>
      </c>
      <c r="B328" s="1" t="n">
        <v>44852</v>
      </c>
      <c r="C328" s="1" t="n">
        <v>46193</v>
      </c>
      <c r="D328" t="inlineStr">
        <is>
          <t>VÄSTMANLANDS LÄN</t>
        </is>
      </c>
      <c r="E328" t="inlineStr">
        <is>
          <t>SALA</t>
        </is>
      </c>
      <c r="G328" t="n">
        <v>12.5</v>
      </c>
      <c r="H328" t="n">
        <v>0</v>
      </c>
      <c r="I328" t="n">
        <v>0</v>
      </c>
      <c r="J328" t="n">
        <v>0</v>
      </c>
      <c r="K328" t="n">
        <v>0</v>
      </c>
      <c r="L328" t="n">
        <v>0</v>
      </c>
      <c r="M328" t="n">
        <v>0</v>
      </c>
      <c r="N328" t="n">
        <v>0</v>
      </c>
      <c r="O328" t="n">
        <v>0</v>
      </c>
      <c r="P328" t="n">
        <v>0</v>
      </c>
      <c r="Q328" t="n">
        <v>0</v>
      </c>
      <c r="R328" s="2" t="inlineStr"/>
    </row>
    <row r="329" ht="15" customHeight="1">
      <c r="A329" t="inlineStr">
        <is>
          <t>A 26692-2023</t>
        </is>
      </c>
      <c r="B329" s="1" t="n">
        <v>45093</v>
      </c>
      <c r="C329" s="1" t="n">
        <v>46193</v>
      </c>
      <c r="D329" t="inlineStr">
        <is>
          <t>VÄSTMANLANDS LÄN</t>
        </is>
      </c>
      <c r="E329" t="inlineStr">
        <is>
          <t>SALA</t>
        </is>
      </c>
      <c r="G329" t="n">
        <v>1.8</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v>
      </c>
      <c r="C330" s="1" t="n">
        <v>46193</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44524-2025</t>
        </is>
      </c>
      <c r="B331" s="1" t="n">
        <v>45916</v>
      </c>
      <c r="C331" s="1" t="n">
        <v>46193</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988-2025</t>
        </is>
      </c>
      <c r="B332" s="1" t="n">
        <v>45666</v>
      </c>
      <c r="C332" s="1" t="n">
        <v>46193</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2925-2024</t>
        </is>
      </c>
      <c r="B333" s="1" t="n">
        <v>45315</v>
      </c>
      <c r="C333" s="1" t="n">
        <v>46193</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44746-2024</t>
        </is>
      </c>
      <c r="B334" s="1" t="n">
        <v>45574</v>
      </c>
      <c r="C334" s="1" t="n">
        <v>46193</v>
      </c>
      <c r="D334" t="inlineStr">
        <is>
          <t>VÄSTMANLANDS LÄN</t>
        </is>
      </c>
      <c r="E334" t="inlineStr">
        <is>
          <t>SALA</t>
        </is>
      </c>
      <c r="G334" t="n">
        <v>6.7</v>
      </c>
      <c r="H334" t="n">
        <v>0</v>
      </c>
      <c r="I334" t="n">
        <v>0</v>
      </c>
      <c r="J334" t="n">
        <v>0</v>
      </c>
      <c r="K334" t="n">
        <v>0</v>
      </c>
      <c r="L334" t="n">
        <v>0</v>
      </c>
      <c r="M334" t="n">
        <v>0</v>
      </c>
      <c r="N334" t="n">
        <v>0</v>
      </c>
      <c r="O334" t="n">
        <v>0</v>
      </c>
      <c r="P334" t="n">
        <v>0</v>
      </c>
      <c r="Q334" t="n">
        <v>0</v>
      </c>
      <c r="R334" s="2" t="inlineStr"/>
    </row>
    <row r="335" ht="15" customHeight="1">
      <c r="A335" t="inlineStr">
        <is>
          <t>A 44713-2023</t>
        </is>
      </c>
      <c r="B335" s="1" t="n">
        <v>45184</v>
      </c>
      <c r="C335" s="1" t="n">
        <v>46193</v>
      </c>
      <c r="D335" t="inlineStr">
        <is>
          <t>VÄSTMANLANDS LÄN</t>
        </is>
      </c>
      <c r="E335" t="inlineStr">
        <is>
          <t>SALA</t>
        </is>
      </c>
      <c r="F335" t="inlineStr">
        <is>
          <t>Kyrkan</t>
        </is>
      </c>
      <c r="G335" t="n">
        <v>7.6</v>
      </c>
      <c r="H335" t="n">
        <v>0</v>
      </c>
      <c r="I335" t="n">
        <v>0</v>
      </c>
      <c r="J335" t="n">
        <v>0</v>
      </c>
      <c r="K335" t="n">
        <v>0</v>
      </c>
      <c r="L335" t="n">
        <v>0</v>
      </c>
      <c r="M335" t="n">
        <v>0</v>
      </c>
      <c r="N335" t="n">
        <v>0</v>
      </c>
      <c r="O335" t="n">
        <v>0</v>
      </c>
      <c r="P335" t="n">
        <v>0</v>
      </c>
      <c r="Q335" t="n">
        <v>0</v>
      </c>
      <c r="R335" s="2" t="inlineStr"/>
    </row>
    <row r="336" ht="15" customHeight="1">
      <c r="A336" t="inlineStr">
        <is>
          <t>A 66908-2021</t>
        </is>
      </c>
      <c r="B336" s="1" t="n">
        <v>44522</v>
      </c>
      <c r="C336" s="1" t="n">
        <v>46193</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23431-2024</t>
        </is>
      </c>
      <c r="B337" s="1" t="n">
        <v>45453</v>
      </c>
      <c r="C337" s="1" t="n">
        <v>46193</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45371-2025</t>
        </is>
      </c>
      <c r="B338" s="1" t="n">
        <v>45922</v>
      </c>
      <c r="C338" s="1" t="n">
        <v>46193</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46193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v>
      </c>
      <c r="C340" s="1" t="n">
        <v>46193</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21751-2025</t>
        </is>
      </c>
      <c r="B341" s="1" t="n">
        <v>45783</v>
      </c>
      <c r="C341" s="1" t="n">
        <v>46193</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21754-2025</t>
        </is>
      </c>
      <c r="B342" s="1" t="n">
        <v>45783</v>
      </c>
      <c r="C342" s="1" t="n">
        <v>46193</v>
      </c>
      <c r="D342" t="inlineStr">
        <is>
          <t>VÄSTMANLANDS LÄN</t>
        </is>
      </c>
      <c r="E342" t="inlineStr">
        <is>
          <t>SALA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25897-2024</t>
        </is>
      </c>
      <c r="B343" s="1" t="n">
        <v>45467</v>
      </c>
      <c r="C343" s="1" t="n">
        <v>46193</v>
      </c>
      <c r="D343" t="inlineStr">
        <is>
          <t>VÄSTMANLANDS LÄN</t>
        </is>
      </c>
      <c r="E343" t="inlineStr">
        <is>
          <t>SALA</t>
        </is>
      </c>
      <c r="G343" t="n">
        <v>9.9</v>
      </c>
      <c r="H343" t="n">
        <v>0</v>
      </c>
      <c r="I343" t="n">
        <v>0</v>
      </c>
      <c r="J343" t="n">
        <v>0</v>
      </c>
      <c r="K343" t="n">
        <v>0</v>
      </c>
      <c r="L343" t="n">
        <v>0</v>
      </c>
      <c r="M343" t="n">
        <v>0</v>
      </c>
      <c r="N343" t="n">
        <v>0</v>
      </c>
      <c r="O343" t="n">
        <v>0</v>
      </c>
      <c r="P343" t="n">
        <v>0</v>
      </c>
      <c r="Q343" t="n">
        <v>0</v>
      </c>
      <c r="R343" s="2" t="inlineStr"/>
    </row>
    <row r="344" ht="15" customHeight="1">
      <c r="A344" t="inlineStr">
        <is>
          <t>A 37587-2024</t>
        </is>
      </c>
      <c r="B344" s="1" t="n">
        <v>45541</v>
      </c>
      <c r="C344" s="1" t="n">
        <v>46193</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46661-2025</t>
        </is>
      </c>
      <c r="B345" s="1" t="n">
        <v>45926</v>
      </c>
      <c r="C345" s="1" t="n">
        <v>46193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23222-2023</t>
        </is>
      </c>
      <c r="B346" s="1" t="n">
        <v>45075</v>
      </c>
      <c r="C346" s="1" t="n">
        <v>46193</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50479-2022</t>
        </is>
      </c>
      <c r="B347" s="1" t="n">
        <v>44861</v>
      </c>
      <c r="C347" s="1" t="n">
        <v>46193</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22353-2025</t>
        </is>
      </c>
      <c r="B348" s="1" t="n">
        <v>45786</v>
      </c>
      <c r="C348" s="1" t="n">
        <v>46193</v>
      </c>
      <c r="D348" t="inlineStr">
        <is>
          <t>VÄSTMANLANDS LÄN</t>
        </is>
      </c>
      <c r="E348" t="inlineStr">
        <is>
          <t>SALA</t>
        </is>
      </c>
      <c r="G348" t="n">
        <v>2.5</v>
      </c>
      <c r="H348" t="n">
        <v>0</v>
      </c>
      <c r="I348" t="n">
        <v>0</v>
      </c>
      <c r="J348" t="n">
        <v>0</v>
      </c>
      <c r="K348" t="n">
        <v>0</v>
      </c>
      <c r="L348" t="n">
        <v>0</v>
      </c>
      <c r="M348" t="n">
        <v>0</v>
      </c>
      <c r="N348" t="n">
        <v>0</v>
      </c>
      <c r="O348" t="n">
        <v>0</v>
      </c>
      <c r="P348" t="n">
        <v>0</v>
      </c>
      <c r="Q348" t="n">
        <v>0</v>
      </c>
      <c r="R348" s="2" t="inlineStr"/>
    </row>
    <row r="349" ht="15" customHeight="1">
      <c r="A349" t="inlineStr">
        <is>
          <t>A 64724-2023</t>
        </is>
      </c>
      <c r="B349" s="1" t="n">
        <v>45281</v>
      </c>
      <c r="C349" s="1" t="n">
        <v>46193</v>
      </c>
      <c r="D349" t="inlineStr">
        <is>
          <t>VÄSTMANLANDS LÄN</t>
        </is>
      </c>
      <c r="E349" t="inlineStr">
        <is>
          <t>SALA</t>
        </is>
      </c>
      <c r="G349" t="n">
        <v>2.3</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v>
      </c>
      <c r="C350" s="1" t="n">
        <v>46193</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14919-2025</t>
        </is>
      </c>
      <c r="B351" s="1" t="n">
        <v>45743</v>
      </c>
      <c r="C351" s="1" t="n">
        <v>46193</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14920-2025</t>
        </is>
      </c>
      <c r="B352" s="1" t="n">
        <v>45743</v>
      </c>
      <c r="C352" s="1" t="n">
        <v>46193</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22370-2025</t>
        </is>
      </c>
      <c r="B353" s="1" t="n">
        <v>45786</v>
      </c>
      <c r="C353" s="1" t="n">
        <v>46193</v>
      </c>
      <c r="D353" t="inlineStr">
        <is>
          <t>VÄSTMANLANDS LÄN</t>
        </is>
      </c>
      <c r="E353" t="inlineStr">
        <is>
          <t>SALA</t>
        </is>
      </c>
      <c r="G353" t="n">
        <v>3.2</v>
      </c>
      <c r="H353" t="n">
        <v>0</v>
      </c>
      <c r="I353" t="n">
        <v>0</v>
      </c>
      <c r="J353" t="n">
        <v>0</v>
      </c>
      <c r="K353" t="n">
        <v>0</v>
      </c>
      <c r="L353" t="n">
        <v>0</v>
      </c>
      <c r="M353" t="n">
        <v>0</v>
      </c>
      <c r="N353" t="n">
        <v>0</v>
      </c>
      <c r="O353" t="n">
        <v>0</v>
      </c>
      <c r="P353" t="n">
        <v>0</v>
      </c>
      <c r="Q353" t="n">
        <v>0</v>
      </c>
      <c r="R353" s="2" t="inlineStr"/>
    </row>
    <row r="354" ht="15" customHeight="1">
      <c r="A354" t="inlineStr">
        <is>
          <t>A 22383-2025</t>
        </is>
      </c>
      <c r="B354" s="1" t="n">
        <v>45786</v>
      </c>
      <c r="C354" s="1" t="n">
        <v>46193</v>
      </c>
      <c r="D354" t="inlineStr">
        <is>
          <t>VÄSTMANLANDS LÄN</t>
        </is>
      </c>
      <c r="E354" t="inlineStr">
        <is>
          <t>SALA</t>
        </is>
      </c>
      <c r="G354" t="n">
        <v>2.2</v>
      </c>
      <c r="H354" t="n">
        <v>0</v>
      </c>
      <c r="I354" t="n">
        <v>0</v>
      </c>
      <c r="J354" t="n">
        <v>0</v>
      </c>
      <c r="K354" t="n">
        <v>0</v>
      </c>
      <c r="L354" t="n">
        <v>0</v>
      </c>
      <c r="M354" t="n">
        <v>0</v>
      </c>
      <c r="N354" t="n">
        <v>0</v>
      </c>
      <c r="O354" t="n">
        <v>0</v>
      </c>
      <c r="P354" t="n">
        <v>0</v>
      </c>
      <c r="Q354" t="n">
        <v>0</v>
      </c>
      <c r="R354" s="2" t="inlineStr"/>
    </row>
    <row r="355" ht="15" customHeight="1">
      <c r="A355" t="inlineStr">
        <is>
          <t>A 13855-2023</t>
        </is>
      </c>
      <c r="B355" s="1" t="n">
        <v>45007</v>
      </c>
      <c r="C355" s="1" t="n">
        <v>46193</v>
      </c>
      <c r="D355" t="inlineStr">
        <is>
          <t>VÄSTMANLANDS LÄN</t>
        </is>
      </c>
      <c r="E355" t="inlineStr">
        <is>
          <t>SALA</t>
        </is>
      </c>
      <c r="G355" t="n">
        <v>2.9</v>
      </c>
      <c r="H355" t="n">
        <v>0</v>
      </c>
      <c r="I355" t="n">
        <v>0</v>
      </c>
      <c r="J355" t="n">
        <v>0</v>
      </c>
      <c r="K355" t="n">
        <v>0</v>
      </c>
      <c r="L355" t="n">
        <v>0</v>
      </c>
      <c r="M355" t="n">
        <v>0</v>
      </c>
      <c r="N355" t="n">
        <v>0</v>
      </c>
      <c r="O355" t="n">
        <v>0</v>
      </c>
      <c r="P355" t="n">
        <v>0</v>
      </c>
      <c r="Q355" t="n">
        <v>0</v>
      </c>
      <c r="R355" s="2" t="inlineStr"/>
    </row>
    <row r="356" ht="15" customHeight="1">
      <c r="A356" t="inlineStr">
        <is>
          <t>A 47577-2025</t>
        </is>
      </c>
      <c r="B356" s="1" t="n">
        <v>45931</v>
      </c>
      <c r="C356" s="1" t="n">
        <v>46193</v>
      </c>
      <c r="D356" t="inlineStr">
        <is>
          <t>VÄSTMANLANDS LÄN</t>
        </is>
      </c>
      <c r="E356" t="inlineStr">
        <is>
          <t>SALA</t>
        </is>
      </c>
      <c r="G356" t="n">
        <v>3.7</v>
      </c>
      <c r="H356" t="n">
        <v>0</v>
      </c>
      <c r="I356" t="n">
        <v>0</v>
      </c>
      <c r="J356" t="n">
        <v>0</v>
      </c>
      <c r="K356" t="n">
        <v>0</v>
      </c>
      <c r="L356" t="n">
        <v>0</v>
      </c>
      <c r="M356" t="n">
        <v>0</v>
      </c>
      <c r="N356" t="n">
        <v>0</v>
      </c>
      <c r="O356" t="n">
        <v>0</v>
      </c>
      <c r="P356" t="n">
        <v>0</v>
      </c>
      <c r="Q356" t="n">
        <v>0</v>
      </c>
      <c r="R356" s="2" t="inlineStr"/>
    </row>
    <row r="357" ht="15" customHeight="1">
      <c r="A357" t="inlineStr">
        <is>
          <t>A 7176-2023</t>
        </is>
      </c>
      <c r="B357" s="1" t="n">
        <v>44970</v>
      </c>
      <c r="C357" s="1" t="n">
        <v>46193</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18877-2023</t>
        </is>
      </c>
      <c r="B358" s="1" t="n">
        <v>45044</v>
      </c>
      <c r="C358" s="1" t="n">
        <v>46193</v>
      </c>
      <c r="D358" t="inlineStr">
        <is>
          <t>VÄSTMANLANDS LÄN</t>
        </is>
      </c>
      <c r="E358" t="inlineStr">
        <is>
          <t>SALA</t>
        </is>
      </c>
      <c r="F358" t="inlineStr">
        <is>
          <t>Kommuner</t>
        </is>
      </c>
      <c r="G358" t="n">
        <v>4.4</v>
      </c>
      <c r="H358" t="n">
        <v>0</v>
      </c>
      <c r="I358" t="n">
        <v>0</v>
      </c>
      <c r="J358" t="n">
        <v>0</v>
      </c>
      <c r="K358" t="n">
        <v>0</v>
      </c>
      <c r="L358" t="n">
        <v>0</v>
      </c>
      <c r="M358" t="n">
        <v>0</v>
      </c>
      <c r="N358" t="n">
        <v>0</v>
      </c>
      <c r="O358" t="n">
        <v>0</v>
      </c>
      <c r="P358" t="n">
        <v>0</v>
      </c>
      <c r="Q358" t="n">
        <v>0</v>
      </c>
      <c r="R358" s="2" t="inlineStr"/>
    </row>
    <row r="359" ht="15" customHeight="1">
      <c r="A359" t="inlineStr">
        <is>
          <t>A 55556-2023</t>
        </is>
      </c>
      <c r="B359" s="1" t="n">
        <v>45232</v>
      </c>
      <c r="C359" s="1" t="n">
        <v>46193</v>
      </c>
      <c r="D359" t="inlineStr">
        <is>
          <t>VÄSTMANLANDS LÄN</t>
        </is>
      </c>
      <c r="E359" t="inlineStr">
        <is>
          <t>SALA</t>
        </is>
      </c>
      <c r="G359" t="n">
        <v>1.3</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v>
      </c>
      <c r="C360" s="1" t="n">
        <v>46193</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31405-2024</t>
        </is>
      </c>
      <c r="B361" s="1" t="n">
        <v>45505</v>
      </c>
      <c r="C361" s="1" t="n">
        <v>46193</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13752-2025</t>
        </is>
      </c>
      <c r="B362" s="1" t="n">
        <v>45737</v>
      </c>
      <c r="C362" s="1" t="n">
        <v>46193</v>
      </c>
      <c r="D362" t="inlineStr">
        <is>
          <t>VÄSTMANLANDS LÄN</t>
        </is>
      </c>
      <c r="E362" t="inlineStr">
        <is>
          <t>SALA</t>
        </is>
      </c>
      <c r="G362" t="n">
        <v>0.4</v>
      </c>
      <c r="H362" t="n">
        <v>0</v>
      </c>
      <c r="I362" t="n">
        <v>0</v>
      </c>
      <c r="J362" t="n">
        <v>0</v>
      </c>
      <c r="K362" t="n">
        <v>0</v>
      </c>
      <c r="L362" t="n">
        <v>0</v>
      </c>
      <c r="M362" t="n">
        <v>0</v>
      </c>
      <c r="N362" t="n">
        <v>0</v>
      </c>
      <c r="O362" t="n">
        <v>0</v>
      </c>
      <c r="P362" t="n">
        <v>0</v>
      </c>
      <c r="Q362" t="n">
        <v>0</v>
      </c>
      <c r="R362" s="2" t="inlineStr"/>
    </row>
    <row r="363" ht="15" customHeight="1">
      <c r="A363" t="inlineStr">
        <is>
          <t>A 43600-2024</t>
        </is>
      </c>
      <c r="B363" s="1" t="n">
        <v>45569</v>
      </c>
      <c r="C363" s="1" t="n">
        <v>46193</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13130-2025</t>
        </is>
      </c>
      <c r="B364" s="1" t="n">
        <v>45734</v>
      </c>
      <c r="C364" s="1" t="n">
        <v>46193</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19398-2025</t>
        </is>
      </c>
      <c r="B365" s="1" t="n">
        <v>45769</v>
      </c>
      <c r="C365" s="1" t="n">
        <v>46193</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22921-2023</t>
        </is>
      </c>
      <c r="B366" s="1" t="n">
        <v>45070</v>
      </c>
      <c r="C366" s="1" t="n">
        <v>46193</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49640-2025</t>
        </is>
      </c>
      <c r="B367" s="1" t="n">
        <v>45939</v>
      </c>
      <c r="C367" s="1" t="n">
        <v>46193</v>
      </c>
      <c r="D367" t="inlineStr">
        <is>
          <t>VÄSTMANLANDS LÄN</t>
        </is>
      </c>
      <c r="E367" t="inlineStr">
        <is>
          <t>SALA</t>
        </is>
      </c>
      <c r="F367" t="inlineStr">
        <is>
          <t>Kommuner</t>
        </is>
      </c>
      <c r="G367" t="n">
        <v>18.8</v>
      </c>
      <c r="H367" t="n">
        <v>0</v>
      </c>
      <c r="I367" t="n">
        <v>0</v>
      </c>
      <c r="J367" t="n">
        <v>0</v>
      </c>
      <c r="K367" t="n">
        <v>0</v>
      </c>
      <c r="L367" t="n">
        <v>0</v>
      </c>
      <c r="M367" t="n">
        <v>0</v>
      </c>
      <c r="N367" t="n">
        <v>0</v>
      </c>
      <c r="O367" t="n">
        <v>0</v>
      </c>
      <c r="P367" t="n">
        <v>0</v>
      </c>
      <c r="Q367" t="n">
        <v>0</v>
      </c>
      <c r="R367" s="2" t="inlineStr"/>
    </row>
    <row r="368" ht="15" customHeight="1">
      <c r="A368" t="inlineStr">
        <is>
          <t>A 22126-2025</t>
        </is>
      </c>
      <c r="B368" s="1" t="n">
        <v>45785</v>
      </c>
      <c r="C368" s="1" t="n">
        <v>46193</v>
      </c>
      <c r="D368" t="inlineStr">
        <is>
          <t>VÄSTMANLANDS LÄN</t>
        </is>
      </c>
      <c r="E368" t="inlineStr">
        <is>
          <t>SALA</t>
        </is>
      </c>
      <c r="G368" t="n">
        <v>10.6</v>
      </c>
      <c r="H368" t="n">
        <v>0</v>
      </c>
      <c r="I368" t="n">
        <v>0</v>
      </c>
      <c r="J368" t="n">
        <v>0</v>
      </c>
      <c r="K368" t="n">
        <v>0</v>
      </c>
      <c r="L368" t="n">
        <v>0</v>
      </c>
      <c r="M368" t="n">
        <v>0</v>
      </c>
      <c r="N368" t="n">
        <v>0</v>
      </c>
      <c r="O368" t="n">
        <v>0</v>
      </c>
      <c r="P368" t="n">
        <v>0</v>
      </c>
      <c r="Q368" t="n">
        <v>0</v>
      </c>
      <c r="R368" s="2" t="inlineStr"/>
    </row>
    <row r="369" ht="15" customHeight="1">
      <c r="A369" t="inlineStr">
        <is>
          <t>A 23810-2025</t>
        </is>
      </c>
      <c r="B369" s="1" t="n">
        <v>45793</v>
      </c>
      <c r="C369" s="1" t="n">
        <v>46193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26419-2026</t>
        </is>
      </c>
      <c r="B370" s="1" t="n">
        <v>46183</v>
      </c>
      <c r="C370" s="1" t="n">
        <v>46193</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24944-2023</t>
        </is>
      </c>
      <c r="B371" s="1" t="n">
        <v>45085</v>
      </c>
      <c r="C371" s="1" t="n">
        <v>46193</v>
      </c>
      <c r="D371" t="inlineStr">
        <is>
          <t>VÄSTMANLANDS LÄN</t>
        </is>
      </c>
      <c r="E371" t="inlineStr">
        <is>
          <t>SALA</t>
        </is>
      </c>
      <c r="G371" t="n">
        <v>3.8</v>
      </c>
      <c r="H371" t="n">
        <v>0</v>
      </c>
      <c r="I371" t="n">
        <v>0</v>
      </c>
      <c r="J371" t="n">
        <v>0</v>
      </c>
      <c r="K371" t="n">
        <v>0</v>
      </c>
      <c r="L371" t="n">
        <v>0</v>
      </c>
      <c r="M371" t="n">
        <v>0</v>
      </c>
      <c r="N371" t="n">
        <v>0</v>
      </c>
      <c r="O371" t="n">
        <v>0</v>
      </c>
      <c r="P371" t="n">
        <v>0</v>
      </c>
      <c r="Q371" t="n">
        <v>0</v>
      </c>
      <c r="R371" s="2" t="inlineStr"/>
    </row>
    <row r="372" ht="15" customHeight="1">
      <c r="A372" t="inlineStr">
        <is>
          <t>A 24248-2023</t>
        </is>
      </c>
      <c r="B372" s="1" t="n">
        <v>45079</v>
      </c>
      <c r="C372" s="1" t="n">
        <v>46193</v>
      </c>
      <c r="D372" t="inlineStr">
        <is>
          <t>VÄSTMANLANDS LÄN</t>
        </is>
      </c>
      <c r="E372" t="inlineStr">
        <is>
          <t>SALA</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23804-2025</t>
        </is>
      </c>
      <c r="B373" s="1" t="n">
        <v>45793</v>
      </c>
      <c r="C373" s="1" t="n">
        <v>46193</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11210-2025</t>
        </is>
      </c>
      <c r="B374" s="1" t="n">
        <v>45726</v>
      </c>
      <c r="C374" s="1" t="n">
        <v>46193</v>
      </c>
      <c r="D374" t="inlineStr">
        <is>
          <t>VÄSTMANLANDS LÄN</t>
        </is>
      </c>
      <c r="E374" t="inlineStr">
        <is>
          <t>SALA</t>
        </is>
      </c>
      <c r="G374" t="n">
        <v>4.1</v>
      </c>
      <c r="H374" t="n">
        <v>0</v>
      </c>
      <c r="I374" t="n">
        <v>0</v>
      </c>
      <c r="J374" t="n">
        <v>0</v>
      </c>
      <c r="K374" t="n">
        <v>0</v>
      </c>
      <c r="L374" t="n">
        <v>0</v>
      </c>
      <c r="M374" t="n">
        <v>0</v>
      </c>
      <c r="N374" t="n">
        <v>0</v>
      </c>
      <c r="O374" t="n">
        <v>0</v>
      </c>
      <c r="P374" t="n">
        <v>0</v>
      </c>
      <c r="Q374" t="n">
        <v>0</v>
      </c>
      <c r="R374" s="2" t="inlineStr"/>
    </row>
    <row r="375" ht="15" customHeight="1">
      <c r="A375" t="inlineStr">
        <is>
          <t>A 38195-2021</t>
        </is>
      </c>
      <c r="B375" s="1" t="n">
        <v>44405</v>
      </c>
      <c r="C375" s="1" t="n">
        <v>46193</v>
      </c>
      <c r="D375" t="inlineStr">
        <is>
          <t>VÄSTMANLANDS LÄN</t>
        </is>
      </c>
      <c r="E375" t="inlineStr">
        <is>
          <t>SALA</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27228-2023</t>
        </is>
      </c>
      <c r="B376" s="1" t="n">
        <v>45096</v>
      </c>
      <c r="C376" s="1" t="n">
        <v>46193</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19297-2025</t>
        </is>
      </c>
      <c r="B377" s="1" t="n">
        <v>45769</v>
      </c>
      <c r="C377" s="1" t="n">
        <v>46193</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50119-2025</t>
        </is>
      </c>
      <c r="B378" s="1" t="n">
        <v>45943</v>
      </c>
      <c r="C378" s="1" t="n">
        <v>46193</v>
      </c>
      <c r="D378" t="inlineStr">
        <is>
          <t>VÄSTMANLANDS LÄN</t>
        </is>
      </c>
      <c r="E378" t="inlineStr">
        <is>
          <t>SALA</t>
        </is>
      </c>
      <c r="G378" t="n">
        <v>3.3</v>
      </c>
      <c r="H378" t="n">
        <v>0</v>
      </c>
      <c r="I378" t="n">
        <v>0</v>
      </c>
      <c r="J378" t="n">
        <v>0</v>
      </c>
      <c r="K378" t="n">
        <v>0</v>
      </c>
      <c r="L378" t="n">
        <v>0</v>
      </c>
      <c r="M378" t="n">
        <v>0</v>
      </c>
      <c r="N378" t="n">
        <v>0</v>
      </c>
      <c r="O378" t="n">
        <v>0</v>
      </c>
      <c r="P378" t="n">
        <v>0</v>
      </c>
      <c r="Q378" t="n">
        <v>0</v>
      </c>
      <c r="R378" s="2" t="inlineStr"/>
    </row>
    <row r="379" ht="15" customHeight="1">
      <c r="A379" t="inlineStr">
        <is>
          <t>A 50059-2025</t>
        </is>
      </c>
      <c r="B379" s="1" t="n">
        <v>45943</v>
      </c>
      <c r="C379" s="1" t="n">
        <v>46193</v>
      </c>
      <c r="D379" t="inlineStr">
        <is>
          <t>VÄSTMANLANDS LÄN</t>
        </is>
      </c>
      <c r="E379" t="inlineStr">
        <is>
          <t>SALA</t>
        </is>
      </c>
      <c r="G379" t="n">
        <v>4.4</v>
      </c>
      <c r="H379" t="n">
        <v>0</v>
      </c>
      <c r="I379" t="n">
        <v>0</v>
      </c>
      <c r="J379" t="n">
        <v>0</v>
      </c>
      <c r="K379" t="n">
        <v>0</v>
      </c>
      <c r="L379" t="n">
        <v>0</v>
      </c>
      <c r="M379" t="n">
        <v>0</v>
      </c>
      <c r="N379" t="n">
        <v>0</v>
      </c>
      <c r="O379" t="n">
        <v>0</v>
      </c>
      <c r="P379" t="n">
        <v>0</v>
      </c>
      <c r="Q379" t="n">
        <v>0</v>
      </c>
      <c r="R379" s="2" t="inlineStr"/>
    </row>
    <row r="380" ht="15" customHeight="1">
      <c r="A380" t="inlineStr">
        <is>
          <t>A 26414-2026</t>
        </is>
      </c>
      <c r="B380" s="1" t="n">
        <v>46183</v>
      </c>
      <c r="C380" s="1" t="n">
        <v>46193</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53838-2022</t>
        </is>
      </c>
      <c r="B381" s="1" t="n">
        <v>44880</v>
      </c>
      <c r="C381" s="1" t="n">
        <v>46193</v>
      </c>
      <c r="D381" t="inlineStr">
        <is>
          <t>VÄSTMANLANDS LÄN</t>
        </is>
      </c>
      <c r="E381" t="inlineStr">
        <is>
          <t>SALA</t>
        </is>
      </c>
      <c r="G381" t="n">
        <v>3.9</v>
      </c>
      <c r="H381" t="n">
        <v>0</v>
      </c>
      <c r="I381" t="n">
        <v>0</v>
      </c>
      <c r="J381" t="n">
        <v>0</v>
      </c>
      <c r="K381" t="n">
        <v>0</v>
      </c>
      <c r="L381" t="n">
        <v>0</v>
      </c>
      <c r="M381" t="n">
        <v>0</v>
      </c>
      <c r="N381" t="n">
        <v>0</v>
      </c>
      <c r="O381" t="n">
        <v>0</v>
      </c>
      <c r="P381" t="n">
        <v>0</v>
      </c>
      <c r="Q381" t="n">
        <v>0</v>
      </c>
      <c r="R381" s="2" t="inlineStr"/>
    </row>
    <row r="382" ht="15" customHeight="1">
      <c r="A382" t="inlineStr">
        <is>
          <t>A 55065-2024</t>
        </is>
      </c>
      <c r="B382" s="1" t="n">
        <v>45618</v>
      </c>
      <c r="C382" s="1" t="n">
        <v>46193</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25260-2023</t>
        </is>
      </c>
      <c r="B383" s="1" t="n">
        <v>45086</v>
      </c>
      <c r="C383" s="1" t="n">
        <v>46193</v>
      </c>
      <c r="D383" t="inlineStr">
        <is>
          <t>VÄSTMANLANDS LÄN</t>
        </is>
      </c>
      <c r="E383" t="inlineStr">
        <is>
          <t>SALA</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51626-2025</t>
        </is>
      </c>
      <c r="B384" s="1" t="n">
        <v>45951</v>
      </c>
      <c r="C384" s="1" t="n">
        <v>46193</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24907-2025</t>
        </is>
      </c>
      <c r="B385" s="1" t="n">
        <v>45799</v>
      </c>
      <c r="C385" s="1" t="n">
        <v>46193</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60249-2023</t>
        </is>
      </c>
      <c r="B386" s="1" t="n">
        <v>45258</v>
      </c>
      <c r="C386" s="1" t="n">
        <v>46193</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14271-2025</t>
        </is>
      </c>
      <c r="B387" s="1" t="n">
        <v>45740</v>
      </c>
      <c r="C387" s="1" t="n">
        <v>46193</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46193</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51764-2025</t>
        </is>
      </c>
      <c r="B389" s="1" t="n">
        <v>45951</v>
      </c>
      <c r="C389" s="1" t="n">
        <v>46193</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28328-2023</t>
        </is>
      </c>
      <c r="B390" s="1" t="n">
        <v>45099</v>
      </c>
      <c r="C390" s="1" t="n">
        <v>46193</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28278-2025</t>
        </is>
      </c>
      <c r="B391" s="1" t="n">
        <v>45818</v>
      </c>
      <c r="C391" s="1" t="n">
        <v>46193</v>
      </c>
      <c r="D391" t="inlineStr">
        <is>
          <t>VÄSTMANLANDS LÄN</t>
        </is>
      </c>
      <c r="E391" t="inlineStr">
        <is>
          <t>SALA</t>
        </is>
      </c>
      <c r="G391" t="n">
        <v>7.6</v>
      </c>
      <c r="H391" t="n">
        <v>0</v>
      </c>
      <c r="I391" t="n">
        <v>0</v>
      </c>
      <c r="J391" t="n">
        <v>0</v>
      </c>
      <c r="K391" t="n">
        <v>0</v>
      </c>
      <c r="L391" t="n">
        <v>0</v>
      </c>
      <c r="M391" t="n">
        <v>0</v>
      </c>
      <c r="N391" t="n">
        <v>0</v>
      </c>
      <c r="O391" t="n">
        <v>0</v>
      </c>
      <c r="P391" t="n">
        <v>0</v>
      </c>
      <c r="Q391" t="n">
        <v>0</v>
      </c>
      <c r="R391" s="2" t="inlineStr"/>
    </row>
    <row r="392" ht="15" customHeight="1">
      <c r="A392" t="inlineStr">
        <is>
          <t>A 20838-2026</t>
        </is>
      </c>
      <c r="B392" s="1" t="n">
        <v>46142</v>
      </c>
      <c r="C392" s="1" t="n">
        <v>46193</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49661-2024</t>
        </is>
      </c>
      <c r="B393" s="1" t="n">
        <v>45596</v>
      </c>
      <c r="C393" s="1" t="n">
        <v>46193</v>
      </c>
      <c r="D393" t="inlineStr">
        <is>
          <t>VÄSTMANLANDS LÄN</t>
        </is>
      </c>
      <c r="E393" t="inlineStr">
        <is>
          <t>SALA</t>
        </is>
      </c>
      <c r="G393" t="n">
        <v>6.7</v>
      </c>
      <c r="H393" t="n">
        <v>0</v>
      </c>
      <c r="I393" t="n">
        <v>0</v>
      </c>
      <c r="J393" t="n">
        <v>0</v>
      </c>
      <c r="K393" t="n">
        <v>0</v>
      </c>
      <c r="L393" t="n">
        <v>0</v>
      </c>
      <c r="M393" t="n">
        <v>0</v>
      </c>
      <c r="N393" t="n">
        <v>0</v>
      </c>
      <c r="O393" t="n">
        <v>0</v>
      </c>
      <c r="P393" t="n">
        <v>0</v>
      </c>
      <c r="Q393" t="n">
        <v>0</v>
      </c>
      <c r="R393" s="2" t="inlineStr"/>
    </row>
    <row r="394" ht="15" customHeight="1">
      <c r="A394" t="inlineStr">
        <is>
          <t>A 53744-2025</t>
        </is>
      </c>
      <c r="B394" s="1" t="n">
        <v>45960</v>
      </c>
      <c r="C394" s="1" t="n">
        <v>46193</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53725-2025</t>
        </is>
      </c>
      <c r="B395" s="1" t="n">
        <v>45960</v>
      </c>
      <c r="C395" s="1" t="n">
        <v>46193</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54347-2024</t>
        </is>
      </c>
      <c r="B396" s="1" t="n">
        <v>45617</v>
      </c>
      <c r="C396" s="1" t="n">
        <v>46193</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53724-2025</t>
        </is>
      </c>
      <c r="B397" s="1" t="n">
        <v>45960</v>
      </c>
      <c r="C397" s="1" t="n">
        <v>46193</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13022-2023</t>
        </is>
      </c>
      <c r="B398" s="1" t="n">
        <v>45002</v>
      </c>
      <c r="C398" s="1" t="n">
        <v>46193</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35003-2024</t>
        </is>
      </c>
      <c r="B399" s="1" t="n">
        <v>45527</v>
      </c>
      <c r="C399" s="1" t="n">
        <v>46193</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66307-2021</t>
        </is>
      </c>
      <c r="B400" s="1" t="n">
        <v>44518</v>
      </c>
      <c r="C400" s="1" t="n">
        <v>46193</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6030-2024</t>
        </is>
      </c>
      <c r="B401" s="1" t="n">
        <v>45336</v>
      </c>
      <c r="C401" s="1" t="n">
        <v>46193</v>
      </c>
      <c r="D401" t="inlineStr">
        <is>
          <t>VÄSTMANLANDS LÄN</t>
        </is>
      </c>
      <c r="E401" t="inlineStr">
        <is>
          <t>SALA</t>
        </is>
      </c>
      <c r="G401" t="n">
        <v>3.9</v>
      </c>
      <c r="H401" t="n">
        <v>0</v>
      </c>
      <c r="I401" t="n">
        <v>0</v>
      </c>
      <c r="J401" t="n">
        <v>0</v>
      </c>
      <c r="K401" t="n">
        <v>0</v>
      </c>
      <c r="L401" t="n">
        <v>0</v>
      </c>
      <c r="M401" t="n">
        <v>0</v>
      </c>
      <c r="N401" t="n">
        <v>0</v>
      </c>
      <c r="O401" t="n">
        <v>0</v>
      </c>
      <c r="P401" t="n">
        <v>0</v>
      </c>
      <c r="Q401" t="n">
        <v>0</v>
      </c>
      <c r="R401" s="2" t="inlineStr"/>
    </row>
    <row r="402" ht="15" customHeight="1">
      <c r="A402" t="inlineStr">
        <is>
          <t>A 26761-2023</t>
        </is>
      </c>
      <c r="B402" s="1" t="n">
        <v>45093</v>
      </c>
      <c r="C402" s="1" t="n">
        <v>46193</v>
      </c>
      <c r="D402" t="inlineStr">
        <is>
          <t>VÄSTMANLANDS LÄN</t>
        </is>
      </c>
      <c r="E402" t="inlineStr">
        <is>
          <t>SALA</t>
        </is>
      </c>
      <c r="G402" t="n">
        <v>4.3</v>
      </c>
      <c r="H402" t="n">
        <v>0</v>
      </c>
      <c r="I402" t="n">
        <v>0</v>
      </c>
      <c r="J402" t="n">
        <v>0</v>
      </c>
      <c r="K402" t="n">
        <v>0</v>
      </c>
      <c r="L402" t="n">
        <v>0</v>
      </c>
      <c r="M402" t="n">
        <v>0</v>
      </c>
      <c r="N402" t="n">
        <v>0</v>
      </c>
      <c r="O402" t="n">
        <v>0</v>
      </c>
      <c r="P402" t="n">
        <v>0</v>
      </c>
      <c r="Q402" t="n">
        <v>0</v>
      </c>
      <c r="R402" s="2" t="inlineStr"/>
    </row>
    <row r="403" ht="15" customHeight="1">
      <c r="A403" t="inlineStr">
        <is>
          <t>A 61892-2021</t>
        </is>
      </c>
      <c r="B403" s="1" t="n">
        <v>44502</v>
      </c>
      <c r="C403" s="1" t="n">
        <v>46193</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7772-2023</t>
        </is>
      </c>
      <c r="B404" s="1" t="n">
        <v>44973</v>
      </c>
      <c r="C404" s="1" t="n">
        <v>46193</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28284-2025</t>
        </is>
      </c>
      <c r="B405" s="1" t="n">
        <v>45818</v>
      </c>
      <c r="C405" s="1" t="n">
        <v>46193</v>
      </c>
      <c r="D405" t="inlineStr">
        <is>
          <t>VÄSTMANLANDS LÄN</t>
        </is>
      </c>
      <c r="E405" t="inlineStr">
        <is>
          <t>SALA</t>
        </is>
      </c>
      <c r="G405" t="n">
        <v>2.4</v>
      </c>
      <c r="H405" t="n">
        <v>0</v>
      </c>
      <c r="I405" t="n">
        <v>0</v>
      </c>
      <c r="J405" t="n">
        <v>0</v>
      </c>
      <c r="K405" t="n">
        <v>0</v>
      </c>
      <c r="L405" t="n">
        <v>0</v>
      </c>
      <c r="M405" t="n">
        <v>0</v>
      </c>
      <c r="N405" t="n">
        <v>0</v>
      </c>
      <c r="O405" t="n">
        <v>0</v>
      </c>
      <c r="P405" t="n">
        <v>0</v>
      </c>
      <c r="Q405" t="n">
        <v>0</v>
      </c>
      <c r="R405" s="2" t="inlineStr"/>
    </row>
    <row r="406" ht="15" customHeight="1">
      <c r="A406" t="inlineStr">
        <is>
          <t>A 42416-2022</t>
        </is>
      </c>
      <c r="B406" s="1" t="n">
        <v>44831</v>
      </c>
      <c r="C406" s="1" t="n">
        <v>46193</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19381-2025</t>
        </is>
      </c>
      <c r="B407" s="1" t="n">
        <v>45769</v>
      </c>
      <c r="C407" s="1" t="n">
        <v>46193</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48688-2024</t>
        </is>
      </c>
      <c r="B408" s="1" t="n">
        <v>45593</v>
      </c>
      <c r="C408" s="1" t="n">
        <v>46193</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19033-2025</t>
        </is>
      </c>
      <c r="B409" s="1" t="n">
        <v>45764</v>
      </c>
      <c r="C409" s="1" t="n">
        <v>46193</v>
      </c>
      <c r="D409" t="inlineStr">
        <is>
          <t>VÄSTMANLANDS LÄN</t>
        </is>
      </c>
      <c r="E409" t="inlineStr">
        <is>
          <t>SALA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29085-2025</t>
        </is>
      </c>
      <c r="B410" s="1" t="n">
        <v>45821</v>
      </c>
      <c r="C410" s="1" t="n">
        <v>46193</v>
      </c>
      <c r="D410" t="inlineStr">
        <is>
          <t>VÄSTMANLANDS LÄN</t>
        </is>
      </c>
      <c r="E410" t="inlineStr">
        <is>
          <t>SALA</t>
        </is>
      </c>
      <c r="G410" t="n">
        <v>3.5</v>
      </c>
      <c r="H410" t="n">
        <v>0</v>
      </c>
      <c r="I410" t="n">
        <v>0</v>
      </c>
      <c r="J410" t="n">
        <v>0</v>
      </c>
      <c r="K410" t="n">
        <v>0</v>
      </c>
      <c r="L410" t="n">
        <v>0</v>
      </c>
      <c r="M410" t="n">
        <v>0</v>
      </c>
      <c r="N410" t="n">
        <v>0</v>
      </c>
      <c r="O410" t="n">
        <v>0</v>
      </c>
      <c r="P410" t="n">
        <v>0</v>
      </c>
      <c r="Q410" t="n">
        <v>0</v>
      </c>
      <c r="R410" s="2" t="inlineStr"/>
    </row>
    <row r="411" ht="15" customHeight="1">
      <c r="A411" t="inlineStr">
        <is>
          <t>A 60541-2024</t>
        </is>
      </c>
      <c r="B411" s="1" t="n">
        <v>45643</v>
      </c>
      <c r="C411" s="1" t="n">
        <v>46193</v>
      </c>
      <c r="D411" t="inlineStr">
        <is>
          <t>VÄSTMANLANDS LÄN</t>
        </is>
      </c>
      <c r="E411" t="inlineStr">
        <is>
          <t>SALA</t>
        </is>
      </c>
      <c r="G411" t="n">
        <v>10.6</v>
      </c>
      <c r="H411" t="n">
        <v>0</v>
      </c>
      <c r="I411" t="n">
        <v>0</v>
      </c>
      <c r="J411" t="n">
        <v>0</v>
      </c>
      <c r="K411" t="n">
        <v>0</v>
      </c>
      <c r="L411" t="n">
        <v>0</v>
      </c>
      <c r="M411" t="n">
        <v>0</v>
      </c>
      <c r="N411" t="n">
        <v>0</v>
      </c>
      <c r="O411" t="n">
        <v>0</v>
      </c>
      <c r="P411" t="n">
        <v>0</v>
      </c>
      <c r="Q411" t="n">
        <v>0</v>
      </c>
      <c r="R411" s="2" t="inlineStr"/>
    </row>
    <row r="412" ht="15" customHeight="1">
      <c r="A412" t="inlineStr">
        <is>
          <t>A 29826-2025</t>
        </is>
      </c>
      <c r="B412" s="1" t="n">
        <v>45825</v>
      </c>
      <c r="C412" s="1" t="n">
        <v>46193</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45187-2024</t>
        </is>
      </c>
      <c r="B413" s="1" t="n">
        <v>45575</v>
      </c>
      <c r="C413" s="1" t="n">
        <v>46193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15968-2024</t>
        </is>
      </c>
      <c r="B414" s="1" t="n">
        <v>45405</v>
      </c>
      <c r="C414" s="1" t="n">
        <v>46193</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3733-2023</t>
        </is>
      </c>
      <c r="B415" s="1" t="n">
        <v>44951</v>
      </c>
      <c r="C415" s="1" t="n">
        <v>46193</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56614-2025</t>
        </is>
      </c>
      <c r="B416" s="1" t="n">
        <v>45975</v>
      </c>
      <c r="C416" s="1" t="n">
        <v>46193</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56611-2025</t>
        </is>
      </c>
      <c r="B417" s="1" t="n">
        <v>45975</v>
      </c>
      <c r="C417" s="1" t="n">
        <v>46193</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44544-2024</t>
        </is>
      </c>
      <c r="B418" s="1" t="n">
        <v>45574</v>
      </c>
      <c r="C418" s="1" t="n">
        <v>46193</v>
      </c>
      <c r="D418" t="inlineStr">
        <is>
          <t>VÄSTMANLANDS LÄN</t>
        </is>
      </c>
      <c r="E418" t="inlineStr">
        <is>
          <t>SALA</t>
        </is>
      </c>
      <c r="G418" t="n">
        <v>3.3</v>
      </c>
      <c r="H418" t="n">
        <v>0</v>
      </c>
      <c r="I418" t="n">
        <v>0</v>
      </c>
      <c r="J418" t="n">
        <v>0</v>
      </c>
      <c r="K418" t="n">
        <v>0</v>
      </c>
      <c r="L418" t="n">
        <v>0</v>
      </c>
      <c r="M418" t="n">
        <v>0</v>
      </c>
      <c r="N418" t="n">
        <v>0</v>
      </c>
      <c r="O418" t="n">
        <v>0</v>
      </c>
      <c r="P418" t="n">
        <v>0</v>
      </c>
      <c r="Q418" t="n">
        <v>0</v>
      </c>
      <c r="R418" s="2" t="inlineStr"/>
    </row>
    <row r="419" ht="15" customHeight="1">
      <c r="A419" t="inlineStr">
        <is>
          <t>A 64729-2023</t>
        </is>
      </c>
      <c r="B419" s="1" t="n">
        <v>45281</v>
      </c>
      <c r="C419" s="1" t="n">
        <v>46193</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57014-2025</t>
        </is>
      </c>
      <c r="B420" s="1" t="n">
        <v>45978</v>
      </c>
      <c r="C420" s="1" t="n">
        <v>46193</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56593-2025</t>
        </is>
      </c>
      <c r="B421" s="1" t="n">
        <v>45975</v>
      </c>
      <c r="C421" s="1" t="n">
        <v>46193</v>
      </c>
      <c r="D421" t="inlineStr">
        <is>
          <t>VÄSTMANLANDS LÄN</t>
        </is>
      </c>
      <c r="E421" t="inlineStr">
        <is>
          <t>SALA</t>
        </is>
      </c>
      <c r="F421" t="inlineStr">
        <is>
          <t>Kyrkan</t>
        </is>
      </c>
      <c r="G421" t="n">
        <v>0.1</v>
      </c>
      <c r="H421" t="n">
        <v>0</v>
      </c>
      <c r="I421" t="n">
        <v>0</v>
      </c>
      <c r="J421" t="n">
        <v>0</v>
      </c>
      <c r="K421" t="n">
        <v>0</v>
      </c>
      <c r="L421" t="n">
        <v>0</v>
      </c>
      <c r="M421" t="n">
        <v>0</v>
      </c>
      <c r="N421" t="n">
        <v>0</v>
      </c>
      <c r="O421" t="n">
        <v>0</v>
      </c>
      <c r="P421" t="n">
        <v>0</v>
      </c>
      <c r="Q421" t="n">
        <v>0</v>
      </c>
      <c r="R421" s="2" t="inlineStr"/>
    </row>
    <row r="422" ht="15" customHeight="1">
      <c r="A422" t="inlineStr">
        <is>
          <t>A 56645-2025</t>
        </is>
      </c>
      <c r="B422" s="1" t="n">
        <v>45975</v>
      </c>
      <c r="C422" s="1" t="n">
        <v>46193</v>
      </c>
      <c r="D422" t="inlineStr">
        <is>
          <t>VÄSTMANLANDS LÄN</t>
        </is>
      </c>
      <c r="E422" t="inlineStr">
        <is>
          <t>SALA</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68864-2021</t>
        </is>
      </c>
      <c r="B423" s="1" t="n">
        <v>44530</v>
      </c>
      <c r="C423" s="1" t="n">
        <v>46193</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32286-2025</t>
        </is>
      </c>
      <c r="B424" s="1" t="n">
        <v>45835</v>
      </c>
      <c r="C424" s="1" t="n">
        <v>46193</v>
      </c>
      <c r="D424" t="inlineStr">
        <is>
          <t>VÄSTMANLANDS LÄN</t>
        </is>
      </c>
      <c r="E424" t="inlineStr">
        <is>
          <t>SALA</t>
        </is>
      </c>
      <c r="G424" t="n">
        <v>6.4</v>
      </c>
      <c r="H424" t="n">
        <v>0</v>
      </c>
      <c r="I424" t="n">
        <v>0</v>
      </c>
      <c r="J424" t="n">
        <v>0</v>
      </c>
      <c r="K424" t="n">
        <v>0</v>
      </c>
      <c r="L424" t="n">
        <v>0</v>
      </c>
      <c r="M424" t="n">
        <v>0</v>
      </c>
      <c r="N424" t="n">
        <v>0</v>
      </c>
      <c r="O424" t="n">
        <v>0</v>
      </c>
      <c r="P424" t="n">
        <v>0</v>
      </c>
      <c r="Q424" t="n">
        <v>0</v>
      </c>
      <c r="R424" s="2" t="inlineStr"/>
    </row>
    <row r="425" ht="15" customHeight="1">
      <c r="A425" t="inlineStr">
        <is>
          <t>A 57412-2025</t>
        </is>
      </c>
      <c r="B425" s="1" t="n">
        <v>45980</v>
      </c>
      <c r="C425" s="1" t="n">
        <v>46193</v>
      </c>
      <c r="D425" t="inlineStr">
        <is>
          <t>VÄSTMANLANDS LÄN</t>
        </is>
      </c>
      <c r="E425" t="inlineStr">
        <is>
          <t>SALA</t>
        </is>
      </c>
      <c r="F425" t="inlineStr">
        <is>
          <t>Bergvik skog öst AB</t>
        </is>
      </c>
      <c r="G425" t="n">
        <v>4.5</v>
      </c>
      <c r="H425" t="n">
        <v>0</v>
      </c>
      <c r="I425" t="n">
        <v>0</v>
      </c>
      <c r="J425" t="n">
        <v>0</v>
      </c>
      <c r="K425" t="n">
        <v>0</v>
      </c>
      <c r="L425" t="n">
        <v>0</v>
      </c>
      <c r="M425" t="n">
        <v>0</v>
      </c>
      <c r="N425" t="n">
        <v>0</v>
      </c>
      <c r="O425" t="n">
        <v>0</v>
      </c>
      <c r="P425" t="n">
        <v>0</v>
      </c>
      <c r="Q425" t="n">
        <v>0</v>
      </c>
      <c r="R425" s="2" t="inlineStr"/>
    </row>
    <row r="426" ht="15" customHeight="1">
      <c r="A426" t="inlineStr">
        <is>
          <t>A 64925-2023</t>
        </is>
      </c>
      <c r="B426" s="1" t="n">
        <v>45282</v>
      </c>
      <c r="C426" s="1" t="n">
        <v>46193</v>
      </c>
      <c r="D426" t="inlineStr">
        <is>
          <t>VÄSTMANLANDS LÄN</t>
        </is>
      </c>
      <c r="E426" t="inlineStr">
        <is>
          <t>SALA</t>
        </is>
      </c>
      <c r="G426" t="n">
        <v>2.5</v>
      </c>
      <c r="H426" t="n">
        <v>0</v>
      </c>
      <c r="I426" t="n">
        <v>0</v>
      </c>
      <c r="J426" t="n">
        <v>0</v>
      </c>
      <c r="K426" t="n">
        <v>0</v>
      </c>
      <c r="L426" t="n">
        <v>0</v>
      </c>
      <c r="M426" t="n">
        <v>0</v>
      </c>
      <c r="N426" t="n">
        <v>0</v>
      </c>
      <c r="O426" t="n">
        <v>0</v>
      </c>
      <c r="P426" t="n">
        <v>0</v>
      </c>
      <c r="Q426" t="n">
        <v>0</v>
      </c>
      <c r="R426" s="2" t="inlineStr"/>
    </row>
    <row r="427" ht="15" customHeight="1">
      <c r="A427" t="inlineStr">
        <is>
          <t>A 57414-2025</t>
        </is>
      </c>
      <c r="B427" s="1" t="n">
        <v>45980</v>
      </c>
      <c r="C427" s="1" t="n">
        <v>46193</v>
      </c>
      <c r="D427" t="inlineStr">
        <is>
          <t>VÄSTMANLANDS LÄN</t>
        </is>
      </c>
      <c r="E427" t="inlineStr">
        <is>
          <t>SALA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57415-2025</t>
        </is>
      </c>
      <c r="B428" s="1" t="n">
        <v>45980</v>
      </c>
      <c r="C428" s="1" t="n">
        <v>46193</v>
      </c>
      <c r="D428" t="inlineStr">
        <is>
          <t>VÄSTMANLANDS LÄN</t>
        </is>
      </c>
      <c r="E428" t="inlineStr">
        <is>
          <t>SALA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58357-2025</t>
        </is>
      </c>
      <c r="B429" s="1" t="n">
        <v>45985</v>
      </c>
      <c r="C429" s="1" t="n">
        <v>46193</v>
      </c>
      <c r="D429" t="inlineStr">
        <is>
          <t>VÄSTMANLANDS LÄN</t>
        </is>
      </c>
      <c r="E429" t="inlineStr">
        <is>
          <t>SALA</t>
        </is>
      </c>
      <c r="G429" t="n">
        <v>3</v>
      </c>
      <c r="H429" t="n">
        <v>0</v>
      </c>
      <c r="I429" t="n">
        <v>0</v>
      </c>
      <c r="J429" t="n">
        <v>0</v>
      </c>
      <c r="K429" t="n">
        <v>0</v>
      </c>
      <c r="L429" t="n">
        <v>0</v>
      </c>
      <c r="M429" t="n">
        <v>0</v>
      </c>
      <c r="N429" t="n">
        <v>0</v>
      </c>
      <c r="O429" t="n">
        <v>0</v>
      </c>
      <c r="P429" t="n">
        <v>0</v>
      </c>
      <c r="Q429" t="n">
        <v>0</v>
      </c>
      <c r="R429" s="2" t="inlineStr"/>
    </row>
    <row r="430" ht="15" customHeight="1">
      <c r="A430" t="inlineStr">
        <is>
          <t>A 34069-2025</t>
        </is>
      </c>
      <c r="B430" s="1" t="n">
        <v>45845</v>
      </c>
      <c r="C430" s="1" t="n">
        <v>46193</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c r="U430">
        <f>HYPERLINK("https://klasma.github.io/Logging_1981/knärot/A 34069-2025 karta knärot.png", "A 34069-2025")</f>
        <v/>
      </c>
      <c r="V430">
        <f>HYPERLINK("https://klasma.github.io/Logging_1981/klagomål/A 34069-2025 FSC-klagomål.docx", "A 34069-2025")</f>
        <v/>
      </c>
      <c r="W430">
        <f>HYPERLINK("https://klasma.github.io/Logging_1981/klagomålsmail/A 34069-2025 FSC-klagomål mail.docx", "A 34069-2025")</f>
        <v/>
      </c>
      <c r="X430">
        <f>HYPERLINK("https://klasma.github.io/Logging_1981/tillsyn/A 34069-2025 tillsynsbegäran.docx", "A 34069-2025")</f>
        <v/>
      </c>
      <c r="Y430">
        <f>HYPERLINK("https://klasma.github.io/Logging_1981/tillsynsmail/A 34069-2025 tillsynsbegäran mail.docx", "A 34069-2025")</f>
        <v/>
      </c>
    </row>
    <row r="431" ht="15" customHeight="1">
      <c r="A431" t="inlineStr">
        <is>
          <t>A 55760-2025</t>
        </is>
      </c>
      <c r="B431" s="1" t="n">
        <v>45972</v>
      </c>
      <c r="C431" s="1" t="n">
        <v>46193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58365-2025</t>
        </is>
      </c>
      <c r="B432" s="1" t="n">
        <v>45985</v>
      </c>
      <c r="C432" s="1" t="n">
        <v>46193</v>
      </c>
      <c r="D432" t="inlineStr">
        <is>
          <t>VÄSTMANLANDS LÄN</t>
        </is>
      </c>
      <c r="E432" t="inlineStr">
        <is>
          <t>SALA</t>
        </is>
      </c>
      <c r="G432" t="n">
        <v>3.9</v>
      </c>
      <c r="H432" t="n">
        <v>0</v>
      </c>
      <c r="I432" t="n">
        <v>0</v>
      </c>
      <c r="J432" t="n">
        <v>0</v>
      </c>
      <c r="K432" t="n">
        <v>0</v>
      </c>
      <c r="L432" t="n">
        <v>0</v>
      </c>
      <c r="M432" t="n">
        <v>0</v>
      </c>
      <c r="N432" t="n">
        <v>0</v>
      </c>
      <c r="O432" t="n">
        <v>0</v>
      </c>
      <c r="P432" t="n">
        <v>0</v>
      </c>
      <c r="Q432" t="n">
        <v>0</v>
      </c>
      <c r="R432" s="2" t="inlineStr"/>
    </row>
    <row r="433" ht="15" customHeight="1">
      <c r="A433" t="inlineStr">
        <is>
          <t>A 54603-2024</t>
        </is>
      </c>
      <c r="B433" s="1" t="n">
        <v>45617</v>
      </c>
      <c r="C433" s="1" t="n">
        <v>46193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58359-2025</t>
        </is>
      </c>
      <c r="B434" s="1" t="n">
        <v>45985</v>
      </c>
      <c r="C434" s="1" t="n">
        <v>46193</v>
      </c>
      <c r="D434" t="inlineStr">
        <is>
          <t>VÄSTMANLANDS LÄN</t>
        </is>
      </c>
      <c r="E434" t="inlineStr">
        <is>
          <t>SALA</t>
        </is>
      </c>
      <c r="G434" t="n">
        <v>3.7</v>
      </c>
      <c r="H434" t="n">
        <v>0</v>
      </c>
      <c r="I434" t="n">
        <v>0</v>
      </c>
      <c r="J434" t="n">
        <v>0</v>
      </c>
      <c r="K434" t="n">
        <v>0</v>
      </c>
      <c r="L434" t="n">
        <v>0</v>
      </c>
      <c r="M434" t="n">
        <v>0</v>
      </c>
      <c r="N434" t="n">
        <v>0</v>
      </c>
      <c r="O434" t="n">
        <v>0</v>
      </c>
      <c r="P434" t="n">
        <v>0</v>
      </c>
      <c r="Q434" t="n">
        <v>0</v>
      </c>
      <c r="R434" s="2" t="inlineStr"/>
    </row>
    <row r="435" ht="15" customHeight="1">
      <c r="A435" t="inlineStr">
        <is>
          <t>A 58364-2025</t>
        </is>
      </c>
      <c r="B435" s="1" t="n">
        <v>45985</v>
      </c>
      <c r="C435" s="1" t="n">
        <v>46193</v>
      </c>
      <c r="D435" t="inlineStr">
        <is>
          <t>VÄSTMANLANDS LÄN</t>
        </is>
      </c>
      <c r="E435" t="inlineStr">
        <is>
          <t>SALA</t>
        </is>
      </c>
      <c r="G435" t="n">
        <v>2.1</v>
      </c>
      <c r="H435" t="n">
        <v>0</v>
      </c>
      <c r="I435" t="n">
        <v>0</v>
      </c>
      <c r="J435" t="n">
        <v>0</v>
      </c>
      <c r="K435" t="n">
        <v>0</v>
      </c>
      <c r="L435" t="n">
        <v>0</v>
      </c>
      <c r="M435" t="n">
        <v>0</v>
      </c>
      <c r="N435" t="n">
        <v>0</v>
      </c>
      <c r="O435" t="n">
        <v>0</v>
      </c>
      <c r="P435" t="n">
        <v>0</v>
      </c>
      <c r="Q435" t="n">
        <v>0</v>
      </c>
      <c r="R435" s="2" t="inlineStr"/>
    </row>
    <row r="436" ht="15" customHeight="1">
      <c r="A436" t="inlineStr">
        <is>
          <t>A 18762-2024</t>
        </is>
      </c>
      <c r="B436" s="1" t="n">
        <v>45426</v>
      </c>
      <c r="C436" s="1" t="n">
        <v>46193</v>
      </c>
      <c r="D436" t="inlineStr">
        <is>
          <t>VÄSTMANLANDS LÄN</t>
        </is>
      </c>
      <c r="E436" t="inlineStr">
        <is>
          <t>SALA</t>
        </is>
      </c>
      <c r="G436" t="n">
        <v>6.2</v>
      </c>
      <c r="H436" t="n">
        <v>0</v>
      </c>
      <c r="I436" t="n">
        <v>0</v>
      </c>
      <c r="J436" t="n">
        <v>0</v>
      </c>
      <c r="K436" t="n">
        <v>0</v>
      </c>
      <c r="L436" t="n">
        <v>0</v>
      </c>
      <c r="M436" t="n">
        <v>0</v>
      </c>
      <c r="N436" t="n">
        <v>0</v>
      </c>
      <c r="O436" t="n">
        <v>0</v>
      </c>
      <c r="P436" t="n">
        <v>0</v>
      </c>
      <c r="Q436" t="n">
        <v>0</v>
      </c>
      <c r="R436" s="2" t="inlineStr"/>
    </row>
    <row r="437" ht="15" customHeight="1">
      <c r="A437" t="inlineStr">
        <is>
          <t>A 42938-2023</t>
        </is>
      </c>
      <c r="B437" s="1" t="n">
        <v>45179</v>
      </c>
      <c r="C437" s="1" t="n">
        <v>46193</v>
      </c>
      <c r="D437" t="inlineStr">
        <is>
          <t>VÄSTMANLANDS LÄN</t>
        </is>
      </c>
      <c r="E437" t="inlineStr">
        <is>
          <t>SALA</t>
        </is>
      </c>
      <c r="G437" t="n">
        <v>10.9</v>
      </c>
      <c r="H437" t="n">
        <v>0</v>
      </c>
      <c r="I437" t="n">
        <v>0</v>
      </c>
      <c r="J437" t="n">
        <v>0</v>
      </c>
      <c r="K437" t="n">
        <v>0</v>
      </c>
      <c r="L437" t="n">
        <v>0</v>
      </c>
      <c r="M437" t="n">
        <v>0</v>
      </c>
      <c r="N437" t="n">
        <v>0</v>
      </c>
      <c r="O437" t="n">
        <v>0</v>
      </c>
      <c r="P437" t="n">
        <v>0</v>
      </c>
      <c r="Q437" t="n">
        <v>0</v>
      </c>
      <c r="R437" s="2" t="inlineStr"/>
    </row>
    <row r="438" ht="15" customHeight="1">
      <c r="A438" t="inlineStr">
        <is>
          <t>A 42984-2023</t>
        </is>
      </c>
      <c r="B438" s="1" t="n">
        <v>45179</v>
      </c>
      <c r="C438" s="1" t="n">
        <v>46193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15972-2024</t>
        </is>
      </c>
      <c r="B439" s="1" t="n">
        <v>45405</v>
      </c>
      <c r="C439" s="1" t="n">
        <v>46193</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39714-2023</t>
        </is>
      </c>
      <c r="B440" s="1" t="n">
        <v>45167</v>
      </c>
      <c r="C440" s="1" t="n">
        <v>46193</v>
      </c>
      <c r="D440" t="inlineStr">
        <is>
          <t>VÄSTMANLANDS LÄN</t>
        </is>
      </c>
      <c r="E440" t="inlineStr">
        <is>
          <t>SALA</t>
        </is>
      </c>
      <c r="G440" t="n">
        <v>1.3</v>
      </c>
      <c r="H440" t="n">
        <v>0</v>
      </c>
      <c r="I440" t="n">
        <v>0</v>
      </c>
      <c r="J440" t="n">
        <v>0</v>
      </c>
      <c r="K440" t="n">
        <v>0</v>
      </c>
      <c r="L440" t="n">
        <v>0</v>
      </c>
      <c r="M440" t="n">
        <v>0</v>
      </c>
      <c r="N440" t="n">
        <v>0</v>
      </c>
      <c r="O440" t="n">
        <v>0</v>
      </c>
      <c r="P440" t="n">
        <v>0</v>
      </c>
      <c r="Q440" t="n">
        <v>0</v>
      </c>
      <c r="R440" s="2" t="inlineStr"/>
    </row>
    <row r="441" ht="15" customHeight="1">
      <c r="A441" t="inlineStr">
        <is>
          <t>A 59390-2025</t>
        </is>
      </c>
      <c r="B441" s="1" t="n">
        <v>45989</v>
      </c>
      <c r="C441" s="1" t="n">
        <v>46193</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59385-2025</t>
        </is>
      </c>
      <c r="B442" s="1" t="n">
        <v>45989</v>
      </c>
      <c r="C442" s="1" t="n">
        <v>46193</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33527-2023</t>
        </is>
      </c>
      <c r="B443" s="1" t="n">
        <v>45131</v>
      </c>
      <c r="C443" s="1" t="n">
        <v>46193</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10913-2025</t>
        </is>
      </c>
      <c r="B444" s="1" t="n">
        <v>45722</v>
      </c>
      <c r="C444" s="1" t="n">
        <v>46193</v>
      </c>
      <c r="D444" t="inlineStr">
        <is>
          <t>VÄSTMANLANDS LÄN</t>
        </is>
      </c>
      <c r="E444" t="inlineStr">
        <is>
          <t>SALA</t>
        </is>
      </c>
      <c r="G444" t="n">
        <v>7.6</v>
      </c>
      <c r="H444" t="n">
        <v>0</v>
      </c>
      <c r="I444" t="n">
        <v>0</v>
      </c>
      <c r="J444" t="n">
        <v>0</v>
      </c>
      <c r="K444" t="n">
        <v>0</v>
      </c>
      <c r="L444" t="n">
        <v>0</v>
      </c>
      <c r="M444" t="n">
        <v>0</v>
      </c>
      <c r="N444" t="n">
        <v>0</v>
      </c>
      <c r="O444" t="n">
        <v>0</v>
      </c>
      <c r="P444" t="n">
        <v>0</v>
      </c>
      <c r="Q444" t="n">
        <v>0</v>
      </c>
      <c r="R444" s="2" t="inlineStr"/>
    </row>
    <row r="445" ht="15" customHeight="1">
      <c r="A445" t="inlineStr">
        <is>
          <t>A 58107-2021</t>
        </is>
      </c>
      <c r="B445" s="1" t="n">
        <v>44487</v>
      </c>
      <c r="C445" s="1" t="n">
        <v>46193</v>
      </c>
      <c r="D445" t="inlineStr">
        <is>
          <t>VÄSTMANLANDS LÄN</t>
        </is>
      </c>
      <c r="E445" t="inlineStr">
        <is>
          <t>SALA</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60017-2025</t>
        </is>
      </c>
      <c r="B446" s="1" t="n">
        <v>45993</v>
      </c>
      <c r="C446" s="1" t="n">
        <v>46193</v>
      </c>
      <c r="D446" t="inlineStr">
        <is>
          <t>VÄSTMANLANDS LÄN</t>
        </is>
      </c>
      <c r="E446" t="inlineStr">
        <is>
          <t>SALA</t>
        </is>
      </c>
      <c r="G446" t="n">
        <v>4.4</v>
      </c>
      <c r="H446" t="n">
        <v>0</v>
      </c>
      <c r="I446" t="n">
        <v>0</v>
      </c>
      <c r="J446" t="n">
        <v>0</v>
      </c>
      <c r="K446" t="n">
        <v>0</v>
      </c>
      <c r="L446" t="n">
        <v>0</v>
      </c>
      <c r="M446" t="n">
        <v>0</v>
      </c>
      <c r="N446" t="n">
        <v>0</v>
      </c>
      <c r="O446" t="n">
        <v>0</v>
      </c>
      <c r="P446" t="n">
        <v>0</v>
      </c>
      <c r="Q446" t="n">
        <v>0</v>
      </c>
      <c r="R446" s="2" t="inlineStr"/>
    </row>
    <row r="447" ht="15" customHeight="1">
      <c r="A447" t="inlineStr">
        <is>
          <t>A 60258-2025</t>
        </is>
      </c>
      <c r="B447" s="1" t="n">
        <v>45994</v>
      </c>
      <c r="C447" s="1" t="n">
        <v>46193</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60259-2025</t>
        </is>
      </c>
      <c r="B448" s="1" t="n">
        <v>45994</v>
      </c>
      <c r="C448" s="1" t="n">
        <v>46193</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60246-2025</t>
        </is>
      </c>
      <c r="B449" s="1" t="n">
        <v>45994</v>
      </c>
      <c r="C449" s="1" t="n">
        <v>46193</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60254-2025</t>
        </is>
      </c>
      <c r="B450" s="1" t="n">
        <v>45994</v>
      </c>
      <c r="C450" s="1" t="n">
        <v>46193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2927-2024</t>
        </is>
      </c>
      <c r="B451" s="1" t="n">
        <v>45315</v>
      </c>
      <c r="C451" s="1" t="n">
        <v>46193</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59926-2025</t>
        </is>
      </c>
      <c r="B452" s="1" t="n">
        <v>45993</v>
      </c>
      <c r="C452" s="1" t="n">
        <v>46193</v>
      </c>
      <c r="D452" t="inlineStr">
        <is>
          <t>VÄSTMANLANDS LÄN</t>
        </is>
      </c>
      <c r="E452" t="inlineStr">
        <is>
          <t>SALA</t>
        </is>
      </c>
      <c r="G452" t="n">
        <v>7.1</v>
      </c>
      <c r="H452" t="n">
        <v>0</v>
      </c>
      <c r="I452" t="n">
        <v>0</v>
      </c>
      <c r="J452" t="n">
        <v>0</v>
      </c>
      <c r="K452" t="n">
        <v>0</v>
      </c>
      <c r="L452" t="n">
        <v>0</v>
      </c>
      <c r="M452" t="n">
        <v>0</v>
      </c>
      <c r="N452" t="n">
        <v>0</v>
      </c>
      <c r="O452" t="n">
        <v>0</v>
      </c>
      <c r="P452" t="n">
        <v>0</v>
      </c>
      <c r="Q452" t="n">
        <v>0</v>
      </c>
      <c r="R452" s="2" t="inlineStr"/>
    </row>
    <row r="453" ht="15" customHeight="1">
      <c r="A453" t="inlineStr">
        <is>
          <t>A 36049-2025</t>
        </is>
      </c>
      <c r="B453" s="1" t="n">
        <v>45866</v>
      </c>
      <c r="C453" s="1" t="n">
        <v>46193</v>
      </c>
      <c r="D453" t="inlineStr">
        <is>
          <t>VÄSTMANLANDS LÄN</t>
        </is>
      </c>
      <c r="E453" t="inlineStr">
        <is>
          <t>SALA</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37183-2024</t>
        </is>
      </c>
      <c r="B454" s="1" t="n">
        <v>45539</v>
      </c>
      <c r="C454" s="1" t="n">
        <v>46193</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36045-2025</t>
        </is>
      </c>
      <c r="B455" s="1" t="n">
        <v>45866</v>
      </c>
      <c r="C455" s="1" t="n">
        <v>46193</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54199-2024</t>
        </is>
      </c>
      <c r="B456" s="1" t="n">
        <v>45616</v>
      </c>
      <c r="C456" s="1" t="n">
        <v>46193</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60548-2024</t>
        </is>
      </c>
      <c r="B457" s="1" t="n">
        <v>45643</v>
      </c>
      <c r="C457" s="1" t="n">
        <v>46193</v>
      </c>
      <c r="D457" t="inlineStr">
        <is>
          <t>VÄSTMANLANDS LÄN</t>
        </is>
      </c>
      <c r="E457" t="inlineStr">
        <is>
          <t>SALA</t>
        </is>
      </c>
      <c r="G457" t="n">
        <v>1.6</v>
      </c>
      <c r="H457" t="n">
        <v>0</v>
      </c>
      <c r="I457" t="n">
        <v>0</v>
      </c>
      <c r="J457" t="n">
        <v>0</v>
      </c>
      <c r="K457" t="n">
        <v>0</v>
      </c>
      <c r="L457" t="n">
        <v>0</v>
      </c>
      <c r="M457" t="n">
        <v>0</v>
      </c>
      <c r="N457" t="n">
        <v>0</v>
      </c>
      <c r="O457" t="n">
        <v>0</v>
      </c>
      <c r="P457" t="n">
        <v>0</v>
      </c>
      <c r="Q457" t="n">
        <v>0</v>
      </c>
      <c r="R457" s="2" t="inlineStr"/>
    </row>
    <row r="458" ht="15" customHeight="1">
      <c r="A458" t="inlineStr">
        <is>
          <t>A 31869-2025</t>
        </is>
      </c>
      <c r="B458" s="1" t="n">
        <v>45834</v>
      </c>
      <c r="C458" s="1" t="n">
        <v>46193</v>
      </c>
      <c r="D458" t="inlineStr">
        <is>
          <t>VÄSTMANLANDS LÄN</t>
        </is>
      </c>
      <c r="E458" t="inlineStr">
        <is>
          <t>SALA</t>
        </is>
      </c>
      <c r="G458" t="n">
        <v>17.5</v>
      </c>
      <c r="H458" t="n">
        <v>0</v>
      </c>
      <c r="I458" t="n">
        <v>0</v>
      </c>
      <c r="J458" t="n">
        <v>0</v>
      </c>
      <c r="K458" t="n">
        <v>0</v>
      </c>
      <c r="L458" t="n">
        <v>0</v>
      </c>
      <c r="M458" t="n">
        <v>0</v>
      </c>
      <c r="N458" t="n">
        <v>0</v>
      </c>
      <c r="O458" t="n">
        <v>0</v>
      </c>
      <c r="P458" t="n">
        <v>0</v>
      </c>
      <c r="Q458" t="n">
        <v>0</v>
      </c>
      <c r="R458" s="2" t="inlineStr"/>
    </row>
    <row r="459" ht="15" customHeight="1">
      <c r="A459" t="inlineStr">
        <is>
          <t>A 21435-2026</t>
        </is>
      </c>
      <c r="B459" s="1" t="n">
        <v>46148</v>
      </c>
      <c r="C459" s="1" t="n">
        <v>46193</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31863-2025</t>
        </is>
      </c>
      <c r="B460" s="1" t="n">
        <v>45834</v>
      </c>
      <c r="C460" s="1" t="n">
        <v>46193</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7664-2023</t>
        </is>
      </c>
      <c r="B461" s="1" t="n">
        <v>44972</v>
      </c>
      <c r="C461" s="1" t="n">
        <v>46193</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3546-2025</t>
        </is>
      </c>
      <c r="B462" s="1" t="n">
        <v>45680</v>
      </c>
      <c r="C462" s="1" t="n">
        <v>46193</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57895-2024</t>
        </is>
      </c>
      <c r="B463" s="1" t="n">
        <v>45631</v>
      </c>
      <c r="C463" s="1" t="n">
        <v>46193</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31597-2024</t>
        </is>
      </c>
      <c r="B464" s="1" t="n">
        <v>45506</v>
      </c>
      <c r="C464" s="1" t="n">
        <v>46193</v>
      </c>
      <c r="D464" t="inlineStr">
        <is>
          <t>VÄSTMANLANDS LÄN</t>
        </is>
      </c>
      <c r="E464" t="inlineStr">
        <is>
          <t>SALA</t>
        </is>
      </c>
      <c r="G464" t="n">
        <v>2.4</v>
      </c>
      <c r="H464" t="n">
        <v>0</v>
      </c>
      <c r="I464" t="n">
        <v>0</v>
      </c>
      <c r="J464" t="n">
        <v>0</v>
      </c>
      <c r="K464" t="n">
        <v>0</v>
      </c>
      <c r="L464" t="n">
        <v>0</v>
      </c>
      <c r="M464" t="n">
        <v>0</v>
      </c>
      <c r="N464" t="n">
        <v>0</v>
      </c>
      <c r="O464" t="n">
        <v>0</v>
      </c>
      <c r="P464" t="n">
        <v>0</v>
      </c>
      <c r="Q464" t="n">
        <v>0</v>
      </c>
      <c r="R464" s="2" t="inlineStr"/>
    </row>
    <row r="465" ht="15" customHeight="1">
      <c r="A465" t="inlineStr">
        <is>
          <t>A 17458-2024</t>
        </is>
      </c>
      <c r="B465" s="1" t="n">
        <v>45415</v>
      </c>
      <c r="C465" s="1" t="n">
        <v>46193</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27431-2026</t>
        </is>
      </c>
      <c r="B466" s="1" t="n">
        <v>46189</v>
      </c>
      <c r="C466" s="1" t="n">
        <v>46193</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56543-2024</t>
        </is>
      </c>
      <c r="B467" s="1" t="n">
        <v>45625</v>
      </c>
      <c r="C467" s="1" t="n">
        <v>46193</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2529-2022</t>
        </is>
      </c>
      <c r="B468" s="1" t="n">
        <v>44579</v>
      </c>
      <c r="C468" s="1" t="n">
        <v>46193</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56540-2024</t>
        </is>
      </c>
      <c r="B469" s="1" t="n">
        <v>45625</v>
      </c>
      <c r="C469" s="1" t="n">
        <v>46193</v>
      </c>
      <c r="D469" t="inlineStr">
        <is>
          <t>VÄSTMANLANDS LÄN</t>
        </is>
      </c>
      <c r="E469" t="inlineStr">
        <is>
          <t>SALA</t>
        </is>
      </c>
      <c r="G469" t="n">
        <v>1.8</v>
      </c>
      <c r="H469" t="n">
        <v>0</v>
      </c>
      <c r="I469" t="n">
        <v>0</v>
      </c>
      <c r="J469" t="n">
        <v>0</v>
      </c>
      <c r="K469" t="n">
        <v>0</v>
      </c>
      <c r="L469" t="n">
        <v>0</v>
      </c>
      <c r="M469" t="n">
        <v>0</v>
      </c>
      <c r="N469" t="n">
        <v>0</v>
      </c>
      <c r="O469" t="n">
        <v>0</v>
      </c>
      <c r="P469" t="n">
        <v>0</v>
      </c>
      <c r="Q469" t="n">
        <v>0</v>
      </c>
      <c r="R469" s="2" t="inlineStr"/>
    </row>
    <row r="470" ht="15" customHeight="1">
      <c r="A470" t="inlineStr">
        <is>
          <t>A 62523-2025</t>
        </is>
      </c>
      <c r="B470" s="1" t="n">
        <v>46007</v>
      </c>
      <c r="C470" s="1" t="n">
        <v>46193</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31599-2024</t>
        </is>
      </c>
      <c r="B471" s="1" t="n">
        <v>45506</v>
      </c>
      <c r="C471" s="1" t="n">
        <v>46193</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31601-2024</t>
        </is>
      </c>
      <c r="B472" s="1" t="n">
        <v>45506</v>
      </c>
      <c r="C472" s="1" t="n">
        <v>46193</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31608-2024</t>
        </is>
      </c>
      <c r="B473" s="1" t="n">
        <v>45506</v>
      </c>
      <c r="C473" s="1" t="n">
        <v>46193</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31612-2024</t>
        </is>
      </c>
      <c r="B474" s="1" t="n">
        <v>45506</v>
      </c>
      <c r="C474" s="1" t="n">
        <v>46193</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37017-2025</t>
        </is>
      </c>
      <c r="B475" s="1" t="n">
        <v>45874</v>
      </c>
      <c r="C475" s="1" t="n">
        <v>46193</v>
      </c>
      <c r="D475" t="inlineStr">
        <is>
          <t>VÄSTMANLANDS LÄN</t>
        </is>
      </c>
      <c r="E475" t="inlineStr">
        <is>
          <t>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10579-2022</t>
        </is>
      </c>
      <c r="B476" s="1" t="n">
        <v>44624</v>
      </c>
      <c r="C476" s="1" t="n">
        <v>46193</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37246-2025</t>
        </is>
      </c>
      <c r="B477" s="1" t="n">
        <v>45876</v>
      </c>
      <c r="C477" s="1" t="n">
        <v>46193</v>
      </c>
      <c r="D477" t="inlineStr">
        <is>
          <t>VÄSTMANLANDS LÄN</t>
        </is>
      </c>
      <c r="E477" t="inlineStr">
        <is>
          <t>SALA</t>
        </is>
      </c>
      <c r="G477" t="n">
        <v>2.3</v>
      </c>
      <c r="H477" t="n">
        <v>0</v>
      </c>
      <c r="I477" t="n">
        <v>0</v>
      </c>
      <c r="J477" t="n">
        <v>0</v>
      </c>
      <c r="K477" t="n">
        <v>0</v>
      </c>
      <c r="L477" t="n">
        <v>0</v>
      </c>
      <c r="M477" t="n">
        <v>0</v>
      </c>
      <c r="N477" t="n">
        <v>0</v>
      </c>
      <c r="O477" t="n">
        <v>0</v>
      </c>
      <c r="P477" t="n">
        <v>0</v>
      </c>
      <c r="Q477" t="n">
        <v>0</v>
      </c>
      <c r="R477" s="2" t="inlineStr"/>
    </row>
    <row r="478" ht="15" customHeight="1">
      <c r="A478" t="inlineStr">
        <is>
          <t>A 64693-2023</t>
        </is>
      </c>
      <c r="B478" s="1" t="n">
        <v>45281</v>
      </c>
      <c r="C478" s="1" t="n">
        <v>46193</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64695-2023</t>
        </is>
      </c>
      <c r="B479" s="1" t="n">
        <v>45281</v>
      </c>
      <c r="C479" s="1" t="n">
        <v>46193</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63055-2025</t>
        </is>
      </c>
      <c r="B480" s="1" t="n">
        <v>46009</v>
      </c>
      <c r="C480" s="1" t="n">
        <v>46193</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63046-2025</t>
        </is>
      </c>
      <c r="B481" s="1" t="n">
        <v>46009</v>
      </c>
      <c r="C481" s="1" t="n">
        <v>46193</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37590-2025</t>
        </is>
      </c>
      <c r="B482" s="1" t="n">
        <v>45880</v>
      </c>
      <c r="C482" s="1" t="n">
        <v>46193</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43359-2024</t>
        </is>
      </c>
      <c r="B483" s="1" t="n">
        <v>45568</v>
      </c>
      <c r="C483" s="1" t="n">
        <v>46193</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29542-2023</t>
        </is>
      </c>
      <c r="B484" s="1" t="n">
        <v>45098</v>
      </c>
      <c r="C484" s="1" t="n">
        <v>46193</v>
      </c>
      <c r="D484" t="inlineStr">
        <is>
          <t>VÄSTMANLANDS LÄN</t>
        </is>
      </c>
      <c r="E484" t="inlineStr">
        <is>
          <t>SALA</t>
        </is>
      </c>
      <c r="G484" t="n">
        <v>4.8</v>
      </c>
      <c r="H484" t="n">
        <v>0</v>
      </c>
      <c r="I484" t="n">
        <v>0</v>
      </c>
      <c r="J484" t="n">
        <v>0</v>
      </c>
      <c r="K484" t="n">
        <v>0</v>
      </c>
      <c r="L484" t="n">
        <v>0</v>
      </c>
      <c r="M484" t="n">
        <v>0</v>
      </c>
      <c r="N484" t="n">
        <v>0</v>
      </c>
      <c r="O484" t="n">
        <v>0</v>
      </c>
      <c r="P484" t="n">
        <v>0</v>
      </c>
      <c r="Q484" t="n">
        <v>0</v>
      </c>
      <c r="R484" s="2" t="inlineStr"/>
    </row>
    <row r="485" ht="15" customHeight="1">
      <c r="A485" t="inlineStr">
        <is>
          <t>A 27038-2023</t>
        </is>
      </c>
      <c r="B485" s="1" t="n">
        <v>45095</v>
      </c>
      <c r="C485" s="1" t="n">
        <v>46193</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63749-2025</t>
        </is>
      </c>
      <c r="B486" s="1" t="n">
        <v>46017</v>
      </c>
      <c r="C486" s="1" t="n">
        <v>46193</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63748-2025</t>
        </is>
      </c>
      <c r="B487" s="1" t="n">
        <v>46017</v>
      </c>
      <c r="C487" s="1" t="n">
        <v>46193</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910-2026</t>
        </is>
      </c>
      <c r="B488" s="1" t="n">
        <v>46030</v>
      </c>
      <c r="C488" s="1" t="n">
        <v>46193</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914-2026</t>
        </is>
      </c>
      <c r="B489" s="1" t="n">
        <v>46030</v>
      </c>
      <c r="C489" s="1" t="n">
        <v>46193</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948-2026</t>
        </is>
      </c>
      <c r="B490" s="1" t="n">
        <v>46030</v>
      </c>
      <c r="C490" s="1" t="n">
        <v>46193</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57404-2024</t>
        </is>
      </c>
      <c r="B491" s="1" t="n">
        <v>45629</v>
      </c>
      <c r="C491" s="1" t="n">
        <v>46193</v>
      </c>
      <c r="D491" t="inlineStr">
        <is>
          <t>VÄSTMANLANDS LÄN</t>
        </is>
      </c>
      <c r="E491" t="inlineStr">
        <is>
          <t>SALA</t>
        </is>
      </c>
      <c r="G491" t="n">
        <v>0.3</v>
      </c>
      <c r="H491" t="n">
        <v>0</v>
      </c>
      <c r="I491" t="n">
        <v>0</v>
      </c>
      <c r="J491" t="n">
        <v>0</v>
      </c>
      <c r="K491" t="n">
        <v>0</v>
      </c>
      <c r="L491" t="n">
        <v>0</v>
      </c>
      <c r="M491" t="n">
        <v>0</v>
      </c>
      <c r="N491" t="n">
        <v>0</v>
      </c>
      <c r="O491" t="n">
        <v>0</v>
      </c>
      <c r="P491" t="n">
        <v>0</v>
      </c>
      <c r="Q491" t="n">
        <v>0</v>
      </c>
      <c r="R491" s="2" t="inlineStr"/>
    </row>
    <row r="492" ht="15" customHeight="1">
      <c r="A492" t="inlineStr">
        <is>
          <t>A 21777-2022</t>
        </is>
      </c>
      <c r="B492" s="1" t="n">
        <v>44708</v>
      </c>
      <c r="C492" s="1" t="n">
        <v>46193</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33732-2023</t>
        </is>
      </c>
      <c r="B493" s="1" t="n">
        <v>45133</v>
      </c>
      <c r="C493" s="1" t="n">
        <v>46193</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1705-2026</t>
        </is>
      </c>
      <c r="B494" s="1" t="n">
        <v>46034</v>
      </c>
      <c r="C494" s="1" t="n">
        <v>46193</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44857-2023</t>
        </is>
      </c>
      <c r="B495" s="1" t="n">
        <v>45190</v>
      </c>
      <c r="C495" s="1" t="n">
        <v>46193</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46352-2023</t>
        </is>
      </c>
      <c r="B496" s="1" t="n">
        <v>45192</v>
      </c>
      <c r="C496" s="1" t="n">
        <v>46193</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22397-2022</t>
        </is>
      </c>
      <c r="B497" s="1" t="n">
        <v>44713</v>
      </c>
      <c r="C497" s="1" t="n">
        <v>46193</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27424-2023</t>
        </is>
      </c>
      <c r="B498" s="1" t="n">
        <v>45097</v>
      </c>
      <c r="C498" s="1" t="n">
        <v>46193</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7469-2025</t>
        </is>
      </c>
      <c r="B499" s="1" t="n">
        <v>45705</v>
      </c>
      <c r="C499" s="1" t="n">
        <v>46193</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43188-2023</t>
        </is>
      </c>
      <c r="B500" s="1" t="n">
        <v>45183</v>
      </c>
      <c r="C500" s="1" t="n">
        <v>46193</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43205-2023</t>
        </is>
      </c>
      <c r="B501" s="1" t="n">
        <v>45183</v>
      </c>
      <c r="C501" s="1" t="n">
        <v>46193</v>
      </c>
      <c r="D501" t="inlineStr">
        <is>
          <t>VÄSTMANLANDS LÄN</t>
        </is>
      </c>
      <c r="E501" t="inlineStr">
        <is>
          <t>SALA</t>
        </is>
      </c>
      <c r="G501" t="n">
        <v>2.1</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46193</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59297-2023</t>
        </is>
      </c>
      <c r="B503" s="1" t="n">
        <v>45253</v>
      </c>
      <c r="C503" s="1" t="n">
        <v>46193</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28863-2022</t>
        </is>
      </c>
      <c r="B504" s="1" t="n">
        <v>44749</v>
      </c>
      <c r="C504" s="1" t="n">
        <v>46193</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25541-2024</t>
        </is>
      </c>
      <c r="B505" s="1" t="n">
        <v>45463</v>
      </c>
      <c r="C505" s="1" t="n">
        <v>46193</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4664-2026</t>
        </is>
      </c>
      <c r="B506" s="1" t="n">
        <v>46048</v>
      </c>
      <c r="C506" s="1" t="n">
        <v>46193</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29213-2022</t>
        </is>
      </c>
      <c r="B507" s="1" t="n">
        <v>44750</v>
      </c>
      <c r="C507" s="1" t="n">
        <v>46193</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4624-2026</t>
        </is>
      </c>
      <c r="B508" s="1" t="n">
        <v>46048</v>
      </c>
      <c r="C508" s="1" t="n">
        <v>46193</v>
      </c>
      <c r="D508" t="inlineStr">
        <is>
          <t>VÄSTMANLANDS LÄN</t>
        </is>
      </c>
      <c r="E508" t="inlineStr">
        <is>
          <t>SALA</t>
        </is>
      </c>
      <c r="G508" t="n">
        <v>12.3</v>
      </c>
      <c r="H508" t="n">
        <v>0</v>
      </c>
      <c r="I508" t="n">
        <v>0</v>
      </c>
      <c r="J508" t="n">
        <v>0</v>
      </c>
      <c r="K508" t="n">
        <v>0</v>
      </c>
      <c r="L508" t="n">
        <v>0</v>
      </c>
      <c r="M508" t="n">
        <v>0</v>
      </c>
      <c r="N508" t="n">
        <v>0</v>
      </c>
      <c r="O508" t="n">
        <v>0</v>
      </c>
      <c r="P508" t="n">
        <v>0</v>
      </c>
      <c r="Q508" t="n">
        <v>0</v>
      </c>
      <c r="R508" s="2" t="inlineStr"/>
    </row>
    <row r="509" ht="15" customHeight="1">
      <c r="A509" t="inlineStr">
        <is>
          <t>A 4214-2026</t>
        </is>
      </c>
      <c r="B509" s="1" t="n">
        <v>46044</v>
      </c>
      <c r="C509" s="1" t="n">
        <v>46193</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4683-2026</t>
        </is>
      </c>
      <c r="B510" s="1" t="n">
        <v>46048</v>
      </c>
      <c r="C510" s="1" t="n">
        <v>46193</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5418-2026</t>
        </is>
      </c>
      <c r="B511" s="1" t="n">
        <v>46050</v>
      </c>
      <c r="C511" s="1" t="n">
        <v>46193</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5219-2026</t>
        </is>
      </c>
      <c r="B512" s="1" t="n">
        <v>46049</v>
      </c>
      <c r="C512" s="1" t="n">
        <v>46193</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1555-2024</t>
        </is>
      </c>
      <c r="B513" s="1" t="n">
        <v>45306</v>
      </c>
      <c r="C513" s="1" t="n">
        <v>46193</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13188-2025</t>
        </is>
      </c>
      <c r="B514" s="1" t="n">
        <v>45735</v>
      </c>
      <c r="C514" s="1" t="n">
        <v>46193</v>
      </c>
      <c r="D514" t="inlineStr">
        <is>
          <t>VÄSTMANLANDS LÄN</t>
        </is>
      </c>
      <c r="E514" t="inlineStr">
        <is>
          <t>SALA</t>
        </is>
      </c>
      <c r="F514" t="inlineStr">
        <is>
          <t>Naturvårdsverket</t>
        </is>
      </c>
      <c r="G514" t="n">
        <v>18.4</v>
      </c>
      <c r="H514" t="n">
        <v>0</v>
      </c>
      <c r="I514" t="n">
        <v>0</v>
      </c>
      <c r="J514" t="n">
        <v>0</v>
      </c>
      <c r="K514" t="n">
        <v>0</v>
      </c>
      <c r="L514" t="n">
        <v>0</v>
      </c>
      <c r="M514" t="n">
        <v>0</v>
      </c>
      <c r="N514" t="n">
        <v>0</v>
      </c>
      <c r="O514" t="n">
        <v>0</v>
      </c>
      <c r="P514" t="n">
        <v>0</v>
      </c>
      <c r="Q514" t="n">
        <v>0</v>
      </c>
      <c r="R514" s="2" t="inlineStr"/>
    </row>
    <row r="515" ht="15" customHeight="1">
      <c r="A515" t="inlineStr">
        <is>
          <t>A 5894-2026</t>
        </is>
      </c>
      <c r="B515" s="1" t="n">
        <v>46052</v>
      </c>
      <c r="C515" s="1" t="n">
        <v>46193</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7197-2025</t>
        </is>
      </c>
      <c r="B516" s="1" t="n">
        <v>45702</v>
      </c>
      <c r="C516" s="1" t="n">
        <v>46193</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2928-2024</t>
        </is>
      </c>
      <c r="B517" s="1" t="n">
        <v>45315</v>
      </c>
      <c r="C517" s="1" t="n">
        <v>46193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7327-2026</t>
        </is>
      </c>
      <c r="B518" s="1" t="n">
        <v>46058</v>
      </c>
      <c r="C518" s="1" t="n">
        <v>46193</v>
      </c>
      <c r="D518" t="inlineStr">
        <is>
          <t>VÄSTMANLANDS LÄN</t>
        </is>
      </c>
      <c r="E518" t="inlineStr">
        <is>
          <t>SALA</t>
        </is>
      </c>
      <c r="G518" t="n">
        <v>5.8</v>
      </c>
      <c r="H518" t="n">
        <v>0</v>
      </c>
      <c r="I518" t="n">
        <v>0</v>
      </c>
      <c r="J518" t="n">
        <v>0</v>
      </c>
      <c r="K518" t="n">
        <v>0</v>
      </c>
      <c r="L518" t="n">
        <v>0</v>
      </c>
      <c r="M518" t="n">
        <v>0</v>
      </c>
      <c r="N518" t="n">
        <v>0</v>
      </c>
      <c r="O518" t="n">
        <v>0</v>
      </c>
      <c r="P518" t="n">
        <v>0</v>
      </c>
      <c r="Q518" t="n">
        <v>0</v>
      </c>
      <c r="R518" s="2" t="inlineStr"/>
    </row>
    <row r="519" ht="15" customHeight="1">
      <c r="A519" t="inlineStr">
        <is>
          <t>A 7332-2026</t>
        </is>
      </c>
      <c r="B519" s="1" t="n">
        <v>46058</v>
      </c>
      <c r="C519" s="1" t="n">
        <v>46193</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7324-2026</t>
        </is>
      </c>
      <c r="B520" s="1" t="n">
        <v>46058</v>
      </c>
      <c r="C520" s="1" t="n">
        <v>46193</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14024-2025</t>
        </is>
      </c>
      <c r="B521" s="1" t="n">
        <v>45740</v>
      </c>
      <c r="C521" s="1" t="n">
        <v>46193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3551-2024</t>
        </is>
      </c>
      <c r="B522" s="1" t="n">
        <v>45320</v>
      </c>
      <c r="C522" s="1" t="n">
        <v>46193</v>
      </c>
      <c r="D522" t="inlineStr">
        <is>
          <t>VÄSTMANLANDS LÄN</t>
        </is>
      </c>
      <c r="E522" t="inlineStr">
        <is>
          <t>SALA</t>
        </is>
      </c>
      <c r="F522" t="inlineStr">
        <is>
          <t>Kommuner</t>
        </is>
      </c>
      <c r="G522" t="n">
        <v>6</v>
      </c>
      <c r="H522" t="n">
        <v>0</v>
      </c>
      <c r="I522" t="n">
        <v>0</v>
      </c>
      <c r="J522" t="n">
        <v>0</v>
      </c>
      <c r="K522" t="n">
        <v>0</v>
      </c>
      <c r="L522" t="n">
        <v>0</v>
      </c>
      <c r="M522" t="n">
        <v>0</v>
      </c>
      <c r="N522" t="n">
        <v>0</v>
      </c>
      <c r="O522" t="n">
        <v>0</v>
      </c>
      <c r="P522" t="n">
        <v>0</v>
      </c>
      <c r="Q522" t="n">
        <v>0</v>
      </c>
      <c r="R522" s="2" t="inlineStr"/>
    </row>
    <row r="523" ht="15" customHeight="1">
      <c r="A523" t="inlineStr">
        <is>
          <t>A 7329-2026</t>
        </is>
      </c>
      <c r="B523" s="1" t="n">
        <v>46058</v>
      </c>
      <c r="C523" s="1" t="n">
        <v>46193</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62635-2022</t>
        </is>
      </c>
      <c r="B524" s="1" t="n">
        <v>44917</v>
      </c>
      <c r="C524" s="1" t="n">
        <v>46193</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7654-2026</t>
        </is>
      </c>
      <c r="B525" s="1" t="n">
        <v>46062</v>
      </c>
      <c r="C525" s="1" t="n">
        <v>46193</v>
      </c>
      <c r="D525" t="inlineStr">
        <is>
          <t>VÄSTMANLANDS LÄN</t>
        </is>
      </c>
      <c r="E525" t="inlineStr">
        <is>
          <t>SALA</t>
        </is>
      </c>
      <c r="G525" t="n">
        <v>4.5</v>
      </c>
      <c r="H525" t="n">
        <v>0</v>
      </c>
      <c r="I525" t="n">
        <v>0</v>
      </c>
      <c r="J525" t="n">
        <v>0</v>
      </c>
      <c r="K525" t="n">
        <v>0</v>
      </c>
      <c r="L525" t="n">
        <v>0</v>
      </c>
      <c r="M525" t="n">
        <v>0</v>
      </c>
      <c r="N525" t="n">
        <v>0</v>
      </c>
      <c r="O525" t="n">
        <v>0</v>
      </c>
      <c r="P525" t="n">
        <v>0</v>
      </c>
      <c r="Q525" t="n">
        <v>0</v>
      </c>
      <c r="R525" s="2" t="inlineStr"/>
    </row>
    <row r="526" ht="15" customHeight="1">
      <c r="A526" t="inlineStr">
        <is>
          <t>A 7597-2026</t>
        </is>
      </c>
      <c r="B526" s="1" t="n">
        <v>46061</v>
      </c>
      <c r="C526" s="1" t="n">
        <v>46193</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7611-2026</t>
        </is>
      </c>
      <c r="B527" s="1" t="n">
        <v>46062</v>
      </c>
      <c r="C527" s="1" t="n">
        <v>46193</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7676-2026</t>
        </is>
      </c>
      <c r="B528" s="1" t="n">
        <v>46062</v>
      </c>
      <c r="C528" s="1" t="n">
        <v>46193</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7680-2026</t>
        </is>
      </c>
      <c r="B529" s="1" t="n">
        <v>46062</v>
      </c>
      <c r="C529" s="1" t="n">
        <v>46193</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7584-2026</t>
        </is>
      </c>
      <c r="B530" s="1" t="n">
        <v>46061</v>
      </c>
      <c r="C530" s="1" t="n">
        <v>46193</v>
      </c>
      <c r="D530" t="inlineStr">
        <is>
          <t>VÄSTMANLANDS LÄN</t>
        </is>
      </c>
      <c r="E530" t="inlineStr">
        <is>
          <t>SALA</t>
        </is>
      </c>
      <c r="G530" t="n">
        <v>16.7</v>
      </c>
      <c r="H530" t="n">
        <v>0</v>
      </c>
      <c r="I530" t="n">
        <v>0</v>
      </c>
      <c r="J530" t="n">
        <v>0</v>
      </c>
      <c r="K530" t="n">
        <v>0</v>
      </c>
      <c r="L530" t="n">
        <v>0</v>
      </c>
      <c r="M530" t="n">
        <v>0</v>
      </c>
      <c r="N530" t="n">
        <v>0</v>
      </c>
      <c r="O530" t="n">
        <v>0</v>
      </c>
      <c r="P530" t="n">
        <v>0</v>
      </c>
      <c r="Q530" t="n">
        <v>0</v>
      </c>
      <c r="R530" s="2" t="inlineStr"/>
    </row>
    <row r="531" ht="15" customHeight="1">
      <c r="A531" t="inlineStr">
        <is>
          <t>A 7590-2026</t>
        </is>
      </c>
      <c r="B531" s="1" t="n">
        <v>46061</v>
      </c>
      <c r="C531" s="1" t="n">
        <v>46193</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7596-2026</t>
        </is>
      </c>
      <c r="B532" s="1" t="n">
        <v>46061</v>
      </c>
      <c r="C532" s="1" t="n">
        <v>46193</v>
      </c>
      <c r="D532" t="inlineStr">
        <is>
          <t>VÄSTMANLANDS LÄN</t>
        </is>
      </c>
      <c r="E532" t="inlineStr">
        <is>
          <t>SALA</t>
        </is>
      </c>
      <c r="G532" t="n">
        <v>3.1</v>
      </c>
      <c r="H532" t="n">
        <v>0</v>
      </c>
      <c r="I532" t="n">
        <v>0</v>
      </c>
      <c r="J532" t="n">
        <v>0</v>
      </c>
      <c r="K532" t="n">
        <v>0</v>
      </c>
      <c r="L532" t="n">
        <v>0</v>
      </c>
      <c r="M532" t="n">
        <v>0</v>
      </c>
      <c r="N532" t="n">
        <v>0</v>
      </c>
      <c r="O532" t="n">
        <v>0</v>
      </c>
      <c r="P532" t="n">
        <v>0</v>
      </c>
      <c r="Q532" t="n">
        <v>0</v>
      </c>
      <c r="R532" s="2" t="inlineStr"/>
    </row>
    <row r="533" ht="15" customHeight="1">
      <c r="A533" t="inlineStr">
        <is>
          <t>A 7588-2026</t>
        </is>
      </c>
      <c r="B533" s="1" t="n">
        <v>46061</v>
      </c>
      <c r="C533" s="1" t="n">
        <v>46193</v>
      </c>
      <c r="D533" t="inlineStr">
        <is>
          <t>VÄSTMANLANDS LÄN</t>
        </is>
      </c>
      <c r="E533" t="inlineStr">
        <is>
          <t>SALA</t>
        </is>
      </c>
      <c r="G533" t="n">
        <v>2.8</v>
      </c>
      <c r="H533" t="n">
        <v>0</v>
      </c>
      <c r="I533" t="n">
        <v>0</v>
      </c>
      <c r="J533" t="n">
        <v>0</v>
      </c>
      <c r="K533" t="n">
        <v>0</v>
      </c>
      <c r="L533" t="n">
        <v>0</v>
      </c>
      <c r="M533" t="n">
        <v>0</v>
      </c>
      <c r="N533" t="n">
        <v>0</v>
      </c>
      <c r="O533" t="n">
        <v>0</v>
      </c>
      <c r="P533" t="n">
        <v>0</v>
      </c>
      <c r="Q533" t="n">
        <v>0</v>
      </c>
      <c r="R533" s="2" t="inlineStr"/>
    </row>
    <row r="534" ht="15" customHeight="1">
      <c r="A534" t="inlineStr">
        <is>
          <t>A 7595-2026</t>
        </is>
      </c>
      <c r="B534" s="1" t="n">
        <v>46061</v>
      </c>
      <c r="C534" s="1" t="n">
        <v>46193</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46193</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56057-2023</t>
        </is>
      </c>
      <c r="B536" s="1" t="n">
        <v>45233</v>
      </c>
      <c r="C536" s="1" t="n">
        <v>46193</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46193</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46193</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46193</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59175-2022</t>
        </is>
      </c>
      <c r="B540" s="1" t="n">
        <v>44904</v>
      </c>
      <c r="C540" s="1" t="n">
        <v>46193</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46193</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11631-2023</t>
        </is>
      </c>
      <c r="B542" s="1" t="n">
        <v>44994</v>
      </c>
      <c r="C542" s="1" t="n">
        <v>46193</v>
      </c>
      <c r="D542" t="inlineStr">
        <is>
          <t>VÄSTMANLANDS LÄN</t>
        </is>
      </c>
      <c r="E542" t="inlineStr">
        <is>
          <t>SALA</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62648-2022</t>
        </is>
      </c>
      <c r="B543" s="1" t="n">
        <v>44917</v>
      </c>
      <c r="C543" s="1" t="n">
        <v>46193</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1934-2023</t>
        </is>
      </c>
      <c r="B544" s="1" t="n">
        <v>44939</v>
      </c>
      <c r="C544" s="1" t="n">
        <v>46193</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11927-2025</t>
        </is>
      </c>
      <c r="B545" s="1" t="n">
        <v>45728</v>
      </c>
      <c r="C545" s="1" t="n">
        <v>46193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60823-2024</t>
        </is>
      </c>
      <c r="B546" s="1" t="n">
        <v>45644</v>
      </c>
      <c r="C546" s="1" t="n">
        <v>46193</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96-2024</t>
        </is>
      </c>
      <c r="B547" s="1" t="n">
        <v>45293</v>
      </c>
      <c r="C547" s="1" t="n">
        <v>46193</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10245-2026</t>
        </is>
      </c>
      <c r="B548" s="1" t="n">
        <v>46076</v>
      </c>
      <c r="C548" s="1" t="n">
        <v>46193</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10252-2026</t>
        </is>
      </c>
      <c r="B549" s="1" t="n">
        <v>46076</v>
      </c>
      <c r="C549" s="1" t="n">
        <v>46193</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23374-2023</t>
        </is>
      </c>
      <c r="B550" s="1" t="n">
        <v>45076</v>
      </c>
      <c r="C550" s="1" t="n">
        <v>46193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10239-2026</t>
        </is>
      </c>
      <c r="B551" s="1" t="n">
        <v>46076</v>
      </c>
      <c r="C551" s="1" t="n">
        <v>46193</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61874-2021</t>
        </is>
      </c>
      <c r="B552" s="1" t="n">
        <v>44502</v>
      </c>
      <c r="C552" s="1" t="n">
        <v>46193</v>
      </c>
      <c r="D552" t="inlineStr">
        <is>
          <t>VÄSTMANLANDS LÄN</t>
        </is>
      </c>
      <c r="E552" t="inlineStr">
        <is>
          <t>SALA</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9856-2022</t>
        </is>
      </c>
      <c r="B553" s="1" t="n">
        <v>44620</v>
      </c>
      <c r="C553" s="1" t="n">
        <v>46193</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16159-2024</t>
        </is>
      </c>
      <c r="B554" s="1" t="n">
        <v>45406</v>
      </c>
      <c r="C554" s="1" t="n">
        <v>46193</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50241-2023</t>
        </is>
      </c>
      <c r="B555" s="1" t="n">
        <v>45216</v>
      </c>
      <c r="C555" s="1" t="n">
        <v>46193</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35637-2022</t>
        </is>
      </c>
      <c r="B556" s="1" t="n">
        <v>44799</v>
      </c>
      <c r="C556" s="1" t="n">
        <v>46193</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57883-2024</t>
        </is>
      </c>
      <c r="B557" s="1" t="n">
        <v>45630</v>
      </c>
      <c r="C557" s="1" t="n">
        <v>46193</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46193</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12144-2026</t>
        </is>
      </c>
      <c r="B559" s="1" t="n">
        <v>46086</v>
      </c>
      <c r="C559" s="1" t="n">
        <v>46193</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40398-2021</t>
        </is>
      </c>
      <c r="B560" s="1" t="n">
        <v>44419</v>
      </c>
      <c r="C560" s="1" t="n">
        <v>46193</v>
      </c>
      <c r="D560" t="inlineStr">
        <is>
          <t>VÄSTMANLANDS LÄN</t>
        </is>
      </c>
      <c r="E560" t="inlineStr">
        <is>
          <t>SALA</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27262-2024</t>
        </is>
      </c>
      <c r="B561" s="1" t="n">
        <v>45471</v>
      </c>
      <c r="C561" s="1" t="n">
        <v>46193</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12497-2026</t>
        </is>
      </c>
      <c r="B562" s="1" t="n">
        <v>46090</v>
      </c>
      <c r="C562" s="1" t="n">
        <v>46193</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23119-2022</t>
        </is>
      </c>
      <c r="B563" s="1" t="n">
        <v>44719</v>
      </c>
      <c r="C563" s="1" t="n">
        <v>46193</v>
      </c>
      <c r="D563" t="inlineStr">
        <is>
          <t>VÄSTMANLANDS LÄN</t>
        </is>
      </c>
      <c r="E563" t="inlineStr">
        <is>
          <t>SALA</t>
        </is>
      </c>
      <c r="G563" t="n">
        <v>7</v>
      </c>
      <c r="H563" t="n">
        <v>0</v>
      </c>
      <c r="I563" t="n">
        <v>0</v>
      </c>
      <c r="J563" t="n">
        <v>0</v>
      </c>
      <c r="K563" t="n">
        <v>0</v>
      </c>
      <c r="L563" t="n">
        <v>0</v>
      </c>
      <c r="M563" t="n">
        <v>0</v>
      </c>
      <c r="N563" t="n">
        <v>0</v>
      </c>
      <c r="O563" t="n">
        <v>0</v>
      </c>
      <c r="P563" t="n">
        <v>0</v>
      </c>
      <c r="Q563" t="n">
        <v>0</v>
      </c>
      <c r="R563" s="2" t="inlineStr"/>
    </row>
    <row r="564" ht="15" customHeight="1">
      <c r="A564" t="inlineStr">
        <is>
          <t>A 43751-2021</t>
        </is>
      </c>
      <c r="B564" s="1" t="n">
        <v>44433</v>
      </c>
      <c r="C564" s="1" t="n">
        <v>46193</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59483-2022</t>
        </is>
      </c>
      <c r="B565" s="1" t="n">
        <v>44907</v>
      </c>
      <c r="C565" s="1" t="n">
        <v>46193</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73673-2021</t>
        </is>
      </c>
      <c r="B566" s="1" t="n">
        <v>44552</v>
      </c>
      <c r="C566" s="1" t="n">
        <v>46193</v>
      </c>
      <c r="D566" t="inlineStr">
        <is>
          <t>VÄSTMANLANDS LÄN</t>
        </is>
      </c>
      <c r="E566" t="inlineStr">
        <is>
          <t>SALA</t>
        </is>
      </c>
      <c r="G566" t="n">
        <v>11.4</v>
      </c>
      <c r="H566" t="n">
        <v>0</v>
      </c>
      <c r="I566" t="n">
        <v>0</v>
      </c>
      <c r="J566" t="n">
        <v>0</v>
      </c>
      <c r="K566" t="n">
        <v>0</v>
      </c>
      <c r="L566" t="n">
        <v>0</v>
      </c>
      <c r="M566" t="n">
        <v>0</v>
      </c>
      <c r="N566" t="n">
        <v>0</v>
      </c>
      <c r="O566" t="n">
        <v>0</v>
      </c>
      <c r="P566" t="n">
        <v>0</v>
      </c>
      <c r="Q566" t="n">
        <v>0</v>
      </c>
      <c r="R566" s="2" t="inlineStr"/>
    </row>
    <row r="567" ht="15" customHeight="1">
      <c r="A567" t="inlineStr">
        <is>
          <t>A 4853-2023</t>
        </is>
      </c>
      <c r="B567" s="1" t="n">
        <v>44957</v>
      </c>
      <c r="C567" s="1" t="n">
        <v>46193</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13032-2026</t>
        </is>
      </c>
      <c r="B568" s="1" t="n">
        <v>46092</v>
      </c>
      <c r="C568" s="1" t="n">
        <v>46193</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1993-2022</t>
        </is>
      </c>
      <c r="B569" s="1" t="n">
        <v>44575</v>
      </c>
      <c r="C569" s="1" t="n">
        <v>46193</v>
      </c>
      <c r="D569" t="inlineStr">
        <is>
          <t>VÄSTMANLANDS LÄN</t>
        </is>
      </c>
      <c r="E569" t="inlineStr">
        <is>
          <t>SALA</t>
        </is>
      </c>
      <c r="G569" t="n">
        <v>1.6</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46193</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13996-2026</t>
        </is>
      </c>
      <c r="B571" s="1" t="n">
        <v>46098</v>
      </c>
      <c r="C571" s="1" t="n">
        <v>46193</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14000-2026</t>
        </is>
      </c>
      <c r="B572" s="1" t="n">
        <v>46098</v>
      </c>
      <c r="C572" s="1" t="n">
        <v>46193</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46193</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11183-2023</t>
        </is>
      </c>
      <c r="B574" s="1" t="n">
        <v>44992</v>
      </c>
      <c r="C574" s="1" t="n">
        <v>46193</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11190-2023</t>
        </is>
      </c>
      <c r="B575" s="1" t="n">
        <v>44992</v>
      </c>
      <c r="C575" s="1" t="n">
        <v>46193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14482-2026</t>
        </is>
      </c>
      <c r="B576" s="1" t="n">
        <v>46100</v>
      </c>
      <c r="C576" s="1" t="n">
        <v>46193</v>
      </c>
      <c r="D576" t="inlineStr">
        <is>
          <t>VÄSTMANLANDS LÄN</t>
        </is>
      </c>
      <c r="E576" t="inlineStr">
        <is>
          <t>SALA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14484-2026</t>
        </is>
      </c>
      <c r="B577" s="1" t="n">
        <v>46100</v>
      </c>
      <c r="C577" s="1" t="n">
        <v>46193</v>
      </c>
      <c r="D577" t="inlineStr">
        <is>
          <t>VÄSTMANLANDS LÄN</t>
        </is>
      </c>
      <c r="E577" t="inlineStr">
        <is>
          <t>SALA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14490-2026</t>
        </is>
      </c>
      <c r="B578" s="1" t="n">
        <v>46100</v>
      </c>
      <c r="C578" s="1" t="n">
        <v>46193</v>
      </c>
      <c r="D578" t="inlineStr">
        <is>
          <t>VÄSTMANLANDS LÄN</t>
        </is>
      </c>
      <c r="E578" t="inlineStr">
        <is>
          <t>SALA</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16354-2026</t>
        </is>
      </c>
      <c r="B579" s="1" t="n">
        <v>46111</v>
      </c>
      <c r="C579" s="1" t="n">
        <v>46193</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16367-2026</t>
        </is>
      </c>
      <c r="B580" s="1" t="n">
        <v>46111</v>
      </c>
      <c r="C580" s="1" t="n">
        <v>46193</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16369-2026</t>
        </is>
      </c>
      <c r="B581" s="1" t="n">
        <v>46111</v>
      </c>
      <c r="C581" s="1" t="n">
        <v>46193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16364-2026</t>
        </is>
      </c>
      <c r="B582" s="1" t="n">
        <v>46111</v>
      </c>
      <c r="C582" s="1" t="n">
        <v>46193</v>
      </c>
      <c r="D582" t="inlineStr">
        <is>
          <t>VÄSTMANLANDS LÄN</t>
        </is>
      </c>
      <c r="E582" t="inlineStr">
        <is>
          <t>SALA</t>
        </is>
      </c>
      <c r="G582" t="n">
        <v>4.7</v>
      </c>
      <c r="H582" t="n">
        <v>0</v>
      </c>
      <c r="I582" t="n">
        <v>0</v>
      </c>
      <c r="J582" t="n">
        <v>0</v>
      </c>
      <c r="K582" t="n">
        <v>0</v>
      </c>
      <c r="L582" t="n">
        <v>0</v>
      </c>
      <c r="M582" t="n">
        <v>0</v>
      </c>
      <c r="N582" t="n">
        <v>0</v>
      </c>
      <c r="O582" t="n">
        <v>0</v>
      </c>
      <c r="P582" t="n">
        <v>0</v>
      </c>
      <c r="Q582" t="n">
        <v>0</v>
      </c>
      <c r="R582" s="2" t="inlineStr"/>
    </row>
    <row r="583" ht="15" customHeight="1">
      <c r="A583" t="inlineStr">
        <is>
          <t>A 16598-2026</t>
        </is>
      </c>
      <c r="B583" s="1" t="n">
        <v>46112</v>
      </c>
      <c r="C583" s="1" t="n">
        <v>46193</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22869-2026</t>
        </is>
      </c>
      <c r="B584" s="1" t="n">
        <v>46160</v>
      </c>
      <c r="C584" s="1" t="n">
        <v>46193</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23578-2026</t>
        </is>
      </c>
      <c r="B585" s="1" t="n">
        <v>46163</v>
      </c>
      <c r="C585" s="1" t="n">
        <v>46193</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24292-2026</t>
        </is>
      </c>
      <c r="B586" s="1" t="n">
        <v>46169</v>
      </c>
      <c r="C586" s="1" t="n">
        <v>46193</v>
      </c>
      <c r="D586" t="inlineStr">
        <is>
          <t>VÄSTMANLANDS LÄN</t>
        </is>
      </c>
      <c r="E586" t="inlineStr">
        <is>
          <t>SALA</t>
        </is>
      </c>
      <c r="G586" t="n">
        <v>1.6</v>
      </c>
      <c r="H586" t="n">
        <v>0</v>
      </c>
      <c r="I586" t="n">
        <v>0</v>
      </c>
      <c r="J586" t="n">
        <v>0</v>
      </c>
      <c r="K586" t="n">
        <v>0</v>
      </c>
      <c r="L586" t="n">
        <v>0</v>
      </c>
      <c r="M586" t="n">
        <v>0</v>
      </c>
      <c r="N586" t="n">
        <v>0</v>
      </c>
      <c r="O586" t="n">
        <v>0</v>
      </c>
      <c r="P586" t="n">
        <v>0</v>
      </c>
      <c r="Q586" t="n">
        <v>0</v>
      </c>
      <c r="R586" s="2" t="inlineStr"/>
    </row>
    <row r="587" ht="15" customHeight="1">
      <c r="A587" t="inlineStr">
        <is>
          <t>A 18592-2026</t>
        </is>
      </c>
      <c r="B587" s="1" t="n">
        <v>46127</v>
      </c>
      <c r="C587" s="1" t="n">
        <v>46193</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v>
      </c>
      <c r="C588" s="1" t="n">
        <v>46193</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24846-2026</t>
        </is>
      </c>
      <c r="B589" s="1" t="n">
        <v>46174</v>
      </c>
      <c r="C589" s="1" t="n">
        <v>46193</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19044-2026</t>
        </is>
      </c>
      <c r="B590" s="1" t="n">
        <v>46132</v>
      </c>
      <c r="C590" s="1" t="n">
        <v>46193</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25228-2026</t>
        </is>
      </c>
      <c r="B591" s="1" t="n">
        <v>46171</v>
      </c>
      <c r="C591" s="1" t="n">
        <v>46193</v>
      </c>
      <c r="D591" t="inlineStr">
        <is>
          <t>VÄSTMANLANDS LÄN</t>
        </is>
      </c>
      <c r="E591" t="inlineStr">
        <is>
          <t>SALA</t>
        </is>
      </c>
      <c r="G591" t="n">
        <v>1.2</v>
      </c>
      <c r="H591" t="n">
        <v>0</v>
      </c>
      <c r="I591" t="n">
        <v>0</v>
      </c>
      <c r="J591" t="n">
        <v>0</v>
      </c>
      <c r="K591" t="n">
        <v>0</v>
      </c>
      <c r="L591" t="n">
        <v>0</v>
      </c>
      <c r="M591" t="n">
        <v>0</v>
      </c>
      <c r="N591" t="n">
        <v>0</v>
      </c>
      <c r="O591" t="n">
        <v>0</v>
      </c>
      <c r="P591" t="n">
        <v>0</v>
      </c>
      <c r="Q591" t="n">
        <v>0</v>
      </c>
      <c r="R591" s="2" t="inlineStr"/>
    </row>
    <row r="592" ht="15" customHeight="1">
      <c r="A592" t="inlineStr">
        <is>
          <t>A 25227-2026</t>
        </is>
      </c>
      <c r="B592" s="1" t="n">
        <v>46171</v>
      </c>
      <c r="C592" s="1" t="n">
        <v>46193</v>
      </c>
      <c r="D592" t="inlineStr">
        <is>
          <t>VÄSTMANLANDS LÄN</t>
        </is>
      </c>
      <c r="E592" t="inlineStr">
        <is>
          <t>SALA</t>
        </is>
      </c>
      <c r="G592" t="n">
        <v>2.9</v>
      </c>
      <c r="H592" t="n">
        <v>0</v>
      </c>
      <c r="I592" t="n">
        <v>0</v>
      </c>
      <c r="J592" t="n">
        <v>0</v>
      </c>
      <c r="K592" t="n">
        <v>0</v>
      </c>
      <c r="L592" t="n">
        <v>0</v>
      </c>
      <c r="M592" t="n">
        <v>0</v>
      </c>
      <c r="N592" t="n">
        <v>0</v>
      </c>
      <c r="O592" t="n">
        <v>0</v>
      </c>
      <c r="P592" t="n">
        <v>0</v>
      </c>
      <c r="Q592" t="n">
        <v>0</v>
      </c>
      <c r="R592" s="2" t="inlineStr"/>
    </row>
    <row r="593" ht="15" customHeight="1">
      <c r="A593" t="inlineStr">
        <is>
          <t>A 19376-2026</t>
        </is>
      </c>
      <c r="B593" s="1" t="n">
        <v>46133</v>
      </c>
      <c r="C593" s="1" t="n">
        <v>46193</v>
      </c>
      <c r="D593" t="inlineStr">
        <is>
          <t>VÄSTMANLANDS LÄN</t>
        </is>
      </c>
      <c r="E593" t="inlineStr">
        <is>
          <t>SALA</t>
        </is>
      </c>
      <c r="G593" t="n">
        <v>3.8</v>
      </c>
      <c r="H593" t="n">
        <v>0</v>
      </c>
      <c r="I593" t="n">
        <v>0</v>
      </c>
      <c r="J593" t="n">
        <v>0</v>
      </c>
      <c r="K593" t="n">
        <v>0</v>
      </c>
      <c r="L593" t="n">
        <v>0</v>
      </c>
      <c r="M593" t="n">
        <v>0</v>
      </c>
      <c r="N593" t="n">
        <v>0</v>
      </c>
      <c r="O593" t="n">
        <v>0</v>
      </c>
      <c r="P593" t="n">
        <v>0</v>
      </c>
      <c r="Q593" t="n">
        <v>0</v>
      </c>
      <c r="R593" s="2" t="inlineStr"/>
    </row>
    <row r="594" ht="15" customHeight="1">
      <c r="A594" t="inlineStr">
        <is>
          <t>A 6132-2025</t>
        </is>
      </c>
      <c r="B594" s="1" t="n">
        <v>45698</v>
      </c>
      <c r="C594" s="1" t="n">
        <v>46193</v>
      </c>
      <c r="D594" t="inlineStr">
        <is>
          <t>VÄSTMANLANDS LÄN</t>
        </is>
      </c>
      <c r="E594" t="inlineStr">
        <is>
          <t>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39597-2022</t>
        </is>
      </c>
      <c r="B595" s="1" t="n">
        <v>44818</v>
      </c>
      <c r="C595" s="1" t="n">
        <v>46193</v>
      </c>
      <c r="D595" t="inlineStr">
        <is>
          <t>VÄSTMANLANDS LÄN</t>
        </is>
      </c>
      <c r="E595" t="inlineStr">
        <is>
          <t>SALA</t>
        </is>
      </c>
      <c r="G595" t="n">
        <v>2.3</v>
      </c>
      <c r="H595" t="n">
        <v>0</v>
      </c>
      <c r="I595" t="n">
        <v>0</v>
      </c>
      <c r="J595" t="n">
        <v>0</v>
      </c>
      <c r="K595" t="n">
        <v>0</v>
      </c>
      <c r="L595" t="n">
        <v>0</v>
      </c>
      <c r="M595" t="n">
        <v>0</v>
      </c>
      <c r="N595" t="n">
        <v>0</v>
      </c>
      <c r="O595" t="n">
        <v>0</v>
      </c>
      <c r="P595" t="n">
        <v>0</v>
      </c>
      <c r="Q595" t="n">
        <v>0</v>
      </c>
      <c r="R595" s="2" t="inlineStr"/>
    </row>
    <row r="596" ht="15" customHeight="1">
      <c r="A596" t="inlineStr">
        <is>
          <t>A 40157-2021</t>
        </is>
      </c>
      <c r="B596" s="1" t="n">
        <v>44418</v>
      </c>
      <c r="C596" s="1" t="n">
        <v>46193</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39597-2022</t>
        </is>
      </c>
      <c r="B597" s="1" t="n">
        <v>44818</v>
      </c>
      <c r="C597" s="1" t="n">
        <v>46193</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30866-2025</t>
        </is>
      </c>
      <c r="B598" s="1" t="n">
        <v>45832</v>
      </c>
      <c r="C598" s="1" t="n">
        <v>46193</v>
      </c>
      <c r="D598" t="inlineStr">
        <is>
          <t>VÄSTMANLANDS LÄN</t>
        </is>
      </c>
      <c r="E598" t="inlineStr">
        <is>
          <t>SALA</t>
        </is>
      </c>
      <c r="G598" t="n">
        <v>14.3</v>
      </c>
      <c r="H598" t="n">
        <v>0</v>
      </c>
      <c r="I598" t="n">
        <v>0</v>
      </c>
      <c r="J598" t="n">
        <v>0</v>
      </c>
      <c r="K598" t="n">
        <v>0</v>
      </c>
      <c r="L598" t="n">
        <v>0</v>
      </c>
      <c r="M598" t="n">
        <v>0</v>
      </c>
      <c r="N598" t="n">
        <v>0</v>
      </c>
      <c r="O598" t="n">
        <v>0</v>
      </c>
      <c r="P598" t="n">
        <v>0</v>
      </c>
      <c r="Q598" t="n">
        <v>0</v>
      </c>
      <c r="R598" s="2" t="inlineStr"/>
    </row>
    <row r="599">
      <c r="A599" t="inlineStr">
        <is>
          <t>A 38636-2024</t>
        </is>
      </c>
      <c r="B599" s="1" t="n">
        <v>45546</v>
      </c>
      <c r="C599" s="1" t="n">
        <v>46193</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2026-06-20T00:45:38Z</dcterms:created>
  <dcterms:modified xmlns:dcterms="http://purl.org/dc/terms/" xmlns:xsi="http://www.w3.org/2001/XMLSchema-instance" xsi:type="dcterms:W3CDTF">2026-06-20T00:45:39Z</dcterms:modified>
</cp:coreProperties>
</file>