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46074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46074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46074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46074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46074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46074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46074</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46074</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46074</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46074</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46074</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46074</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46074</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46074</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46074</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46074</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46074</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46074</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46074</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46074</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3567-2024</t>
        </is>
      </c>
      <c r="B23" s="1" t="n">
        <v>45320.63706018519</v>
      </c>
      <c r="C23" s="1" t="n">
        <v>46074</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3930-2026</t>
        </is>
      </c>
      <c r="B24" s="1" t="n">
        <v>46043</v>
      </c>
      <c r="C24" s="1" t="n">
        <v>46074</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4264-2024</t>
        </is>
      </c>
      <c r="B25" s="1" t="n">
        <v>45324</v>
      </c>
      <c r="C25" s="1" t="n">
        <v>46074</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46074</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46074</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46074</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46074</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13029-2023</t>
        </is>
      </c>
      <c r="B30" s="1" t="n">
        <v>45001</v>
      </c>
      <c r="C30" s="1" t="n">
        <v>46074</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46074</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46074</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53048-2025</t>
        </is>
      </c>
      <c r="B33" s="1" t="n">
        <v>45958.36018518519</v>
      </c>
      <c r="C33" s="1" t="n">
        <v>46074</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59826-2025</t>
        </is>
      </c>
      <c r="B34" s="1" t="n">
        <v>45992.65416666667</v>
      </c>
      <c r="C34" s="1" t="n">
        <v>46074</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11846-2024</t>
        </is>
      </c>
      <c r="B35" s="1" t="n">
        <v>45376.4047337963</v>
      </c>
      <c r="C35" s="1" t="n">
        <v>46074</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63584-2025</t>
        </is>
      </c>
      <c r="B36" s="1" t="n">
        <v>46013.77002314815</v>
      </c>
      <c r="C36" s="1" t="n">
        <v>46074</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12444-2024</t>
        </is>
      </c>
      <c r="B37" s="1" t="n">
        <v>45379.46285879629</v>
      </c>
      <c r="C37" s="1" t="n">
        <v>46074</v>
      </c>
      <c r="D37" t="inlineStr">
        <is>
          <t>VÄSTMANLANDS LÄN</t>
        </is>
      </c>
      <c r="E37" t="inlineStr">
        <is>
          <t>SALA</t>
        </is>
      </c>
      <c r="G37" t="n">
        <v>5.5</v>
      </c>
      <c r="H37" t="n">
        <v>0</v>
      </c>
      <c r="I37" t="n">
        <v>1</v>
      </c>
      <c r="J37" t="n">
        <v>1</v>
      </c>
      <c r="K37" t="n">
        <v>0</v>
      </c>
      <c r="L37" t="n">
        <v>0</v>
      </c>
      <c r="M37" t="n">
        <v>0</v>
      </c>
      <c r="N37" t="n">
        <v>0</v>
      </c>
      <c r="O37" t="n">
        <v>1</v>
      </c>
      <c r="P37" t="n">
        <v>0</v>
      </c>
      <c r="Q37" t="n">
        <v>2</v>
      </c>
      <c r="R37" s="2" t="inlineStr">
        <is>
          <t>Ullticka
Stuplav</t>
        </is>
      </c>
      <c r="S37">
        <f>HYPERLINK("https://klasma.github.io/Logging_1981/artfynd/A 12444-2024 artfynd.xlsx", "A 12444-2024")</f>
        <v/>
      </c>
      <c r="T37">
        <f>HYPERLINK("https://klasma.github.io/Logging_1981/kartor/A 12444-2024 karta.png", "A 12444-2024")</f>
        <v/>
      </c>
      <c r="U37">
        <f>HYPERLINK("https://klasma.github.io/Logging_1981/knärot/A 12444-2024 karta knärot.png", "A 12444-2024")</f>
        <v/>
      </c>
      <c r="V37">
        <f>HYPERLINK("https://klasma.github.io/Logging_1981/klagomål/A 12444-2024 FSC-klagomål.docx", "A 12444-2024")</f>
        <v/>
      </c>
      <c r="W37">
        <f>HYPERLINK("https://klasma.github.io/Logging_1981/klagomålsmail/A 12444-2024 FSC-klagomål mail.docx", "A 12444-2024")</f>
        <v/>
      </c>
      <c r="X37">
        <f>HYPERLINK("https://klasma.github.io/Logging_1981/tillsyn/A 12444-2024 tillsynsbegäran.docx", "A 12444-2024")</f>
        <v/>
      </c>
      <c r="Y37">
        <f>HYPERLINK("https://klasma.github.io/Logging_1981/tillsynsmail/A 12444-2024 tillsynsbegäran mail.docx", "A 12444-2024")</f>
        <v/>
      </c>
    </row>
    <row r="38" ht="15" customHeight="1">
      <c r="A38" t="inlineStr">
        <is>
          <t>A 24872-2025</t>
        </is>
      </c>
      <c r="B38" s="1" t="n">
        <v>45799.49038194444</v>
      </c>
      <c r="C38" s="1" t="n">
        <v>46074</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46074</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46074</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46074</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46074</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46074</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32594-2025</t>
        </is>
      </c>
      <c r="B44" s="1" t="n">
        <v>45838</v>
      </c>
      <c r="C44" s="1" t="n">
        <v>46074</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14775-2023</t>
        </is>
      </c>
      <c r="B45" s="1" t="n">
        <v>45014</v>
      </c>
      <c r="C45" s="1" t="n">
        <v>46074</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12509-2023</t>
        </is>
      </c>
      <c r="B46" s="1" t="n">
        <v>44999.95988425926</v>
      </c>
      <c r="C46" s="1" t="n">
        <v>46074</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22350-2024</t>
        </is>
      </c>
      <c r="B47" s="1" t="n">
        <v>45446</v>
      </c>
      <c r="C47" s="1" t="n">
        <v>46074</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48705-2025</t>
        </is>
      </c>
      <c r="B48" s="1" t="n">
        <v>45936.62290509259</v>
      </c>
      <c r="C48" s="1" t="n">
        <v>46074</v>
      </c>
      <c r="D48" t="inlineStr">
        <is>
          <t>VÄSTMANLANDS LÄN</t>
        </is>
      </c>
      <c r="E48" t="inlineStr">
        <is>
          <t>SALA</t>
        </is>
      </c>
      <c r="G48" t="n">
        <v>4.4</v>
      </c>
      <c r="H48" t="n">
        <v>1</v>
      </c>
      <c r="I48" t="n">
        <v>1</v>
      </c>
      <c r="J48" t="n">
        <v>0</v>
      </c>
      <c r="K48" t="n">
        <v>0</v>
      </c>
      <c r="L48" t="n">
        <v>0</v>
      </c>
      <c r="M48" t="n">
        <v>0</v>
      </c>
      <c r="N48" t="n">
        <v>0</v>
      </c>
      <c r="O48" t="n">
        <v>0</v>
      </c>
      <c r="P48" t="n">
        <v>0</v>
      </c>
      <c r="Q48" t="n">
        <v>1</v>
      </c>
      <c r="R48" s="2" t="inlineStr">
        <is>
          <t>Plattlummer</t>
        </is>
      </c>
      <c r="S48">
        <f>HYPERLINK("https://klasma.github.io/Logging_1981/artfynd/A 48705-2025 artfynd.xlsx", "A 48705-2025")</f>
        <v/>
      </c>
      <c r="T48">
        <f>HYPERLINK("https://klasma.github.io/Logging_1981/kartor/A 48705-2025 karta.png", "A 48705-2025")</f>
        <v/>
      </c>
      <c r="V48">
        <f>HYPERLINK("https://klasma.github.io/Logging_1981/klagomål/A 48705-2025 FSC-klagomål.docx", "A 48705-2025")</f>
        <v/>
      </c>
      <c r="W48">
        <f>HYPERLINK("https://klasma.github.io/Logging_1981/klagomålsmail/A 48705-2025 FSC-klagomål mail.docx", "A 48705-2025")</f>
        <v/>
      </c>
      <c r="X48">
        <f>HYPERLINK("https://klasma.github.io/Logging_1981/tillsyn/A 48705-2025 tillsynsbegäran.docx", "A 48705-2025")</f>
        <v/>
      </c>
      <c r="Y48">
        <f>HYPERLINK("https://klasma.github.io/Logging_1981/tillsynsmail/A 48705-2025 tillsynsbegäran mail.docx", "A 48705-2025")</f>
        <v/>
      </c>
    </row>
    <row r="49" ht="15" customHeight="1">
      <c r="A49" t="inlineStr">
        <is>
          <t>A 38255-2025</t>
        </is>
      </c>
      <c r="B49" s="1" t="n">
        <v>45883.38020833334</v>
      </c>
      <c r="C49" s="1" t="n">
        <v>46074</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19361-2025</t>
        </is>
      </c>
      <c r="B50" s="1" t="n">
        <v>45769.63357638889</v>
      </c>
      <c r="C50" s="1" t="n">
        <v>46074</v>
      </c>
      <c r="D50" t="inlineStr">
        <is>
          <t>VÄSTMANLANDS LÄN</t>
        </is>
      </c>
      <c r="E50" t="inlineStr">
        <is>
          <t>SALA</t>
        </is>
      </c>
      <c r="F50" t="inlineStr">
        <is>
          <t>Bergvik skog öst AB</t>
        </is>
      </c>
      <c r="G50" t="n">
        <v>8.9</v>
      </c>
      <c r="H50" t="n">
        <v>0</v>
      </c>
      <c r="I50" t="n">
        <v>0</v>
      </c>
      <c r="J50" t="n">
        <v>1</v>
      </c>
      <c r="K50" t="n">
        <v>0</v>
      </c>
      <c r="L50" t="n">
        <v>0</v>
      </c>
      <c r="M50" t="n">
        <v>0</v>
      </c>
      <c r="N50" t="n">
        <v>0</v>
      </c>
      <c r="O50" t="n">
        <v>1</v>
      </c>
      <c r="P50" t="n">
        <v>0</v>
      </c>
      <c r="Q50" t="n">
        <v>1</v>
      </c>
      <c r="R50" s="2" t="inlineStr">
        <is>
          <t>Garnlav</t>
        </is>
      </c>
      <c r="S50">
        <f>HYPERLINK("https://klasma.github.io/Logging_1981/artfynd/A 19361-2025 artfynd.xlsx", "A 19361-2025")</f>
        <v/>
      </c>
      <c r="T50">
        <f>HYPERLINK("https://klasma.github.io/Logging_1981/kartor/A 19361-2025 karta.png", "A 19361-2025")</f>
        <v/>
      </c>
      <c r="V50">
        <f>HYPERLINK("https://klasma.github.io/Logging_1981/klagomål/A 19361-2025 FSC-klagomål.docx", "A 19361-2025")</f>
        <v/>
      </c>
      <c r="W50">
        <f>HYPERLINK("https://klasma.github.io/Logging_1981/klagomålsmail/A 19361-2025 FSC-klagomål mail.docx", "A 19361-2025")</f>
        <v/>
      </c>
      <c r="X50">
        <f>HYPERLINK("https://klasma.github.io/Logging_1981/tillsyn/A 19361-2025 tillsynsbegäran.docx", "A 19361-2025")</f>
        <v/>
      </c>
      <c r="Y50">
        <f>HYPERLINK("https://klasma.github.io/Logging_1981/tillsynsmail/A 19361-2025 tillsynsbegäran mail.docx", "A 19361-2025")</f>
        <v/>
      </c>
    </row>
    <row r="51" ht="15" customHeight="1">
      <c r="A51" t="inlineStr">
        <is>
          <t>A 41570-2021</t>
        </is>
      </c>
      <c r="B51" s="1" t="n">
        <v>44425</v>
      </c>
      <c r="C51" s="1" t="n">
        <v>46074</v>
      </c>
      <c r="D51" t="inlineStr">
        <is>
          <t>VÄSTMANLANDS LÄN</t>
        </is>
      </c>
      <c r="E51" t="inlineStr">
        <is>
          <t>SALA</t>
        </is>
      </c>
      <c r="G51" t="n">
        <v>1.4</v>
      </c>
      <c r="H51" t="n">
        <v>0</v>
      </c>
      <c r="I51" t="n">
        <v>0</v>
      </c>
      <c r="J51" t="n">
        <v>1</v>
      </c>
      <c r="K51" t="n">
        <v>0</v>
      </c>
      <c r="L51" t="n">
        <v>0</v>
      </c>
      <c r="M51" t="n">
        <v>0</v>
      </c>
      <c r="N51" t="n">
        <v>0</v>
      </c>
      <c r="O51" t="n">
        <v>1</v>
      </c>
      <c r="P51" t="n">
        <v>0</v>
      </c>
      <c r="Q51" t="n">
        <v>1</v>
      </c>
      <c r="R51" s="2" t="inlineStr">
        <is>
          <t>Vedtrappmossa</t>
        </is>
      </c>
      <c r="S51">
        <f>HYPERLINK("https://klasma.github.io/Logging_1981/artfynd/A 41570-2021 artfynd.xlsx", "A 41570-2021")</f>
        <v/>
      </c>
      <c r="T51">
        <f>HYPERLINK("https://klasma.github.io/Logging_1981/kartor/A 41570-2021 karta.png", "A 41570-2021")</f>
        <v/>
      </c>
      <c r="V51">
        <f>HYPERLINK("https://klasma.github.io/Logging_1981/klagomål/A 41570-2021 FSC-klagomål.docx", "A 41570-2021")</f>
        <v/>
      </c>
      <c r="W51">
        <f>HYPERLINK("https://klasma.github.io/Logging_1981/klagomålsmail/A 41570-2021 FSC-klagomål mail.docx", "A 41570-2021")</f>
        <v/>
      </c>
      <c r="X51">
        <f>HYPERLINK("https://klasma.github.io/Logging_1981/tillsyn/A 41570-2021 tillsynsbegäran.docx", "A 41570-2021")</f>
        <v/>
      </c>
      <c r="Y51">
        <f>HYPERLINK("https://klasma.github.io/Logging_1981/tillsynsmail/A 41570-2021 tillsynsbegäran mail.docx", "A 41570-2021")</f>
        <v/>
      </c>
    </row>
    <row r="52" ht="15" customHeight="1">
      <c r="A52" t="inlineStr">
        <is>
          <t>A 60852-2024</t>
        </is>
      </c>
      <c r="B52" s="1" t="n">
        <v>45644</v>
      </c>
      <c r="C52" s="1" t="n">
        <v>46074</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50268-2025</t>
        </is>
      </c>
      <c r="B53" s="1" t="n">
        <v>45944.35162037037</v>
      </c>
      <c r="C53" s="1" t="n">
        <v>46074</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43175-2023</t>
        </is>
      </c>
      <c r="B54" s="1" t="n">
        <v>45183</v>
      </c>
      <c r="C54" s="1" t="n">
        <v>46074</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53052-2025</t>
        </is>
      </c>
      <c r="B55" s="1" t="n">
        <v>45958.36266203703</v>
      </c>
      <c r="C55" s="1" t="n">
        <v>46074</v>
      </c>
      <c r="D55" t="inlineStr">
        <is>
          <t>VÄSTMANLANDS LÄN</t>
        </is>
      </c>
      <c r="E55" t="inlineStr">
        <is>
          <t>SALA</t>
        </is>
      </c>
      <c r="F55" t="inlineStr">
        <is>
          <t>Sveaskog</t>
        </is>
      </c>
      <c r="G55" t="n">
        <v>1.1</v>
      </c>
      <c r="H55" t="n">
        <v>0</v>
      </c>
      <c r="I55" t="n">
        <v>0</v>
      </c>
      <c r="J55" t="n">
        <v>1</v>
      </c>
      <c r="K55" t="n">
        <v>0</v>
      </c>
      <c r="L55" t="n">
        <v>0</v>
      </c>
      <c r="M55" t="n">
        <v>0</v>
      </c>
      <c r="N55" t="n">
        <v>0</v>
      </c>
      <c r="O55" t="n">
        <v>1</v>
      </c>
      <c r="P55" t="n">
        <v>0</v>
      </c>
      <c r="Q55" t="n">
        <v>1</v>
      </c>
      <c r="R55" s="2" t="inlineStr">
        <is>
          <t>Motaggsvamp</t>
        </is>
      </c>
      <c r="S55">
        <f>HYPERLINK("https://klasma.github.io/Logging_1981/artfynd/A 53052-2025 artfynd.xlsx", "A 53052-2025")</f>
        <v/>
      </c>
      <c r="T55">
        <f>HYPERLINK("https://klasma.github.io/Logging_1981/kartor/A 53052-2025 karta.png", "A 53052-2025")</f>
        <v/>
      </c>
      <c r="V55">
        <f>HYPERLINK("https://klasma.github.io/Logging_1981/klagomål/A 53052-2025 FSC-klagomål.docx", "A 53052-2025")</f>
        <v/>
      </c>
      <c r="W55">
        <f>HYPERLINK("https://klasma.github.io/Logging_1981/klagomålsmail/A 53052-2025 FSC-klagomål mail.docx", "A 53052-2025")</f>
        <v/>
      </c>
      <c r="X55">
        <f>HYPERLINK("https://klasma.github.io/Logging_1981/tillsyn/A 53052-2025 tillsynsbegäran.docx", "A 53052-2025")</f>
        <v/>
      </c>
      <c r="Y55">
        <f>HYPERLINK("https://klasma.github.io/Logging_1981/tillsynsmail/A 53052-2025 tillsynsbegäran mail.docx", "A 53052-2025")</f>
        <v/>
      </c>
    </row>
    <row r="56" ht="15" customHeight="1">
      <c r="A56" t="inlineStr">
        <is>
          <t>A 55995-2025</t>
        </is>
      </c>
      <c r="B56" s="1" t="n">
        <v>45973.56733796297</v>
      </c>
      <c r="C56" s="1" t="n">
        <v>46074</v>
      </c>
      <c r="D56" t="inlineStr">
        <is>
          <t>VÄSTMANLANDS LÄN</t>
        </is>
      </c>
      <c r="E56" t="inlineStr">
        <is>
          <t>SALA</t>
        </is>
      </c>
      <c r="F56" t="inlineStr">
        <is>
          <t>Sveaskog</t>
        </is>
      </c>
      <c r="G56" t="n">
        <v>4.5</v>
      </c>
      <c r="H56" t="n">
        <v>1</v>
      </c>
      <c r="I56" t="n">
        <v>0</v>
      </c>
      <c r="J56" t="n">
        <v>0</v>
      </c>
      <c r="K56" t="n">
        <v>0</v>
      </c>
      <c r="L56" t="n">
        <v>0</v>
      </c>
      <c r="M56" t="n">
        <v>0</v>
      </c>
      <c r="N56" t="n">
        <v>0</v>
      </c>
      <c r="O56" t="n">
        <v>0</v>
      </c>
      <c r="P56" t="n">
        <v>0</v>
      </c>
      <c r="Q56" t="n">
        <v>1</v>
      </c>
      <c r="R56" s="2" t="inlineStr">
        <is>
          <t>Fläcknycklar</t>
        </is>
      </c>
      <c r="S56">
        <f>HYPERLINK("https://klasma.github.io/Logging_1981/artfynd/A 55995-2025 artfynd.xlsx", "A 55995-2025")</f>
        <v/>
      </c>
      <c r="T56">
        <f>HYPERLINK("https://klasma.github.io/Logging_1981/kartor/A 55995-2025 karta.png", "A 55995-2025")</f>
        <v/>
      </c>
      <c r="V56">
        <f>HYPERLINK("https://klasma.github.io/Logging_1981/klagomål/A 55995-2025 FSC-klagomål.docx", "A 55995-2025")</f>
        <v/>
      </c>
      <c r="W56">
        <f>HYPERLINK("https://klasma.github.io/Logging_1981/klagomålsmail/A 55995-2025 FSC-klagomål mail.docx", "A 55995-2025")</f>
        <v/>
      </c>
      <c r="X56">
        <f>HYPERLINK("https://klasma.github.io/Logging_1981/tillsyn/A 55995-2025 tillsynsbegäran.docx", "A 55995-2025")</f>
        <v/>
      </c>
      <c r="Y56">
        <f>HYPERLINK("https://klasma.github.io/Logging_1981/tillsynsmail/A 55995-2025 tillsynsbegäran mail.docx", "A 55995-2025")</f>
        <v/>
      </c>
    </row>
    <row r="57" ht="15" customHeight="1">
      <c r="A57" t="inlineStr">
        <is>
          <t>A 55550-2023</t>
        </is>
      </c>
      <c r="B57" s="1" t="n">
        <v>45232</v>
      </c>
      <c r="C57" s="1" t="n">
        <v>46074</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41270-2024</t>
        </is>
      </c>
      <c r="B58" s="1" t="n">
        <v>45559</v>
      </c>
      <c r="C58" s="1" t="n">
        <v>46074</v>
      </c>
      <c r="D58" t="inlineStr">
        <is>
          <t>VÄSTMANLANDS LÄN</t>
        </is>
      </c>
      <c r="E58" t="inlineStr">
        <is>
          <t>SALA</t>
        </is>
      </c>
      <c r="G58" t="n">
        <v>15.2</v>
      </c>
      <c r="H58" t="n">
        <v>1</v>
      </c>
      <c r="I58" t="n">
        <v>0</v>
      </c>
      <c r="J58" t="n">
        <v>1</v>
      </c>
      <c r="K58" t="n">
        <v>0</v>
      </c>
      <c r="L58" t="n">
        <v>0</v>
      </c>
      <c r="M58" t="n">
        <v>0</v>
      </c>
      <c r="N58" t="n">
        <v>0</v>
      </c>
      <c r="O58" t="n">
        <v>1</v>
      </c>
      <c r="P58" t="n">
        <v>0</v>
      </c>
      <c r="Q58" t="n">
        <v>1</v>
      </c>
      <c r="R58" s="2" t="inlineStr">
        <is>
          <t>Havsörn</t>
        </is>
      </c>
      <c r="S58">
        <f>HYPERLINK("https://klasma.github.io/Logging_1981/artfynd/A 41270-2024 artfynd.xlsx", "A 41270-2024")</f>
        <v/>
      </c>
      <c r="T58">
        <f>HYPERLINK("https://klasma.github.io/Logging_1981/kartor/A 41270-2024 karta.png", "A 41270-2024")</f>
        <v/>
      </c>
      <c r="V58">
        <f>HYPERLINK("https://klasma.github.io/Logging_1981/klagomål/A 41270-2024 FSC-klagomål.docx", "A 41270-2024")</f>
        <v/>
      </c>
      <c r="W58">
        <f>HYPERLINK("https://klasma.github.io/Logging_1981/klagomålsmail/A 41270-2024 FSC-klagomål mail.docx", "A 41270-2024")</f>
        <v/>
      </c>
      <c r="X58">
        <f>HYPERLINK("https://klasma.github.io/Logging_1981/tillsyn/A 41270-2024 tillsynsbegäran.docx", "A 41270-2024")</f>
        <v/>
      </c>
      <c r="Y58">
        <f>HYPERLINK("https://klasma.github.io/Logging_1981/tillsynsmail/A 41270-2024 tillsynsbegäran mail.docx", "A 41270-2024")</f>
        <v/>
      </c>
      <c r="Z58">
        <f>HYPERLINK("https://klasma.github.io/Logging_1981/fåglar/A 41270-2024 prioriterade fågelarter.docx", "A 41270-2024")</f>
        <v/>
      </c>
    </row>
    <row r="59" ht="15" customHeight="1">
      <c r="A59" t="inlineStr">
        <is>
          <t>A 7672-2026</t>
        </is>
      </c>
      <c r="B59" s="1" t="n">
        <v>46062.42077546296</v>
      </c>
      <c r="C59" s="1" t="n">
        <v>46074</v>
      </c>
      <c r="D59" t="inlineStr">
        <is>
          <t>VÄSTMANLANDS LÄN</t>
        </is>
      </c>
      <c r="E59" t="inlineStr">
        <is>
          <t>SALA</t>
        </is>
      </c>
      <c r="G59" t="n">
        <v>2.9</v>
      </c>
      <c r="H59" t="n">
        <v>1</v>
      </c>
      <c r="I59" t="n">
        <v>0</v>
      </c>
      <c r="J59" t="n">
        <v>0</v>
      </c>
      <c r="K59" t="n">
        <v>0</v>
      </c>
      <c r="L59" t="n">
        <v>0</v>
      </c>
      <c r="M59" t="n">
        <v>0</v>
      </c>
      <c r="N59" t="n">
        <v>0</v>
      </c>
      <c r="O59" t="n">
        <v>0</v>
      </c>
      <c r="P59" t="n">
        <v>0</v>
      </c>
      <c r="Q59" t="n">
        <v>1</v>
      </c>
      <c r="R59" s="2" t="inlineStr">
        <is>
          <t>Nattviol</t>
        </is>
      </c>
      <c r="S59">
        <f>HYPERLINK("https://klasma.github.io/Logging_1981/artfynd/A 7672-2026 artfynd.xlsx", "A 7672-2026")</f>
        <v/>
      </c>
      <c r="T59">
        <f>HYPERLINK("https://klasma.github.io/Logging_1981/kartor/A 7672-2026 karta.png", "A 7672-2026")</f>
        <v/>
      </c>
      <c r="V59">
        <f>HYPERLINK("https://klasma.github.io/Logging_1981/klagomål/A 7672-2026 FSC-klagomål.docx", "A 7672-2026")</f>
        <v/>
      </c>
      <c r="W59">
        <f>HYPERLINK("https://klasma.github.io/Logging_1981/klagomålsmail/A 7672-2026 FSC-klagomål mail.docx", "A 7672-2026")</f>
        <v/>
      </c>
      <c r="X59">
        <f>HYPERLINK("https://klasma.github.io/Logging_1981/tillsyn/A 7672-2026 tillsynsbegäran.docx", "A 7672-2026")</f>
        <v/>
      </c>
      <c r="Y59">
        <f>HYPERLINK("https://klasma.github.io/Logging_1981/tillsynsmail/A 7672-2026 tillsynsbegäran mail.docx", "A 7672-2026")</f>
        <v/>
      </c>
    </row>
    <row r="60" ht="15" customHeight="1">
      <c r="A60" t="inlineStr">
        <is>
          <t>A 43068-2024</t>
        </is>
      </c>
      <c r="B60" s="1" t="n">
        <v>45567</v>
      </c>
      <c r="C60" s="1" t="n">
        <v>46074</v>
      </c>
      <c r="D60" t="inlineStr">
        <is>
          <t>VÄSTMANLANDS LÄN</t>
        </is>
      </c>
      <c r="E60" t="inlineStr">
        <is>
          <t>SALA</t>
        </is>
      </c>
      <c r="G60" t="n">
        <v>1.1</v>
      </c>
      <c r="H60" t="n">
        <v>0</v>
      </c>
      <c r="I60" t="n">
        <v>1</v>
      </c>
      <c r="J60" t="n">
        <v>0</v>
      </c>
      <c r="K60" t="n">
        <v>0</v>
      </c>
      <c r="L60" t="n">
        <v>0</v>
      </c>
      <c r="M60" t="n">
        <v>0</v>
      </c>
      <c r="N60" t="n">
        <v>0</v>
      </c>
      <c r="O60" t="n">
        <v>0</v>
      </c>
      <c r="P60" t="n">
        <v>0</v>
      </c>
      <c r="Q60" t="n">
        <v>1</v>
      </c>
      <c r="R60" s="2" t="inlineStr">
        <is>
          <t>Vedticka</t>
        </is>
      </c>
      <c r="S60">
        <f>HYPERLINK("https://klasma.github.io/Logging_1981/artfynd/A 43068-2024 artfynd.xlsx", "A 43068-2024")</f>
        <v/>
      </c>
      <c r="T60">
        <f>HYPERLINK("https://klasma.github.io/Logging_1981/kartor/A 43068-2024 karta.png", "A 43068-2024")</f>
        <v/>
      </c>
      <c r="V60">
        <f>HYPERLINK("https://klasma.github.io/Logging_1981/klagomål/A 43068-2024 FSC-klagomål.docx", "A 43068-2024")</f>
        <v/>
      </c>
      <c r="W60">
        <f>HYPERLINK("https://klasma.github.io/Logging_1981/klagomålsmail/A 43068-2024 FSC-klagomål mail.docx", "A 43068-2024")</f>
        <v/>
      </c>
      <c r="X60">
        <f>HYPERLINK("https://klasma.github.io/Logging_1981/tillsyn/A 43068-2024 tillsynsbegäran.docx", "A 43068-2024")</f>
        <v/>
      </c>
      <c r="Y60">
        <f>HYPERLINK("https://klasma.github.io/Logging_1981/tillsynsmail/A 43068-2024 tillsynsbegäran mail.docx", "A 43068-2024")</f>
        <v/>
      </c>
    </row>
    <row r="61" ht="15" customHeight="1">
      <c r="A61" t="inlineStr">
        <is>
          <t>A 7919-2022</t>
        </is>
      </c>
      <c r="B61" s="1" t="n">
        <v>44608</v>
      </c>
      <c r="C61" s="1" t="n">
        <v>46074</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29985-2022</t>
        </is>
      </c>
      <c r="B62" s="1" t="n">
        <v>44756</v>
      </c>
      <c r="C62" s="1" t="n">
        <v>46074</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7731-2023</t>
        </is>
      </c>
      <c r="B63" s="1" t="n">
        <v>44973</v>
      </c>
      <c r="C63" s="1" t="n">
        <v>46074</v>
      </c>
      <c r="D63" t="inlineStr">
        <is>
          <t>VÄSTMANLANDS LÄN</t>
        </is>
      </c>
      <c r="E63" t="inlineStr">
        <is>
          <t>SALA</t>
        </is>
      </c>
      <c r="F63" t="inlineStr">
        <is>
          <t>Bergvik skog öst AB</t>
        </is>
      </c>
      <c r="G63" t="n">
        <v>1.7</v>
      </c>
      <c r="H63" t="n">
        <v>1</v>
      </c>
      <c r="I63" t="n">
        <v>0</v>
      </c>
      <c r="J63" t="n">
        <v>1</v>
      </c>
      <c r="K63" t="n">
        <v>0</v>
      </c>
      <c r="L63" t="n">
        <v>0</v>
      </c>
      <c r="M63" t="n">
        <v>0</v>
      </c>
      <c r="N63" t="n">
        <v>0</v>
      </c>
      <c r="O63" t="n">
        <v>1</v>
      </c>
      <c r="P63" t="n">
        <v>0</v>
      </c>
      <c r="Q63" t="n">
        <v>1</v>
      </c>
      <c r="R63" s="2" t="inlineStr">
        <is>
          <t>Ävjepilört</t>
        </is>
      </c>
      <c r="S63">
        <f>HYPERLINK("https://klasma.github.io/Logging_1981/artfynd/A 7731-2023 artfynd.xlsx", "A 7731-2023")</f>
        <v/>
      </c>
      <c r="T63">
        <f>HYPERLINK("https://klasma.github.io/Logging_1981/kartor/A 7731-2023 karta.png", "A 7731-2023")</f>
        <v/>
      </c>
      <c r="V63">
        <f>HYPERLINK("https://klasma.github.io/Logging_1981/klagomål/A 7731-2023 FSC-klagomål.docx", "A 7731-2023")</f>
        <v/>
      </c>
      <c r="W63">
        <f>HYPERLINK("https://klasma.github.io/Logging_1981/klagomålsmail/A 7731-2023 FSC-klagomål mail.docx", "A 7731-2023")</f>
        <v/>
      </c>
      <c r="X63">
        <f>HYPERLINK("https://klasma.github.io/Logging_1981/tillsyn/A 7731-2023 tillsynsbegäran.docx", "A 7731-2023")</f>
        <v/>
      </c>
      <c r="Y63">
        <f>HYPERLINK("https://klasma.github.io/Logging_1981/tillsynsmail/A 7731-2023 tillsynsbegäran mail.docx", "A 7731-2023")</f>
        <v/>
      </c>
    </row>
    <row r="64" ht="15" customHeight="1">
      <c r="A64" t="inlineStr">
        <is>
          <t>A 56704-2022</t>
        </is>
      </c>
      <c r="B64" s="1" t="n">
        <v>44893.78075231481</v>
      </c>
      <c r="C64" s="1" t="n">
        <v>46074</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21738-2025</t>
        </is>
      </c>
      <c r="B65" s="1" t="n">
        <v>45783.59173611111</v>
      </c>
      <c r="C65" s="1" t="n">
        <v>46074</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46074</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73124-2021</t>
        </is>
      </c>
      <c r="B67" s="1" t="n">
        <v>44550</v>
      </c>
      <c r="C67" s="1" t="n">
        <v>46074</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46074</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46074</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46074</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46074</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46074</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46074</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46074</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46074</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46074</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46074</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46074</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46074</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46074</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46074</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46074</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46074</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46074</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46074</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46074</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46074</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46074</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46074</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46074</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46074</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46074</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46074</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46074</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46074</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46074</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46074</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46074</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46074</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46074</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46074</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46074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46074</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46074</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46074</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46074</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46074</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46074</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46074</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46074</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46074</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46074</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46074</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46074</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46074</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46074</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46074</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46074</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46074</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46074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46074</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46074</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46074</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46074</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46074</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46074</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46074</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46074</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46074</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46074</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46074</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46074</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46074</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46074</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46074</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46074</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46074</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46074</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46074</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46074</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46074</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46074</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46074</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46074</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46074</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46074</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46074</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46074</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46074</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46074</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46074</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46074</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46074</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46074</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46074</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46074</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46074</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46074</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46074</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46074</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46074</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46074</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46074</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46074</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46074</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46074</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46074</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46074</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46074</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46074</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46074</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46074</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46074</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46074</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46074</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46074</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46074</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46074</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46074</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46074</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62449-2023</t>
        </is>
      </c>
      <c r="B181" s="1" t="n">
        <v>45268.49008101852</v>
      </c>
      <c r="C181" s="1" t="n">
        <v>46074</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35462-2024</t>
        </is>
      </c>
      <c r="B182" s="1" t="n">
        <v>45531</v>
      </c>
      <c r="C182" s="1" t="n">
        <v>46074</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14024-2025</t>
        </is>
      </c>
      <c r="B183" s="1" t="n">
        <v>45740.34650462963</v>
      </c>
      <c r="C183" s="1" t="n">
        <v>46074</v>
      </c>
      <c r="D183" t="inlineStr">
        <is>
          <t>VÄSTMANLANDS LÄN</t>
        </is>
      </c>
      <c r="E183" t="inlineStr">
        <is>
          <t>SALA</t>
        </is>
      </c>
      <c r="G183" t="n">
        <v>1.1</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46074</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46074</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46074</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46074</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46074</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16767-2024</t>
        </is>
      </c>
      <c r="B189" s="1" t="n">
        <v>45411.38171296296</v>
      </c>
      <c r="C189" s="1" t="n">
        <v>46074</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46074</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46074</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58107-2021</t>
        </is>
      </c>
      <c r="B192" s="1" t="n">
        <v>44487</v>
      </c>
      <c r="C192" s="1" t="n">
        <v>46074</v>
      </c>
      <c r="D192" t="inlineStr">
        <is>
          <t>VÄSTMANLANDS LÄN</t>
        </is>
      </c>
      <c r="E192" t="inlineStr">
        <is>
          <t>SALA</t>
        </is>
      </c>
      <c r="F192" t="inlineStr">
        <is>
          <t>Sveaskog</t>
        </is>
      </c>
      <c r="G192" t="n">
        <v>2.8</v>
      </c>
      <c r="H192" t="n">
        <v>0</v>
      </c>
      <c r="I192" t="n">
        <v>0</v>
      </c>
      <c r="J192" t="n">
        <v>0</v>
      </c>
      <c r="K192" t="n">
        <v>0</v>
      </c>
      <c r="L192" t="n">
        <v>0</v>
      </c>
      <c r="M192" t="n">
        <v>0</v>
      </c>
      <c r="N192" t="n">
        <v>0</v>
      </c>
      <c r="O192" t="n">
        <v>0</v>
      </c>
      <c r="P192" t="n">
        <v>0</v>
      </c>
      <c r="Q192" t="n">
        <v>0</v>
      </c>
      <c r="R192" s="2" t="inlineStr"/>
    </row>
    <row r="193" ht="15" customHeight="1">
      <c r="A193" t="inlineStr">
        <is>
          <t>A 33732-2023</t>
        </is>
      </c>
      <c r="B193" s="1" t="n">
        <v>45133.32409722222</v>
      </c>
      <c r="C193" s="1" t="n">
        <v>46074</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12246-2023</t>
        </is>
      </c>
      <c r="B194" s="1" t="n">
        <v>44995</v>
      </c>
      <c r="C194" s="1" t="n">
        <v>46074</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46074</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46074</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46074</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69232-2021</t>
        </is>
      </c>
      <c r="B198" s="1" t="n">
        <v>44531.39696759259</v>
      </c>
      <c r="C198" s="1" t="n">
        <v>46074</v>
      </c>
      <c r="D198" t="inlineStr">
        <is>
          <t>VÄSTMANLANDS LÄN</t>
        </is>
      </c>
      <c r="E198" t="inlineStr">
        <is>
          <t>SALA</t>
        </is>
      </c>
      <c r="G198" t="n">
        <v>2.3</v>
      </c>
      <c r="H198" t="n">
        <v>0</v>
      </c>
      <c r="I198" t="n">
        <v>0</v>
      </c>
      <c r="J198" t="n">
        <v>0</v>
      </c>
      <c r="K198" t="n">
        <v>0</v>
      </c>
      <c r="L198" t="n">
        <v>0</v>
      </c>
      <c r="M198" t="n">
        <v>0</v>
      </c>
      <c r="N198" t="n">
        <v>0</v>
      </c>
      <c r="O198" t="n">
        <v>0</v>
      </c>
      <c r="P198" t="n">
        <v>0</v>
      </c>
      <c r="Q198" t="n">
        <v>0</v>
      </c>
      <c r="R198" s="2" t="inlineStr"/>
    </row>
    <row r="199" ht="15" customHeight="1">
      <c r="A199" t="inlineStr">
        <is>
          <t>A 19398-2025</t>
        </is>
      </c>
      <c r="B199" s="1" t="n">
        <v>45769</v>
      </c>
      <c r="C199" s="1" t="n">
        <v>46074</v>
      </c>
      <c r="D199" t="inlineStr">
        <is>
          <t>VÄSTMANLANDS LÄN</t>
        </is>
      </c>
      <c r="E199" t="inlineStr">
        <is>
          <t>SALA</t>
        </is>
      </c>
      <c r="G199" t="n">
        <v>0.4</v>
      </c>
      <c r="H199" t="n">
        <v>0</v>
      </c>
      <c r="I199" t="n">
        <v>0</v>
      </c>
      <c r="J199" t="n">
        <v>0</v>
      </c>
      <c r="K199" t="n">
        <v>0</v>
      </c>
      <c r="L199" t="n">
        <v>0</v>
      </c>
      <c r="M199" t="n">
        <v>0</v>
      </c>
      <c r="N199" t="n">
        <v>0</v>
      </c>
      <c r="O199" t="n">
        <v>0</v>
      </c>
      <c r="P199" t="n">
        <v>0</v>
      </c>
      <c r="Q199" t="n">
        <v>0</v>
      </c>
      <c r="R199" s="2" t="inlineStr"/>
    </row>
    <row r="200" ht="15" customHeight="1">
      <c r="A200" t="inlineStr">
        <is>
          <t>A 51464-2024</t>
        </is>
      </c>
      <c r="B200" s="1" t="n">
        <v>45604.49768518518</v>
      </c>
      <c r="C200" s="1" t="n">
        <v>46074</v>
      </c>
      <c r="D200" t="inlineStr">
        <is>
          <t>VÄSTMANLANDS LÄN</t>
        </is>
      </c>
      <c r="E200" t="inlineStr">
        <is>
          <t>SALA</t>
        </is>
      </c>
      <c r="G200" t="n">
        <v>3.9</v>
      </c>
      <c r="H200" t="n">
        <v>0</v>
      </c>
      <c r="I200" t="n">
        <v>0</v>
      </c>
      <c r="J200" t="n">
        <v>0</v>
      </c>
      <c r="K200" t="n">
        <v>0</v>
      </c>
      <c r="L200" t="n">
        <v>0</v>
      </c>
      <c r="M200" t="n">
        <v>0</v>
      </c>
      <c r="N200" t="n">
        <v>0</v>
      </c>
      <c r="O200" t="n">
        <v>0</v>
      </c>
      <c r="P200" t="n">
        <v>0</v>
      </c>
      <c r="Q200" t="n">
        <v>0</v>
      </c>
      <c r="R200" s="2" t="inlineStr"/>
    </row>
    <row r="201" ht="15" customHeight="1">
      <c r="A201" t="inlineStr">
        <is>
          <t>A 4797-2023</t>
        </is>
      </c>
      <c r="B201" s="1" t="n">
        <v>44957</v>
      </c>
      <c r="C201" s="1" t="n">
        <v>46074</v>
      </c>
      <c r="D201" t="inlineStr">
        <is>
          <t>VÄSTMANLANDS LÄN</t>
        </is>
      </c>
      <c r="E201" t="inlineStr">
        <is>
          <t>SALA</t>
        </is>
      </c>
      <c r="G201" t="n">
        <v>5.7</v>
      </c>
      <c r="H201" t="n">
        <v>0</v>
      </c>
      <c r="I201" t="n">
        <v>0</v>
      </c>
      <c r="J201" t="n">
        <v>0</v>
      </c>
      <c r="K201" t="n">
        <v>0</v>
      </c>
      <c r="L201" t="n">
        <v>0</v>
      </c>
      <c r="M201" t="n">
        <v>0</v>
      </c>
      <c r="N201" t="n">
        <v>0</v>
      </c>
      <c r="O201" t="n">
        <v>0</v>
      </c>
      <c r="P201" t="n">
        <v>0</v>
      </c>
      <c r="Q201" t="n">
        <v>0</v>
      </c>
      <c r="R201" s="2" t="inlineStr"/>
    </row>
    <row r="202" ht="15" customHeight="1">
      <c r="A202" t="inlineStr">
        <is>
          <t>A 54603-2024</t>
        </is>
      </c>
      <c r="B202" s="1" t="n">
        <v>45617.68224537037</v>
      </c>
      <c r="C202" s="1" t="n">
        <v>46074</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1638-2023</t>
        </is>
      </c>
      <c r="B203" s="1" t="n">
        <v>44937</v>
      </c>
      <c r="C203" s="1" t="n">
        <v>46074</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46074</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15972-2024</t>
        </is>
      </c>
      <c r="B205" s="1" t="n">
        <v>45405.56498842593</v>
      </c>
      <c r="C205" s="1" t="n">
        <v>46074</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46074</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37958-2024</t>
        </is>
      </c>
      <c r="B207" s="1" t="n">
        <v>45544</v>
      </c>
      <c r="C207" s="1" t="n">
        <v>46074</v>
      </c>
      <c r="D207" t="inlineStr">
        <is>
          <t>VÄSTMANLANDS LÄN</t>
        </is>
      </c>
      <c r="E207" t="inlineStr">
        <is>
          <t>SALA</t>
        </is>
      </c>
      <c r="G207" t="n">
        <v>5.6</v>
      </c>
      <c r="H207" t="n">
        <v>0</v>
      </c>
      <c r="I207" t="n">
        <v>0</v>
      </c>
      <c r="J207" t="n">
        <v>0</v>
      </c>
      <c r="K207" t="n">
        <v>0</v>
      </c>
      <c r="L207" t="n">
        <v>0</v>
      </c>
      <c r="M207" t="n">
        <v>0</v>
      </c>
      <c r="N207" t="n">
        <v>0</v>
      </c>
      <c r="O207" t="n">
        <v>0</v>
      </c>
      <c r="P207" t="n">
        <v>0</v>
      </c>
      <c r="Q207" t="n">
        <v>0</v>
      </c>
      <c r="R207" s="2" t="inlineStr"/>
    </row>
    <row r="208" ht="15" customHeight="1">
      <c r="A208" t="inlineStr">
        <is>
          <t>A 15756-2025</t>
        </is>
      </c>
      <c r="B208" s="1" t="n">
        <v>45748.56810185185</v>
      </c>
      <c r="C208" s="1" t="n">
        <v>46074</v>
      </c>
      <c r="D208" t="inlineStr">
        <is>
          <t>VÄSTMANLANDS LÄN</t>
        </is>
      </c>
      <c r="E208" t="inlineStr">
        <is>
          <t>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27229-2022</t>
        </is>
      </c>
      <c r="B209" s="1" t="n">
        <v>44741</v>
      </c>
      <c r="C209" s="1" t="n">
        <v>46074</v>
      </c>
      <c r="D209" t="inlineStr">
        <is>
          <t>VÄSTMANLANDS LÄN</t>
        </is>
      </c>
      <c r="E209" t="inlineStr">
        <is>
          <t>SALA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31000-2022</t>
        </is>
      </c>
      <c r="B210" s="1" t="n">
        <v>44768</v>
      </c>
      <c r="C210" s="1" t="n">
        <v>46074</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37183-2024</t>
        </is>
      </c>
      <c r="B211" s="1" t="n">
        <v>45539</v>
      </c>
      <c r="C211" s="1" t="n">
        <v>46074</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46074</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46074</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29248-2022</t>
        </is>
      </c>
      <c r="B214" s="1" t="n">
        <v>44750</v>
      </c>
      <c r="C214" s="1" t="n">
        <v>46074</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28863-2022</t>
        </is>
      </c>
      <c r="B215" s="1" t="n">
        <v>44749.50649305555</v>
      </c>
      <c r="C215" s="1" t="n">
        <v>46074</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14919-2025</t>
        </is>
      </c>
      <c r="B216" s="1" t="n">
        <v>45743.54256944444</v>
      </c>
      <c r="C216" s="1" t="n">
        <v>46074</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14920-2025</t>
        </is>
      </c>
      <c r="B217" s="1" t="n">
        <v>45743</v>
      </c>
      <c r="C217" s="1" t="n">
        <v>46074</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40398-2021</t>
        </is>
      </c>
      <c r="B218" s="1" t="n">
        <v>44419</v>
      </c>
      <c r="C218" s="1" t="n">
        <v>46074</v>
      </c>
      <c r="D218" t="inlineStr">
        <is>
          <t>VÄSTMANLANDS LÄN</t>
        </is>
      </c>
      <c r="E218" t="inlineStr">
        <is>
          <t>SALA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2900-2023</t>
        </is>
      </c>
      <c r="B219" s="1" t="n">
        <v>44943</v>
      </c>
      <c r="C219" s="1" t="n">
        <v>46074</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6030-2024</t>
        </is>
      </c>
      <c r="B220" s="1" t="n">
        <v>45336.62782407407</v>
      </c>
      <c r="C220" s="1" t="n">
        <v>46074</v>
      </c>
      <c r="D220" t="inlineStr">
        <is>
          <t>VÄSTMANLANDS LÄN</t>
        </is>
      </c>
      <c r="E220" t="inlineStr">
        <is>
          <t>SALA</t>
        </is>
      </c>
      <c r="G220" t="n">
        <v>3.9</v>
      </c>
      <c r="H220" t="n">
        <v>0</v>
      </c>
      <c r="I220" t="n">
        <v>0</v>
      </c>
      <c r="J220" t="n">
        <v>0</v>
      </c>
      <c r="K220" t="n">
        <v>0</v>
      </c>
      <c r="L220" t="n">
        <v>0</v>
      </c>
      <c r="M220" t="n">
        <v>0</v>
      </c>
      <c r="N220" t="n">
        <v>0</v>
      </c>
      <c r="O220" t="n">
        <v>0</v>
      </c>
      <c r="P220" t="n">
        <v>0</v>
      </c>
      <c r="Q220" t="n">
        <v>0</v>
      </c>
      <c r="R220" s="2" t="inlineStr"/>
    </row>
    <row r="221" ht="15" customHeight="1">
      <c r="A221" t="inlineStr">
        <is>
          <t>A 43362-2023</t>
        </is>
      </c>
      <c r="B221" s="1" t="n">
        <v>45183</v>
      </c>
      <c r="C221" s="1" t="n">
        <v>46074</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46074</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2521-2025</t>
        </is>
      </c>
      <c r="B223" s="1" t="n">
        <v>45674</v>
      </c>
      <c r="C223" s="1" t="n">
        <v>46074</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14690-2025</t>
        </is>
      </c>
      <c r="B224" s="1" t="n">
        <v>45742.58212962963</v>
      </c>
      <c r="C224" s="1" t="n">
        <v>46074</v>
      </c>
      <c r="D224" t="inlineStr">
        <is>
          <t>VÄSTMANLANDS LÄN</t>
        </is>
      </c>
      <c r="E224" t="inlineStr">
        <is>
          <t>SALA</t>
        </is>
      </c>
      <c r="G224" t="n">
        <v>3.4</v>
      </c>
      <c r="H224" t="n">
        <v>0</v>
      </c>
      <c r="I224" t="n">
        <v>0</v>
      </c>
      <c r="J224" t="n">
        <v>0</v>
      </c>
      <c r="K224" t="n">
        <v>0</v>
      </c>
      <c r="L224" t="n">
        <v>0</v>
      </c>
      <c r="M224" t="n">
        <v>0</v>
      </c>
      <c r="N224" t="n">
        <v>0</v>
      </c>
      <c r="O224" t="n">
        <v>0</v>
      </c>
      <c r="P224" t="n">
        <v>0</v>
      </c>
      <c r="Q224" t="n">
        <v>0</v>
      </c>
      <c r="R224" s="2" t="inlineStr"/>
    </row>
    <row r="225" ht="15" customHeight="1">
      <c r="A225" t="inlineStr">
        <is>
          <t>A 60548-2024</t>
        </is>
      </c>
      <c r="B225" s="1" t="n">
        <v>45643.80978009259</v>
      </c>
      <c r="C225" s="1" t="n">
        <v>46074</v>
      </c>
      <c r="D225" t="inlineStr">
        <is>
          <t>VÄSTMANLANDS LÄN</t>
        </is>
      </c>
      <c r="E225" t="inlineStr">
        <is>
          <t>SALA</t>
        </is>
      </c>
      <c r="G225" t="n">
        <v>1.6</v>
      </c>
      <c r="H225" t="n">
        <v>0</v>
      </c>
      <c r="I225" t="n">
        <v>0</v>
      </c>
      <c r="J225" t="n">
        <v>0</v>
      </c>
      <c r="K225" t="n">
        <v>0</v>
      </c>
      <c r="L225" t="n">
        <v>0</v>
      </c>
      <c r="M225" t="n">
        <v>0</v>
      </c>
      <c r="N225" t="n">
        <v>0</v>
      </c>
      <c r="O225" t="n">
        <v>0</v>
      </c>
      <c r="P225" t="n">
        <v>0</v>
      </c>
      <c r="Q225" t="n">
        <v>0</v>
      </c>
      <c r="R225" s="2" t="inlineStr"/>
    </row>
    <row r="226" ht="15" customHeight="1">
      <c r="A226" t="inlineStr">
        <is>
          <t>A 26761-2023</t>
        </is>
      </c>
      <c r="B226" s="1" t="n">
        <v>45093</v>
      </c>
      <c r="C226" s="1" t="n">
        <v>46074</v>
      </c>
      <c r="D226" t="inlineStr">
        <is>
          <t>VÄSTMANLANDS LÄN</t>
        </is>
      </c>
      <c r="E226" t="inlineStr">
        <is>
          <t>SALA</t>
        </is>
      </c>
      <c r="G226" t="n">
        <v>4.3</v>
      </c>
      <c r="H226" t="n">
        <v>0</v>
      </c>
      <c r="I226" t="n">
        <v>0</v>
      </c>
      <c r="J226" t="n">
        <v>0</v>
      </c>
      <c r="K226" t="n">
        <v>0</v>
      </c>
      <c r="L226" t="n">
        <v>0</v>
      </c>
      <c r="M226" t="n">
        <v>0</v>
      </c>
      <c r="N226" t="n">
        <v>0</v>
      </c>
      <c r="O226" t="n">
        <v>0</v>
      </c>
      <c r="P226" t="n">
        <v>0</v>
      </c>
      <c r="Q226" t="n">
        <v>0</v>
      </c>
      <c r="R226" s="2" t="inlineStr"/>
    </row>
    <row r="227" ht="15" customHeight="1">
      <c r="A227" t="inlineStr">
        <is>
          <t>A 55035-2023</t>
        </is>
      </c>
      <c r="B227" s="1" t="n">
        <v>45229</v>
      </c>
      <c r="C227" s="1" t="n">
        <v>46074</v>
      </c>
      <c r="D227" t="inlineStr">
        <is>
          <t>VÄSTMANLANDS LÄN</t>
        </is>
      </c>
      <c r="E227" t="inlineStr">
        <is>
          <t>SALA</t>
        </is>
      </c>
      <c r="G227" t="n">
        <v>1.1</v>
      </c>
      <c r="H227" t="n">
        <v>0</v>
      </c>
      <c r="I227" t="n">
        <v>0</v>
      </c>
      <c r="J227" t="n">
        <v>0</v>
      </c>
      <c r="K227" t="n">
        <v>0</v>
      </c>
      <c r="L227" t="n">
        <v>0</v>
      </c>
      <c r="M227" t="n">
        <v>0</v>
      </c>
      <c r="N227" t="n">
        <v>0</v>
      </c>
      <c r="O227" t="n">
        <v>0</v>
      </c>
      <c r="P227" t="n">
        <v>0</v>
      </c>
      <c r="Q227" t="n">
        <v>0</v>
      </c>
      <c r="R227" s="2" t="inlineStr"/>
    </row>
    <row r="228" ht="15" customHeight="1">
      <c r="A228" t="inlineStr">
        <is>
          <t>A 60249-2023</t>
        </is>
      </c>
      <c r="B228" s="1" t="n">
        <v>45258</v>
      </c>
      <c r="C228" s="1" t="n">
        <v>46074</v>
      </c>
      <c r="D228" t="inlineStr">
        <is>
          <t>VÄSTMANLANDS LÄN</t>
        </is>
      </c>
      <c r="E228" t="inlineStr">
        <is>
          <t>SALA</t>
        </is>
      </c>
      <c r="G228" t="n">
        <v>2</v>
      </c>
      <c r="H228" t="n">
        <v>0</v>
      </c>
      <c r="I228" t="n">
        <v>0</v>
      </c>
      <c r="J228" t="n">
        <v>0</v>
      </c>
      <c r="K228" t="n">
        <v>0</v>
      </c>
      <c r="L228" t="n">
        <v>0</v>
      </c>
      <c r="M228" t="n">
        <v>0</v>
      </c>
      <c r="N228" t="n">
        <v>0</v>
      </c>
      <c r="O228" t="n">
        <v>0</v>
      </c>
      <c r="P228" t="n">
        <v>0</v>
      </c>
      <c r="Q228" t="n">
        <v>0</v>
      </c>
      <c r="R228" s="2" t="inlineStr"/>
    </row>
    <row r="229" ht="15" customHeight="1">
      <c r="A229" t="inlineStr">
        <is>
          <t>A 52500-2024</t>
        </is>
      </c>
      <c r="B229" s="1" t="n">
        <v>45609</v>
      </c>
      <c r="C229" s="1" t="n">
        <v>46074</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56949-2023</t>
        </is>
      </c>
      <c r="B230" s="1" t="n">
        <v>45244.61589120371</v>
      </c>
      <c r="C230" s="1" t="n">
        <v>46074</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31597-2024</t>
        </is>
      </c>
      <c r="B231" s="1" t="n">
        <v>45506</v>
      </c>
      <c r="C231" s="1" t="n">
        <v>46074</v>
      </c>
      <c r="D231" t="inlineStr">
        <is>
          <t>VÄSTMANLANDS LÄN</t>
        </is>
      </c>
      <c r="E231" t="inlineStr">
        <is>
          <t>SALA</t>
        </is>
      </c>
      <c r="G231" t="n">
        <v>2.4</v>
      </c>
      <c r="H231" t="n">
        <v>0</v>
      </c>
      <c r="I231" t="n">
        <v>0</v>
      </c>
      <c r="J231" t="n">
        <v>0</v>
      </c>
      <c r="K231" t="n">
        <v>0</v>
      </c>
      <c r="L231" t="n">
        <v>0</v>
      </c>
      <c r="M231" t="n">
        <v>0</v>
      </c>
      <c r="N231" t="n">
        <v>0</v>
      </c>
      <c r="O231" t="n">
        <v>0</v>
      </c>
      <c r="P231" t="n">
        <v>0</v>
      </c>
      <c r="Q231" t="n">
        <v>0</v>
      </c>
      <c r="R231" s="2" t="inlineStr"/>
    </row>
    <row r="232" ht="15" customHeight="1">
      <c r="A232" t="inlineStr">
        <is>
          <t>A 31599-2024</t>
        </is>
      </c>
      <c r="B232" s="1" t="n">
        <v>45506</v>
      </c>
      <c r="C232" s="1" t="n">
        <v>46074</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31601-2024</t>
        </is>
      </c>
      <c r="B233" s="1" t="n">
        <v>45506</v>
      </c>
      <c r="C233" s="1" t="n">
        <v>46074</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31608-2024</t>
        </is>
      </c>
      <c r="B234" s="1" t="n">
        <v>45506</v>
      </c>
      <c r="C234" s="1" t="n">
        <v>46074</v>
      </c>
      <c r="D234" t="inlineStr">
        <is>
          <t>VÄSTMANLANDS LÄN</t>
        </is>
      </c>
      <c r="E234" t="inlineStr">
        <is>
          <t>SALA</t>
        </is>
      </c>
      <c r="G234" t="n">
        <v>1.7</v>
      </c>
      <c r="H234" t="n">
        <v>0</v>
      </c>
      <c r="I234" t="n">
        <v>0</v>
      </c>
      <c r="J234" t="n">
        <v>0</v>
      </c>
      <c r="K234" t="n">
        <v>0</v>
      </c>
      <c r="L234" t="n">
        <v>0</v>
      </c>
      <c r="M234" t="n">
        <v>0</v>
      </c>
      <c r="N234" t="n">
        <v>0</v>
      </c>
      <c r="O234" t="n">
        <v>0</v>
      </c>
      <c r="P234" t="n">
        <v>0</v>
      </c>
      <c r="Q234" t="n">
        <v>0</v>
      </c>
      <c r="R234" s="2" t="inlineStr"/>
    </row>
    <row r="235" ht="15" customHeight="1">
      <c r="A235" t="inlineStr">
        <is>
          <t>A 31612-2024</t>
        </is>
      </c>
      <c r="B235" s="1" t="n">
        <v>45506</v>
      </c>
      <c r="C235" s="1" t="n">
        <v>46074</v>
      </c>
      <c r="D235" t="inlineStr">
        <is>
          <t>VÄSTMANLANDS LÄN</t>
        </is>
      </c>
      <c r="E235" t="inlineStr">
        <is>
          <t>SALA</t>
        </is>
      </c>
      <c r="G235" t="n">
        <v>3.2</v>
      </c>
      <c r="H235" t="n">
        <v>0</v>
      </c>
      <c r="I235" t="n">
        <v>0</v>
      </c>
      <c r="J235" t="n">
        <v>0</v>
      </c>
      <c r="K235" t="n">
        <v>0</v>
      </c>
      <c r="L235" t="n">
        <v>0</v>
      </c>
      <c r="M235" t="n">
        <v>0</v>
      </c>
      <c r="N235" t="n">
        <v>0</v>
      </c>
      <c r="O235" t="n">
        <v>0</v>
      </c>
      <c r="P235" t="n">
        <v>0</v>
      </c>
      <c r="Q235" t="n">
        <v>0</v>
      </c>
      <c r="R235" s="2" t="inlineStr"/>
    </row>
    <row r="236" ht="15" customHeight="1">
      <c r="A236" t="inlineStr">
        <is>
          <t>A 96-2024</t>
        </is>
      </c>
      <c r="B236" s="1" t="n">
        <v>45293.85872685185</v>
      </c>
      <c r="C236" s="1" t="n">
        <v>46074</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54118-2023</t>
        </is>
      </c>
      <c r="B237" s="1" t="n">
        <v>45232</v>
      </c>
      <c r="C237" s="1" t="n">
        <v>46074</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34814-2021</t>
        </is>
      </c>
      <c r="B238" s="1" t="n">
        <v>44383</v>
      </c>
      <c r="C238" s="1" t="n">
        <v>46074</v>
      </c>
      <c r="D238" t="inlineStr">
        <is>
          <t>VÄSTMANLANDS LÄN</t>
        </is>
      </c>
      <c r="E238" t="inlineStr">
        <is>
          <t>SALA</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25748-2022</t>
        </is>
      </c>
      <c r="B239" s="1" t="n">
        <v>44732</v>
      </c>
      <c r="C239" s="1" t="n">
        <v>46074</v>
      </c>
      <c r="D239" t="inlineStr">
        <is>
          <t>VÄSTMANLANDS LÄN</t>
        </is>
      </c>
      <c r="E239" t="inlineStr">
        <is>
          <t>SALA</t>
        </is>
      </c>
      <c r="G239" t="n">
        <v>7.7</v>
      </c>
      <c r="H239" t="n">
        <v>0</v>
      </c>
      <c r="I239" t="n">
        <v>0</v>
      </c>
      <c r="J239" t="n">
        <v>0</v>
      </c>
      <c r="K239" t="n">
        <v>0</v>
      </c>
      <c r="L239" t="n">
        <v>0</v>
      </c>
      <c r="M239" t="n">
        <v>0</v>
      </c>
      <c r="N239" t="n">
        <v>0</v>
      </c>
      <c r="O239" t="n">
        <v>0</v>
      </c>
      <c r="P239" t="n">
        <v>0</v>
      </c>
      <c r="Q239" t="n">
        <v>0</v>
      </c>
      <c r="R239" s="2" t="inlineStr"/>
    </row>
    <row r="240" ht="15" customHeight="1">
      <c r="A240" t="inlineStr">
        <is>
          <t>A 16760-2024</t>
        </is>
      </c>
      <c r="B240" s="1" t="n">
        <v>45411</v>
      </c>
      <c r="C240" s="1" t="n">
        <v>46074</v>
      </c>
      <c r="D240" t="inlineStr">
        <is>
          <t>VÄSTMANLANDS LÄN</t>
        </is>
      </c>
      <c r="E240" t="inlineStr">
        <is>
          <t>SALA</t>
        </is>
      </c>
      <c r="G240" t="n">
        <v>2.6</v>
      </c>
      <c r="H240" t="n">
        <v>0</v>
      </c>
      <c r="I240" t="n">
        <v>0</v>
      </c>
      <c r="J240" t="n">
        <v>0</v>
      </c>
      <c r="K240" t="n">
        <v>0</v>
      </c>
      <c r="L240" t="n">
        <v>0</v>
      </c>
      <c r="M240" t="n">
        <v>0</v>
      </c>
      <c r="N240" t="n">
        <v>0</v>
      </c>
      <c r="O240" t="n">
        <v>0</v>
      </c>
      <c r="P240" t="n">
        <v>0</v>
      </c>
      <c r="Q240" t="n">
        <v>0</v>
      </c>
      <c r="R240" s="2" t="inlineStr"/>
    </row>
    <row r="241" ht="15" customHeight="1">
      <c r="A241" t="inlineStr">
        <is>
          <t>A 27989-2025</t>
        </is>
      </c>
      <c r="B241" s="1" t="n">
        <v>45817.58716435185</v>
      </c>
      <c r="C241" s="1" t="n">
        <v>46074</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6127-2025</t>
        </is>
      </c>
      <c r="B242" s="1" t="n">
        <v>45698</v>
      </c>
      <c r="C242" s="1" t="n">
        <v>46074</v>
      </c>
      <c r="D242" t="inlineStr">
        <is>
          <t>VÄSTMANLANDS LÄN</t>
        </is>
      </c>
      <c r="E242" t="inlineStr">
        <is>
          <t>SALA</t>
        </is>
      </c>
      <c r="F242" t="inlineStr">
        <is>
          <t>Bergvik skog öst AB</t>
        </is>
      </c>
      <c r="G242" t="n">
        <v>4.3</v>
      </c>
      <c r="H242" t="n">
        <v>0</v>
      </c>
      <c r="I242" t="n">
        <v>0</v>
      </c>
      <c r="J242" t="n">
        <v>0</v>
      </c>
      <c r="K242" t="n">
        <v>0</v>
      </c>
      <c r="L242" t="n">
        <v>0</v>
      </c>
      <c r="M242" t="n">
        <v>0</v>
      </c>
      <c r="N242" t="n">
        <v>0</v>
      </c>
      <c r="O242" t="n">
        <v>0</v>
      </c>
      <c r="P242" t="n">
        <v>0</v>
      </c>
      <c r="Q242" t="n">
        <v>0</v>
      </c>
      <c r="R242" s="2" t="inlineStr"/>
    </row>
    <row r="243" ht="15" customHeight="1">
      <c r="A243" t="inlineStr">
        <is>
          <t>A 27981-2025</t>
        </is>
      </c>
      <c r="B243" s="1" t="n">
        <v>45817.57471064815</v>
      </c>
      <c r="C243" s="1" t="n">
        <v>46074</v>
      </c>
      <c r="D243" t="inlineStr">
        <is>
          <t>VÄSTMANLANDS LÄN</t>
        </is>
      </c>
      <c r="E243" t="inlineStr">
        <is>
          <t>SALA</t>
        </is>
      </c>
      <c r="G243" t="n">
        <v>1.7</v>
      </c>
      <c r="H243" t="n">
        <v>0</v>
      </c>
      <c r="I243" t="n">
        <v>0</v>
      </c>
      <c r="J243" t="n">
        <v>0</v>
      </c>
      <c r="K243" t="n">
        <v>0</v>
      </c>
      <c r="L243" t="n">
        <v>0</v>
      </c>
      <c r="M243" t="n">
        <v>0</v>
      </c>
      <c r="N243" t="n">
        <v>0</v>
      </c>
      <c r="O243" t="n">
        <v>0</v>
      </c>
      <c r="P243" t="n">
        <v>0</v>
      </c>
      <c r="Q243" t="n">
        <v>0</v>
      </c>
      <c r="R243" s="2" t="inlineStr"/>
    </row>
    <row r="244" ht="15" customHeight="1">
      <c r="A244" t="inlineStr">
        <is>
          <t>A 28193-2025</t>
        </is>
      </c>
      <c r="B244" s="1" t="n">
        <v>45818.425625</v>
      </c>
      <c r="C244" s="1" t="n">
        <v>46074</v>
      </c>
      <c r="D244" t="inlineStr">
        <is>
          <t>VÄSTMANLANDS LÄN</t>
        </is>
      </c>
      <c r="E244" t="inlineStr">
        <is>
          <t>SALA</t>
        </is>
      </c>
      <c r="G244" t="n">
        <v>1.8</v>
      </c>
      <c r="H244" t="n">
        <v>0</v>
      </c>
      <c r="I244" t="n">
        <v>0</v>
      </c>
      <c r="J244" t="n">
        <v>0</v>
      </c>
      <c r="K244" t="n">
        <v>0</v>
      </c>
      <c r="L244" t="n">
        <v>0</v>
      </c>
      <c r="M244" t="n">
        <v>0</v>
      </c>
      <c r="N244" t="n">
        <v>0</v>
      </c>
      <c r="O244" t="n">
        <v>0</v>
      </c>
      <c r="P244" t="n">
        <v>0</v>
      </c>
      <c r="Q244" t="n">
        <v>0</v>
      </c>
      <c r="R244" s="2" t="inlineStr"/>
    </row>
    <row r="245" ht="15" customHeight="1">
      <c r="A245" t="inlineStr">
        <is>
          <t>A 3733-2023</t>
        </is>
      </c>
      <c r="B245" s="1" t="n">
        <v>44951.42501157407</v>
      </c>
      <c r="C245" s="1" t="n">
        <v>46074</v>
      </c>
      <c r="D245" t="inlineStr">
        <is>
          <t>VÄSTMANLANDS LÄN</t>
        </is>
      </c>
      <c r="E245" t="inlineStr">
        <is>
          <t>SALA</t>
        </is>
      </c>
      <c r="G245" t="n">
        <v>3.1</v>
      </c>
      <c r="H245" t="n">
        <v>0</v>
      </c>
      <c r="I245" t="n">
        <v>0</v>
      </c>
      <c r="J245" t="n">
        <v>0</v>
      </c>
      <c r="K245" t="n">
        <v>0</v>
      </c>
      <c r="L245" t="n">
        <v>0</v>
      </c>
      <c r="M245" t="n">
        <v>0</v>
      </c>
      <c r="N245" t="n">
        <v>0</v>
      </c>
      <c r="O245" t="n">
        <v>0</v>
      </c>
      <c r="P245" t="n">
        <v>0</v>
      </c>
      <c r="Q245" t="n">
        <v>0</v>
      </c>
      <c r="R245" s="2" t="inlineStr"/>
    </row>
    <row r="246" ht="15" customHeight="1">
      <c r="A246" t="inlineStr">
        <is>
          <t>A 6136-2025</t>
        </is>
      </c>
      <c r="B246" s="1" t="n">
        <v>45698.37601851852</v>
      </c>
      <c r="C246" s="1" t="n">
        <v>46074</v>
      </c>
      <c r="D246" t="inlineStr">
        <is>
          <t>VÄSTMANLANDS LÄN</t>
        </is>
      </c>
      <c r="E246" t="inlineStr">
        <is>
          <t>SALA</t>
        </is>
      </c>
      <c r="F246" t="inlineStr">
        <is>
          <t>Bergvik skog öst AB</t>
        </is>
      </c>
      <c r="G246" t="n">
        <v>2.2</v>
      </c>
      <c r="H246" t="n">
        <v>0</v>
      </c>
      <c r="I246" t="n">
        <v>0</v>
      </c>
      <c r="J246" t="n">
        <v>0</v>
      </c>
      <c r="K246" t="n">
        <v>0</v>
      </c>
      <c r="L246" t="n">
        <v>0</v>
      </c>
      <c r="M246" t="n">
        <v>0</v>
      </c>
      <c r="N246" t="n">
        <v>0</v>
      </c>
      <c r="O246" t="n">
        <v>0</v>
      </c>
      <c r="P246" t="n">
        <v>0</v>
      </c>
      <c r="Q246" t="n">
        <v>0</v>
      </c>
      <c r="R246" s="2" t="inlineStr"/>
    </row>
    <row r="247" ht="15" customHeight="1">
      <c r="A247" t="inlineStr">
        <is>
          <t>A 6190-2025</t>
        </is>
      </c>
      <c r="B247" s="1" t="n">
        <v>45698</v>
      </c>
      <c r="C247" s="1" t="n">
        <v>46074</v>
      </c>
      <c r="D247" t="inlineStr">
        <is>
          <t>VÄSTMANLANDS LÄN</t>
        </is>
      </c>
      <c r="E247" t="inlineStr">
        <is>
          <t>SALA</t>
        </is>
      </c>
      <c r="F247" t="inlineStr">
        <is>
          <t>Bergvik skog öst AB</t>
        </is>
      </c>
      <c r="G247" t="n">
        <v>4.6</v>
      </c>
      <c r="H247" t="n">
        <v>0</v>
      </c>
      <c r="I247" t="n">
        <v>0</v>
      </c>
      <c r="J247" t="n">
        <v>0</v>
      </c>
      <c r="K247" t="n">
        <v>0</v>
      </c>
      <c r="L247" t="n">
        <v>0</v>
      </c>
      <c r="M247" t="n">
        <v>0</v>
      </c>
      <c r="N247" t="n">
        <v>0</v>
      </c>
      <c r="O247" t="n">
        <v>0</v>
      </c>
      <c r="P247" t="n">
        <v>0</v>
      </c>
      <c r="Q247" t="n">
        <v>0</v>
      </c>
      <c r="R247" s="2" t="inlineStr"/>
    </row>
    <row r="248" ht="15" customHeight="1">
      <c r="A248" t="inlineStr">
        <is>
          <t>A 988-2025</t>
        </is>
      </c>
      <c r="B248" s="1" t="n">
        <v>45666.44038194444</v>
      </c>
      <c r="C248" s="1" t="n">
        <v>46074</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28284-2025</t>
        </is>
      </c>
      <c r="B249" s="1" t="n">
        <v>45818.58893518519</v>
      </c>
      <c r="C249" s="1" t="n">
        <v>46074</v>
      </c>
      <c r="D249" t="inlineStr">
        <is>
          <t>VÄSTMANLANDS LÄN</t>
        </is>
      </c>
      <c r="E249" t="inlineStr">
        <is>
          <t>SALA</t>
        </is>
      </c>
      <c r="G249" t="n">
        <v>2.4</v>
      </c>
      <c r="H249" t="n">
        <v>0</v>
      </c>
      <c r="I249" t="n">
        <v>0</v>
      </c>
      <c r="J249" t="n">
        <v>0</v>
      </c>
      <c r="K249" t="n">
        <v>0</v>
      </c>
      <c r="L249" t="n">
        <v>0</v>
      </c>
      <c r="M249" t="n">
        <v>0</v>
      </c>
      <c r="N249" t="n">
        <v>0</v>
      </c>
      <c r="O249" t="n">
        <v>0</v>
      </c>
      <c r="P249" t="n">
        <v>0</v>
      </c>
      <c r="Q249" t="n">
        <v>0</v>
      </c>
      <c r="R249" s="2" t="inlineStr"/>
    </row>
    <row r="250" ht="15" customHeight="1">
      <c r="A250" t="inlineStr">
        <is>
          <t>A 60328-2024</t>
        </is>
      </c>
      <c r="B250" s="1" t="n">
        <v>45643.38416666666</v>
      </c>
      <c r="C250" s="1" t="n">
        <v>46074</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35016-2024</t>
        </is>
      </c>
      <c r="B251" s="1" t="n">
        <v>45527.59115740741</v>
      </c>
      <c r="C251" s="1" t="n">
        <v>46074</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38574-2025</t>
        </is>
      </c>
      <c r="B252" s="1" t="n">
        <v>45884.46390046296</v>
      </c>
      <c r="C252" s="1" t="n">
        <v>46074</v>
      </c>
      <c r="D252" t="inlineStr">
        <is>
          <t>VÄSTMANLANDS LÄN</t>
        </is>
      </c>
      <c r="E252" t="inlineStr">
        <is>
          <t>SALA</t>
        </is>
      </c>
      <c r="G252" t="n">
        <v>2.1</v>
      </c>
      <c r="H252" t="n">
        <v>0</v>
      </c>
      <c r="I252" t="n">
        <v>0</v>
      </c>
      <c r="J252" t="n">
        <v>0</v>
      </c>
      <c r="K252" t="n">
        <v>0</v>
      </c>
      <c r="L252" t="n">
        <v>0</v>
      </c>
      <c r="M252" t="n">
        <v>0</v>
      </c>
      <c r="N252" t="n">
        <v>0</v>
      </c>
      <c r="O252" t="n">
        <v>0</v>
      </c>
      <c r="P252" t="n">
        <v>0</v>
      </c>
      <c r="Q252" t="n">
        <v>0</v>
      </c>
      <c r="R252" s="2" t="inlineStr"/>
    </row>
    <row r="253" ht="15" customHeight="1">
      <c r="A253" t="inlineStr">
        <is>
          <t>A 25897-2024</t>
        </is>
      </c>
      <c r="B253" s="1" t="n">
        <v>45467.54435185185</v>
      </c>
      <c r="C253" s="1" t="n">
        <v>46074</v>
      </c>
      <c r="D253" t="inlineStr">
        <is>
          <t>VÄSTMANLANDS LÄN</t>
        </is>
      </c>
      <c r="E253" t="inlineStr">
        <is>
          <t>SALA</t>
        </is>
      </c>
      <c r="G253" t="n">
        <v>9.9</v>
      </c>
      <c r="H253" t="n">
        <v>0</v>
      </c>
      <c r="I253" t="n">
        <v>0</v>
      </c>
      <c r="J253" t="n">
        <v>0</v>
      </c>
      <c r="K253" t="n">
        <v>0</v>
      </c>
      <c r="L253" t="n">
        <v>0</v>
      </c>
      <c r="M253" t="n">
        <v>0</v>
      </c>
      <c r="N253" t="n">
        <v>0</v>
      </c>
      <c r="O253" t="n">
        <v>0</v>
      </c>
      <c r="P253" t="n">
        <v>0</v>
      </c>
      <c r="Q253" t="n">
        <v>0</v>
      </c>
      <c r="R253" s="2" t="inlineStr"/>
    </row>
    <row r="254" ht="15" customHeight="1">
      <c r="A254" t="inlineStr">
        <is>
          <t>A 31072-2021</t>
        </is>
      </c>
      <c r="B254" s="1" t="n">
        <v>44368</v>
      </c>
      <c r="C254" s="1" t="n">
        <v>46074</v>
      </c>
      <c r="D254" t="inlineStr">
        <is>
          <t>VÄSTMANLANDS LÄN</t>
        </is>
      </c>
      <c r="E254" t="inlineStr">
        <is>
          <t>SALA</t>
        </is>
      </c>
      <c r="G254" t="n">
        <v>1.1</v>
      </c>
      <c r="H254" t="n">
        <v>0</v>
      </c>
      <c r="I254" t="n">
        <v>0</v>
      </c>
      <c r="J254" t="n">
        <v>0</v>
      </c>
      <c r="K254" t="n">
        <v>0</v>
      </c>
      <c r="L254" t="n">
        <v>0</v>
      </c>
      <c r="M254" t="n">
        <v>0</v>
      </c>
      <c r="N254" t="n">
        <v>0</v>
      </c>
      <c r="O254" t="n">
        <v>0</v>
      </c>
      <c r="P254" t="n">
        <v>0</v>
      </c>
      <c r="Q254" t="n">
        <v>0</v>
      </c>
      <c r="R254" s="2" t="inlineStr"/>
    </row>
    <row r="255" ht="15" customHeight="1">
      <c r="A255" t="inlineStr">
        <is>
          <t>A 28278-2025</t>
        </is>
      </c>
      <c r="B255" s="1" t="n">
        <v>45818.58454861111</v>
      </c>
      <c r="C255" s="1" t="n">
        <v>46074</v>
      </c>
      <c r="D255" t="inlineStr">
        <is>
          <t>VÄSTMANLANDS LÄN</t>
        </is>
      </c>
      <c r="E255" t="inlineStr">
        <is>
          <t>SALA</t>
        </is>
      </c>
      <c r="G255" t="n">
        <v>7.6</v>
      </c>
      <c r="H255" t="n">
        <v>0</v>
      </c>
      <c r="I255" t="n">
        <v>0</v>
      </c>
      <c r="J255" t="n">
        <v>0</v>
      </c>
      <c r="K255" t="n">
        <v>0</v>
      </c>
      <c r="L255" t="n">
        <v>0</v>
      </c>
      <c r="M255" t="n">
        <v>0</v>
      </c>
      <c r="N255" t="n">
        <v>0</v>
      </c>
      <c r="O255" t="n">
        <v>0</v>
      </c>
      <c r="P255" t="n">
        <v>0</v>
      </c>
      <c r="Q255" t="n">
        <v>0</v>
      </c>
      <c r="R255" s="2" t="inlineStr"/>
    </row>
    <row r="256" ht="15" customHeight="1">
      <c r="A256" t="inlineStr">
        <is>
          <t>A 28628-2025</t>
        </is>
      </c>
      <c r="B256" s="1" t="n">
        <v>45819.62158564815</v>
      </c>
      <c r="C256" s="1" t="n">
        <v>46074</v>
      </c>
      <c r="D256" t="inlineStr">
        <is>
          <t>VÄSTMANLANDS LÄN</t>
        </is>
      </c>
      <c r="E256" t="inlineStr">
        <is>
          <t>SALA</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28632-2025</t>
        </is>
      </c>
      <c r="B257" s="1" t="n">
        <v>45819.62344907408</v>
      </c>
      <c r="C257" s="1" t="n">
        <v>46074</v>
      </c>
      <c r="D257" t="inlineStr">
        <is>
          <t>VÄSTMANLANDS LÄN</t>
        </is>
      </c>
      <c r="E257" t="inlineStr">
        <is>
          <t>SALA</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28630-2025</t>
        </is>
      </c>
      <c r="B258" s="1" t="n">
        <v>45819.62274305556</v>
      </c>
      <c r="C258" s="1" t="n">
        <v>46074</v>
      </c>
      <c r="D258" t="inlineStr">
        <is>
          <t>VÄSTMANLANDS LÄN</t>
        </is>
      </c>
      <c r="E258" t="inlineStr">
        <is>
          <t>SALA</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57371-2022</t>
        </is>
      </c>
      <c r="B259" s="1" t="n">
        <v>44896.43832175926</v>
      </c>
      <c r="C259" s="1" t="n">
        <v>46074</v>
      </c>
      <c r="D259" t="inlineStr">
        <is>
          <t>VÄSTMANLANDS LÄN</t>
        </is>
      </c>
      <c r="E259" t="inlineStr">
        <is>
          <t>SALA</t>
        </is>
      </c>
      <c r="G259" t="n">
        <v>0.7</v>
      </c>
      <c r="H259" t="n">
        <v>0</v>
      </c>
      <c r="I259" t="n">
        <v>0</v>
      </c>
      <c r="J259" t="n">
        <v>0</v>
      </c>
      <c r="K259" t="n">
        <v>0</v>
      </c>
      <c r="L259" t="n">
        <v>0</v>
      </c>
      <c r="M259" t="n">
        <v>0</v>
      </c>
      <c r="N259" t="n">
        <v>0</v>
      </c>
      <c r="O259" t="n">
        <v>0</v>
      </c>
      <c r="P259" t="n">
        <v>0</v>
      </c>
      <c r="Q259" t="n">
        <v>0</v>
      </c>
      <c r="R259" s="2" t="inlineStr"/>
    </row>
    <row r="260" ht="15" customHeight="1">
      <c r="A260" t="inlineStr">
        <is>
          <t>A 22019-2021</t>
        </is>
      </c>
      <c r="B260" s="1" t="n">
        <v>44323</v>
      </c>
      <c r="C260" s="1" t="n">
        <v>46074</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55784-2024</t>
        </is>
      </c>
      <c r="B261" s="1" t="n">
        <v>45623</v>
      </c>
      <c r="C261" s="1" t="n">
        <v>46074</v>
      </c>
      <c r="D261" t="inlineStr">
        <is>
          <t>VÄSTMANLANDS LÄN</t>
        </is>
      </c>
      <c r="E261" t="inlineStr">
        <is>
          <t>SALA</t>
        </is>
      </c>
      <c r="F261" t="inlineStr">
        <is>
          <t>Bergvik skog öst AB</t>
        </is>
      </c>
      <c r="G261" t="n">
        <v>28.4</v>
      </c>
      <c r="H261" t="n">
        <v>0</v>
      </c>
      <c r="I261" t="n">
        <v>0</v>
      </c>
      <c r="J261" t="n">
        <v>0</v>
      </c>
      <c r="K261" t="n">
        <v>0</v>
      </c>
      <c r="L261" t="n">
        <v>0</v>
      </c>
      <c r="M261" t="n">
        <v>0</v>
      </c>
      <c r="N261" t="n">
        <v>0</v>
      </c>
      <c r="O261" t="n">
        <v>0</v>
      </c>
      <c r="P261" t="n">
        <v>0</v>
      </c>
      <c r="Q261" t="n">
        <v>0</v>
      </c>
      <c r="R261" s="2" t="inlineStr"/>
    </row>
    <row r="262" ht="15" customHeight="1">
      <c r="A262" t="inlineStr">
        <is>
          <t>A 31864-2025</t>
        </is>
      </c>
      <c r="B262" s="1" t="n">
        <v>45834.63819444444</v>
      </c>
      <c r="C262" s="1" t="n">
        <v>46074</v>
      </c>
      <c r="D262" t="inlineStr">
        <is>
          <t>VÄSTMANLANDS LÄN</t>
        </is>
      </c>
      <c r="E262" t="inlineStr">
        <is>
          <t>SALA</t>
        </is>
      </c>
      <c r="G262" t="n">
        <v>6.3</v>
      </c>
      <c r="H262" t="n">
        <v>0</v>
      </c>
      <c r="I262" t="n">
        <v>0</v>
      </c>
      <c r="J262" t="n">
        <v>0</v>
      </c>
      <c r="K262" t="n">
        <v>0</v>
      </c>
      <c r="L262" t="n">
        <v>0</v>
      </c>
      <c r="M262" t="n">
        <v>0</v>
      </c>
      <c r="N262" t="n">
        <v>0</v>
      </c>
      <c r="O262" t="n">
        <v>0</v>
      </c>
      <c r="P262" t="n">
        <v>0</v>
      </c>
      <c r="Q262" t="n">
        <v>0</v>
      </c>
      <c r="R262" s="2" t="inlineStr"/>
    </row>
    <row r="263" ht="15" customHeight="1">
      <c r="A263" t="inlineStr">
        <is>
          <t>A 16651-2021</t>
        </is>
      </c>
      <c r="B263" s="1" t="n">
        <v>44294.50096064815</v>
      </c>
      <c r="C263" s="1" t="n">
        <v>46074</v>
      </c>
      <c r="D263" t="inlineStr">
        <is>
          <t>VÄSTMANLANDS LÄN</t>
        </is>
      </c>
      <c r="E263" t="inlineStr">
        <is>
          <t>SALA</t>
        </is>
      </c>
      <c r="G263" t="n">
        <v>7.7</v>
      </c>
      <c r="H263" t="n">
        <v>0</v>
      </c>
      <c r="I263" t="n">
        <v>0</v>
      </c>
      <c r="J263" t="n">
        <v>0</v>
      </c>
      <c r="K263" t="n">
        <v>0</v>
      </c>
      <c r="L263" t="n">
        <v>0</v>
      </c>
      <c r="M263" t="n">
        <v>0</v>
      </c>
      <c r="N263" t="n">
        <v>0</v>
      </c>
      <c r="O263" t="n">
        <v>0</v>
      </c>
      <c r="P263" t="n">
        <v>0</v>
      </c>
      <c r="Q263" t="n">
        <v>0</v>
      </c>
      <c r="R263" s="2" t="inlineStr"/>
    </row>
    <row r="264" ht="15" customHeight="1">
      <c r="A264" t="inlineStr">
        <is>
          <t>A 28837-2025</t>
        </is>
      </c>
      <c r="B264" s="1" t="n">
        <v>45820.56243055555</v>
      </c>
      <c r="C264" s="1" t="n">
        <v>46074</v>
      </c>
      <c r="D264" t="inlineStr">
        <is>
          <t>VÄSTMANLANDS LÄN</t>
        </is>
      </c>
      <c r="E264" t="inlineStr">
        <is>
          <t>SALA</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28849-2025</t>
        </is>
      </c>
      <c r="B265" s="1" t="n">
        <v>45820</v>
      </c>
      <c r="C265" s="1" t="n">
        <v>46074</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16651-2021</t>
        </is>
      </c>
      <c r="B266" s="1" t="n">
        <v>44294.50096064815</v>
      </c>
      <c r="C266" s="1" t="n">
        <v>46074</v>
      </c>
      <c r="D266" t="inlineStr">
        <is>
          <t>VÄSTMANLANDS LÄN</t>
        </is>
      </c>
      <c r="E266" t="inlineStr">
        <is>
          <t>SALA</t>
        </is>
      </c>
      <c r="G266" t="n">
        <v>7.7</v>
      </c>
      <c r="H266" t="n">
        <v>0</v>
      </c>
      <c r="I266" t="n">
        <v>0</v>
      </c>
      <c r="J266" t="n">
        <v>0</v>
      </c>
      <c r="K266" t="n">
        <v>0</v>
      </c>
      <c r="L266" t="n">
        <v>0</v>
      </c>
      <c r="M266" t="n">
        <v>0</v>
      </c>
      <c r="N266" t="n">
        <v>0</v>
      </c>
      <c r="O266" t="n">
        <v>0</v>
      </c>
      <c r="P266" t="n">
        <v>0</v>
      </c>
      <c r="Q266" t="n">
        <v>0</v>
      </c>
      <c r="R266" s="2" t="inlineStr"/>
    </row>
    <row r="267" ht="15" customHeight="1">
      <c r="A267" t="inlineStr">
        <is>
          <t>A 19803-2024</t>
        </is>
      </c>
      <c r="B267" s="1" t="n">
        <v>45432</v>
      </c>
      <c r="C267" s="1" t="n">
        <v>46074</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29085-2025</t>
        </is>
      </c>
      <c r="B268" s="1" t="n">
        <v>45821</v>
      </c>
      <c r="C268" s="1" t="n">
        <v>46074</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7196-2025</t>
        </is>
      </c>
      <c r="B269" s="1" t="n">
        <v>45702</v>
      </c>
      <c r="C269" s="1" t="n">
        <v>46074</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29691-2025</t>
        </is>
      </c>
      <c r="B270" s="1" t="n">
        <v>45825.53645833334</v>
      </c>
      <c r="C270" s="1" t="n">
        <v>46074</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60541-2024</t>
        </is>
      </c>
      <c r="B271" s="1" t="n">
        <v>45643</v>
      </c>
      <c r="C271" s="1" t="n">
        <v>46074</v>
      </c>
      <c r="D271" t="inlineStr">
        <is>
          <t>VÄSTMANLANDS LÄN</t>
        </is>
      </c>
      <c r="E271" t="inlineStr">
        <is>
          <t>SALA</t>
        </is>
      </c>
      <c r="G271" t="n">
        <v>10.6</v>
      </c>
      <c r="H271" t="n">
        <v>0</v>
      </c>
      <c r="I271" t="n">
        <v>0</v>
      </c>
      <c r="J271" t="n">
        <v>0</v>
      </c>
      <c r="K271" t="n">
        <v>0</v>
      </c>
      <c r="L271" t="n">
        <v>0</v>
      </c>
      <c r="M271" t="n">
        <v>0</v>
      </c>
      <c r="N271" t="n">
        <v>0</v>
      </c>
      <c r="O271" t="n">
        <v>0</v>
      </c>
      <c r="P271" t="n">
        <v>0</v>
      </c>
      <c r="Q271" t="n">
        <v>0</v>
      </c>
      <c r="R271" s="2" t="inlineStr"/>
    </row>
    <row r="272" ht="15" customHeight="1">
      <c r="A272" t="inlineStr">
        <is>
          <t>A 40597-2022</t>
        </is>
      </c>
      <c r="B272" s="1" t="n">
        <v>44823.84862268518</v>
      </c>
      <c r="C272" s="1" t="n">
        <v>46074</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39167-2025</t>
        </is>
      </c>
      <c r="B273" s="1" t="n">
        <v>45888</v>
      </c>
      <c r="C273" s="1" t="n">
        <v>46074</v>
      </c>
      <c r="D273" t="inlineStr">
        <is>
          <t>VÄSTMANLANDS LÄN</t>
        </is>
      </c>
      <c r="E273" t="inlineStr">
        <is>
          <t>SALA</t>
        </is>
      </c>
      <c r="G273" t="n">
        <v>5.5</v>
      </c>
      <c r="H273" t="n">
        <v>0</v>
      </c>
      <c r="I273" t="n">
        <v>0</v>
      </c>
      <c r="J273" t="n">
        <v>0</v>
      </c>
      <c r="K273" t="n">
        <v>0</v>
      </c>
      <c r="L273" t="n">
        <v>0</v>
      </c>
      <c r="M273" t="n">
        <v>0</v>
      </c>
      <c r="N273" t="n">
        <v>0</v>
      </c>
      <c r="O273" t="n">
        <v>0</v>
      </c>
      <c r="P273" t="n">
        <v>0</v>
      </c>
      <c r="Q273" t="n">
        <v>0</v>
      </c>
      <c r="R273" s="2" t="inlineStr"/>
    </row>
    <row r="274" ht="15" customHeight="1">
      <c r="A274" t="inlineStr">
        <is>
          <t>A 39182-2025</t>
        </is>
      </c>
      <c r="B274" s="1" t="n">
        <v>45888.66204861111</v>
      </c>
      <c r="C274" s="1" t="n">
        <v>46074</v>
      </c>
      <c r="D274" t="inlineStr">
        <is>
          <t>VÄSTMANLANDS LÄN</t>
        </is>
      </c>
      <c r="E274" t="inlineStr">
        <is>
          <t>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29826-2025</t>
        </is>
      </c>
      <c r="B275" s="1" t="n">
        <v>45825.85761574074</v>
      </c>
      <c r="C275" s="1" t="n">
        <v>46074</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64925-2023</t>
        </is>
      </c>
      <c r="B276" s="1" t="n">
        <v>45282</v>
      </c>
      <c r="C276" s="1" t="n">
        <v>46074</v>
      </c>
      <c r="D276" t="inlineStr">
        <is>
          <t>VÄSTMANLANDS LÄN</t>
        </is>
      </c>
      <c r="E276" t="inlineStr">
        <is>
          <t>SALA</t>
        </is>
      </c>
      <c r="G276" t="n">
        <v>2.5</v>
      </c>
      <c r="H276" t="n">
        <v>0</v>
      </c>
      <c r="I276" t="n">
        <v>0</v>
      </c>
      <c r="J276" t="n">
        <v>0</v>
      </c>
      <c r="K276" t="n">
        <v>0</v>
      </c>
      <c r="L276" t="n">
        <v>0</v>
      </c>
      <c r="M276" t="n">
        <v>0</v>
      </c>
      <c r="N276" t="n">
        <v>0</v>
      </c>
      <c r="O276" t="n">
        <v>0</v>
      </c>
      <c r="P276" t="n">
        <v>0</v>
      </c>
      <c r="Q276" t="n">
        <v>0</v>
      </c>
      <c r="R276" s="2" t="inlineStr"/>
    </row>
    <row r="277" ht="15" customHeight="1">
      <c r="A277" t="inlineStr">
        <is>
          <t>A 52498-2022</t>
        </is>
      </c>
      <c r="B277" s="1" t="n">
        <v>44874.50152777778</v>
      </c>
      <c r="C277" s="1" t="n">
        <v>46074</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23406-2024</t>
        </is>
      </c>
      <c r="B278" s="1" t="n">
        <v>45453.58296296297</v>
      </c>
      <c r="C278" s="1" t="n">
        <v>46074</v>
      </c>
      <c r="D278" t="inlineStr">
        <is>
          <t>VÄSTMANLANDS LÄN</t>
        </is>
      </c>
      <c r="E278" t="inlineStr">
        <is>
          <t>SALA</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16133-2025</t>
        </is>
      </c>
      <c r="B279" s="1" t="n">
        <v>45750</v>
      </c>
      <c r="C279" s="1" t="n">
        <v>46074</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15099-2025</t>
        </is>
      </c>
      <c r="B280" s="1" t="n">
        <v>45744.3434837963</v>
      </c>
      <c r="C280" s="1" t="n">
        <v>46074</v>
      </c>
      <c r="D280" t="inlineStr">
        <is>
          <t>VÄSTMANLANDS LÄN</t>
        </is>
      </c>
      <c r="E280" t="inlineStr">
        <is>
          <t>SALA</t>
        </is>
      </c>
      <c r="F280" t="inlineStr">
        <is>
          <t>Sveaskog</t>
        </is>
      </c>
      <c r="G280" t="n">
        <v>14.4</v>
      </c>
      <c r="H280" t="n">
        <v>0</v>
      </c>
      <c r="I280" t="n">
        <v>0</v>
      </c>
      <c r="J280" t="n">
        <v>0</v>
      </c>
      <c r="K280" t="n">
        <v>0</v>
      </c>
      <c r="L280" t="n">
        <v>0</v>
      </c>
      <c r="M280" t="n">
        <v>0</v>
      </c>
      <c r="N280" t="n">
        <v>0</v>
      </c>
      <c r="O280" t="n">
        <v>0</v>
      </c>
      <c r="P280" t="n">
        <v>0</v>
      </c>
      <c r="Q280" t="n">
        <v>0</v>
      </c>
      <c r="R280" s="2" t="inlineStr"/>
    </row>
    <row r="281" ht="15" customHeight="1">
      <c r="A281" t="inlineStr">
        <is>
          <t>A 60036-2024</t>
        </is>
      </c>
      <c r="B281" s="1" t="n">
        <v>45642.46434027778</v>
      </c>
      <c r="C281" s="1" t="n">
        <v>46074</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52827-2024</t>
        </is>
      </c>
      <c r="B282" s="1" t="n">
        <v>45610</v>
      </c>
      <c r="C282" s="1" t="n">
        <v>46074</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31608-2025</t>
        </is>
      </c>
      <c r="B283" s="1" t="n">
        <v>45833</v>
      </c>
      <c r="C283" s="1" t="n">
        <v>46074</v>
      </c>
      <c r="D283" t="inlineStr">
        <is>
          <t>VÄSTMANLANDS LÄN</t>
        </is>
      </c>
      <c r="E283" t="inlineStr">
        <is>
          <t>SALA</t>
        </is>
      </c>
      <c r="G283" t="n">
        <v>6.1</v>
      </c>
      <c r="H283" t="n">
        <v>0</v>
      </c>
      <c r="I283" t="n">
        <v>0</v>
      </c>
      <c r="J283" t="n">
        <v>0</v>
      </c>
      <c r="K283" t="n">
        <v>0</v>
      </c>
      <c r="L283" t="n">
        <v>0</v>
      </c>
      <c r="M283" t="n">
        <v>0</v>
      </c>
      <c r="N283" t="n">
        <v>0</v>
      </c>
      <c r="O283" t="n">
        <v>0</v>
      </c>
      <c r="P283" t="n">
        <v>0</v>
      </c>
      <c r="Q283" t="n">
        <v>0</v>
      </c>
      <c r="R283" s="2" t="inlineStr"/>
    </row>
    <row r="284" ht="15" customHeight="1">
      <c r="A284" t="inlineStr">
        <is>
          <t>A 40559-2025</t>
        </is>
      </c>
      <c r="B284" s="1" t="n">
        <v>45896.45037037037</v>
      </c>
      <c r="C284" s="1" t="n">
        <v>46074</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40556-2025</t>
        </is>
      </c>
      <c r="B285" s="1" t="n">
        <v>45896.44944444444</v>
      </c>
      <c r="C285" s="1" t="n">
        <v>46074</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30866-2025</t>
        </is>
      </c>
      <c r="B286" s="1" t="n">
        <v>45832.3246875</v>
      </c>
      <c r="C286" s="1" t="n">
        <v>46074</v>
      </c>
      <c r="D286" t="inlineStr">
        <is>
          <t>VÄSTMANLANDS LÄN</t>
        </is>
      </c>
      <c r="E286" t="inlineStr">
        <is>
          <t>SALA</t>
        </is>
      </c>
      <c r="G286" t="n">
        <v>14.3</v>
      </c>
      <c r="H286" t="n">
        <v>0</v>
      </c>
      <c r="I286" t="n">
        <v>0</v>
      </c>
      <c r="J286" t="n">
        <v>0</v>
      </c>
      <c r="K286" t="n">
        <v>0</v>
      </c>
      <c r="L286" t="n">
        <v>0</v>
      </c>
      <c r="M286" t="n">
        <v>0</v>
      </c>
      <c r="N286" t="n">
        <v>0</v>
      </c>
      <c r="O286" t="n">
        <v>0</v>
      </c>
      <c r="P286" t="n">
        <v>0</v>
      </c>
      <c r="Q286" t="n">
        <v>0</v>
      </c>
      <c r="R286" s="2" t="inlineStr"/>
    </row>
    <row r="287" ht="15" customHeight="1">
      <c r="A287" t="inlineStr">
        <is>
          <t>A 40620-2025</t>
        </is>
      </c>
      <c r="B287" s="1" t="n">
        <v>45896.58609953704</v>
      </c>
      <c r="C287" s="1" t="n">
        <v>46074</v>
      </c>
      <c r="D287" t="inlineStr">
        <is>
          <t>VÄSTMANLANDS LÄN</t>
        </is>
      </c>
      <c r="E287" t="inlineStr">
        <is>
          <t>SALA</t>
        </is>
      </c>
      <c r="G287" t="n">
        <v>6.7</v>
      </c>
      <c r="H287" t="n">
        <v>0</v>
      </c>
      <c r="I287" t="n">
        <v>0</v>
      </c>
      <c r="J287" t="n">
        <v>0</v>
      </c>
      <c r="K287" t="n">
        <v>0</v>
      </c>
      <c r="L287" t="n">
        <v>0</v>
      </c>
      <c r="M287" t="n">
        <v>0</v>
      </c>
      <c r="N287" t="n">
        <v>0</v>
      </c>
      <c r="O287" t="n">
        <v>0</v>
      </c>
      <c r="P287" t="n">
        <v>0</v>
      </c>
      <c r="Q287" t="n">
        <v>0</v>
      </c>
      <c r="R287" s="2" t="inlineStr"/>
    </row>
    <row r="288" ht="15" customHeight="1">
      <c r="A288" t="inlineStr">
        <is>
          <t>A 30874-2025</t>
        </is>
      </c>
      <c r="B288" s="1" t="n">
        <v>45832.34430555555</v>
      </c>
      <c r="C288" s="1" t="n">
        <v>46074</v>
      </c>
      <c r="D288" t="inlineStr">
        <is>
          <t>VÄSTMANLANDS LÄN</t>
        </is>
      </c>
      <c r="E288" t="inlineStr">
        <is>
          <t>SALA</t>
        </is>
      </c>
      <c r="G288" t="n">
        <v>8.4</v>
      </c>
      <c r="H288" t="n">
        <v>0</v>
      </c>
      <c r="I288" t="n">
        <v>0</v>
      </c>
      <c r="J288" t="n">
        <v>0</v>
      </c>
      <c r="K288" t="n">
        <v>0</v>
      </c>
      <c r="L288" t="n">
        <v>0</v>
      </c>
      <c r="M288" t="n">
        <v>0</v>
      </c>
      <c r="N288" t="n">
        <v>0</v>
      </c>
      <c r="O288" t="n">
        <v>0</v>
      </c>
      <c r="P288" t="n">
        <v>0</v>
      </c>
      <c r="Q288" t="n">
        <v>0</v>
      </c>
      <c r="R288" s="2" t="inlineStr"/>
    </row>
    <row r="289" ht="15" customHeight="1">
      <c r="A289" t="inlineStr">
        <is>
          <t>A 31573-2025</t>
        </is>
      </c>
      <c r="B289" s="1" t="n">
        <v>45833</v>
      </c>
      <c r="C289" s="1" t="n">
        <v>46074</v>
      </c>
      <c r="D289" t="inlineStr">
        <is>
          <t>VÄSTMANLANDS LÄN</t>
        </is>
      </c>
      <c r="E289" t="inlineStr">
        <is>
          <t>SALA</t>
        </is>
      </c>
      <c r="G289" t="n">
        <v>0.6</v>
      </c>
      <c r="H289" t="n">
        <v>0</v>
      </c>
      <c r="I289" t="n">
        <v>0</v>
      </c>
      <c r="J289" t="n">
        <v>0</v>
      </c>
      <c r="K289" t="n">
        <v>0</v>
      </c>
      <c r="L289" t="n">
        <v>0</v>
      </c>
      <c r="M289" t="n">
        <v>0</v>
      </c>
      <c r="N289" t="n">
        <v>0</v>
      </c>
      <c r="O289" t="n">
        <v>0</v>
      </c>
      <c r="P289" t="n">
        <v>0</v>
      </c>
      <c r="Q289" t="n">
        <v>0</v>
      </c>
      <c r="R289" s="2" t="inlineStr"/>
    </row>
    <row r="290" ht="15" customHeight="1">
      <c r="A290" t="inlineStr">
        <is>
          <t>A 31288-2025</t>
        </is>
      </c>
      <c r="B290" s="1" t="n">
        <v>45833</v>
      </c>
      <c r="C290" s="1" t="n">
        <v>46074</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31554-2025</t>
        </is>
      </c>
      <c r="B291" s="1" t="n">
        <v>45833</v>
      </c>
      <c r="C291" s="1" t="n">
        <v>46074</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16328-2025</t>
        </is>
      </c>
      <c r="B292" s="1" t="n">
        <v>45751</v>
      </c>
      <c r="C292" s="1" t="n">
        <v>46074</v>
      </c>
      <c r="D292" t="inlineStr">
        <is>
          <t>VÄSTMANLANDS LÄN</t>
        </is>
      </c>
      <c r="E292" t="inlineStr">
        <is>
          <t>SALA</t>
        </is>
      </c>
      <c r="G292" t="n">
        <v>2.9</v>
      </c>
      <c r="H292" t="n">
        <v>0</v>
      </c>
      <c r="I292" t="n">
        <v>0</v>
      </c>
      <c r="J292" t="n">
        <v>0</v>
      </c>
      <c r="K292" t="n">
        <v>0</v>
      </c>
      <c r="L292" t="n">
        <v>0</v>
      </c>
      <c r="M292" t="n">
        <v>0</v>
      </c>
      <c r="N292" t="n">
        <v>0</v>
      </c>
      <c r="O292" t="n">
        <v>0</v>
      </c>
      <c r="P292" t="n">
        <v>0</v>
      </c>
      <c r="Q292" t="n">
        <v>0</v>
      </c>
      <c r="R292" s="2" t="inlineStr"/>
    </row>
    <row r="293" ht="15" customHeight="1">
      <c r="A293" t="inlineStr">
        <is>
          <t>A 30899-2025</t>
        </is>
      </c>
      <c r="B293" s="1" t="n">
        <v>45832.35767361111</v>
      </c>
      <c r="C293" s="1" t="n">
        <v>46074</v>
      </c>
      <c r="D293" t="inlineStr">
        <is>
          <t>VÄSTMANLANDS LÄN</t>
        </is>
      </c>
      <c r="E293" t="inlineStr">
        <is>
          <t>SALA</t>
        </is>
      </c>
      <c r="G293" t="n">
        <v>3.1</v>
      </c>
      <c r="H293" t="n">
        <v>0</v>
      </c>
      <c r="I293" t="n">
        <v>0</v>
      </c>
      <c r="J293" t="n">
        <v>0</v>
      </c>
      <c r="K293" t="n">
        <v>0</v>
      </c>
      <c r="L293" t="n">
        <v>0</v>
      </c>
      <c r="M293" t="n">
        <v>0</v>
      </c>
      <c r="N293" t="n">
        <v>0</v>
      </c>
      <c r="O293" t="n">
        <v>0</v>
      </c>
      <c r="P293" t="n">
        <v>0</v>
      </c>
      <c r="Q293" t="n">
        <v>0</v>
      </c>
      <c r="R293" s="2" t="inlineStr"/>
    </row>
    <row r="294" ht="15" customHeight="1">
      <c r="A294" t="inlineStr">
        <is>
          <t>A 31065-2025</t>
        </is>
      </c>
      <c r="B294" s="1" t="n">
        <v>45832.57571759259</v>
      </c>
      <c r="C294" s="1" t="n">
        <v>46074</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41230-2025</t>
        </is>
      </c>
      <c r="B295" s="1" t="n">
        <v>45898</v>
      </c>
      <c r="C295" s="1" t="n">
        <v>46074</v>
      </c>
      <c r="D295" t="inlineStr">
        <is>
          <t>VÄSTMANLANDS LÄN</t>
        </is>
      </c>
      <c r="E295" t="inlineStr">
        <is>
          <t>SALA</t>
        </is>
      </c>
      <c r="G295" t="n">
        <v>2.3</v>
      </c>
      <c r="H295" t="n">
        <v>0</v>
      </c>
      <c r="I295" t="n">
        <v>0</v>
      </c>
      <c r="J295" t="n">
        <v>0</v>
      </c>
      <c r="K295" t="n">
        <v>0</v>
      </c>
      <c r="L295" t="n">
        <v>0</v>
      </c>
      <c r="M295" t="n">
        <v>0</v>
      </c>
      <c r="N295" t="n">
        <v>0</v>
      </c>
      <c r="O295" t="n">
        <v>0</v>
      </c>
      <c r="P295" t="n">
        <v>0</v>
      </c>
      <c r="Q295" t="n">
        <v>0</v>
      </c>
      <c r="R295" s="2" t="inlineStr"/>
    </row>
    <row r="296" ht="15" customHeight="1">
      <c r="A296" t="inlineStr">
        <is>
          <t>A 31296-2025</t>
        </is>
      </c>
      <c r="B296" s="1" t="n">
        <v>45833.36765046296</v>
      </c>
      <c r="C296" s="1" t="n">
        <v>46074</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66908-2021</t>
        </is>
      </c>
      <c r="B297" s="1" t="n">
        <v>44522</v>
      </c>
      <c r="C297" s="1" t="n">
        <v>46074</v>
      </c>
      <c r="D297" t="inlineStr">
        <is>
          <t>VÄSTMANLANDS LÄN</t>
        </is>
      </c>
      <c r="E297" t="inlineStr">
        <is>
          <t>SALA</t>
        </is>
      </c>
      <c r="G297" t="n">
        <v>2.6</v>
      </c>
      <c r="H297" t="n">
        <v>0</v>
      </c>
      <c r="I297" t="n">
        <v>0</v>
      </c>
      <c r="J297" t="n">
        <v>0</v>
      </c>
      <c r="K297" t="n">
        <v>0</v>
      </c>
      <c r="L297" t="n">
        <v>0</v>
      </c>
      <c r="M297" t="n">
        <v>0</v>
      </c>
      <c r="N297" t="n">
        <v>0</v>
      </c>
      <c r="O297" t="n">
        <v>0</v>
      </c>
      <c r="P297" t="n">
        <v>0</v>
      </c>
      <c r="Q297" t="n">
        <v>0</v>
      </c>
      <c r="R297" s="2" t="inlineStr"/>
    </row>
    <row r="298" ht="15" customHeight="1">
      <c r="A298" t="inlineStr">
        <is>
          <t>A 73835-2021</t>
        </is>
      </c>
      <c r="B298" s="1" t="n">
        <v>44552.92112268518</v>
      </c>
      <c r="C298" s="1" t="n">
        <v>46074</v>
      </c>
      <c r="D298" t="inlineStr">
        <is>
          <t>VÄSTMANLANDS LÄN</t>
        </is>
      </c>
      <c r="E298" t="inlineStr">
        <is>
          <t>SALA</t>
        </is>
      </c>
      <c r="G298" t="n">
        <v>2</v>
      </c>
      <c r="H298" t="n">
        <v>0</v>
      </c>
      <c r="I298" t="n">
        <v>0</v>
      </c>
      <c r="J298" t="n">
        <v>0</v>
      </c>
      <c r="K298" t="n">
        <v>0</v>
      </c>
      <c r="L298" t="n">
        <v>0</v>
      </c>
      <c r="M298" t="n">
        <v>0</v>
      </c>
      <c r="N298" t="n">
        <v>0</v>
      </c>
      <c r="O298" t="n">
        <v>0</v>
      </c>
      <c r="P298" t="n">
        <v>0</v>
      </c>
      <c r="Q298" t="n">
        <v>0</v>
      </c>
      <c r="R298" s="2" t="inlineStr"/>
    </row>
    <row r="299" ht="15" customHeight="1">
      <c r="A299" t="inlineStr">
        <is>
          <t>A 31748-2025</t>
        </is>
      </c>
      <c r="B299" s="1" t="n">
        <v>45834</v>
      </c>
      <c r="C299" s="1" t="n">
        <v>46074</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32210-2025</t>
        </is>
      </c>
      <c r="B300" s="1" t="n">
        <v>45835</v>
      </c>
      <c r="C300" s="1" t="n">
        <v>46074</v>
      </c>
      <c r="D300" t="inlineStr">
        <is>
          <t>VÄSTMANLANDS LÄN</t>
        </is>
      </c>
      <c r="E300" t="inlineStr">
        <is>
          <t>SALA</t>
        </is>
      </c>
      <c r="F300" t="inlineStr">
        <is>
          <t>Bergvik skog öst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41414-2025</t>
        </is>
      </c>
      <c r="B301" s="1" t="n">
        <v>45901.360625</v>
      </c>
      <c r="C301" s="1" t="n">
        <v>46074</v>
      </c>
      <c r="D301" t="inlineStr">
        <is>
          <t>VÄSTMANLANDS LÄN</t>
        </is>
      </c>
      <c r="E301" t="inlineStr">
        <is>
          <t>SALA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3810-2023</t>
        </is>
      </c>
      <c r="B302" s="1" t="n">
        <v>44951.60454861111</v>
      </c>
      <c r="C302" s="1" t="n">
        <v>46074</v>
      </c>
      <c r="D302" t="inlineStr">
        <is>
          <t>VÄSTMANLANDS LÄN</t>
        </is>
      </c>
      <c r="E302" t="inlineStr">
        <is>
          <t>SALA</t>
        </is>
      </c>
      <c r="G302" t="n">
        <v>4.2</v>
      </c>
      <c r="H302" t="n">
        <v>0</v>
      </c>
      <c r="I302" t="n">
        <v>0</v>
      </c>
      <c r="J302" t="n">
        <v>0</v>
      </c>
      <c r="K302" t="n">
        <v>0</v>
      </c>
      <c r="L302" t="n">
        <v>0</v>
      </c>
      <c r="M302" t="n">
        <v>0</v>
      </c>
      <c r="N302" t="n">
        <v>0</v>
      </c>
      <c r="O302" t="n">
        <v>0</v>
      </c>
      <c r="P302" t="n">
        <v>0</v>
      </c>
      <c r="Q302" t="n">
        <v>0</v>
      </c>
      <c r="R302" s="2" t="inlineStr"/>
    </row>
    <row r="303" ht="15" customHeight="1">
      <c r="A303" t="inlineStr">
        <is>
          <t>A 61717-2024</t>
        </is>
      </c>
      <c r="B303" s="1" t="n">
        <v>45648</v>
      </c>
      <c r="C303" s="1" t="n">
        <v>46074</v>
      </c>
      <c r="D303" t="inlineStr">
        <is>
          <t>VÄSTMANLANDS LÄN</t>
        </is>
      </c>
      <c r="E303" t="inlineStr">
        <is>
          <t>SALA</t>
        </is>
      </c>
      <c r="G303" t="n">
        <v>3.7</v>
      </c>
      <c r="H303" t="n">
        <v>0</v>
      </c>
      <c r="I303" t="n">
        <v>0</v>
      </c>
      <c r="J303" t="n">
        <v>0</v>
      </c>
      <c r="K303" t="n">
        <v>0</v>
      </c>
      <c r="L303" t="n">
        <v>0</v>
      </c>
      <c r="M303" t="n">
        <v>0</v>
      </c>
      <c r="N303" t="n">
        <v>0</v>
      </c>
      <c r="O303" t="n">
        <v>0</v>
      </c>
      <c r="P303" t="n">
        <v>0</v>
      </c>
      <c r="Q303" t="n">
        <v>0</v>
      </c>
      <c r="R303" s="2" t="inlineStr"/>
    </row>
    <row r="304" ht="15" customHeight="1">
      <c r="A304" t="inlineStr">
        <is>
          <t>A 53164-2024</t>
        </is>
      </c>
      <c r="B304" s="1" t="n">
        <v>45611.64887731482</v>
      </c>
      <c r="C304" s="1" t="n">
        <v>46074</v>
      </c>
      <c r="D304" t="inlineStr">
        <is>
          <t>VÄSTMANLANDS LÄN</t>
        </is>
      </c>
      <c r="E304" t="inlineStr">
        <is>
          <t>SALA</t>
        </is>
      </c>
      <c r="G304" t="n">
        <v>2.6</v>
      </c>
      <c r="H304" t="n">
        <v>0</v>
      </c>
      <c r="I304" t="n">
        <v>0</v>
      </c>
      <c r="J304" t="n">
        <v>0</v>
      </c>
      <c r="K304" t="n">
        <v>0</v>
      </c>
      <c r="L304" t="n">
        <v>0</v>
      </c>
      <c r="M304" t="n">
        <v>0</v>
      </c>
      <c r="N304" t="n">
        <v>0</v>
      </c>
      <c r="O304" t="n">
        <v>0</v>
      </c>
      <c r="P304" t="n">
        <v>0</v>
      </c>
      <c r="Q304" t="n">
        <v>0</v>
      </c>
      <c r="R304" s="2" t="inlineStr"/>
    </row>
    <row r="305" ht="15" customHeight="1">
      <c r="A305" t="inlineStr">
        <is>
          <t>A 41431-2025</t>
        </is>
      </c>
      <c r="B305" s="1" t="n">
        <v>45901.39347222223</v>
      </c>
      <c r="C305" s="1" t="n">
        <v>46074</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31610-2025</t>
        </is>
      </c>
      <c r="B306" s="1" t="n">
        <v>45833.78650462963</v>
      </c>
      <c r="C306" s="1" t="n">
        <v>46074</v>
      </c>
      <c r="D306" t="inlineStr">
        <is>
          <t>VÄSTMANLANDS LÄN</t>
        </is>
      </c>
      <c r="E306" t="inlineStr">
        <is>
          <t>SALA</t>
        </is>
      </c>
      <c r="G306" t="n">
        <v>8</v>
      </c>
      <c r="H306" t="n">
        <v>0</v>
      </c>
      <c r="I306" t="n">
        <v>0</v>
      </c>
      <c r="J306" t="n">
        <v>0</v>
      </c>
      <c r="K306" t="n">
        <v>0</v>
      </c>
      <c r="L306" t="n">
        <v>0</v>
      </c>
      <c r="M306" t="n">
        <v>0</v>
      </c>
      <c r="N306" t="n">
        <v>0</v>
      </c>
      <c r="O306" t="n">
        <v>0</v>
      </c>
      <c r="P306" t="n">
        <v>0</v>
      </c>
      <c r="Q306" t="n">
        <v>0</v>
      </c>
      <c r="R306" s="2" t="inlineStr"/>
    </row>
    <row r="307" ht="15" customHeight="1">
      <c r="A307" t="inlineStr">
        <is>
          <t>A 32201-2025</t>
        </is>
      </c>
      <c r="B307" s="1" t="n">
        <v>45835</v>
      </c>
      <c r="C307" s="1" t="n">
        <v>46074</v>
      </c>
      <c r="D307" t="inlineStr">
        <is>
          <t>VÄSTMANLANDS LÄN</t>
        </is>
      </c>
      <c r="E307" t="inlineStr">
        <is>
          <t>SALA</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31612-2025</t>
        </is>
      </c>
      <c r="B308" s="1" t="n">
        <v>45833.80056712963</v>
      </c>
      <c r="C308" s="1" t="n">
        <v>46074</v>
      </c>
      <c r="D308" t="inlineStr">
        <is>
          <t>VÄSTMANLANDS LÄN</t>
        </is>
      </c>
      <c r="E308" t="inlineStr">
        <is>
          <t>SALA</t>
        </is>
      </c>
      <c r="G308" t="n">
        <v>6.3</v>
      </c>
      <c r="H308" t="n">
        <v>0</v>
      </c>
      <c r="I308" t="n">
        <v>0</v>
      </c>
      <c r="J308" t="n">
        <v>0</v>
      </c>
      <c r="K308" t="n">
        <v>0</v>
      </c>
      <c r="L308" t="n">
        <v>0</v>
      </c>
      <c r="M308" t="n">
        <v>0</v>
      </c>
      <c r="N308" t="n">
        <v>0</v>
      </c>
      <c r="O308" t="n">
        <v>0</v>
      </c>
      <c r="P308" t="n">
        <v>0</v>
      </c>
      <c r="Q308" t="n">
        <v>0</v>
      </c>
      <c r="R308" s="2" t="inlineStr"/>
    </row>
    <row r="309" ht="15" customHeight="1">
      <c r="A309" t="inlineStr">
        <is>
          <t>A 32207-2025</t>
        </is>
      </c>
      <c r="B309" s="1" t="n">
        <v>45835</v>
      </c>
      <c r="C309" s="1" t="n">
        <v>46074</v>
      </c>
      <c r="D309" t="inlineStr">
        <is>
          <t>VÄSTMANLANDS LÄN</t>
        </is>
      </c>
      <c r="E309" t="inlineStr">
        <is>
          <t>SALA</t>
        </is>
      </c>
      <c r="F309" t="inlineStr">
        <is>
          <t>Bergvik skog öst AB</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31762-2025</t>
        </is>
      </c>
      <c r="B310" s="1" t="n">
        <v>45834.49288194445</v>
      </c>
      <c r="C310" s="1" t="n">
        <v>46074</v>
      </c>
      <c r="D310" t="inlineStr">
        <is>
          <t>VÄSTMANLANDS LÄN</t>
        </is>
      </c>
      <c r="E310" t="inlineStr">
        <is>
          <t>SALA</t>
        </is>
      </c>
      <c r="G310" t="n">
        <v>5.9</v>
      </c>
      <c r="H310" t="n">
        <v>0</v>
      </c>
      <c r="I310" t="n">
        <v>0</v>
      </c>
      <c r="J310" t="n">
        <v>0</v>
      </c>
      <c r="K310" t="n">
        <v>0</v>
      </c>
      <c r="L310" t="n">
        <v>0</v>
      </c>
      <c r="M310" t="n">
        <v>0</v>
      </c>
      <c r="N310" t="n">
        <v>0</v>
      </c>
      <c r="O310" t="n">
        <v>0</v>
      </c>
      <c r="P310" t="n">
        <v>0</v>
      </c>
      <c r="Q310" t="n">
        <v>0</v>
      </c>
      <c r="R310" s="2" t="inlineStr"/>
    </row>
    <row r="311" ht="15" customHeight="1">
      <c r="A311" t="inlineStr">
        <is>
          <t>A 31771-2025</t>
        </is>
      </c>
      <c r="B311" s="1" t="n">
        <v>45834.50910879629</v>
      </c>
      <c r="C311" s="1" t="n">
        <v>46074</v>
      </c>
      <c r="D311" t="inlineStr">
        <is>
          <t>VÄSTMANLANDS LÄN</t>
        </is>
      </c>
      <c r="E311" t="inlineStr">
        <is>
          <t>SALA</t>
        </is>
      </c>
      <c r="G311" t="n">
        <v>5.1</v>
      </c>
      <c r="H311" t="n">
        <v>0</v>
      </c>
      <c r="I311" t="n">
        <v>0</v>
      </c>
      <c r="J311" t="n">
        <v>0</v>
      </c>
      <c r="K311" t="n">
        <v>0</v>
      </c>
      <c r="L311" t="n">
        <v>0</v>
      </c>
      <c r="M311" t="n">
        <v>0</v>
      </c>
      <c r="N311" t="n">
        <v>0</v>
      </c>
      <c r="O311" t="n">
        <v>0</v>
      </c>
      <c r="P311" t="n">
        <v>0</v>
      </c>
      <c r="Q311" t="n">
        <v>0</v>
      </c>
      <c r="R311" s="2" t="inlineStr"/>
    </row>
    <row r="312" ht="15" customHeight="1">
      <c r="A312" t="inlineStr">
        <is>
          <t>A 32205-2025</t>
        </is>
      </c>
      <c r="B312" s="1" t="n">
        <v>45835</v>
      </c>
      <c r="C312" s="1" t="n">
        <v>46074</v>
      </c>
      <c r="D312" t="inlineStr">
        <is>
          <t>VÄSTMANLANDS LÄN</t>
        </is>
      </c>
      <c r="E312" t="inlineStr">
        <is>
          <t>SALA</t>
        </is>
      </c>
      <c r="F312" t="inlineStr">
        <is>
          <t>Bergvik skog öst AB</t>
        </is>
      </c>
      <c r="G312" t="n">
        <v>1.1</v>
      </c>
      <c r="H312" t="n">
        <v>0</v>
      </c>
      <c r="I312" t="n">
        <v>0</v>
      </c>
      <c r="J312" t="n">
        <v>0</v>
      </c>
      <c r="K312" t="n">
        <v>0</v>
      </c>
      <c r="L312" t="n">
        <v>0</v>
      </c>
      <c r="M312" t="n">
        <v>0</v>
      </c>
      <c r="N312" t="n">
        <v>0</v>
      </c>
      <c r="O312" t="n">
        <v>0</v>
      </c>
      <c r="P312" t="n">
        <v>0</v>
      </c>
      <c r="Q312" t="n">
        <v>0</v>
      </c>
      <c r="R312" s="2" t="inlineStr"/>
    </row>
    <row r="313" ht="15" customHeight="1">
      <c r="A313" t="inlineStr">
        <is>
          <t>A 32286-2025</t>
        </is>
      </c>
      <c r="B313" s="1" t="n">
        <v>45835</v>
      </c>
      <c r="C313" s="1" t="n">
        <v>46074</v>
      </c>
      <c r="D313" t="inlineStr">
        <is>
          <t>VÄSTMANLANDS LÄN</t>
        </is>
      </c>
      <c r="E313" t="inlineStr">
        <is>
          <t>SALA</t>
        </is>
      </c>
      <c r="G313" t="n">
        <v>6.4</v>
      </c>
      <c r="H313" t="n">
        <v>0</v>
      </c>
      <c r="I313" t="n">
        <v>0</v>
      </c>
      <c r="J313" t="n">
        <v>0</v>
      </c>
      <c r="K313" t="n">
        <v>0</v>
      </c>
      <c r="L313" t="n">
        <v>0</v>
      </c>
      <c r="M313" t="n">
        <v>0</v>
      </c>
      <c r="N313" t="n">
        <v>0</v>
      </c>
      <c r="O313" t="n">
        <v>0</v>
      </c>
      <c r="P313" t="n">
        <v>0</v>
      </c>
      <c r="Q313" t="n">
        <v>0</v>
      </c>
      <c r="R313" s="2" t="inlineStr"/>
    </row>
    <row r="314" ht="15" customHeight="1">
      <c r="A314" t="inlineStr">
        <is>
          <t>A 12252-2023</t>
        </is>
      </c>
      <c r="B314" s="1" t="n">
        <v>44995</v>
      </c>
      <c r="C314" s="1" t="n">
        <v>46074</v>
      </c>
      <c r="D314" t="inlineStr">
        <is>
          <t>VÄSTMANLANDS LÄN</t>
        </is>
      </c>
      <c r="E314" t="inlineStr">
        <is>
          <t>SALA</t>
        </is>
      </c>
      <c r="G314" t="n">
        <v>2.6</v>
      </c>
      <c r="H314" t="n">
        <v>0</v>
      </c>
      <c r="I314" t="n">
        <v>0</v>
      </c>
      <c r="J314" t="n">
        <v>0</v>
      </c>
      <c r="K314" t="n">
        <v>0</v>
      </c>
      <c r="L314" t="n">
        <v>0</v>
      </c>
      <c r="M314" t="n">
        <v>0</v>
      </c>
      <c r="N314" t="n">
        <v>0</v>
      </c>
      <c r="O314" t="n">
        <v>0</v>
      </c>
      <c r="P314" t="n">
        <v>0</v>
      </c>
      <c r="Q314" t="n">
        <v>0</v>
      </c>
      <c r="R314" s="2" t="inlineStr"/>
    </row>
    <row r="315" ht="15" customHeight="1">
      <c r="A315" t="inlineStr">
        <is>
          <t>A 32902-2025</t>
        </is>
      </c>
      <c r="B315" s="1" t="n">
        <v>45839</v>
      </c>
      <c r="C315" s="1" t="n">
        <v>46074</v>
      </c>
      <c r="D315" t="inlineStr">
        <is>
          <t>VÄSTMANLANDS LÄN</t>
        </is>
      </c>
      <c r="E315" t="inlineStr">
        <is>
          <t>SALA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21968-2024</t>
        </is>
      </c>
      <c r="B316" s="1" t="n">
        <v>45443</v>
      </c>
      <c r="C316" s="1" t="n">
        <v>46074</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42421-2025</t>
        </is>
      </c>
      <c r="B317" s="1" t="n">
        <v>45905.40067129629</v>
      </c>
      <c r="C317" s="1" t="n">
        <v>46074</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25260-2023</t>
        </is>
      </c>
      <c r="B318" s="1" t="n">
        <v>45086</v>
      </c>
      <c r="C318" s="1" t="n">
        <v>46074</v>
      </c>
      <c r="D318" t="inlineStr">
        <is>
          <t>VÄSTMANLANDS LÄN</t>
        </is>
      </c>
      <c r="E318" t="inlineStr">
        <is>
          <t>SALA</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57404-2024</t>
        </is>
      </c>
      <c r="B319" s="1" t="n">
        <v>45629.71967592592</v>
      </c>
      <c r="C319" s="1" t="n">
        <v>46074</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17495-2024</t>
        </is>
      </c>
      <c r="B320" s="1" t="n">
        <v>45415</v>
      </c>
      <c r="C320" s="1" t="n">
        <v>46074</v>
      </c>
      <c r="D320" t="inlineStr">
        <is>
          <t>VÄSTMANLANDS LÄN</t>
        </is>
      </c>
      <c r="E320" t="inlineStr">
        <is>
          <t>SALA</t>
        </is>
      </c>
      <c r="G320" t="n">
        <v>3.1</v>
      </c>
      <c r="H320" t="n">
        <v>0</v>
      </c>
      <c r="I320" t="n">
        <v>0</v>
      </c>
      <c r="J320" t="n">
        <v>0</v>
      </c>
      <c r="K320" t="n">
        <v>0</v>
      </c>
      <c r="L320" t="n">
        <v>0</v>
      </c>
      <c r="M320" t="n">
        <v>0</v>
      </c>
      <c r="N320" t="n">
        <v>0</v>
      </c>
      <c r="O320" t="n">
        <v>0</v>
      </c>
      <c r="P320" t="n">
        <v>0</v>
      </c>
      <c r="Q320" t="n">
        <v>0</v>
      </c>
      <c r="R320" s="2" t="inlineStr"/>
    </row>
    <row r="321" ht="15" customHeight="1">
      <c r="A321" t="inlineStr">
        <is>
          <t>A 37263-2025</t>
        </is>
      </c>
      <c r="B321" s="1" t="n">
        <v>45876.4584837963</v>
      </c>
      <c r="C321" s="1" t="n">
        <v>46074</v>
      </c>
      <c r="D321" t="inlineStr">
        <is>
          <t>VÄSTMANLANDS LÄN</t>
        </is>
      </c>
      <c r="E321" t="inlineStr">
        <is>
          <t>SALA</t>
        </is>
      </c>
      <c r="G321" t="n">
        <v>2.3</v>
      </c>
      <c r="H321" t="n">
        <v>0</v>
      </c>
      <c r="I321" t="n">
        <v>0</v>
      </c>
      <c r="J321" t="n">
        <v>0</v>
      </c>
      <c r="K321" t="n">
        <v>0</v>
      </c>
      <c r="L321" t="n">
        <v>0</v>
      </c>
      <c r="M321" t="n">
        <v>0</v>
      </c>
      <c r="N321" t="n">
        <v>0</v>
      </c>
      <c r="O321" t="n">
        <v>0</v>
      </c>
      <c r="P321" t="n">
        <v>0</v>
      </c>
      <c r="Q321" t="n">
        <v>0</v>
      </c>
      <c r="R321" s="2" t="inlineStr"/>
    </row>
    <row r="322" ht="15" customHeight="1">
      <c r="A322" t="inlineStr">
        <is>
          <t>A 43127-2025</t>
        </is>
      </c>
      <c r="B322" s="1" t="n">
        <v>45909</v>
      </c>
      <c r="C322" s="1" t="n">
        <v>46074</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13128-2023</t>
        </is>
      </c>
      <c r="B323" s="1" t="n">
        <v>45002</v>
      </c>
      <c r="C323" s="1" t="n">
        <v>46074</v>
      </c>
      <c r="D323" t="inlineStr">
        <is>
          <t>VÄSTMANLANDS LÄN</t>
        </is>
      </c>
      <c r="E323" t="inlineStr">
        <is>
          <t>SALA</t>
        </is>
      </c>
      <c r="G323" t="n">
        <v>7.9</v>
      </c>
      <c r="H323" t="n">
        <v>0</v>
      </c>
      <c r="I323" t="n">
        <v>0</v>
      </c>
      <c r="J323" t="n">
        <v>0</v>
      </c>
      <c r="K323" t="n">
        <v>0</v>
      </c>
      <c r="L323" t="n">
        <v>0</v>
      </c>
      <c r="M323" t="n">
        <v>0</v>
      </c>
      <c r="N323" t="n">
        <v>0</v>
      </c>
      <c r="O323" t="n">
        <v>0</v>
      </c>
      <c r="P323" t="n">
        <v>0</v>
      </c>
      <c r="Q323" t="n">
        <v>0</v>
      </c>
      <c r="R323" s="2" t="inlineStr"/>
    </row>
    <row r="324" ht="15" customHeight="1">
      <c r="A324" t="inlineStr">
        <is>
          <t>A 43128-2025</t>
        </is>
      </c>
      <c r="B324" s="1" t="n">
        <v>45909</v>
      </c>
      <c r="C324" s="1" t="n">
        <v>46074</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40554-2025</t>
        </is>
      </c>
      <c r="B325" s="1" t="n">
        <v>45896.44506944445</v>
      </c>
      <c r="C325" s="1" t="n">
        <v>46074</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43129-2025</t>
        </is>
      </c>
      <c r="B326" s="1" t="n">
        <v>45909</v>
      </c>
      <c r="C326" s="1" t="n">
        <v>46074</v>
      </c>
      <c r="D326" t="inlineStr">
        <is>
          <t>VÄSTMANLANDS LÄN</t>
        </is>
      </c>
      <c r="E326" t="inlineStr">
        <is>
          <t>SALA</t>
        </is>
      </c>
      <c r="G326" t="n">
        <v>2.4</v>
      </c>
      <c r="H326" t="n">
        <v>0</v>
      </c>
      <c r="I326" t="n">
        <v>0</v>
      </c>
      <c r="J326" t="n">
        <v>0</v>
      </c>
      <c r="K326" t="n">
        <v>0</v>
      </c>
      <c r="L326" t="n">
        <v>0</v>
      </c>
      <c r="M326" t="n">
        <v>0</v>
      </c>
      <c r="N326" t="n">
        <v>0</v>
      </c>
      <c r="O326" t="n">
        <v>0</v>
      </c>
      <c r="P326" t="n">
        <v>0</v>
      </c>
      <c r="Q326" t="n">
        <v>0</v>
      </c>
      <c r="R326" s="2" t="inlineStr"/>
    </row>
    <row r="327" ht="15" customHeight="1">
      <c r="A327" t="inlineStr">
        <is>
          <t>A 43130-2025</t>
        </is>
      </c>
      <c r="B327" s="1" t="n">
        <v>45909</v>
      </c>
      <c r="C327" s="1" t="n">
        <v>46074</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43028-2025</t>
        </is>
      </c>
      <c r="B328" s="1" t="n">
        <v>45909.53472222222</v>
      </c>
      <c r="C328" s="1" t="n">
        <v>46074</v>
      </c>
      <c r="D328" t="inlineStr">
        <is>
          <t>VÄSTMANLANDS LÄN</t>
        </is>
      </c>
      <c r="E328" t="inlineStr">
        <is>
          <t>SALA</t>
        </is>
      </c>
      <c r="G328" t="n">
        <v>3.8</v>
      </c>
      <c r="H328" t="n">
        <v>0</v>
      </c>
      <c r="I328" t="n">
        <v>0</v>
      </c>
      <c r="J328" t="n">
        <v>0</v>
      </c>
      <c r="K328" t="n">
        <v>0</v>
      </c>
      <c r="L328" t="n">
        <v>0</v>
      </c>
      <c r="M328" t="n">
        <v>0</v>
      </c>
      <c r="N328" t="n">
        <v>0</v>
      </c>
      <c r="O328" t="n">
        <v>0</v>
      </c>
      <c r="P328" t="n">
        <v>0</v>
      </c>
      <c r="Q328" t="n">
        <v>0</v>
      </c>
      <c r="R328" s="2" t="inlineStr"/>
    </row>
    <row r="329" ht="15" customHeight="1">
      <c r="A329" t="inlineStr">
        <is>
          <t>A 43031-2025</t>
        </is>
      </c>
      <c r="B329" s="1" t="n">
        <v>45909.53856481481</v>
      </c>
      <c r="C329" s="1" t="n">
        <v>46074</v>
      </c>
      <c r="D329" t="inlineStr">
        <is>
          <t>VÄSTMANLANDS LÄN</t>
        </is>
      </c>
      <c r="E329" t="inlineStr">
        <is>
          <t>SALA</t>
        </is>
      </c>
      <c r="G329" t="n">
        <v>0.2</v>
      </c>
      <c r="H329" t="n">
        <v>0</v>
      </c>
      <c r="I329" t="n">
        <v>0</v>
      </c>
      <c r="J329" t="n">
        <v>0</v>
      </c>
      <c r="K329" t="n">
        <v>0</v>
      </c>
      <c r="L329" t="n">
        <v>0</v>
      </c>
      <c r="M329" t="n">
        <v>0</v>
      </c>
      <c r="N329" t="n">
        <v>0</v>
      </c>
      <c r="O329" t="n">
        <v>0</v>
      </c>
      <c r="P329" t="n">
        <v>0</v>
      </c>
      <c r="Q329" t="n">
        <v>0</v>
      </c>
      <c r="R329" s="2" t="inlineStr"/>
    </row>
    <row r="330" ht="15" customHeight="1">
      <c r="A330" t="inlineStr">
        <is>
          <t>A 43328-2025</t>
        </is>
      </c>
      <c r="B330" s="1" t="n">
        <v>45910</v>
      </c>
      <c r="C330" s="1" t="n">
        <v>46074</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24864-2024</t>
        </is>
      </c>
      <c r="B331" s="1" t="n">
        <v>45461.48888888889</v>
      </c>
      <c r="C331" s="1" t="n">
        <v>46074</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24755-2021</t>
        </is>
      </c>
      <c r="B332" s="1" t="n">
        <v>44340</v>
      </c>
      <c r="C332" s="1" t="n">
        <v>46074</v>
      </c>
      <c r="D332" t="inlineStr">
        <is>
          <t>VÄSTMANLANDS LÄN</t>
        </is>
      </c>
      <c r="E332" t="inlineStr">
        <is>
          <t>SALA</t>
        </is>
      </c>
      <c r="G332" t="n">
        <v>1.2</v>
      </c>
      <c r="H332" t="n">
        <v>0</v>
      </c>
      <c r="I332" t="n">
        <v>0</v>
      </c>
      <c r="J332" t="n">
        <v>0</v>
      </c>
      <c r="K332" t="n">
        <v>0</v>
      </c>
      <c r="L332" t="n">
        <v>0</v>
      </c>
      <c r="M332" t="n">
        <v>0</v>
      </c>
      <c r="N332" t="n">
        <v>0</v>
      </c>
      <c r="O332" t="n">
        <v>0</v>
      </c>
      <c r="P332" t="n">
        <v>0</v>
      </c>
      <c r="Q332" t="n">
        <v>0</v>
      </c>
      <c r="R332" s="2" t="inlineStr"/>
    </row>
    <row r="333" ht="15" customHeight="1">
      <c r="A333" t="inlineStr">
        <is>
          <t>A 34069-2025</t>
        </is>
      </c>
      <c r="B333" s="1" t="n">
        <v>45845.43560185185</v>
      </c>
      <c r="C333" s="1" t="n">
        <v>46074</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c r="U333">
        <f>HYPERLINK("https://klasma.github.io/Logging_1981/knärot/A 34069-2025 karta knärot.png", "A 34069-2025")</f>
        <v/>
      </c>
      <c r="V333">
        <f>HYPERLINK("https://klasma.github.io/Logging_1981/klagomål/A 34069-2025 FSC-klagomål.docx", "A 34069-2025")</f>
        <v/>
      </c>
      <c r="W333">
        <f>HYPERLINK("https://klasma.github.io/Logging_1981/klagomålsmail/A 34069-2025 FSC-klagomål mail.docx", "A 34069-2025")</f>
        <v/>
      </c>
      <c r="X333">
        <f>HYPERLINK("https://klasma.github.io/Logging_1981/tillsyn/A 34069-2025 tillsynsbegäran.docx", "A 34069-2025")</f>
        <v/>
      </c>
      <c r="Y333">
        <f>HYPERLINK("https://klasma.github.io/Logging_1981/tillsynsmail/A 34069-2025 tillsynsbegäran mail.docx", "A 34069-2025")</f>
        <v/>
      </c>
    </row>
    <row r="334" ht="15" customHeight="1">
      <c r="A334" t="inlineStr">
        <is>
          <t>A 44100-2025</t>
        </is>
      </c>
      <c r="B334" s="1" t="n">
        <v>45915.56707175926</v>
      </c>
      <c r="C334" s="1" t="n">
        <v>46074</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15744-2025</t>
        </is>
      </c>
      <c r="B335" s="1" t="n">
        <v>45748</v>
      </c>
      <c r="C335" s="1" t="n">
        <v>46074</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44524-2025</t>
        </is>
      </c>
      <c r="B336" s="1" t="n">
        <v>45916.72920138889</v>
      </c>
      <c r="C336" s="1" t="n">
        <v>46074</v>
      </c>
      <c r="D336" t="inlineStr">
        <is>
          <t>VÄSTMANLANDS LÄN</t>
        </is>
      </c>
      <c r="E336" t="inlineStr">
        <is>
          <t>SALA</t>
        </is>
      </c>
      <c r="G336" t="n">
        <v>1.1</v>
      </c>
      <c r="H336" t="n">
        <v>0</v>
      </c>
      <c r="I336" t="n">
        <v>0</v>
      </c>
      <c r="J336" t="n">
        <v>0</v>
      </c>
      <c r="K336" t="n">
        <v>0</v>
      </c>
      <c r="L336" t="n">
        <v>0</v>
      </c>
      <c r="M336" t="n">
        <v>0</v>
      </c>
      <c r="N336" t="n">
        <v>0</v>
      </c>
      <c r="O336" t="n">
        <v>0</v>
      </c>
      <c r="P336" t="n">
        <v>0</v>
      </c>
      <c r="Q336" t="n">
        <v>0</v>
      </c>
      <c r="R336" s="2" t="inlineStr"/>
    </row>
    <row r="337" ht="15" customHeight="1">
      <c r="A337" t="inlineStr">
        <is>
          <t>A 44486-2025</t>
        </is>
      </c>
      <c r="B337" s="1" t="n">
        <v>45916.65517361111</v>
      </c>
      <c r="C337" s="1" t="n">
        <v>46074</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45177-2025</t>
        </is>
      </c>
      <c r="B338" s="1" t="n">
        <v>45919.52444444445</v>
      </c>
      <c r="C338" s="1" t="n">
        <v>46074</v>
      </c>
      <c r="D338" t="inlineStr">
        <is>
          <t>VÄSTMANLANDS LÄN</t>
        </is>
      </c>
      <c r="E338" t="inlineStr">
        <is>
          <t>SALA</t>
        </is>
      </c>
      <c r="G338" t="n">
        <v>2.4</v>
      </c>
      <c r="H338" t="n">
        <v>0</v>
      </c>
      <c r="I338" t="n">
        <v>0</v>
      </c>
      <c r="J338" t="n">
        <v>0</v>
      </c>
      <c r="K338" t="n">
        <v>0</v>
      </c>
      <c r="L338" t="n">
        <v>0</v>
      </c>
      <c r="M338" t="n">
        <v>0</v>
      </c>
      <c r="N338" t="n">
        <v>0</v>
      </c>
      <c r="O338" t="n">
        <v>0</v>
      </c>
      <c r="P338" t="n">
        <v>0</v>
      </c>
      <c r="Q338" t="n">
        <v>0</v>
      </c>
      <c r="R338" s="2" t="inlineStr"/>
    </row>
    <row r="339" ht="15" customHeight="1">
      <c r="A339" t="inlineStr">
        <is>
          <t>A 28696-2023</t>
        </is>
      </c>
      <c r="B339" s="1" t="n">
        <v>45103.71759259259</v>
      </c>
      <c r="C339" s="1" t="n">
        <v>46074</v>
      </c>
      <c r="D339" t="inlineStr">
        <is>
          <t>VÄSTMANLANDS LÄN</t>
        </is>
      </c>
      <c r="E339" t="inlineStr">
        <is>
          <t>SALA</t>
        </is>
      </c>
      <c r="F339" t="inlineStr">
        <is>
          <t>Kommuner</t>
        </is>
      </c>
      <c r="G339" t="n">
        <v>5.9</v>
      </c>
      <c r="H339" t="n">
        <v>0</v>
      </c>
      <c r="I339" t="n">
        <v>0</v>
      </c>
      <c r="J339" t="n">
        <v>0</v>
      </c>
      <c r="K339" t="n">
        <v>0</v>
      </c>
      <c r="L339" t="n">
        <v>0</v>
      </c>
      <c r="M339" t="n">
        <v>0</v>
      </c>
      <c r="N339" t="n">
        <v>0</v>
      </c>
      <c r="O339" t="n">
        <v>0</v>
      </c>
      <c r="P339" t="n">
        <v>0</v>
      </c>
      <c r="Q339" t="n">
        <v>0</v>
      </c>
      <c r="R339" s="2" t="inlineStr"/>
    </row>
    <row r="340" ht="15" customHeight="1">
      <c r="A340" t="inlineStr">
        <is>
          <t>A 6691-2025</t>
        </is>
      </c>
      <c r="B340" s="1" t="n">
        <v>45700.50625</v>
      </c>
      <c r="C340" s="1" t="n">
        <v>46074</v>
      </c>
      <c r="D340" t="inlineStr">
        <is>
          <t>VÄSTMANLANDS LÄN</t>
        </is>
      </c>
      <c r="E340" t="inlineStr">
        <is>
          <t>SALA</t>
        </is>
      </c>
      <c r="G340" t="n">
        <v>2.1</v>
      </c>
      <c r="H340" t="n">
        <v>0</v>
      </c>
      <c r="I340" t="n">
        <v>0</v>
      </c>
      <c r="J340" t="n">
        <v>0</v>
      </c>
      <c r="K340" t="n">
        <v>0</v>
      </c>
      <c r="L340" t="n">
        <v>0</v>
      </c>
      <c r="M340" t="n">
        <v>0</v>
      </c>
      <c r="N340" t="n">
        <v>0</v>
      </c>
      <c r="O340" t="n">
        <v>0</v>
      </c>
      <c r="P340" t="n">
        <v>0</v>
      </c>
      <c r="Q340" t="n">
        <v>0</v>
      </c>
      <c r="R340" s="2" t="inlineStr"/>
    </row>
    <row r="341" ht="15" customHeight="1">
      <c r="A341" t="inlineStr">
        <is>
          <t>A 1934-2023</t>
        </is>
      </c>
      <c r="B341" s="1" t="n">
        <v>44939.43024305555</v>
      </c>
      <c r="C341" s="1" t="n">
        <v>46074</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43122-2025</t>
        </is>
      </c>
      <c r="B342" s="1" t="n">
        <v>45909</v>
      </c>
      <c r="C342" s="1" t="n">
        <v>46074</v>
      </c>
      <c r="D342" t="inlineStr">
        <is>
          <t>VÄSTMANLANDS LÄN</t>
        </is>
      </c>
      <c r="E342" t="inlineStr">
        <is>
          <t>SALA</t>
        </is>
      </c>
      <c r="G342" t="n">
        <v>3.2</v>
      </c>
      <c r="H342" t="n">
        <v>0</v>
      </c>
      <c r="I342" t="n">
        <v>0</v>
      </c>
      <c r="J342" t="n">
        <v>0</v>
      </c>
      <c r="K342" t="n">
        <v>0</v>
      </c>
      <c r="L342" t="n">
        <v>0</v>
      </c>
      <c r="M342" t="n">
        <v>0</v>
      </c>
      <c r="N342" t="n">
        <v>0</v>
      </c>
      <c r="O342" t="n">
        <v>0</v>
      </c>
      <c r="P342" t="n">
        <v>0</v>
      </c>
      <c r="Q342" t="n">
        <v>0</v>
      </c>
      <c r="R342" s="2" t="inlineStr"/>
    </row>
    <row r="343" ht="15" customHeight="1">
      <c r="A343" t="inlineStr">
        <is>
          <t>A 35519-2024</t>
        </is>
      </c>
      <c r="B343" s="1" t="n">
        <v>45531</v>
      </c>
      <c r="C343" s="1" t="n">
        <v>46074</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35775-2025</t>
        </is>
      </c>
      <c r="B344" s="1" t="n">
        <v>45860</v>
      </c>
      <c r="C344" s="1" t="n">
        <v>46074</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35779-2025</t>
        </is>
      </c>
      <c r="B345" s="1" t="n">
        <v>45860.69495370371</v>
      </c>
      <c r="C345" s="1" t="n">
        <v>46074</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35776-2025</t>
        </is>
      </c>
      <c r="B346" s="1" t="n">
        <v>45860.69211805556</v>
      </c>
      <c r="C346" s="1" t="n">
        <v>46074</v>
      </c>
      <c r="D346" t="inlineStr">
        <is>
          <t>VÄSTMANLANDS LÄN</t>
        </is>
      </c>
      <c r="E346" t="inlineStr">
        <is>
          <t>SALA</t>
        </is>
      </c>
      <c r="G346" t="n">
        <v>14.2</v>
      </c>
      <c r="H346" t="n">
        <v>0</v>
      </c>
      <c r="I346" t="n">
        <v>0</v>
      </c>
      <c r="J346" t="n">
        <v>0</v>
      </c>
      <c r="K346" t="n">
        <v>0</v>
      </c>
      <c r="L346" t="n">
        <v>0</v>
      </c>
      <c r="M346" t="n">
        <v>0</v>
      </c>
      <c r="N346" t="n">
        <v>0</v>
      </c>
      <c r="O346" t="n">
        <v>0</v>
      </c>
      <c r="P346" t="n">
        <v>0</v>
      </c>
      <c r="Q346" t="n">
        <v>0</v>
      </c>
      <c r="R346" s="2" t="inlineStr"/>
    </row>
    <row r="347" ht="15" customHeight="1">
      <c r="A347" t="inlineStr">
        <is>
          <t>A 35715-2025</t>
        </is>
      </c>
      <c r="B347" s="1" t="n">
        <v>45860.42148148148</v>
      </c>
      <c r="C347" s="1" t="n">
        <v>46074</v>
      </c>
      <c r="D347" t="inlineStr">
        <is>
          <t>VÄSTMANLANDS LÄN</t>
        </is>
      </c>
      <c r="E347" t="inlineStr">
        <is>
          <t>SALA</t>
        </is>
      </c>
      <c r="G347" t="n">
        <v>3.8</v>
      </c>
      <c r="H347" t="n">
        <v>0</v>
      </c>
      <c r="I347" t="n">
        <v>0</v>
      </c>
      <c r="J347" t="n">
        <v>0</v>
      </c>
      <c r="K347" t="n">
        <v>0</v>
      </c>
      <c r="L347" t="n">
        <v>0</v>
      </c>
      <c r="M347" t="n">
        <v>0</v>
      </c>
      <c r="N347" t="n">
        <v>0</v>
      </c>
      <c r="O347" t="n">
        <v>0</v>
      </c>
      <c r="P347" t="n">
        <v>0</v>
      </c>
      <c r="Q347" t="n">
        <v>0</v>
      </c>
      <c r="R347" s="2" t="inlineStr"/>
    </row>
    <row r="348" ht="15" customHeight="1">
      <c r="A348" t="inlineStr">
        <is>
          <t>A 45371-2025</t>
        </is>
      </c>
      <c r="B348" s="1" t="n">
        <v>45922.39001157408</v>
      </c>
      <c r="C348" s="1" t="n">
        <v>46074</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50241-2023</t>
        </is>
      </c>
      <c r="B349" s="1" t="n">
        <v>45216</v>
      </c>
      <c r="C349" s="1" t="n">
        <v>46074</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30971-2022</t>
        </is>
      </c>
      <c r="B350" s="1" t="n">
        <v>44768.46725694444</v>
      </c>
      <c r="C350" s="1" t="n">
        <v>46074</v>
      </c>
      <c r="D350" t="inlineStr">
        <is>
          <t>VÄSTMANLANDS LÄN</t>
        </is>
      </c>
      <c r="E350" t="inlineStr">
        <is>
          <t>SALA</t>
        </is>
      </c>
      <c r="G350" t="n">
        <v>2.4</v>
      </c>
      <c r="H350" t="n">
        <v>0</v>
      </c>
      <c r="I350" t="n">
        <v>0</v>
      </c>
      <c r="J350" t="n">
        <v>0</v>
      </c>
      <c r="K350" t="n">
        <v>0</v>
      </c>
      <c r="L350" t="n">
        <v>0</v>
      </c>
      <c r="M350" t="n">
        <v>0</v>
      </c>
      <c r="N350" t="n">
        <v>0</v>
      </c>
      <c r="O350" t="n">
        <v>0</v>
      </c>
      <c r="P350" t="n">
        <v>0</v>
      </c>
      <c r="Q350" t="n">
        <v>0</v>
      </c>
      <c r="R350" s="2" t="inlineStr"/>
    </row>
    <row r="351" ht="15" customHeight="1">
      <c r="A351" t="inlineStr">
        <is>
          <t>A 35651-2025</t>
        </is>
      </c>
      <c r="B351" s="1" t="n">
        <v>45859.52435185185</v>
      </c>
      <c r="C351" s="1" t="n">
        <v>46074</v>
      </c>
      <c r="D351" t="inlineStr">
        <is>
          <t>VÄSTMANLANDS LÄN</t>
        </is>
      </c>
      <c r="E351" t="inlineStr">
        <is>
          <t>SALA</t>
        </is>
      </c>
      <c r="G351" t="n">
        <v>6.3</v>
      </c>
      <c r="H351" t="n">
        <v>0</v>
      </c>
      <c r="I351" t="n">
        <v>0</v>
      </c>
      <c r="J351" t="n">
        <v>0</v>
      </c>
      <c r="K351" t="n">
        <v>0</v>
      </c>
      <c r="L351" t="n">
        <v>0</v>
      </c>
      <c r="M351" t="n">
        <v>0</v>
      </c>
      <c r="N351" t="n">
        <v>0</v>
      </c>
      <c r="O351" t="n">
        <v>0</v>
      </c>
      <c r="P351" t="n">
        <v>0</v>
      </c>
      <c r="Q351" t="n">
        <v>0</v>
      </c>
      <c r="R351" s="2" t="inlineStr"/>
    </row>
    <row r="352" ht="15" customHeight="1">
      <c r="A352" t="inlineStr">
        <is>
          <t>A 35774-2025</t>
        </is>
      </c>
      <c r="B352" s="1" t="n">
        <v>45860.68780092592</v>
      </c>
      <c r="C352" s="1" t="n">
        <v>46074</v>
      </c>
      <c r="D352" t="inlineStr">
        <is>
          <t>VÄSTMANLANDS LÄN</t>
        </is>
      </c>
      <c r="E352" t="inlineStr">
        <is>
          <t>SALA</t>
        </is>
      </c>
      <c r="G352" t="n">
        <v>6.5</v>
      </c>
      <c r="H352" t="n">
        <v>0</v>
      </c>
      <c r="I352" t="n">
        <v>0</v>
      </c>
      <c r="J352" t="n">
        <v>0</v>
      </c>
      <c r="K352" t="n">
        <v>0</v>
      </c>
      <c r="L352" t="n">
        <v>0</v>
      </c>
      <c r="M352" t="n">
        <v>0</v>
      </c>
      <c r="N352" t="n">
        <v>0</v>
      </c>
      <c r="O352" t="n">
        <v>0</v>
      </c>
      <c r="P352" t="n">
        <v>0</v>
      </c>
      <c r="Q352" t="n">
        <v>0</v>
      </c>
      <c r="R352" s="2" t="inlineStr"/>
    </row>
    <row r="353" ht="15" customHeight="1">
      <c r="A353" t="inlineStr">
        <is>
          <t>A 35637-2022</t>
        </is>
      </c>
      <c r="B353" s="1" t="n">
        <v>44799.55194444444</v>
      </c>
      <c r="C353" s="1" t="n">
        <v>46074</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19304-2025</t>
        </is>
      </c>
      <c r="B354" s="1" t="n">
        <v>45769</v>
      </c>
      <c r="C354" s="1" t="n">
        <v>46074</v>
      </c>
      <c r="D354" t="inlineStr">
        <is>
          <t>VÄSTMANLANDS LÄN</t>
        </is>
      </c>
      <c r="E354" t="inlineStr">
        <is>
          <t>SALA</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27038-2023</t>
        </is>
      </c>
      <c r="B355" s="1" t="n">
        <v>45095</v>
      </c>
      <c r="C355" s="1" t="n">
        <v>46074</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36060-2025</t>
        </is>
      </c>
      <c r="B356" s="1" t="n">
        <v>45866.39469907407</v>
      </c>
      <c r="C356" s="1" t="n">
        <v>46074</v>
      </c>
      <c r="D356" t="inlineStr">
        <is>
          <t>VÄSTMANLANDS LÄN</t>
        </is>
      </c>
      <c r="E356" t="inlineStr">
        <is>
          <t>SALA</t>
        </is>
      </c>
      <c r="F356" t="inlineStr">
        <is>
          <t>Kommuner</t>
        </is>
      </c>
      <c r="G356" t="n">
        <v>4.3</v>
      </c>
      <c r="H356" t="n">
        <v>0</v>
      </c>
      <c r="I356" t="n">
        <v>0</v>
      </c>
      <c r="J356" t="n">
        <v>0</v>
      </c>
      <c r="K356" t="n">
        <v>0</v>
      </c>
      <c r="L356" t="n">
        <v>0</v>
      </c>
      <c r="M356" t="n">
        <v>0</v>
      </c>
      <c r="N356" t="n">
        <v>0</v>
      </c>
      <c r="O356" t="n">
        <v>0</v>
      </c>
      <c r="P356" t="n">
        <v>0</v>
      </c>
      <c r="Q356" t="n">
        <v>0</v>
      </c>
      <c r="R356" s="2" t="inlineStr"/>
    </row>
    <row r="357" ht="15" customHeight="1">
      <c r="A357" t="inlineStr">
        <is>
          <t>A 45914-2025</t>
        </is>
      </c>
      <c r="B357" s="1" t="n">
        <v>45923.82582175926</v>
      </c>
      <c r="C357" s="1" t="n">
        <v>46074</v>
      </c>
      <c r="D357" t="inlineStr">
        <is>
          <t>VÄSTMANLANDS LÄN</t>
        </is>
      </c>
      <c r="E357" t="inlineStr">
        <is>
          <t>SALA</t>
        </is>
      </c>
      <c r="F357" t="inlineStr">
        <is>
          <t>Kommuner</t>
        </is>
      </c>
      <c r="G357" t="n">
        <v>18.2</v>
      </c>
      <c r="H357" t="n">
        <v>0</v>
      </c>
      <c r="I357" t="n">
        <v>0</v>
      </c>
      <c r="J357" t="n">
        <v>0</v>
      </c>
      <c r="K357" t="n">
        <v>0</v>
      </c>
      <c r="L357" t="n">
        <v>0</v>
      </c>
      <c r="M357" t="n">
        <v>0</v>
      </c>
      <c r="N357" t="n">
        <v>0</v>
      </c>
      <c r="O357" t="n">
        <v>0</v>
      </c>
      <c r="P357" t="n">
        <v>0</v>
      </c>
      <c r="Q357" t="n">
        <v>0</v>
      </c>
      <c r="R357" s="2" t="inlineStr"/>
    </row>
    <row r="358" ht="15" customHeight="1">
      <c r="A358" t="inlineStr">
        <is>
          <t>A 36031-2025</t>
        </is>
      </c>
      <c r="B358" s="1" t="n">
        <v>45865.46111111111</v>
      </c>
      <c r="C358" s="1" t="n">
        <v>46074</v>
      </c>
      <c r="D358" t="inlineStr">
        <is>
          <t>VÄSTMANLANDS LÄN</t>
        </is>
      </c>
      <c r="E358" t="inlineStr">
        <is>
          <t>SALA</t>
        </is>
      </c>
      <c r="G358" t="n">
        <v>7.2</v>
      </c>
      <c r="H358" t="n">
        <v>0</v>
      </c>
      <c r="I358" t="n">
        <v>0</v>
      </c>
      <c r="J358" t="n">
        <v>0</v>
      </c>
      <c r="K358" t="n">
        <v>0</v>
      </c>
      <c r="L358" t="n">
        <v>0</v>
      </c>
      <c r="M358" t="n">
        <v>0</v>
      </c>
      <c r="N358" t="n">
        <v>0</v>
      </c>
      <c r="O358" t="n">
        <v>0</v>
      </c>
      <c r="P358" t="n">
        <v>0</v>
      </c>
      <c r="Q358" t="n">
        <v>0</v>
      </c>
      <c r="R358" s="2" t="inlineStr"/>
    </row>
    <row r="359" ht="15" customHeight="1">
      <c r="A359" t="inlineStr">
        <is>
          <t>A 36043-2025</t>
        </is>
      </c>
      <c r="B359" s="1" t="n">
        <v>45866.35333333333</v>
      </c>
      <c r="C359" s="1" t="n">
        <v>46074</v>
      </c>
      <c r="D359" t="inlineStr">
        <is>
          <t>VÄSTMANLANDS LÄN</t>
        </is>
      </c>
      <c r="E359" t="inlineStr">
        <is>
          <t>SALA</t>
        </is>
      </c>
      <c r="F359" t="inlineStr">
        <is>
          <t>Kommuner</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23182-2022</t>
        </is>
      </c>
      <c r="B360" s="1" t="n">
        <v>44719.79707175926</v>
      </c>
      <c r="C360" s="1" t="n">
        <v>46074</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36032-2025</t>
        </is>
      </c>
      <c r="B361" s="1" t="n">
        <v>45865.48740740741</v>
      </c>
      <c r="C361" s="1" t="n">
        <v>46074</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36049-2025</t>
        </is>
      </c>
      <c r="B362" s="1" t="n">
        <v>45866.37065972222</v>
      </c>
      <c r="C362" s="1" t="n">
        <v>46074</v>
      </c>
      <c r="D362" t="inlineStr">
        <is>
          <t>VÄSTMANLANDS LÄN</t>
        </is>
      </c>
      <c r="E362" t="inlineStr">
        <is>
          <t>SALA</t>
        </is>
      </c>
      <c r="F362" t="inlineStr">
        <is>
          <t>Kommuner</t>
        </is>
      </c>
      <c r="G362" t="n">
        <v>1.9</v>
      </c>
      <c r="H362" t="n">
        <v>0</v>
      </c>
      <c r="I362" t="n">
        <v>0</v>
      </c>
      <c r="J362" t="n">
        <v>0</v>
      </c>
      <c r="K362" t="n">
        <v>0</v>
      </c>
      <c r="L362" t="n">
        <v>0</v>
      </c>
      <c r="M362" t="n">
        <v>0</v>
      </c>
      <c r="N362" t="n">
        <v>0</v>
      </c>
      <c r="O362" t="n">
        <v>0</v>
      </c>
      <c r="P362" t="n">
        <v>0</v>
      </c>
      <c r="Q362" t="n">
        <v>0</v>
      </c>
      <c r="R362" s="2" t="inlineStr"/>
    </row>
    <row r="363" ht="15" customHeight="1">
      <c r="A363" t="inlineStr">
        <is>
          <t>A 45909-2025</t>
        </is>
      </c>
      <c r="B363" s="1" t="n">
        <v>45923.75078703704</v>
      </c>
      <c r="C363" s="1" t="n">
        <v>46074</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36045-2025</t>
        </is>
      </c>
      <c r="B364" s="1" t="n">
        <v>45866.36200231482</v>
      </c>
      <c r="C364" s="1" t="n">
        <v>46074</v>
      </c>
      <c r="D364" t="inlineStr">
        <is>
          <t>VÄSTMANLANDS LÄN</t>
        </is>
      </c>
      <c r="E364" t="inlineStr">
        <is>
          <t>SALA</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31859-2023</t>
        </is>
      </c>
      <c r="B365" s="1" t="n">
        <v>45118</v>
      </c>
      <c r="C365" s="1" t="n">
        <v>46074</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c r="U365">
        <f>HYPERLINK("https://klasma.github.io/Logging_1981/knärot/A 31859-2023 karta knärot.png", "A 31859-2023")</f>
        <v/>
      </c>
      <c r="V365">
        <f>HYPERLINK("https://klasma.github.io/Logging_1981/klagomål/A 31859-2023 FSC-klagomål.docx", "A 31859-2023")</f>
        <v/>
      </c>
      <c r="W365">
        <f>HYPERLINK("https://klasma.github.io/Logging_1981/klagomålsmail/A 31859-2023 FSC-klagomål mail.docx", "A 31859-2023")</f>
        <v/>
      </c>
      <c r="X365">
        <f>HYPERLINK("https://klasma.github.io/Logging_1981/tillsyn/A 31859-2023 tillsynsbegäran.docx", "A 31859-2023")</f>
        <v/>
      </c>
      <c r="Y365">
        <f>HYPERLINK("https://klasma.github.io/Logging_1981/tillsynsmail/A 31859-2023 tillsynsbegäran mail.docx", "A 31859-2023")</f>
        <v/>
      </c>
    </row>
    <row r="366" ht="15" customHeight="1">
      <c r="A366" t="inlineStr">
        <is>
          <t>A 7469-2025</t>
        </is>
      </c>
      <c r="B366" s="1" t="n">
        <v>45705</v>
      </c>
      <c r="C366" s="1" t="n">
        <v>46074</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46915-2025</t>
        </is>
      </c>
      <c r="B367" s="1" t="n">
        <v>45929.42114583333</v>
      </c>
      <c r="C367" s="1" t="n">
        <v>46074</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17766-2025</t>
        </is>
      </c>
      <c r="B368" s="1" t="n">
        <v>45758</v>
      </c>
      <c r="C368" s="1" t="n">
        <v>46074</v>
      </c>
      <c r="D368" t="inlineStr">
        <is>
          <t>VÄSTMANLANDS LÄN</t>
        </is>
      </c>
      <c r="E368" t="inlineStr">
        <is>
          <t>SALA</t>
        </is>
      </c>
      <c r="G368" t="n">
        <v>16.5</v>
      </c>
      <c r="H368" t="n">
        <v>0</v>
      </c>
      <c r="I368" t="n">
        <v>0</v>
      </c>
      <c r="J368" t="n">
        <v>0</v>
      </c>
      <c r="K368" t="n">
        <v>0</v>
      </c>
      <c r="L368" t="n">
        <v>0</v>
      </c>
      <c r="M368" t="n">
        <v>0</v>
      </c>
      <c r="N368" t="n">
        <v>0</v>
      </c>
      <c r="O368" t="n">
        <v>0</v>
      </c>
      <c r="P368" t="n">
        <v>0</v>
      </c>
      <c r="Q368" t="n">
        <v>0</v>
      </c>
      <c r="R368" s="2" t="inlineStr"/>
    </row>
    <row r="369" ht="15" customHeight="1">
      <c r="A369" t="inlineStr">
        <is>
          <t>A 60034-2024</t>
        </is>
      </c>
      <c r="B369" s="1" t="n">
        <v>45642.46261574074</v>
      </c>
      <c r="C369" s="1" t="n">
        <v>46074</v>
      </c>
      <c r="D369" t="inlineStr">
        <is>
          <t>VÄSTMANLANDS LÄN</t>
        </is>
      </c>
      <c r="E369" t="inlineStr">
        <is>
          <t>SALA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31863-2025</t>
        </is>
      </c>
      <c r="B370" s="1" t="n">
        <v>45834.63303240741</v>
      </c>
      <c r="C370" s="1" t="n">
        <v>46074</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46597-2025</t>
        </is>
      </c>
      <c r="B371" s="1" t="n">
        <v>45926.40113425926</v>
      </c>
      <c r="C371" s="1" t="n">
        <v>46074</v>
      </c>
      <c r="D371" t="inlineStr">
        <is>
          <t>VÄSTMANLANDS LÄN</t>
        </is>
      </c>
      <c r="E371" t="inlineStr">
        <is>
          <t>SALA</t>
        </is>
      </c>
      <c r="G371" t="n">
        <v>3.4</v>
      </c>
      <c r="H371" t="n">
        <v>0</v>
      </c>
      <c r="I371" t="n">
        <v>0</v>
      </c>
      <c r="J371" t="n">
        <v>0</v>
      </c>
      <c r="K371" t="n">
        <v>0</v>
      </c>
      <c r="L371" t="n">
        <v>0</v>
      </c>
      <c r="M371" t="n">
        <v>0</v>
      </c>
      <c r="N371" t="n">
        <v>0</v>
      </c>
      <c r="O371" t="n">
        <v>0</v>
      </c>
      <c r="P371" t="n">
        <v>0</v>
      </c>
      <c r="Q371" t="n">
        <v>0</v>
      </c>
      <c r="R371" s="2" t="inlineStr"/>
    </row>
    <row r="372" ht="15" customHeight="1">
      <c r="A372" t="inlineStr">
        <is>
          <t>A 3546-2025</t>
        </is>
      </c>
      <c r="B372" s="1" t="n">
        <v>45680</v>
      </c>
      <c r="C372" s="1" t="n">
        <v>46074</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31869-2025</t>
        </is>
      </c>
      <c r="B373" s="1" t="n">
        <v>45834.64555555556</v>
      </c>
      <c r="C373" s="1" t="n">
        <v>46074</v>
      </c>
      <c r="D373" t="inlineStr">
        <is>
          <t>VÄSTMANLANDS LÄN</t>
        </is>
      </c>
      <c r="E373" t="inlineStr">
        <is>
          <t>SALA</t>
        </is>
      </c>
      <c r="G373" t="n">
        <v>17.5</v>
      </c>
      <c r="H373" t="n">
        <v>0</v>
      </c>
      <c r="I373" t="n">
        <v>0</v>
      </c>
      <c r="J373" t="n">
        <v>0</v>
      </c>
      <c r="K373" t="n">
        <v>0</v>
      </c>
      <c r="L373" t="n">
        <v>0</v>
      </c>
      <c r="M373" t="n">
        <v>0</v>
      </c>
      <c r="N373" t="n">
        <v>0</v>
      </c>
      <c r="O373" t="n">
        <v>0</v>
      </c>
      <c r="P373" t="n">
        <v>0</v>
      </c>
      <c r="Q373" t="n">
        <v>0</v>
      </c>
      <c r="R373" s="2" t="inlineStr"/>
    </row>
    <row r="374" ht="15" customHeight="1">
      <c r="A374" t="inlineStr">
        <is>
          <t>A 34867-2023</t>
        </is>
      </c>
      <c r="B374" s="1" t="n">
        <v>45142.33481481481</v>
      </c>
      <c r="C374" s="1" t="n">
        <v>46074</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47577-2025</t>
        </is>
      </c>
      <c r="B375" s="1" t="n">
        <v>45931.4047337963</v>
      </c>
      <c r="C375" s="1" t="n">
        <v>46074</v>
      </c>
      <c r="D375" t="inlineStr">
        <is>
          <t>VÄSTMANLANDS LÄN</t>
        </is>
      </c>
      <c r="E375" t="inlineStr">
        <is>
          <t>SALA</t>
        </is>
      </c>
      <c r="G375" t="n">
        <v>3.7</v>
      </c>
      <c r="H375" t="n">
        <v>0</v>
      </c>
      <c r="I375" t="n">
        <v>0</v>
      </c>
      <c r="J375" t="n">
        <v>0</v>
      </c>
      <c r="K375" t="n">
        <v>0</v>
      </c>
      <c r="L375" t="n">
        <v>0</v>
      </c>
      <c r="M375" t="n">
        <v>0</v>
      </c>
      <c r="N375" t="n">
        <v>0</v>
      </c>
      <c r="O375" t="n">
        <v>0</v>
      </c>
      <c r="P375" t="n">
        <v>0</v>
      </c>
      <c r="Q375" t="n">
        <v>0</v>
      </c>
      <c r="R375" s="2" t="inlineStr"/>
    </row>
    <row r="376" ht="15" customHeight="1">
      <c r="A376" t="inlineStr">
        <is>
          <t>A 7664-2023</t>
        </is>
      </c>
      <c r="B376" s="1" t="n">
        <v>44972</v>
      </c>
      <c r="C376" s="1" t="n">
        <v>46074</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17985-2025</t>
        </is>
      </c>
      <c r="B377" s="1" t="n">
        <v>45761</v>
      </c>
      <c r="C377" s="1" t="n">
        <v>46074</v>
      </c>
      <c r="D377" t="inlineStr">
        <is>
          <t>VÄSTMANLANDS LÄN</t>
        </is>
      </c>
      <c r="E377" t="inlineStr">
        <is>
          <t>SALA</t>
        </is>
      </c>
      <c r="G377" t="n">
        <v>12.5</v>
      </c>
      <c r="H377" t="n">
        <v>0</v>
      </c>
      <c r="I377" t="n">
        <v>0</v>
      </c>
      <c r="J377" t="n">
        <v>0</v>
      </c>
      <c r="K377" t="n">
        <v>0</v>
      </c>
      <c r="L377" t="n">
        <v>0</v>
      </c>
      <c r="M377" t="n">
        <v>0</v>
      </c>
      <c r="N377" t="n">
        <v>0</v>
      </c>
      <c r="O377" t="n">
        <v>0</v>
      </c>
      <c r="P377" t="n">
        <v>0</v>
      </c>
      <c r="Q377" t="n">
        <v>0</v>
      </c>
      <c r="R377" s="2" t="inlineStr"/>
    </row>
    <row r="378" ht="15" customHeight="1">
      <c r="A378" t="inlineStr">
        <is>
          <t>A 11631-2023</t>
        </is>
      </c>
      <c r="B378" s="1" t="n">
        <v>44994.44001157407</v>
      </c>
      <c r="C378" s="1" t="n">
        <v>46074</v>
      </c>
      <c r="D378" t="inlineStr">
        <is>
          <t>VÄSTMANLANDS LÄN</t>
        </is>
      </c>
      <c r="E378" t="inlineStr">
        <is>
          <t>SALA</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46661-2025</t>
        </is>
      </c>
      <c r="B379" s="1" t="n">
        <v>45926</v>
      </c>
      <c r="C379" s="1" t="n">
        <v>46074</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37103-2025</t>
        </is>
      </c>
      <c r="B380" s="1" t="n">
        <v>45875.47743055555</v>
      </c>
      <c r="C380" s="1" t="n">
        <v>46074</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37017-2025</t>
        </is>
      </c>
      <c r="B381" s="1" t="n">
        <v>45874</v>
      </c>
      <c r="C381" s="1" t="n">
        <v>46074</v>
      </c>
      <c r="D381" t="inlineStr">
        <is>
          <t>VÄSTMANLANDS LÄN</t>
        </is>
      </c>
      <c r="E381" t="inlineStr">
        <is>
          <t>SALA</t>
        </is>
      </c>
      <c r="G381" t="n">
        <v>11.1</v>
      </c>
      <c r="H381" t="n">
        <v>0</v>
      </c>
      <c r="I381" t="n">
        <v>0</v>
      </c>
      <c r="J381" t="n">
        <v>0</v>
      </c>
      <c r="K381" t="n">
        <v>0</v>
      </c>
      <c r="L381" t="n">
        <v>0</v>
      </c>
      <c r="M381" t="n">
        <v>0</v>
      </c>
      <c r="N381" t="n">
        <v>0</v>
      </c>
      <c r="O381" t="n">
        <v>0</v>
      </c>
      <c r="P381" t="n">
        <v>0</v>
      </c>
      <c r="Q381" t="n">
        <v>0</v>
      </c>
      <c r="R381" s="2" t="inlineStr"/>
    </row>
    <row r="382" ht="15" customHeight="1">
      <c r="A382" t="inlineStr">
        <is>
          <t>A 8775-2024</t>
        </is>
      </c>
      <c r="B382" s="1" t="n">
        <v>45356</v>
      </c>
      <c r="C382" s="1" t="n">
        <v>46074</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37246-2025</t>
        </is>
      </c>
      <c r="B383" s="1" t="n">
        <v>45876.39435185185</v>
      </c>
      <c r="C383" s="1" t="n">
        <v>46074</v>
      </c>
      <c r="D383" t="inlineStr">
        <is>
          <t>VÄSTMANLANDS LÄN</t>
        </is>
      </c>
      <c r="E383" t="inlineStr">
        <is>
          <t>SALA</t>
        </is>
      </c>
      <c r="G383" t="n">
        <v>2.3</v>
      </c>
      <c r="H383" t="n">
        <v>0</v>
      </c>
      <c r="I383" t="n">
        <v>0</v>
      </c>
      <c r="J383" t="n">
        <v>0</v>
      </c>
      <c r="K383" t="n">
        <v>0</v>
      </c>
      <c r="L383" t="n">
        <v>0</v>
      </c>
      <c r="M383" t="n">
        <v>0</v>
      </c>
      <c r="N383" t="n">
        <v>0</v>
      </c>
      <c r="O383" t="n">
        <v>0</v>
      </c>
      <c r="P383" t="n">
        <v>0</v>
      </c>
      <c r="Q383" t="n">
        <v>0</v>
      </c>
      <c r="R383" s="2" t="inlineStr"/>
    </row>
    <row r="384" ht="15" customHeight="1">
      <c r="A384" t="inlineStr">
        <is>
          <t>A 48710-2024</t>
        </is>
      </c>
      <c r="B384" s="1" t="n">
        <v>45593.53636574074</v>
      </c>
      <c r="C384" s="1" t="n">
        <v>46074</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16404-2022</t>
        </is>
      </c>
      <c r="B385" s="1" t="n">
        <v>44671</v>
      </c>
      <c r="C385" s="1" t="n">
        <v>46074</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48057-2025</t>
        </is>
      </c>
      <c r="B386" s="1" t="n">
        <v>45932.67947916667</v>
      </c>
      <c r="C386" s="1" t="n">
        <v>46074</v>
      </c>
      <c r="D386" t="inlineStr">
        <is>
          <t>VÄSTMANLANDS LÄN</t>
        </is>
      </c>
      <c r="E386" t="inlineStr">
        <is>
          <t>SALA</t>
        </is>
      </c>
      <c r="G386" t="n">
        <v>4.3</v>
      </c>
      <c r="H386" t="n">
        <v>0</v>
      </c>
      <c r="I386" t="n">
        <v>0</v>
      </c>
      <c r="J386" t="n">
        <v>0</v>
      </c>
      <c r="K386" t="n">
        <v>0</v>
      </c>
      <c r="L386" t="n">
        <v>0</v>
      </c>
      <c r="M386" t="n">
        <v>0</v>
      </c>
      <c r="N386" t="n">
        <v>0</v>
      </c>
      <c r="O386" t="n">
        <v>0</v>
      </c>
      <c r="P386" t="n">
        <v>0</v>
      </c>
      <c r="Q386" t="n">
        <v>0</v>
      </c>
      <c r="R386" s="2" t="inlineStr"/>
    </row>
    <row r="387" ht="15" customHeight="1">
      <c r="A387" t="inlineStr">
        <is>
          <t>A 37590-2025</t>
        </is>
      </c>
      <c r="B387" s="1" t="n">
        <v>45880.41138888889</v>
      </c>
      <c r="C387" s="1" t="n">
        <v>46074</v>
      </c>
      <c r="D387" t="inlineStr">
        <is>
          <t>VÄSTMANLANDS LÄN</t>
        </is>
      </c>
      <c r="E387" t="inlineStr">
        <is>
          <t>SALA</t>
        </is>
      </c>
      <c r="G387" t="n">
        <v>2.2</v>
      </c>
      <c r="H387" t="n">
        <v>0</v>
      </c>
      <c r="I387" t="n">
        <v>0</v>
      </c>
      <c r="J387" t="n">
        <v>0</v>
      </c>
      <c r="K387" t="n">
        <v>0</v>
      </c>
      <c r="L387" t="n">
        <v>0</v>
      </c>
      <c r="M387" t="n">
        <v>0</v>
      </c>
      <c r="N387" t="n">
        <v>0</v>
      </c>
      <c r="O387" t="n">
        <v>0</v>
      </c>
      <c r="P387" t="n">
        <v>0</v>
      </c>
      <c r="Q387" t="n">
        <v>0</v>
      </c>
      <c r="R387" s="2" t="inlineStr"/>
    </row>
    <row r="388" ht="15" customHeight="1">
      <c r="A388" t="inlineStr">
        <is>
          <t>A 37593-2025</t>
        </is>
      </c>
      <c r="B388" s="1" t="n">
        <v>45880.41325231481</v>
      </c>
      <c r="C388" s="1" t="n">
        <v>46074</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24248-2023</t>
        </is>
      </c>
      <c r="B389" s="1" t="n">
        <v>45079</v>
      </c>
      <c r="C389" s="1" t="n">
        <v>46074</v>
      </c>
      <c r="D389" t="inlineStr">
        <is>
          <t>VÄSTMANLANDS LÄN</t>
        </is>
      </c>
      <c r="E389" t="inlineStr">
        <is>
          <t>SALA</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48710-2025</t>
        </is>
      </c>
      <c r="B390" s="1" t="n">
        <v>45936.63184027778</v>
      </c>
      <c r="C390" s="1" t="n">
        <v>46074</v>
      </c>
      <c r="D390" t="inlineStr">
        <is>
          <t>VÄSTMANLANDS LÄN</t>
        </is>
      </c>
      <c r="E390" t="inlineStr">
        <is>
          <t>SALA</t>
        </is>
      </c>
      <c r="G390" t="n">
        <v>2.7</v>
      </c>
      <c r="H390" t="n">
        <v>0</v>
      </c>
      <c r="I390" t="n">
        <v>0</v>
      </c>
      <c r="J390" t="n">
        <v>0</v>
      </c>
      <c r="K390" t="n">
        <v>0</v>
      </c>
      <c r="L390" t="n">
        <v>0</v>
      </c>
      <c r="M390" t="n">
        <v>0</v>
      </c>
      <c r="N390" t="n">
        <v>0</v>
      </c>
      <c r="O390" t="n">
        <v>0</v>
      </c>
      <c r="P390" t="n">
        <v>0</v>
      </c>
      <c r="Q390" t="n">
        <v>0</v>
      </c>
      <c r="R390" s="2" t="inlineStr"/>
    </row>
    <row r="391" ht="15" customHeight="1">
      <c r="A391" t="inlineStr">
        <is>
          <t>A 10559-2024</t>
        </is>
      </c>
      <c r="B391" s="1" t="n">
        <v>45366</v>
      </c>
      <c r="C391" s="1" t="n">
        <v>46074</v>
      </c>
      <c r="D391" t="inlineStr">
        <is>
          <t>VÄSTMANLANDS LÄN</t>
        </is>
      </c>
      <c r="E391" t="inlineStr">
        <is>
          <t>SALA</t>
        </is>
      </c>
      <c r="G391" t="n">
        <v>0.3</v>
      </c>
      <c r="H391" t="n">
        <v>0</v>
      </c>
      <c r="I391" t="n">
        <v>0</v>
      </c>
      <c r="J391" t="n">
        <v>0</v>
      </c>
      <c r="K391" t="n">
        <v>0</v>
      </c>
      <c r="L391" t="n">
        <v>0</v>
      </c>
      <c r="M391" t="n">
        <v>0</v>
      </c>
      <c r="N391" t="n">
        <v>0</v>
      </c>
      <c r="O391" t="n">
        <v>0</v>
      </c>
      <c r="P391" t="n">
        <v>0</v>
      </c>
      <c r="Q391" t="n">
        <v>0</v>
      </c>
      <c r="R391" s="2" t="inlineStr"/>
    </row>
    <row r="392" ht="15" customHeight="1">
      <c r="A392" t="inlineStr">
        <is>
          <t>A 38294-2025</t>
        </is>
      </c>
      <c r="B392" s="1" t="n">
        <v>45883.44854166666</v>
      </c>
      <c r="C392" s="1" t="n">
        <v>46074</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40214-2023</t>
        </is>
      </c>
      <c r="B393" s="1" t="n">
        <v>45169.45173611111</v>
      </c>
      <c r="C393" s="1" t="n">
        <v>46074</v>
      </c>
      <c r="D393" t="inlineStr">
        <is>
          <t>VÄSTMANLANDS LÄN</t>
        </is>
      </c>
      <c r="E393" t="inlineStr">
        <is>
          <t>SALA</t>
        </is>
      </c>
      <c r="G393" t="n">
        <v>5.5</v>
      </c>
      <c r="H393" t="n">
        <v>0</v>
      </c>
      <c r="I393" t="n">
        <v>0</v>
      </c>
      <c r="J393" t="n">
        <v>0</v>
      </c>
      <c r="K393" t="n">
        <v>0</v>
      </c>
      <c r="L393" t="n">
        <v>0</v>
      </c>
      <c r="M393" t="n">
        <v>0</v>
      </c>
      <c r="N393" t="n">
        <v>0</v>
      </c>
      <c r="O393" t="n">
        <v>0</v>
      </c>
      <c r="P393" t="n">
        <v>0</v>
      </c>
      <c r="Q393" t="n">
        <v>0</v>
      </c>
      <c r="R393" s="2" t="inlineStr"/>
    </row>
    <row r="394" ht="15" customHeight="1">
      <c r="A394" t="inlineStr">
        <is>
          <t>A 48910-2025</t>
        </is>
      </c>
      <c r="B394" s="1" t="n">
        <v>45937.48649305556</v>
      </c>
      <c r="C394" s="1" t="n">
        <v>46074</v>
      </c>
      <c r="D394" t="inlineStr">
        <is>
          <t>VÄSTMANLANDS LÄN</t>
        </is>
      </c>
      <c r="E394" t="inlineStr">
        <is>
          <t>SALA</t>
        </is>
      </c>
      <c r="G394" t="n">
        <v>7.8</v>
      </c>
      <c r="H394" t="n">
        <v>0</v>
      </c>
      <c r="I394" t="n">
        <v>0</v>
      </c>
      <c r="J394" t="n">
        <v>0</v>
      </c>
      <c r="K394" t="n">
        <v>0</v>
      </c>
      <c r="L394" t="n">
        <v>0</v>
      </c>
      <c r="M394" t="n">
        <v>0</v>
      </c>
      <c r="N394" t="n">
        <v>0</v>
      </c>
      <c r="O394" t="n">
        <v>0</v>
      </c>
      <c r="P394" t="n">
        <v>0</v>
      </c>
      <c r="Q394" t="n">
        <v>0</v>
      </c>
      <c r="R394" s="2" t="inlineStr"/>
    </row>
    <row r="395" ht="15" customHeight="1">
      <c r="A395" t="inlineStr">
        <is>
          <t>A 9856-2022</t>
        </is>
      </c>
      <c r="B395" s="1" t="n">
        <v>44620</v>
      </c>
      <c r="C395" s="1" t="n">
        <v>46074</v>
      </c>
      <c r="D395" t="inlineStr">
        <is>
          <t>VÄSTMANLANDS LÄN</t>
        </is>
      </c>
      <c r="E395" t="inlineStr">
        <is>
          <t>SALA</t>
        </is>
      </c>
      <c r="G395" t="n">
        <v>2.4</v>
      </c>
      <c r="H395" t="n">
        <v>0</v>
      </c>
      <c r="I395" t="n">
        <v>0</v>
      </c>
      <c r="J395" t="n">
        <v>0</v>
      </c>
      <c r="K395" t="n">
        <v>0</v>
      </c>
      <c r="L395" t="n">
        <v>0</v>
      </c>
      <c r="M395" t="n">
        <v>0</v>
      </c>
      <c r="N395" t="n">
        <v>0</v>
      </c>
      <c r="O395" t="n">
        <v>0</v>
      </c>
      <c r="P395" t="n">
        <v>0</v>
      </c>
      <c r="Q395" t="n">
        <v>0</v>
      </c>
      <c r="R395" s="2" t="inlineStr"/>
    </row>
    <row r="396" ht="15" customHeight="1">
      <c r="A396" t="inlineStr">
        <is>
          <t>A 49585-2025</t>
        </is>
      </c>
      <c r="B396" s="1" t="n">
        <v>45939.5043287037</v>
      </c>
      <c r="C396" s="1" t="n">
        <v>46074</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18100-2023</t>
        </is>
      </c>
      <c r="B397" s="1" t="n">
        <v>45040</v>
      </c>
      <c r="C397" s="1" t="n">
        <v>46074</v>
      </c>
      <c r="D397" t="inlineStr">
        <is>
          <t>VÄSTMANLANDS LÄN</t>
        </is>
      </c>
      <c r="E397" t="inlineStr">
        <is>
          <t>SALA</t>
        </is>
      </c>
      <c r="G397" t="n">
        <v>1.8</v>
      </c>
      <c r="H397" t="n">
        <v>0</v>
      </c>
      <c r="I397" t="n">
        <v>0</v>
      </c>
      <c r="J397" t="n">
        <v>0</v>
      </c>
      <c r="K397" t="n">
        <v>0</v>
      </c>
      <c r="L397" t="n">
        <v>0</v>
      </c>
      <c r="M397" t="n">
        <v>0</v>
      </c>
      <c r="N397" t="n">
        <v>0</v>
      </c>
      <c r="O397" t="n">
        <v>0</v>
      </c>
      <c r="P397" t="n">
        <v>0</v>
      </c>
      <c r="Q397" t="n">
        <v>0</v>
      </c>
      <c r="R397" s="2" t="inlineStr"/>
    </row>
    <row r="398" ht="15" customHeight="1">
      <c r="A398" t="inlineStr">
        <is>
          <t>A 43359-2024</t>
        </is>
      </c>
      <c r="B398" s="1" t="n">
        <v>45568.57724537037</v>
      </c>
      <c r="C398" s="1" t="n">
        <v>46074</v>
      </c>
      <c r="D398" t="inlineStr">
        <is>
          <t>VÄSTMANLANDS LÄN</t>
        </is>
      </c>
      <c r="E398" t="inlineStr">
        <is>
          <t>SALA</t>
        </is>
      </c>
      <c r="G398" t="n">
        <v>1.6</v>
      </c>
      <c r="H398" t="n">
        <v>0</v>
      </c>
      <c r="I398" t="n">
        <v>0</v>
      </c>
      <c r="J398" t="n">
        <v>0</v>
      </c>
      <c r="K398" t="n">
        <v>0</v>
      </c>
      <c r="L398" t="n">
        <v>0</v>
      </c>
      <c r="M398" t="n">
        <v>0</v>
      </c>
      <c r="N398" t="n">
        <v>0</v>
      </c>
      <c r="O398" t="n">
        <v>0</v>
      </c>
      <c r="P398" t="n">
        <v>0</v>
      </c>
      <c r="Q398" t="n">
        <v>0</v>
      </c>
      <c r="R398" s="2" t="inlineStr"/>
    </row>
    <row r="399" ht="15" customHeight="1">
      <c r="A399" t="inlineStr">
        <is>
          <t>A 29972-2025</t>
        </is>
      </c>
      <c r="B399" s="1" t="n">
        <v>45826</v>
      </c>
      <c r="C399" s="1" t="n">
        <v>46074</v>
      </c>
      <c r="D399" t="inlineStr">
        <is>
          <t>VÄSTMANLANDS LÄN</t>
        </is>
      </c>
      <c r="E399" t="inlineStr">
        <is>
          <t>SALA</t>
        </is>
      </c>
      <c r="G399" t="n">
        <v>2.7</v>
      </c>
      <c r="H399" t="n">
        <v>0</v>
      </c>
      <c r="I399" t="n">
        <v>0</v>
      </c>
      <c r="J399" t="n">
        <v>0</v>
      </c>
      <c r="K399" t="n">
        <v>0</v>
      </c>
      <c r="L399" t="n">
        <v>0</v>
      </c>
      <c r="M399" t="n">
        <v>0</v>
      </c>
      <c r="N399" t="n">
        <v>0</v>
      </c>
      <c r="O399" t="n">
        <v>0</v>
      </c>
      <c r="P399" t="n">
        <v>0</v>
      </c>
      <c r="Q399" t="n">
        <v>0</v>
      </c>
      <c r="R399" s="2" t="inlineStr"/>
    </row>
    <row r="400" ht="15" customHeight="1">
      <c r="A400" t="inlineStr">
        <is>
          <t>A 46279-2021</t>
        </is>
      </c>
      <c r="B400" s="1" t="n">
        <v>44442.57797453704</v>
      </c>
      <c r="C400" s="1" t="n">
        <v>46074</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23374-2023</t>
        </is>
      </c>
      <c r="B401" s="1" t="n">
        <v>45076.4399537037</v>
      </c>
      <c r="C401" s="1" t="n">
        <v>46074</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49640-2025</t>
        </is>
      </c>
      <c r="B402" s="1" t="n">
        <v>45939.61459490741</v>
      </c>
      <c r="C402" s="1" t="n">
        <v>46074</v>
      </c>
      <c r="D402" t="inlineStr">
        <is>
          <t>VÄSTMANLANDS LÄN</t>
        </is>
      </c>
      <c r="E402" t="inlineStr">
        <is>
          <t>SALA</t>
        </is>
      </c>
      <c r="F402" t="inlineStr">
        <is>
          <t>Kommuner</t>
        </is>
      </c>
      <c r="G402" t="n">
        <v>18.8</v>
      </c>
      <c r="H402" t="n">
        <v>0</v>
      </c>
      <c r="I402" t="n">
        <v>0</v>
      </c>
      <c r="J402" t="n">
        <v>0</v>
      </c>
      <c r="K402" t="n">
        <v>0</v>
      </c>
      <c r="L402" t="n">
        <v>0</v>
      </c>
      <c r="M402" t="n">
        <v>0</v>
      </c>
      <c r="N402" t="n">
        <v>0</v>
      </c>
      <c r="O402" t="n">
        <v>0</v>
      </c>
      <c r="P402" t="n">
        <v>0</v>
      </c>
      <c r="Q402" t="n">
        <v>0</v>
      </c>
      <c r="R402" s="2" t="inlineStr"/>
    </row>
    <row r="403" ht="15" customHeight="1">
      <c r="A403" t="inlineStr">
        <is>
          <t>A 6134-2024</t>
        </is>
      </c>
      <c r="B403" s="1" t="n">
        <v>45337</v>
      </c>
      <c r="C403" s="1" t="n">
        <v>46074</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48117-2024</t>
        </is>
      </c>
      <c r="B404" s="1" t="n">
        <v>45589</v>
      </c>
      <c r="C404" s="1" t="n">
        <v>46074</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31082-2021</t>
        </is>
      </c>
      <c r="B405" s="1" t="n">
        <v>44368</v>
      </c>
      <c r="C405" s="1" t="n">
        <v>46074</v>
      </c>
      <c r="D405" t="inlineStr">
        <is>
          <t>VÄSTMANLANDS LÄN</t>
        </is>
      </c>
      <c r="E405" t="inlineStr">
        <is>
          <t>SALA</t>
        </is>
      </c>
      <c r="G405" t="n">
        <v>2</v>
      </c>
      <c r="H405" t="n">
        <v>0</v>
      </c>
      <c r="I405" t="n">
        <v>0</v>
      </c>
      <c r="J405" t="n">
        <v>0</v>
      </c>
      <c r="K405" t="n">
        <v>0</v>
      </c>
      <c r="L405" t="n">
        <v>0</v>
      </c>
      <c r="M405" t="n">
        <v>0</v>
      </c>
      <c r="N405" t="n">
        <v>0</v>
      </c>
      <c r="O405" t="n">
        <v>0</v>
      </c>
      <c r="P405" t="n">
        <v>0</v>
      </c>
      <c r="Q405" t="n">
        <v>0</v>
      </c>
      <c r="R405" s="2" t="inlineStr"/>
    </row>
    <row r="406" ht="15" customHeight="1">
      <c r="A406" t="inlineStr">
        <is>
          <t>A 50128-2025</t>
        </is>
      </c>
      <c r="B406" s="1" t="n">
        <v>45943.55318287037</v>
      </c>
      <c r="C406" s="1" t="n">
        <v>46074</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31470-2021</t>
        </is>
      </c>
      <c r="B407" s="1" t="n">
        <v>44369</v>
      </c>
      <c r="C407" s="1" t="n">
        <v>46074</v>
      </c>
      <c r="D407" t="inlineStr">
        <is>
          <t>VÄSTMANLANDS LÄN</t>
        </is>
      </c>
      <c r="E407" t="inlineStr">
        <is>
          <t>SALA</t>
        </is>
      </c>
      <c r="F407" t="inlineStr">
        <is>
          <t>Sveaskog</t>
        </is>
      </c>
      <c r="G407" t="n">
        <v>2.1</v>
      </c>
      <c r="H407" t="n">
        <v>0</v>
      </c>
      <c r="I407" t="n">
        <v>0</v>
      </c>
      <c r="J407" t="n">
        <v>0</v>
      </c>
      <c r="K407" t="n">
        <v>0</v>
      </c>
      <c r="L407" t="n">
        <v>0</v>
      </c>
      <c r="M407" t="n">
        <v>0</v>
      </c>
      <c r="N407" t="n">
        <v>0</v>
      </c>
      <c r="O407" t="n">
        <v>0</v>
      </c>
      <c r="P407" t="n">
        <v>0</v>
      </c>
      <c r="Q407" t="n">
        <v>0</v>
      </c>
      <c r="R407" s="2" t="inlineStr"/>
    </row>
    <row r="408" ht="15" customHeight="1">
      <c r="A408" t="inlineStr">
        <is>
          <t>A 50119-2025</t>
        </is>
      </c>
      <c r="B408" s="1" t="n">
        <v>45943.54883101852</v>
      </c>
      <c r="C408" s="1" t="n">
        <v>46074</v>
      </c>
      <c r="D408" t="inlineStr">
        <is>
          <t>VÄSTMANLANDS LÄN</t>
        </is>
      </c>
      <c r="E408" t="inlineStr">
        <is>
          <t>SALA</t>
        </is>
      </c>
      <c r="G408" t="n">
        <v>3.3</v>
      </c>
      <c r="H408" t="n">
        <v>0</v>
      </c>
      <c r="I408" t="n">
        <v>0</v>
      </c>
      <c r="J408" t="n">
        <v>0</v>
      </c>
      <c r="K408" t="n">
        <v>0</v>
      </c>
      <c r="L408" t="n">
        <v>0</v>
      </c>
      <c r="M408" t="n">
        <v>0</v>
      </c>
      <c r="N408" t="n">
        <v>0</v>
      </c>
      <c r="O408" t="n">
        <v>0</v>
      </c>
      <c r="P408" t="n">
        <v>0</v>
      </c>
      <c r="Q408" t="n">
        <v>0</v>
      </c>
      <c r="R408" s="2" t="inlineStr"/>
    </row>
    <row r="409" ht="15" customHeight="1">
      <c r="A409" t="inlineStr">
        <is>
          <t>A 50059-2025</t>
        </is>
      </c>
      <c r="B409" s="1" t="n">
        <v>45943.44125</v>
      </c>
      <c r="C409" s="1" t="n">
        <v>46074</v>
      </c>
      <c r="D409" t="inlineStr">
        <is>
          <t>VÄSTMANLANDS LÄN</t>
        </is>
      </c>
      <c r="E409" t="inlineStr">
        <is>
          <t>SALA</t>
        </is>
      </c>
      <c r="G409" t="n">
        <v>4.4</v>
      </c>
      <c r="H409" t="n">
        <v>0</v>
      </c>
      <c r="I409" t="n">
        <v>0</v>
      </c>
      <c r="J409" t="n">
        <v>0</v>
      </c>
      <c r="K409" t="n">
        <v>0</v>
      </c>
      <c r="L409" t="n">
        <v>0</v>
      </c>
      <c r="M409" t="n">
        <v>0</v>
      </c>
      <c r="N409" t="n">
        <v>0</v>
      </c>
      <c r="O409" t="n">
        <v>0</v>
      </c>
      <c r="P409" t="n">
        <v>0</v>
      </c>
      <c r="Q409" t="n">
        <v>0</v>
      </c>
      <c r="R409" s="2" t="inlineStr"/>
    </row>
    <row r="410" ht="15" customHeight="1">
      <c r="A410" t="inlineStr">
        <is>
          <t>A 24175-2024</t>
        </is>
      </c>
      <c r="B410" s="1" t="n">
        <v>45456</v>
      </c>
      <c r="C410" s="1" t="n">
        <v>46074</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50249-2025</t>
        </is>
      </c>
      <c r="B411" s="1" t="n">
        <v>45944.31508101852</v>
      </c>
      <c r="C411" s="1" t="n">
        <v>46074</v>
      </c>
      <c r="D411" t="inlineStr">
        <is>
          <t>VÄSTMANLANDS LÄN</t>
        </is>
      </c>
      <c r="E411" t="inlineStr">
        <is>
          <t>SALA</t>
        </is>
      </c>
      <c r="G411" t="n">
        <v>2.3</v>
      </c>
      <c r="H411" t="n">
        <v>0</v>
      </c>
      <c r="I411" t="n">
        <v>0</v>
      </c>
      <c r="J411" t="n">
        <v>0</v>
      </c>
      <c r="K411" t="n">
        <v>0</v>
      </c>
      <c r="L411" t="n">
        <v>0</v>
      </c>
      <c r="M411" t="n">
        <v>0</v>
      </c>
      <c r="N411" t="n">
        <v>0</v>
      </c>
      <c r="O411" t="n">
        <v>0</v>
      </c>
      <c r="P411" t="n">
        <v>0</v>
      </c>
      <c r="Q411" t="n">
        <v>0</v>
      </c>
      <c r="R411" s="2" t="inlineStr"/>
    </row>
    <row r="412" ht="15" customHeight="1">
      <c r="A412" t="inlineStr">
        <is>
          <t>A 28328-2023</t>
        </is>
      </c>
      <c r="B412" s="1" t="n">
        <v>45099.71063657408</v>
      </c>
      <c r="C412" s="1" t="n">
        <v>46074</v>
      </c>
      <c r="D412" t="inlineStr">
        <is>
          <t>VÄSTMANLANDS LÄN</t>
        </is>
      </c>
      <c r="E412" t="inlineStr">
        <is>
          <t>SALA</t>
        </is>
      </c>
      <c r="G412" t="n">
        <v>1.8</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44552.46501157407</v>
      </c>
      <c r="C413" s="1" t="n">
        <v>46074</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61715-2024</t>
        </is>
      </c>
      <c r="B414" s="1" t="n">
        <v>45648.89519675926</v>
      </c>
      <c r="C414" s="1" t="n">
        <v>46074</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38195-2021</t>
        </is>
      </c>
      <c r="B415" s="1" t="n">
        <v>44405</v>
      </c>
      <c r="C415" s="1" t="n">
        <v>46074</v>
      </c>
      <c r="D415" t="inlineStr">
        <is>
          <t>VÄSTMANLANDS LÄN</t>
        </is>
      </c>
      <c r="E415" t="inlineStr">
        <is>
          <t>SALA</t>
        </is>
      </c>
      <c r="F415" t="inlineStr">
        <is>
          <t>Sveaskog</t>
        </is>
      </c>
      <c r="G415" t="n">
        <v>1</v>
      </c>
      <c r="H415" t="n">
        <v>0</v>
      </c>
      <c r="I415" t="n">
        <v>0</v>
      </c>
      <c r="J415" t="n">
        <v>0</v>
      </c>
      <c r="K415" t="n">
        <v>0</v>
      </c>
      <c r="L415" t="n">
        <v>0</v>
      </c>
      <c r="M415" t="n">
        <v>0</v>
      </c>
      <c r="N415" t="n">
        <v>0</v>
      </c>
      <c r="O415" t="n">
        <v>0</v>
      </c>
      <c r="P415" t="n">
        <v>0</v>
      </c>
      <c r="Q415" t="n">
        <v>0</v>
      </c>
      <c r="R415" s="2" t="inlineStr"/>
    </row>
    <row r="416" ht="15" customHeight="1">
      <c r="A416" t="inlineStr">
        <is>
          <t>A 6132-2025</t>
        </is>
      </c>
      <c r="B416" s="1" t="n">
        <v>45698</v>
      </c>
      <c r="C416" s="1" t="n">
        <v>46074</v>
      </c>
      <c r="D416" t="inlineStr">
        <is>
          <t>VÄSTMANLANDS LÄN</t>
        </is>
      </c>
      <c r="E416" t="inlineStr">
        <is>
          <t>SALA</t>
        </is>
      </c>
      <c r="F416" t="inlineStr">
        <is>
          <t>Bergvik skog öst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21777-2022</t>
        </is>
      </c>
      <c r="B417" s="1" t="n">
        <v>44708.48194444444</v>
      </c>
      <c r="C417" s="1" t="n">
        <v>46074</v>
      </c>
      <c r="D417" t="inlineStr">
        <is>
          <t>VÄSTMANLANDS LÄN</t>
        </is>
      </c>
      <c r="E417" t="inlineStr">
        <is>
          <t>SALA</t>
        </is>
      </c>
      <c r="G417" t="n">
        <v>0.7</v>
      </c>
      <c r="H417" t="n">
        <v>0</v>
      </c>
      <c r="I417" t="n">
        <v>0</v>
      </c>
      <c r="J417" t="n">
        <v>0</v>
      </c>
      <c r="K417" t="n">
        <v>0</v>
      </c>
      <c r="L417" t="n">
        <v>0</v>
      </c>
      <c r="M417" t="n">
        <v>0</v>
      </c>
      <c r="N417" t="n">
        <v>0</v>
      </c>
      <c r="O417" t="n">
        <v>0</v>
      </c>
      <c r="P417" t="n">
        <v>0</v>
      </c>
      <c r="Q417" t="n">
        <v>0</v>
      </c>
      <c r="R417" s="2" t="inlineStr"/>
    </row>
    <row r="418" ht="15" customHeight="1">
      <c r="A418" t="inlineStr">
        <is>
          <t>A 11389-2024</t>
        </is>
      </c>
      <c r="B418" s="1" t="n">
        <v>45372.45016203704</v>
      </c>
      <c r="C418" s="1" t="n">
        <v>46074</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2925-2024</t>
        </is>
      </c>
      <c r="B419" s="1" t="n">
        <v>45315.58909722222</v>
      </c>
      <c r="C419" s="1" t="n">
        <v>46074</v>
      </c>
      <c r="D419" t="inlineStr">
        <is>
          <t>VÄSTMANLANDS LÄN</t>
        </is>
      </c>
      <c r="E419" t="inlineStr">
        <is>
          <t>SALA</t>
        </is>
      </c>
      <c r="G419" t="n">
        <v>1.3</v>
      </c>
      <c r="H419" t="n">
        <v>0</v>
      </c>
      <c r="I419" t="n">
        <v>0</v>
      </c>
      <c r="J419" t="n">
        <v>0</v>
      </c>
      <c r="K419" t="n">
        <v>0</v>
      </c>
      <c r="L419" t="n">
        <v>0</v>
      </c>
      <c r="M419" t="n">
        <v>0</v>
      </c>
      <c r="N419" t="n">
        <v>0</v>
      </c>
      <c r="O419" t="n">
        <v>0</v>
      </c>
      <c r="P419" t="n">
        <v>0</v>
      </c>
      <c r="Q419" t="n">
        <v>0</v>
      </c>
      <c r="R419" s="2" t="inlineStr"/>
    </row>
    <row r="420" ht="15" customHeight="1">
      <c r="A420" t="inlineStr">
        <is>
          <t>A 51764-2025</t>
        </is>
      </c>
      <c r="B420" s="1" t="n">
        <v>45951.63636574074</v>
      </c>
      <c r="C420" s="1" t="n">
        <v>46074</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39439-2021</t>
        </is>
      </c>
      <c r="B421" s="1" t="n">
        <v>44414</v>
      </c>
      <c r="C421" s="1" t="n">
        <v>46074</v>
      </c>
      <c r="D421" t="inlineStr">
        <is>
          <t>VÄSTMANLANDS LÄN</t>
        </is>
      </c>
      <c r="E421" t="inlineStr">
        <is>
          <t>SALA</t>
        </is>
      </c>
      <c r="G421" t="n">
        <v>1.1</v>
      </c>
      <c r="H421" t="n">
        <v>0</v>
      </c>
      <c r="I421" t="n">
        <v>0</v>
      </c>
      <c r="J421" t="n">
        <v>0</v>
      </c>
      <c r="K421" t="n">
        <v>0</v>
      </c>
      <c r="L421" t="n">
        <v>0</v>
      </c>
      <c r="M421" t="n">
        <v>0</v>
      </c>
      <c r="N421" t="n">
        <v>0</v>
      </c>
      <c r="O421" t="n">
        <v>0</v>
      </c>
      <c r="P421" t="n">
        <v>0</v>
      </c>
      <c r="Q421" t="n">
        <v>0</v>
      </c>
      <c r="R421" s="2" t="inlineStr"/>
    </row>
    <row r="422" ht="15" customHeight="1">
      <c r="A422" t="inlineStr">
        <is>
          <t>A 51626-2025</t>
        </is>
      </c>
      <c r="B422" s="1" t="n">
        <v>45951.41769675926</v>
      </c>
      <c r="C422" s="1" t="n">
        <v>46074</v>
      </c>
      <c r="D422" t="inlineStr">
        <is>
          <t>VÄSTMANLANDS LÄN</t>
        </is>
      </c>
      <c r="E422" t="inlineStr">
        <is>
          <t>SALA</t>
        </is>
      </c>
      <c r="G422" t="n">
        <v>2.6</v>
      </c>
      <c r="H422" t="n">
        <v>0</v>
      </c>
      <c r="I422" t="n">
        <v>0</v>
      </c>
      <c r="J422" t="n">
        <v>0</v>
      </c>
      <c r="K422" t="n">
        <v>0</v>
      </c>
      <c r="L422" t="n">
        <v>0</v>
      </c>
      <c r="M422" t="n">
        <v>0</v>
      </c>
      <c r="N422" t="n">
        <v>0</v>
      </c>
      <c r="O422" t="n">
        <v>0</v>
      </c>
      <c r="P422" t="n">
        <v>0</v>
      </c>
      <c r="Q422" t="n">
        <v>0</v>
      </c>
      <c r="R422" s="2" t="inlineStr"/>
    </row>
    <row r="423" ht="15" customHeight="1">
      <c r="A423" t="inlineStr">
        <is>
          <t>A 51690-2025</t>
        </is>
      </c>
      <c r="B423" s="1" t="n">
        <v>45951.53462962963</v>
      </c>
      <c r="C423" s="1" t="n">
        <v>46074</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3332-2024</t>
        </is>
      </c>
      <c r="B424" s="1" t="n">
        <v>45317</v>
      </c>
      <c r="C424" s="1" t="n">
        <v>46074</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51804-2025</t>
        </is>
      </c>
      <c r="B425" s="1" t="n">
        <v>45951.77697916667</v>
      </c>
      <c r="C425" s="1" t="n">
        <v>46074</v>
      </c>
      <c r="D425" t="inlineStr">
        <is>
          <t>VÄSTMANLANDS LÄN</t>
        </is>
      </c>
      <c r="E425" t="inlineStr">
        <is>
          <t>SALA</t>
        </is>
      </c>
      <c r="F425" t="inlineStr">
        <is>
          <t>Kommuner</t>
        </is>
      </c>
      <c r="G425" t="n">
        <v>2</v>
      </c>
      <c r="H425" t="n">
        <v>0</v>
      </c>
      <c r="I425" t="n">
        <v>0</v>
      </c>
      <c r="J425" t="n">
        <v>0</v>
      </c>
      <c r="K425" t="n">
        <v>0</v>
      </c>
      <c r="L425" t="n">
        <v>0</v>
      </c>
      <c r="M425" t="n">
        <v>0</v>
      </c>
      <c r="N425" t="n">
        <v>0</v>
      </c>
      <c r="O425" t="n">
        <v>0</v>
      </c>
      <c r="P425" t="n">
        <v>0</v>
      </c>
      <c r="Q425" t="n">
        <v>0</v>
      </c>
      <c r="R425" s="2" t="inlineStr"/>
    </row>
    <row r="426" ht="15" customHeight="1">
      <c r="A426" t="inlineStr">
        <is>
          <t>A 51808-2025</t>
        </is>
      </c>
      <c r="B426" s="1" t="n">
        <v>45951.79302083333</v>
      </c>
      <c r="C426" s="1" t="n">
        <v>46074</v>
      </c>
      <c r="D426" t="inlineStr">
        <is>
          <t>VÄSTMANLANDS LÄN</t>
        </is>
      </c>
      <c r="E426" t="inlineStr">
        <is>
          <t>SALA</t>
        </is>
      </c>
      <c r="F426" t="inlineStr">
        <is>
          <t>Kommuner</t>
        </is>
      </c>
      <c r="G426" t="n">
        <v>3</v>
      </c>
      <c r="H426" t="n">
        <v>0</v>
      </c>
      <c r="I426" t="n">
        <v>0</v>
      </c>
      <c r="J426" t="n">
        <v>0</v>
      </c>
      <c r="K426" t="n">
        <v>0</v>
      </c>
      <c r="L426" t="n">
        <v>0</v>
      </c>
      <c r="M426" t="n">
        <v>0</v>
      </c>
      <c r="N426" t="n">
        <v>0</v>
      </c>
      <c r="O426" t="n">
        <v>0</v>
      </c>
      <c r="P426" t="n">
        <v>0</v>
      </c>
      <c r="Q426" t="n">
        <v>0</v>
      </c>
      <c r="R426" s="2" t="inlineStr"/>
    </row>
    <row r="427" ht="15" customHeight="1">
      <c r="A427" t="inlineStr">
        <is>
          <t>A 51803-2025</t>
        </is>
      </c>
      <c r="B427" s="1" t="n">
        <v>45951.76818287037</v>
      </c>
      <c r="C427" s="1" t="n">
        <v>46074</v>
      </c>
      <c r="D427" t="inlineStr">
        <is>
          <t>VÄSTMANLANDS LÄN</t>
        </is>
      </c>
      <c r="E427" t="inlineStr">
        <is>
          <t>SALA</t>
        </is>
      </c>
      <c r="F427" t="inlineStr">
        <is>
          <t>Kommuner</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51805-2025</t>
        </is>
      </c>
      <c r="B428" s="1" t="n">
        <v>45951.78359953704</v>
      </c>
      <c r="C428" s="1" t="n">
        <v>46074</v>
      </c>
      <c r="D428" t="inlineStr">
        <is>
          <t>VÄSTMANLANDS LÄN</t>
        </is>
      </c>
      <c r="E428" t="inlineStr">
        <is>
          <t>SALA</t>
        </is>
      </c>
      <c r="F428" t="inlineStr">
        <is>
          <t>Kommuner</t>
        </is>
      </c>
      <c r="G428" t="n">
        <v>1.3</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44579.86452546297</v>
      </c>
      <c r="C429" s="1" t="n">
        <v>46074</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51809-2025</t>
        </is>
      </c>
      <c r="B430" s="1" t="n">
        <v>45951.80116898148</v>
      </c>
      <c r="C430" s="1" t="n">
        <v>46074</v>
      </c>
      <c r="D430" t="inlineStr">
        <is>
          <t>VÄSTMANLANDS LÄN</t>
        </is>
      </c>
      <c r="E430" t="inlineStr">
        <is>
          <t>SALA</t>
        </is>
      </c>
      <c r="F430" t="inlineStr">
        <is>
          <t>Kommuner</t>
        </is>
      </c>
      <c r="G430" t="n">
        <v>3.5</v>
      </c>
      <c r="H430" t="n">
        <v>0</v>
      </c>
      <c r="I430" t="n">
        <v>0</v>
      </c>
      <c r="J430" t="n">
        <v>0</v>
      </c>
      <c r="K430" t="n">
        <v>0</v>
      </c>
      <c r="L430" t="n">
        <v>0</v>
      </c>
      <c r="M430" t="n">
        <v>0</v>
      </c>
      <c r="N430" t="n">
        <v>0</v>
      </c>
      <c r="O430" t="n">
        <v>0</v>
      </c>
      <c r="P430" t="n">
        <v>0</v>
      </c>
      <c r="Q430" t="n">
        <v>0</v>
      </c>
      <c r="R430" s="2" t="inlineStr"/>
    </row>
    <row r="431" ht="15" customHeight="1">
      <c r="A431" t="inlineStr">
        <is>
          <t>A 13471-2025</t>
        </is>
      </c>
      <c r="B431" s="1" t="n">
        <v>45736.40579861111</v>
      </c>
      <c r="C431" s="1" t="n">
        <v>46074</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15681-2025</t>
        </is>
      </c>
      <c r="B432" s="1" t="n">
        <v>45748.45454861111</v>
      </c>
      <c r="C432" s="1" t="n">
        <v>46074</v>
      </c>
      <c r="D432" t="inlineStr">
        <is>
          <t>VÄSTMANLANDS LÄN</t>
        </is>
      </c>
      <c r="E432" t="inlineStr">
        <is>
          <t>SALA</t>
        </is>
      </c>
      <c r="F432" t="inlineStr">
        <is>
          <t>Bergvik skog öst AB</t>
        </is>
      </c>
      <c r="G432" t="n">
        <v>4.3</v>
      </c>
      <c r="H432" t="n">
        <v>0</v>
      </c>
      <c r="I432" t="n">
        <v>0</v>
      </c>
      <c r="J432" t="n">
        <v>0</v>
      </c>
      <c r="K432" t="n">
        <v>0</v>
      </c>
      <c r="L432" t="n">
        <v>0</v>
      </c>
      <c r="M432" t="n">
        <v>0</v>
      </c>
      <c r="N432" t="n">
        <v>0</v>
      </c>
      <c r="O432" t="n">
        <v>0</v>
      </c>
      <c r="P432" t="n">
        <v>0</v>
      </c>
      <c r="Q432" t="n">
        <v>0</v>
      </c>
      <c r="R432" s="2" t="inlineStr"/>
    </row>
    <row r="433" ht="15" customHeight="1">
      <c r="A433" t="inlineStr">
        <is>
          <t>A 18431-2023</t>
        </is>
      </c>
      <c r="B433" s="1" t="n">
        <v>45042</v>
      </c>
      <c r="C433" s="1" t="n">
        <v>46074</v>
      </c>
      <c r="D433" t="inlineStr">
        <is>
          <t>VÄSTMANLANDS LÄN</t>
        </is>
      </c>
      <c r="E433" t="inlineStr">
        <is>
          <t>SALA</t>
        </is>
      </c>
      <c r="G433" t="n">
        <v>1.9</v>
      </c>
      <c r="H433" t="n">
        <v>0</v>
      </c>
      <c r="I433" t="n">
        <v>0</v>
      </c>
      <c r="J433" t="n">
        <v>0</v>
      </c>
      <c r="K433" t="n">
        <v>0</v>
      </c>
      <c r="L433" t="n">
        <v>0</v>
      </c>
      <c r="M433" t="n">
        <v>0</v>
      </c>
      <c r="N433" t="n">
        <v>0</v>
      </c>
      <c r="O433" t="n">
        <v>0</v>
      </c>
      <c r="P433" t="n">
        <v>0</v>
      </c>
      <c r="Q433" t="n">
        <v>0</v>
      </c>
      <c r="R433" s="2" t="inlineStr"/>
    </row>
    <row r="434" ht="15" customHeight="1">
      <c r="A434" t="inlineStr">
        <is>
          <t>A 27424-2023</t>
        </is>
      </c>
      <c r="B434" s="1" t="n">
        <v>45097.37690972222</v>
      </c>
      <c r="C434" s="1" t="n">
        <v>46074</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58701-2021</t>
        </is>
      </c>
      <c r="B435" s="1" t="n">
        <v>44489.46454861111</v>
      </c>
      <c r="C435" s="1" t="n">
        <v>46074</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11244-2024</t>
        </is>
      </c>
      <c r="B436" s="1" t="n">
        <v>45371</v>
      </c>
      <c r="C436" s="1" t="n">
        <v>46074</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12225-2023</t>
        </is>
      </c>
      <c r="B437" s="1" t="n">
        <v>44995</v>
      </c>
      <c r="C437" s="1" t="n">
        <v>46074</v>
      </c>
      <c r="D437" t="inlineStr">
        <is>
          <t>VÄSTMANLANDS LÄN</t>
        </is>
      </c>
      <c r="E437" t="inlineStr">
        <is>
          <t>SALA</t>
        </is>
      </c>
      <c r="G437" t="n">
        <v>0.9</v>
      </c>
      <c r="H437" t="n">
        <v>0</v>
      </c>
      <c r="I437" t="n">
        <v>0</v>
      </c>
      <c r="J437" t="n">
        <v>0</v>
      </c>
      <c r="K437" t="n">
        <v>0</v>
      </c>
      <c r="L437" t="n">
        <v>0</v>
      </c>
      <c r="M437" t="n">
        <v>0</v>
      </c>
      <c r="N437" t="n">
        <v>0</v>
      </c>
      <c r="O437" t="n">
        <v>0</v>
      </c>
      <c r="P437" t="n">
        <v>0</v>
      </c>
      <c r="Q437" t="n">
        <v>0</v>
      </c>
      <c r="R437" s="2" t="inlineStr"/>
    </row>
    <row r="438" ht="15" customHeight="1">
      <c r="A438" t="inlineStr">
        <is>
          <t>A 61874-2021</t>
        </is>
      </c>
      <c r="B438" s="1" t="n">
        <v>44502</v>
      </c>
      <c r="C438" s="1" t="n">
        <v>46074</v>
      </c>
      <c r="D438" t="inlineStr">
        <is>
          <t>VÄSTMANLANDS LÄN</t>
        </is>
      </c>
      <c r="E438" t="inlineStr">
        <is>
          <t>SALA</t>
        </is>
      </c>
      <c r="F438" t="inlineStr">
        <is>
          <t>Kyrkan</t>
        </is>
      </c>
      <c r="G438" t="n">
        <v>1.3</v>
      </c>
      <c r="H438" t="n">
        <v>0</v>
      </c>
      <c r="I438" t="n">
        <v>0</v>
      </c>
      <c r="J438" t="n">
        <v>0</v>
      </c>
      <c r="K438" t="n">
        <v>0</v>
      </c>
      <c r="L438" t="n">
        <v>0</v>
      </c>
      <c r="M438" t="n">
        <v>0</v>
      </c>
      <c r="N438" t="n">
        <v>0</v>
      </c>
      <c r="O438" t="n">
        <v>0</v>
      </c>
      <c r="P438" t="n">
        <v>0</v>
      </c>
      <c r="Q438" t="n">
        <v>0</v>
      </c>
      <c r="R438" s="2" t="inlineStr"/>
    </row>
    <row r="439" ht="15" customHeight="1">
      <c r="A439" t="inlineStr">
        <is>
          <t>A 62651-2022</t>
        </is>
      </c>
      <c r="B439" s="1" t="n">
        <v>44917</v>
      </c>
      <c r="C439" s="1" t="n">
        <v>46074</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15968-2024</t>
        </is>
      </c>
      <c r="B440" s="1" t="n">
        <v>45405.56021990741</v>
      </c>
      <c r="C440" s="1" t="n">
        <v>46074</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60730-2023</t>
        </is>
      </c>
      <c r="B441" s="1" t="n">
        <v>45260</v>
      </c>
      <c r="C441" s="1" t="n">
        <v>46074</v>
      </c>
      <c r="D441" t="inlineStr">
        <is>
          <t>VÄSTMANLANDS LÄN</t>
        </is>
      </c>
      <c r="E441" t="inlineStr">
        <is>
          <t>SALA</t>
        </is>
      </c>
      <c r="G441" t="n">
        <v>1.3</v>
      </c>
      <c r="H441" t="n">
        <v>0</v>
      </c>
      <c r="I441" t="n">
        <v>0</v>
      </c>
      <c r="J441" t="n">
        <v>0</v>
      </c>
      <c r="K441" t="n">
        <v>0</v>
      </c>
      <c r="L441" t="n">
        <v>0</v>
      </c>
      <c r="M441" t="n">
        <v>0</v>
      </c>
      <c r="N441" t="n">
        <v>0</v>
      </c>
      <c r="O441" t="n">
        <v>0</v>
      </c>
      <c r="P441" t="n">
        <v>0</v>
      </c>
      <c r="Q441" t="n">
        <v>0</v>
      </c>
      <c r="R441" s="2" t="inlineStr"/>
    </row>
    <row r="442" ht="15" customHeight="1">
      <c r="A442" t="inlineStr">
        <is>
          <t>A 60731-2023</t>
        </is>
      </c>
      <c r="B442" s="1" t="n">
        <v>45260</v>
      </c>
      <c r="C442" s="1" t="n">
        <v>46074</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53725-2025</t>
        </is>
      </c>
      <c r="B443" s="1" t="n">
        <v>45960.63394675926</v>
      </c>
      <c r="C443" s="1" t="n">
        <v>46074</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18461-2024</t>
        </is>
      </c>
      <c r="B444" s="1" t="n">
        <v>45425.47435185185</v>
      </c>
      <c r="C444" s="1" t="n">
        <v>46074</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4663-2022</t>
        </is>
      </c>
      <c r="B445" s="1" t="n">
        <v>44592.45429398148</v>
      </c>
      <c r="C445" s="1" t="n">
        <v>46074</v>
      </c>
      <c r="D445" t="inlineStr">
        <is>
          <t>VÄSTMANLANDS LÄN</t>
        </is>
      </c>
      <c r="E445" t="inlineStr">
        <is>
          <t>SALA</t>
        </is>
      </c>
      <c r="G445" t="n">
        <v>2.5</v>
      </c>
      <c r="H445" t="n">
        <v>0</v>
      </c>
      <c r="I445" t="n">
        <v>0</v>
      </c>
      <c r="J445" t="n">
        <v>0</v>
      </c>
      <c r="K445" t="n">
        <v>0</v>
      </c>
      <c r="L445" t="n">
        <v>0</v>
      </c>
      <c r="M445" t="n">
        <v>0</v>
      </c>
      <c r="N445" t="n">
        <v>0</v>
      </c>
      <c r="O445" t="n">
        <v>0</v>
      </c>
      <c r="P445" t="n">
        <v>0</v>
      </c>
      <c r="Q445" t="n">
        <v>0</v>
      </c>
      <c r="R445" s="2" t="inlineStr"/>
    </row>
    <row r="446" ht="15" customHeight="1">
      <c r="A446" t="inlineStr">
        <is>
          <t>A 38636-2024</t>
        </is>
      </c>
      <c r="B446" s="1" t="n">
        <v>45546</v>
      </c>
      <c r="C446" s="1" t="n">
        <v>46074</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53744-2025</t>
        </is>
      </c>
      <c r="B447" s="1" t="n">
        <v>45960.64863425926</v>
      </c>
      <c r="C447" s="1" t="n">
        <v>46074</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6032-2025</t>
        </is>
      </c>
      <c r="B448" s="1" t="n">
        <v>45695.6371875</v>
      </c>
      <c r="C448" s="1" t="n">
        <v>46074</v>
      </c>
      <c r="D448" t="inlineStr">
        <is>
          <t>VÄSTMANLANDS LÄN</t>
        </is>
      </c>
      <c r="E448" t="inlineStr">
        <is>
          <t>SALA</t>
        </is>
      </c>
      <c r="F448" t="inlineStr">
        <is>
          <t>Bergvik skog öst AB</t>
        </is>
      </c>
      <c r="G448" t="n">
        <v>8.1</v>
      </c>
      <c r="H448" t="n">
        <v>0</v>
      </c>
      <c r="I448" t="n">
        <v>0</v>
      </c>
      <c r="J448" t="n">
        <v>0</v>
      </c>
      <c r="K448" t="n">
        <v>0</v>
      </c>
      <c r="L448" t="n">
        <v>0</v>
      </c>
      <c r="M448" t="n">
        <v>0</v>
      </c>
      <c r="N448" t="n">
        <v>0</v>
      </c>
      <c r="O448" t="n">
        <v>0</v>
      </c>
      <c r="P448" t="n">
        <v>0</v>
      </c>
      <c r="Q448" t="n">
        <v>0</v>
      </c>
      <c r="R448" s="2" t="inlineStr"/>
    </row>
    <row r="449" ht="15" customHeight="1">
      <c r="A449" t="inlineStr">
        <is>
          <t>A 53724-2025</t>
        </is>
      </c>
      <c r="B449" s="1" t="n">
        <v>45960.63174768518</v>
      </c>
      <c r="C449" s="1" t="n">
        <v>46074</v>
      </c>
      <c r="D449" t="inlineStr">
        <is>
          <t>VÄSTMANLANDS LÄN</t>
        </is>
      </c>
      <c r="E449" t="inlineStr">
        <is>
          <t>SALA</t>
        </is>
      </c>
      <c r="G449" t="n">
        <v>2.8</v>
      </c>
      <c r="H449" t="n">
        <v>0</v>
      </c>
      <c r="I449" t="n">
        <v>0</v>
      </c>
      <c r="J449" t="n">
        <v>0</v>
      </c>
      <c r="K449" t="n">
        <v>0</v>
      </c>
      <c r="L449" t="n">
        <v>0</v>
      </c>
      <c r="M449" t="n">
        <v>0</v>
      </c>
      <c r="N449" t="n">
        <v>0</v>
      </c>
      <c r="O449" t="n">
        <v>0</v>
      </c>
      <c r="P449" t="n">
        <v>0</v>
      </c>
      <c r="Q449" t="n">
        <v>0</v>
      </c>
      <c r="R449" s="2" t="inlineStr"/>
    </row>
    <row r="450" ht="15" customHeight="1">
      <c r="A450" t="inlineStr">
        <is>
          <t>A 54344-2025</t>
        </is>
      </c>
      <c r="B450" s="1" t="n">
        <v>45965.36462962963</v>
      </c>
      <c r="C450" s="1" t="n">
        <v>46074</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54590-2025</t>
        </is>
      </c>
      <c r="B451" s="1" t="n">
        <v>45965.74199074074</v>
      </c>
      <c r="C451" s="1" t="n">
        <v>46074</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2766-2024</t>
        </is>
      </c>
      <c r="B452" s="1" t="n">
        <v>45314.60950231482</v>
      </c>
      <c r="C452" s="1" t="n">
        <v>46074</v>
      </c>
      <c r="D452" t="inlineStr">
        <is>
          <t>VÄSTMANLANDS LÄN</t>
        </is>
      </c>
      <c r="E452" t="inlineStr">
        <is>
          <t>SALA</t>
        </is>
      </c>
      <c r="G452" t="n">
        <v>2.8</v>
      </c>
      <c r="H452" t="n">
        <v>0</v>
      </c>
      <c r="I452" t="n">
        <v>0</v>
      </c>
      <c r="J452" t="n">
        <v>0</v>
      </c>
      <c r="K452" t="n">
        <v>0</v>
      </c>
      <c r="L452" t="n">
        <v>0</v>
      </c>
      <c r="M452" t="n">
        <v>0</v>
      </c>
      <c r="N452" t="n">
        <v>0</v>
      </c>
      <c r="O452" t="n">
        <v>0</v>
      </c>
      <c r="P452" t="n">
        <v>0</v>
      </c>
      <c r="Q452" t="n">
        <v>0</v>
      </c>
      <c r="R452" s="2" t="inlineStr"/>
    </row>
    <row r="453" ht="15" customHeight="1">
      <c r="A453" t="inlineStr">
        <is>
          <t>A 54201-2025</t>
        </is>
      </c>
      <c r="B453" s="1" t="n">
        <v>45964.58055555556</v>
      </c>
      <c r="C453" s="1" t="n">
        <v>46074</v>
      </c>
      <c r="D453" t="inlineStr">
        <is>
          <t>VÄSTMANLANDS LÄN</t>
        </is>
      </c>
      <c r="E453" t="inlineStr">
        <is>
          <t>SALA</t>
        </is>
      </c>
      <c r="G453" t="n">
        <v>1.7</v>
      </c>
      <c r="H453" t="n">
        <v>0</v>
      </c>
      <c r="I453" t="n">
        <v>0</v>
      </c>
      <c r="J453" t="n">
        <v>0</v>
      </c>
      <c r="K453" t="n">
        <v>0</v>
      </c>
      <c r="L453" t="n">
        <v>0</v>
      </c>
      <c r="M453" t="n">
        <v>0</v>
      </c>
      <c r="N453" t="n">
        <v>0</v>
      </c>
      <c r="O453" t="n">
        <v>0</v>
      </c>
      <c r="P453" t="n">
        <v>0</v>
      </c>
      <c r="Q453" t="n">
        <v>0</v>
      </c>
      <c r="R453" s="2" t="inlineStr"/>
    </row>
    <row r="454" ht="15" customHeight="1">
      <c r="A454" t="inlineStr">
        <is>
          <t>A 6351-2023</t>
        </is>
      </c>
      <c r="B454" s="1" t="n">
        <v>44965</v>
      </c>
      <c r="C454" s="1" t="n">
        <v>46074</v>
      </c>
      <c r="D454" t="inlineStr">
        <is>
          <t>VÄSTMANLANDS LÄN</t>
        </is>
      </c>
      <c r="E454" t="inlineStr">
        <is>
          <t>SALA</t>
        </is>
      </c>
      <c r="F454" t="inlineStr">
        <is>
          <t>Kommuner</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45187-2024</t>
        </is>
      </c>
      <c r="B455" s="1" t="n">
        <v>45575</v>
      </c>
      <c r="C455" s="1" t="n">
        <v>46074</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54893-2025</t>
        </is>
      </c>
      <c r="B456" s="1" t="n">
        <v>45967.36383101852</v>
      </c>
      <c r="C456" s="1" t="n">
        <v>46074</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33527-2023</t>
        </is>
      </c>
      <c r="B457" s="1" t="n">
        <v>45131</v>
      </c>
      <c r="C457" s="1" t="n">
        <v>46074</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7377-2023</t>
        </is>
      </c>
      <c r="B458" s="1" t="n">
        <v>44971</v>
      </c>
      <c r="C458" s="1" t="n">
        <v>46074</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21159-2022</t>
        </is>
      </c>
      <c r="B459" s="1" t="n">
        <v>44704</v>
      </c>
      <c r="C459" s="1" t="n">
        <v>46074</v>
      </c>
      <c r="D459" t="inlineStr">
        <is>
          <t>VÄSTMANLANDS LÄN</t>
        </is>
      </c>
      <c r="E459" t="inlineStr">
        <is>
          <t>SALA</t>
        </is>
      </c>
      <c r="G459" t="n">
        <v>1.4</v>
      </c>
      <c r="H459" t="n">
        <v>0</v>
      </c>
      <c r="I459" t="n">
        <v>0</v>
      </c>
      <c r="J459" t="n">
        <v>0</v>
      </c>
      <c r="K459" t="n">
        <v>0</v>
      </c>
      <c r="L459" t="n">
        <v>0</v>
      </c>
      <c r="M459" t="n">
        <v>0</v>
      </c>
      <c r="N459" t="n">
        <v>0</v>
      </c>
      <c r="O459" t="n">
        <v>0</v>
      </c>
      <c r="P459" t="n">
        <v>0</v>
      </c>
      <c r="Q459" t="n">
        <v>0</v>
      </c>
      <c r="R459" s="2" t="inlineStr"/>
    </row>
    <row r="460" ht="15" customHeight="1">
      <c r="A460" t="inlineStr">
        <is>
          <t>A 19033-2025</t>
        </is>
      </c>
      <c r="B460" s="1" t="n">
        <v>45764.65796296296</v>
      </c>
      <c r="C460" s="1" t="n">
        <v>46074</v>
      </c>
      <c r="D460" t="inlineStr">
        <is>
          <t>VÄSTMANLANDS LÄN</t>
        </is>
      </c>
      <c r="E460" t="inlineStr">
        <is>
          <t>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56688-2024</t>
        </is>
      </c>
      <c r="B461" s="1" t="n">
        <v>45627.66478009259</v>
      </c>
      <c r="C461" s="1" t="n">
        <v>46074</v>
      </c>
      <c r="D461" t="inlineStr">
        <is>
          <t>VÄSTMANLANDS LÄN</t>
        </is>
      </c>
      <c r="E461" t="inlineStr">
        <is>
          <t>SALA</t>
        </is>
      </c>
      <c r="G461" t="n">
        <v>0.9</v>
      </c>
      <c r="H461" t="n">
        <v>0</v>
      </c>
      <c r="I461" t="n">
        <v>0</v>
      </c>
      <c r="J461" t="n">
        <v>0</v>
      </c>
      <c r="K461" t="n">
        <v>0</v>
      </c>
      <c r="L461" t="n">
        <v>0</v>
      </c>
      <c r="M461" t="n">
        <v>0</v>
      </c>
      <c r="N461" t="n">
        <v>0</v>
      </c>
      <c r="O461" t="n">
        <v>0</v>
      </c>
      <c r="P461" t="n">
        <v>0</v>
      </c>
      <c r="Q461" t="n">
        <v>0</v>
      </c>
      <c r="R461" s="2" t="inlineStr"/>
    </row>
    <row r="462" ht="15" customHeight="1">
      <c r="A462" t="inlineStr">
        <is>
          <t>A 55997-2025</t>
        </is>
      </c>
      <c r="B462" s="1" t="n">
        <v>45973.56833333334</v>
      </c>
      <c r="C462" s="1" t="n">
        <v>46074</v>
      </c>
      <c r="D462" t="inlineStr">
        <is>
          <t>VÄSTMANLANDS LÄN</t>
        </is>
      </c>
      <c r="E462" t="inlineStr">
        <is>
          <t>SALA</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16159-2024</t>
        </is>
      </c>
      <c r="B463" s="1" t="n">
        <v>45406</v>
      </c>
      <c r="C463" s="1" t="n">
        <v>46074</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55714-2025</t>
        </is>
      </c>
      <c r="B464" s="1" t="n">
        <v>45972.49131944445</v>
      </c>
      <c r="C464" s="1" t="n">
        <v>46074</v>
      </c>
      <c r="D464" t="inlineStr">
        <is>
          <t>VÄSTMANLANDS LÄN</t>
        </is>
      </c>
      <c r="E464" t="inlineStr">
        <is>
          <t>SALA</t>
        </is>
      </c>
      <c r="G464" t="n">
        <v>6.6</v>
      </c>
      <c r="H464" t="n">
        <v>0</v>
      </c>
      <c r="I464" t="n">
        <v>0</v>
      </c>
      <c r="J464" t="n">
        <v>0</v>
      </c>
      <c r="K464" t="n">
        <v>0</v>
      </c>
      <c r="L464" t="n">
        <v>0</v>
      </c>
      <c r="M464" t="n">
        <v>0</v>
      </c>
      <c r="N464" t="n">
        <v>0</v>
      </c>
      <c r="O464" t="n">
        <v>0</v>
      </c>
      <c r="P464" t="n">
        <v>0</v>
      </c>
      <c r="Q464" t="n">
        <v>0</v>
      </c>
      <c r="R464" s="2" t="inlineStr"/>
    </row>
    <row r="465" ht="15" customHeight="1">
      <c r="A465" t="inlineStr">
        <is>
          <t>A 56593-2025</t>
        </is>
      </c>
      <c r="B465" s="1" t="n">
        <v>45975</v>
      </c>
      <c r="C465" s="1" t="n">
        <v>46074</v>
      </c>
      <c r="D465" t="inlineStr">
        <is>
          <t>VÄSTMANLANDS LÄN</t>
        </is>
      </c>
      <c r="E465" t="inlineStr">
        <is>
          <t>SALA</t>
        </is>
      </c>
      <c r="F465" t="inlineStr">
        <is>
          <t>Kyrkan</t>
        </is>
      </c>
      <c r="G465" t="n">
        <v>0.1</v>
      </c>
      <c r="H465" t="n">
        <v>0</v>
      </c>
      <c r="I465" t="n">
        <v>0</v>
      </c>
      <c r="J465" t="n">
        <v>0</v>
      </c>
      <c r="K465" t="n">
        <v>0</v>
      </c>
      <c r="L465" t="n">
        <v>0</v>
      </c>
      <c r="M465" t="n">
        <v>0</v>
      </c>
      <c r="N465" t="n">
        <v>0</v>
      </c>
      <c r="O465" t="n">
        <v>0</v>
      </c>
      <c r="P465" t="n">
        <v>0</v>
      </c>
      <c r="Q465" t="n">
        <v>0</v>
      </c>
      <c r="R465" s="2" t="inlineStr"/>
    </row>
    <row r="466" ht="15" customHeight="1">
      <c r="A466" t="inlineStr">
        <is>
          <t>A 66307-2021</t>
        </is>
      </c>
      <c r="B466" s="1" t="n">
        <v>44518.48670138889</v>
      </c>
      <c r="C466" s="1" t="n">
        <v>46074</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56645-2025</t>
        </is>
      </c>
      <c r="B467" s="1" t="n">
        <v>45975.63063657407</v>
      </c>
      <c r="C467" s="1" t="n">
        <v>46074</v>
      </c>
      <c r="D467" t="inlineStr">
        <is>
          <t>VÄSTMANLANDS LÄN</t>
        </is>
      </c>
      <c r="E467" t="inlineStr">
        <is>
          <t>SALA</t>
        </is>
      </c>
      <c r="F467" t="inlineStr">
        <is>
          <t>Bergvik skog öst AB</t>
        </is>
      </c>
      <c r="G467" t="n">
        <v>5.3</v>
      </c>
      <c r="H467" t="n">
        <v>0</v>
      </c>
      <c r="I467" t="n">
        <v>0</v>
      </c>
      <c r="J467" t="n">
        <v>0</v>
      </c>
      <c r="K467" t="n">
        <v>0</v>
      </c>
      <c r="L467" t="n">
        <v>0</v>
      </c>
      <c r="M467" t="n">
        <v>0</v>
      </c>
      <c r="N467" t="n">
        <v>0</v>
      </c>
      <c r="O467" t="n">
        <v>0</v>
      </c>
      <c r="P467" t="n">
        <v>0</v>
      </c>
      <c r="Q467" t="n">
        <v>0</v>
      </c>
      <c r="R467" s="2" t="inlineStr"/>
    </row>
    <row r="468" ht="15" customHeight="1">
      <c r="A468" t="inlineStr">
        <is>
          <t>A 56502-2025</t>
        </is>
      </c>
      <c r="B468" s="1" t="n">
        <v>45975</v>
      </c>
      <c r="C468" s="1" t="n">
        <v>46074</v>
      </c>
      <c r="D468" t="inlineStr">
        <is>
          <t>VÄSTMANLANDS LÄN</t>
        </is>
      </c>
      <c r="E468" t="inlineStr">
        <is>
          <t>SALA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46074</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27262-2024</t>
        </is>
      </c>
      <c r="B470" s="1" t="n">
        <v>45471</v>
      </c>
      <c r="C470" s="1" t="n">
        <v>46074</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56611-2025</t>
        </is>
      </c>
      <c r="B471" s="1" t="n">
        <v>45975</v>
      </c>
      <c r="C471" s="1" t="n">
        <v>46074</v>
      </c>
      <c r="D471" t="inlineStr">
        <is>
          <t>VÄSTMANLANDS LÄN</t>
        </is>
      </c>
      <c r="E471" t="inlineStr">
        <is>
          <t>SALA</t>
        </is>
      </c>
      <c r="G471" t="n">
        <v>2.8</v>
      </c>
      <c r="H471" t="n">
        <v>0</v>
      </c>
      <c r="I471" t="n">
        <v>0</v>
      </c>
      <c r="J471" t="n">
        <v>0</v>
      </c>
      <c r="K471" t="n">
        <v>0</v>
      </c>
      <c r="L471" t="n">
        <v>0</v>
      </c>
      <c r="M471" t="n">
        <v>0</v>
      </c>
      <c r="N471" t="n">
        <v>0</v>
      </c>
      <c r="O471" t="n">
        <v>0</v>
      </c>
      <c r="P471" t="n">
        <v>0</v>
      </c>
      <c r="Q471" t="n">
        <v>0</v>
      </c>
      <c r="R471" s="2" t="inlineStr"/>
    </row>
    <row r="472" ht="15" customHeight="1">
      <c r="A472" t="inlineStr">
        <is>
          <t>A 10913-2025</t>
        </is>
      </c>
      <c r="B472" s="1" t="n">
        <v>45722.73423611111</v>
      </c>
      <c r="C472" s="1" t="n">
        <v>46074</v>
      </c>
      <c r="D472" t="inlineStr">
        <is>
          <t>VÄSTMANLANDS LÄN</t>
        </is>
      </c>
      <c r="E472" t="inlineStr">
        <is>
          <t>SALA</t>
        </is>
      </c>
      <c r="G472" t="n">
        <v>7.6</v>
      </c>
      <c r="H472" t="n">
        <v>0</v>
      </c>
      <c r="I472" t="n">
        <v>0</v>
      </c>
      <c r="J472" t="n">
        <v>0</v>
      </c>
      <c r="K472" t="n">
        <v>0</v>
      </c>
      <c r="L472" t="n">
        <v>0</v>
      </c>
      <c r="M472" t="n">
        <v>0</v>
      </c>
      <c r="N472" t="n">
        <v>0</v>
      </c>
      <c r="O472" t="n">
        <v>0</v>
      </c>
      <c r="P472" t="n">
        <v>0</v>
      </c>
      <c r="Q472" t="n">
        <v>0</v>
      </c>
      <c r="R472" s="2" t="inlineStr"/>
    </row>
    <row r="473" ht="15" customHeight="1">
      <c r="A473" t="inlineStr">
        <is>
          <t>A 35410-2022</t>
        </is>
      </c>
      <c r="B473" s="1" t="n">
        <v>44798.62576388889</v>
      </c>
      <c r="C473" s="1" t="n">
        <v>46074</v>
      </c>
      <c r="D473" t="inlineStr">
        <is>
          <t>VÄSTMANLANDS LÄN</t>
        </is>
      </c>
      <c r="E473" t="inlineStr">
        <is>
          <t>SALA</t>
        </is>
      </c>
      <c r="G473" t="n">
        <v>1.6</v>
      </c>
      <c r="H473" t="n">
        <v>0</v>
      </c>
      <c r="I473" t="n">
        <v>0</v>
      </c>
      <c r="J473" t="n">
        <v>0</v>
      </c>
      <c r="K473" t="n">
        <v>0</v>
      </c>
      <c r="L473" t="n">
        <v>0</v>
      </c>
      <c r="M473" t="n">
        <v>0</v>
      </c>
      <c r="N473" t="n">
        <v>0</v>
      </c>
      <c r="O473" t="n">
        <v>0</v>
      </c>
      <c r="P473" t="n">
        <v>0</v>
      </c>
      <c r="Q473" t="n">
        <v>0</v>
      </c>
      <c r="R473" s="2" t="inlineStr"/>
    </row>
    <row r="474" ht="15" customHeight="1">
      <c r="A474" t="inlineStr">
        <is>
          <t>A 1118-2024</t>
        </is>
      </c>
      <c r="B474" s="1" t="n">
        <v>45302</v>
      </c>
      <c r="C474" s="1" t="n">
        <v>46074</v>
      </c>
      <c r="D474" t="inlineStr">
        <is>
          <t>VÄSTMANLANDS LÄN</t>
        </is>
      </c>
      <c r="E474" t="inlineStr">
        <is>
          <t>SALA</t>
        </is>
      </c>
      <c r="G474" t="n">
        <v>1.9</v>
      </c>
      <c r="H474" t="n">
        <v>0</v>
      </c>
      <c r="I474" t="n">
        <v>0</v>
      </c>
      <c r="J474" t="n">
        <v>0</v>
      </c>
      <c r="K474" t="n">
        <v>0</v>
      </c>
      <c r="L474" t="n">
        <v>0</v>
      </c>
      <c r="M474" t="n">
        <v>0</v>
      </c>
      <c r="N474" t="n">
        <v>0</v>
      </c>
      <c r="O474" t="n">
        <v>0</v>
      </c>
      <c r="P474" t="n">
        <v>0</v>
      </c>
      <c r="Q474" t="n">
        <v>0</v>
      </c>
      <c r="R474" s="2" t="inlineStr"/>
    </row>
    <row r="475" ht="15" customHeight="1">
      <c r="A475" t="inlineStr">
        <is>
          <t>A 57014-2025</t>
        </is>
      </c>
      <c r="B475" s="1" t="n">
        <v>45978</v>
      </c>
      <c r="C475" s="1" t="n">
        <v>46074</v>
      </c>
      <c r="D475" t="inlineStr">
        <is>
          <t>VÄSTMANLANDS LÄN</t>
        </is>
      </c>
      <c r="E475" t="inlineStr">
        <is>
          <t>SALA</t>
        </is>
      </c>
      <c r="G475" t="n">
        <v>2.2</v>
      </c>
      <c r="H475" t="n">
        <v>0</v>
      </c>
      <c r="I475" t="n">
        <v>0</v>
      </c>
      <c r="J475" t="n">
        <v>0</v>
      </c>
      <c r="K475" t="n">
        <v>0</v>
      </c>
      <c r="L475" t="n">
        <v>0</v>
      </c>
      <c r="M475" t="n">
        <v>0</v>
      </c>
      <c r="N475" t="n">
        <v>0</v>
      </c>
      <c r="O475" t="n">
        <v>0</v>
      </c>
      <c r="P475" t="n">
        <v>0</v>
      </c>
      <c r="Q475" t="n">
        <v>0</v>
      </c>
      <c r="R475" s="2" t="inlineStr"/>
    </row>
    <row r="476" ht="15" customHeight="1">
      <c r="A476" t="inlineStr">
        <is>
          <t>A 53864-2022</t>
        </is>
      </c>
      <c r="B476" s="1" t="n">
        <v>44880.64016203704</v>
      </c>
      <c r="C476" s="1" t="n">
        <v>46074</v>
      </c>
      <c r="D476" t="inlineStr">
        <is>
          <t>VÄSTMANLANDS LÄN</t>
        </is>
      </c>
      <c r="E476" t="inlineStr">
        <is>
          <t>SALA</t>
        </is>
      </c>
      <c r="G476" t="n">
        <v>5.9</v>
      </c>
      <c r="H476" t="n">
        <v>0</v>
      </c>
      <c r="I476" t="n">
        <v>0</v>
      </c>
      <c r="J476" t="n">
        <v>0</v>
      </c>
      <c r="K476" t="n">
        <v>0</v>
      </c>
      <c r="L476" t="n">
        <v>0</v>
      </c>
      <c r="M476" t="n">
        <v>0</v>
      </c>
      <c r="N476" t="n">
        <v>0</v>
      </c>
      <c r="O476" t="n">
        <v>0</v>
      </c>
      <c r="P476" t="n">
        <v>0</v>
      </c>
      <c r="Q476" t="n">
        <v>0</v>
      </c>
      <c r="R476" s="2" t="inlineStr"/>
    </row>
    <row r="477" ht="15" customHeight="1">
      <c r="A477" t="inlineStr">
        <is>
          <t>A 40085-2024</t>
        </is>
      </c>
      <c r="B477" s="1" t="n">
        <v>45554</v>
      </c>
      <c r="C477" s="1" t="n">
        <v>46074</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3551-2024</t>
        </is>
      </c>
      <c r="B478" s="1" t="n">
        <v>45320.61099537037</v>
      </c>
      <c r="C478" s="1" t="n">
        <v>46074</v>
      </c>
      <c r="D478" t="inlineStr">
        <is>
          <t>VÄSTMANLANDS LÄN</t>
        </is>
      </c>
      <c r="E478" t="inlineStr">
        <is>
          <t>SALA</t>
        </is>
      </c>
      <c r="F478" t="inlineStr">
        <is>
          <t>Kommuner</t>
        </is>
      </c>
      <c r="G478" t="n">
        <v>6</v>
      </c>
      <c r="H478" t="n">
        <v>0</v>
      </c>
      <c r="I478" t="n">
        <v>0</v>
      </c>
      <c r="J478" t="n">
        <v>0</v>
      </c>
      <c r="K478" t="n">
        <v>0</v>
      </c>
      <c r="L478" t="n">
        <v>0</v>
      </c>
      <c r="M478" t="n">
        <v>0</v>
      </c>
      <c r="N478" t="n">
        <v>0</v>
      </c>
      <c r="O478" t="n">
        <v>0</v>
      </c>
      <c r="P478" t="n">
        <v>0</v>
      </c>
      <c r="Q478" t="n">
        <v>0</v>
      </c>
      <c r="R478" s="2" t="inlineStr"/>
    </row>
    <row r="479" ht="15" customHeight="1">
      <c r="A479" t="inlineStr">
        <is>
          <t>A 57414-2025</t>
        </is>
      </c>
      <c r="B479" s="1" t="n">
        <v>45980.45003472222</v>
      </c>
      <c r="C479" s="1" t="n">
        <v>46074</v>
      </c>
      <c r="D479" t="inlineStr">
        <is>
          <t>VÄSTMANLANDS LÄN</t>
        </is>
      </c>
      <c r="E479" t="inlineStr">
        <is>
          <t>SALA</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57415-2025</t>
        </is>
      </c>
      <c r="B480" s="1" t="n">
        <v>45980.45099537037</v>
      </c>
      <c r="C480" s="1" t="n">
        <v>46074</v>
      </c>
      <c r="D480" t="inlineStr">
        <is>
          <t>VÄSTMANLANDS LÄN</t>
        </is>
      </c>
      <c r="E480" t="inlineStr">
        <is>
          <t>SALA</t>
        </is>
      </c>
      <c r="F480" t="inlineStr">
        <is>
          <t>Bergvik skog öst AB</t>
        </is>
      </c>
      <c r="G480" t="n">
        <v>1.4</v>
      </c>
      <c r="H480" t="n">
        <v>0</v>
      </c>
      <c r="I480" t="n">
        <v>0</v>
      </c>
      <c r="J480" t="n">
        <v>0</v>
      </c>
      <c r="K480" t="n">
        <v>0</v>
      </c>
      <c r="L480" t="n">
        <v>0</v>
      </c>
      <c r="M480" t="n">
        <v>0</v>
      </c>
      <c r="N480" t="n">
        <v>0</v>
      </c>
      <c r="O480" t="n">
        <v>0</v>
      </c>
      <c r="P480" t="n">
        <v>0</v>
      </c>
      <c r="Q480" t="n">
        <v>0</v>
      </c>
      <c r="R480" s="2" t="inlineStr"/>
    </row>
    <row r="481" ht="15" customHeight="1">
      <c r="A481" t="inlineStr">
        <is>
          <t>A 57412-2025</t>
        </is>
      </c>
      <c r="B481" s="1" t="n">
        <v>45980.44883101852</v>
      </c>
      <c r="C481" s="1" t="n">
        <v>46074</v>
      </c>
      <c r="D481" t="inlineStr">
        <is>
          <t>VÄSTMANLANDS LÄN</t>
        </is>
      </c>
      <c r="E481" t="inlineStr">
        <is>
          <t>SALA</t>
        </is>
      </c>
      <c r="F481" t="inlineStr">
        <is>
          <t>Bergvik skog öst AB</t>
        </is>
      </c>
      <c r="G481" t="n">
        <v>4.5</v>
      </c>
      <c r="H481" t="n">
        <v>0</v>
      </c>
      <c r="I481" t="n">
        <v>0</v>
      </c>
      <c r="J481" t="n">
        <v>0</v>
      </c>
      <c r="K481" t="n">
        <v>0</v>
      </c>
      <c r="L481" t="n">
        <v>0</v>
      </c>
      <c r="M481" t="n">
        <v>0</v>
      </c>
      <c r="N481" t="n">
        <v>0</v>
      </c>
      <c r="O481" t="n">
        <v>0</v>
      </c>
      <c r="P481" t="n">
        <v>0</v>
      </c>
      <c r="Q481" t="n">
        <v>0</v>
      </c>
      <c r="R481" s="2" t="inlineStr"/>
    </row>
    <row r="482" ht="15" customHeight="1">
      <c r="A482" t="inlineStr">
        <is>
          <t>A 58359-2025</t>
        </is>
      </c>
      <c r="B482" s="1" t="n">
        <v>45985.51594907408</v>
      </c>
      <c r="C482" s="1" t="n">
        <v>46074</v>
      </c>
      <c r="D482" t="inlineStr">
        <is>
          <t>VÄSTMANLANDS LÄN</t>
        </is>
      </c>
      <c r="E482" t="inlineStr">
        <is>
          <t>SALA</t>
        </is>
      </c>
      <c r="G482" t="n">
        <v>3.7</v>
      </c>
      <c r="H482" t="n">
        <v>0</v>
      </c>
      <c r="I482" t="n">
        <v>0</v>
      </c>
      <c r="J482" t="n">
        <v>0</v>
      </c>
      <c r="K482" t="n">
        <v>0</v>
      </c>
      <c r="L482" t="n">
        <v>0</v>
      </c>
      <c r="M482" t="n">
        <v>0</v>
      </c>
      <c r="N482" t="n">
        <v>0</v>
      </c>
      <c r="O482" t="n">
        <v>0</v>
      </c>
      <c r="P482" t="n">
        <v>0</v>
      </c>
      <c r="Q482" t="n">
        <v>0</v>
      </c>
      <c r="R482" s="2" t="inlineStr"/>
    </row>
    <row r="483" ht="15" customHeight="1">
      <c r="A483" t="inlineStr">
        <is>
          <t>A 58364-2025</t>
        </is>
      </c>
      <c r="B483" s="1" t="n">
        <v>45985.5228125</v>
      </c>
      <c r="C483" s="1" t="n">
        <v>46074</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58282-2025</t>
        </is>
      </c>
      <c r="B484" s="1" t="n">
        <v>45985.44309027777</v>
      </c>
      <c r="C484" s="1" t="n">
        <v>46074</v>
      </c>
      <c r="D484" t="inlineStr">
        <is>
          <t>VÄSTMANLANDS LÄN</t>
        </is>
      </c>
      <c r="E484" t="inlineStr">
        <is>
          <t>SALA</t>
        </is>
      </c>
      <c r="G484" t="n">
        <v>8.9</v>
      </c>
      <c r="H484" t="n">
        <v>0</v>
      </c>
      <c r="I484" t="n">
        <v>0</v>
      </c>
      <c r="J484" t="n">
        <v>0</v>
      </c>
      <c r="K484" t="n">
        <v>0</v>
      </c>
      <c r="L484" t="n">
        <v>0</v>
      </c>
      <c r="M484" t="n">
        <v>0</v>
      </c>
      <c r="N484" t="n">
        <v>0</v>
      </c>
      <c r="O484" t="n">
        <v>0</v>
      </c>
      <c r="P484" t="n">
        <v>0</v>
      </c>
      <c r="Q484" t="n">
        <v>0</v>
      </c>
      <c r="R484" s="2" t="inlineStr"/>
    </row>
    <row r="485" ht="15" customHeight="1">
      <c r="A485" t="inlineStr">
        <is>
          <t>A 22961-2023</t>
        </is>
      </c>
      <c r="B485" s="1" t="n">
        <v>45072</v>
      </c>
      <c r="C485" s="1" t="n">
        <v>46074</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22963-2023</t>
        </is>
      </c>
      <c r="B486" s="1" t="n">
        <v>45072</v>
      </c>
      <c r="C486" s="1" t="n">
        <v>46074</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55760-2025</t>
        </is>
      </c>
      <c r="B487" s="1" t="n">
        <v>45972</v>
      </c>
      <c r="C487" s="1" t="n">
        <v>46074</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58357-2025</t>
        </is>
      </c>
      <c r="B488" s="1" t="n">
        <v>45985.51518518518</v>
      </c>
      <c r="C488" s="1" t="n">
        <v>46074</v>
      </c>
      <c r="D488" t="inlineStr">
        <is>
          <t>VÄSTMANLANDS LÄN</t>
        </is>
      </c>
      <c r="E488" t="inlineStr">
        <is>
          <t>SALA</t>
        </is>
      </c>
      <c r="G488" t="n">
        <v>3</v>
      </c>
      <c r="H488" t="n">
        <v>0</v>
      </c>
      <c r="I488" t="n">
        <v>0</v>
      </c>
      <c r="J488" t="n">
        <v>0</v>
      </c>
      <c r="K488" t="n">
        <v>0</v>
      </c>
      <c r="L488" t="n">
        <v>0</v>
      </c>
      <c r="M488" t="n">
        <v>0</v>
      </c>
      <c r="N488" t="n">
        <v>0</v>
      </c>
      <c r="O488" t="n">
        <v>0</v>
      </c>
      <c r="P488" t="n">
        <v>0</v>
      </c>
      <c r="Q488" t="n">
        <v>0</v>
      </c>
      <c r="R488" s="2" t="inlineStr"/>
    </row>
    <row r="489" ht="15" customHeight="1">
      <c r="A489" t="inlineStr">
        <is>
          <t>A 58365-2025</t>
        </is>
      </c>
      <c r="B489" s="1" t="n">
        <v>45985.52288194445</v>
      </c>
      <c r="C489" s="1" t="n">
        <v>46074</v>
      </c>
      <c r="D489" t="inlineStr">
        <is>
          <t>VÄSTMANLANDS LÄN</t>
        </is>
      </c>
      <c r="E489" t="inlineStr">
        <is>
          <t>SALA</t>
        </is>
      </c>
      <c r="G489" t="n">
        <v>3.9</v>
      </c>
      <c r="H489" t="n">
        <v>0</v>
      </c>
      <c r="I489" t="n">
        <v>0</v>
      </c>
      <c r="J489" t="n">
        <v>0</v>
      </c>
      <c r="K489" t="n">
        <v>0</v>
      </c>
      <c r="L489" t="n">
        <v>0</v>
      </c>
      <c r="M489" t="n">
        <v>0</v>
      </c>
      <c r="N489" t="n">
        <v>0</v>
      </c>
      <c r="O489" t="n">
        <v>0</v>
      </c>
      <c r="P489" t="n">
        <v>0</v>
      </c>
      <c r="Q489" t="n">
        <v>0</v>
      </c>
      <c r="R489" s="2" t="inlineStr"/>
    </row>
    <row r="490" ht="15" customHeight="1">
      <c r="A490" t="inlineStr">
        <is>
          <t>A 54960-2024</t>
        </is>
      </c>
      <c r="B490" s="1" t="n">
        <v>45619.85208333333</v>
      </c>
      <c r="C490" s="1" t="n">
        <v>46074</v>
      </c>
      <c r="D490" t="inlineStr">
        <is>
          <t>VÄSTMANLANDS LÄN</t>
        </is>
      </c>
      <c r="E490" t="inlineStr">
        <is>
          <t>SALA</t>
        </is>
      </c>
      <c r="G490" t="n">
        <v>2.6</v>
      </c>
      <c r="H490" t="n">
        <v>0</v>
      </c>
      <c r="I490" t="n">
        <v>0</v>
      </c>
      <c r="J490" t="n">
        <v>0</v>
      </c>
      <c r="K490" t="n">
        <v>0</v>
      </c>
      <c r="L490" t="n">
        <v>0</v>
      </c>
      <c r="M490" t="n">
        <v>0</v>
      </c>
      <c r="N490" t="n">
        <v>0</v>
      </c>
      <c r="O490" t="n">
        <v>0</v>
      </c>
      <c r="P490" t="n">
        <v>0</v>
      </c>
      <c r="Q490" t="n">
        <v>0</v>
      </c>
      <c r="R490" s="2" t="inlineStr"/>
    </row>
    <row r="491" ht="15" customHeight="1">
      <c r="A491" t="inlineStr">
        <is>
          <t>A 27228-2023</t>
        </is>
      </c>
      <c r="B491" s="1" t="n">
        <v>45096.59189814814</v>
      </c>
      <c r="C491" s="1" t="n">
        <v>46074</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26507-2023</t>
        </is>
      </c>
      <c r="B492" s="1" t="n">
        <v>45092</v>
      </c>
      <c r="C492" s="1" t="n">
        <v>46074</v>
      </c>
      <c r="D492" t="inlineStr">
        <is>
          <t>VÄSTMANLANDS LÄN</t>
        </is>
      </c>
      <c r="E492" t="inlineStr">
        <is>
          <t>SALA</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6183-2025</t>
        </is>
      </c>
      <c r="B493" s="1" t="n">
        <v>45698</v>
      </c>
      <c r="C493" s="1" t="n">
        <v>46074</v>
      </c>
      <c r="D493" t="inlineStr">
        <is>
          <t>VÄSTMANLANDS LÄN</t>
        </is>
      </c>
      <c r="E493" t="inlineStr">
        <is>
          <t>SALA</t>
        </is>
      </c>
      <c r="F493" t="inlineStr">
        <is>
          <t>Bergvik skog öst AB</t>
        </is>
      </c>
      <c r="G493" t="n">
        <v>2.3</v>
      </c>
      <c r="H493" t="n">
        <v>0</v>
      </c>
      <c r="I493" t="n">
        <v>0</v>
      </c>
      <c r="J493" t="n">
        <v>0</v>
      </c>
      <c r="K493" t="n">
        <v>0</v>
      </c>
      <c r="L493" t="n">
        <v>0</v>
      </c>
      <c r="M493" t="n">
        <v>0</v>
      </c>
      <c r="N493" t="n">
        <v>0</v>
      </c>
      <c r="O493" t="n">
        <v>0</v>
      </c>
      <c r="P493" t="n">
        <v>0</v>
      </c>
      <c r="Q493" t="n">
        <v>0</v>
      </c>
      <c r="R493" s="2" t="inlineStr"/>
    </row>
    <row r="494" ht="15" customHeight="1">
      <c r="A494" t="inlineStr">
        <is>
          <t>A 16543-2023</t>
        </is>
      </c>
      <c r="B494" s="1" t="n">
        <v>45029</v>
      </c>
      <c r="C494" s="1" t="n">
        <v>46074</v>
      </c>
      <c r="D494" t="inlineStr">
        <is>
          <t>VÄSTMANLANDS LÄN</t>
        </is>
      </c>
      <c r="E494" t="inlineStr">
        <is>
          <t>SALA</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59385-2025</t>
        </is>
      </c>
      <c r="B495" s="1" t="n">
        <v>45989.45746527778</v>
      </c>
      <c r="C495" s="1" t="n">
        <v>46074</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59390-2025</t>
        </is>
      </c>
      <c r="B496" s="1" t="n">
        <v>45989.4640162037</v>
      </c>
      <c r="C496" s="1" t="n">
        <v>46074</v>
      </c>
      <c r="D496" t="inlineStr">
        <is>
          <t>VÄSTMANLANDS LÄN</t>
        </is>
      </c>
      <c r="E496" t="inlineStr">
        <is>
          <t>SALA</t>
        </is>
      </c>
      <c r="G496" t="n">
        <v>1.8</v>
      </c>
      <c r="H496" t="n">
        <v>0</v>
      </c>
      <c r="I496" t="n">
        <v>0</v>
      </c>
      <c r="J496" t="n">
        <v>0</v>
      </c>
      <c r="K496" t="n">
        <v>0</v>
      </c>
      <c r="L496" t="n">
        <v>0</v>
      </c>
      <c r="M496" t="n">
        <v>0</v>
      </c>
      <c r="N496" t="n">
        <v>0</v>
      </c>
      <c r="O496" t="n">
        <v>0</v>
      </c>
      <c r="P496" t="n">
        <v>0</v>
      </c>
      <c r="Q496" t="n">
        <v>0</v>
      </c>
      <c r="R496" s="2" t="inlineStr"/>
    </row>
    <row r="497" ht="15" customHeight="1">
      <c r="A497" t="inlineStr">
        <is>
          <t>A 51247-2025</t>
        </is>
      </c>
      <c r="B497" s="1" t="n">
        <v>45947.86487268518</v>
      </c>
      <c r="C497" s="1" t="n">
        <v>46074</v>
      </c>
      <c r="D497" t="inlineStr">
        <is>
          <t>VÄSTMANLANDS LÄN</t>
        </is>
      </c>
      <c r="E497" t="inlineStr">
        <is>
          <t>SALA</t>
        </is>
      </c>
      <c r="G497" t="n">
        <v>10.4</v>
      </c>
      <c r="H497" t="n">
        <v>0</v>
      </c>
      <c r="I497" t="n">
        <v>0</v>
      </c>
      <c r="J497" t="n">
        <v>0</v>
      </c>
      <c r="K497" t="n">
        <v>0</v>
      </c>
      <c r="L497" t="n">
        <v>0</v>
      </c>
      <c r="M497" t="n">
        <v>0</v>
      </c>
      <c r="N497" t="n">
        <v>0</v>
      </c>
      <c r="O497" t="n">
        <v>0</v>
      </c>
      <c r="P497" t="n">
        <v>0</v>
      </c>
      <c r="Q497" t="n">
        <v>0</v>
      </c>
      <c r="R497" s="2" t="inlineStr"/>
    </row>
    <row r="498" ht="15" customHeight="1">
      <c r="A498" t="inlineStr">
        <is>
          <t>A 43176-2023</t>
        </is>
      </c>
      <c r="B498" s="1" t="n">
        <v>45183</v>
      </c>
      <c r="C498" s="1" t="n">
        <v>46074</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37624-2024</t>
        </is>
      </c>
      <c r="B499" s="1" t="n">
        <v>45541</v>
      </c>
      <c r="C499" s="1" t="n">
        <v>46074</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57895-2024</t>
        </is>
      </c>
      <c r="B500" s="1" t="n">
        <v>45631</v>
      </c>
      <c r="C500" s="1" t="n">
        <v>46074</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47086-2022</t>
        </is>
      </c>
      <c r="B501" s="1" t="n">
        <v>44852</v>
      </c>
      <c r="C501" s="1" t="n">
        <v>46074</v>
      </c>
      <c r="D501" t="inlineStr">
        <is>
          <t>VÄSTMANLANDS LÄN</t>
        </is>
      </c>
      <c r="E501" t="inlineStr">
        <is>
          <t>SALA</t>
        </is>
      </c>
      <c r="G501" t="n">
        <v>12.5</v>
      </c>
      <c r="H501" t="n">
        <v>0</v>
      </c>
      <c r="I501" t="n">
        <v>0</v>
      </c>
      <c r="J501" t="n">
        <v>0</v>
      </c>
      <c r="K501" t="n">
        <v>0</v>
      </c>
      <c r="L501" t="n">
        <v>0</v>
      </c>
      <c r="M501" t="n">
        <v>0</v>
      </c>
      <c r="N501" t="n">
        <v>0</v>
      </c>
      <c r="O501" t="n">
        <v>0</v>
      </c>
      <c r="P501" t="n">
        <v>0</v>
      </c>
      <c r="Q501" t="n">
        <v>0</v>
      </c>
      <c r="R501" s="2" t="inlineStr"/>
    </row>
    <row r="502" ht="15" customHeight="1">
      <c r="A502" t="inlineStr">
        <is>
          <t>A 14010-2021</t>
        </is>
      </c>
      <c r="B502" s="1" t="n">
        <v>44277.63396990741</v>
      </c>
      <c r="C502" s="1" t="n">
        <v>46074</v>
      </c>
      <c r="D502" t="inlineStr">
        <is>
          <t>VÄSTMANLANDS LÄN</t>
        </is>
      </c>
      <c r="E502" t="inlineStr">
        <is>
          <t>SALA</t>
        </is>
      </c>
      <c r="G502" t="n">
        <v>3.5</v>
      </c>
      <c r="H502" t="n">
        <v>0</v>
      </c>
      <c r="I502" t="n">
        <v>0</v>
      </c>
      <c r="J502" t="n">
        <v>0</v>
      </c>
      <c r="K502" t="n">
        <v>0</v>
      </c>
      <c r="L502" t="n">
        <v>0</v>
      </c>
      <c r="M502" t="n">
        <v>0</v>
      </c>
      <c r="N502" t="n">
        <v>0</v>
      </c>
      <c r="O502" t="n">
        <v>0</v>
      </c>
      <c r="P502" t="n">
        <v>0</v>
      </c>
      <c r="Q502" t="n">
        <v>0</v>
      </c>
      <c r="R502" s="2" t="inlineStr"/>
    </row>
    <row r="503" ht="15" customHeight="1">
      <c r="A503" t="inlineStr">
        <is>
          <t>A 59817-2025</t>
        </is>
      </c>
      <c r="B503" s="1" t="n">
        <v>45992.63711805556</v>
      </c>
      <c r="C503" s="1" t="n">
        <v>46074</v>
      </c>
      <c r="D503" t="inlineStr">
        <is>
          <t>VÄSTMANLANDS LÄN</t>
        </is>
      </c>
      <c r="E503" t="inlineStr">
        <is>
          <t>SALA</t>
        </is>
      </c>
      <c r="G503" t="n">
        <v>6.9</v>
      </c>
      <c r="H503" t="n">
        <v>0</v>
      </c>
      <c r="I503" t="n">
        <v>0</v>
      </c>
      <c r="J503" t="n">
        <v>0</v>
      </c>
      <c r="K503" t="n">
        <v>0</v>
      </c>
      <c r="L503" t="n">
        <v>0</v>
      </c>
      <c r="M503" t="n">
        <v>0</v>
      </c>
      <c r="N503" t="n">
        <v>0</v>
      </c>
      <c r="O503" t="n">
        <v>0</v>
      </c>
      <c r="P503" t="n">
        <v>0</v>
      </c>
      <c r="Q503" t="n">
        <v>0</v>
      </c>
      <c r="R503" s="2" t="inlineStr"/>
    </row>
    <row r="504" ht="15" customHeight="1">
      <c r="A504" t="inlineStr">
        <is>
          <t>A 1705-2026</t>
        </is>
      </c>
      <c r="B504" s="1" t="n">
        <v>46034.59930555556</v>
      </c>
      <c r="C504" s="1" t="n">
        <v>46074</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59870-2025</t>
        </is>
      </c>
      <c r="B505" s="1" t="n">
        <v>45992.92226851852</v>
      </c>
      <c r="C505" s="1" t="n">
        <v>46074</v>
      </c>
      <c r="D505" t="inlineStr">
        <is>
          <t>VÄSTMANLANDS LÄN</t>
        </is>
      </c>
      <c r="E505" t="inlineStr">
        <is>
          <t>SALA</t>
        </is>
      </c>
      <c r="G505" t="n">
        <v>3.4</v>
      </c>
      <c r="H505" t="n">
        <v>0</v>
      </c>
      <c r="I505" t="n">
        <v>0</v>
      </c>
      <c r="J505" t="n">
        <v>0</v>
      </c>
      <c r="K505" t="n">
        <v>0</v>
      </c>
      <c r="L505" t="n">
        <v>0</v>
      </c>
      <c r="M505" t="n">
        <v>0</v>
      </c>
      <c r="N505" t="n">
        <v>0</v>
      </c>
      <c r="O505" t="n">
        <v>0</v>
      </c>
      <c r="P505" t="n">
        <v>0</v>
      </c>
      <c r="Q505" t="n">
        <v>0</v>
      </c>
      <c r="R505" s="2" t="inlineStr"/>
    </row>
    <row r="506" ht="15" customHeight="1">
      <c r="A506" t="inlineStr">
        <is>
          <t>A 59926-2025</t>
        </is>
      </c>
      <c r="B506" s="1" t="n">
        <v>45993.39221064815</v>
      </c>
      <c r="C506" s="1" t="n">
        <v>46074</v>
      </c>
      <c r="D506" t="inlineStr">
        <is>
          <t>VÄSTMANLANDS LÄN</t>
        </is>
      </c>
      <c r="E506" t="inlineStr">
        <is>
          <t>SALA</t>
        </is>
      </c>
      <c r="G506" t="n">
        <v>7.1</v>
      </c>
      <c r="H506" t="n">
        <v>0</v>
      </c>
      <c r="I506" t="n">
        <v>0</v>
      </c>
      <c r="J506" t="n">
        <v>0</v>
      </c>
      <c r="K506" t="n">
        <v>0</v>
      </c>
      <c r="L506" t="n">
        <v>0</v>
      </c>
      <c r="M506" t="n">
        <v>0</v>
      </c>
      <c r="N506" t="n">
        <v>0</v>
      </c>
      <c r="O506" t="n">
        <v>0</v>
      </c>
      <c r="P506" t="n">
        <v>0</v>
      </c>
      <c r="Q506" t="n">
        <v>0</v>
      </c>
      <c r="R506" s="2" t="inlineStr"/>
    </row>
    <row r="507" ht="15" customHeight="1">
      <c r="A507" t="inlineStr">
        <is>
          <t>A 56687-2024</t>
        </is>
      </c>
      <c r="B507" s="1" t="n">
        <v>45627.63271990741</v>
      </c>
      <c r="C507" s="1" t="n">
        <v>46074</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54347-2024</t>
        </is>
      </c>
      <c r="B508" s="1" t="n">
        <v>45617.39325231482</v>
      </c>
      <c r="C508" s="1" t="n">
        <v>46074</v>
      </c>
      <c r="D508" t="inlineStr">
        <is>
          <t>VÄSTMANLANDS LÄN</t>
        </is>
      </c>
      <c r="E508" t="inlineStr">
        <is>
          <t>SALA</t>
        </is>
      </c>
      <c r="G508" t="n">
        <v>2</v>
      </c>
      <c r="H508" t="n">
        <v>0</v>
      </c>
      <c r="I508" t="n">
        <v>0</v>
      </c>
      <c r="J508" t="n">
        <v>0</v>
      </c>
      <c r="K508" t="n">
        <v>0</v>
      </c>
      <c r="L508" t="n">
        <v>0</v>
      </c>
      <c r="M508" t="n">
        <v>0</v>
      </c>
      <c r="N508" t="n">
        <v>0</v>
      </c>
      <c r="O508" t="n">
        <v>0</v>
      </c>
      <c r="P508" t="n">
        <v>0</v>
      </c>
      <c r="Q508" t="n">
        <v>0</v>
      </c>
      <c r="R508" s="2" t="inlineStr"/>
    </row>
    <row r="509" ht="15" customHeight="1">
      <c r="A509" t="inlineStr">
        <is>
          <t>A 60017-2025</t>
        </is>
      </c>
      <c r="B509" s="1" t="n">
        <v>45993.59998842593</v>
      </c>
      <c r="C509" s="1" t="n">
        <v>46074</v>
      </c>
      <c r="D509" t="inlineStr">
        <is>
          <t>VÄSTMANLANDS LÄN</t>
        </is>
      </c>
      <c r="E509" t="inlineStr">
        <is>
          <t>SALA</t>
        </is>
      </c>
      <c r="G509" t="n">
        <v>4.4</v>
      </c>
      <c r="H509" t="n">
        <v>0</v>
      </c>
      <c r="I509" t="n">
        <v>0</v>
      </c>
      <c r="J509" t="n">
        <v>0</v>
      </c>
      <c r="K509" t="n">
        <v>0</v>
      </c>
      <c r="L509" t="n">
        <v>0</v>
      </c>
      <c r="M509" t="n">
        <v>0</v>
      </c>
      <c r="N509" t="n">
        <v>0</v>
      </c>
      <c r="O509" t="n">
        <v>0</v>
      </c>
      <c r="P509" t="n">
        <v>0</v>
      </c>
      <c r="Q509" t="n">
        <v>0</v>
      </c>
      <c r="R509" s="2" t="inlineStr"/>
    </row>
    <row r="510" ht="15" customHeight="1">
      <c r="A510" t="inlineStr">
        <is>
          <t>A 64693-2023</t>
        </is>
      </c>
      <c r="B510" s="1" t="n">
        <v>45281.63850694444</v>
      </c>
      <c r="C510" s="1" t="n">
        <v>46074</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64695-2023</t>
        </is>
      </c>
      <c r="B511" s="1" t="n">
        <v>45281.64099537037</v>
      </c>
      <c r="C511" s="1" t="n">
        <v>46074</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27486-2022</t>
        </is>
      </c>
      <c r="B512" s="1" t="n">
        <v>44742.60846064815</v>
      </c>
      <c r="C512" s="1" t="n">
        <v>46074</v>
      </c>
      <c r="D512" t="inlineStr">
        <is>
          <t>VÄSTMANLANDS LÄN</t>
        </is>
      </c>
      <c r="E512" t="inlineStr">
        <is>
          <t>SALA</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35003-2024</t>
        </is>
      </c>
      <c r="B513" s="1" t="n">
        <v>45527.56790509259</v>
      </c>
      <c r="C513" s="1" t="n">
        <v>46074</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60254-2025</t>
        </is>
      </c>
      <c r="B514" s="1" t="n">
        <v>45994.60146990741</v>
      </c>
      <c r="C514" s="1" t="n">
        <v>46074</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60259-2025</t>
        </is>
      </c>
      <c r="B515" s="1" t="n">
        <v>45994.60913194445</v>
      </c>
      <c r="C515" s="1" t="n">
        <v>46074</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60241-2025</t>
        </is>
      </c>
      <c r="B516" s="1" t="n">
        <v>45994.58454861111</v>
      </c>
      <c r="C516" s="1" t="n">
        <v>46074</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48688-2024</t>
        </is>
      </c>
      <c r="B517" s="1" t="n">
        <v>45593.50541666667</v>
      </c>
      <c r="C517" s="1" t="n">
        <v>46074</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15354-2021</t>
        </is>
      </c>
      <c r="B518" s="1" t="n">
        <v>44284</v>
      </c>
      <c r="C518" s="1" t="n">
        <v>46074</v>
      </c>
      <c r="D518" t="inlineStr">
        <is>
          <t>VÄSTMANLANDS LÄN</t>
        </is>
      </c>
      <c r="E518" t="inlineStr">
        <is>
          <t>SALA</t>
        </is>
      </c>
      <c r="F518" t="inlineStr">
        <is>
          <t>Kyrkan</t>
        </is>
      </c>
      <c r="G518" t="n">
        <v>8.5</v>
      </c>
      <c r="H518" t="n">
        <v>0</v>
      </c>
      <c r="I518" t="n">
        <v>0</v>
      </c>
      <c r="J518" t="n">
        <v>0</v>
      </c>
      <c r="K518" t="n">
        <v>0</v>
      </c>
      <c r="L518" t="n">
        <v>0</v>
      </c>
      <c r="M518" t="n">
        <v>0</v>
      </c>
      <c r="N518" t="n">
        <v>0</v>
      </c>
      <c r="O518" t="n">
        <v>0</v>
      </c>
      <c r="P518" t="n">
        <v>0</v>
      </c>
      <c r="Q518" t="n">
        <v>0</v>
      </c>
      <c r="R518" s="2" t="inlineStr"/>
    </row>
    <row r="519" ht="15" customHeight="1">
      <c r="A519" t="inlineStr">
        <is>
          <t>A 63933-2023</t>
        </is>
      </c>
      <c r="B519" s="1" t="n">
        <v>45278</v>
      </c>
      <c r="C519" s="1" t="n">
        <v>46074</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44746-2024</t>
        </is>
      </c>
      <c r="B520" s="1" t="n">
        <v>45574.59813657407</v>
      </c>
      <c r="C520" s="1" t="n">
        <v>46074</v>
      </c>
      <c r="D520" t="inlineStr">
        <is>
          <t>VÄSTMANLANDS LÄN</t>
        </is>
      </c>
      <c r="E520" t="inlineStr">
        <is>
          <t>SALA</t>
        </is>
      </c>
      <c r="G520" t="n">
        <v>6.7</v>
      </c>
      <c r="H520" t="n">
        <v>0</v>
      </c>
      <c r="I520" t="n">
        <v>0</v>
      </c>
      <c r="J520" t="n">
        <v>0</v>
      </c>
      <c r="K520" t="n">
        <v>0</v>
      </c>
      <c r="L520" t="n">
        <v>0</v>
      </c>
      <c r="M520" t="n">
        <v>0</v>
      </c>
      <c r="N520" t="n">
        <v>0</v>
      </c>
      <c r="O520" t="n">
        <v>0</v>
      </c>
      <c r="P520" t="n">
        <v>0</v>
      </c>
      <c r="Q520" t="n">
        <v>0</v>
      </c>
      <c r="R520" s="2" t="inlineStr"/>
    </row>
    <row r="521" ht="15" customHeight="1">
      <c r="A521" t="inlineStr">
        <is>
          <t>A 33273-2023</t>
        </is>
      </c>
      <c r="B521" s="1" t="n">
        <v>45127</v>
      </c>
      <c r="C521" s="1" t="n">
        <v>46074</v>
      </c>
      <c r="D521" t="inlineStr">
        <is>
          <t>VÄSTMANLANDS LÄN</t>
        </is>
      </c>
      <c r="E521" t="inlineStr">
        <is>
          <t>SALA</t>
        </is>
      </c>
      <c r="G521" t="n">
        <v>2.6</v>
      </c>
      <c r="H521" t="n">
        <v>0</v>
      </c>
      <c r="I521" t="n">
        <v>0</v>
      </c>
      <c r="J521" t="n">
        <v>0</v>
      </c>
      <c r="K521" t="n">
        <v>0</v>
      </c>
      <c r="L521" t="n">
        <v>0</v>
      </c>
      <c r="M521" t="n">
        <v>0</v>
      </c>
      <c r="N521" t="n">
        <v>0</v>
      </c>
      <c r="O521" t="n">
        <v>0</v>
      </c>
      <c r="P521" t="n">
        <v>0</v>
      </c>
      <c r="Q521" t="n">
        <v>0</v>
      </c>
      <c r="R521" s="2" t="inlineStr"/>
    </row>
    <row r="522" ht="15" customHeight="1">
      <c r="A522" t="inlineStr">
        <is>
          <t>A 11696-2025</t>
        </is>
      </c>
      <c r="B522" s="1" t="n">
        <v>45727</v>
      </c>
      <c r="C522" s="1" t="n">
        <v>46074</v>
      </c>
      <c r="D522" t="inlineStr">
        <is>
          <t>VÄSTMANLANDS LÄN</t>
        </is>
      </c>
      <c r="E522" t="inlineStr">
        <is>
          <t>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60258-2025</t>
        </is>
      </c>
      <c r="B523" s="1" t="n">
        <v>45994.6064699074</v>
      </c>
      <c r="C523" s="1" t="n">
        <v>46074</v>
      </c>
      <c r="D523" t="inlineStr">
        <is>
          <t>VÄSTMANLANDS LÄN</t>
        </is>
      </c>
      <c r="E523" t="inlineStr">
        <is>
          <t>SALA</t>
        </is>
      </c>
      <c r="G523" t="n">
        <v>2.2</v>
      </c>
      <c r="H523" t="n">
        <v>0</v>
      </c>
      <c r="I523" t="n">
        <v>0</v>
      </c>
      <c r="J523" t="n">
        <v>0</v>
      </c>
      <c r="K523" t="n">
        <v>0</v>
      </c>
      <c r="L523" t="n">
        <v>0</v>
      </c>
      <c r="M523" t="n">
        <v>0</v>
      </c>
      <c r="N523" t="n">
        <v>0</v>
      </c>
      <c r="O523" t="n">
        <v>0</v>
      </c>
      <c r="P523" t="n">
        <v>0</v>
      </c>
      <c r="Q523" t="n">
        <v>0</v>
      </c>
      <c r="R523" s="2" t="inlineStr"/>
    </row>
    <row r="524" ht="15" customHeight="1">
      <c r="A524" t="inlineStr">
        <is>
          <t>A 60246-2025</t>
        </is>
      </c>
      <c r="B524" s="1" t="n">
        <v>45994.58931712963</v>
      </c>
      <c r="C524" s="1" t="n">
        <v>46074</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60629-2025</t>
        </is>
      </c>
      <c r="B525" s="1" t="n">
        <v>45996.41972222222</v>
      </c>
      <c r="C525" s="1" t="n">
        <v>46074</v>
      </c>
      <c r="D525" t="inlineStr">
        <is>
          <t>VÄSTMANLANDS LÄN</t>
        </is>
      </c>
      <c r="E525" t="inlineStr">
        <is>
          <t>SALA</t>
        </is>
      </c>
      <c r="G525" t="n">
        <v>4.3</v>
      </c>
      <c r="H525" t="n">
        <v>0</v>
      </c>
      <c r="I525" t="n">
        <v>0</v>
      </c>
      <c r="J525" t="n">
        <v>0</v>
      </c>
      <c r="K525" t="n">
        <v>0</v>
      </c>
      <c r="L525" t="n">
        <v>0</v>
      </c>
      <c r="M525" t="n">
        <v>0</v>
      </c>
      <c r="N525" t="n">
        <v>0</v>
      </c>
      <c r="O525" t="n">
        <v>0</v>
      </c>
      <c r="P525" t="n">
        <v>0</v>
      </c>
      <c r="Q525" t="n">
        <v>0</v>
      </c>
      <c r="R525" s="2" t="inlineStr"/>
    </row>
    <row r="526" ht="15" customHeight="1">
      <c r="A526" t="inlineStr">
        <is>
          <t>A 60545-2024</t>
        </is>
      </c>
      <c r="B526" s="1" t="n">
        <v>45643</v>
      </c>
      <c r="C526" s="1" t="n">
        <v>46074</v>
      </c>
      <c r="D526" t="inlineStr">
        <is>
          <t>VÄSTMANLANDS LÄN</t>
        </is>
      </c>
      <c r="E526" t="inlineStr">
        <is>
          <t>SALA</t>
        </is>
      </c>
      <c r="G526" t="n">
        <v>3.3</v>
      </c>
      <c r="H526" t="n">
        <v>0</v>
      </c>
      <c r="I526" t="n">
        <v>0</v>
      </c>
      <c r="J526" t="n">
        <v>0</v>
      </c>
      <c r="K526" t="n">
        <v>0</v>
      </c>
      <c r="L526" t="n">
        <v>0</v>
      </c>
      <c r="M526" t="n">
        <v>0</v>
      </c>
      <c r="N526" t="n">
        <v>0</v>
      </c>
      <c r="O526" t="n">
        <v>0</v>
      </c>
      <c r="P526" t="n">
        <v>0</v>
      </c>
      <c r="Q526" t="n">
        <v>0</v>
      </c>
      <c r="R526" s="2" t="inlineStr"/>
    </row>
    <row r="527" ht="15" customHeight="1">
      <c r="A527" t="inlineStr">
        <is>
          <t>A 60547-2024</t>
        </is>
      </c>
      <c r="B527" s="1" t="n">
        <v>45643</v>
      </c>
      <c r="C527" s="1" t="n">
        <v>46074</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1985-2022</t>
        </is>
      </c>
      <c r="B528" s="1" t="n">
        <v>44575</v>
      </c>
      <c r="C528" s="1" t="n">
        <v>46074</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27261-2024</t>
        </is>
      </c>
      <c r="B529" s="1" t="n">
        <v>45471</v>
      </c>
      <c r="C529" s="1" t="n">
        <v>46074</v>
      </c>
      <c r="D529" t="inlineStr">
        <is>
          <t>VÄSTMANLANDS LÄN</t>
        </is>
      </c>
      <c r="E529" t="inlineStr">
        <is>
          <t>SALA</t>
        </is>
      </c>
      <c r="G529" t="n">
        <v>6.1</v>
      </c>
      <c r="H529" t="n">
        <v>0</v>
      </c>
      <c r="I529" t="n">
        <v>0</v>
      </c>
      <c r="J529" t="n">
        <v>0</v>
      </c>
      <c r="K529" t="n">
        <v>0</v>
      </c>
      <c r="L529" t="n">
        <v>0</v>
      </c>
      <c r="M529" t="n">
        <v>0</v>
      </c>
      <c r="N529" t="n">
        <v>0</v>
      </c>
      <c r="O529" t="n">
        <v>0</v>
      </c>
      <c r="P529" t="n">
        <v>0</v>
      </c>
      <c r="Q529" t="n">
        <v>0</v>
      </c>
      <c r="R529" s="2" t="inlineStr"/>
    </row>
    <row r="530" ht="15" customHeight="1">
      <c r="A530" t="inlineStr">
        <is>
          <t>A 35976-2024</t>
        </is>
      </c>
      <c r="B530" s="1" t="n">
        <v>45533.49555555556</v>
      </c>
      <c r="C530" s="1" t="n">
        <v>46074</v>
      </c>
      <c r="D530" t="inlineStr">
        <is>
          <t>VÄSTMANLANDS LÄN</t>
        </is>
      </c>
      <c r="E530" t="inlineStr">
        <is>
          <t>SALA</t>
        </is>
      </c>
      <c r="G530" t="n">
        <v>2.3</v>
      </c>
      <c r="H530" t="n">
        <v>0</v>
      </c>
      <c r="I530" t="n">
        <v>0</v>
      </c>
      <c r="J530" t="n">
        <v>0</v>
      </c>
      <c r="K530" t="n">
        <v>0</v>
      </c>
      <c r="L530" t="n">
        <v>0</v>
      </c>
      <c r="M530" t="n">
        <v>0</v>
      </c>
      <c r="N530" t="n">
        <v>0</v>
      </c>
      <c r="O530" t="n">
        <v>0</v>
      </c>
      <c r="P530" t="n">
        <v>0</v>
      </c>
      <c r="Q530" t="n">
        <v>0</v>
      </c>
      <c r="R530" s="2" t="inlineStr"/>
    </row>
    <row r="531" ht="15" customHeight="1">
      <c r="A531" t="inlineStr">
        <is>
          <t>A 55556-2023</t>
        </is>
      </c>
      <c r="B531" s="1" t="n">
        <v>45232</v>
      </c>
      <c r="C531" s="1" t="n">
        <v>46074</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57650-2024</t>
        </is>
      </c>
      <c r="B532" s="1" t="n">
        <v>45630</v>
      </c>
      <c r="C532" s="1" t="n">
        <v>46074</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50479-2022</t>
        </is>
      </c>
      <c r="B533" s="1" t="n">
        <v>44861</v>
      </c>
      <c r="C533" s="1" t="n">
        <v>46074</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45790-2023</t>
        </is>
      </c>
      <c r="B534" s="1" t="n">
        <v>45195.45958333334</v>
      </c>
      <c r="C534" s="1" t="n">
        <v>46074</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46074</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2928-2024</t>
        </is>
      </c>
      <c r="B536" s="1" t="n">
        <v>45315.59041666667</v>
      </c>
      <c r="C536" s="1" t="n">
        <v>46074</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73673-2021</t>
        </is>
      </c>
      <c r="B537" s="1" t="n">
        <v>44552.46501157407</v>
      </c>
      <c r="C537" s="1" t="n">
        <v>46074</v>
      </c>
      <c r="D537" t="inlineStr">
        <is>
          <t>VÄSTMANLANDS LÄN</t>
        </is>
      </c>
      <c r="E537" t="inlineStr">
        <is>
          <t>SALA</t>
        </is>
      </c>
      <c r="G537" t="n">
        <v>11.4</v>
      </c>
      <c r="H537" t="n">
        <v>0</v>
      </c>
      <c r="I537" t="n">
        <v>0</v>
      </c>
      <c r="J537" t="n">
        <v>0</v>
      </c>
      <c r="K537" t="n">
        <v>0</v>
      </c>
      <c r="L537" t="n">
        <v>0</v>
      </c>
      <c r="M537" t="n">
        <v>0</v>
      </c>
      <c r="N537" t="n">
        <v>0</v>
      </c>
      <c r="O537" t="n">
        <v>0</v>
      </c>
      <c r="P537" t="n">
        <v>0</v>
      </c>
      <c r="Q537" t="n">
        <v>0</v>
      </c>
      <c r="R537" s="2" t="inlineStr"/>
    </row>
    <row r="538" ht="15" customHeight="1">
      <c r="A538" t="inlineStr">
        <is>
          <t>A 40871-2021</t>
        </is>
      </c>
      <c r="B538" s="1" t="n">
        <v>44421</v>
      </c>
      <c r="C538" s="1" t="n">
        <v>46074</v>
      </c>
      <c r="D538" t="inlineStr">
        <is>
          <t>VÄSTMANLANDS LÄN</t>
        </is>
      </c>
      <c r="E538" t="inlineStr">
        <is>
          <t>SALA</t>
        </is>
      </c>
      <c r="G538" t="n">
        <v>1.4</v>
      </c>
      <c r="H538" t="n">
        <v>0</v>
      </c>
      <c r="I538" t="n">
        <v>0</v>
      </c>
      <c r="J538" t="n">
        <v>0</v>
      </c>
      <c r="K538" t="n">
        <v>0</v>
      </c>
      <c r="L538" t="n">
        <v>0</v>
      </c>
      <c r="M538" t="n">
        <v>0</v>
      </c>
      <c r="N538" t="n">
        <v>0</v>
      </c>
      <c r="O538" t="n">
        <v>0</v>
      </c>
      <c r="P538" t="n">
        <v>0</v>
      </c>
      <c r="Q538" t="n">
        <v>0</v>
      </c>
      <c r="R538" s="2" t="inlineStr"/>
    </row>
    <row r="539" ht="15" customHeight="1">
      <c r="A539" t="inlineStr">
        <is>
          <t>A 14271-2025</t>
        </is>
      </c>
      <c r="B539" s="1" t="n">
        <v>45740.64129629629</v>
      </c>
      <c r="C539" s="1" t="n">
        <v>46074</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54199-2024</t>
        </is>
      </c>
      <c r="B540" s="1" t="n">
        <v>45616.64703703704</v>
      </c>
      <c r="C540" s="1" t="n">
        <v>46074</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6312-2025</t>
        </is>
      </c>
      <c r="B541" s="1" t="n">
        <v>45698</v>
      </c>
      <c r="C541" s="1" t="n">
        <v>46074</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4712-2026</t>
        </is>
      </c>
      <c r="B542" s="1" t="n">
        <v>46048.46082175926</v>
      </c>
      <c r="C542" s="1" t="n">
        <v>46074</v>
      </c>
      <c r="D542" t="inlineStr">
        <is>
          <t>VÄSTMANLANDS LÄN</t>
        </is>
      </c>
      <c r="E542" t="inlineStr">
        <is>
          <t>SALA</t>
        </is>
      </c>
      <c r="G542" t="n">
        <v>4.1</v>
      </c>
      <c r="H542" t="n">
        <v>0</v>
      </c>
      <c r="I542" t="n">
        <v>0</v>
      </c>
      <c r="J542" t="n">
        <v>0</v>
      </c>
      <c r="K542" t="n">
        <v>0</v>
      </c>
      <c r="L542" t="n">
        <v>0</v>
      </c>
      <c r="M542" t="n">
        <v>0</v>
      </c>
      <c r="N542" t="n">
        <v>0</v>
      </c>
      <c r="O542" t="n">
        <v>0</v>
      </c>
      <c r="P542" t="n">
        <v>0</v>
      </c>
      <c r="Q542" t="n">
        <v>0</v>
      </c>
      <c r="R542" s="2" t="inlineStr"/>
    </row>
    <row r="543" ht="15" customHeight="1">
      <c r="A543" t="inlineStr">
        <is>
          <t>A 44857-2023</t>
        </is>
      </c>
      <c r="B543" s="1" t="n">
        <v>45190.58479166667</v>
      </c>
      <c r="C543" s="1" t="n">
        <v>46074</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4681-2026</t>
        </is>
      </c>
      <c r="B544" s="1" t="n">
        <v>46048.43016203704</v>
      </c>
      <c r="C544" s="1" t="n">
        <v>46074</v>
      </c>
      <c r="D544" t="inlineStr">
        <is>
          <t>VÄSTMANLANDS LÄN</t>
        </is>
      </c>
      <c r="E544" t="inlineStr">
        <is>
          <t>SALA</t>
        </is>
      </c>
      <c r="G544" t="n">
        <v>2.5</v>
      </c>
      <c r="H544" t="n">
        <v>0</v>
      </c>
      <c r="I544" t="n">
        <v>0</v>
      </c>
      <c r="J544" t="n">
        <v>0</v>
      </c>
      <c r="K544" t="n">
        <v>0</v>
      </c>
      <c r="L544" t="n">
        <v>0</v>
      </c>
      <c r="M544" t="n">
        <v>0</v>
      </c>
      <c r="N544" t="n">
        <v>0</v>
      </c>
      <c r="O544" t="n">
        <v>0</v>
      </c>
      <c r="P544" t="n">
        <v>0</v>
      </c>
      <c r="Q544" t="n">
        <v>0</v>
      </c>
      <c r="R544" s="2" t="inlineStr"/>
    </row>
    <row r="545" ht="15" customHeight="1">
      <c r="A545" t="inlineStr">
        <is>
          <t>A 4664-2026</t>
        </is>
      </c>
      <c r="B545" s="1" t="n">
        <v>46048.41061342593</v>
      </c>
      <c r="C545" s="1" t="n">
        <v>46074</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62654-2022</t>
        </is>
      </c>
      <c r="B546" s="1" t="n">
        <v>44917</v>
      </c>
      <c r="C546" s="1" t="n">
        <v>46074</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43188-2023</t>
        </is>
      </c>
      <c r="B547" s="1" t="n">
        <v>45183</v>
      </c>
      <c r="C547" s="1" t="n">
        <v>46074</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43205-2023</t>
        </is>
      </c>
      <c r="B548" s="1" t="n">
        <v>45183</v>
      </c>
      <c r="C548" s="1" t="n">
        <v>46074</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61892-2021</t>
        </is>
      </c>
      <c r="B549" s="1" t="n">
        <v>44502</v>
      </c>
      <c r="C549" s="1" t="n">
        <v>46074</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29213-2022</t>
        </is>
      </c>
      <c r="B550" s="1" t="n">
        <v>44750.57474537037</v>
      </c>
      <c r="C550" s="1" t="n">
        <v>46074</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62523-2025</t>
        </is>
      </c>
      <c r="B551" s="1" t="n">
        <v>46007.61512731481</v>
      </c>
      <c r="C551" s="1" t="n">
        <v>46074</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59483-2022</t>
        </is>
      </c>
      <c r="B552" s="1" t="n">
        <v>44907.45679398148</v>
      </c>
      <c r="C552" s="1" t="n">
        <v>46074</v>
      </c>
      <c r="D552" t="inlineStr">
        <is>
          <t>VÄSTMANLANDS LÄN</t>
        </is>
      </c>
      <c r="E552" t="inlineStr">
        <is>
          <t>SALA</t>
        </is>
      </c>
      <c r="G552" t="n">
        <v>5.2</v>
      </c>
      <c r="H552" t="n">
        <v>0</v>
      </c>
      <c r="I552" t="n">
        <v>0</v>
      </c>
      <c r="J552" t="n">
        <v>0</v>
      </c>
      <c r="K552" t="n">
        <v>0</v>
      </c>
      <c r="L552" t="n">
        <v>0</v>
      </c>
      <c r="M552" t="n">
        <v>0</v>
      </c>
      <c r="N552" t="n">
        <v>0</v>
      </c>
      <c r="O552" t="n">
        <v>0</v>
      </c>
      <c r="P552" t="n">
        <v>0</v>
      </c>
      <c r="Q552" t="n">
        <v>0</v>
      </c>
      <c r="R552" s="2" t="inlineStr"/>
    </row>
    <row r="553" ht="15" customHeight="1">
      <c r="A553" t="inlineStr">
        <is>
          <t>A 4624-2026</t>
        </is>
      </c>
      <c r="B553" s="1" t="n">
        <v>46048.38107638889</v>
      </c>
      <c r="C553" s="1" t="n">
        <v>46074</v>
      </c>
      <c r="D553" t="inlineStr">
        <is>
          <t>VÄSTMANLANDS LÄN</t>
        </is>
      </c>
      <c r="E553" t="inlineStr">
        <is>
          <t>SALA</t>
        </is>
      </c>
      <c r="G553" t="n">
        <v>12.3</v>
      </c>
      <c r="H553" t="n">
        <v>0</v>
      </c>
      <c r="I553" t="n">
        <v>0</v>
      </c>
      <c r="J553" t="n">
        <v>0</v>
      </c>
      <c r="K553" t="n">
        <v>0</v>
      </c>
      <c r="L553" t="n">
        <v>0</v>
      </c>
      <c r="M553" t="n">
        <v>0</v>
      </c>
      <c r="N553" t="n">
        <v>0</v>
      </c>
      <c r="O553" t="n">
        <v>0</v>
      </c>
      <c r="P553" t="n">
        <v>0</v>
      </c>
      <c r="Q553" t="n">
        <v>0</v>
      </c>
      <c r="R553" s="2" t="inlineStr"/>
    </row>
    <row r="554" ht="15" customHeight="1">
      <c r="A554" t="inlineStr">
        <is>
          <t>A 16160-2024</t>
        </is>
      </c>
      <c r="B554" s="1" t="n">
        <v>45406</v>
      </c>
      <c r="C554" s="1" t="n">
        <v>46074</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5525-2026</t>
        </is>
      </c>
      <c r="B555" s="1" t="n">
        <v>46050.65055555556</v>
      </c>
      <c r="C555" s="1" t="n">
        <v>46074</v>
      </c>
      <c r="D555" t="inlineStr">
        <is>
          <t>VÄSTMANLANDS LÄN</t>
        </is>
      </c>
      <c r="E555" t="inlineStr">
        <is>
          <t>SALA</t>
        </is>
      </c>
      <c r="G555" t="n">
        <v>13.1</v>
      </c>
      <c r="H555" t="n">
        <v>0</v>
      </c>
      <c r="I555" t="n">
        <v>0</v>
      </c>
      <c r="J555" t="n">
        <v>0</v>
      </c>
      <c r="K555" t="n">
        <v>0</v>
      </c>
      <c r="L555" t="n">
        <v>0</v>
      </c>
      <c r="M555" t="n">
        <v>0</v>
      </c>
      <c r="N555" t="n">
        <v>0</v>
      </c>
      <c r="O555" t="n">
        <v>0</v>
      </c>
      <c r="P555" t="n">
        <v>0</v>
      </c>
      <c r="Q555" t="n">
        <v>0</v>
      </c>
      <c r="R555" s="2" t="inlineStr"/>
    </row>
    <row r="556" ht="15" customHeight="1">
      <c r="A556" t="inlineStr">
        <is>
          <t>A 39597-2022</t>
        </is>
      </c>
      <c r="B556" s="1" t="n">
        <v>44818</v>
      </c>
      <c r="C556" s="1" t="n">
        <v>46074</v>
      </c>
      <c r="D556" t="inlineStr">
        <is>
          <t>VÄSTMANLANDS LÄN</t>
        </is>
      </c>
      <c r="E556" t="inlineStr">
        <is>
          <t>SALA</t>
        </is>
      </c>
      <c r="G556" t="n">
        <v>2.3</v>
      </c>
      <c r="H556" t="n">
        <v>0</v>
      </c>
      <c r="I556" t="n">
        <v>0</v>
      </c>
      <c r="J556" t="n">
        <v>0</v>
      </c>
      <c r="K556" t="n">
        <v>0</v>
      </c>
      <c r="L556" t="n">
        <v>0</v>
      </c>
      <c r="M556" t="n">
        <v>0</v>
      </c>
      <c r="N556" t="n">
        <v>0</v>
      </c>
      <c r="O556" t="n">
        <v>0</v>
      </c>
      <c r="P556" t="n">
        <v>0</v>
      </c>
      <c r="Q556" t="n">
        <v>0</v>
      </c>
      <c r="R556" s="2" t="inlineStr"/>
    </row>
    <row r="557" ht="15" customHeight="1">
      <c r="A557" t="inlineStr">
        <is>
          <t>A 63055-2025</t>
        </is>
      </c>
      <c r="B557" s="1" t="n">
        <v>46009.63619212963</v>
      </c>
      <c r="C557" s="1" t="n">
        <v>46074</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63051-2025</t>
        </is>
      </c>
      <c r="B558" s="1" t="n">
        <v>46009.63134259259</v>
      </c>
      <c r="C558" s="1" t="n">
        <v>46074</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22921-2023</t>
        </is>
      </c>
      <c r="B559" s="1" t="n">
        <v>45070</v>
      </c>
      <c r="C559" s="1" t="n">
        <v>46074</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63046-2025</t>
        </is>
      </c>
      <c r="B560" s="1" t="n">
        <v>46009.62373842593</v>
      </c>
      <c r="C560" s="1" t="n">
        <v>46074</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5418-2026</t>
        </is>
      </c>
      <c r="B561" s="1" t="n">
        <v>46050.53740740741</v>
      </c>
      <c r="C561" s="1" t="n">
        <v>46074</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36858-2023</t>
        </is>
      </c>
      <c r="B562" s="1" t="n">
        <v>45154.55184027777</v>
      </c>
      <c r="C562" s="1" t="n">
        <v>46074</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55024-2023</t>
        </is>
      </c>
      <c r="B563" s="1" t="n">
        <v>45229</v>
      </c>
      <c r="C563" s="1" t="n">
        <v>46074</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55032-2023</t>
        </is>
      </c>
      <c r="B564" s="1" t="n">
        <v>45229</v>
      </c>
      <c r="C564" s="1" t="n">
        <v>46074</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20352-2022</t>
        </is>
      </c>
      <c r="B565" s="1" t="n">
        <v>44699.37318287037</v>
      </c>
      <c r="C565" s="1" t="n">
        <v>46074</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5894-2026</t>
        </is>
      </c>
      <c r="B566" s="1" t="n">
        <v>46052.42412037037</v>
      </c>
      <c r="C566" s="1" t="n">
        <v>46074</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5032-2025</t>
        </is>
      </c>
      <c r="B567" s="1" t="n">
        <v>45691</v>
      </c>
      <c r="C567" s="1" t="n">
        <v>46074</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17117-2023</t>
        </is>
      </c>
      <c r="B568" s="1" t="n">
        <v>45034</v>
      </c>
      <c r="C568" s="1" t="n">
        <v>46074</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19243-2025</t>
        </is>
      </c>
      <c r="B569" s="1" t="n">
        <v>45769</v>
      </c>
      <c r="C569" s="1" t="n">
        <v>46074</v>
      </c>
      <c r="D569" t="inlineStr">
        <is>
          <t>VÄSTMANLANDS LÄN</t>
        </is>
      </c>
      <c r="E569" t="inlineStr">
        <is>
          <t>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63353-2025</t>
        </is>
      </c>
      <c r="B570" s="1" t="n">
        <v>46010.66670138889</v>
      </c>
      <c r="C570" s="1" t="n">
        <v>46074</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63269-2025</t>
        </is>
      </c>
      <c r="B571" s="1" t="n">
        <v>46010</v>
      </c>
      <c r="C571" s="1" t="n">
        <v>46074</v>
      </c>
      <c r="D571" t="inlineStr">
        <is>
          <t>VÄSTMANLANDS LÄN</t>
        </is>
      </c>
      <c r="E571" t="inlineStr">
        <is>
          <t>SALA</t>
        </is>
      </c>
      <c r="G571" t="n">
        <v>6.4</v>
      </c>
      <c r="H571" t="n">
        <v>0</v>
      </c>
      <c r="I571" t="n">
        <v>0</v>
      </c>
      <c r="J571" t="n">
        <v>0</v>
      </c>
      <c r="K571" t="n">
        <v>0</v>
      </c>
      <c r="L571" t="n">
        <v>0</v>
      </c>
      <c r="M571" t="n">
        <v>0</v>
      </c>
      <c r="N571" t="n">
        <v>0</v>
      </c>
      <c r="O571" t="n">
        <v>0</v>
      </c>
      <c r="P571" t="n">
        <v>0</v>
      </c>
      <c r="Q571" t="n">
        <v>0</v>
      </c>
      <c r="R571" s="2" t="inlineStr"/>
    </row>
    <row r="572" ht="15" customHeight="1">
      <c r="A572" t="inlineStr">
        <is>
          <t>A 7166-2025</t>
        </is>
      </c>
      <c r="B572" s="1" t="n">
        <v>45702</v>
      </c>
      <c r="C572" s="1" t="n">
        <v>46074</v>
      </c>
      <c r="D572" t="inlineStr">
        <is>
          <t>VÄSTMANLANDS LÄN</t>
        </is>
      </c>
      <c r="E572" t="inlineStr">
        <is>
          <t>SALA</t>
        </is>
      </c>
      <c r="G572" t="n">
        <v>6.1</v>
      </c>
      <c r="H572" t="n">
        <v>0</v>
      </c>
      <c r="I572" t="n">
        <v>0</v>
      </c>
      <c r="J572" t="n">
        <v>0</v>
      </c>
      <c r="K572" t="n">
        <v>0</v>
      </c>
      <c r="L572" t="n">
        <v>0</v>
      </c>
      <c r="M572" t="n">
        <v>0</v>
      </c>
      <c r="N572" t="n">
        <v>0</v>
      </c>
      <c r="O572" t="n">
        <v>0</v>
      </c>
      <c r="P572" t="n">
        <v>0</v>
      </c>
      <c r="Q572" t="n">
        <v>0</v>
      </c>
      <c r="R572" s="2" t="inlineStr"/>
    </row>
    <row r="573" ht="15" customHeight="1">
      <c r="A573" t="inlineStr">
        <is>
          <t>A 36393-2023</t>
        </is>
      </c>
      <c r="B573" s="1" t="n">
        <v>45152</v>
      </c>
      <c r="C573" s="1" t="n">
        <v>46074</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26416-2023</t>
        </is>
      </c>
      <c r="B574" s="1" t="n">
        <v>45092.38087962963</v>
      </c>
      <c r="C574" s="1" t="n">
        <v>46074</v>
      </c>
      <c r="D574" t="inlineStr">
        <is>
          <t>VÄSTMANLANDS LÄN</t>
        </is>
      </c>
      <c r="E574" t="inlineStr">
        <is>
          <t>SALA</t>
        </is>
      </c>
      <c r="G574" t="n">
        <v>2.9</v>
      </c>
      <c r="H574" t="n">
        <v>0</v>
      </c>
      <c r="I574" t="n">
        <v>0</v>
      </c>
      <c r="J574" t="n">
        <v>0</v>
      </c>
      <c r="K574" t="n">
        <v>0</v>
      </c>
      <c r="L574" t="n">
        <v>0</v>
      </c>
      <c r="M574" t="n">
        <v>0</v>
      </c>
      <c r="N574" t="n">
        <v>0</v>
      </c>
      <c r="O574" t="n">
        <v>0</v>
      </c>
      <c r="P574" t="n">
        <v>0</v>
      </c>
      <c r="Q574" t="n">
        <v>0</v>
      </c>
      <c r="R574" s="2" t="inlineStr"/>
    </row>
    <row r="575" ht="15" customHeight="1">
      <c r="A575" t="inlineStr">
        <is>
          <t>A 6021-2026</t>
        </is>
      </c>
      <c r="B575" s="1" t="n">
        <v>46050</v>
      </c>
      <c r="C575" s="1" t="n">
        <v>46074</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28661-2024</t>
        </is>
      </c>
      <c r="B576" s="1" t="n">
        <v>45478</v>
      </c>
      <c r="C576" s="1" t="n">
        <v>46074</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27255-2023</t>
        </is>
      </c>
      <c r="B577" s="1" t="n">
        <v>45096</v>
      </c>
      <c r="C577" s="1" t="n">
        <v>46074</v>
      </c>
      <c r="D577" t="inlineStr">
        <is>
          <t>VÄSTMANLANDS LÄN</t>
        </is>
      </c>
      <c r="E577" t="inlineStr">
        <is>
          <t>SALA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17722-2025</t>
        </is>
      </c>
      <c r="B578" s="1" t="n">
        <v>45758</v>
      </c>
      <c r="C578" s="1" t="n">
        <v>46074</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7498-2026</t>
        </is>
      </c>
      <c r="B579" s="1" t="n">
        <v>46059.55550925926</v>
      </c>
      <c r="C579" s="1" t="n">
        <v>46074</v>
      </c>
      <c r="D579" t="inlineStr">
        <is>
          <t>VÄSTMANLANDS LÄN</t>
        </is>
      </c>
      <c r="E579" t="inlineStr">
        <is>
          <t>SALA</t>
        </is>
      </c>
      <c r="G579" t="n">
        <v>1.9</v>
      </c>
      <c r="H579" t="n">
        <v>0</v>
      </c>
      <c r="I579" t="n">
        <v>0</v>
      </c>
      <c r="J579" t="n">
        <v>0</v>
      </c>
      <c r="K579" t="n">
        <v>0</v>
      </c>
      <c r="L579" t="n">
        <v>0</v>
      </c>
      <c r="M579" t="n">
        <v>0</v>
      </c>
      <c r="N579" t="n">
        <v>0</v>
      </c>
      <c r="O579" t="n">
        <v>0</v>
      </c>
      <c r="P579" t="n">
        <v>0</v>
      </c>
      <c r="Q579" t="n">
        <v>0</v>
      </c>
      <c r="R579" s="2" t="inlineStr"/>
    </row>
    <row r="580" ht="15" customHeight="1">
      <c r="A580" t="inlineStr">
        <is>
          <t>A 63749-2025</t>
        </is>
      </c>
      <c r="B580" s="1" t="n">
        <v>46017.75243055556</v>
      </c>
      <c r="C580" s="1" t="n">
        <v>46074</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7329-2026</t>
        </is>
      </c>
      <c r="B581" s="1" t="n">
        <v>46058.68678240741</v>
      </c>
      <c r="C581" s="1" t="n">
        <v>46074</v>
      </c>
      <c r="D581" t="inlineStr">
        <is>
          <t>VÄSTMANLANDS LÄN</t>
        </is>
      </c>
      <c r="E581" t="inlineStr">
        <is>
          <t>SALA</t>
        </is>
      </c>
      <c r="G581" t="n">
        <v>3.1</v>
      </c>
      <c r="H581" t="n">
        <v>0</v>
      </c>
      <c r="I581" t="n">
        <v>0</v>
      </c>
      <c r="J581" t="n">
        <v>0</v>
      </c>
      <c r="K581" t="n">
        <v>0</v>
      </c>
      <c r="L581" t="n">
        <v>0</v>
      </c>
      <c r="M581" t="n">
        <v>0</v>
      </c>
      <c r="N581" t="n">
        <v>0</v>
      </c>
      <c r="O581" t="n">
        <v>0</v>
      </c>
      <c r="P581" t="n">
        <v>0</v>
      </c>
      <c r="Q581" t="n">
        <v>0</v>
      </c>
      <c r="R581" s="2" t="inlineStr"/>
    </row>
    <row r="582" ht="15" customHeight="1">
      <c r="A582" t="inlineStr">
        <is>
          <t>A 7324-2026</t>
        </is>
      </c>
      <c r="B582" s="1" t="n">
        <v>46058.68023148148</v>
      </c>
      <c r="C582" s="1" t="n">
        <v>46074</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7197-2025</t>
        </is>
      </c>
      <c r="B583" s="1" t="n">
        <v>45702</v>
      </c>
      <c r="C583" s="1" t="n">
        <v>46074</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63748-2025</t>
        </is>
      </c>
      <c r="B584" s="1" t="n">
        <v>46017.71640046296</v>
      </c>
      <c r="C584" s="1" t="n">
        <v>46074</v>
      </c>
      <c r="D584" t="inlineStr">
        <is>
          <t>VÄSTMANLANDS LÄN</t>
        </is>
      </c>
      <c r="E584" t="inlineStr">
        <is>
          <t>SALA</t>
        </is>
      </c>
      <c r="G584" t="n">
        <v>1.6</v>
      </c>
      <c r="H584" t="n">
        <v>0</v>
      </c>
      <c r="I584" t="n">
        <v>0</v>
      </c>
      <c r="J584" t="n">
        <v>0</v>
      </c>
      <c r="K584" t="n">
        <v>0</v>
      </c>
      <c r="L584" t="n">
        <v>0</v>
      </c>
      <c r="M584" t="n">
        <v>0</v>
      </c>
      <c r="N584" t="n">
        <v>0</v>
      </c>
      <c r="O584" t="n">
        <v>0</v>
      </c>
      <c r="P584" t="n">
        <v>0</v>
      </c>
      <c r="Q584" t="n">
        <v>0</v>
      </c>
      <c r="R584" s="2" t="inlineStr"/>
    </row>
    <row r="585" ht="15" customHeight="1">
      <c r="A585" t="inlineStr">
        <is>
          <t>A 7327-2026</t>
        </is>
      </c>
      <c r="B585" s="1" t="n">
        <v>46058.68371527778</v>
      </c>
      <c r="C585" s="1" t="n">
        <v>46074</v>
      </c>
      <c r="D585" t="inlineStr">
        <is>
          <t>VÄSTMANLANDS LÄN</t>
        </is>
      </c>
      <c r="E585" t="inlineStr">
        <is>
          <t>SALA</t>
        </is>
      </c>
      <c r="G585" t="n">
        <v>5.8</v>
      </c>
      <c r="H585" t="n">
        <v>0</v>
      </c>
      <c r="I585" t="n">
        <v>0</v>
      </c>
      <c r="J585" t="n">
        <v>0</v>
      </c>
      <c r="K585" t="n">
        <v>0</v>
      </c>
      <c r="L585" t="n">
        <v>0</v>
      </c>
      <c r="M585" t="n">
        <v>0</v>
      </c>
      <c r="N585" t="n">
        <v>0</v>
      </c>
      <c r="O585" t="n">
        <v>0</v>
      </c>
      <c r="P585" t="n">
        <v>0</v>
      </c>
      <c r="Q585" t="n">
        <v>0</v>
      </c>
      <c r="R585" s="2" t="inlineStr"/>
    </row>
    <row r="586" ht="15" customHeight="1">
      <c r="A586" t="inlineStr">
        <is>
          <t>A 7332-2026</t>
        </is>
      </c>
      <c r="B586" s="1" t="n">
        <v>46058.68884259259</v>
      </c>
      <c r="C586" s="1" t="n">
        <v>46074</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13752-2025</t>
        </is>
      </c>
      <c r="B587" s="1" t="n">
        <v>45737.41416666667</v>
      </c>
      <c r="C587" s="1" t="n">
        <v>46074</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7654-2026</t>
        </is>
      </c>
      <c r="B588" s="1" t="n">
        <v>46062.38828703704</v>
      </c>
      <c r="C588" s="1" t="n">
        <v>46074</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2927-2024</t>
        </is>
      </c>
      <c r="B589" s="1" t="n">
        <v>45315.58989583333</v>
      </c>
      <c r="C589" s="1" t="n">
        <v>46074</v>
      </c>
      <c r="D589" t="inlineStr">
        <is>
          <t>VÄSTMANLANDS LÄN</t>
        </is>
      </c>
      <c r="E589" t="inlineStr">
        <is>
          <t>SALA</t>
        </is>
      </c>
      <c r="G589" t="n">
        <v>2.5</v>
      </c>
      <c r="H589" t="n">
        <v>0</v>
      </c>
      <c r="I589" t="n">
        <v>0</v>
      </c>
      <c r="J589" t="n">
        <v>0</v>
      </c>
      <c r="K589" t="n">
        <v>0</v>
      </c>
      <c r="L589" t="n">
        <v>0</v>
      </c>
      <c r="M589" t="n">
        <v>0</v>
      </c>
      <c r="N589" t="n">
        <v>0</v>
      </c>
      <c r="O589" t="n">
        <v>0</v>
      </c>
      <c r="P589" t="n">
        <v>0</v>
      </c>
      <c r="Q589" t="n">
        <v>0</v>
      </c>
      <c r="R589" s="2" t="inlineStr"/>
    </row>
    <row r="590" ht="15" customHeight="1">
      <c r="A590" t="inlineStr">
        <is>
          <t>A 26854-2024</t>
        </is>
      </c>
      <c r="B590" s="1" t="n">
        <v>45470</v>
      </c>
      <c r="C590" s="1" t="n">
        <v>46074</v>
      </c>
      <c r="D590" t="inlineStr">
        <is>
          <t>VÄSTMANLANDS LÄN</t>
        </is>
      </c>
      <c r="E590" t="inlineStr">
        <is>
          <t>SALA</t>
        </is>
      </c>
      <c r="G590" t="n">
        <v>1.4</v>
      </c>
      <c r="H590" t="n">
        <v>0</v>
      </c>
      <c r="I590" t="n">
        <v>0</v>
      </c>
      <c r="J590" t="n">
        <v>0</v>
      </c>
      <c r="K590" t="n">
        <v>0</v>
      </c>
      <c r="L590" t="n">
        <v>0</v>
      </c>
      <c r="M590" t="n">
        <v>0</v>
      </c>
      <c r="N590" t="n">
        <v>0</v>
      </c>
      <c r="O590" t="n">
        <v>0</v>
      </c>
      <c r="P590" t="n">
        <v>0</v>
      </c>
      <c r="Q590" t="n">
        <v>0</v>
      </c>
      <c r="R590" s="2" t="inlineStr"/>
    </row>
    <row r="591" ht="15" customHeight="1">
      <c r="A591" t="inlineStr">
        <is>
          <t>A 7680-2026</t>
        </is>
      </c>
      <c r="B591" s="1" t="n">
        <v>46062.43087962963</v>
      </c>
      <c r="C591" s="1" t="n">
        <v>46074</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7595-2026</t>
        </is>
      </c>
      <c r="B592" s="1" t="n">
        <v>46061.90009259259</v>
      </c>
      <c r="C592" s="1" t="n">
        <v>46074</v>
      </c>
      <c r="D592" t="inlineStr">
        <is>
          <t>VÄSTMANLANDS LÄN</t>
        </is>
      </c>
      <c r="E592" t="inlineStr">
        <is>
          <t>SALA</t>
        </is>
      </c>
      <c r="G592" t="n">
        <v>1.2</v>
      </c>
      <c r="H592" t="n">
        <v>0</v>
      </c>
      <c r="I592" t="n">
        <v>0</v>
      </c>
      <c r="J592" t="n">
        <v>0</v>
      </c>
      <c r="K592" t="n">
        <v>0</v>
      </c>
      <c r="L592" t="n">
        <v>0</v>
      </c>
      <c r="M592" t="n">
        <v>0</v>
      </c>
      <c r="N592" t="n">
        <v>0</v>
      </c>
      <c r="O592" t="n">
        <v>0</v>
      </c>
      <c r="P592" t="n">
        <v>0</v>
      </c>
      <c r="Q592" t="n">
        <v>0</v>
      </c>
      <c r="R592" s="2" t="inlineStr"/>
    </row>
    <row r="593" ht="15" customHeight="1">
      <c r="A593" t="inlineStr">
        <is>
          <t>A 4214-2026</t>
        </is>
      </c>
      <c r="B593" s="1" t="n">
        <v>46044.76459490741</v>
      </c>
      <c r="C593" s="1" t="n">
        <v>46074</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7588-2026</t>
        </is>
      </c>
      <c r="B594" s="1" t="n">
        <v>46061.83528935185</v>
      </c>
      <c r="C594" s="1" t="n">
        <v>46074</v>
      </c>
      <c r="D594" t="inlineStr">
        <is>
          <t>VÄSTMANLANDS LÄN</t>
        </is>
      </c>
      <c r="E594" t="inlineStr">
        <is>
          <t>SALA</t>
        </is>
      </c>
      <c r="G594" t="n">
        <v>2.8</v>
      </c>
      <c r="H594" t="n">
        <v>0</v>
      </c>
      <c r="I594" t="n">
        <v>0</v>
      </c>
      <c r="J594" t="n">
        <v>0</v>
      </c>
      <c r="K594" t="n">
        <v>0</v>
      </c>
      <c r="L594" t="n">
        <v>0</v>
      </c>
      <c r="M594" t="n">
        <v>0</v>
      </c>
      <c r="N594" t="n">
        <v>0</v>
      </c>
      <c r="O594" t="n">
        <v>0</v>
      </c>
      <c r="P594" t="n">
        <v>0</v>
      </c>
      <c r="Q594" t="n">
        <v>0</v>
      </c>
      <c r="R594" s="2" t="inlineStr"/>
    </row>
    <row r="595" ht="15" customHeight="1">
      <c r="A595" t="inlineStr">
        <is>
          <t>A 7593-2026</t>
        </is>
      </c>
      <c r="B595" s="1" t="n">
        <v>46061.88057870371</v>
      </c>
      <c r="C595" s="1" t="n">
        <v>46074</v>
      </c>
      <c r="D595" t="inlineStr">
        <is>
          <t>VÄSTMANLANDS LÄN</t>
        </is>
      </c>
      <c r="E595" t="inlineStr">
        <is>
          <t>SALA</t>
        </is>
      </c>
      <c r="G595" t="n">
        <v>7.5</v>
      </c>
      <c r="H595" t="n">
        <v>0</v>
      </c>
      <c r="I595" t="n">
        <v>0</v>
      </c>
      <c r="J595" t="n">
        <v>0</v>
      </c>
      <c r="K595" t="n">
        <v>0</v>
      </c>
      <c r="L595" t="n">
        <v>0</v>
      </c>
      <c r="M595" t="n">
        <v>0</v>
      </c>
      <c r="N595" t="n">
        <v>0</v>
      </c>
      <c r="O595" t="n">
        <v>0</v>
      </c>
      <c r="P595" t="n">
        <v>0</v>
      </c>
      <c r="Q595" t="n">
        <v>0</v>
      </c>
      <c r="R595" s="2" t="inlineStr"/>
    </row>
    <row r="596" ht="15" customHeight="1">
      <c r="A596" t="inlineStr">
        <is>
          <t>A 7597-2026</t>
        </is>
      </c>
      <c r="B596" s="1" t="n">
        <v>46061.91765046296</v>
      </c>
      <c r="C596" s="1" t="n">
        <v>46074</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7850-2026</t>
        </is>
      </c>
      <c r="B597" s="1" t="n">
        <v>46062.66236111111</v>
      </c>
      <c r="C597" s="1" t="n">
        <v>46074</v>
      </c>
      <c r="D597" t="inlineStr">
        <is>
          <t>VÄSTMANLANDS LÄN</t>
        </is>
      </c>
      <c r="E597" t="inlineStr">
        <is>
          <t>SALA</t>
        </is>
      </c>
      <c r="G597" t="n">
        <v>2.3</v>
      </c>
      <c r="H597" t="n">
        <v>0</v>
      </c>
      <c r="I597" t="n">
        <v>0</v>
      </c>
      <c r="J597" t="n">
        <v>0</v>
      </c>
      <c r="K597" t="n">
        <v>0</v>
      </c>
      <c r="L597" t="n">
        <v>0</v>
      </c>
      <c r="M597" t="n">
        <v>0</v>
      </c>
      <c r="N597" t="n">
        <v>0</v>
      </c>
      <c r="O597" t="n">
        <v>0</v>
      </c>
      <c r="P597" t="n">
        <v>0</v>
      </c>
      <c r="Q597" t="n">
        <v>0</v>
      </c>
      <c r="R597" s="2" t="inlineStr"/>
    </row>
    <row r="598" ht="15" customHeight="1">
      <c r="A598" t="inlineStr">
        <is>
          <t>A 48570-2024</t>
        </is>
      </c>
      <c r="B598" s="1" t="n">
        <v>45591</v>
      </c>
      <c r="C598" s="1" t="n">
        <v>46074</v>
      </c>
      <c r="D598" t="inlineStr">
        <is>
          <t>VÄSTMANLANDS LÄN</t>
        </is>
      </c>
      <c r="E598" t="inlineStr">
        <is>
          <t>SALA</t>
        </is>
      </c>
      <c r="G598" t="n">
        <v>3</v>
      </c>
      <c r="H598" t="n">
        <v>0</v>
      </c>
      <c r="I598" t="n">
        <v>0</v>
      </c>
      <c r="J598" t="n">
        <v>0</v>
      </c>
      <c r="K598" t="n">
        <v>0</v>
      </c>
      <c r="L598" t="n">
        <v>0</v>
      </c>
      <c r="M598" t="n">
        <v>0</v>
      </c>
      <c r="N598" t="n">
        <v>0</v>
      </c>
      <c r="O598" t="n">
        <v>0</v>
      </c>
      <c r="P598" t="n">
        <v>0</v>
      </c>
      <c r="Q598" t="n">
        <v>0</v>
      </c>
      <c r="R598" s="2" t="inlineStr"/>
    </row>
    <row r="599" ht="15" customHeight="1">
      <c r="A599" t="inlineStr">
        <is>
          <t>A 10812-2021</t>
        </is>
      </c>
      <c r="B599" s="1" t="n">
        <v>44259</v>
      </c>
      <c r="C599" s="1" t="n">
        <v>46074</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7611-2026</t>
        </is>
      </c>
      <c r="B600" s="1" t="n">
        <v>46062.32387731481</v>
      </c>
      <c r="C600" s="1" t="n">
        <v>46074</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7676-2026</t>
        </is>
      </c>
      <c r="B601" s="1" t="n">
        <v>46062.42498842593</v>
      </c>
      <c r="C601" s="1" t="n">
        <v>46074</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57883-2024</t>
        </is>
      </c>
      <c r="B602" s="1" t="n">
        <v>45630</v>
      </c>
      <c r="C602" s="1" t="n">
        <v>46074</v>
      </c>
      <c r="D602" t="inlineStr">
        <is>
          <t>VÄSTMANLANDS LÄN</t>
        </is>
      </c>
      <c r="E602" t="inlineStr">
        <is>
          <t>SALA</t>
        </is>
      </c>
      <c r="G602" t="n">
        <v>5.4</v>
      </c>
      <c r="H602" t="n">
        <v>0</v>
      </c>
      <c r="I602" t="n">
        <v>0</v>
      </c>
      <c r="J602" t="n">
        <v>0</v>
      </c>
      <c r="K602" t="n">
        <v>0</v>
      </c>
      <c r="L602" t="n">
        <v>0</v>
      </c>
      <c r="M602" t="n">
        <v>0</v>
      </c>
      <c r="N602" t="n">
        <v>0</v>
      </c>
      <c r="O602" t="n">
        <v>0</v>
      </c>
      <c r="P602" t="n">
        <v>0</v>
      </c>
      <c r="Q602" t="n">
        <v>0</v>
      </c>
      <c r="R602" s="2" t="inlineStr"/>
    </row>
    <row r="603" ht="15" customHeight="1">
      <c r="A603" t="inlineStr">
        <is>
          <t>A 7661-2026</t>
        </is>
      </c>
      <c r="B603" s="1" t="n">
        <v>46062.39614583334</v>
      </c>
      <c r="C603" s="1" t="n">
        <v>46074</v>
      </c>
      <c r="D603" t="inlineStr">
        <is>
          <t>VÄSTMANLANDS LÄN</t>
        </is>
      </c>
      <c r="E603" t="inlineStr">
        <is>
          <t>SALA</t>
        </is>
      </c>
      <c r="G603" t="n">
        <v>1.3</v>
      </c>
      <c r="H603" t="n">
        <v>0</v>
      </c>
      <c r="I603" t="n">
        <v>0</v>
      </c>
      <c r="J603" t="n">
        <v>0</v>
      </c>
      <c r="K603" t="n">
        <v>0</v>
      </c>
      <c r="L603" t="n">
        <v>0</v>
      </c>
      <c r="M603" t="n">
        <v>0</v>
      </c>
      <c r="N603" t="n">
        <v>0</v>
      </c>
      <c r="O603" t="n">
        <v>0</v>
      </c>
      <c r="P603" t="n">
        <v>0</v>
      </c>
      <c r="Q603" t="n">
        <v>0</v>
      </c>
      <c r="R603" s="2" t="inlineStr"/>
    </row>
    <row r="604" ht="15" customHeight="1">
      <c r="A604" t="inlineStr">
        <is>
          <t>A 16769-2024</t>
        </is>
      </c>
      <c r="B604" s="1" t="n">
        <v>45411.38738425926</v>
      </c>
      <c r="C604" s="1" t="n">
        <v>46074</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18877-2023</t>
        </is>
      </c>
      <c r="B605" s="1" t="n">
        <v>45044</v>
      </c>
      <c r="C605" s="1" t="n">
        <v>46074</v>
      </c>
      <c r="D605" t="inlineStr">
        <is>
          <t>VÄSTMANLANDS LÄN</t>
        </is>
      </c>
      <c r="E605" t="inlineStr">
        <is>
          <t>SALA</t>
        </is>
      </c>
      <c r="F605" t="inlineStr">
        <is>
          <t>Kommuner</t>
        </is>
      </c>
      <c r="G605" t="n">
        <v>4.4</v>
      </c>
      <c r="H605" t="n">
        <v>0</v>
      </c>
      <c r="I605" t="n">
        <v>0</v>
      </c>
      <c r="J605" t="n">
        <v>0</v>
      </c>
      <c r="K605" t="n">
        <v>0</v>
      </c>
      <c r="L605" t="n">
        <v>0</v>
      </c>
      <c r="M605" t="n">
        <v>0</v>
      </c>
      <c r="N605" t="n">
        <v>0</v>
      </c>
      <c r="O605" t="n">
        <v>0</v>
      </c>
      <c r="P605" t="n">
        <v>0</v>
      </c>
      <c r="Q605" t="n">
        <v>0</v>
      </c>
      <c r="R605" s="2" t="inlineStr"/>
    </row>
    <row r="606" ht="15" customHeight="1">
      <c r="A606" t="inlineStr">
        <is>
          <t>A 7584-2026</t>
        </is>
      </c>
      <c r="B606" s="1" t="n">
        <v>46061.81653935185</v>
      </c>
      <c r="C606" s="1" t="n">
        <v>46074</v>
      </c>
      <c r="D606" t="inlineStr">
        <is>
          <t>VÄSTMANLANDS LÄN</t>
        </is>
      </c>
      <c r="E606" t="inlineStr">
        <is>
          <t>SALA</t>
        </is>
      </c>
      <c r="G606" t="n">
        <v>16.7</v>
      </c>
      <c r="H606" t="n">
        <v>0</v>
      </c>
      <c r="I606" t="n">
        <v>0</v>
      </c>
      <c r="J606" t="n">
        <v>0</v>
      </c>
      <c r="K606" t="n">
        <v>0</v>
      </c>
      <c r="L606" t="n">
        <v>0</v>
      </c>
      <c r="M606" t="n">
        <v>0</v>
      </c>
      <c r="N606" t="n">
        <v>0</v>
      </c>
      <c r="O606" t="n">
        <v>0</v>
      </c>
      <c r="P606" t="n">
        <v>0</v>
      </c>
      <c r="Q606" t="n">
        <v>0</v>
      </c>
      <c r="R606" s="2" t="inlineStr"/>
    </row>
    <row r="607" ht="15" customHeight="1">
      <c r="A607" t="inlineStr">
        <is>
          <t>A 7590-2026</t>
        </is>
      </c>
      <c r="B607" s="1" t="n">
        <v>46061.85252314815</v>
      </c>
      <c r="C607" s="1" t="n">
        <v>46074</v>
      </c>
      <c r="D607" t="inlineStr">
        <is>
          <t>VÄSTMANLANDS LÄN</t>
        </is>
      </c>
      <c r="E607" t="inlineStr">
        <is>
          <t>SALA</t>
        </is>
      </c>
      <c r="G607" t="n">
        <v>1.9</v>
      </c>
      <c r="H607" t="n">
        <v>0</v>
      </c>
      <c r="I607" t="n">
        <v>0</v>
      </c>
      <c r="J607" t="n">
        <v>0</v>
      </c>
      <c r="K607" t="n">
        <v>0</v>
      </c>
      <c r="L607" t="n">
        <v>0</v>
      </c>
      <c r="M607" t="n">
        <v>0</v>
      </c>
      <c r="N607" t="n">
        <v>0</v>
      </c>
      <c r="O607" t="n">
        <v>0</v>
      </c>
      <c r="P607" t="n">
        <v>0</v>
      </c>
      <c r="Q607" t="n">
        <v>0</v>
      </c>
      <c r="R607" s="2" t="inlineStr"/>
    </row>
    <row r="608" ht="15" customHeight="1">
      <c r="A608" t="inlineStr">
        <is>
          <t>A 7596-2026</t>
        </is>
      </c>
      <c r="B608" s="1" t="n">
        <v>46061.90922453703</v>
      </c>
      <c r="C608" s="1" t="n">
        <v>46074</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44544-2024</t>
        </is>
      </c>
      <c r="B609" s="1" t="n">
        <v>45574.46119212963</v>
      </c>
      <c r="C609" s="1" t="n">
        <v>46074</v>
      </c>
      <c r="D609" t="inlineStr">
        <is>
          <t>VÄSTMANLANDS LÄN</t>
        </is>
      </c>
      <c r="E609" t="inlineStr">
        <is>
          <t>SALA</t>
        </is>
      </c>
      <c r="G609" t="n">
        <v>3.3</v>
      </c>
      <c r="H609" t="n">
        <v>0</v>
      </c>
      <c r="I609" t="n">
        <v>0</v>
      </c>
      <c r="J609" t="n">
        <v>0</v>
      </c>
      <c r="K609" t="n">
        <v>0</v>
      </c>
      <c r="L609" t="n">
        <v>0</v>
      </c>
      <c r="M609" t="n">
        <v>0</v>
      </c>
      <c r="N609" t="n">
        <v>0</v>
      </c>
      <c r="O609" t="n">
        <v>0</v>
      </c>
      <c r="P609" t="n">
        <v>0</v>
      </c>
      <c r="Q609" t="n">
        <v>0</v>
      </c>
      <c r="R609" s="2" t="inlineStr"/>
    </row>
    <row r="610" ht="15" customHeight="1">
      <c r="A610" t="inlineStr">
        <is>
          <t>A 60379-2022</t>
        </is>
      </c>
      <c r="B610" s="1" t="n">
        <v>44910</v>
      </c>
      <c r="C610" s="1" t="n">
        <v>46074</v>
      </c>
      <c r="D610" t="inlineStr">
        <is>
          <t>VÄSTMANLANDS LÄN</t>
        </is>
      </c>
      <c r="E610" t="inlineStr">
        <is>
          <t>SALA</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56547-2022</t>
        </is>
      </c>
      <c r="B611" s="1" t="n">
        <v>44893.48284722222</v>
      </c>
      <c r="C611" s="1" t="n">
        <v>46074</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29542-2023</t>
        </is>
      </c>
      <c r="B612" s="1" t="n">
        <v>45098</v>
      </c>
      <c r="C612" s="1" t="n">
        <v>46074</v>
      </c>
      <c r="D612" t="inlineStr">
        <is>
          <t>VÄSTMANLANDS LÄN</t>
        </is>
      </c>
      <c r="E612" t="inlineStr">
        <is>
          <t>SALA</t>
        </is>
      </c>
      <c r="G612" t="n">
        <v>4.8</v>
      </c>
      <c r="H612" t="n">
        <v>0</v>
      </c>
      <c r="I612" t="n">
        <v>0</v>
      </c>
      <c r="J612" t="n">
        <v>0</v>
      </c>
      <c r="K612" t="n">
        <v>0</v>
      </c>
      <c r="L612" t="n">
        <v>0</v>
      </c>
      <c r="M612" t="n">
        <v>0</v>
      </c>
      <c r="N612" t="n">
        <v>0</v>
      </c>
      <c r="O612" t="n">
        <v>0</v>
      </c>
      <c r="P612" t="n">
        <v>0</v>
      </c>
      <c r="Q612" t="n">
        <v>0</v>
      </c>
      <c r="R612" s="2" t="inlineStr"/>
    </row>
    <row r="613" ht="15" customHeight="1">
      <c r="A613" t="inlineStr">
        <is>
          <t>A 4683-2026</t>
        </is>
      </c>
      <c r="B613" s="1" t="n">
        <v>46048.43489583334</v>
      </c>
      <c r="C613" s="1" t="n">
        <v>46074</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16638-2023</t>
        </is>
      </c>
      <c r="B614" s="1" t="n">
        <v>45027</v>
      </c>
      <c r="C614" s="1" t="n">
        <v>46074</v>
      </c>
      <c r="D614" t="inlineStr">
        <is>
          <t>VÄSTMANLANDS LÄN</t>
        </is>
      </c>
      <c r="E614" t="inlineStr">
        <is>
          <t>SALA</t>
        </is>
      </c>
      <c r="G614" t="n">
        <v>14.8</v>
      </c>
      <c r="H614" t="n">
        <v>0</v>
      </c>
      <c r="I614" t="n">
        <v>0</v>
      </c>
      <c r="J614" t="n">
        <v>0</v>
      </c>
      <c r="K614" t="n">
        <v>0</v>
      </c>
      <c r="L614" t="n">
        <v>0</v>
      </c>
      <c r="M614" t="n">
        <v>0</v>
      </c>
      <c r="N614" t="n">
        <v>0</v>
      </c>
      <c r="O614" t="n">
        <v>0</v>
      </c>
      <c r="P614" t="n">
        <v>0</v>
      </c>
      <c r="Q614" t="n">
        <v>0</v>
      </c>
      <c r="R614" s="2" t="inlineStr"/>
    </row>
    <row r="615" ht="15" customHeight="1">
      <c r="A615" t="inlineStr">
        <is>
          <t>A 37190-2024</t>
        </is>
      </c>
      <c r="B615" s="1" t="n">
        <v>45539</v>
      </c>
      <c r="C615" s="1" t="n">
        <v>46074</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23222-2023</t>
        </is>
      </c>
      <c r="B616" s="1" t="n">
        <v>45075</v>
      </c>
      <c r="C616" s="1" t="n">
        <v>46074</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23224-2023</t>
        </is>
      </c>
      <c r="B617" s="1" t="n">
        <v>45075.65040509259</v>
      </c>
      <c r="C617" s="1" t="n">
        <v>46074</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22026-2021</t>
        </is>
      </c>
      <c r="B618" s="1" t="n">
        <v>44323</v>
      </c>
      <c r="C618" s="1" t="n">
        <v>46074</v>
      </c>
      <c r="D618" t="inlineStr">
        <is>
          <t>VÄSTMANLANDS LÄN</t>
        </is>
      </c>
      <c r="E618" t="inlineStr">
        <is>
          <t>SALA</t>
        </is>
      </c>
      <c r="G618" t="n">
        <v>2.9</v>
      </c>
      <c r="H618" t="n">
        <v>0</v>
      </c>
      <c r="I618" t="n">
        <v>0</v>
      </c>
      <c r="J618" t="n">
        <v>0</v>
      </c>
      <c r="K618" t="n">
        <v>0</v>
      </c>
      <c r="L618" t="n">
        <v>0</v>
      </c>
      <c r="M618" t="n">
        <v>0</v>
      </c>
      <c r="N618" t="n">
        <v>0</v>
      </c>
      <c r="O618" t="n">
        <v>0</v>
      </c>
      <c r="P618" t="n">
        <v>0</v>
      </c>
      <c r="Q618" t="n">
        <v>0</v>
      </c>
      <c r="R618" s="2" t="inlineStr"/>
    </row>
    <row r="619" ht="15" customHeight="1">
      <c r="A619" t="inlineStr">
        <is>
          <t>A 68864-2021</t>
        </is>
      </c>
      <c r="B619" s="1" t="n">
        <v>44530</v>
      </c>
      <c r="C619" s="1" t="n">
        <v>46074</v>
      </c>
      <c r="D619" t="inlineStr">
        <is>
          <t>VÄSTMANLANDS LÄN</t>
        </is>
      </c>
      <c r="E619" t="inlineStr">
        <is>
          <t>SALA</t>
        </is>
      </c>
      <c r="G619" t="n">
        <v>1.1</v>
      </c>
      <c r="H619" t="n">
        <v>0</v>
      </c>
      <c r="I619" t="n">
        <v>0</v>
      </c>
      <c r="J619" t="n">
        <v>0</v>
      </c>
      <c r="K619" t="n">
        <v>0</v>
      </c>
      <c r="L619" t="n">
        <v>0</v>
      </c>
      <c r="M619" t="n">
        <v>0</v>
      </c>
      <c r="N619" t="n">
        <v>0</v>
      </c>
      <c r="O619" t="n">
        <v>0</v>
      </c>
      <c r="P619" t="n">
        <v>0</v>
      </c>
      <c r="Q619" t="n">
        <v>0</v>
      </c>
      <c r="R619" s="2" t="inlineStr"/>
    </row>
    <row r="620" ht="15" customHeight="1">
      <c r="A620" t="inlineStr">
        <is>
          <t>A 19065-2022</t>
        </is>
      </c>
      <c r="B620" s="1" t="n">
        <v>44691.44309027777</v>
      </c>
      <c r="C620" s="1" t="n">
        <v>46074</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37612-2024</t>
        </is>
      </c>
      <c r="B621" s="1" t="n">
        <v>45541</v>
      </c>
      <c r="C621" s="1" t="n">
        <v>46074</v>
      </c>
      <c r="D621" t="inlineStr">
        <is>
          <t>VÄSTMANLANDS LÄN</t>
        </is>
      </c>
      <c r="E621" t="inlineStr">
        <is>
          <t>SALA</t>
        </is>
      </c>
      <c r="G621" t="n">
        <v>2.2</v>
      </c>
      <c r="H621" t="n">
        <v>0</v>
      </c>
      <c r="I621" t="n">
        <v>0</v>
      </c>
      <c r="J621" t="n">
        <v>0</v>
      </c>
      <c r="K621" t="n">
        <v>0</v>
      </c>
      <c r="L621" t="n">
        <v>0</v>
      </c>
      <c r="M621" t="n">
        <v>0</v>
      </c>
      <c r="N621" t="n">
        <v>0</v>
      </c>
      <c r="O621" t="n">
        <v>0</v>
      </c>
      <c r="P621" t="n">
        <v>0</v>
      </c>
      <c r="Q621" t="n">
        <v>0</v>
      </c>
      <c r="R621" s="2" t="inlineStr"/>
    </row>
    <row r="622" ht="15" customHeight="1">
      <c r="A622" t="inlineStr">
        <is>
          <t>A 37615-2024</t>
        </is>
      </c>
      <c r="B622" s="1" t="n">
        <v>45541.50673611111</v>
      </c>
      <c r="C622" s="1" t="n">
        <v>46074</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18158-2025</t>
        </is>
      </c>
      <c r="B623" s="1" t="n">
        <v>45761</v>
      </c>
      <c r="C623" s="1" t="n">
        <v>46074</v>
      </c>
      <c r="D623" t="inlineStr">
        <is>
          <t>VÄSTMANLANDS LÄN</t>
        </is>
      </c>
      <c r="E623" t="inlineStr">
        <is>
          <t>SALA</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9962-2025</t>
        </is>
      </c>
      <c r="B624" s="1" t="n">
        <v>45719.37072916667</v>
      </c>
      <c r="C624" s="1" t="n">
        <v>46074</v>
      </c>
      <c r="D624" t="inlineStr">
        <is>
          <t>VÄSTMANLANDS LÄN</t>
        </is>
      </c>
      <c r="E624" t="inlineStr">
        <is>
          <t>SALA</t>
        </is>
      </c>
      <c r="G624" t="n">
        <v>4.5</v>
      </c>
      <c r="H624" t="n">
        <v>0</v>
      </c>
      <c r="I624" t="n">
        <v>0</v>
      </c>
      <c r="J624" t="n">
        <v>0</v>
      </c>
      <c r="K624" t="n">
        <v>0</v>
      </c>
      <c r="L624" t="n">
        <v>0</v>
      </c>
      <c r="M624" t="n">
        <v>0</v>
      </c>
      <c r="N624" t="n">
        <v>0</v>
      </c>
      <c r="O624" t="n">
        <v>0</v>
      </c>
      <c r="P624" t="n">
        <v>0</v>
      </c>
      <c r="Q624" t="n">
        <v>0</v>
      </c>
      <c r="R624" s="2" t="inlineStr"/>
    </row>
    <row r="625" ht="15" customHeight="1">
      <c r="A625" t="inlineStr">
        <is>
          <t>A 37602-2024</t>
        </is>
      </c>
      <c r="B625" s="1" t="n">
        <v>45541</v>
      </c>
      <c r="C625" s="1" t="n">
        <v>46074</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18762-2024</t>
        </is>
      </c>
      <c r="B626" s="1" t="n">
        <v>45426.55240740741</v>
      </c>
      <c r="C626" s="1" t="n">
        <v>46074</v>
      </c>
      <c r="D626" t="inlineStr">
        <is>
          <t>VÄSTMANLANDS LÄN</t>
        </is>
      </c>
      <c r="E626" t="inlineStr">
        <is>
          <t>SALA</t>
        </is>
      </c>
      <c r="G626" t="n">
        <v>6.2</v>
      </c>
      <c r="H626" t="n">
        <v>0</v>
      </c>
      <c r="I626" t="n">
        <v>0</v>
      </c>
      <c r="J626" t="n">
        <v>0</v>
      </c>
      <c r="K626" t="n">
        <v>0</v>
      </c>
      <c r="L626" t="n">
        <v>0</v>
      </c>
      <c r="M626" t="n">
        <v>0</v>
      </c>
      <c r="N626" t="n">
        <v>0</v>
      </c>
      <c r="O626" t="n">
        <v>0</v>
      </c>
      <c r="P626" t="n">
        <v>0</v>
      </c>
      <c r="Q626" t="n">
        <v>0</v>
      </c>
      <c r="R626" s="2" t="inlineStr"/>
    </row>
    <row r="627" ht="15" customHeight="1">
      <c r="A627" t="inlineStr">
        <is>
          <t>A 39011-2023</t>
        </is>
      </c>
      <c r="B627" s="1" t="n">
        <v>45162</v>
      </c>
      <c r="C627" s="1" t="n">
        <v>46074</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46352-2023</t>
        </is>
      </c>
      <c r="B628" s="1" t="n">
        <v>45192</v>
      </c>
      <c r="C628" s="1" t="n">
        <v>46074</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43751-2021</t>
        </is>
      </c>
      <c r="B629" s="1" t="n">
        <v>44433</v>
      </c>
      <c r="C629" s="1" t="n">
        <v>46074</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1128-2025</t>
        </is>
      </c>
      <c r="B630" s="1" t="n">
        <v>45666.68469907407</v>
      </c>
      <c r="C630" s="1" t="n">
        <v>46074</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31950-2023</t>
        </is>
      </c>
      <c r="B631" s="1" t="n">
        <v>45107</v>
      </c>
      <c r="C631" s="1" t="n">
        <v>46074</v>
      </c>
      <c r="D631" t="inlineStr">
        <is>
          <t>VÄSTMANLANDS LÄN</t>
        </is>
      </c>
      <c r="E631" t="inlineStr">
        <is>
          <t>SALA</t>
        </is>
      </c>
      <c r="G631" t="n">
        <v>0.1</v>
      </c>
      <c r="H631" t="n">
        <v>0</v>
      </c>
      <c r="I631" t="n">
        <v>0</v>
      </c>
      <c r="J631" t="n">
        <v>0</v>
      </c>
      <c r="K631" t="n">
        <v>0</v>
      </c>
      <c r="L631" t="n">
        <v>0</v>
      </c>
      <c r="M631" t="n">
        <v>0</v>
      </c>
      <c r="N631" t="n">
        <v>0</v>
      </c>
      <c r="O631" t="n">
        <v>0</v>
      </c>
      <c r="P631" t="n">
        <v>0</v>
      </c>
      <c r="Q631" t="n">
        <v>0</v>
      </c>
      <c r="R631" s="2" t="inlineStr"/>
    </row>
    <row r="632" ht="15" customHeight="1">
      <c r="A632" t="inlineStr">
        <is>
          <t>A 56540-2024</t>
        </is>
      </c>
      <c r="B632" s="1" t="n">
        <v>45625</v>
      </c>
      <c r="C632" s="1" t="n">
        <v>46074</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46074</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5219-2026</t>
        </is>
      </c>
      <c r="B634" s="1" t="n">
        <v>46049.76225694444</v>
      </c>
      <c r="C634" s="1" t="n">
        <v>46074</v>
      </c>
      <c r="D634" t="inlineStr">
        <is>
          <t>VÄSTMANLANDS LÄN</t>
        </is>
      </c>
      <c r="E634" t="inlineStr">
        <is>
          <t>SALA</t>
        </is>
      </c>
      <c r="G634" t="n">
        <v>1.9</v>
      </c>
      <c r="H634" t="n">
        <v>0</v>
      </c>
      <c r="I634" t="n">
        <v>0</v>
      </c>
      <c r="J634" t="n">
        <v>0</v>
      </c>
      <c r="K634" t="n">
        <v>0</v>
      </c>
      <c r="L634" t="n">
        <v>0</v>
      </c>
      <c r="M634" t="n">
        <v>0</v>
      </c>
      <c r="N634" t="n">
        <v>0</v>
      </c>
      <c r="O634" t="n">
        <v>0</v>
      </c>
      <c r="P634" t="n">
        <v>0</v>
      </c>
      <c r="Q634" t="n">
        <v>0</v>
      </c>
      <c r="R634" s="2" t="inlineStr"/>
    </row>
    <row r="635" ht="15" customHeight="1">
      <c r="A635" t="inlineStr">
        <is>
          <t>A 25860-2024</t>
        </is>
      </c>
      <c r="B635" s="1" t="n">
        <v>45467.46278935186</v>
      </c>
      <c r="C635" s="1" t="n">
        <v>46074</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910-2026</t>
        </is>
      </c>
      <c r="B636" s="1" t="n">
        <v>46030.4771412037</v>
      </c>
      <c r="C636" s="1" t="n">
        <v>46074</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10154-2021</t>
        </is>
      </c>
      <c r="B637" s="1" t="n">
        <v>44256</v>
      </c>
      <c r="C637" s="1" t="n">
        <v>46074</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914-2026</t>
        </is>
      </c>
      <c r="B638" s="1" t="n">
        <v>46030.47952546296</v>
      </c>
      <c r="C638" s="1" t="n">
        <v>46074</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56916-2022</t>
        </is>
      </c>
      <c r="B639" s="1" t="n">
        <v>44888</v>
      </c>
      <c r="C639" s="1" t="n">
        <v>46074</v>
      </c>
      <c r="D639" t="inlineStr">
        <is>
          <t>VÄSTMANLANDS LÄN</t>
        </is>
      </c>
      <c r="E639" t="inlineStr">
        <is>
          <t>SALA</t>
        </is>
      </c>
      <c r="G639" t="n">
        <v>1.7</v>
      </c>
      <c r="H639" t="n">
        <v>0</v>
      </c>
      <c r="I639" t="n">
        <v>0</v>
      </c>
      <c r="J639" t="n">
        <v>0</v>
      </c>
      <c r="K639" t="n">
        <v>0</v>
      </c>
      <c r="L639" t="n">
        <v>0</v>
      </c>
      <c r="M639" t="n">
        <v>0</v>
      </c>
      <c r="N639" t="n">
        <v>0</v>
      </c>
      <c r="O639" t="n">
        <v>0</v>
      </c>
      <c r="P639" t="n">
        <v>0</v>
      </c>
      <c r="Q639" t="n">
        <v>0</v>
      </c>
      <c r="R639" s="2" t="inlineStr"/>
    </row>
    <row r="640" ht="15" customHeight="1">
      <c r="A640" t="inlineStr">
        <is>
          <t>A 948-2026</t>
        </is>
      </c>
      <c r="B640" s="1" t="n">
        <v>46030.53986111111</v>
      </c>
      <c r="C640" s="1" t="n">
        <v>46074</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71471-2021</t>
        </is>
      </c>
      <c r="B641" s="1" t="n">
        <v>44540.53421296296</v>
      </c>
      <c r="C641" s="1" t="n">
        <v>46074</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13987-2023</t>
        </is>
      </c>
      <c r="B642" s="1" t="n">
        <v>45007</v>
      </c>
      <c r="C642" s="1" t="n">
        <v>46074</v>
      </c>
      <c r="D642" t="inlineStr">
        <is>
          <t>VÄSTMANLANDS LÄN</t>
        </is>
      </c>
      <c r="E642" t="inlineStr">
        <is>
          <t>SALA</t>
        </is>
      </c>
      <c r="G642" t="n">
        <v>3.2</v>
      </c>
      <c r="H642" t="n">
        <v>0</v>
      </c>
      <c r="I642" t="n">
        <v>0</v>
      </c>
      <c r="J642" t="n">
        <v>0</v>
      </c>
      <c r="K642" t="n">
        <v>0</v>
      </c>
      <c r="L642" t="n">
        <v>0</v>
      </c>
      <c r="M642" t="n">
        <v>0</v>
      </c>
      <c r="N642" t="n">
        <v>0</v>
      </c>
      <c r="O642" t="n">
        <v>0</v>
      </c>
      <c r="P642" t="n">
        <v>0</v>
      </c>
      <c r="Q642" t="n">
        <v>0</v>
      </c>
      <c r="R642" s="2" t="inlineStr"/>
    </row>
    <row r="643" ht="15" customHeight="1">
      <c r="A643" t="inlineStr">
        <is>
          <t>A 13990-2023</t>
        </is>
      </c>
      <c r="B643" s="1" t="n">
        <v>45007</v>
      </c>
      <c r="C643" s="1" t="n">
        <v>46074</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1993-2022</t>
        </is>
      </c>
      <c r="B644" s="1" t="n">
        <v>44575</v>
      </c>
      <c r="C644" s="1" t="n">
        <v>46074</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17051-2025</t>
        </is>
      </c>
      <c r="B645" s="1" t="n">
        <v>45755</v>
      </c>
      <c r="C645" s="1" t="n">
        <v>46074</v>
      </c>
      <c r="D645" t="inlineStr">
        <is>
          <t>VÄSTMANLANDS LÄN</t>
        </is>
      </c>
      <c r="E645" t="inlineStr">
        <is>
          <t>SALA</t>
        </is>
      </c>
      <c r="G645" t="n">
        <v>2.9</v>
      </c>
      <c r="H645" t="n">
        <v>0</v>
      </c>
      <c r="I645" t="n">
        <v>0</v>
      </c>
      <c r="J645" t="n">
        <v>0</v>
      </c>
      <c r="K645" t="n">
        <v>0</v>
      </c>
      <c r="L645" t="n">
        <v>0</v>
      </c>
      <c r="M645" t="n">
        <v>0</v>
      </c>
      <c r="N645" t="n">
        <v>0</v>
      </c>
      <c r="O645" t="n">
        <v>0</v>
      </c>
      <c r="P645" t="n">
        <v>0</v>
      </c>
      <c r="Q645" t="n">
        <v>0</v>
      </c>
      <c r="R645" s="2" t="inlineStr"/>
    </row>
    <row r="646" ht="15" customHeight="1">
      <c r="A646" t="inlineStr">
        <is>
          <t>A 43509-2021</t>
        </is>
      </c>
      <c r="B646" s="1" t="n">
        <v>44433</v>
      </c>
      <c r="C646" s="1" t="n">
        <v>46074</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54959-2024</t>
        </is>
      </c>
      <c r="B647" s="1" t="n">
        <v>45619</v>
      </c>
      <c r="C647" s="1" t="n">
        <v>46074</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56964-2023</t>
        </is>
      </c>
      <c r="B648" s="1" t="n">
        <v>45244.63140046296</v>
      </c>
      <c r="C648" s="1" t="n">
        <v>46074</v>
      </c>
      <c r="D648" t="inlineStr">
        <is>
          <t>VÄSTMANLANDS LÄN</t>
        </is>
      </c>
      <c r="E648" t="inlineStr">
        <is>
          <t>SALA</t>
        </is>
      </c>
      <c r="G648" t="n">
        <v>4.6</v>
      </c>
      <c r="H648" t="n">
        <v>0</v>
      </c>
      <c r="I648" t="n">
        <v>0</v>
      </c>
      <c r="J648" t="n">
        <v>0</v>
      </c>
      <c r="K648" t="n">
        <v>0</v>
      </c>
      <c r="L648" t="n">
        <v>0</v>
      </c>
      <c r="M648" t="n">
        <v>0</v>
      </c>
      <c r="N648" t="n">
        <v>0</v>
      </c>
      <c r="O648" t="n">
        <v>0</v>
      </c>
      <c r="P648" t="n">
        <v>0</v>
      </c>
      <c r="Q648" t="n">
        <v>0</v>
      </c>
      <c r="R648" s="2" t="inlineStr"/>
    </row>
    <row r="649" ht="15" customHeight="1">
      <c r="A649" t="inlineStr">
        <is>
          <t>A 37337-2024</t>
        </is>
      </c>
      <c r="B649" s="1" t="n">
        <v>45540</v>
      </c>
      <c r="C649" s="1" t="n">
        <v>46074</v>
      </c>
      <c r="D649" t="inlineStr">
        <is>
          <t>VÄSTMANLANDS LÄN</t>
        </is>
      </c>
      <c r="E649" t="inlineStr">
        <is>
          <t>SALA</t>
        </is>
      </c>
      <c r="G649" t="n">
        <v>6.5</v>
      </c>
      <c r="H649" t="n">
        <v>0</v>
      </c>
      <c r="I649" t="n">
        <v>0</v>
      </c>
      <c r="J649" t="n">
        <v>0</v>
      </c>
      <c r="K649" t="n">
        <v>0</v>
      </c>
      <c r="L649" t="n">
        <v>0</v>
      </c>
      <c r="M649" t="n">
        <v>0</v>
      </c>
      <c r="N649" t="n">
        <v>0</v>
      </c>
      <c r="O649" t="n">
        <v>0</v>
      </c>
      <c r="P649" t="n">
        <v>0</v>
      </c>
      <c r="Q649" t="n">
        <v>0</v>
      </c>
      <c r="R649" s="2" t="inlineStr"/>
    </row>
    <row r="650" ht="15" customHeight="1">
      <c r="A650" t="inlineStr">
        <is>
          <t>A 17120-2023</t>
        </is>
      </c>
      <c r="B650" s="1" t="n">
        <v>45034</v>
      </c>
      <c r="C650" s="1" t="n">
        <v>46074</v>
      </c>
      <c r="D650" t="inlineStr">
        <is>
          <t>VÄSTMANLANDS LÄN</t>
        </is>
      </c>
      <c r="E650" t="inlineStr">
        <is>
          <t>SALA</t>
        </is>
      </c>
      <c r="G650" t="n">
        <v>0.1</v>
      </c>
      <c r="H650" t="n">
        <v>0</v>
      </c>
      <c r="I650" t="n">
        <v>0</v>
      </c>
      <c r="J650" t="n">
        <v>0</v>
      </c>
      <c r="K650" t="n">
        <v>0</v>
      </c>
      <c r="L650" t="n">
        <v>0</v>
      </c>
      <c r="M650" t="n">
        <v>0</v>
      </c>
      <c r="N650" t="n">
        <v>0</v>
      </c>
      <c r="O650" t="n">
        <v>0</v>
      </c>
      <c r="P650" t="n">
        <v>0</v>
      </c>
      <c r="Q650" t="n">
        <v>0</v>
      </c>
      <c r="R650" s="2" t="inlineStr"/>
    </row>
    <row r="651" ht="15" customHeight="1">
      <c r="A651" t="inlineStr">
        <is>
          <t>A 34494-2023</t>
        </is>
      </c>
      <c r="B651" s="1" t="n">
        <v>45133</v>
      </c>
      <c r="C651" s="1" t="n">
        <v>46074</v>
      </c>
      <c r="D651" t="inlineStr">
        <is>
          <t>VÄSTMANLANDS LÄN</t>
        </is>
      </c>
      <c r="E651" t="inlineStr">
        <is>
          <t>SALA</t>
        </is>
      </c>
      <c r="G651" t="n">
        <v>0.8</v>
      </c>
      <c r="H651" t="n">
        <v>0</v>
      </c>
      <c r="I651" t="n">
        <v>0</v>
      </c>
      <c r="J651" t="n">
        <v>0</v>
      </c>
      <c r="K651" t="n">
        <v>0</v>
      </c>
      <c r="L651" t="n">
        <v>0</v>
      </c>
      <c r="M651" t="n">
        <v>0</v>
      </c>
      <c r="N651" t="n">
        <v>0</v>
      </c>
      <c r="O651" t="n">
        <v>0</v>
      </c>
      <c r="P651" t="n">
        <v>0</v>
      </c>
      <c r="Q651" t="n">
        <v>0</v>
      </c>
      <c r="R651" s="2" t="inlineStr"/>
    </row>
    <row r="652" ht="15" customHeight="1">
      <c r="A652" t="inlineStr">
        <is>
          <t>A 10579-2022</t>
        </is>
      </c>
      <c r="B652" s="1" t="n">
        <v>44624</v>
      </c>
      <c r="C652" s="1" t="n">
        <v>46074</v>
      </c>
      <c r="D652" t="inlineStr">
        <is>
          <t>VÄSTMANLANDS LÄN</t>
        </is>
      </c>
      <c r="E652" t="inlineStr">
        <is>
          <t>SALA</t>
        </is>
      </c>
      <c r="G652" t="n">
        <v>1</v>
      </c>
      <c r="H652" t="n">
        <v>0</v>
      </c>
      <c r="I652" t="n">
        <v>0</v>
      </c>
      <c r="J652" t="n">
        <v>0</v>
      </c>
      <c r="K652" t="n">
        <v>0</v>
      </c>
      <c r="L652" t="n">
        <v>0</v>
      </c>
      <c r="M652" t="n">
        <v>0</v>
      </c>
      <c r="N652" t="n">
        <v>0</v>
      </c>
      <c r="O652" t="n">
        <v>0</v>
      </c>
      <c r="P652" t="n">
        <v>0</v>
      </c>
      <c r="Q652" t="n">
        <v>0</v>
      </c>
      <c r="R652" s="2" t="inlineStr"/>
    </row>
    <row r="653" ht="15" customHeight="1">
      <c r="A653" t="inlineStr">
        <is>
          <t>A 9335-2022</t>
        </is>
      </c>
      <c r="B653" s="1" t="n">
        <v>44616.56579861111</v>
      </c>
      <c r="C653" s="1" t="n">
        <v>46074</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45313-2024</t>
        </is>
      </c>
      <c r="B654" s="1" t="n">
        <v>45576</v>
      </c>
      <c r="C654" s="1" t="n">
        <v>46074</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23119-2022</t>
        </is>
      </c>
      <c r="B655" s="1" t="n">
        <v>44719.56697916667</v>
      </c>
      <c r="C655" s="1" t="n">
        <v>46074</v>
      </c>
      <c r="D655" t="inlineStr">
        <is>
          <t>VÄSTMANLANDS LÄN</t>
        </is>
      </c>
      <c r="E655" t="inlineStr">
        <is>
          <t>SALA</t>
        </is>
      </c>
      <c r="G655" t="n">
        <v>7</v>
      </c>
      <c r="H655" t="n">
        <v>0</v>
      </c>
      <c r="I655" t="n">
        <v>0</v>
      </c>
      <c r="J655" t="n">
        <v>0</v>
      </c>
      <c r="K655" t="n">
        <v>0</v>
      </c>
      <c r="L655" t="n">
        <v>0</v>
      </c>
      <c r="M655" t="n">
        <v>0</v>
      </c>
      <c r="N655" t="n">
        <v>0</v>
      </c>
      <c r="O655" t="n">
        <v>0</v>
      </c>
      <c r="P655" t="n">
        <v>0</v>
      </c>
      <c r="Q655" t="n">
        <v>0</v>
      </c>
      <c r="R655" s="2" t="inlineStr"/>
    </row>
    <row r="656" ht="15" customHeight="1">
      <c r="A656" t="inlineStr">
        <is>
          <t>A 1196-2023</t>
        </is>
      </c>
      <c r="B656" s="1" t="n">
        <v>44935.82290509259</v>
      </c>
      <c r="C656" s="1" t="n">
        <v>46074</v>
      </c>
      <c r="D656" t="inlineStr">
        <is>
          <t>VÄSTMANLANDS LÄN</t>
        </is>
      </c>
      <c r="E656" t="inlineStr">
        <is>
          <t>SALA</t>
        </is>
      </c>
      <c r="G656" t="n">
        <v>4.1</v>
      </c>
      <c r="H656" t="n">
        <v>0</v>
      </c>
      <c r="I656" t="n">
        <v>0</v>
      </c>
      <c r="J656" t="n">
        <v>0</v>
      </c>
      <c r="K656" t="n">
        <v>0</v>
      </c>
      <c r="L656" t="n">
        <v>0</v>
      </c>
      <c r="M656" t="n">
        <v>0</v>
      </c>
      <c r="N656" t="n">
        <v>0</v>
      </c>
      <c r="O656" t="n">
        <v>0</v>
      </c>
      <c r="P656" t="n">
        <v>0</v>
      </c>
      <c r="Q656" t="n">
        <v>0</v>
      </c>
      <c r="R656" s="2" t="inlineStr"/>
    </row>
    <row r="657" ht="15" customHeight="1">
      <c r="A657" t="inlineStr">
        <is>
          <t>A 52503-2024</t>
        </is>
      </c>
      <c r="B657" s="1" t="n">
        <v>45609.58806712963</v>
      </c>
      <c r="C657" s="1" t="n">
        <v>46074</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7953-2024</t>
        </is>
      </c>
      <c r="B658" s="1" t="n">
        <v>45350</v>
      </c>
      <c r="C658" s="1" t="n">
        <v>46074</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30028-2024</t>
        </is>
      </c>
      <c r="B659" s="1" t="n">
        <v>45485</v>
      </c>
      <c r="C659" s="1" t="n">
        <v>46074</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7950-2025</t>
        </is>
      </c>
      <c r="B660" s="1" t="n">
        <v>45707.41799768519</v>
      </c>
      <c r="C660" s="1" t="n">
        <v>46074</v>
      </c>
      <c r="D660" t="inlineStr">
        <is>
          <t>VÄSTMANLANDS LÄN</t>
        </is>
      </c>
      <c r="E660" t="inlineStr">
        <is>
          <t>SALA</t>
        </is>
      </c>
      <c r="G660" t="n">
        <v>3.2</v>
      </c>
      <c r="H660" t="n">
        <v>0</v>
      </c>
      <c r="I660" t="n">
        <v>0</v>
      </c>
      <c r="J660" t="n">
        <v>0</v>
      </c>
      <c r="K660" t="n">
        <v>0</v>
      </c>
      <c r="L660" t="n">
        <v>0</v>
      </c>
      <c r="M660" t="n">
        <v>0</v>
      </c>
      <c r="N660" t="n">
        <v>0</v>
      </c>
      <c r="O660" t="n">
        <v>0</v>
      </c>
      <c r="P660" t="n">
        <v>0</v>
      </c>
      <c r="Q660" t="n">
        <v>0</v>
      </c>
      <c r="R660" s="2" t="inlineStr"/>
    </row>
    <row r="661" ht="15" customHeight="1">
      <c r="A661" t="inlineStr">
        <is>
          <t>A 27657-2023</t>
        </is>
      </c>
      <c r="B661" s="1" t="n">
        <v>45097.76631944445</v>
      </c>
      <c r="C661" s="1" t="n">
        <v>46074</v>
      </c>
      <c r="D661" t="inlineStr">
        <is>
          <t>VÄSTMANLANDS LÄN</t>
        </is>
      </c>
      <c r="E661" t="inlineStr">
        <is>
          <t>SALA</t>
        </is>
      </c>
      <c r="G661" t="n">
        <v>0.1</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46074</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33309-2022</t>
        </is>
      </c>
      <c r="B663" s="1" t="n">
        <v>44788.40986111111</v>
      </c>
      <c r="C663" s="1" t="n">
        <v>46074</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47909-2022</t>
        </is>
      </c>
      <c r="B664" s="1" t="n">
        <v>44855</v>
      </c>
      <c r="C664" s="1" t="n">
        <v>46074</v>
      </c>
      <c r="D664" t="inlineStr">
        <is>
          <t>VÄSTMANLANDS LÄN</t>
        </is>
      </c>
      <c r="E664" t="inlineStr">
        <is>
          <t>SALA</t>
        </is>
      </c>
      <c r="F664" t="inlineStr">
        <is>
          <t>Bergvik skog öst AB</t>
        </is>
      </c>
      <c r="G664" t="n">
        <v>2</v>
      </c>
      <c r="H664" t="n">
        <v>0</v>
      </c>
      <c r="I664" t="n">
        <v>0</v>
      </c>
      <c r="J664" t="n">
        <v>0</v>
      </c>
      <c r="K664" t="n">
        <v>0</v>
      </c>
      <c r="L664" t="n">
        <v>0</v>
      </c>
      <c r="M664" t="n">
        <v>0</v>
      </c>
      <c r="N664" t="n">
        <v>0</v>
      </c>
      <c r="O664" t="n">
        <v>0</v>
      </c>
      <c r="P664" t="n">
        <v>0</v>
      </c>
      <c r="Q664" t="n">
        <v>0</v>
      </c>
      <c r="R664" s="2" t="inlineStr"/>
    </row>
    <row r="665" ht="15" customHeight="1">
      <c r="A665" t="inlineStr">
        <is>
          <t>A 15272-2025</t>
        </is>
      </c>
      <c r="B665" s="1" t="n">
        <v>45744</v>
      </c>
      <c r="C665" s="1" t="n">
        <v>46074</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11183-2023</t>
        </is>
      </c>
      <c r="B666" s="1" t="n">
        <v>44992.57782407408</v>
      </c>
      <c r="C666" s="1" t="n">
        <v>46074</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11190-2023</t>
        </is>
      </c>
      <c r="B667" s="1" t="n">
        <v>44992</v>
      </c>
      <c r="C667" s="1" t="n">
        <v>46074</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53838-2022</t>
        </is>
      </c>
      <c r="B668" s="1" t="n">
        <v>44880.59363425926</v>
      </c>
      <c r="C668" s="1" t="n">
        <v>46074</v>
      </c>
      <c r="D668" t="inlineStr">
        <is>
          <t>VÄSTMANLANDS LÄN</t>
        </is>
      </c>
      <c r="E668" t="inlineStr">
        <is>
          <t>SALA</t>
        </is>
      </c>
      <c r="G668" t="n">
        <v>3.9</v>
      </c>
      <c r="H668" t="n">
        <v>0</v>
      </c>
      <c r="I668" t="n">
        <v>0</v>
      </c>
      <c r="J668" t="n">
        <v>0</v>
      </c>
      <c r="K668" t="n">
        <v>0</v>
      </c>
      <c r="L668" t="n">
        <v>0</v>
      </c>
      <c r="M668" t="n">
        <v>0</v>
      </c>
      <c r="N668" t="n">
        <v>0</v>
      </c>
      <c r="O668" t="n">
        <v>0</v>
      </c>
      <c r="P668" t="n">
        <v>0</v>
      </c>
      <c r="Q668" t="n">
        <v>0</v>
      </c>
      <c r="R668" s="2" t="inlineStr"/>
    </row>
    <row r="669" ht="15" customHeight="1">
      <c r="A669" t="inlineStr">
        <is>
          <t>A 53166-2024</t>
        </is>
      </c>
      <c r="B669" s="1" t="n">
        <v>45611</v>
      </c>
      <c r="C669" s="1" t="n">
        <v>46074</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28827-2022</t>
        </is>
      </c>
      <c r="B670" s="1" t="n">
        <v>44749.45561342593</v>
      </c>
      <c r="C670" s="1" t="n">
        <v>46074</v>
      </c>
      <c r="D670" t="inlineStr">
        <is>
          <t>VÄSTMANLANDS LÄN</t>
        </is>
      </c>
      <c r="E670" t="inlineStr">
        <is>
          <t>SALA</t>
        </is>
      </c>
      <c r="F670" t="inlineStr">
        <is>
          <t>Kommuner</t>
        </is>
      </c>
      <c r="G670" t="n">
        <v>11.9</v>
      </c>
      <c r="H670" t="n">
        <v>0</v>
      </c>
      <c r="I670" t="n">
        <v>0</v>
      </c>
      <c r="J670" t="n">
        <v>0</v>
      </c>
      <c r="K670" t="n">
        <v>0</v>
      </c>
      <c r="L670" t="n">
        <v>0</v>
      </c>
      <c r="M670" t="n">
        <v>0</v>
      </c>
      <c r="N670" t="n">
        <v>0</v>
      </c>
      <c r="O670" t="n">
        <v>0</v>
      </c>
      <c r="P670" t="n">
        <v>0</v>
      </c>
      <c r="Q670" t="n">
        <v>0</v>
      </c>
      <c r="R670" s="2" t="inlineStr"/>
    </row>
    <row r="671" ht="15" customHeight="1">
      <c r="A671" t="inlineStr">
        <is>
          <t>A 17866-2025</t>
        </is>
      </c>
      <c r="B671" s="1" t="n">
        <v>45758</v>
      </c>
      <c r="C671" s="1" t="n">
        <v>46074</v>
      </c>
      <c r="D671" t="inlineStr">
        <is>
          <t>VÄSTMANLANDS LÄN</t>
        </is>
      </c>
      <c r="E671" t="inlineStr">
        <is>
          <t>SALA</t>
        </is>
      </c>
      <c r="F671" t="inlineStr">
        <is>
          <t>Bergvik skog öst AB</t>
        </is>
      </c>
      <c r="G671" t="n">
        <v>2.1</v>
      </c>
      <c r="H671" t="n">
        <v>0</v>
      </c>
      <c r="I671" t="n">
        <v>0</v>
      </c>
      <c r="J671" t="n">
        <v>0</v>
      </c>
      <c r="K671" t="n">
        <v>0</v>
      </c>
      <c r="L671" t="n">
        <v>0</v>
      </c>
      <c r="M671" t="n">
        <v>0</v>
      </c>
      <c r="N671" t="n">
        <v>0</v>
      </c>
      <c r="O671" t="n">
        <v>0</v>
      </c>
      <c r="P671" t="n">
        <v>0</v>
      </c>
      <c r="Q671" t="n">
        <v>0</v>
      </c>
      <c r="R671" s="2" t="inlineStr"/>
    </row>
    <row r="672" ht="15" customHeight="1">
      <c r="A672" t="inlineStr">
        <is>
          <t>A 54836-2024</t>
        </is>
      </c>
      <c r="B672" s="1" t="n">
        <v>45618</v>
      </c>
      <c r="C672" s="1" t="n">
        <v>46074</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64729-2023</t>
        </is>
      </c>
      <c r="B673" s="1" t="n">
        <v>45281</v>
      </c>
      <c r="C673" s="1" t="n">
        <v>46074</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ht="15" customHeight="1">
      <c r="A674" t="inlineStr">
        <is>
          <t>A 10585-2022</t>
        </is>
      </c>
      <c r="B674" s="1" t="n">
        <v>44624</v>
      </c>
      <c r="C674" s="1" t="n">
        <v>46074</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22523-2023</t>
        </is>
      </c>
      <c r="B675" s="1" t="n">
        <v>45069</v>
      </c>
      <c r="C675" s="1" t="n">
        <v>46074</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31609-2024</t>
        </is>
      </c>
      <c r="B676" s="1" t="n">
        <v>45506</v>
      </c>
      <c r="C676" s="1" t="n">
        <v>46074</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56057-2023</t>
        </is>
      </c>
      <c r="B677" s="1" t="n">
        <v>45233</v>
      </c>
      <c r="C677" s="1" t="n">
        <v>46074</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62635-2022</t>
        </is>
      </c>
      <c r="B678" s="1" t="n">
        <v>44917</v>
      </c>
      <c r="C678" s="1" t="n">
        <v>46074</v>
      </c>
      <c r="D678" t="inlineStr">
        <is>
          <t>VÄSTMANLANDS LÄN</t>
        </is>
      </c>
      <c r="E678" t="inlineStr">
        <is>
          <t>SALA</t>
        </is>
      </c>
      <c r="G678" t="n">
        <v>0.4</v>
      </c>
      <c r="H678" t="n">
        <v>0</v>
      </c>
      <c r="I678" t="n">
        <v>0</v>
      </c>
      <c r="J678" t="n">
        <v>0</v>
      </c>
      <c r="K678" t="n">
        <v>0</v>
      </c>
      <c r="L678" t="n">
        <v>0</v>
      </c>
      <c r="M678" t="n">
        <v>0</v>
      </c>
      <c r="N678" t="n">
        <v>0</v>
      </c>
      <c r="O678" t="n">
        <v>0</v>
      </c>
      <c r="P678" t="n">
        <v>0</v>
      </c>
      <c r="Q678" t="n">
        <v>0</v>
      </c>
      <c r="R678" s="2" t="inlineStr"/>
    </row>
    <row r="679" ht="15" customHeight="1">
      <c r="A679" t="inlineStr">
        <is>
          <t>A 4852-2023</t>
        </is>
      </c>
      <c r="B679" s="1" t="n">
        <v>44957.72496527778</v>
      </c>
      <c r="C679" s="1" t="n">
        <v>46074</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39714-2023</t>
        </is>
      </c>
      <c r="B680" s="1" t="n">
        <v>45167.62133101852</v>
      </c>
      <c r="C680" s="1" t="n">
        <v>46074</v>
      </c>
      <c r="D680" t="inlineStr">
        <is>
          <t>VÄSTMANLANDS LÄN</t>
        </is>
      </c>
      <c r="E680" t="inlineStr">
        <is>
          <t>SALA</t>
        </is>
      </c>
      <c r="G680" t="n">
        <v>1.3</v>
      </c>
      <c r="H680" t="n">
        <v>0</v>
      </c>
      <c r="I680" t="n">
        <v>0</v>
      </c>
      <c r="J680" t="n">
        <v>0</v>
      </c>
      <c r="K680" t="n">
        <v>0</v>
      </c>
      <c r="L680" t="n">
        <v>0</v>
      </c>
      <c r="M680" t="n">
        <v>0</v>
      </c>
      <c r="N680" t="n">
        <v>0</v>
      </c>
      <c r="O680" t="n">
        <v>0</v>
      </c>
      <c r="P680" t="n">
        <v>0</v>
      </c>
      <c r="Q680" t="n">
        <v>0</v>
      </c>
      <c r="R680" s="2" t="inlineStr"/>
    </row>
    <row r="681" ht="15" customHeight="1">
      <c r="A681" t="inlineStr">
        <is>
          <t>A 42984-2023</t>
        </is>
      </c>
      <c r="B681" s="1" t="n">
        <v>45179</v>
      </c>
      <c r="C681" s="1" t="n">
        <v>46074</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56535-2022</t>
        </is>
      </c>
      <c r="B682" s="1" t="n">
        <v>44893.47173611111</v>
      </c>
      <c r="C682" s="1" t="n">
        <v>46074</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60550-2024</t>
        </is>
      </c>
      <c r="B683" s="1" t="n">
        <v>45643</v>
      </c>
      <c r="C683" s="1" t="n">
        <v>46074</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13746-2025</t>
        </is>
      </c>
      <c r="B684" s="1" t="n">
        <v>45737.40944444444</v>
      </c>
      <c r="C684" s="1" t="n">
        <v>46074</v>
      </c>
      <c r="D684" t="inlineStr">
        <is>
          <t>VÄSTMANLANDS LÄN</t>
        </is>
      </c>
      <c r="E684" t="inlineStr">
        <is>
          <t>SALA</t>
        </is>
      </c>
      <c r="G684" t="n">
        <v>2.1</v>
      </c>
      <c r="H684" t="n">
        <v>0</v>
      </c>
      <c r="I684" t="n">
        <v>0</v>
      </c>
      <c r="J684" t="n">
        <v>0</v>
      </c>
      <c r="K684" t="n">
        <v>0</v>
      </c>
      <c r="L684" t="n">
        <v>0</v>
      </c>
      <c r="M684" t="n">
        <v>0</v>
      </c>
      <c r="N684" t="n">
        <v>0</v>
      </c>
      <c r="O684" t="n">
        <v>0</v>
      </c>
      <c r="P684" t="n">
        <v>0</v>
      </c>
      <c r="Q684" t="n">
        <v>0</v>
      </c>
      <c r="R684" s="2" t="inlineStr"/>
    </row>
    <row r="685" ht="15" customHeight="1">
      <c r="A685" t="inlineStr">
        <is>
          <t>A 29230-2022</t>
        </is>
      </c>
      <c r="B685" s="1" t="n">
        <v>44750</v>
      </c>
      <c r="C685" s="1" t="n">
        <v>46074</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59175-2022</t>
        </is>
      </c>
      <c r="B686" s="1" t="n">
        <v>44904.48502314815</v>
      </c>
      <c r="C686" s="1" t="n">
        <v>46074</v>
      </c>
      <c r="D686" t="inlineStr">
        <is>
          <t>VÄSTMANLANDS LÄN</t>
        </is>
      </c>
      <c r="E686" t="inlineStr">
        <is>
          <t>SALA</t>
        </is>
      </c>
      <c r="G686" t="n">
        <v>2.1</v>
      </c>
      <c r="H686" t="n">
        <v>0</v>
      </c>
      <c r="I686" t="n">
        <v>0</v>
      </c>
      <c r="J686" t="n">
        <v>0</v>
      </c>
      <c r="K686" t="n">
        <v>0</v>
      </c>
      <c r="L686" t="n">
        <v>0</v>
      </c>
      <c r="M686" t="n">
        <v>0</v>
      </c>
      <c r="N686" t="n">
        <v>0</v>
      </c>
      <c r="O686" t="n">
        <v>0</v>
      </c>
      <c r="P686" t="n">
        <v>0</v>
      </c>
      <c r="Q686" t="n">
        <v>0</v>
      </c>
      <c r="R686" s="2" t="inlineStr"/>
    </row>
    <row r="687" ht="15" customHeight="1">
      <c r="A687" t="inlineStr">
        <is>
          <t>A 19381-2025</t>
        </is>
      </c>
      <c r="B687" s="1" t="n">
        <v>45769</v>
      </c>
      <c r="C687" s="1" t="n">
        <v>46074</v>
      </c>
      <c r="D687" t="inlineStr">
        <is>
          <t>VÄSTMANLANDS LÄN</t>
        </is>
      </c>
      <c r="E687" t="inlineStr">
        <is>
          <t>SALA</t>
        </is>
      </c>
      <c r="G687" t="n">
        <v>0.6</v>
      </c>
      <c r="H687" t="n">
        <v>0</v>
      </c>
      <c r="I687" t="n">
        <v>0</v>
      </c>
      <c r="J687" t="n">
        <v>0</v>
      </c>
      <c r="K687" t="n">
        <v>0</v>
      </c>
      <c r="L687" t="n">
        <v>0</v>
      </c>
      <c r="M687" t="n">
        <v>0</v>
      </c>
      <c r="N687" t="n">
        <v>0</v>
      </c>
      <c r="O687" t="n">
        <v>0</v>
      </c>
      <c r="P687" t="n">
        <v>0</v>
      </c>
      <c r="Q687" t="n">
        <v>0</v>
      </c>
      <c r="R687" s="2" t="inlineStr"/>
    </row>
    <row r="688" ht="15" customHeight="1">
      <c r="A688" t="inlineStr">
        <is>
          <t>A 42938-2023</t>
        </is>
      </c>
      <c r="B688" s="1" t="n">
        <v>45179</v>
      </c>
      <c r="C688" s="1" t="n">
        <v>46074</v>
      </c>
      <c r="D688" t="inlineStr">
        <is>
          <t>VÄSTMANLANDS LÄN</t>
        </is>
      </c>
      <c r="E688" t="inlineStr">
        <is>
          <t>SALA</t>
        </is>
      </c>
      <c r="G688" t="n">
        <v>10.9</v>
      </c>
      <c r="H688" t="n">
        <v>0</v>
      </c>
      <c r="I688" t="n">
        <v>0</v>
      </c>
      <c r="J688" t="n">
        <v>0</v>
      </c>
      <c r="K688" t="n">
        <v>0</v>
      </c>
      <c r="L688" t="n">
        <v>0</v>
      </c>
      <c r="M688" t="n">
        <v>0</v>
      </c>
      <c r="N688" t="n">
        <v>0</v>
      </c>
      <c r="O688" t="n">
        <v>0</v>
      </c>
      <c r="P688" t="n">
        <v>0</v>
      </c>
      <c r="Q688" t="n">
        <v>0</v>
      </c>
      <c r="R688" s="2" t="inlineStr"/>
    </row>
    <row r="689" ht="15" customHeight="1">
      <c r="A689" t="inlineStr">
        <is>
          <t>A 19222-2025</t>
        </is>
      </c>
      <c r="B689" s="1" t="n">
        <v>45769</v>
      </c>
      <c r="C689" s="1" t="n">
        <v>46074</v>
      </c>
      <c r="D689" t="inlineStr">
        <is>
          <t>VÄSTMANLANDS LÄN</t>
        </is>
      </c>
      <c r="E689" t="inlineStr">
        <is>
          <t>SALA</t>
        </is>
      </c>
      <c r="G689" t="n">
        <v>1.8</v>
      </c>
      <c r="H689" t="n">
        <v>0</v>
      </c>
      <c r="I689" t="n">
        <v>0</v>
      </c>
      <c r="J689" t="n">
        <v>0</v>
      </c>
      <c r="K689" t="n">
        <v>0</v>
      </c>
      <c r="L689" t="n">
        <v>0</v>
      </c>
      <c r="M689" t="n">
        <v>0</v>
      </c>
      <c r="N689" t="n">
        <v>0</v>
      </c>
      <c r="O689" t="n">
        <v>0</v>
      </c>
      <c r="P689" t="n">
        <v>0</v>
      </c>
      <c r="Q689" t="n">
        <v>0</v>
      </c>
      <c r="R689" s="2" t="inlineStr"/>
    </row>
    <row r="690" ht="15" customHeight="1">
      <c r="A690" t="inlineStr">
        <is>
          <t>A 19241-2025</t>
        </is>
      </c>
      <c r="B690" s="1" t="n">
        <v>45769</v>
      </c>
      <c r="C690" s="1" t="n">
        <v>46074</v>
      </c>
      <c r="D690" t="inlineStr">
        <is>
          <t>VÄSTMANLANDS LÄN</t>
        </is>
      </c>
      <c r="E690" t="inlineStr">
        <is>
          <t>SALA</t>
        </is>
      </c>
      <c r="G690" t="n">
        <v>3.6</v>
      </c>
      <c r="H690" t="n">
        <v>0</v>
      </c>
      <c r="I690" t="n">
        <v>0</v>
      </c>
      <c r="J690" t="n">
        <v>0</v>
      </c>
      <c r="K690" t="n">
        <v>0</v>
      </c>
      <c r="L690" t="n">
        <v>0</v>
      </c>
      <c r="M690" t="n">
        <v>0</v>
      </c>
      <c r="N690" t="n">
        <v>0</v>
      </c>
      <c r="O690" t="n">
        <v>0</v>
      </c>
      <c r="P690" t="n">
        <v>0</v>
      </c>
      <c r="Q690" t="n">
        <v>0</v>
      </c>
      <c r="R690" s="2" t="inlineStr"/>
    </row>
    <row r="691" ht="15" customHeight="1">
      <c r="A691" t="inlineStr">
        <is>
          <t>A 60823-2024</t>
        </is>
      </c>
      <c r="B691" s="1" t="n">
        <v>45644</v>
      </c>
      <c r="C691" s="1" t="n">
        <v>46074</v>
      </c>
      <c r="D691" t="inlineStr">
        <is>
          <t>VÄSTMANLANDS LÄN</t>
        </is>
      </c>
      <c r="E691" t="inlineStr">
        <is>
          <t>SALA</t>
        </is>
      </c>
      <c r="G691" t="n">
        <v>0.6</v>
      </c>
      <c r="H691" t="n">
        <v>0</v>
      </c>
      <c r="I691" t="n">
        <v>0</v>
      </c>
      <c r="J691" t="n">
        <v>0</v>
      </c>
      <c r="K691" t="n">
        <v>0</v>
      </c>
      <c r="L691" t="n">
        <v>0</v>
      </c>
      <c r="M691" t="n">
        <v>0</v>
      </c>
      <c r="N691" t="n">
        <v>0</v>
      </c>
      <c r="O691" t="n">
        <v>0</v>
      </c>
      <c r="P691" t="n">
        <v>0</v>
      </c>
      <c r="Q691" t="n">
        <v>0</v>
      </c>
      <c r="R691" s="2" t="inlineStr"/>
    </row>
    <row r="692" ht="15" customHeight="1">
      <c r="A692" t="inlineStr">
        <is>
          <t>A 61681-2024</t>
        </is>
      </c>
      <c r="B692" s="1" t="n">
        <v>45647</v>
      </c>
      <c r="C692" s="1" t="n">
        <v>46074</v>
      </c>
      <c r="D692" t="inlineStr">
        <is>
          <t>VÄSTMANLANDS LÄN</t>
        </is>
      </c>
      <c r="E692" t="inlineStr">
        <is>
          <t>SALA</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49661-2024</t>
        </is>
      </c>
      <c r="B693" s="1" t="n">
        <v>45596</v>
      </c>
      <c r="C693" s="1" t="n">
        <v>46074</v>
      </c>
      <c r="D693" t="inlineStr">
        <is>
          <t>VÄSTMANLANDS LÄN</t>
        </is>
      </c>
      <c r="E693" t="inlineStr">
        <is>
          <t>SALA</t>
        </is>
      </c>
      <c r="G693" t="n">
        <v>6.7</v>
      </c>
      <c r="H693" t="n">
        <v>0</v>
      </c>
      <c r="I693" t="n">
        <v>0</v>
      </c>
      <c r="J693" t="n">
        <v>0</v>
      </c>
      <c r="K693" t="n">
        <v>0</v>
      </c>
      <c r="L693" t="n">
        <v>0</v>
      </c>
      <c r="M693" t="n">
        <v>0</v>
      </c>
      <c r="N693" t="n">
        <v>0</v>
      </c>
      <c r="O693" t="n">
        <v>0</v>
      </c>
      <c r="P693" t="n">
        <v>0</v>
      </c>
      <c r="Q693" t="n">
        <v>0</v>
      </c>
      <c r="R693" s="2" t="inlineStr"/>
    </row>
    <row r="694" ht="15" customHeight="1">
      <c r="A694" t="inlineStr">
        <is>
          <t>A 59297-2023</t>
        </is>
      </c>
      <c r="B694" s="1" t="n">
        <v>45253</v>
      </c>
      <c r="C694" s="1" t="n">
        <v>46074</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15965-2024</t>
        </is>
      </c>
      <c r="B695" s="1" t="n">
        <v>45405.55740740741</v>
      </c>
      <c r="C695" s="1" t="n">
        <v>46074</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23180-2022</t>
        </is>
      </c>
      <c r="B696" s="1" t="n">
        <v>44719.79344907407</v>
      </c>
      <c r="C696" s="1" t="n">
        <v>46074</v>
      </c>
      <c r="D696" t="inlineStr">
        <is>
          <t>VÄSTMANLANDS LÄN</t>
        </is>
      </c>
      <c r="E696" t="inlineStr">
        <is>
          <t>SALA</t>
        </is>
      </c>
      <c r="G696" t="n">
        <v>1.2</v>
      </c>
      <c r="H696" t="n">
        <v>0</v>
      </c>
      <c r="I696" t="n">
        <v>0</v>
      </c>
      <c r="J696" t="n">
        <v>0</v>
      </c>
      <c r="K696" t="n">
        <v>0</v>
      </c>
      <c r="L696" t="n">
        <v>0</v>
      </c>
      <c r="M696" t="n">
        <v>0</v>
      </c>
      <c r="N696" t="n">
        <v>0</v>
      </c>
      <c r="O696" t="n">
        <v>0</v>
      </c>
      <c r="P696" t="n">
        <v>0</v>
      </c>
      <c r="Q696" t="n">
        <v>0</v>
      </c>
      <c r="R696" s="2" t="inlineStr"/>
    </row>
    <row r="697" ht="15" customHeight="1">
      <c r="A697" t="inlineStr">
        <is>
          <t>A 21455-2023</t>
        </is>
      </c>
      <c r="B697" s="1" t="n">
        <v>45058</v>
      </c>
      <c r="C697" s="1" t="n">
        <v>46074</v>
      </c>
      <c r="D697" t="inlineStr">
        <is>
          <t>VÄSTMANLANDS LÄN</t>
        </is>
      </c>
      <c r="E697" t="inlineStr">
        <is>
          <t>SALA</t>
        </is>
      </c>
      <c r="G697" t="n">
        <v>6.4</v>
      </c>
      <c r="H697" t="n">
        <v>0</v>
      </c>
      <c r="I697" t="n">
        <v>0</v>
      </c>
      <c r="J697" t="n">
        <v>0</v>
      </c>
      <c r="K697" t="n">
        <v>0</v>
      </c>
      <c r="L697" t="n">
        <v>0</v>
      </c>
      <c r="M697" t="n">
        <v>0</v>
      </c>
      <c r="N697" t="n">
        <v>0</v>
      </c>
      <c r="O697" t="n">
        <v>0</v>
      </c>
      <c r="P697" t="n">
        <v>0</v>
      </c>
      <c r="Q697" t="n">
        <v>0</v>
      </c>
      <c r="R697" s="2" t="inlineStr"/>
    </row>
    <row r="698" ht="15" customHeight="1">
      <c r="A698" t="inlineStr">
        <is>
          <t>A 21053-2022</t>
        </is>
      </c>
      <c r="B698" s="1" t="n">
        <v>44704</v>
      </c>
      <c r="C698" s="1" t="n">
        <v>46074</v>
      </c>
      <c r="D698" t="inlineStr">
        <is>
          <t>VÄSTMANLANDS LÄN</t>
        </is>
      </c>
      <c r="E698" t="inlineStr">
        <is>
          <t>SALA</t>
        </is>
      </c>
      <c r="G698" t="n">
        <v>2</v>
      </c>
      <c r="H698" t="n">
        <v>0</v>
      </c>
      <c r="I698" t="n">
        <v>0</v>
      </c>
      <c r="J698" t="n">
        <v>0</v>
      </c>
      <c r="K698" t="n">
        <v>0</v>
      </c>
      <c r="L698" t="n">
        <v>0</v>
      </c>
      <c r="M698" t="n">
        <v>0</v>
      </c>
      <c r="N698" t="n">
        <v>0</v>
      </c>
      <c r="O698" t="n">
        <v>0</v>
      </c>
      <c r="P698" t="n">
        <v>0</v>
      </c>
      <c r="Q698" t="n">
        <v>0</v>
      </c>
      <c r="R698" s="2" t="inlineStr"/>
    </row>
    <row r="699" ht="15" customHeight="1">
      <c r="A699" t="inlineStr">
        <is>
          <t>A 11927-2025</t>
        </is>
      </c>
      <c r="B699" s="1" t="n">
        <v>45728.5137962963</v>
      </c>
      <c r="C699" s="1" t="n">
        <v>46074</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50876-2023</t>
        </is>
      </c>
      <c r="B700" s="1" t="n">
        <v>45211</v>
      </c>
      <c r="C700" s="1" t="n">
        <v>46074</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10255-2024</t>
        </is>
      </c>
      <c r="B701" s="1" t="n">
        <v>45365</v>
      </c>
      <c r="C701" s="1" t="n">
        <v>46074</v>
      </c>
      <c r="D701" t="inlineStr">
        <is>
          <t>VÄSTMANLANDS LÄN</t>
        </is>
      </c>
      <c r="E701" t="inlineStr">
        <is>
          <t>SALA</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62648-2022</t>
        </is>
      </c>
      <c r="B702" s="1" t="n">
        <v>44917</v>
      </c>
      <c r="C702" s="1" t="n">
        <v>46074</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56548-2024</t>
        </is>
      </c>
      <c r="B703" s="1" t="n">
        <v>45625</v>
      </c>
      <c r="C703" s="1" t="n">
        <v>46074</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5477-2024</t>
        </is>
      </c>
      <c r="B704" s="1" t="n">
        <v>45333.67833333334</v>
      </c>
      <c r="C704" s="1" t="n">
        <v>46074</v>
      </c>
      <c r="D704" t="inlineStr">
        <is>
          <t>VÄSTMANLANDS LÄN</t>
        </is>
      </c>
      <c r="E704" t="inlineStr">
        <is>
          <t>SALA</t>
        </is>
      </c>
      <c r="G704" t="n">
        <v>2.3</v>
      </c>
      <c r="H704" t="n">
        <v>0</v>
      </c>
      <c r="I704" t="n">
        <v>0</v>
      </c>
      <c r="J704" t="n">
        <v>0</v>
      </c>
      <c r="K704" t="n">
        <v>0</v>
      </c>
      <c r="L704" t="n">
        <v>0</v>
      </c>
      <c r="M704" t="n">
        <v>0</v>
      </c>
      <c r="N704" t="n">
        <v>0</v>
      </c>
      <c r="O704" t="n">
        <v>0</v>
      </c>
      <c r="P704" t="n">
        <v>0</v>
      </c>
      <c r="Q704" t="n">
        <v>0</v>
      </c>
      <c r="R704" s="2" t="inlineStr"/>
    </row>
    <row r="705" ht="15" customHeight="1">
      <c r="A705" t="inlineStr">
        <is>
          <t>A 39451-2022</t>
        </is>
      </c>
      <c r="B705" s="1" t="n">
        <v>44818.36606481481</v>
      </c>
      <c r="C705" s="1" t="n">
        <v>46074</v>
      </c>
      <c r="D705" t="inlineStr">
        <is>
          <t>VÄSTMANLANDS LÄN</t>
        </is>
      </c>
      <c r="E705" t="inlineStr">
        <is>
          <t>SALA</t>
        </is>
      </c>
      <c r="G705" t="n">
        <v>9.4</v>
      </c>
      <c r="H705" t="n">
        <v>0</v>
      </c>
      <c r="I705" t="n">
        <v>0</v>
      </c>
      <c r="J705" t="n">
        <v>0</v>
      </c>
      <c r="K705" t="n">
        <v>0</v>
      </c>
      <c r="L705" t="n">
        <v>0</v>
      </c>
      <c r="M705" t="n">
        <v>0</v>
      </c>
      <c r="N705" t="n">
        <v>0</v>
      </c>
      <c r="O705" t="n">
        <v>0</v>
      </c>
      <c r="P705" t="n">
        <v>0</v>
      </c>
      <c r="Q705" t="n">
        <v>0</v>
      </c>
      <c r="R705" s="2" t="inlineStr"/>
    </row>
    <row r="706" ht="15" customHeight="1">
      <c r="A706" t="inlineStr">
        <is>
          <t>A 7772-2023</t>
        </is>
      </c>
      <c r="B706" s="1" t="n">
        <v>44973.40076388889</v>
      </c>
      <c r="C706" s="1" t="n">
        <v>46074</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19751-2022</t>
        </is>
      </c>
      <c r="B707" s="1" t="n">
        <v>44694</v>
      </c>
      <c r="C707" s="1" t="n">
        <v>46074</v>
      </c>
      <c r="D707" t="inlineStr">
        <is>
          <t>VÄSTMANLANDS LÄN</t>
        </is>
      </c>
      <c r="E707" t="inlineStr">
        <is>
          <t>SALA</t>
        </is>
      </c>
      <c r="G707" t="n">
        <v>2.7</v>
      </c>
      <c r="H707" t="n">
        <v>0</v>
      </c>
      <c r="I707" t="n">
        <v>0</v>
      </c>
      <c r="J707" t="n">
        <v>0</v>
      </c>
      <c r="K707" t="n">
        <v>0</v>
      </c>
      <c r="L707" t="n">
        <v>0</v>
      </c>
      <c r="M707" t="n">
        <v>0</v>
      </c>
      <c r="N707" t="n">
        <v>0</v>
      </c>
      <c r="O707" t="n">
        <v>0</v>
      </c>
      <c r="P707" t="n">
        <v>0</v>
      </c>
      <c r="Q707" t="n">
        <v>0</v>
      </c>
      <c r="R707" s="2" t="inlineStr"/>
    </row>
    <row r="708" ht="15" customHeight="1">
      <c r="A708" t="inlineStr">
        <is>
          <t>A 44713-2023</t>
        </is>
      </c>
      <c r="B708" s="1" t="n">
        <v>45184</v>
      </c>
      <c r="C708" s="1" t="n">
        <v>46074</v>
      </c>
      <c r="D708" t="inlineStr">
        <is>
          <t>VÄSTMANLANDS LÄN</t>
        </is>
      </c>
      <c r="E708" t="inlineStr">
        <is>
          <t>SALA</t>
        </is>
      </c>
      <c r="F708" t="inlineStr">
        <is>
          <t>Kyrkan</t>
        </is>
      </c>
      <c r="G708" t="n">
        <v>7.6</v>
      </c>
      <c r="H708" t="n">
        <v>0</v>
      </c>
      <c r="I708" t="n">
        <v>0</v>
      </c>
      <c r="J708" t="n">
        <v>0</v>
      </c>
      <c r="K708" t="n">
        <v>0</v>
      </c>
      <c r="L708" t="n">
        <v>0</v>
      </c>
      <c r="M708" t="n">
        <v>0</v>
      </c>
      <c r="N708" t="n">
        <v>0</v>
      </c>
      <c r="O708" t="n">
        <v>0</v>
      </c>
      <c r="P708" t="n">
        <v>0</v>
      </c>
      <c r="Q708" t="n">
        <v>0</v>
      </c>
      <c r="R708" s="2" t="inlineStr"/>
    </row>
    <row r="709" ht="15" customHeight="1">
      <c r="A709" t="inlineStr">
        <is>
          <t>A 18713-2025</t>
        </is>
      </c>
      <c r="B709" s="1" t="n">
        <v>45763</v>
      </c>
      <c r="C709" s="1" t="n">
        <v>46074</v>
      </c>
      <c r="D709" t="inlineStr">
        <is>
          <t>VÄSTMANLANDS LÄN</t>
        </is>
      </c>
      <c r="E709" t="inlineStr">
        <is>
          <t>SALA</t>
        </is>
      </c>
      <c r="F709" t="inlineStr">
        <is>
          <t>Bergvik skog öst AB</t>
        </is>
      </c>
      <c r="G709" t="n">
        <v>11.6</v>
      </c>
      <c r="H709" t="n">
        <v>0</v>
      </c>
      <c r="I709" t="n">
        <v>0</v>
      </c>
      <c r="J709" t="n">
        <v>0</v>
      </c>
      <c r="K709" t="n">
        <v>0</v>
      </c>
      <c r="L709" t="n">
        <v>0</v>
      </c>
      <c r="M709" t="n">
        <v>0</v>
      </c>
      <c r="N709" t="n">
        <v>0</v>
      </c>
      <c r="O709" t="n">
        <v>0</v>
      </c>
      <c r="P709" t="n">
        <v>0</v>
      </c>
      <c r="Q709" t="n">
        <v>0</v>
      </c>
      <c r="R709" s="2" t="inlineStr"/>
    </row>
    <row r="710" ht="15" customHeight="1">
      <c r="A710" t="inlineStr">
        <is>
          <t>A 47479-2024</t>
        </is>
      </c>
      <c r="B710" s="1" t="n">
        <v>45587</v>
      </c>
      <c r="C710" s="1" t="n">
        <v>46074</v>
      </c>
      <c r="D710" t="inlineStr">
        <is>
          <t>VÄSTMANLANDS LÄN</t>
        </is>
      </c>
      <c r="E710" t="inlineStr">
        <is>
          <t>SALA</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69236-2021</t>
        </is>
      </c>
      <c r="B711" s="1" t="n">
        <v>44531.4047337963</v>
      </c>
      <c r="C711" s="1" t="n">
        <v>46074</v>
      </c>
      <c r="D711" t="inlineStr">
        <is>
          <t>VÄSTMANLANDS LÄN</t>
        </is>
      </c>
      <c r="E711" t="inlineStr">
        <is>
          <t>SALA</t>
        </is>
      </c>
      <c r="G711" t="n">
        <v>2.8</v>
      </c>
      <c r="H711" t="n">
        <v>0</v>
      </c>
      <c r="I711" t="n">
        <v>0</v>
      </c>
      <c r="J711" t="n">
        <v>0</v>
      </c>
      <c r="K711" t="n">
        <v>0</v>
      </c>
      <c r="L711" t="n">
        <v>0</v>
      </c>
      <c r="M711" t="n">
        <v>0</v>
      </c>
      <c r="N711" t="n">
        <v>0</v>
      </c>
      <c r="O711" t="n">
        <v>0</v>
      </c>
      <c r="P711" t="n">
        <v>0</v>
      </c>
      <c r="Q711" t="n">
        <v>0</v>
      </c>
      <c r="R711" s="2" t="inlineStr"/>
    </row>
    <row r="712" ht="15" customHeight="1">
      <c r="A712" t="inlineStr">
        <is>
          <t>A 25541-2024</t>
        </is>
      </c>
      <c r="B712" s="1" t="n">
        <v>45463.56337962963</v>
      </c>
      <c r="C712" s="1" t="n">
        <v>46074</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5728-2022</t>
        </is>
      </c>
      <c r="B713" s="1" t="n">
        <v>44596.42082175926</v>
      </c>
      <c r="C713" s="1" t="n">
        <v>46074</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10250-2025</t>
        </is>
      </c>
      <c r="B714" s="1" t="n">
        <v>45720.36165509259</v>
      </c>
      <c r="C714" s="1" t="n">
        <v>46074</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49512-2024</t>
        </is>
      </c>
      <c r="B715" s="1" t="n">
        <v>45591</v>
      </c>
      <c r="C715" s="1" t="n">
        <v>46074</v>
      </c>
      <c r="D715" t="inlineStr">
        <is>
          <t>VÄSTMANLANDS LÄN</t>
        </is>
      </c>
      <c r="E715" t="inlineStr">
        <is>
          <t>SALA</t>
        </is>
      </c>
      <c r="G715" t="n">
        <v>8.1</v>
      </c>
      <c r="H715" t="n">
        <v>0</v>
      </c>
      <c r="I715" t="n">
        <v>0</v>
      </c>
      <c r="J715" t="n">
        <v>0</v>
      </c>
      <c r="K715" t="n">
        <v>0</v>
      </c>
      <c r="L715" t="n">
        <v>0</v>
      </c>
      <c r="M715" t="n">
        <v>0</v>
      </c>
      <c r="N715" t="n">
        <v>0</v>
      </c>
      <c r="O715" t="n">
        <v>0</v>
      </c>
      <c r="P715" t="n">
        <v>0</v>
      </c>
      <c r="Q715" t="n">
        <v>0</v>
      </c>
      <c r="R715" s="2" t="inlineStr"/>
    </row>
    <row r="716" ht="15" customHeight="1">
      <c r="A716" t="inlineStr">
        <is>
          <t>A 42416-2022</t>
        </is>
      </c>
      <c r="B716" s="1" t="n">
        <v>44831</v>
      </c>
      <c r="C716" s="1" t="n">
        <v>46074</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6135-2023</t>
        </is>
      </c>
      <c r="B717" s="1" t="n">
        <v>44964.62628472222</v>
      </c>
      <c r="C717" s="1" t="n">
        <v>46074</v>
      </c>
      <c r="D717" t="inlineStr">
        <is>
          <t>VÄSTMANLANDS LÄN</t>
        </is>
      </c>
      <c r="E717" t="inlineStr">
        <is>
          <t>SALA</t>
        </is>
      </c>
      <c r="G717" t="n">
        <v>0.5</v>
      </c>
      <c r="H717" t="n">
        <v>0</v>
      </c>
      <c r="I717" t="n">
        <v>0</v>
      </c>
      <c r="J717" t="n">
        <v>0</v>
      </c>
      <c r="K717" t="n">
        <v>0</v>
      </c>
      <c r="L717" t="n">
        <v>0</v>
      </c>
      <c r="M717" t="n">
        <v>0</v>
      </c>
      <c r="N717" t="n">
        <v>0</v>
      </c>
      <c r="O717" t="n">
        <v>0</v>
      </c>
      <c r="P717" t="n">
        <v>0</v>
      </c>
      <c r="Q717" t="n">
        <v>0</v>
      </c>
      <c r="R717" s="2" t="inlineStr"/>
    </row>
    <row r="718" ht="15" customHeight="1">
      <c r="A718" t="inlineStr">
        <is>
          <t>A 16693-2023</t>
        </is>
      </c>
      <c r="B718" s="1" t="n">
        <v>45028</v>
      </c>
      <c r="C718" s="1" t="n">
        <v>46074</v>
      </c>
      <c r="D718" t="inlineStr">
        <is>
          <t>VÄSTMANLANDS LÄN</t>
        </is>
      </c>
      <c r="E718" t="inlineStr">
        <is>
          <t>SALA</t>
        </is>
      </c>
      <c r="G718" t="n">
        <v>1.5</v>
      </c>
      <c r="H718" t="n">
        <v>0</v>
      </c>
      <c r="I718" t="n">
        <v>0</v>
      </c>
      <c r="J718" t="n">
        <v>0</v>
      </c>
      <c r="K718" t="n">
        <v>0</v>
      </c>
      <c r="L718" t="n">
        <v>0</v>
      </c>
      <c r="M718" t="n">
        <v>0</v>
      </c>
      <c r="N718" t="n">
        <v>0</v>
      </c>
      <c r="O718" t="n">
        <v>0</v>
      </c>
      <c r="P718" t="n">
        <v>0</v>
      </c>
      <c r="Q718" t="n">
        <v>0</v>
      </c>
      <c r="R718" s="2" t="inlineStr"/>
    </row>
    <row r="719" ht="15" customHeight="1">
      <c r="A719" t="inlineStr">
        <is>
          <t>A 8285-2025</t>
        </is>
      </c>
      <c r="B719" s="1" t="n">
        <v>45708</v>
      </c>
      <c r="C719" s="1" t="n">
        <v>46074</v>
      </c>
      <c r="D719" t="inlineStr">
        <is>
          <t>VÄSTMANLANDS LÄN</t>
        </is>
      </c>
      <c r="E719" t="inlineStr">
        <is>
          <t>SALA</t>
        </is>
      </c>
      <c r="G719" t="n">
        <v>5.7</v>
      </c>
      <c r="H719" t="n">
        <v>0</v>
      </c>
      <c r="I719" t="n">
        <v>0</v>
      </c>
      <c r="J719" t="n">
        <v>0</v>
      </c>
      <c r="K719" t="n">
        <v>0</v>
      </c>
      <c r="L719" t="n">
        <v>0</v>
      </c>
      <c r="M719" t="n">
        <v>0</v>
      </c>
      <c r="N719" t="n">
        <v>0</v>
      </c>
      <c r="O719" t="n">
        <v>0</v>
      </c>
      <c r="P719" t="n">
        <v>0</v>
      </c>
      <c r="Q719" t="n">
        <v>0</v>
      </c>
      <c r="R719" s="2" t="inlineStr"/>
    </row>
    <row r="720" ht="15" customHeight="1">
      <c r="A720" t="inlineStr">
        <is>
          <t>A 15584-2021</t>
        </is>
      </c>
      <c r="B720" s="1" t="n">
        <v>44285</v>
      </c>
      <c r="C720" s="1" t="n">
        <v>46074</v>
      </c>
      <c r="D720" t="inlineStr">
        <is>
          <t>VÄSTMANLANDS LÄN</t>
        </is>
      </c>
      <c r="E720" t="inlineStr">
        <is>
          <t>SALA</t>
        </is>
      </c>
      <c r="G720" t="n">
        <v>3.4</v>
      </c>
      <c r="H720" t="n">
        <v>0</v>
      </c>
      <c r="I720" t="n">
        <v>0</v>
      </c>
      <c r="J720" t="n">
        <v>0</v>
      </c>
      <c r="K720" t="n">
        <v>0</v>
      </c>
      <c r="L720" t="n">
        <v>0</v>
      </c>
      <c r="M720" t="n">
        <v>0</v>
      </c>
      <c r="N720" t="n">
        <v>0</v>
      </c>
      <c r="O720" t="n">
        <v>0</v>
      </c>
      <c r="P720" t="n">
        <v>0</v>
      </c>
      <c r="Q720" t="n">
        <v>0</v>
      </c>
      <c r="R720" s="2" t="inlineStr"/>
    </row>
    <row r="721" ht="15" customHeight="1">
      <c r="A721" t="inlineStr">
        <is>
          <t>A 18340-2025</t>
        </is>
      </c>
      <c r="B721" s="1" t="n">
        <v>45762</v>
      </c>
      <c r="C721" s="1" t="n">
        <v>46074</v>
      </c>
      <c r="D721" t="inlineStr">
        <is>
          <t>VÄSTMANLANDS LÄN</t>
        </is>
      </c>
      <c r="E721" t="inlineStr">
        <is>
          <t>SALA</t>
        </is>
      </c>
      <c r="G721" t="n">
        <v>2.1</v>
      </c>
      <c r="H721" t="n">
        <v>0</v>
      </c>
      <c r="I721" t="n">
        <v>0</v>
      </c>
      <c r="J721" t="n">
        <v>0</v>
      </c>
      <c r="K721" t="n">
        <v>0</v>
      </c>
      <c r="L721" t="n">
        <v>0</v>
      </c>
      <c r="M721" t="n">
        <v>0</v>
      </c>
      <c r="N721" t="n">
        <v>0</v>
      </c>
      <c r="O721" t="n">
        <v>0</v>
      </c>
      <c r="P721" t="n">
        <v>0</v>
      </c>
      <c r="Q721" t="n">
        <v>0</v>
      </c>
      <c r="R721" s="2" t="inlineStr"/>
    </row>
    <row r="722" ht="15" customHeight="1">
      <c r="A722" t="inlineStr">
        <is>
          <t>A 56706-2022</t>
        </is>
      </c>
      <c r="B722" s="1" t="n">
        <v>44893.78893518518</v>
      </c>
      <c r="C722" s="1" t="n">
        <v>46074</v>
      </c>
      <c r="D722" t="inlineStr">
        <is>
          <t>VÄSTMANLANDS LÄN</t>
        </is>
      </c>
      <c r="E722" t="inlineStr">
        <is>
          <t>SALA</t>
        </is>
      </c>
      <c r="G722" t="n">
        <v>4.5</v>
      </c>
      <c r="H722" t="n">
        <v>0</v>
      </c>
      <c r="I722" t="n">
        <v>0</v>
      </c>
      <c r="J722" t="n">
        <v>0</v>
      </c>
      <c r="K722" t="n">
        <v>0</v>
      </c>
      <c r="L722" t="n">
        <v>0</v>
      </c>
      <c r="M722" t="n">
        <v>0</v>
      </c>
      <c r="N722" t="n">
        <v>0</v>
      </c>
      <c r="O722" t="n">
        <v>0</v>
      </c>
      <c r="P722" t="n">
        <v>0</v>
      </c>
      <c r="Q722" t="n">
        <v>0</v>
      </c>
      <c r="R722" s="2" t="inlineStr"/>
    </row>
    <row r="723" ht="15" customHeight="1">
      <c r="A723" t="inlineStr">
        <is>
          <t>A 56707-2022</t>
        </is>
      </c>
      <c r="B723" s="1" t="n">
        <v>44893.79412037037</v>
      </c>
      <c r="C723" s="1" t="n">
        <v>46074</v>
      </c>
      <c r="D723" t="inlineStr">
        <is>
          <t>VÄSTMANLANDS LÄN</t>
        </is>
      </c>
      <c r="E723" t="inlineStr">
        <is>
          <t>SALA</t>
        </is>
      </c>
      <c r="G723" t="n">
        <v>1</v>
      </c>
      <c r="H723" t="n">
        <v>0</v>
      </c>
      <c r="I723" t="n">
        <v>0</v>
      </c>
      <c r="J723" t="n">
        <v>0</v>
      </c>
      <c r="K723" t="n">
        <v>0</v>
      </c>
      <c r="L723" t="n">
        <v>0</v>
      </c>
      <c r="M723" t="n">
        <v>0</v>
      </c>
      <c r="N723" t="n">
        <v>0</v>
      </c>
      <c r="O723" t="n">
        <v>0</v>
      </c>
      <c r="P723" t="n">
        <v>0</v>
      </c>
      <c r="Q723" t="n">
        <v>0</v>
      </c>
      <c r="R723" s="2" t="inlineStr"/>
    </row>
    <row r="724" ht="15" customHeight="1">
      <c r="A724" t="inlineStr">
        <is>
          <t>A 48571-2024</t>
        </is>
      </c>
      <c r="B724" s="1" t="n">
        <v>45591</v>
      </c>
      <c r="C724" s="1" t="n">
        <v>46074</v>
      </c>
      <c r="D724" t="inlineStr">
        <is>
          <t>VÄSTMANLANDS LÄN</t>
        </is>
      </c>
      <c r="E724" t="inlineStr">
        <is>
          <t>SALA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13188-2025</t>
        </is>
      </c>
      <c r="B725" s="1" t="n">
        <v>45735.39246527778</v>
      </c>
      <c r="C725" s="1" t="n">
        <v>46074</v>
      </c>
      <c r="D725" t="inlineStr">
        <is>
          <t>VÄSTMANLANDS LÄN</t>
        </is>
      </c>
      <c r="E725" t="inlineStr">
        <is>
          <t>SALA</t>
        </is>
      </c>
      <c r="F725" t="inlineStr">
        <is>
          <t>Naturvårdsverket</t>
        </is>
      </c>
      <c r="G725" t="n">
        <v>18.4</v>
      </c>
      <c r="H725" t="n">
        <v>0</v>
      </c>
      <c r="I725" t="n">
        <v>0</v>
      </c>
      <c r="J725" t="n">
        <v>0</v>
      </c>
      <c r="K725" t="n">
        <v>0</v>
      </c>
      <c r="L725" t="n">
        <v>0</v>
      </c>
      <c r="M725" t="n">
        <v>0</v>
      </c>
      <c r="N725" t="n">
        <v>0</v>
      </c>
      <c r="O725" t="n">
        <v>0</v>
      </c>
      <c r="P725" t="n">
        <v>0</v>
      </c>
      <c r="Q725" t="n">
        <v>0</v>
      </c>
      <c r="R725" s="2" t="inlineStr"/>
    </row>
    <row r="726" ht="15" customHeight="1">
      <c r="A726" t="inlineStr">
        <is>
          <t>A 23431-2024</t>
        </is>
      </c>
      <c r="B726" s="1" t="n">
        <v>45453</v>
      </c>
      <c r="C726" s="1" t="n">
        <v>46074</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21168-2025</t>
        </is>
      </c>
      <c r="B727" s="1" t="n">
        <v>45777</v>
      </c>
      <c r="C727" s="1" t="n">
        <v>46074</v>
      </c>
      <c r="D727" t="inlineStr">
        <is>
          <t>VÄSTMANLANDS LÄN</t>
        </is>
      </c>
      <c r="E727" t="inlineStr">
        <is>
          <t>SALA</t>
        </is>
      </c>
      <c r="G727" t="n">
        <v>4.5</v>
      </c>
      <c r="H727" t="n">
        <v>0</v>
      </c>
      <c r="I727" t="n">
        <v>0</v>
      </c>
      <c r="J727" t="n">
        <v>0</v>
      </c>
      <c r="K727" t="n">
        <v>0</v>
      </c>
      <c r="L727" t="n">
        <v>0</v>
      </c>
      <c r="M727" t="n">
        <v>0</v>
      </c>
      <c r="N727" t="n">
        <v>0</v>
      </c>
      <c r="O727" t="n">
        <v>0</v>
      </c>
      <c r="P727" t="n">
        <v>0</v>
      </c>
      <c r="Q727" t="n">
        <v>0</v>
      </c>
      <c r="R727" s="2" t="inlineStr"/>
    </row>
    <row r="728" ht="15" customHeight="1">
      <c r="A728" t="inlineStr">
        <is>
          <t>A 21754-2025</t>
        </is>
      </c>
      <c r="B728" s="1" t="n">
        <v>45783.61837962963</v>
      </c>
      <c r="C728" s="1" t="n">
        <v>46074</v>
      </c>
      <c r="D728" t="inlineStr">
        <is>
          <t>VÄSTMANLANDS LÄN</t>
        </is>
      </c>
      <c r="E728" t="inlineStr">
        <is>
          <t>SALA</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21751-2025</t>
        </is>
      </c>
      <c r="B729" s="1" t="n">
        <v>45783.61372685185</v>
      </c>
      <c r="C729" s="1" t="n">
        <v>46074</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37587-2024</t>
        </is>
      </c>
      <c r="B730" s="1" t="n">
        <v>45541</v>
      </c>
      <c r="C730" s="1" t="n">
        <v>46074</v>
      </c>
      <c r="D730" t="inlineStr">
        <is>
          <t>VÄSTMANLANDS LÄN</t>
        </is>
      </c>
      <c r="E730" t="inlineStr">
        <is>
          <t>SALA</t>
        </is>
      </c>
      <c r="G730" t="n">
        <v>1.2</v>
      </c>
      <c r="H730" t="n">
        <v>0</v>
      </c>
      <c r="I730" t="n">
        <v>0</v>
      </c>
      <c r="J730" t="n">
        <v>0</v>
      </c>
      <c r="K730" t="n">
        <v>0</v>
      </c>
      <c r="L730" t="n">
        <v>0</v>
      </c>
      <c r="M730" t="n">
        <v>0</v>
      </c>
      <c r="N730" t="n">
        <v>0</v>
      </c>
      <c r="O730" t="n">
        <v>0</v>
      </c>
      <c r="P730" t="n">
        <v>0</v>
      </c>
      <c r="Q730" t="n">
        <v>0</v>
      </c>
      <c r="R730" s="2" t="inlineStr"/>
    </row>
    <row r="731" ht="15" customHeight="1">
      <c r="A731" t="inlineStr">
        <is>
          <t>A 64724-2023</t>
        </is>
      </c>
      <c r="B731" s="1" t="n">
        <v>45281.7602662037</v>
      </c>
      <c r="C731" s="1" t="n">
        <v>46074</v>
      </c>
      <c r="D731" t="inlineStr">
        <is>
          <t>VÄSTMANLANDS LÄN</t>
        </is>
      </c>
      <c r="E731" t="inlineStr">
        <is>
          <t>SALA</t>
        </is>
      </c>
      <c r="G731" t="n">
        <v>2.3</v>
      </c>
      <c r="H731" t="n">
        <v>0</v>
      </c>
      <c r="I731" t="n">
        <v>0</v>
      </c>
      <c r="J731" t="n">
        <v>0</v>
      </c>
      <c r="K731" t="n">
        <v>0</v>
      </c>
      <c r="L731" t="n">
        <v>0</v>
      </c>
      <c r="M731" t="n">
        <v>0</v>
      </c>
      <c r="N731" t="n">
        <v>0</v>
      </c>
      <c r="O731" t="n">
        <v>0</v>
      </c>
      <c r="P731" t="n">
        <v>0</v>
      </c>
      <c r="Q731" t="n">
        <v>0</v>
      </c>
      <c r="R731" s="2" t="inlineStr"/>
    </row>
    <row r="732" ht="15" customHeight="1">
      <c r="A732" t="inlineStr">
        <is>
          <t>A 7176-2023</t>
        </is>
      </c>
      <c r="B732" s="1" t="n">
        <v>44970</v>
      </c>
      <c r="C732" s="1" t="n">
        <v>46074</v>
      </c>
      <c r="D732" t="inlineStr">
        <is>
          <t>VÄSTMANLANDS LÄN</t>
        </is>
      </c>
      <c r="E732" t="inlineStr">
        <is>
          <t>SALA</t>
        </is>
      </c>
      <c r="G732" t="n">
        <v>1.5</v>
      </c>
      <c r="H732" t="n">
        <v>0</v>
      </c>
      <c r="I732" t="n">
        <v>0</v>
      </c>
      <c r="J732" t="n">
        <v>0</v>
      </c>
      <c r="K732" t="n">
        <v>0</v>
      </c>
      <c r="L732" t="n">
        <v>0</v>
      </c>
      <c r="M732" t="n">
        <v>0</v>
      </c>
      <c r="N732" t="n">
        <v>0</v>
      </c>
      <c r="O732" t="n">
        <v>0</v>
      </c>
      <c r="P732" t="n">
        <v>0</v>
      </c>
      <c r="Q732" t="n">
        <v>0</v>
      </c>
      <c r="R732" s="2" t="inlineStr"/>
    </row>
    <row r="733" ht="15" customHeight="1">
      <c r="A733" t="inlineStr">
        <is>
          <t>A 43600-2024</t>
        </is>
      </c>
      <c r="B733" s="1" t="n">
        <v>45569</v>
      </c>
      <c r="C733" s="1" t="n">
        <v>46074</v>
      </c>
      <c r="D733" t="inlineStr">
        <is>
          <t>VÄSTMANLANDS LÄN</t>
        </is>
      </c>
      <c r="E733" t="inlineStr">
        <is>
          <t>SALA</t>
        </is>
      </c>
      <c r="G733" t="n">
        <v>0.9</v>
      </c>
      <c r="H733" t="n">
        <v>0</v>
      </c>
      <c r="I733" t="n">
        <v>0</v>
      </c>
      <c r="J733" t="n">
        <v>0</v>
      </c>
      <c r="K733" t="n">
        <v>0</v>
      </c>
      <c r="L733" t="n">
        <v>0</v>
      </c>
      <c r="M733" t="n">
        <v>0</v>
      </c>
      <c r="N733" t="n">
        <v>0</v>
      </c>
      <c r="O733" t="n">
        <v>0</v>
      </c>
      <c r="P733" t="n">
        <v>0</v>
      </c>
      <c r="Q733" t="n">
        <v>0</v>
      </c>
      <c r="R733" s="2" t="inlineStr"/>
    </row>
    <row r="734" ht="15" customHeight="1">
      <c r="A734" t="inlineStr">
        <is>
          <t>A 31405-2024</t>
        </is>
      </c>
      <c r="B734" s="1" t="n">
        <v>45505.5490625</v>
      </c>
      <c r="C734" s="1" t="n">
        <v>46074</v>
      </c>
      <c r="D734" t="inlineStr">
        <is>
          <t>VÄSTMANLANDS LÄN</t>
        </is>
      </c>
      <c r="E734" t="inlineStr">
        <is>
          <t>SALA</t>
        </is>
      </c>
      <c r="G734" t="n">
        <v>5.2</v>
      </c>
      <c r="H734" t="n">
        <v>0</v>
      </c>
      <c r="I734" t="n">
        <v>0</v>
      </c>
      <c r="J734" t="n">
        <v>0</v>
      </c>
      <c r="K734" t="n">
        <v>0</v>
      </c>
      <c r="L734" t="n">
        <v>0</v>
      </c>
      <c r="M734" t="n">
        <v>0</v>
      </c>
      <c r="N734" t="n">
        <v>0</v>
      </c>
      <c r="O734" t="n">
        <v>0</v>
      </c>
      <c r="P734" t="n">
        <v>0</v>
      </c>
      <c r="Q734" t="n">
        <v>0</v>
      </c>
      <c r="R734" s="2" t="inlineStr"/>
    </row>
    <row r="735" ht="15" customHeight="1">
      <c r="A735" t="inlineStr">
        <is>
          <t>A 22616-2025</t>
        </is>
      </c>
      <c r="B735" s="1" t="n">
        <v>45789.42752314815</v>
      </c>
      <c r="C735" s="1" t="n">
        <v>46074</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22353-2025</t>
        </is>
      </c>
      <c r="B736" s="1" t="n">
        <v>45786</v>
      </c>
      <c r="C736" s="1" t="n">
        <v>46074</v>
      </c>
      <c r="D736" t="inlineStr">
        <is>
          <t>VÄSTMANLANDS LÄN</t>
        </is>
      </c>
      <c r="E736" t="inlineStr">
        <is>
          <t>SALA</t>
        </is>
      </c>
      <c r="G736" t="n">
        <v>2.5</v>
      </c>
      <c r="H736" t="n">
        <v>0</v>
      </c>
      <c r="I736" t="n">
        <v>0</v>
      </c>
      <c r="J736" t="n">
        <v>0</v>
      </c>
      <c r="K736" t="n">
        <v>0</v>
      </c>
      <c r="L736" t="n">
        <v>0</v>
      </c>
      <c r="M736" t="n">
        <v>0</v>
      </c>
      <c r="N736" t="n">
        <v>0</v>
      </c>
      <c r="O736" t="n">
        <v>0</v>
      </c>
      <c r="P736" t="n">
        <v>0</v>
      </c>
      <c r="Q736" t="n">
        <v>0</v>
      </c>
      <c r="R736" s="2" t="inlineStr"/>
    </row>
    <row r="737" ht="15" customHeight="1">
      <c r="A737" t="inlineStr">
        <is>
          <t>A 22383-2025</t>
        </is>
      </c>
      <c r="B737" s="1" t="n">
        <v>45786</v>
      </c>
      <c r="C737" s="1" t="n">
        <v>46074</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22624-2025</t>
        </is>
      </c>
      <c r="B738" s="1" t="n">
        <v>45789.43327546296</v>
      </c>
      <c r="C738" s="1" t="n">
        <v>46074</v>
      </c>
      <c r="D738" t="inlineStr">
        <is>
          <t>VÄSTMANLANDS LÄN</t>
        </is>
      </c>
      <c r="E738" t="inlineStr">
        <is>
          <t>SALA</t>
        </is>
      </c>
      <c r="G738" t="n">
        <v>1.5</v>
      </c>
      <c r="H738" t="n">
        <v>0</v>
      </c>
      <c r="I738" t="n">
        <v>0</v>
      </c>
      <c r="J738" t="n">
        <v>0</v>
      </c>
      <c r="K738" t="n">
        <v>0</v>
      </c>
      <c r="L738" t="n">
        <v>0</v>
      </c>
      <c r="M738" t="n">
        <v>0</v>
      </c>
      <c r="N738" t="n">
        <v>0</v>
      </c>
      <c r="O738" t="n">
        <v>0</v>
      </c>
      <c r="P738" t="n">
        <v>0</v>
      </c>
      <c r="Q738" t="n">
        <v>0</v>
      </c>
      <c r="R738" s="2" t="inlineStr"/>
    </row>
    <row r="739" ht="15" customHeight="1">
      <c r="A739" t="inlineStr">
        <is>
          <t>A 22370-2025</t>
        </is>
      </c>
      <c r="B739" s="1" t="n">
        <v>45786</v>
      </c>
      <c r="C739" s="1" t="n">
        <v>46074</v>
      </c>
      <c r="D739" t="inlineStr">
        <is>
          <t>VÄSTMANLANDS LÄN</t>
        </is>
      </c>
      <c r="E739" t="inlineStr">
        <is>
          <t>SALA</t>
        </is>
      </c>
      <c r="G739" t="n">
        <v>3.2</v>
      </c>
      <c r="H739" t="n">
        <v>0</v>
      </c>
      <c r="I739" t="n">
        <v>0</v>
      </c>
      <c r="J739" t="n">
        <v>0</v>
      </c>
      <c r="K739" t="n">
        <v>0</v>
      </c>
      <c r="L739" t="n">
        <v>0</v>
      </c>
      <c r="M739" t="n">
        <v>0</v>
      </c>
      <c r="N739" t="n">
        <v>0</v>
      </c>
      <c r="O739" t="n">
        <v>0</v>
      </c>
      <c r="P739" t="n">
        <v>0</v>
      </c>
      <c r="Q739" t="n">
        <v>0</v>
      </c>
      <c r="R739" s="2" t="inlineStr"/>
    </row>
    <row r="740" ht="15" customHeight="1">
      <c r="A740" t="inlineStr">
        <is>
          <t>A 13130-2025</t>
        </is>
      </c>
      <c r="B740" s="1" t="n">
        <v>45734</v>
      </c>
      <c r="C740" s="1" t="n">
        <v>46074</v>
      </c>
      <c r="D740" t="inlineStr">
        <is>
          <t>VÄSTMANLANDS LÄN</t>
        </is>
      </c>
      <c r="E740" t="inlineStr">
        <is>
          <t>SALA</t>
        </is>
      </c>
      <c r="G740" t="n">
        <v>1.5</v>
      </c>
      <c r="H740" t="n">
        <v>0</v>
      </c>
      <c r="I740" t="n">
        <v>0</v>
      </c>
      <c r="J740" t="n">
        <v>0</v>
      </c>
      <c r="K740" t="n">
        <v>0</v>
      </c>
      <c r="L740" t="n">
        <v>0</v>
      </c>
      <c r="M740" t="n">
        <v>0</v>
      </c>
      <c r="N740" t="n">
        <v>0</v>
      </c>
      <c r="O740" t="n">
        <v>0</v>
      </c>
      <c r="P740" t="n">
        <v>0</v>
      </c>
      <c r="Q740" t="n">
        <v>0</v>
      </c>
      <c r="R740" s="2" t="inlineStr"/>
    </row>
    <row r="741" ht="15" customHeight="1">
      <c r="A741" t="inlineStr">
        <is>
          <t>A 23804-2025</t>
        </is>
      </c>
      <c r="B741" s="1" t="n">
        <v>45793.55995370371</v>
      </c>
      <c r="C741" s="1" t="n">
        <v>46074</v>
      </c>
      <c r="D741" t="inlineStr">
        <is>
          <t>VÄSTMANLANDS LÄN</t>
        </is>
      </c>
      <c r="E741" t="inlineStr">
        <is>
          <t>SALA</t>
        </is>
      </c>
      <c r="G741" t="n">
        <v>1.9</v>
      </c>
      <c r="H741" t="n">
        <v>0</v>
      </c>
      <c r="I741" t="n">
        <v>0</v>
      </c>
      <c r="J741" t="n">
        <v>0</v>
      </c>
      <c r="K741" t="n">
        <v>0</v>
      </c>
      <c r="L741" t="n">
        <v>0</v>
      </c>
      <c r="M741" t="n">
        <v>0</v>
      </c>
      <c r="N741" t="n">
        <v>0</v>
      </c>
      <c r="O741" t="n">
        <v>0</v>
      </c>
      <c r="P741" t="n">
        <v>0</v>
      </c>
      <c r="Q741" t="n">
        <v>0</v>
      </c>
      <c r="R741" s="2" t="inlineStr"/>
    </row>
    <row r="742" ht="15" customHeight="1">
      <c r="A742" t="inlineStr">
        <is>
          <t>A 22126-2025</t>
        </is>
      </c>
      <c r="B742" s="1" t="n">
        <v>45785</v>
      </c>
      <c r="C742" s="1" t="n">
        <v>46074</v>
      </c>
      <c r="D742" t="inlineStr">
        <is>
          <t>VÄSTMANLANDS LÄN</t>
        </is>
      </c>
      <c r="E742" t="inlineStr">
        <is>
          <t>SALA</t>
        </is>
      </c>
      <c r="G742" t="n">
        <v>10.6</v>
      </c>
      <c r="H742" t="n">
        <v>0</v>
      </c>
      <c r="I742" t="n">
        <v>0</v>
      </c>
      <c r="J742" t="n">
        <v>0</v>
      </c>
      <c r="K742" t="n">
        <v>0</v>
      </c>
      <c r="L742" t="n">
        <v>0</v>
      </c>
      <c r="M742" t="n">
        <v>0</v>
      </c>
      <c r="N742" t="n">
        <v>0</v>
      </c>
      <c r="O742" t="n">
        <v>0</v>
      </c>
      <c r="P742" t="n">
        <v>0</v>
      </c>
      <c r="Q742" t="n">
        <v>0</v>
      </c>
      <c r="R742" s="2" t="inlineStr"/>
    </row>
    <row r="743" ht="15" customHeight="1">
      <c r="A743" t="inlineStr">
        <is>
          <t>A 19297-2025</t>
        </is>
      </c>
      <c r="B743" s="1" t="n">
        <v>45769.56261574074</v>
      </c>
      <c r="C743" s="1" t="n">
        <v>46074</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23810-2025</t>
        </is>
      </c>
      <c r="B744" s="1" t="n">
        <v>45793.56989583333</v>
      </c>
      <c r="C744" s="1" t="n">
        <v>46074</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24169-2025</t>
        </is>
      </c>
      <c r="B745" s="1" t="n">
        <v>45796</v>
      </c>
      <c r="C745" s="1" t="n">
        <v>46074</v>
      </c>
      <c r="D745" t="inlineStr">
        <is>
          <t>VÄSTMANLANDS LÄN</t>
        </is>
      </c>
      <c r="E745" t="inlineStr">
        <is>
          <t>SALA</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11210-2025</t>
        </is>
      </c>
      <c r="B746" s="1" t="n">
        <v>45726</v>
      </c>
      <c r="C746" s="1" t="n">
        <v>46074</v>
      </c>
      <c r="D746" t="inlineStr">
        <is>
          <t>VÄSTMANLANDS LÄN</t>
        </is>
      </c>
      <c r="E746" t="inlineStr">
        <is>
          <t>SALA</t>
        </is>
      </c>
      <c r="G746" t="n">
        <v>4.1</v>
      </c>
      <c r="H746" t="n">
        <v>0</v>
      </c>
      <c r="I746" t="n">
        <v>0</v>
      </c>
      <c r="J746" t="n">
        <v>0</v>
      </c>
      <c r="K746" t="n">
        <v>0</v>
      </c>
      <c r="L746" t="n">
        <v>0</v>
      </c>
      <c r="M746" t="n">
        <v>0</v>
      </c>
      <c r="N746" t="n">
        <v>0</v>
      </c>
      <c r="O746" t="n">
        <v>0</v>
      </c>
      <c r="P746" t="n">
        <v>0</v>
      </c>
      <c r="Q746" t="n">
        <v>0</v>
      </c>
      <c r="R746" s="2" t="inlineStr"/>
    </row>
    <row r="747" ht="15" customHeight="1">
      <c r="A747" t="inlineStr">
        <is>
          <t>A 24944-2023</t>
        </is>
      </c>
      <c r="B747" s="1" t="n">
        <v>45085</v>
      </c>
      <c r="C747" s="1" t="n">
        <v>46074</v>
      </c>
      <c r="D747" t="inlineStr">
        <is>
          <t>VÄSTMANLANDS LÄN</t>
        </is>
      </c>
      <c r="E747" t="inlineStr">
        <is>
          <t>SALA</t>
        </is>
      </c>
      <c r="G747" t="n">
        <v>3.8</v>
      </c>
      <c r="H747" t="n">
        <v>0</v>
      </c>
      <c r="I747" t="n">
        <v>0</v>
      </c>
      <c r="J747" t="n">
        <v>0</v>
      </c>
      <c r="K747" t="n">
        <v>0</v>
      </c>
      <c r="L747" t="n">
        <v>0</v>
      </c>
      <c r="M747" t="n">
        <v>0</v>
      </c>
      <c r="N747" t="n">
        <v>0</v>
      </c>
      <c r="O747" t="n">
        <v>0</v>
      </c>
      <c r="P747" t="n">
        <v>0</v>
      </c>
      <c r="Q747" t="n">
        <v>0</v>
      </c>
      <c r="R747" s="2" t="inlineStr"/>
    </row>
    <row r="748" ht="15" customHeight="1">
      <c r="A748" t="inlineStr">
        <is>
          <t>A 24460-2025</t>
        </is>
      </c>
      <c r="B748" s="1" t="n">
        <v>45798</v>
      </c>
      <c r="C748" s="1" t="n">
        <v>46074</v>
      </c>
      <c r="D748" t="inlineStr">
        <is>
          <t>VÄSTMANLANDS LÄN</t>
        </is>
      </c>
      <c r="E748" t="inlineStr">
        <is>
          <t>SALA</t>
        </is>
      </c>
      <c r="F748" t="inlineStr">
        <is>
          <t>Bergvik skog öst AB</t>
        </is>
      </c>
      <c r="G748" t="n">
        <v>2.6</v>
      </c>
      <c r="H748" t="n">
        <v>0</v>
      </c>
      <c r="I748" t="n">
        <v>0</v>
      </c>
      <c r="J748" t="n">
        <v>0</v>
      </c>
      <c r="K748" t="n">
        <v>0</v>
      </c>
      <c r="L748" t="n">
        <v>0</v>
      </c>
      <c r="M748" t="n">
        <v>0</v>
      </c>
      <c r="N748" t="n">
        <v>0</v>
      </c>
      <c r="O748" t="n">
        <v>0</v>
      </c>
      <c r="P748" t="n">
        <v>0</v>
      </c>
      <c r="Q748" t="n">
        <v>0</v>
      </c>
      <c r="R748" s="2" t="inlineStr"/>
    </row>
    <row r="749" ht="15" customHeight="1">
      <c r="A749" t="inlineStr">
        <is>
          <t>A 24463-2025</t>
        </is>
      </c>
      <c r="B749" s="1" t="n">
        <v>45798</v>
      </c>
      <c r="C749" s="1" t="n">
        <v>46074</v>
      </c>
      <c r="D749" t="inlineStr">
        <is>
          <t>VÄSTMANLANDS LÄN</t>
        </is>
      </c>
      <c r="E749" t="inlineStr">
        <is>
          <t>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55065-2024</t>
        </is>
      </c>
      <c r="B750" s="1" t="n">
        <v>45618</v>
      </c>
      <c r="C750" s="1" t="n">
        <v>46074</v>
      </c>
      <c r="D750" t="inlineStr">
        <is>
          <t>VÄSTMANLANDS LÄN</t>
        </is>
      </c>
      <c r="E750" t="inlineStr">
        <is>
          <t>SALA</t>
        </is>
      </c>
      <c r="G750" t="n">
        <v>3.5</v>
      </c>
      <c r="H750" t="n">
        <v>0</v>
      </c>
      <c r="I750" t="n">
        <v>0</v>
      </c>
      <c r="J750" t="n">
        <v>0</v>
      </c>
      <c r="K750" t="n">
        <v>0</v>
      </c>
      <c r="L750" t="n">
        <v>0</v>
      </c>
      <c r="M750" t="n">
        <v>0</v>
      </c>
      <c r="N750" t="n">
        <v>0</v>
      </c>
      <c r="O750" t="n">
        <v>0</v>
      </c>
      <c r="P750" t="n">
        <v>0</v>
      </c>
      <c r="Q750" t="n">
        <v>0</v>
      </c>
      <c r="R750" s="2" t="inlineStr"/>
    </row>
    <row r="751" ht="15" customHeight="1">
      <c r="A751" t="inlineStr">
        <is>
          <t>A 24907-2025</t>
        </is>
      </c>
      <c r="B751" s="1" t="n">
        <v>45799</v>
      </c>
      <c r="C751" s="1" t="n">
        <v>46074</v>
      </c>
      <c r="D751" t="inlineStr">
        <is>
          <t>VÄSTMANLANDS LÄN</t>
        </is>
      </c>
      <c r="E751" t="inlineStr">
        <is>
          <t>SALA</t>
        </is>
      </c>
      <c r="G751" t="n">
        <v>3.5</v>
      </c>
      <c r="H751" t="n">
        <v>0</v>
      </c>
      <c r="I751" t="n">
        <v>0</v>
      </c>
      <c r="J751" t="n">
        <v>0</v>
      </c>
      <c r="K751" t="n">
        <v>0</v>
      </c>
      <c r="L751" t="n">
        <v>0</v>
      </c>
      <c r="M751" t="n">
        <v>0</v>
      </c>
      <c r="N751" t="n">
        <v>0</v>
      </c>
      <c r="O751" t="n">
        <v>0</v>
      </c>
      <c r="P751" t="n">
        <v>0</v>
      </c>
      <c r="Q751" t="n">
        <v>0</v>
      </c>
      <c r="R751" s="2" t="inlineStr"/>
    </row>
    <row r="752" ht="15" customHeight="1">
      <c r="A752" t="inlineStr">
        <is>
          <t>A 24910-2025</t>
        </is>
      </c>
      <c r="B752" s="1" t="n">
        <v>45799.53775462963</v>
      </c>
      <c r="C752" s="1" t="n">
        <v>46074</v>
      </c>
      <c r="D752" t="inlineStr">
        <is>
          <t>VÄSTMANLANDS LÄN</t>
        </is>
      </c>
      <c r="E752" t="inlineStr">
        <is>
          <t>SALA</t>
        </is>
      </c>
      <c r="G752" t="n">
        <v>3.5</v>
      </c>
      <c r="H752" t="n">
        <v>0</v>
      </c>
      <c r="I752" t="n">
        <v>0</v>
      </c>
      <c r="J752" t="n">
        <v>0</v>
      </c>
      <c r="K752" t="n">
        <v>0</v>
      </c>
      <c r="L752" t="n">
        <v>0</v>
      </c>
      <c r="M752" t="n">
        <v>0</v>
      </c>
      <c r="N752" t="n">
        <v>0</v>
      </c>
      <c r="O752" t="n">
        <v>0</v>
      </c>
      <c r="P752" t="n">
        <v>0</v>
      </c>
      <c r="Q752" t="n">
        <v>0</v>
      </c>
      <c r="R752" s="2" t="inlineStr"/>
    </row>
    <row r="753" ht="15" customHeight="1">
      <c r="A753" t="inlineStr">
        <is>
          <t>A 10909-2024</t>
        </is>
      </c>
      <c r="B753" s="1" t="n">
        <v>45370</v>
      </c>
      <c r="C753" s="1" t="n">
        <v>46074</v>
      </c>
      <c r="D753" t="inlineStr">
        <is>
          <t>VÄSTMANLANDS LÄN</t>
        </is>
      </c>
      <c r="E753" t="inlineStr">
        <is>
          <t>SALA</t>
        </is>
      </c>
      <c r="G753" t="n">
        <v>3.3</v>
      </c>
      <c r="H753" t="n">
        <v>0</v>
      </c>
      <c r="I753" t="n">
        <v>0</v>
      </c>
      <c r="J753" t="n">
        <v>0</v>
      </c>
      <c r="K753" t="n">
        <v>0</v>
      </c>
      <c r="L753" t="n">
        <v>0</v>
      </c>
      <c r="M753" t="n">
        <v>0</v>
      </c>
      <c r="N753" t="n">
        <v>0</v>
      </c>
      <c r="O753" t="n">
        <v>0</v>
      </c>
      <c r="P753" t="n">
        <v>0</v>
      </c>
      <c r="Q753" t="n">
        <v>0</v>
      </c>
      <c r="R753" s="2" t="inlineStr"/>
    </row>
    <row r="754">
      <c r="A754" t="inlineStr">
        <is>
          <t>A 26661-2025</t>
        </is>
      </c>
      <c r="B754" s="1" t="n">
        <v>45810</v>
      </c>
      <c r="C754" s="1" t="n">
        <v>46074</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2026-02-21T11:03:49Z</dcterms:created>
  <dcterms:modified xmlns:dcterms="http://purl.org/dc/terms/" xmlns:xsi="http://www.w3.org/2001/XMLSchema-instance" xsi:type="dcterms:W3CDTF">2026-02-21T11:03:49Z</dcterms:modified>
</cp:coreProperties>
</file>