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8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12276-2023</t>
        </is>
      </c>
      <c r="B2" s="1" t="n">
        <v>44995</v>
      </c>
      <c r="C2" s="1" t="n">
        <v>45292</v>
      </c>
      <c r="D2" t="inlineStr">
        <is>
          <t>VÄSTMANLANDS LÄN</t>
        </is>
      </c>
      <c r="E2" t="inlineStr">
        <is>
          <t>SALA</t>
        </is>
      </c>
      <c r="G2" t="n">
        <v>28.6</v>
      </c>
      <c r="H2" t="n">
        <v>5</v>
      </c>
      <c r="I2" t="n">
        <v>10</v>
      </c>
      <c r="J2" t="n">
        <v>11</v>
      </c>
      <c r="K2" t="n">
        <v>6</v>
      </c>
      <c r="L2" t="n">
        <v>0</v>
      </c>
      <c r="M2" t="n">
        <v>0</v>
      </c>
      <c r="N2" t="n">
        <v>0</v>
      </c>
      <c r="O2" t="n">
        <v>17</v>
      </c>
      <c r="P2" t="n">
        <v>6</v>
      </c>
      <c r="Q2" t="n">
        <v>28</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row>
    <row r="3" ht="15" customHeight="1">
      <c r="A3" t="inlineStr">
        <is>
          <t>A 44181-2023</t>
        </is>
      </c>
      <c r="B3" s="1" t="n">
        <v>45188</v>
      </c>
      <c r="C3" s="1" t="n">
        <v>45292</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45292</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45292</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45292</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row>
    <row r="7" ht="15" customHeight="1">
      <c r="A7" t="inlineStr">
        <is>
          <t>A 54934-2020</t>
        </is>
      </c>
      <c r="B7" s="1" t="n">
        <v>44127</v>
      </c>
      <c r="C7" s="1" t="n">
        <v>45292</v>
      </c>
      <c r="D7" t="inlineStr">
        <is>
          <t>VÄSTMANLANDS LÄN</t>
        </is>
      </c>
      <c r="E7" t="inlineStr">
        <is>
          <t>SALA</t>
        </is>
      </c>
      <c r="G7" t="n">
        <v>13</v>
      </c>
      <c r="H7" t="n">
        <v>1</v>
      </c>
      <c r="I7" t="n">
        <v>1</v>
      </c>
      <c r="J7" t="n">
        <v>2</v>
      </c>
      <c r="K7" t="n">
        <v>2</v>
      </c>
      <c r="L7" t="n">
        <v>0</v>
      </c>
      <c r="M7" t="n">
        <v>0</v>
      </c>
      <c r="N7" t="n">
        <v>0</v>
      </c>
      <c r="O7" t="n">
        <v>4</v>
      </c>
      <c r="P7" t="n">
        <v>2</v>
      </c>
      <c r="Q7" t="n">
        <v>5</v>
      </c>
      <c r="R7" s="2" t="inlineStr">
        <is>
          <t>Knärot
Rynkskinn
Ullticka
Vedtrappmossa
Vedticka</t>
        </is>
      </c>
      <c r="S7">
        <f>HYPERLINK("https://klasma.github.io/Logging_1981/artfynd/A 54934-2020 artfynd.xlsx", "A 54934-2020")</f>
        <v/>
      </c>
      <c r="T7">
        <f>HYPERLINK("https://klasma.github.io/Logging_1981/kartor/A 54934-2020 karta.png", "A 54934-2020")</f>
        <v/>
      </c>
      <c r="U7">
        <f>HYPERLINK("https://klasma.github.io/Logging_1981/knärot/A 54934-2020 karta knärot.png", "A 54934-2020")</f>
        <v/>
      </c>
      <c r="V7">
        <f>HYPERLINK("https://klasma.github.io/Logging_1981/klagomål/A 54934-2020 FSC-klagomål.docx", "A 54934-2020")</f>
        <v/>
      </c>
      <c r="W7">
        <f>HYPERLINK("https://klasma.github.io/Logging_1981/klagomålsmail/A 54934-2020 FSC-klagomål mail.docx", "A 54934-2020")</f>
        <v/>
      </c>
      <c r="X7">
        <f>HYPERLINK("https://klasma.github.io/Logging_1981/tillsyn/A 54934-2020 tillsynsbegäran.docx", "A 54934-2020")</f>
        <v/>
      </c>
      <c r="Y7">
        <f>HYPERLINK("https://klasma.github.io/Logging_1981/tillsynsmail/A 54934-2020 tillsynsbegäran mail.docx", "A 54934-2020")</f>
        <v/>
      </c>
    </row>
    <row r="8" ht="15" customHeight="1">
      <c r="A8" t="inlineStr">
        <is>
          <t>A 1182-2022</t>
        </is>
      </c>
      <c r="B8" s="1" t="n">
        <v>44572</v>
      </c>
      <c r="C8" s="1" t="n">
        <v>45292</v>
      </c>
      <c r="D8" t="inlineStr">
        <is>
          <t>VÄSTMANLANDS LÄN</t>
        </is>
      </c>
      <c r="E8" t="inlineStr">
        <is>
          <t>SALA</t>
        </is>
      </c>
      <c r="G8" t="n">
        <v>3.8</v>
      </c>
      <c r="H8" t="n">
        <v>2</v>
      </c>
      <c r="I8" t="n">
        <v>2</v>
      </c>
      <c r="J8" t="n">
        <v>2</v>
      </c>
      <c r="K8" t="n">
        <v>1</v>
      </c>
      <c r="L8" t="n">
        <v>0</v>
      </c>
      <c r="M8" t="n">
        <v>0</v>
      </c>
      <c r="N8" t="n">
        <v>0</v>
      </c>
      <c r="O8" t="n">
        <v>3</v>
      </c>
      <c r="P8" t="n">
        <v>1</v>
      </c>
      <c r="Q8" t="n">
        <v>5</v>
      </c>
      <c r="R8" s="2" t="inlineStr">
        <is>
          <t>Knärot
Ullticka
Vedtrappmossa
Dvärghäxört
Grön sköldmossa</t>
        </is>
      </c>
      <c r="S8">
        <f>HYPERLINK("https://klasma.github.io/Logging_1981/artfynd/A 1182-2022 artfynd.xlsx", "A 1182-2022")</f>
        <v/>
      </c>
      <c r="T8">
        <f>HYPERLINK("https://klasma.github.io/Logging_1981/kartor/A 1182-2022 karta.png", "A 1182-2022")</f>
        <v/>
      </c>
      <c r="U8">
        <f>HYPERLINK("https://klasma.github.io/Logging_1981/knärot/A 1182-2022 karta knärot.png", "A 1182-2022")</f>
        <v/>
      </c>
      <c r="V8">
        <f>HYPERLINK("https://klasma.github.io/Logging_1981/klagomål/A 1182-2022 FSC-klagomål.docx", "A 1182-2022")</f>
        <v/>
      </c>
      <c r="W8">
        <f>HYPERLINK("https://klasma.github.io/Logging_1981/klagomålsmail/A 1182-2022 FSC-klagomål mail.docx", "A 1182-2022")</f>
        <v/>
      </c>
      <c r="X8">
        <f>HYPERLINK("https://klasma.github.io/Logging_1981/tillsyn/A 1182-2022 tillsynsbegäran.docx", "A 1182-2022")</f>
        <v/>
      </c>
      <c r="Y8">
        <f>HYPERLINK("https://klasma.github.io/Logging_1981/tillsynsmail/A 1182-2022 tillsynsbegäran mail.docx", "A 1182-2022")</f>
        <v/>
      </c>
    </row>
    <row r="9" ht="15" customHeight="1">
      <c r="A9" t="inlineStr">
        <is>
          <t>A 26774-2021</t>
        </is>
      </c>
      <c r="B9" s="1" t="n">
        <v>44349</v>
      </c>
      <c r="C9" s="1" t="n">
        <v>45292</v>
      </c>
      <c r="D9" t="inlineStr">
        <is>
          <t>VÄSTMANLANDS LÄN</t>
        </is>
      </c>
      <c r="E9" t="inlineStr">
        <is>
          <t>SALA</t>
        </is>
      </c>
      <c r="F9" t="inlineStr">
        <is>
          <t>Sveaskog</t>
        </is>
      </c>
      <c r="G9" t="n">
        <v>1.3</v>
      </c>
      <c r="H9" t="n">
        <v>2</v>
      </c>
      <c r="I9" t="n">
        <v>0</v>
      </c>
      <c r="J9" t="n">
        <v>2</v>
      </c>
      <c r="K9" t="n">
        <v>0</v>
      </c>
      <c r="L9" t="n">
        <v>0</v>
      </c>
      <c r="M9" t="n">
        <v>0</v>
      </c>
      <c r="N9" t="n">
        <v>0</v>
      </c>
      <c r="O9" t="n">
        <v>2</v>
      </c>
      <c r="P9" t="n">
        <v>0</v>
      </c>
      <c r="Q9" t="n">
        <v>4</v>
      </c>
      <c r="R9" s="2" t="inlineStr">
        <is>
          <t>Mindre bastardsvärmare
Skogshare
Åkergroda
Vanlig padda</t>
        </is>
      </c>
      <c r="S9">
        <f>HYPERLINK("https://klasma.github.io/Logging_1981/artfynd/A 26774-2021 artfynd.xlsx", "A 26774-2021")</f>
        <v/>
      </c>
      <c r="T9">
        <f>HYPERLINK("https://klasma.github.io/Logging_1981/kartor/A 26774-2021 karta.png", "A 26774-2021")</f>
        <v/>
      </c>
      <c r="V9">
        <f>HYPERLINK("https://klasma.github.io/Logging_1981/klagomål/A 26774-2021 FSC-klagomål.docx", "A 26774-2021")</f>
        <v/>
      </c>
      <c r="W9">
        <f>HYPERLINK("https://klasma.github.io/Logging_1981/klagomålsmail/A 26774-2021 FSC-klagomål mail.docx", "A 26774-2021")</f>
        <v/>
      </c>
      <c r="X9">
        <f>HYPERLINK("https://klasma.github.io/Logging_1981/tillsyn/A 26774-2021 tillsynsbegäran.docx", "A 26774-2021")</f>
        <v/>
      </c>
      <c r="Y9">
        <f>HYPERLINK("https://klasma.github.io/Logging_1981/tillsynsmail/A 26774-2021 tillsynsbegäran mail.docx", "A 26774-2021")</f>
        <v/>
      </c>
    </row>
    <row r="10" ht="15" customHeight="1">
      <c r="A10" t="inlineStr">
        <is>
          <t>A 27488-2023</t>
        </is>
      </c>
      <c r="B10" s="1" t="n">
        <v>45097</v>
      </c>
      <c r="C10" s="1" t="n">
        <v>45292</v>
      </c>
      <c r="D10" t="inlineStr">
        <is>
          <t>VÄSTMANLANDS LÄN</t>
        </is>
      </c>
      <c r="E10" t="inlineStr">
        <is>
          <t>SALA</t>
        </is>
      </c>
      <c r="G10" t="n">
        <v>9.300000000000001</v>
      </c>
      <c r="H10" t="n">
        <v>1</v>
      </c>
      <c r="I10" t="n">
        <v>3</v>
      </c>
      <c r="J10" t="n">
        <v>1</v>
      </c>
      <c r="K10" t="n">
        <v>0</v>
      </c>
      <c r="L10" t="n">
        <v>0</v>
      </c>
      <c r="M10" t="n">
        <v>0</v>
      </c>
      <c r="N10" t="n">
        <v>0</v>
      </c>
      <c r="O10" t="n">
        <v>1</v>
      </c>
      <c r="P10" t="n">
        <v>0</v>
      </c>
      <c r="Q10" t="n">
        <v>4</v>
      </c>
      <c r="R10" s="2" t="inlineStr">
        <is>
          <t>Motaggsvamp
Dropptaggsvamp
Plattlummer
Tallfingersvamp</t>
        </is>
      </c>
      <c r="S10">
        <f>HYPERLINK("https://klasma.github.io/Logging_1981/artfynd/A 27488-2023 artfynd.xlsx", "A 27488-2023")</f>
        <v/>
      </c>
      <c r="T10">
        <f>HYPERLINK("https://klasma.github.io/Logging_1981/kartor/A 27488-2023 karta.png", "A 27488-2023")</f>
        <v/>
      </c>
      <c r="V10">
        <f>HYPERLINK("https://klasma.github.io/Logging_1981/klagomål/A 27488-2023 FSC-klagomål.docx", "A 27488-2023")</f>
        <v/>
      </c>
      <c r="W10">
        <f>HYPERLINK("https://klasma.github.io/Logging_1981/klagomålsmail/A 27488-2023 FSC-klagomål mail.docx", "A 27488-2023")</f>
        <v/>
      </c>
      <c r="X10">
        <f>HYPERLINK("https://klasma.github.io/Logging_1981/tillsyn/A 27488-2023 tillsynsbegäran.docx", "A 27488-2023")</f>
        <v/>
      </c>
      <c r="Y10">
        <f>HYPERLINK("https://klasma.github.io/Logging_1981/tillsynsmail/A 27488-2023 tillsynsbegäran mail.docx", "A 27488-2023")</f>
        <v/>
      </c>
    </row>
    <row r="11" ht="15" customHeight="1">
      <c r="A11" t="inlineStr">
        <is>
          <t>A 55259-2023</t>
        </is>
      </c>
      <c r="B11" s="1" t="n">
        <v>45237</v>
      </c>
      <c r="C11" s="1" t="n">
        <v>45292</v>
      </c>
      <c r="D11" t="inlineStr">
        <is>
          <t>VÄSTMANLANDS LÄN</t>
        </is>
      </c>
      <c r="E11" t="inlineStr">
        <is>
          <t>SALA</t>
        </is>
      </c>
      <c r="G11" t="n">
        <v>1.6</v>
      </c>
      <c r="H11" t="n">
        <v>1</v>
      </c>
      <c r="I11" t="n">
        <v>1</v>
      </c>
      <c r="J11" t="n">
        <v>2</v>
      </c>
      <c r="K11" t="n">
        <v>1</v>
      </c>
      <c r="L11" t="n">
        <v>0</v>
      </c>
      <c r="M11" t="n">
        <v>0</v>
      </c>
      <c r="N11" t="n">
        <v>0</v>
      </c>
      <c r="O11" t="n">
        <v>3</v>
      </c>
      <c r="P11" t="n">
        <v>1</v>
      </c>
      <c r="Q11" t="n">
        <v>4</v>
      </c>
      <c r="R11" s="2" t="inlineStr">
        <is>
          <t>Knärot
Dofttaggsvamp
Gul taggsvamp
Skarp dropptaggsvamp</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66088-2019</t>
        </is>
      </c>
      <c r="B12" s="1" t="n">
        <v>43807</v>
      </c>
      <c r="C12" s="1" t="n">
        <v>45292</v>
      </c>
      <c r="D12" t="inlineStr">
        <is>
          <t>VÄSTMANLANDS LÄN</t>
        </is>
      </c>
      <c r="E12" t="inlineStr">
        <is>
          <t>SALA</t>
        </is>
      </c>
      <c r="G12" t="n">
        <v>6.4</v>
      </c>
      <c r="H12" t="n">
        <v>0</v>
      </c>
      <c r="I12" t="n">
        <v>1</v>
      </c>
      <c r="J12" t="n">
        <v>2</v>
      </c>
      <c r="K12" t="n">
        <v>0</v>
      </c>
      <c r="L12" t="n">
        <v>0</v>
      </c>
      <c r="M12" t="n">
        <v>0</v>
      </c>
      <c r="N12" t="n">
        <v>0</v>
      </c>
      <c r="O12" t="n">
        <v>2</v>
      </c>
      <c r="P12" t="n">
        <v>0</v>
      </c>
      <c r="Q12" t="n">
        <v>3</v>
      </c>
      <c r="R12" s="2" t="inlineStr">
        <is>
          <t>Ullticka
Vedtrappmossa
Flagellkvastmossa</t>
        </is>
      </c>
      <c r="S12">
        <f>HYPERLINK("https://klasma.github.io/Logging_1981/artfynd/A 66088-2019 artfynd.xlsx", "A 66088-2019")</f>
        <v/>
      </c>
      <c r="T12">
        <f>HYPERLINK("https://klasma.github.io/Logging_1981/kartor/A 66088-2019 karta.png", "A 66088-2019")</f>
        <v/>
      </c>
      <c r="V12">
        <f>HYPERLINK("https://klasma.github.io/Logging_1981/klagomål/A 66088-2019 FSC-klagomål.docx", "A 66088-2019")</f>
        <v/>
      </c>
      <c r="W12">
        <f>HYPERLINK("https://klasma.github.io/Logging_1981/klagomålsmail/A 66088-2019 FSC-klagomål mail.docx", "A 66088-2019")</f>
        <v/>
      </c>
      <c r="X12">
        <f>HYPERLINK("https://klasma.github.io/Logging_1981/tillsyn/A 66088-2019 tillsynsbegäran.docx", "A 66088-2019")</f>
        <v/>
      </c>
      <c r="Y12">
        <f>HYPERLINK("https://klasma.github.io/Logging_1981/tillsynsmail/A 66088-2019 tillsynsbegäran mail.docx", "A 66088-2019")</f>
        <v/>
      </c>
    </row>
    <row r="13" ht="15" customHeight="1">
      <c r="A13" t="inlineStr">
        <is>
          <t>A 62768-2021</t>
        </is>
      </c>
      <c r="B13" s="1" t="n">
        <v>44504</v>
      </c>
      <c r="C13" s="1" t="n">
        <v>45292</v>
      </c>
      <c r="D13" t="inlineStr">
        <is>
          <t>VÄSTMANLANDS LÄN</t>
        </is>
      </c>
      <c r="E13" t="inlineStr">
        <is>
          <t>SALA</t>
        </is>
      </c>
      <c r="G13" t="n">
        <v>12.9</v>
      </c>
      <c r="H13" t="n">
        <v>1</v>
      </c>
      <c r="I13" t="n">
        <v>1</v>
      </c>
      <c r="J13" t="n">
        <v>1</v>
      </c>
      <c r="K13" t="n">
        <v>1</v>
      </c>
      <c r="L13" t="n">
        <v>0</v>
      </c>
      <c r="M13" t="n">
        <v>0</v>
      </c>
      <c r="N13" t="n">
        <v>0</v>
      </c>
      <c r="O13" t="n">
        <v>2</v>
      </c>
      <c r="P13" t="n">
        <v>1</v>
      </c>
      <c r="Q13" t="n">
        <v>3</v>
      </c>
      <c r="R13" s="2" t="inlineStr">
        <is>
          <t>Knärot
Vedtrappmossa
Grönpyrola</t>
        </is>
      </c>
      <c r="S13">
        <f>HYPERLINK("https://klasma.github.io/Logging_1981/artfynd/A 62768-2021 artfynd.xlsx", "A 62768-2021")</f>
        <v/>
      </c>
      <c r="T13">
        <f>HYPERLINK("https://klasma.github.io/Logging_1981/kartor/A 62768-2021 karta.png", "A 62768-2021")</f>
        <v/>
      </c>
      <c r="U13">
        <f>HYPERLINK("https://klasma.github.io/Logging_1981/knärot/A 62768-2021 karta knärot.png", "A 62768-2021")</f>
        <v/>
      </c>
      <c r="V13">
        <f>HYPERLINK("https://klasma.github.io/Logging_1981/klagomål/A 62768-2021 FSC-klagomål.docx", "A 62768-2021")</f>
        <v/>
      </c>
      <c r="W13">
        <f>HYPERLINK("https://klasma.github.io/Logging_1981/klagomålsmail/A 62768-2021 FSC-klagomål mail.docx", "A 62768-2021")</f>
        <v/>
      </c>
      <c r="X13">
        <f>HYPERLINK("https://klasma.github.io/Logging_1981/tillsyn/A 62768-2021 tillsynsbegäran.docx", "A 62768-2021")</f>
        <v/>
      </c>
      <c r="Y13">
        <f>HYPERLINK("https://klasma.github.io/Logging_1981/tillsynsmail/A 62768-2021 tillsynsbegäran mail.docx", "A 62768-2021")</f>
        <v/>
      </c>
    </row>
    <row r="14" ht="15" customHeight="1">
      <c r="A14" t="inlineStr">
        <is>
          <t>A 58714-2018</t>
        </is>
      </c>
      <c r="B14" s="1" t="n">
        <v>43410</v>
      </c>
      <c r="C14" s="1" t="n">
        <v>45292</v>
      </c>
      <c r="D14" t="inlineStr">
        <is>
          <t>VÄSTMANLANDS LÄN</t>
        </is>
      </c>
      <c r="E14" t="inlineStr">
        <is>
          <t>SALA</t>
        </is>
      </c>
      <c r="F14" t="inlineStr">
        <is>
          <t>Kommuner</t>
        </is>
      </c>
      <c r="G14" t="n">
        <v>8.4</v>
      </c>
      <c r="H14" t="n">
        <v>0</v>
      </c>
      <c r="I14" t="n">
        <v>2</v>
      </c>
      <c r="J14" t="n">
        <v>0</v>
      </c>
      <c r="K14" t="n">
        <v>0</v>
      </c>
      <c r="L14" t="n">
        <v>0</v>
      </c>
      <c r="M14" t="n">
        <v>0</v>
      </c>
      <c r="N14" t="n">
        <v>0</v>
      </c>
      <c r="O14" t="n">
        <v>0</v>
      </c>
      <c r="P14" t="n">
        <v>0</v>
      </c>
      <c r="Q14" t="n">
        <v>2</v>
      </c>
      <c r="R14" s="2" t="inlineStr">
        <is>
          <t>Grönpyrola
Svavelriska</t>
        </is>
      </c>
      <c r="S14">
        <f>HYPERLINK("https://klasma.github.io/Logging_1981/artfynd/A 58714-2018 artfynd.xlsx", "A 58714-2018")</f>
        <v/>
      </c>
      <c r="T14">
        <f>HYPERLINK("https://klasma.github.io/Logging_1981/kartor/A 58714-2018 karta.png", "A 58714-2018")</f>
        <v/>
      </c>
      <c r="V14">
        <f>HYPERLINK("https://klasma.github.io/Logging_1981/klagomål/A 58714-2018 FSC-klagomål.docx", "A 58714-2018")</f>
        <v/>
      </c>
      <c r="W14">
        <f>HYPERLINK("https://klasma.github.io/Logging_1981/klagomålsmail/A 58714-2018 FSC-klagomål mail.docx", "A 58714-2018")</f>
        <v/>
      </c>
      <c r="X14">
        <f>HYPERLINK("https://klasma.github.io/Logging_1981/tillsyn/A 58714-2018 tillsynsbegäran.docx", "A 58714-2018")</f>
        <v/>
      </c>
      <c r="Y14">
        <f>HYPERLINK("https://klasma.github.io/Logging_1981/tillsynsmail/A 58714-2018 tillsynsbegäran mail.docx", "A 58714-2018")</f>
        <v/>
      </c>
    </row>
    <row r="15" ht="15" customHeight="1">
      <c r="A15" t="inlineStr">
        <is>
          <t>A 35213-2019</t>
        </is>
      </c>
      <c r="B15" s="1" t="n">
        <v>43662</v>
      </c>
      <c r="C15" s="1" t="n">
        <v>45292</v>
      </c>
      <c r="D15" t="inlineStr">
        <is>
          <t>VÄSTMANLANDS LÄN</t>
        </is>
      </c>
      <c r="E15" t="inlineStr">
        <is>
          <t>SALA</t>
        </is>
      </c>
      <c r="G15" t="n">
        <v>44.3</v>
      </c>
      <c r="H15" t="n">
        <v>1</v>
      </c>
      <c r="I15" t="n">
        <v>1</v>
      </c>
      <c r="J15" t="n">
        <v>1</v>
      </c>
      <c r="K15" t="n">
        <v>0</v>
      </c>
      <c r="L15" t="n">
        <v>0</v>
      </c>
      <c r="M15" t="n">
        <v>0</v>
      </c>
      <c r="N15" t="n">
        <v>0</v>
      </c>
      <c r="O15" t="n">
        <v>1</v>
      </c>
      <c r="P15" t="n">
        <v>0</v>
      </c>
      <c r="Q15" t="n">
        <v>2</v>
      </c>
      <c r="R15" s="2" t="inlineStr">
        <is>
          <t>Järpe
Mörk husmossa</t>
        </is>
      </c>
      <c r="S15">
        <f>HYPERLINK("https://klasma.github.io/Logging_1981/artfynd/A 35213-2019 artfynd.xlsx", "A 35213-2019")</f>
        <v/>
      </c>
      <c r="T15">
        <f>HYPERLINK("https://klasma.github.io/Logging_1981/kartor/A 35213-2019 karta.png", "A 35213-2019")</f>
        <v/>
      </c>
      <c r="U15">
        <f>HYPERLINK("https://klasma.github.io/Logging_1981/knärot/A 35213-2019 karta knärot.png", "A 35213-2019")</f>
        <v/>
      </c>
      <c r="V15">
        <f>HYPERLINK("https://klasma.github.io/Logging_1981/klagomål/A 35213-2019 FSC-klagomål.docx", "A 35213-2019")</f>
        <v/>
      </c>
      <c r="W15">
        <f>HYPERLINK("https://klasma.github.io/Logging_1981/klagomålsmail/A 35213-2019 FSC-klagomål mail.docx", "A 35213-2019")</f>
        <v/>
      </c>
      <c r="X15">
        <f>HYPERLINK("https://klasma.github.io/Logging_1981/tillsyn/A 35213-2019 tillsynsbegäran.docx", "A 35213-2019")</f>
        <v/>
      </c>
      <c r="Y15">
        <f>HYPERLINK("https://klasma.github.io/Logging_1981/tillsynsmail/A 35213-2019 tillsynsbegäran mail.docx", "A 35213-2019")</f>
        <v/>
      </c>
    </row>
    <row r="16" ht="15" customHeight="1">
      <c r="A16" t="inlineStr">
        <is>
          <t>A 59152-2019</t>
        </is>
      </c>
      <c r="B16" s="1" t="n">
        <v>43775</v>
      </c>
      <c r="C16" s="1" t="n">
        <v>45292</v>
      </c>
      <c r="D16" t="inlineStr">
        <is>
          <t>VÄSTMANLANDS LÄN</t>
        </is>
      </c>
      <c r="E16" t="inlineStr">
        <is>
          <t>SALA</t>
        </is>
      </c>
      <c r="F16" t="inlineStr">
        <is>
          <t>Övriga Aktiebolag</t>
        </is>
      </c>
      <c r="G16" t="n">
        <v>4.6</v>
      </c>
      <c r="H16" t="n">
        <v>0</v>
      </c>
      <c r="I16" t="n">
        <v>1</v>
      </c>
      <c r="J16" t="n">
        <v>1</v>
      </c>
      <c r="K16" t="n">
        <v>0</v>
      </c>
      <c r="L16" t="n">
        <v>0</v>
      </c>
      <c r="M16" t="n">
        <v>0</v>
      </c>
      <c r="N16" t="n">
        <v>0</v>
      </c>
      <c r="O16" t="n">
        <v>1</v>
      </c>
      <c r="P16" t="n">
        <v>0</v>
      </c>
      <c r="Q16" t="n">
        <v>2</v>
      </c>
      <c r="R16" s="2" t="inlineStr">
        <is>
          <t>Svart taggsvamp
Vedticka</t>
        </is>
      </c>
      <c r="S16">
        <f>HYPERLINK("https://klasma.github.io/Logging_1981/artfynd/A 59152-2019 artfynd.xlsx", "A 59152-2019")</f>
        <v/>
      </c>
      <c r="T16">
        <f>HYPERLINK("https://klasma.github.io/Logging_1981/kartor/A 59152-2019 karta.png", "A 59152-2019")</f>
        <v/>
      </c>
      <c r="V16">
        <f>HYPERLINK("https://klasma.github.io/Logging_1981/klagomål/A 59152-2019 FSC-klagomål.docx", "A 59152-2019")</f>
        <v/>
      </c>
      <c r="W16">
        <f>HYPERLINK("https://klasma.github.io/Logging_1981/klagomålsmail/A 59152-2019 FSC-klagomål mail.docx", "A 59152-2019")</f>
        <v/>
      </c>
      <c r="X16">
        <f>HYPERLINK("https://klasma.github.io/Logging_1981/tillsyn/A 59152-2019 tillsynsbegäran.docx", "A 59152-2019")</f>
        <v/>
      </c>
      <c r="Y16">
        <f>HYPERLINK("https://klasma.github.io/Logging_1981/tillsynsmail/A 59152-2019 tillsynsbegäran mail.docx", "A 59152-2019")</f>
        <v/>
      </c>
    </row>
    <row r="17" ht="15" customHeight="1">
      <c r="A17" t="inlineStr">
        <is>
          <t>A 54555-2021</t>
        </is>
      </c>
      <c r="B17" s="1" t="n">
        <v>44473</v>
      </c>
      <c r="C17" s="1" t="n">
        <v>45292</v>
      </c>
      <c r="D17" t="inlineStr">
        <is>
          <t>VÄSTMANLANDS LÄN</t>
        </is>
      </c>
      <c r="E17" t="inlineStr">
        <is>
          <t>SALA</t>
        </is>
      </c>
      <c r="G17" t="n">
        <v>13</v>
      </c>
      <c r="H17" t="n">
        <v>0</v>
      </c>
      <c r="I17" t="n">
        <v>1</v>
      </c>
      <c r="J17" t="n">
        <v>1</v>
      </c>
      <c r="K17" t="n">
        <v>0</v>
      </c>
      <c r="L17" t="n">
        <v>0</v>
      </c>
      <c r="M17" t="n">
        <v>0</v>
      </c>
      <c r="N17" t="n">
        <v>0</v>
      </c>
      <c r="O17" t="n">
        <v>1</v>
      </c>
      <c r="P17" t="n">
        <v>0</v>
      </c>
      <c r="Q17" t="n">
        <v>2</v>
      </c>
      <c r="R17" s="2" t="inlineStr">
        <is>
          <t>Storgröe
Stubbspretmossa</t>
        </is>
      </c>
      <c r="S17">
        <f>HYPERLINK("https://klasma.github.io/Logging_1981/artfynd/A 54555-2021 artfynd.xlsx", "A 54555-2021")</f>
        <v/>
      </c>
      <c r="T17">
        <f>HYPERLINK("https://klasma.github.io/Logging_1981/kartor/A 54555-2021 karta.png", "A 54555-2021")</f>
        <v/>
      </c>
      <c r="V17">
        <f>HYPERLINK("https://klasma.github.io/Logging_1981/klagomål/A 54555-2021 FSC-klagomål.docx", "A 54555-2021")</f>
        <v/>
      </c>
      <c r="W17">
        <f>HYPERLINK("https://klasma.github.io/Logging_1981/klagomålsmail/A 54555-2021 FSC-klagomål mail.docx", "A 54555-2021")</f>
        <v/>
      </c>
      <c r="X17">
        <f>HYPERLINK("https://klasma.github.io/Logging_1981/tillsyn/A 54555-2021 tillsynsbegäran.docx", "A 54555-2021")</f>
        <v/>
      </c>
      <c r="Y17">
        <f>HYPERLINK("https://klasma.github.io/Logging_1981/tillsynsmail/A 54555-2021 tillsynsbegäran mail.docx", "A 54555-2021")</f>
        <v/>
      </c>
    </row>
    <row r="18" ht="15" customHeight="1">
      <c r="A18" t="inlineStr">
        <is>
          <t>A 73598-2021</t>
        </is>
      </c>
      <c r="B18" s="1" t="n">
        <v>44552</v>
      </c>
      <c r="C18" s="1" t="n">
        <v>45292</v>
      </c>
      <c r="D18" t="inlineStr">
        <is>
          <t>VÄSTMANLANDS LÄN</t>
        </is>
      </c>
      <c r="E18" t="inlineStr">
        <is>
          <t>SALA</t>
        </is>
      </c>
      <c r="G18" t="n">
        <v>1.3</v>
      </c>
      <c r="H18" t="n">
        <v>1</v>
      </c>
      <c r="I18" t="n">
        <v>1</v>
      </c>
      <c r="J18" t="n">
        <v>0</v>
      </c>
      <c r="K18" t="n">
        <v>0</v>
      </c>
      <c r="L18" t="n">
        <v>0</v>
      </c>
      <c r="M18" t="n">
        <v>0</v>
      </c>
      <c r="N18" t="n">
        <v>0</v>
      </c>
      <c r="O18" t="n">
        <v>0</v>
      </c>
      <c r="P18" t="n">
        <v>0</v>
      </c>
      <c r="Q18" t="n">
        <v>2</v>
      </c>
      <c r="R18" s="2" t="inlineStr">
        <is>
          <t>Kryddspindling
Blåsippa</t>
        </is>
      </c>
      <c r="S18">
        <f>HYPERLINK("https://klasma.github.io/Logging_1981/artfynd/A 73598-2021 artfynd.xlsx", "A 73598-2021")</f>
        <v/>
      </c>
      <c r="T18">
        <f>HYPERLINK("https://klasma.github.io/Logging_1981/kartor/A 73598-2021 karta.png", "A 73598-2021")</f>
        <v/>
      </c>
      <c r="V18">
        <f>HYPERLINK("https://klasma.github.io/Logging_1981/klagomål/A 73598-2021 FSC-klagomål.docx", "A 73598-2021")</f>
        <v/>
      </c>
      <c r="W18">
        <f>HYPERLINK("https://klasma.github.io/Logging_1981/klagomålsmail/A 73598-2021 FSC-klagomål mail.docx", "A 73598-2021")</f>
        <v/>
      </c>
      <c r="X18">
        <f>HYPERLINK("https://klasma.github.io/Logging_1981/tillsyn/A 73598-2021 tillsynsbegäran.docx", "A 73598-2021")</f>
        <v/>
      </c>
      <c r="Y18">
        <f>HYPERLINK("https://klasma.github.io/Logging_1981/tillsynsmail/A 73598-2021 tillsynsbegäran mail.docx", "A 73598-2021")</f>
        <v/>
      </c>
    </row>
    <row r="19" ht="15" customHeight="1">
      <c r="A19" t="inlineStr">
        <is>
          <t>A 52909-2022</t>
        </is>
      </c>
      <c r="B19" s="1" t="n">
        <v>44875</v>
      </c>
      <c r="C19" s="1" t="n">
        <v>45292</v>
      </c>
      <c r="D19" t="inlineStr">
        <is>
          <t>VÄSTMANLANDS LÄN</t>
        </is>
      </c>
      <c r="E19" t="inlineStr">
        <is>
          <t>SALA</t>
        </is>
      </c>
      <c r="G19" t="n">
        <v>0.5</v>
      </c>
      <c r="H19" t="n">
        <v>1</v>
      </c>
      <c r="I19" t="n">
        <v>0</v>
      </c>
      <c r="J19" t="n">
        <v>1</v>
      </c>
      <c r="K19" t="n">
        <v>0</v>
      </c>
      <c r="L19" t="n">
        <v>0</v>
      </c>
      <c r="M19" t="n">
        <v>0</v>
      </c>
      <c r="N19" t="n">
        <v>0</v>
      </c>
      <c r="O19" t="n">
        <v>1</v>
      </c>
      <c r="P19" t="n">
        <v>0</v>
      </c>
      <c r="Q19" t="n">
        <v>2</v>
      </c>
      <c r="R19" s="2" t="inlineStr">
        <is>
          <t>Svinrot
Nattviol</t>
        </is>
      </c>
      <c r="S19">
        <f>HYPERLINK("https://klasma.github.io/Logging_1981/artfynd/A 52909-2022 artfynd.xlsx", "A 52909-2022")</f>
        <v/>
      </c>
      <c r="T19">
        <f>HYPERLINK("https://klasma.github.io/Logging_1981/kartor/A 52909-2022 karta.png", "A 52909-2022")</f>
        <v/>
      </c>
      <c r="V19">
        <f>HYPERLINK("https://klasma.github.io/Logging_1981/klagomål/A 52909-2022 FSC-klagomål.docx", "A 52909-2022")</f>
        <v/>
      </c>
      <c r="W19">
        <f>HYPERLINK("https://klasma.github.io/Logging_1981/klagomålsmail/A 52909-2022 FSC-klagomål mail.docx", "A 52909-2022")</f>
        <v/>
      </c>
      <c r="X19">
        <f>HYPERLINK("https://klasma.github.io/Logging_1981/tillsyn/A 52909-2022 tillsynsbegäran.docx", "A 52909-2022")</f>
        <v/>
      </c>
      <c r="Y19">
        <f>HYPERLINK("https://klasma.github.io/Logging_1981/tillsynsmail/A 52909-2022 tillsynsbegäran mail.docx", "A 52909-2022")</f>
        <v/>
      </c>
    </row>
    <row r="20" ht="15" customHeight="1">
      <c r="A20" t="inlineStr">
        <is>
          <t>A 13029-2023</t>
        </is>
      </c>
      <c r="B20" s="1" t="n">
        <v>45001</v>
      </c>
      <c r="C20" s="1" t="n">
        <v>45292</v>
      </c>
      <c r="D20" t="inlineStr">
        <is>
          <t>VÄSTMANLANDS LÄN</t>
        </is>
      </c>
      <c r="E20" t="inlineStr">
        <is>
          <t>SALA</t>
        </is>
      </c>
      <c r="G20" t="n">
        <v>2</v>
      </c>
      <c r="H20" t="n">
        <v>0</v>
      </c>
      <c r="I20" t="n">
        <v>0</v>
      </c>
      <c r="J20" t="n">
        <v>2</v>
      </c>
      <c r="K20" t="n">
        <v>0</v>
      </c>
      <c r="L20" t="n">
        <v>0</v>
      </c>
      <c r="M20" t="n">
        <v>0</v>
      </c>
      <c r="N20" t="n">
        <v>0</v>
      </c>
      <c r="O20" t="n">
        <v>2</v>
      </c>
      <c r="P20" t="n">
        <v>0</v>
      </c>
      <c r="Q20" t="n">
        <v>2</v>
      </c>
      <c r="R20" s="2" t="inlineStr">
        <is>
          <t>Krusfrö
Linmåra/småsnärjmåra</t>
        </is>
      </c>
      <c r="S20">
        <f>HYPERLINK("https://klasma.github.io/Logging_1981/artfynd/A 13029-2023 artfynd.xlsx", "A 13029-2023")</f>
        <v/>
      </c>
      <c r="T20">
        <f>HYPERLINK("https://klasma.github.io/Logging_1981/kartor/A 13029-2023 karta.png", "A 13029-2023")</f>
        <v/>
      </c>
      <c r="V20">
        <f>HYPERLINK("https://klasma.github.io/Logging_1981/klagomål/A 13029-2023 FSC-klagomål.docx", "A 13029-2023")</f>
        <v/>
      </c>
      <c r="W20">
        <f>HYPERLINK("https://klasma.github.io/Logging_1981/klagomålsmail/A 13029-2023 FSC-klagomål mail.docx", "A 13029-2023")</f>
        <v/>
      </c>
      <c r="X20">
        <f>HYPERLINK("https://klasma.github.io/Logging_1981/tillsyn/A 13029-2023 tillsynsbegäran.docx", "A 13029-2023")</f>
        <v/>
      </c>
      <c r="Y20">
        <f>HYPERLINK("https://klasma.github.io/Logging_1981/tillsynsmail/A 13029-2023 tillsynsbegäran mail.docx", "A 13029-2023")</f>
        <v/>
      </c>
    </row>
    <row r="21" ht="15" customHeight="1">
      <c r="A21" t="inlineStr">
        <is>
          <t>A 27499-2023</t>
        </is>
      </c>
      <c r="B21" s="1" t="n">
        <v>45097</v>
      </c>
      <c r="C21" s="1" t="n">
        <v>45292</v>
      </c>
      <c r="D21" t="inlineStr">
        <is>
          <t>VÄSTMANLANDS LÄN</t>
        </is>
      </c>
      <c r="E21" t="inlineStr">
        <is>
          <t>SALA</t>
        </is>
      </c>
      <c r="G21" t="n">
        <v>9.5</v>
      </c>
      <c r="H21" t="n">
        <v>0</v>
      </c>
      <c r="I21" t="n">
        <v>1</v>
      </c>
      <c r="J21" t="n">
        <v>1</v>
      </c>
      <c r="K21" t="n">
        <v>0</v>
      </c>
      <c r="L21" t="n">
        <v>0</v>
      </c>
      <c r="M21" t="n">
        <v>0</v>
      </c>
      <c r="N21" t="n">
        <v>0</v>
      </c>
      <c r="O21" t="n">
        <v>1</v>
      </c>
      <c r="P21" t="n">
        <v>0</v>
      </c>
      <c r="Q21" t="n">
        <v>2</v>
      </c>
      <c r="R21" s="2" t="inlineStr">
        <is>
          <t>Motaggsvamp
Dropptaggsvamp</t>
        </is>
      </c>
      <c r="S21">
        <f>HYPERLINK("https://klasma.github.io/Logging_1981/artfynd/A 27499-2023 artfynd.xlsx", "A 27499-2023")</f>
        <v/>
      </c>
      <c r="T21">
        <f>HYPERLINK("https://klasma.github.io/Logging_1981/kartor/A 27499-2023 karta.png", "A 27499-2023")</f>
        <v/>
      </c>
      <c r="V21">
        <f>HYPERLINK("https://klasma.github.io/Logging_1981/klagomål/A 27499-2023 FSC-klagomål.docx", "A 27499-2023")</f>
        <v/>
      </c>
      <c r="W21">
        <f>HYPERLINK("https://klasma.github.io/Logging_1981/klagomålsmail/A 27499-2023 FSC-klagomål mail.docx", "A 27499-2023")</f>
        <v/>
      </c>
      <c r="X21">
        <f>HYPERLINK("https://klasma.github.io/Logging_1981/tillsyn/A 27499-2023 tillsynsbegäran.docx", "A 27499-2023")</f>
        <v/>
      </c>
      <c r="Y21">
        <f>HYPERLINK("https://klasma.github.io/Logging_1981/tillsynsmail/A 27499-2023 tillsynsbegäran mail.docx", "A 27499-2023")</f>
        <v/>
      </c>
    </row>
    <row r="22" ht="15" customHeight="1">
      <c r="A22" t="inlineStr">
        <is>
          <t>A 59780-2023</t>
        </is>
      </c>
      <c r="B22" s="1" t="n">
        <v>45257</v>
      </c>
      <c r="C22" s="1" t="n">
        <v>45292</v>
      </c>
      <c r="D22" t="inlineStr">
        <is>
          <t>VÄSTMANLANDS LÄN</t>
        </is>
      </c>
      <c r="E22" t="inlineStr">
        <is>
          <t>SALA</t>
        </is>
      </c>
      <c r="G22" t="n">
        <v>5.9</v>
      </c>
      <c r="H22" t="n">
        <v>1</v>
      </c>
      <c r="I22" t="n">
        <v>0</v>
      </c>
      <c r="J22" t="n">
        <v>1</v>
      </c>
      <c r="K22" t="n">
        <v>1</v>
      </c>
      <c r="L22" t="n">
        <v>0</v>
      </c>
      <c r="M22" t="n">
        <v>0</v>
      </c>
      <c r="N22" t="n">
        <v>0</v>
      </c>
      <c r="O22" t="n">
        <v>2</v>
      </c>
      <c r="P22" t="n">
        <v>1</v>
      </c>
      <c r="Q22" t="n">
        <v>2</v>
      </c>
      <c r="R22" s="2" t="inlineStr">
        <is>
          <t>Knärot
Vedtrappmossa</t>
        </is>
      </c>
      <c r="S22">
        <f>HYPERLINK("https://klasma.github.io/Logging_1981/artfynd/A 59780-2023 artfynd.xlsx", "A 59780-2023")</f>
        <v/>
      </c>
      <c r="T22">
        <f>HYPERLINK("https://klasma.github.io/Logging_1981/kartor/A 59780-2023 karta.png", "A 59780-2023")</f>
        <v/>
      </c>
      <c r="U22">
        <f>HYPERLINK("https://klasma.github.io/Logging_1981/knärot/A 59780-2023 karta knärot.png", "A 59780-2023")</f>
        <v/>
      </c>
      <c r="V22">
        <f>HYPERLINK("https://klasma.github.io/Logging_1981/klagomål/A 59780-2023 FSC-klagomål.docx", "A 59780-2023")</f>
        <v/>
      </c>
      <c r="W22">
        <f>HYPERLINK("https://klasma.github.io/Logging_1981/klagomålsmail/A 59780-2023 FSC-klagomål mail.docx", "A 59780-2023")</f>
        <v/>
      </c>
      <c r="X22">
        <f>HYPERLINK("https://klasma.github.io/Logging_1981/tillsyn/A 59780-2023 tillsynsbegäran.docx", "A 59780-2023")</f>
        <v/>
      </c>
      <c r="Y22">
        <f>HYPERLINK("https://klasma.github.io/Logging_1981/tillsynsmail/A 59780-2023 tillsynsbegäran mail.docx", "A 59780-2023")</f>
        <v/>
      </c>
    </row>
    <row r="23" ht="15" customHeight="1">
      <c r="A23" t="inlineStr">
        <is>
          <t>A 43457-2018</t>
        </is>
      </c>
      <c r="B23" s="1" t="n">
        <v>43356</v>
      </c>
      <c r="C23" s="1" t="n">
        <v>45292</v>
      </c>
      <c r="D23" t="inlineStr">
        <is>
          <t>VÄSTMANLANDS LÄN</t>
        </is>
      </c>
      <c r="E23" t="inlineStr">
        <is>
          <t>SALA</t>
        </is>
      </c>
      <c r="G23" t="n">
        <v>2.6</v>
      </c>
      <c r="H23" t="n">
        <v>0</v>
      </c>
      <c r="I23" t="n">
        <v>0</v>
      </c>
      <c r="J23" t="n">
        <v>1</v>
      </c>
      <c r="K23" t="n">
        <v>0</v>
      </c>
      <c r="L23" t="n">
        <v>0</v>
      </c>
      <c r="M23" t="n">
        <v>0</v>
      </c>
      <c r="N23" t="n">
        <v>0</v>
      </c>
      <c r="O23" t="n">
        <v>1</v>
      </c>
      <c r="P23" t="n">
        <v>0</v>
      </c>
      <c r="Q23" t="n">
        <v>1</v>
      </c>
      <c r="R23" s="2" t="inlineStr">
        <is>
          <t>Ullticka</t>
        </is>
      </c>
      <c r="S23">
        <f>HYPERLINK("https://klasma.github.io/Logging_1981/artfynd/A 43457-2018 artfynd.xlsx", "A 43457-2018")</f>
        <v/>
      </c>
      <c r="T23">
        <f>HYPERLINK("https://klasma.github.io/Logging_1981/kartor/A 43457-2018 karta.png", "A 43457-2018")</f>
        <v/>
      </c>
      <c r="V23">
        <f>HYPERLINK("https://klasma.github.io/Logging_1981/klagomål/A 43457-2018 FSC-klagomål.docx", "A 43457-2018")</f>
        <v/>
      </c>
      <c r="W23">
        <f>HYPERLINK("https://klasma.github.io/Logging_1981/klagomålsmail/A 43457-2018 FSC-klagomål mail.docx", "A 43457-2018")</f>
        <v/>
      </c>
      <c r="X23">
        <f>HYPERLINK("https://klasma.github.io/Logging_1981/tillsyn/A 43457-2018 tillsynsbegäran.docx", "A 43457-2018")</f>
        <v/>
      </c>
      <c r="Y23">
        <f>HYPERLINK("https://klasma.github.io/Logging_1981/tillsynsmail/A 43457-2018 tillsynsbegäran mail.docx", "A 43457-2018")</f>
        <v/>
      </c>
    </row>
    <row r="24" ht="15" customHeight="1">
      <c r="A24" t="inlineStr">
        <is>
          <t>A 8494-2019</t>
        </is>
      </c>
      <c r="B24" s="1" t="n">
        <v>43502</v>
      </c>
      <c r="C24" s="1" t="n">
        <v>45292</v>
      </c>
      <c r="D24" t="inlineStr">
        <is>
          <t>VÄSTMANLANDS LÄN</t>
        </is>
      </c>
      <c r="E24" t="inlineStr">
        <is>
          <t>SALA</t>
        </is>
      </c>
      <c r="F24" t="inlineStr">
        <is>
          <t>Kommuner</t>
        </is>
      </c>
      <c r="G24" t="n">
        <v>58.6</v>
      </c>
      <c r="H24" t="n">
        <v>1</v>
      </c>
      <c r="I24" t="n">
        <v>0</v>
      </c>
      <c r="J24" t="n">
        <v>1</v>
      </c>
      <c r="K24" t="n">
        <v>0</v>
      </c>
      <c r="L24" t="n">
        <v>0</v>
      </c>
      <c r="M24" t="n">
        <v>0</v>
      </c>
      <c r="N24" t="n">
        <v>0</v>
      </c>
      <c r="O24" t="n">
        <v>1</v>
      </c>
      <c r="P24" t="n">
        <v>0</v>
      </c>
      <c r="Q24" t="n">
        <v>1</v>
      </c>
      <c r="R24" s="2" t="inlineStr">
        <is>
          <t>Mindre hackspett</t>
        </is>
      </c>
      <c r="S24">
        <f>HYPERLINK("https://klasma.github.io/Logging_1981/artfynd/A 8494-2019 artfynd.xlsx", "A 8494-2019")</f>
        <v/>
      </c>
      <c r="T24">
        <f>HYPERLINK("https://klasma.github.io/Logging_1981/kartor/A 8494-2019 karta.png", "A 8494-2019")</f>
        <v/>
      </c>
      <c r="V24">
        <f>HYPERLINK("https://klasma.github.io/Logging_1981/klagomål/A 8494-2019 FSC-klagomål.docx", "A 8494-2019")</f>
        <v/>
      </c>
      <c r="W24">
        <f>HYPERLINK("https://klasma.github.io/Logging_1981/klagomålsmail/A 8494-2019 FSC-klagomål mail.docx", "A 8494-2019")</f>
        <v/>
      </c>
      <c r="X24">
        <f>HYPERLINK("https://klasma.github.io/Logging_1981/tillsyn/A 8494-2019 tillsynsbegäran.docx", "A 8494-2019")</f>
        <v/>
      </c>
      <c r="Y24">
        <f>HYPERLINK("https://klasma.github.io/Logging_1981/tillsynsmail/A 8494-2019 tillsynsbegäran mail.docx", "A 8494-2019")</f>
        <v/>
      </c>
    </row>
    <row r="25" ht="15" customHeight="1">
      <c r="A25" t="inlineStr">
        <is>
          <t>A 13519-2019</t>
        </is>
      </c>
      <c r="B25" s="1" t="n">
        <v>43529</v>
      </c>
      <c r="C25" s="1" t="n">
        <v>45292</v>
      </c>
      <c r="D25" t="inlineStr">
        <is>
          <t>VÄSTMANLANDS LÄN</t>
        </is>
      </c>
      <c r="E25" t="inlineStr">
        <is>
          <t>SALA</t>
        </is>
      </c>
      <c r="G25" t="n">
        <v>6.3</v>
      </c>
      <c r="H25" t="n">
        <v>0</v>
      </c>
      <c r="I25" t="n">
        <v>0</v>
      </c>
      <c r="J25" t="n">
        <v>1</v>
      </c>
      <c r="K25" t="n">
        <v>0</v>
      </c>
      <c r="L25" t="n">
        <v>0</v>
      </c>
      <c r="M25" t="n">
        <v>0</v>
      </c>
      <c r="N25" t="n">
        <v>0</v>
      </c>
      <c r="O25" t="n">
        <v>1</v>
      </c>
      <c r="P25" t="n">
        <v>0</v>
      </c>
      <c r="Q25" t="n">
        <v>1</v>
      </c>
      <c r="R25" s="2" t="inlineStr">
        <is>
          <t>Tallticka</t>
        </is>
      </c>
      <c r="S25">
        <f>HYPERLINK("https://klasma.github.io/Logging_1981/artfynd/A 13519-2019 artfynd.xlsx", "A 13519-2019")</f>
        <v/>
      </c>
      <c r="T25">
        <f>HYPERLINK("https://klasma.github.io/Logging_1981/kartor/A 13519-2019 karta.png", "A 13519-2019")</f>
        <v/>
      </c>
      <c r="U25">
        <f>HYPERLINK("https://klasma.github.io/Logging_1981/knärot/A 13519-2019 karta knärot.png", "A 13519-2019")</f>
        <v/>
      </c>
      <c r="V25">
        <f>HYPERLINK("https://klasma.github.io/Logging_1981/klagomål/A 13519-2019 FSC-klagomål.docx", "A 13519-2019")</f>
        <v/>
      </c>
      <c r="W25">
        <f>HYPERLINK("https://klasma.github.io/Logging_1981/klagomålsmail/A 13519-2019 FSC-klagomål mail.docx", "A 13519-2019")</f>
        <v/>
      </c>
      <c r="X25">
        <f>HYPERLINK("https://klasma.github.io/Logging_1981/tillsyn/A 13519-2019 tillsynsbegäran.docx", "A 13519-2019")</f>
        <v/>
      </c>
      <c r="Y25">
        <f>HYPERLINK("https://klasma.github.io/Logging_1981/tillsynsmail/A 13519-2019 tillsynsbegäran mail.docx", "A 13519-2019")</f>
        <v/>
      </c>
    </row>
    <row r="26" ht="15" customHeight="1">
      <c r="A26" t="inlineStr">
        <is>
          <t>A 8432-2020</t>
        </is>
      </c>
      <c r="B26" s="1" t="n">
        <v>43875</v>
      </c>
      <c r="C26" s="1" t="n">
        <v>45292</v>
      </c>
      <c r="D26" t="inlineStr">
        <is>
          <t>VÄSTMANLANDS LÄN</t>
        </is>
      </c>
      <c r="E26" t="inlineStr">
        <is>
          <t>SALA</t>
        </is>
      </c>
      <c r="G26" t="n">
        <v>2</v>
      </c>
      <c r="H26" t="n">
        <v>1</v>
      </c>
      <c r="I26" t="n">
        <v>0</v>
      </c>
      <c r="J26" t="n">
        <v>0</v>
      </c>
      <c r="K26" t="n">
        <v>1</v>
      </c>
      <c r="L26" t="n">
        <v>0</v>
      </c>
      <c r="M26" t="n">
        <v>0</v>
      </c>
      <c r="N26" t="n">
        <v>0</v>
      </c>
      <c r="O26" t="n">
        <v>1</v>
      </c>
      <c r="P26" t="n">
        <v>1</v>
      </c>
      <c r="Q26" t="n">
        <v>1</v>
      </c>
      <c r="R26" s="2" t="inlineStr">
        <is>
          <t>Bombmurkla</t>
        </is>
      </c>
      <c r="S26">
        <f>HYPERLINK("https://klasma.github.io/Logging_1981/artfynd/A 8432-2020 artfynd.xlsx", "A 8432-2020")</f>
        <v/>
      </c>
      <c r="T26">
        <f>HYPERLINK("https://klasma.github.io/Logging_1981/kartor/A 8432-2020 karta.png", "A 8432-2020")</f>
        <v/>
      </c>
      <c r="V26">
        <f>HYPERLINK("https://klasma.github.io/Logging_1981/klagomål/A 8432-2020 FSC-klagomål.docx", "A 8432-2020")</f>
        <v/>
      </c>
      <c r="W26">
        <f>HYPERLINK("https://klasma.github.io/Logging_1981/klagomålsmail/A 8432-2020 FSC-klagomål mail.docx", "A 8432-2020")</f>
        <v/>
      </c>
      <c r="X26">
        <f>HYPERLINK("https://klasma.github.io/Logging_1981/tillsyn/A 8432-2020 tillsynsbegäran.docx", "A 8432-2020")</f>
        <v/>
      </c>
      <c r="Y26">
        <f>HYPERLINK("https://klasma.github.io/Logging_1981/tillsynsmail/A 8432-2020 tillsynsbegäran mail.docx", "A 8432-2020")</f>
        <v/>
      </c>
    </row>
    <row r="27" ht="15" customHeight="1">
      <c r="A27" t="inlineStr">
        <is>
          <t>A 32975-2020</t>
        </is>
      </c>
      <c r="B27" s="1" t="n">
        <v>44020</v>
      </c>
      <c r="C27" s="1" t="n">
        <v>45292</v>
      </c>
      <c r="D27" t="inlineStr">
        <is>
          <t>VÄSTMANLANDS LÄN</t>
        </is>
      </c>
      <c r="E27" t="inlineStr">
        <is>
          <t>SALA</t>
        </is>
      </c>
      <c r="G27" t="n">
        <v>10.1</v>
      </c>
      <c r="H27" t="n">
        <v>1</v>
      </c>
      <c r="I27" t="n">
        <v>0</v>
      </c>
      <c r="J27" t="n">
        <v>0</v>
      </c>
      <c r="K27" t="n">
        <v>1</v>
      </c>
      <c r="L27" t="n">
        <v>0</v>
      </c>
      <c r="M27" t="n">
        <v>0</v>
      </c>
      <c r="N27" t="n">
        <v>0</v>
      </c>
      <c r="O27" t="n">
        <v>1</v>
      </c>
      <c r="P27" t="n">
        <v>1</v>
      </c>
      <c r="Q27" t="n">
        <v>1</v>
      </c>
      <c r="R27" s="2" t="inlineStr">
        <is>
          <t>Knärot</t>
        </is>
      </c>
      <c r="S27">
        <f>HYPERLINK("https://klasma.github.io/Logging_1981/artfynd/A 32975-2020 artfynd.xlsx", "A 32975-2020")</f>
        <v/>
      </c>
      <c r="T27">
        <f>HYPERLINK("https://klasma.github.io/Logging_1981/kartor/A 32975-2020 karta.png", "A 32975-2020")</f>
        <v/>
      </c>
      <c r="U27">
        <f>HYPERLINK("https://klasma.github.io/Logging_1981/knärot/A 32975-2020 karta knärot.png", "A 32975-2020")</f>
        <v/>
      </c>
      <c r="V27">
        <f>HYPERLINK("https://klasma.github.io/Logging_1981/klagomål/A 32975-2020 FSC-klagomål.docx", "A 32975-2020")</f>
        <v/>
      </c>
      <c r="W27">
        <f>HYPERLINK("https://klasma.github.io/Logging_1981/klagomålsmail/A 32975-2020 FSC-klagomål mail.docx", "A 32975-2020")</f>
        <v/>
      </c>
      <c r="X27">
        <f>HYPERLINK("https://klasma.github.io/Logging_1981/tillsyn/A 32975-2020 tillsynsbegäran.docx", "A 32975-2020")</f>
        <v/>
      </c>
      <c r="Y27">
        <f>HYPERLINK("https://klasma.github.io/Logging_1981/tillsynsmail/A 32975-2020 tillsynsbegäran mail.docx", "A 32975-2020")</f>
        <v/>
      </c>
    </row>
    <row r="28" ht="15" customHeight="1">
      <c r="A28" t="inlineStr">
        <is>
          <t>A 39800-2020</t>
        </is>
      </c>
      <c r="B28" s="1" t="n">
        <v>44067</v>
      </c>
      <c r="C28" s="1" t="n">
        <v>45292</v>
      </c>
      <c r="D28" t="inlineStr">
        <is>
          <t>VÄSTMANLANDS LÄN</t>
        </is>
      </c>
      <c r="E28" t="inlineStr">
        <is>
          <t>SALA</t>
        </is>
      </c>
      <c r="F28" t="inlineStr">
        <is>
          <t>Sveaskog</t>
        </is>
      </c>
      <c r="G28" t="n">
        <v>1.8</v>
      </c>
      <c r="H28" t="n">
        <v>1</v>
      </c>
      <c r="I28" t="n">
        <v>0</v>
      </c>
      <c r="J28" t="n">
        <v>0</v>
      </c>
      <c r="K28" t="n">
        <v>1</v>
      </c>
      <c r="L28" t="n">
        <v>0</v>
      </c>
      <c r="M28" t="n">
        <v>0</v>
      </c>
      <c r="N28" t="n">
        <v>0</v>
      </c>
      <c r="O28" t="n">
        <v>1</v>
      </c>
      <c r="P28" t="n">
        <v>1</v>
      </c>
      <c r="Q28" t="n">
        <v>1</v>
      </c>
      <c r="R28" s="2" t="inlineStr">
        <is>
          <t>Bombmurkla</t>
        </is>
      </c>
      <c r="S28">
        <f>HYPERLINK("https://klasma.github.io/Logging_1981/artfynd/A 39800-2020 artfynd.xlsx", "A 39800-2020")</f>
        <v/>
      </c>
      <c r="T28">
        <f>HYPERLINK("https://klasma.github.io/Logging_1981/kartor/A 39800-2020 karta.png", "A 39800-2020")</f>
        <v/>
      </c>
      <c r="V28">
        <f>HYPERLINK("https://klasma.github.io/Logging_1981/klagomål/A 39800-2020 FSC-klagomål.docx", "A 39800-2020")</f>
        <v/>
      </c>
      <c r="W28">
        <f>HYPERLINK("https://klasma.github.io/Logging_1981/klagomålsmail/A 39800-2020 FSC-klagomål mail.docx", "A 39800-2020")</f>
        <v/>
      </c>
      <c r="X28">
        <f>HYPERLINK("https://klasma.github.io/Logging_1981/tillsyn/A 39800-2020 tillsynsbegäran.docx", "A 39800-2020")</f>
        <v/>
      </c>
      <c r="Y28">
        <f>HYPERLINK("https://klasma.github.io/Logging_1981/tillsynsmail/A 39800-2020 tillsynsbegäran mail.docx", "A 39800-2020")</f>
        <v/>
      </c>
    </row>
    <row r="29" ht="15" customHeight="1">
      <c r="A29" t="inlineStr">
        <is>
          <t>A 39807-2020</t>
        </is>
      </c>
      <c r="B29" s="1" t="n">
        <v>44067</v>
      </c>
      <c r="C29" s="1" t="n">
        <v>45292</v>
      </c>
      <c r="D29" t="inlineStr">
        <is>
          <t>VÄSTMANLANDS LÄN</t>
        </is>
      </c>
      <c r="E29" t="inlineStr">
        <is>
          <t>SALA</t>
        </is>
      </c>
      <c r="F29" t="inlineStr">
        <is>
          <t>Sveaskog</t>
        </is>
      </c>
      <c r="G29" t="n">
        <v>1.8</v>
      </c>
      <c r="H29" t="n">
        <v>1</v>
      </c>
      <c r="I29" t="n">
        <v>0</v>
      </c>
      <c r="J29" t="n">
        <v>0</v>
      </c>
      <c r="K29" t="n">
        <v>1</v>
      </c>
      <c r="L29" t="n">
        <v>0</v>
      </c>
      <c r="M29" t="n">
        <v>0</v>
      </c>
      <c r="N29" t="n">
        <v>0</v>
      </c>
      <c r="O29" t="n">
        <v>1</v>
      </c>
      <c r="P29" t="n">
        <v>1</v>
      </c>
      <c r="Q29" t="n">
        <v>1</v>
      </c>
      <c r="R29" s="2" t="inlineStr">
        <is>
          <t>Bombmurkla</t>
        </is>
      </c>
      <c r="S29">
        <f>HYPERLINK("https://klasma.github.io/Logging_1981/artfynd/A 39807-2020 artfynd.xlsx", "A 39807-2020")</f>
        <v/>
      </c>
      <c r="T29">
        <f>HYPERLINK("https://klasma.github.io/Logging_1981/kartor/A 39807-2020 karta.png", "A 39807-2020")</f>
        <v/>
      </c>
      <c r="V29">
        <f>HYPERLINK("https://klasma.github.io/Logging_1981/klagomål/A 39807-2020 FSC-klagomål.docx", "A 39807-2020")</f>
        <v/>
      </c>
      <c r="W29">
        <f>HYPERLINK("https://klasma.github.io/Logging_1981/klagomålsmail/A 39807-2020 FSC-klagomål mail.docx", "A 39807-2020")</f>
        <v/>
      </c>
      <c r="X29">
        <f>HYPERLINK("https://klasma.github.io/Logging_1981/tillsyn/A 39807-2020 tillsynsbegäran.docx", "A 39807-2020")</f>
        <v/>
      </c>
      <c r="Y29">
        <f>HYPERLINK("https://klasma.github.io/Logging_1981/tillsynsmail/A 39807-2020 tillsynsbegäran mail.docx", "A 39807-2020")</f>
        <v/>
      </c>
    </row>
    <row r="30" ht="15" customHeight="1">
      <c r="A30" t="inlineStr">
        <is>
          <t>A 42352-2020</t>
        </is>
      </c>
      <c r="B30" s="1" t="n">
        <v>44076</v>
      </c>
      <c r="C30" s="1" t="n">
        <v>45292</v>
      </c>
      <c r="D30" t="inlineStr">
        <is>
          <t>VÄSTMANLANDS LÄN</t>
        </is>
      </c>
      <c r="E30" t="inlineStr">
        <is>
          <t>SALA</t>
        </is>
      </c>
      <c r="G30" t="n">
        <v>8.6</v>
      </c>
      <c r="H30" t="n">
        <v>1</v>
      </c>
      <c r="I30" t="n">
        <v>0</v>
      </c>
      <c r="J30" t="n">
        <v>0</v>
      </c>
      <c r="K30" t="n">
        <v>0</v>
      </c>
      <c r="L30" t="n">
        <v>0</v>
      </c>
      <c r="M30" t="n">
        <v>0</v>
      </c>
      <c r="N30" t="n">
        <v>0</v>
      </c>
      <c r="O30" t="n">
        <v>0</v>
      </c>
      <c r="P30" t="n">
        <v>0</v>
      </c>
      <c r="Q30" t="n">
        <v>1</v>
      </c>
      <c r="R30" s="2" t="inlineStr">
        <is>
          <t>Mattlummer</t>
        </is>
      </c>
      <c r="S30">
        <f>HYPERLINK("https://klasma.github.io/Logging_1981/artfynd/A 42352-2020 artfynd.xlsx", "A 42352-2020")</f>
        <v/>
      </c>
      <c r="T30">
        <f>HYPERLINK("https://klasma.github.io/Logging_1981/kartor/A 42352-2020 karta.png", "A 42352-2020")</f>
        <v/>
      </c>
      <c r="V30">
        <f>HYPERLINK("https://klasma.github.io/Logging_1981/klagomål/A 42352-2020 FSC-klagomål.docx", "A 42352-2020")</f>
        <v/>
      </c>
      <c r="W30">
        <f>HYPERLINK("https://klasma.github.io/Logging_1981/klagomålsmail/A 42352-2020 FSC-klagomål mail.docx", "A 42352-2020")</f>
        <v/>
      </c>
      <c r="X30">
        <f>HYPERLINK("https://klasma.github.io/Logging_1981/tillsyn/A 42352-2020 tillsynsbegäran.docx", "A 42352-2020")</f>
        <v/>
      </c>
      <c r="Y30">
        <f>HYPERLINK("https://klasma.github.io/Logging_1981/tillsynsmail/A 42352-2020 tillsynsbegäran mail.docx", "A 42352-2020")</f>
        <v/>
      </c>
    </row>
    <row r="31" ht="15" customHeight="1">
      <c r="A31" t="inlineStr">
        <is>
          <t>A 56014-2020</t>
        </is>
      </c>
      <c r="B31" s="1" t="n">
        <v>44132</v>
      </c>
      <c r="C31" s="1" t="n">
        <v>45292</v>
      </c>
      <c r="D31" t="inlineStr">
        <is>
          <t>VÄSTMANLANDS LÄN</t>
        </is>
      </c>
      <c r="E31" t="inlineStr">
        <is>
          <t>SALA</t>
        </is>
      </c>
      <c r="G31" t="n">
        <v>5.6</v>
      </c>
      <c r="H31" t="n">
        <v>0</v>
      </c>
      <c r="I31" t="n">
        <v>0</v>
      </c>
      <c r="J31" t="n">
        <v>0</v>
      </c>
      <c r="K31" t="n">
        <v>1</v>
      </c>
      <c r="L31" t="n">
        <v>0</v>
      </c>
      <c r="M31" t="n">
        <v>0</v>
      </c>
      <c r="N31" t="n">
        <v>0</v>
      </c>
      <c r="O31" t="n">
        <v>1</v>
      </c>
      <c r="P31" t="n">
        <v>1</v>
      </c>
      <c r="Q31" t="n">
        <v>1</v>
      </c>
      <c r="R31" s="2" t="inlineStr">
        <is>
          <t>Blackticka</t>
        </is>
      </c>
      <c r="S31">
        <f>HYPERLINK("https://klasma.github.io/Logging_1981/artfynd/A 56014-2020 artfynd.xlsx", "A 56014-2020")</f>
        <v/>
      </c>
      <c r="T31">
        <f>HYPERLINK("https://klasma.github.io/Logging_1981/kartor/A 56014-2020 karta.png", "A 56014-2020")</f>
        <v/>
      </c>
      <c r="V31">
        <f>HYPERLINK("https://klasma.github.io/Logging_1981/klagomål/A 56014-2020 FSC-klagomål.docx", "A 56014-2020")</f>
        <v/>
      </c>
      <c r="W31">
        <f>HYPERLINK("https://klasma.github.io/Logging_1981/klagomålsmail/A 56014-2020 FSC-klagomål mail.docx", "A 56014-2020")</f>
        <v/>
      </c>
      <c r="X31">
        <f>HYPERLINK("https://klasma.github.io/Logging_1981/tillsyn/A 56014-2020 tillsynsbegäran.docx", "A 56014-2020")</f>
        <v/>
      </c>
      <c r="Y31">
        <f>HYPERLINK("https://klasma.github.io/Logging_1981/tillsynsmail/A 56014-2020 tillsynsbegäran mail.docx", "A 56014-2020")</f>
        <v/>
      </c>
    </row>
    <row r="32" ht="15" customHeight="1">
      <c r="A32" t="inlineStr">
        <is>
          <t>A 13973-2021</t>
        </is>
      </c>
      <c r="B32" s="1" t="n">
        <v>44277</v>
      </c>
      <c r="C32" s="1" t="n">
        <v>45292</v>
      </c>
      <c r="D32" t="inlineStr">
        <is>
          <t>VÄSTMANLANDS LÄN</t>
        </is>
      </c>
      <c r="E32" t="inlineStr">
        <is>
          <t>SALA</t>
        </is>
      </c>
      <c r="G32" t="n">
        <v>2</v>
      </c>
      <c r="H32" t="n">
        <v>1</v>
      </c>
      <c r="I32" t="n">
        <v>0</v>
      </c>
      <c r="J32" t="n">
        <v>0</v>
      </c>
      <c r="K32" t="n">
        <v>0</v>
      </c>
      <c r="L32" t="n">
        <v>0</v>
      </c>
      <c r="M32" t="n">
        <v>0</v>
      </c>
      <c r="N32" t="n">
        <v>0</v>
      </c>
      <c r="O32" t="n">
        <v>0</v>
      </c>
      <c r="P32" t="n">
        <v>0</v>
      </c>
      <c r="Q32" t="n">
        <v>1</v>
      </c>
      <c r="R32" s="2" t="inlineStr">
        <is>
          <t>Blåsippa</t>
        </is>
      </c>
      <c r="S32">
        <f>HYPERLINK("https://klasma.github.io/Logging_1981/artfynd/A 13973-2021 artfynd.xlsx", "A 13973-2021")</f>
        <v/>
      </c>
      <c r="T32">
        <f>HYPERLINK("https://klasma.github.io/Logging_1981/kartor/A 13973-2021 karta.png", "A 13973-2021")</f>
        <v/>
      </c>
      <c r="V32">
        <f>HYPERLINK("https://klasma.github.io/Logging_1981/klagomål/A 13973-2021 FSC-klagomål.docx", "A 13973-2021")</f>
        <v/>
      </c>
      <c r="W32">
        <f>HYPERLINK("https://klasma.github.io/Logging_1981/klagomålsmail/A 13973-2021 FSC-klagomål mail.docx", "A 13973-2021")</f>
        <v/>
      </c>
      <c r="X32">
        <f>HYPERLINK("https://klasma.github.io/Logging_1981/tillsyn/A 13973-2021 tillsynsbegäran.docx", "A 13973-2021")</f>
        <v/>
      </c>
      <c r="Y32">
        <f>HYPERLINK("https://klasma.github.io/Logging_1981/tillsynsmail/A 13973-2021 tillsynsbegäran mail.docx", "A 13973-2021")</f>
        <v/>
      </c>
    </row>
    <row r="33" ht="15" customHeight="1">
      <c r="A33" t="inlineStr">
        <is>
          <t>A 7919-2022</t>
        </is>
      </c>
      <c r="B33" s="1" t="n">
        <v>44608</v>
      </c>
      <c r="C33" s="1" t="n">
        <v>45292</v>
      </c>
      <c r="D33" t="inlineStr">
        <is>
          <t>VÄSTMANLANDS LÄN</t>
        </is>
      </c>
      <c r="E33" t="inlineStr">
        <is>
          <t>SALA</t>
        </is>
      </c>
      <c r="F33" t="inlineStr">
        <is>
          <t>Bergvik skog öst AB</t>
        </is>
      </c>
      <c r="G33" t="n">
        <v>4.5</v>
      </c>
      <c r="H33" t="n">
        <v>1</v>
      </c>
      <c r="I33" t="n">
        <v>0</v>
      </c>
      <c r="J33" t="n">
        <v>1</v>
      </c>
      <c r="K33" t="n">
        <v>0</v>
      </c>
      <c r="L33" t="n">
        <v>0</v>
      </c>
      <c r="M33" t="n">
        <v>0</v>
      </c>
      <c r="N33" t="n">
        <v>0</v>
      </c>
      <c r="O33" t="n">
        <v>1</v>
      </c>
      <c r="P33" t="n">
        <v>0</v>
      </c>
      <c r="Q33" t="n">
        <v>1</v>
      </c>
      <c r="R33" s="2" t="inlineStr">
        <is>
          <t>Ävjepilört</t>
        </is>
      </c>
      <c r="S33">
        <f>HYPERLINK("https://klasma.github.io/Logging_1981/artfynd/A 7919-2022 artfynd.xlsx", "A 7919-2022")</f>
        <v/>
      </c>
      <c r="T33">
        <f>HYPERLINK("https://klasma.github.io/Logging_1981/kartor/A 7919-2022 karta.png", "A 7919-2022")</f>
        <v/>
      </c>
      <c r="V33">
        <f>HYPERLINK("https://klasma.github.io/Logging_1981/klagomål/A 7919-2022 FSC-klagomål.docx", "A 7919-2022")</f>
        <v/>
      </c>
      <c r="W33">
        <f>HYPERLINK("https://klasma.github.io/Logging_1981/klagomålsmail/A 7919-2022 FSC-klagomål mail.docx", "A 7919-2022")</f>
        <v/>
      </c>
      <c r="X33">
        <f>HYPERLINK("https://klasma.github.io/Logging_1981/tillsyn/A 7919-2022 tillsynsbegäran.docx", "A 7919-2022")</f>
        <v/>
      </c>
      <c r="Y33">
        <f>HYPERLINK("https://klasma.github.io/Logging_1981/tillsynsmail/A 7919-2022 tillsynsbegäran mail.docx", "A 7919-2022")</f>
        <v/>
      </c>
    </row>
    <row r="34" ht="15" customHeight="1">
      <c r="A34" t="inlineStr">
        <is>
          <t>A 29985-2022</t>
        </is>
      </c>
      <c r="B34" s="1" t="n">
        <v>44756</v>
      </c>
      <c r="C34" s="1" t="n">
        <v>45292</v>
      </c>
      <c r="D34" t="inlineStr">
        <is>
          <t>VÄSTMANLANDS LÄN</t>
        </is>
      </c>
      <c r="E34" t="inlineStr">
        <is>
          <t>SALA</t>
        </is>
      </c>
      <c r="F34" t="inlineStr">
        <is>
          <t>Kommuner</t>
        </is>
      </c>
      <c r="G34" t="n">
        <v>1</v>
      </c>
      <c r="H34" t="n">
        <v>1</v>
      </c>
      <c r="I34" t="n">
        <v>1</v>
      </c>
      <c r="J34" t="n">
        <v>0</v>
      </c>
      <c r="K34" t="n">
        <v>0</v>
      </c>
      <c r="L34" t="n">
        <v>0</v>
      </c>
      <c r="M34" t="n">
        <v>0</v>
      </c>
      <c r="N34" t="n">
        <v>0</v>
      </c>
      <c r="O34" t="n">
        <v>0</v>
      </c>
      <c r="P34" t="n">
        <v>0</v>
      </c>
      <c r="Q34" t="n">
        <v>1</v>
      </c>
      <c r="R34" s="2" t="inlineStr">
        <is>
          <t>Skogsknipprot</t>
        </is>
      </c>
      <c r="S34">
        <f>HYPERLINK("https://klasma.github.io/Logging_1981/artfynd/A 29985-2022 artfynd.xlsx", "A 29985-2022")</f>
        <v/>
      </c>
      <c r="T34">
        <f>HYPERLINK("https://klasma.github.io/Logging_1981/kartor/A 29985-2022 karta.png", "A 29985-2022")</f>
        <v/>
      </c>
      <c r="V34">
        <f>HYPERLINK("https://klasma.github.io/Logging_1981/klagomål/A 29985-2022 FSC-klagomål.docx", "A 29985-2022")</f>
        <v/>
      </c>
      <c r="W34">
        <f>HYPERLINK("https://klasma.github.io/Logging_1981/klagomålsmail/A 29985-2022 FSC-klagomål mail.docx", "A 29985-2022")</f>
        <v/>
      </c>
      <c r="X34">
        <f>HYPERLINK("https://klasma.github.io/Logging_1981/tillsyn/A 29985-2022 tillsynsbegäran.docx", "A 29985-2022")</f>
        <v/>
      </c>
      <c r="Y34">
        <f>HYPERLINK("https://klasma.github.io/Logging_1981/tillsynsmail/A 29985-2022 tillsynsbegäran mail.docx", "A 29985-2022")</f>
        <v/>
      </c>
    </row>
    <row r="35" ht="15" customHeight="1">
      <c r="A35" t="inlineStr">
        <is>
          <t>A 7731-2023</t>
        </is>
      </c>
      <c r="B35" s="1" t="n">
        <v>44973</v>
      </c>
      <c r="C35" s="1" t="n">
        <v>45292</v>
      </c>
      <c r="D35" t="inlineStr">
        <is>
          <t>VÄSTMANLANDS LÄN</t>
        </is>
      </c>
      <c r="E35" t="inlineStr">
        <is>
          <t>SALA</t>
        </is>
      </c>
      <c r="F35" t="inlineStr">
        <is>
          <t>Bergvik skog öst AB</t>
        </is>
      </c>
      <c r="G35" t="n">
        <v>1.7</v>
      </c>
      <c r="H35" t="n">
        <v>1</v>
      </c>
      <c r="I35" t="n">
        <v>0</v>
      </c>
      <c r="J35" t="n">
        <v>1</v>
      </c>
      <c r="K35" t="n">
        <v>0</v>
      </c>
      <c r="L35" t="n">
        <v>0</v>
      </c>
      <c r="M35" t="n">
        <v>0</v>
      </c>
      <c r="N35" t="n">
        <v>0</v>
      </c>
      <c r="O35" t="n">
        <v>1</v>
      </c>
      <c r="P35" t="n">
        <v>0</v>
      </c>
      <c r="Q35" t="n">
        <v>1</v>
      </c>
      <c r="R35" s="2" t="inlineStr">
        <is>
          <t>Ävjepilört</t>
        </is>
      </c>
      <c r="S35">
        <f>HYPERLINK("https://klasma.github.io/Logging_1981/artfynd/A 7731-2023 artfynd.xlsx", "A 7731-2023")</f>
        <v/>
      </c>
      <c r="T35">
        <f>HYPERLINK("https://klasma.github.io/Logging_1981/kartor/A 7731-2023 karta.png", "A 7731-2023")</f>
        <v/>
      </c>
      <c r="V35">
        <f>HYPERLINK("https://klasma.github.io/Logging_1981/klagomål/A 7731-2023 FSC-klagomål.docx", "A 7731-2023")</f>
        <v/>
      </c>
      <c r="W35">
        <f>HYPERLINK("https://klasma.github.io/Logging_1981/klagomålsmail/A 7731-2023 FSC-klagomål mail.docx", "A 7731-2023")</f>
        <v/>
      </c>
      <c r="X35">
        <f>HYPERLINK("https://klasma.github.io/Logging_1981/tillsyn/A 7731-2023 tillsynsbegäran.docx", "A 7731-2023")</f>
        <v/>
      </c>
      <c r="Y35">
        <f>HYPERLINK("https://klasma.github.io/Logging_1981/tillsynsmail/A 7731-2023 tillsynsbegäran mail.docx", "A 7731-2023")</f>
        <v/>
      </c>
    </row>
    <row r="36" ht="15" customHeight="1">
      <c r="A36" t="inlineStr">
        <is>
          <t>A 23221-2023</t>
        </is>
      </c>
      <c r="B36" s="1" t="n">
        <v>45075</v>
      </c>
      <c r="C36" s="1" t="n">
        <v>45292</v>
      </c>
      <c r="D36" t="inlineStr">
        <is>
          <t>VÄSTMANLANDS LÄN</t>
        </is>
      </c>
      <c r="E36" t="inlineStr">
        <is>
          <t>SALA</t>
        </is>
      </c>
      <c r="G36" t="n">
        <v>26.3</v>
      </c>
      <c r="H36" t="n">
        <v>0</v>
      </c>
      <c r="I36" t="n">
        <v>1</v>
      </c>
      <c r="J36" t="n">
        <v>0</v>
      </c>
      <c r="K36" t="n">
        <v>0</v>
      </c>
      <c r="L36" t="n">
        <v>0</v>
      </c>
      <c r="M36" t="n">
        <v>0</v>
      </c>
      <c r="N36" t="n">
        <v>0</v>
      </c>
      <c r="O36" t="n">
        <v>0</v>
      </c>
      <c r="P36" t="n">
        <v>0</v>
      </c>
      <c r="Q36" t="n">
        <v>1</v>
      </c>
      <c r="R36" s="2" t="inlineStr">
        <is>
          <t>Blomkålssvamp</t>
        </is>
      </c>
      <c r="S36">
        <f>HYPERLINK("https://klasma.github.io/Logging_1981/artfynd/A 23221-2023 artfynd.xlsx", "A 23221-2023")</f>
        <v/>
      </c>
      <c r="T36">
        <f>HYPERLINK("https://klasma.github.io/Logging_1981/kartor/A 23221-2023 karta.png", "A 23221-2023")</f>
        <v/>
      </c>
      <c r="V36">
        <f>HYPERLINK("https://klasma.github.io/Logging_1981/klagomål/A 23221-2023 FSC-klagomål.docx", "A 23221-2023")</f>
        <v/>
      </c>
      <c r="W36">
        <f>HYPERLINK("https://klasma.github.io/Logging_1981/klagomålsmail/A 23221-2023 FSC-klagomål mail.docx", "A 23221-2023")</f>
        <v/>
      </c>
      <c r="X36">
        <f>HYPERLINK("https://klasma.github.io/Logging_1981/tillsyn/A 23221-2023 tillsynsbegäran.docx", "A 23221-2023")</f>
        <v/>
      </c>
      <c r="Y36">
        <f>HYPERLINK("https://klasma.github.io/Logging_1981/tillsynsmail/A 23221-2023 tillsynsbegäran mail.docx", "A 23221-2023")</f>
        <v/>
      </c>
    </row>
    <row r="37" ht="15" customHeight="1">
      <c r="A37" t="inlineStr">
        <is>
          <t>A 31535-2023</t>
        </is>
      </c>
      <c r="B37" s="1" t="n">
        <v>45116</v>
      </c>
      <c r="C37" s="1" t="n">
        <v>45292</v>
      </c>
      <c r="D37" t="inlineStr">
        <is>
          <t>VÄSTMANLANDS LÄN</t>
        </is>
      </c>
      <c r="E37" t="inlineStr">
        <is>
          <t>SALA</t>
        </is>
      </c>
      <c r="G37" t="n">
        <v>0.9</v>
      </c>
      <c r="H37" t="n">
        <v>0</v>
      </c>
      <c r="I37" t="n">
        <v>0</v>
      </c>
      <c r="J37" t="n">
        <v>1</v>
      </c>
      <c r="K37" t="n">
        <v>0</v>
      </c>
      <c r="L37" t="n">
        <v>0</v>
      </c>
      <c r="M37" t="n">
        <v>0</v>
      </c>
      <c r="N37" t="n">
        <v>0</v>
      </c>
      <c r="O37" t="n">
        <v>1</v>
      </c>
      <c r="P37" t="n">
        <v>0</v>
      </c>
      <c r="Q37" t="n">
        <v>1</v>
      </c>
      <c r="R37" s="2" t="inlineStr">
        <is>
          <t>Orange taggsvamp</t>
        </is>
      </c>
      <c r="S37">
        <f>HYPERLINK("https://klasma.github.io/Logging_1981/artfynd/A 31535-2023 artfynd.xlsx", "A 31535-2023")</f>
        <v/>
      </c>
      <c r="T37">
        <f>HYPERLINK("https://klasma.github.io/Logging_1981/kartor/A 31535-2023 karta.png", "A 31535-2023")</f>
        <v/>
      </c>
      <c r="V37">
        <f>HYPERLINK("https://klasma.github.io/Logging_1981/klagomål/A 31535-2023 FSC-klagomål.docx", "A 31535-2023")</f>
        <v/>
      </c>
      <c r="W37">
        <f>HYPERLINK("https://klasma.github.io/Logging_1981/klagomålsmail/A 31535-2023 FSC-klagomål mail.docx", "A 31535-2023")</f>
        <v/>
      </c>
      <c r="X37">
        <f>HYPERLINK("https://klasma.github.io/Logging_1981/tillsyn/A 31535-2023 tillsynsbegäran.docx", "A 31535-2023")</f>
        <v/>
      </c>
      <c r="Y37">
        <f>HYPERLINK("https://klasma.github.io/Logging_1981/tillsynsmail/A 31535-2023 tillsynsbegäran mail.docx", "A 31535-2023")</f>
        <v/>
      </c>
    </row>
    <row r="38" ht="15" customHeight="1">
      <c r="A38" t="inlineStr">
        <is>
          <t>A 43175-2023</t>
        </is>
      </c>
      <c r="B38" s="1" t="n">
        <v>45183</v>
      </c>
      <c r="C38" s="1" t="n">
        <v>45292</v>
      </c>
      <c r="D38" t="inlineStr">
        <is>
          <t>VÄSTMANLANDS LÄN</t>
        </is>
      </c>
      <c r="E38" t="inlineStr">
        <is>
          <t>SALA</t>
        </is>
      </c>
      <c r="G38" t="n">
        <v>5.6</v>
      </c>
      <c r="H38" t="n">
        <v>0</v>
      </c>
      <c r="I38" t="n">
        <v>1</v>
      </c>
      <c r="J38" t="n">
        <v>0</v>
      </c>
      <c r="K38" t="n">
        <v>0</v>
      </c>
      <c r="L38" t="n">
        <v>0</v>
      </c>
      <c r="M38" t="n">
        <v>0</v>
      </c>
      <c r="N38" t="n">
        <v>0</v>
      </c>
      <c r="O38" t="n">
        <v>0</v>
      </c>
      <c r="P38" t="n">
        <v>0</v>
      </c>
      <c r="Q38" t="n">
        <v>1</v>
      </c>
      <c r="R38" s="2" t="inlineStr">
        <is>
          <t>Grönpyrola</t>
        </is>
      </c>
      <c r="S38">
        <f>HYPERLINK("https://klasma.github.io/Logging_1981/artfynd/A 43175-2023 artfynd.xlsx", "A 43175-2023")</f>
        <v/>
      </c>
      <c r="T38">
        <f>HYPERLINK("https://klasma.github.io/Logging_1981/kartor/A 43175-2023 karta.png", "A 43175-2023")</f>
        <v/>
      </c>
      <c r="V38">
        <f>HYPERLINK("https://klasma.github.io/Logging_1981/klagomål/A 43175-2023 FSC-klagomål.docx", "A 43175-2023")</f>
        <v/>
      </c>
      <c r="W38">
        <f>HYPERLINK("https://klasma.github.io/Logging_1981/klagomålsmail/A 43175-2023 FSC-klagomål mail.docx", "A 43175-2023")</f>
        <v/>
      </c>
      <c r="X38">
        <f>HYPERLINK("https://klasma.github.io/Logging_1981/tillsyn/A 43175-2023 tillsynsbegäran.docx", "A 43175-2023")</f>
        <v/>
      </c>
      <c r="Y38">
        <f>HYPERLINK("https://klasma.github.io/Logging_1981/tillsynsmail/A 43175-2023 tillsynsbegäran mail.docx", "A 43175-2023")</f>
        <v/>
      </c>
    </row>
    <row r="39" ht="15" customHeight="1">
      <c r="A39" t="inlineStr">
        <is>
          <t>A 37744-2018</t>
        </is>
      </c>
      <c r="B39" s="1" t="n">
        <v>43334</v>
      </c>
      <c r="C39" s="1" t="n">
        <v>45292</v>
      </c>
      <c r="D39" t="inlineStr">
        <is>
          <t>VÄSTMANLANDS LÄN</t>
        </is>
      </c>
      <c r="E39" t="inlineStr">
        <is>
          <t>SALA</t>
        </is>
      </c>
      <c r="G39" t="n">
        <v>2.6</v>
      </c>
      <c r="H39" t="n">
        <v>0</v>
      </c>
      <c r="I39" t="n">
        <v>0</v>
      </c>
      <c r="J39" t="n">
        <v>0</v>
      </c>
      <c r="K39" t="n">
        <v>0</v>
      </c>
      <c r="L39" t="n">
        <v>0</v>
      </c>
      <c r="M39" t="n">
        <v>0</v>
      </c>
      <c r="N39" t="n">
        <v>0</v>
      </c>
      <c r="O39" t="n">
        <v>0</v>
      </c>
      <c r="P39" t="n">
        <v>0</v>
      </c>
      <c r="Q39" t="n">
        <v>0</v>
      </c>
      <c r="R39" s="2" t="inlineStr"/>
    </row>
    <row r="40" ht="15" customHeight="1">
      <c r="A40" t="inlineStr">
        <is>
          <t>A 44601-2018</t>
        </is>
      </c>
      <c r="B40" s="1" t="n">
        <v>43361</v>
      </c>
      <c r="C40" s="1" t="n">
        <v>45292</v>
      </c>
      <c r="D40" t="inlineStr">
        <is>
          <t>VÄSTMANLANDS LÄN</t>
        </is>
      </c>
      <c r="E40" t="inlineStr">
        <is>
          <t>SALA</t>
        </is>
      </c>
      <c r="F40" t="inlineStr">
        <is>
          <t>Kommuner</t>
        </is>
      </c>
      <c r="G40" t="n">
        <v>0.6</v>
      </c>
      <c r="H40" t="n">
        <v>0</v>
      </c>
      <c r="I40" t="n">
        <v>0</v>
      </c>
      <c r="J40" t="n">
        <v>0</v>
      </c>
      <c r="K40" t="n">
        <v>0</v>
      </c>
      <c r="L40" t="n">
        <v>0</v>
      </c>
      <c r="M40" t="n">
        <v>0</v>
      </c>
      <c r="N40" t="n">
        <v>0</v>
      </c>
      <c r="O40" t="n">
        <v>0</v>
      </c>
      <c r="P40" t="n">
        <v>0</v>
      </c>
      <c r="Q40" t="n">
        <v>0</v>
      </c>
      <c r="R40" s="2" t="inlineStr"/>
    </row>
    <row r="41" ht="15" customHeight="1">
      <c r="A41" t="inlineStr">
        <is>
          <t>A 45765-2018</t>
        </is>
      </c>
      <c r="B41" s="1" t="n">
        <v>43362</v>
      </c>
      <c r="C41" s="1" t="n">
        <v>45292</v>
      </c>
      <c r="D41" t="inlineStr">
        <is>
          <t>VÄSTMANLANDS LÄN</t>
        </is>
      </c>
      <c r="E41" t="inlineStr">
        <is>
          <t>SALA</t>
        </is>
      </c>
      <c r="G41" t="n">
        <v>1.1</v>
      </c>
      <c r="H41" t="n">
        <v>0</v>
      </c>
      <c r="I41" t="n">
        <v>0</v>
      </c>
      <c r="J41" t="n">
        <v>0</v>
      </c>
      <c r="K41" t="n">
        <v>0</v>
      </c>
      <c r="L41" t="n">
        <v>0</v>
      </c>
      <c r="M41" t="n">
        <v>0</v>
      </c>
      <c r="N41" t="n">
        <v>0</v>
      </c>
      <c r="O41" t="n">
        <v>0</v>
      </c>
      <c r="P41" t="n">
        <v>0</v>
      </c>
      <c r="Q41" t="n">
        <v>0</v>
      </c>
      <c r="R41" s="2" t="inlineStr"/>
    </row>
    <row r="42" ht="15" customHeight="1">
      <c r="A42" t="inlineStr">
        <is>
          <t>A 45177-2018</t>
        </is>
      </c>
      <c r="B42" s="1" t="n">
        <v>43362</v>
      </c>
      <c r="C42" s="1" t="n">
        <v>45292</v>
      </c>
      <c r="D42" t="inlineStr">
        <is>
          <t>VÄSTMANLANDS LÄN</t>
        </is>
      </c>
      <c r="E42" t="inlineStr">
        <is>
          <t>SALA</t>
        </is>
      </c>
      <c r="G42" t="n">
        <v>1.9</v>
      </c>
      <c r="H42" t="n">
        <v>0</v>
      </c>
      <c r="I42" t="n">
        <v>0</v>
      </c>
      <c r="J42" t="n">
        <v>0</v>
      </c>
      <c r="K42" t="n">
        <v>0</v>
      </c>
      <c r="L42" t="n">
        <v>0</v>
      </c>
      <c r="M42" t="n">
        <v>0</v>
      </c>
      <c r="N42" t="n">
        <v>0</v>
      </c>
      <c r="O42" t="n">
        <v>0</v>
      </c>
      <c r="P42" t="n">
        <v>0</v>
      </c>
      <c r="Q42" t="n">
        <v>0</v>
      </c>
      <c r="R42" s="2" t="inlineStr"/>
    </row>
    <row r="43" ht="15" customHeight="1">
      <c r="A43" t="inlineStr">
        <is>
          <t>A 49631-2018</t>
        </is>
      </c>
      <c r="B43" s="1" t="n">
        <v>43377</v>
      </c>
      <c r="C43" s="1" t="n">
        <v>45292</v>
      </c>
      <c r="D43" t="inlineStr">
        <is>
          <t>VÄSTMANLANDS LÄN</t>
        </is>
      </c>
      <c r="E43" t="inlineStr">
        <is>
          <t>SALA</t>
        </is>
      </c>
      <c r="F43" t="inlineStr">
        <is>
          <t>Sveaskog</t>
        </is>
      </c>
      <c r="G43" t="n">
        <v>3.3</v>
      </c>
      <c r="H43" t="n">
        <v>0</v>
      </c>
      <c r="I43" t="n">
        <v>0</v>
      </c>
      <c r="J43" t="n">
        <v>0</v>
      </c>
      <c r="K43" t="n">
        <v>0</v>
      </c>
      <c r="L43" t="n">
        <v>0</v>
      </c>
      <c r="M43" t="n">
        <v>0</v>
      </c>
      <c r="N43" t="n">
        <v>0</v>
      </c>
      <c r="O43" t="n">
        <v>0</v>
      </c>
      <c r="P43" t="n">
        <v>0</v>
      </c>
      <c r="Q43" t="n">
        <v>0</v>
      </c>
      <c r="R43" s="2" t="inlineStr"/>
    </row>
    <row r="44" ht="15" customHeight="1">
      <c r="A44" t="inlineStr">
        <is>
          <t>A 58796-2018</t>
        </is>
      </c>
      <c r="B44" s="1" t="n">
        <v>43410</v>
      </c>
      <c r="C44" s="1" t="n">
        <v>45292</v>
      </c>
      <c r="D44" t="inlineStr">
        <is>
          <t>VÄSTMANLANDS LÄN</t>
        </is>
      </c>
      <c r="E44" t="inlineStr">
        <is>
          <t>SALA</t>
        </is>
      </c>
      <c r="G44" t="n">
        <v>1.6</v>
      </c>
      <c r="H44" t="n">
        <v>0</v>
      </c>
      <c r="I44" t="n">
        <v>0</v>
      </c>
      <c r="J44" t="n">
        <v>0</v>
      </c>
      <c r="K44" t="n">
        <v>0</v>
      </c>
      <c r="L44" t="n">
        <v>0</v>
      </c>
      <c r="M44" t="n">
        <v>0</v>
      </c>
      <c r="N44" t="n">
        <v>0</v>
      </c>
      <c r="O44" t="n">
        <v>0</v>
      </c>
      <c r="P44" t="n">
        <v>0</v>
      </c>
      <c r="Q44" t="n">
        <v>0</v>
      </c>
      <c r="R44" s="2" t="inlineStr"/>
    </row>
    <row r="45" ht="15" customHeight="1">
      <c r="A45" t="inlineStr">
        <is>
          <t>A 65262-2018</t>
        </is>
      </c>
      <c r="B45" s="1" t="n">
        <v>43423</v>
      </c>
      <c r="C45" s="1" t="n">
        <v>45292</v>
      </c>
      <c r="D45" t="inlineStr">
        <is>
          <t>VÄSTMANLANDS LÄN</t>
        </is>
      </c>
      <c r="E45" t="inlineStr">
        <is>
          <t>SALA</t>
        </is>
      </c>
      <c r="G45" t="n">
        <v>1</v>
      </c>
      <c r="H45" t="n">
        <v>0</v>
      </c>
      <c r="I45" t="n">
        <v>0</v>
      </c>
      <c r="J45" t="n">
        <v>0</v>
      </c>
      <c r="K45" t="n">
        <v>0</v>
      </c>
      <c r="L45" t="n">
        <v>0</v>
      </c>
      <c r="M45" t="n">
        <v>0</v>
      </c>
      <c r="N45" t="n">
        <v>0</v>
      </c>
      <c r="O45" t="n">
        <v>0</v>
      </c>
      <c r="P45" t="n">
        <v>0</v>
      </c>
      <c r="Q45" t="n">
        <v>0</v>
      </c>
      <c r="R45" s="2" t="inlineStr"/>
    </row>
    <row r="46" ht="15" customHeight="1">
      <c r="A46" t="inlineStr">
        <is>
          <t>A 61201-2018</t>
        </is>
      </c>
      <c r="B46" s="1" t="n">
        <v>43423</v>
      </c>
      <c r="C46" s="1" t="n">
        <v>45292</v>
      </c>
      <c r="D46" t="inlineStr">
        <is>
          <t>VÄSTMANLANDS LÄN</t>
        </is>
      </c>
      <c r="E46" t="inlineStr">
        <is>
          <t>SALA</t>
        </is>
      </c>
      <c r="G46" t="n">
        <v>3.8</v>
      </c>
      <c r="H46" t="n">
        <v>0</v>
      </c>
      <c r="I46" t="n">
        <v>0</v>
      </c>
      <c r="J46" t="n">
        <v>0</v>
      </c>
      <c r="K46" t="n">
        <v>0</v>
      </c>
      <c r="L46" t="n">
        <v>0</v>
      </c>
      <c r="M46" t="n">
        <v>0</v>
      </c>
      <c r="N46" t="n">
        <v>0</v>
      </c>
      <c r="O46" t="n">
        <v>0</v>
      </c>
      <c r="P46" t="n">
        <v>0</v>
      </c>
      <c r="Q46" t="n">
        <v>0</v>
      </c>
      <c r="R46" s="2" t="inlineStr"/>
    </row>
    <row r="47" ht="15" customHeight="1">
      <c r="A47" t="inlineStr">
        <is>
          <t>A 65272-2018</t>
        </is>
      </c>
      <c r="B47" s="1" t="n">
        <v>43423</v>
      </c>
      <c r="C47" s="1" t="n">
        <v>45292</v>
      </c>
      <c r="D47" t="inlineStr">
        <is>
          <t>VÄSTMANLANDS LÄN</t>
        </is>
      </c>
      <c r="E47" t="inlineStr">
        <is>
          <t>SALA</t>
        </is>
      </c>
      <c r="G47" t="n">
        <v>1.6</v>
      </c>
      <c r="H47" t="n">
        <v>0</v>
      </c>
      <c r="I47" t="n">
        <v>0</v>
      </c>
      <c r="J47" t="n">
        <v>0</v>
      </c>
      <c r="K47" t="n">
        <v>0</v>
      </c>
      <c r="L47" t="n">
        <v>0</v>
      </c>
      <c r="M47" t="n">
        <v>0</v>
      </c>
      <c r="N47" t="n">
        <v>0</v>
      </c>
      <c r="O47" t="n">
        <v>0</v>
      </c>
      <c r="P47" t="n">
        <v>0</v>
      </c>
      <c r="Q47" t="n">
        <v>0</v>
      </c>
      <c r="R47" s="2" t="inlineStr"/>
    </row>
    <row r="48" ht="15" customHeight="1">
      <c r="A48" t="inlineStr">
        <is>
          <t>A 61582-2018</t>
        </is>
      </c>
      <c r="B48" s="1" t="n">
        <v>43424</v>
      </c>
      <c r="C48" s="1" t="n">
        <v>45292</v>
      </c>
      <c r="D48" t="inlineStr">
        <is>
          <t>VÄSTMANLANDS LÄN</t>
        </is>
      </c>
      <c r="E48" t="inlineStr">
        <is>
          <t>SALA</t>
        </is>
      </c>
      <c r="F48" t="inlineStr">
        <is>
          <t>Kyrkan</t>
        </is>
      </c>
      <c r="G48" t="n">
        <v>7</v>
      </c>
      <c r="H48" t="n">
        <v>0</v>
      </c>
      <c r="I48" t="n">
        <v>0</v>
      </c>
      <c r="J48" t="n">
        <v>0</v>
      </c>
      <c r="K48" t="n">
        <v>0</v>
      </c>
      <c r="L48" t="n">
        <v>0</v>
      </c>
      <c r="M48" t="n">
        <v>0</v>
      </c>
      <c r="N48" t="n">
        <v>0</v>
      </c>
      <c r="O48" t="n">
        <v>0</v>
      </c>
      <c r="P48" t="n">
        <v>0</v>
      </c>
      <c r="Q48" t="n">
        <v>0</v>
      </c>
      <c r="R48" s="2" t="inlineStr"/>
    </row>
    <row r="49" ht="15" customHeight="1">
      <c r="A49" t="inlineStr">
        <is>
          <t>A 64392-2018</t>
        </is>
      </c>
      <c r="B49" s="1" t="n">
        <v>43430</v>
      </c>
      <c r="C49" s="1" t="n">
        <v>45292</v>
      </c>
      <c r="D49" t="inlineStr">
        <is>
          <t>VÄSTMANLANDS LÄN</t>
        </is>
      </c>
      <c r="E49" t="inlineStr">
        <is>
          <t>SALA</t>
        </is>
      </c>
      <c r="G49" t="n">
        <v>0.6</v>
      </c>
      <c r="H49" t="n">
        <v>0</v>
      </c>
      <c r="I49" t="n">
        <v>0</v>
      </c>
      <c r="J49" t="n">
        <v>0</v>
      </c>
      <c r="K49" t="n">
        <v>0</v>
      </c>
      <c r="L49" t="n">
        <v>0</v>
      </c>
      <c r="M49" t="n">
        <v>0</v>
      </c>
      <c r="N49" t="n">
        <v>0</v>
      </c>
      <c r="O49" t="n">
        <v>0</v>
      </c>
      <c r="P49" t="n">
        <v>0</v>
      </c>
      <c r="Q49" t="n">
        <v>0</v>
      </c>
      <c r="R49" s="2" t="inlineStr"/>
    </row>
    <row r="50" ht="15" customHeight="1">
      <c r="A50" t="inlineStr">
        <is>
          <t>A 64900-2018</t>
        </is>
      </c>
      <c r="B50" s="1" t="n">
        <v>43431</v>
      </c>
      <c r="C50" s="1" t="n">
        <v>45292</v>
      </c>
      <c r="D50" t="inlineStr">
        <is>
          <t>VÄSTMANLANDS LÄN</t>
        </is>
      </c>
      <c r="E50" t="inlineStr">
        <is>
          <t>SALA</t>
        </is>
      </c>
      <c r="G50" t="n">
        <v>1</v>
      </c>
      <c r="H50" t="n">
        <v>0</v>
      </c>
      <c r="I50" t="n">
        <v>0</v>
      </c>
      <c r="J50" t="n">
        <v>0</v>
      </c>
      <c r="K50" t="n">
        <v>0</v>
      </c>
      <c r="L50" t="n">
        <v>0</v>
      </c>
      <c r="M50" t="n">
        <v>0</v>
      </c>
      <c r="N50" t="n">
        <v>0</v>
      </c>
      <c r="O50" t="n">
        <v>0</v>
      </c>
      <c r="P50" t="n">
        <v>0</v>
      </c>
      <c r="Q50" t="n">
        <v>0</v>
      </c>
      <c r="R50" s="2" t="inlineStr"/>
    </row>
    <row r="51" ht="15" customHeight="1">
      <c r="A51" t="inlineStr">
        <is>
          <t>A 65286-2018</t>
        </is>
      </c>
      <c r="B51" s="1" t="n">
        <v>43432</v>
      </c>
      <c r="C51" s="1" t="n">
        <v>45292</v>
      </c>
      <c r="D51" t="inlineStr">
        <is>
          <t>VÄSTMANLANDS LÄN</t>
        </is>
      </c>
      <c r="E51" t="inlineStr">
        <is>
          <t>SALA</t>
        </is>
      </c>
      <c r="G51" t="n">
        <v>1.3</v>
      </c>
      <c r="H51" t="n">
        <v>0</v>
      </c>
      <c r="I51" t="n">
        <v>0</v>
      </c>
      <c r="J51" t="n">
        <v>0</v>
      </c>
      <c r="K51" t="n">
        <v>0</v>
      </c>
      <c r="L51" t="n">
        <v>0</v>
      </c>
      <c r="M51" t="n">
        <v>0</v>
      </c>
      <c r="N51" t="n">
        <v>0</v>
      </c>
      <c r="O51" t="n">
        <v>0</v>
      </c>
      <c r="P51" t="n">
        <v>0</v>
      </c>
      <c r="Q51" t="n">
        <v>0</v>
      </c>
      <c r="R51" s="2" t="inlineStr"/>
    </row>
    <row r="52" ht="15" customHeight="1">
      <c r="A52" t="inlineStr">
        <is>
          <t>A 68421-2018</t>
        </is>
      </c>
      <c r="B52" s="1" t="n">
        <v>43438</v>
      </c>
      <c r="C52" s="1" t="n">
        <v>45292</v>
      </c>
      <c r="D52" t="inlineStr">
        <is>
          <t>VÄSTMANLANDS LÄN</t>
        </is>
      </c>
      <c r="E52" t="inlineStr">
        <is>
          <t>SALA</t>
        </is>
      </c>
      <c r="G52" t="n">
        <v>3.3</v>
      </c>
      <c r="H52" t="n">
        <v>0</v>
      </c>
      <c r="I52" t="n">
        <v>0</v>
      </c>
      <c r="J52" t="n">
        <v>0</v>
      </c>
      <c r="K52" t="n">
        <v>0</v>
      </c>
      <c r="L52" t="n">
        <v>0</v>
      </c>
      <c r="M52" t="n">
        <v>0</v>
      </c>
      <c r="N52" t="n">
        <v>0</v>
      </c>
      <c r="O52" t="n">
        <v>0</v>
      </c>
      <c r="P52" t="n">
        <v>0</v>
      </c>
      <c r="Q52" t="n">
        <v>0</v>
      </c>
      <c r="R52" s="2" t="inlineStr"/>
    </row>
    <row r="53" ht="15" customHeight="1">
      <c r="A53" t="inlineStr">
        <is>
          <t>A 67544-2018</t>
        </is>
      </c>
      <c r="B53" s="1" t="n">
        <v>43439</v>
      </c>
      <c r="C53" s="1" t="n">
        <v>45292</v>
      </c>
      <c r="D53" t="inlineStr">
        <is>
          <t>VÄSTMANLANDS LÄN</t>
        </is>
      </c>
      <c r="E53" t="inlineStr">
        <is>
          <t>SALA</t>
        </is>
      </c>
      <c r="G53" t="n">
        <v>8</v>
      </c>
      <c r="H53" t="n">
        <v>0</v>
      </c>
      <c r="I53" t="n">
        <v>0</v>
      </c>
      <c r="J53" t="n">
        <v>0</v>
      </c>
      <c r="K53" t="n">
        <v>0</v>
      </c>
      <c r="L53" t="n">
        <v>0</v>
      </c>
      <c r="M53" t="n">
        <v>0</v>
      </c>
      <c r="N53" t="n">
        <v>0</v>
      </c>
      <c r="O53" t="n">
        <v>0</v>
      </c>
      <c r="P53" t="n">
        <v>0</v>
      </c>
      <c r="Q53" t="n">
        <v>0</v>
      </c>
      <c r="R53" s="2" t="inlineStr"/>
    </row>
    <row r="54" ht="15" customHeight="1">
      <c r="A54" t="inlineStr">
        <is>
          <t>A 69032-2018</t>
        </is>
      </c>
      <c r="B54" s="1" t="n">
        <v>43445</v>
      </c>
      <c r="C54" s="1" t="n">
        <v>45292</v>
      </c>
      <c r="D54" t="inlineStr">
        <is>
          <t>VÄSTMANLANDS LÄN</t>
        </is>
      </c>
      <c r="E54" t="inlineStr">
        <is>
          <t>SALA</t>
        </is>
      </c>
      <c r="G54" t="n">
        <v>0.6</v>
      </c>
      <c r="H54" t="n">
        <v>0</v>
      </c>
      <c r="I54" t="n">
        <v>0</v>
      </c>
      <c r="J54" t="n">
        <v>0</v>
      </c>
      <c r="K54" t="n">
        <v>0</v>
      </c>
      <c r="L54" t="n">
        <v>0</v>
      </c>
      <c r="M54" t="n">
        <v>0</v>
      </c>
      <c r="N54" t="n">
        <v>0</v>
      </c>
      <c r="O54" t="n">
        <v>0</v>
      </c>
      <c r="P54" t="n">
        <v>0</v>
      </c>
      <c r="Q54" t="n">
        <v>0</v>
      </c>
      <c r="R54" s="2" t="inlineStr"/>
    </row>
    <row r="55" ht="15" customHeight="1">
      <c r="A55" t="inlineStr">
        <is>
          <t>A 69576-2018</t>
        </is>
      </c>
      <c r="B55" s="1" t="n">
        <v>43446</v>
      </c>
      <c r="C55" s="1" t="n">
        <v>45292</v>
      </c>
      <c r="D55" t="inlineStr">
        <is>
          <t>VÄSTMANLANDS LÄN</t>
        </is>
      </c>
      <c r="E55" t="inlineStr">
        <is>
          <t>SALA</t>
        </is>
      </c>
      <c r="G55" t="n">
        <v>3.5</v>
      </c>
      <c r="H55" t="n">
        <v>0</v>
      </c>
      <c r="I55" t="n">
        <v>0</v>
      </c>
      <c r="J55" t="n">
        <v>0</v>
      </c>
      <c r="K55" t="n">
        <v>0</v>
      </c>
      <c r="L55" t="n">
        <v>0</v>
      </c>
      <c r="M55" t="n">
        <v>0</v>
      </c>
      <c r="N55" t="n">
        <v>0</v>
      </c>
      <c r="O55" t="n">
        <v>0</v>
      </c>
      <c r="P55" t="n">
        <v>0</v>
      </c>
      <c r="Q55" t="n">
        <v>0</v>
      </c>
      <c r="R55" s="2" t="inlineStr"/>
    </row>
    <row r="56" ht="15" customHeight="1">
      <c r="A56" t="inlineStr">
        <is>
          <t>A 70915-2018</t>
        </is>
      </c>
      <c r="B56" s="1" t="n">
        <v>43447</v>
      </c>
      <c r="C56" s="1" t="n">
        <v>45292</v>
      </c>
      <c r="D56" t="inlineStr">
        <is>
          <t>VÄSTMANLANDS LÄN</t>
        </is>
      </c>
      <c r="E56" t="inlineStr">
        <is>
          <t>SALA</t>
        </is>
      </c>
      <c r="G56" t="n">
        <v>5.9</v>
      </c>
      <c r="H56" t="n">
        <v>0</v>
      </c>
      <c r="I56" t="n">
        <v>0</v>
      </c>
      <c r="J56" t="n">
        <v>0</v>
      </c>
      <c r="K56" t="n">
        <v>0</v>
      </c>
      <c r="L56" t="n">
        <v>0</v>
      </c>
      <c r="M56" t="n">
        <v>0</v>
      </c>
      <c r="N56" t="n">
        <v>0</v>
      </c>
      <c r="O56" t="n">
        <v>0</v>
      </c>
      <c r="P56" t="n">
        <v>0</v>
      </c>
      <c r="Q56" t="n">
        <v>0</v>
      </c>
      <c r="R56" s="2" t="inlineStr"/>
    </row>
    <row r="57" ht="15" customHeight="1">
      <c r="A57" t="inlineStr">
        <is>
          <t>A 69958-2018</t>
        </is>
      </c>
      <c r="B57" s="1" t="n">
        <v>43447</v>
      </c>
      <c r="C57" s="1" t="n">
        <v>45292</v>
      </c>
      <c r="D57" t="inlineStr">
        <is>
          <t>VÄSTMANLANDS LÄN</t>
        </is>
      </c>
      <c r="E57" t="inlineStr">
        <is>
          <t>SALA</t>
        </is>
      </c>
      <c r="G57" t="n">
        <v>4.8</v>
      </c>
      <c r="H57" t="n">
        <v>0</v>
      </c>
      <c r="I57" t="n">
        <v>0</v>
      </c>
      <c r="J57" t="n">
        <v>0</v>
      </c>
      <c r="K57" t="n">
        <v>0</v>
      </c>
      <c r="L57" t="n">
        <v>0</v>
      </c>
      <c r="M57" t="n">
        <v>0</v>
      </c>
      <c r="N57" t="n">
        <v>0</v>
      </c>
      <c r="O57" t="n">
        <v>0</v>
      </c>
      <c r="P57" t="n">
        <v>0</v>
      </c>
      <c r="Q57" t="n">
        <v>0</v>
      </c>
      <c r="R57" s="2" t="inlineStr"/>
    </row>
    <row r="58" ht="15" customHeight="1">
      <c r="A58" t="inlineStr">
        <is>
          <t>A 69959-2018</t>
        </is>
      </c>
      <c r="B58" s="1" t="n">
        <v>43447</v>
      </c>
      <c r="C58" s="1" t="n">
        <v>45292</v>
      </c>
      <c r="D58" t="inlineStr">
        <is>
          <t>VÄSTMANLANDS LÄN</t>
        </is>
      </c>
      <c r="E58" t="inlineStr">
        <is>
          <t>SALA</t>
        </is>
      </c>
      <c r="G58" t="n">
        <v>6.7</v>
      </c>
      <c r="H58" t="n">
        <v>0</v>
      </c>
      <c r="I58" t="n">
        <v>0</v>
      </c>
      <c r="J58" t="n">
        <v>0</v>
      </c>
      <c r="K58" t="n">
        <v>0</v>
      </c>
      <c r="L58" t="n">
        <v>0</v>
      </c>
      <c r="M58" t="n">
        <v>0</v>
      </c>
      <c r="N58" t="n">
        <v>0</v>
      </c>
      <c r="O58" t="n">
        <v>0</v>
      </c>
      <c r="P58" t="n">
        <v>0</v>
      </c>
      <c r="Q58" t="n">
        <v>0</v>
      </c>
      <c r="R58" s="2" t="inlineStr"/>
    </row>
    <row r="59" ht="15" customHeight="1">
      <c r="A59" t="inlineStr">
        <is>
          <t>A 71189-2018</t>
        </is>
      </c>
      <c r="B59" s="1" t="n">
        <v>43451</v>
      </c>
      <c r="C59" s="1" t="n">
        <v>45292</v>
      </c>
      <c r="D59" t="inlineStr">
        <is>
          <t>VÄSTMANLANDS LÄN</t>
        </is>
      </c>
      <c r="E59" t="inlineStr">
        <is>
          <t>SALA</t>
        </is>
      </c>
      <c r="G59" t="n">
        <v>0.8</v>
      </c>
      <c r="H59" t="n">
        <v>0</v>
      </c>
      <c r="I59" t="n">
        <v>0</v>
      </c>
      <c r="J59" t="n">
        <v>0</v>
      </c>
      <c r="K59" t="n">
        <v>0</v>
      </c>
      <c r="L59" t="n">
        <v>0</v>
      </c>
      <c r="M59" t="n">
        <v>0</v>
      </c>
      <c r="N59" t="n">
        <v>0</v>
      </c>
      <c r="O59" t="n">
        <v>0</v>
      </c>
      <c r="P59" t="n">
        <v>0</v>
      </c>
      <c r="Q59" t="n">
        <v>0</v>
      </c>
      <c r="R59" s="2" t="inlineStr"/>
    </row>
    <row r="60" ht="15" customHeight="1">
      <c r="A60" t="inlineStr">
        <is>
          <t>A 71377-2018</t>
        </is>
      </c>
      <c r="B60" s="1" t="n">
        <v>43453</v>
      </c>
      <c r="C60" s="1" t="n">
        <v>45292</v>
      </c>
      <c r="D60" t="inlineStr">
        <is>
          <t>VÄSTMANLANDS LÄN</t>
        </is>
      </c>
      <c r="E60" t="inlineStr">
        <is>
          <t>SALA</t>
        </is>
      </c>
      <c r="G60" t="n">
        <v>1.5</v>
      </c>
      <c r="H60" t="n">
        <v>0</v>
      </c>
      <c r="I60" t="n">
        <v>0</v>
      </c>
      <c r="J60" t="n">
        <v>0</v>
      </c>
      <c r="K60" t="n">
        <v>0</v>
      </c>
      <c r="L60" t="n">
        <v>0</v>
      </c>
      <c r="M60" t="n">
        <v>0</v>
      </c>
      <c r="N60" t="n">
        <v>0</v>
      </c>
      <c r="O60" t="n">
        <v>0</v>
      </c>
      <c r="P60" t="n">
        <v>0</v>
      </c>
      <c r="Q60" t="n">
        <v>0</v>
      </c>
      <c r="R60" s="2" t="inlineStr"/>
    </row>
    <row r="61" ht="15" customHeight="1">
      <c r="A61" t="inlineStr">
        <is>
          <t>A 72307-2018</t>
        </is>
      </c>
      <c r="B61" s="1" t="n">
        <v>43455</v>
      </c>
      <c r="C61" s="1" t="n">
        <v>45292</v>
      </c>
      <c r="D61" t="inlineStr">
        <is>
          <t>VÄSTMANLANDS LÄN</t>
        </is>
      </c>
      <c r="E61" t="inlineStr">
        <is>
          <t>SALA</t>
        </is>
      </c>
      <c r="G61" t="n">
        <v>2.6</v>
      </c>
      <c r="H61" t="n">
        <v>0</v>
      </c>
      <c r="I61" t="n">
        <v>0</v>
      </c>
      <c r="J61" t="n">
        <v>0</v>
      </c>
      <c r="K61" t="n">
        <v>0</v>
      </c>
      <c r="L61" t="n">
        <v>0</v>
      </c>
      <c r="M61" t="n">
        <v>0</v>
      </c>
      <c r="N61" t="n">
        <v>0</v>
      </c>
      <c r="O61" t="n">
        <v>0</v>
      </c>
      <c r="P61" t="n">
        <v>0</v>
      </c>
      <c r="Q61" t="n">
        <v>0</v>
      </c>
      <c r="R61" s="2" t="inlineStr"/>
    </row>
    <row r="62" ht="15" customHeight="1">
      <c r="A62" t="inlineStr">
        <is>
          <t>A 1589-2019</t>
        </is>
      </c>
      <c r="B62" s="1" t="n">
        <v>43461</v>
      </c>
      <c r="C62" s="1" t="n">
        <v>45292</v>
      </c>
      <c r="D62" t="inlineStr">
        <is>
          <t>VÄSTMANLANDS LÄN</t>
        </is>
      </c>
      <c r="E62" t="inlineStr">
        <is>
          <t>SALA</t>
        </is>
      </c>
      <c r="G62" t="n">
        <v>1.2</v>
      </c>
      <c r="H62" t="n">
        <v>0</v>
      </c>
      <c r="I62" t="n">
        <v>0</v>
      </c>
      <c r="J62" t="n">
        <v>0</v>
      </c>
      <c r="K62" t="n">
        <v>0</v>
      </c>
      <c r="L62" t="n">
        <v>0</v>
      </c>
      <c r="M62" t="n">
        <v>0</v>
      </c>
      <c r="N62" t="n">
        <v>0</v>
      </c>
      <c r="O62" t="n">
        <v>0</v>
      </c>
      <c r="P62" t="n">
        <v>0</v>
      </c>
      <c r="Q62" t="n">
        <v>0</v>
      </c>
      <c r="R62" s="2" t="inlineStr"/>
    </row>
    <row r="63" ht="15" customHeight="1">
      <c r="A63" t="inlineStr">
        <is>
          <t>A 72448-2018</t>
        </is>
      </c>
      <c r="B63" s="1" t="n">
        <v>43461</v>
      </c>
      <c r="C63" s="1" t="n">
        <v>45292</v>
      </c>
      <c r="D63" t="inlineStr">
        <is>
          <t>VÄSTMANLANDS LÄN</t>
        </is>
      </c>
      <c r="E63" t="inlineStr">
        <is>
          <t>SALA</t>
        </is>
      </c>
      <c r="G63" t="n">
        <v>1</v>
      </c>
      <c r="H63" t="n">
        <v>0</v>
      </c>
      <c r="I63" t="n">
        <v>0</v>
      </c>
      <c r="J63" t="n">
        <v>0</v>
      </c>
      <c r="K63" t="n">
        <v>0</v>
      </c>
      <c r="L63" t="n">
        <v>0</v>
      </c>
      <c r="M63" t="n">
        <v>0</v>
      </c>
      <c r="N63" t="n">
        <v>0</v>
      </c>
      <c r="O63" t="n">
        <v>0</v>
      </c>
      <c r="P63" t="n">
        <v>0</v>
      </c>
      <c r="Q63" t="n">
        <v>0</v>
      </c>
      <c r="R63" s="2" t="inlineStr"/>
    </row>
    <row r="64" ht="15" customHeight="1">
      <c r="A64" t="inlineStr">
        <is>
          <t>A 1921-2019</t>
        </is>
      </c>
      <c r="B64" s="1" t="n">
        <v>43462</v>
      </c>
      <c r="C64" s="1" t="n">
        <v>45292</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894-2019</t>
        </is>
      </c>
      <c r="B65" s="1" t="n">
        <v>43472</v>
      </c>
      <c r="C65" s="1" t="n">
        <v>45292</v>
      </c>
      <c r="D65" t="inlineStr">
        <is>
          <t>VÄSTMANLANDS LÄN</t>
        </is>
      </c>
      <c r="E65" t="inlineStr">
        <is>
          <t>SALA</t>
        </is>
      </c>
      <c r="G65" t="n">
        <v>0.5</v>
      </c>
      <c r="H65" t="n">
        <v>0</v>
      </c>
      <c r="I65" t="n">
        <v>0</v>
      </c>
      <c r="J65" t="n">
        <v>0</v>
      </c>
      <c r="K65" t="n">
        <v>0</v>
      </c>
      <c r="L65" t="n">
        <v>0</v>
      </c>
      <c r="M65" t="n">
        <v>0</v>
      </c>
      <c r="N65" t="n">
        <v>0</v>
      </c>
      <c r="O65" t="n">
        <v>0</v>
      </c>
      <c r="P65" t="n">
        <v>0</v>
      </c>
      <c r="Q65" t="n">
        <v>0</v>
      </c>
      <c r="R65" s="2" t="inlineStr"/>
    </row>
    <row r="66" ht="15" customHeight="1">
      <c r="A66" t="inlineStr">
        <is>
          <t>A 1455-2019</t>
        </is>
      </c>
      <c r="B66" s="1" t="n">
        <v>43473</v>
      </c>
      <c r="C66" s="1" t="n">
        <v>45292</v>
      </c>
      <c r="D66" t="inlineStr">
        <is>
          <t>VÄSTMANLANDS LÄN</t>
        </is>
      </c>
      <c r="E66" t="inlineStr">
        <is>
          <t>SALA</t>
        </is>
      </c>
      <c r="G66" t="n">
        <v>6</v>
      </c>
      <c r="H66" t="n">
        <v>0</v>
      </c>
      <c r="I66" t="n">
        <v>0</v>
      </c>
      <c r="J66" t="n">
        <v>0</v>
      </c>
      <c r="K66" t="n">
        <v>0</v>
      </c>
      <c r="L66" t="n">
        <v>0</v>
      </c>
      <c r="M66" t="n">
        <v>0</v>
      </c>
      <c r="N66" t="n">
        <v>0</v>
      </c>
      <c r="O66" t="n">
        <v>0</v>
      </c>
      <c r="P66" t="n">
        <v>0</v>
      </c>
      <c r="Q66" t="n">
        <v>0</v>
      </c>
      <c r="R66" s="2" t="inlineStr"/>
    </row>
    <row r="67" ht="15" customHeight="1">
      <c r="A67" t="inlineStr">
        <is>
          <t>A 1883-2019</t>
        </is>
      </c>
      <c r="B67" s="1" t="n">
        <v>43474</v>
      </c>
      <c r="C67" s="1" t="n">
        <v>45292</v>
      </c>
      <c r="D67" t="inlineStr">
        <is>
          <t>VÄSTMANLANDS LÄN</t>
        </is>
      </c>
      <c r="E67" t="inlineStr">
        <is>
          <t>SALA</t>
        </is>
      </c>
      <c r="G67" t="n">
        <v>0.5</v>
      </c>
      <c r="H67" t="n">
        <v>0</v>
      </c>
      <c r="I67" t="n">
        <v>0</v>
      </c>
      <c r="J67" t="n">
        <v>0</v>
      </c>
      <c r="K67" t="n">
        <v>0</v>
      </c>
      <c r="L67" t="n">
        <v>0</v>
      </c>
      <c r="M67" t="n">
        <v>0</v>
      </c>
      <c r="N67" t="n">
        <v>0</v>
      </c>
      <c r="O67" t="n">
        <v>0</v>
      </c>
      <c r="P67" t="n">
        <v>0</v>
      </c>
      <c r="Q67" t="n">
        <v>0</v>
      </c>
      <c r="R67" s="2" t="inlineStr"/>
    </row>
    <row r="68" ht="15" customHeight="1">
      <c r="A68" t="inlineStr">
        <is>
          <t>A 3403-2019</t>
        </is>
      </c>
      <c r="B68" s="1" t="n">
        <v>43480</v>
      </c>
      <c r="C68" s="1" t="n">
        <v>45292</v>
      </c>
      <c r="D68" t="inlineStr">
        <is>
          <t>VÄSTMANLANDS LÄN</t>
        </is>
      </c>
      <c r="E68" t="inlineStr">
        <is>
          <t>SALA</t>
        </is>
      </c>
      <c r="G68" t="n">
        <v>0.7</v>
      </c>
      <c r="H68" t="n">
        <v>0</v>
      </c>
      <c r="I68" t="n">
        <v>0</v>
      </c>
      <c r="J68" t="n">
        <v>0</v>
      </c>
      <c r="K68" t="n">
        <v>0</v>
      </c>
      <c r="L68" t="n">
        <v>0</v>
      </c>
      <c r="M68" t="n">
        <v>0</v>
      </c>
      <c r="N68" t="n">
        <v>0</v>
      </c>
      <c r="O68" t="n">
        <v>0</v>
      </c>
      <c r="P68" t="n">
        <v>0</v>
      </c>
      <c r="Q68" t="n">
        <v>0</v>
      </c>
      <c r="R68" s="2" t="inlineStr"/>
    </row>
    <row r="69" ht="15" customHeight="1">
      <c r="A69" t="inlineStr">
        <is>
          <t>A 3977-2019</t>
        </is>
      </c>
      <c r="B69" s="1" t="n">
        <v>43482</v>
      </c>
      <c r="C69" s="1" t="n">
        <v>45292</v>
      </c>
      <c r="D69" t="inlineStr">
        <is>
          <t>VÄSTMANLANDS LÄN</t>
        </is>
      </c>
      <c r="E69" t="inlineStr">
        <is>
          <t>SALA</t>
        </is>
      </c>
      <c r="G69" t="n">
        <v>1.2</v>
      </c>
      <c r="H69" t="n">
        <v>0</v>
      </c>
      <c r="I69" t="n">
        <v>0</v>
      </c>
      <c r="J69" t="n">
        <v>0</v>
      </c>
      <c r="K69" t="n">
        <v>0</v>
      </c>
      <c r="L69" t="n">
        <v>0</v>
      </c>
      <c r="M69" t="n">
        <v>0</v>
      </c>
      <c r="N69" t="n">
        <v>0</v>
      </c>
      <c r="O69" t="n">
        <v>0</v>
      </c>
      <c r="P69" t="n">
        <v>0</v>
      </c>
      <c r="Q69" t="n">
        <v>0</v>
      </c>
      <c r="R69" s="2" t="inlineStr"/>
    </row>
    <row r="70" ht="15" customHeight="1">
      <c r="A70" t="inlineStr">
        <is>
          <t>A 4445-2019</t>
        </is>
      </c>
      <c r="B70" s="1" t="n">
        <v>43485</v>
      </c>
      <c r="C70" s="1" t="n">
        <v>45292</v>
      </c>
      <c r="D70" t="inlineStr">
        <is>
          <t>VÄSTMANLANDS LÄN</t>
        </is>
      </c>
      <c r="E70" t="inlineStr">
        <is>
          <t>SALA</t>
        </is>
      </c>
      <c r="G70" t="n">
        <v>1.8</v>
      </c>
      <c r="H70" t="n">
        <v>0</v>
      </c>
      <c r="I70" t="n">
        <v>0</v>
      </c>
      <c r="J70" t="n">
        <v>0</v>
      </c>
      <c r="K70" t="n">
        <v>0</v>
      </c>
      <c r="L70" t="n">
        <v>0</v>
      </c>
      <c r="M70" t="n">
        <v>0</v>
      </c>
      <c r="N70" t="n">
        <v>0</v>
      </c>
      <c r="O70" t="n">
        <v>0</v>
      </c>
      <c r="P70" t="n">
        <v>0</v>
      </c>
      <c r="Q70" t="n">
        <v>0</v>
      </c>
      <c r="R70" s="2" t="inlineStr"/>
    </row>
    <row r="71" ht="15" customHeight="1">
      <c r="A71" t="inlineStr">
        <is>
          <t>A 5211-2019</t>
        </is>
      </c>
      <c r="B71" s="1" t="n">
        <v>43488</v>
      </c>
      <c r="C71" s="1" t="n">
        <v>45292</v>
      </c>
      <c r="D71" t="inlineStr">
        <is>
          <t>VÄSTMANLANDS LÄN</t>
        </is>
      </c>
      <c r="E71" t="inlineStr">
        <is>
          <t>SALA</t>
        </is>
      </c>
      <c r="G71" t="n">
        <v>2.2</v>
      </c>
      <c r="H71" t="n">
        <v>0</v>
      </c>
      <c r="I71" t="n">
        <v>0</v>
      </c>
      <c r="J71" t="n">
        <v>0</v>
      </c>
      <c r="K71" t="n">
        <v>0</v>
      </c>
      <c r="L71" t="n">
        <v>0</v>
      </c>
      <c r="M71" t="n">
        <v>0</v>
      </c>
      <c r="N71" t="n">
        <v>0</v>
      </c>
      <c r="O71" t="n">
        <v>0</v>
      </c>
      <c r="P71" t="n">
        <v>0</v>
      </c>
      <c r="Q71" t="n">
        <v>0</v>
      </c>
      <c r="R71" s="2" t="inlineStr"/>
    </row>
    <row r="72" ht="15" customHeight="1">
      <c r="A72" t="inlineStr">
        <is>
          <t>A 5221-2019</t>
        </is>
      </c>
      <c r="B72" s="1" t="n">
        <v>43488</v>
      </c>
      <c r="C72" s="1" t="n">
        <v>45292</v>
      </c>
      <c r="D72" t="inlineStr">
        <is>
          <t>VÄSTMANLANDS LÄN</t>
        </is>
      </c>
      <c r="E72" t="inlineStr">
        <is>
          <t>SALA</t>
        </is>
      </c>
      <c r="G72" t="n">
        <v>2.5</v>
      </c>
      <c r="H72" t="n">
        <v>0</v>
      </c>
      <c r="I72" t="n">
        <v>0</v>
      </c>
      <c r="J72" t="n">
        <v>0</v>
      </c>
      <c r="K72" t="n">
        <v>0</v>
      </c>
      <c r="L72" t="n">
        <v>0</v>
      </c>
      <c r="M72" t="n">
        <v>0</v>
      </c>
      <c r="N72" t="n">
        <v>0</v>
      </c>
      <c r="O72" t="n">
        <v>0</v>
      </c>
      <c r="P72" t="n">
        <v>0</v>
      </c>
      <c r="Q72" t="n">
        <v>0</v>
      </c>
      <c r="R72" s="2" t="inlineStr"/>
    </row>
    <row r="73" ht="15" customHeight="1">
      <c r="A73" t="inlineStr">
        <is>
          <t>A 7446-2019</t>
        </is>
      </c>
      <c r="B73" s="1" t="n">
        <v>43493</v>
      </c>
      <c r="C73" s="1" t="n">
        <v>45292</v>
      </c>
      <c r="D73" t="inlineStr">
        <is>
          <t>VÄSTMANLANDS LÄN</t>
        </is>
      </c>
      <c r="E73" t="inlineStr">
        <is>
          <t>SALA</t>
        </is>
      </c>
      <c r="G73" t="n">
        <v>1.2</v>
      </c>
      <c r="H73" t="n">
        <v>0</v>
      </c>
      <c r="I73" t="n">
        <v>0</v>
      </c>
      <c r="J73" t="n">
        <v>0</v>
      </c>
      <c r="K73" t="n">
        <v>0</v>
      </c>
      <c r="L73" t="n">
        <v>0</v>
      </c>
      <c r="M73" t="n">
        <v>0</v>
      </c>
      <c r="N73" t="n">
        <v>0</v>
      </c>
      <c r="O73" t="n">
        <v>0</v>
      </c>
      <c r="P73" t="n">
        <v>0</v>
      </c>
      <c r="Q73" t="n">
        <v>0</v>
      </c>
      <c r="R73" s="2" t="inlineStr"/>
    </row>
    <row r="74" ht="15" customHeight="1">
      <c r="A74" t="inlineStr">
        <is>
          <t>A 7273-2019</t>
        </is>
      </c>
      <c r="B74" s="1" t="n">
        <v>43496</v>
      </c>
      <c r="C74" s="1" t="n">
        <v>45292</v>
      </c>
      <c r="D74" t="inlineStr">
        <is>
          <t>VÄSTMANLANDS LÄN</t>
        </is>
      </c>
      <c r="E74" t="inlineStr">
        <is>
          <t>SALA</t>
        </is>
      </c>
      <c r="G74" t="n">
        <v>2.6</v>
      </c>
      <c r="H74" t="n">
        <v>0</v>
      </c>
      <c r="I74" t="n">
        <v>0</v>
      </c>
      <c r="J74" t="n">
        <v>0</v>
      </c>
      <c r="K74" t="n">
        <v>0</v>
      </c>
      <c r="L74" t="n">
        <v>0</v>
      </c>
      <c r="M74" t="n">
        <v>0</v>
      </c>
      <c r="N74" t="n">
        <v>0</v>
      </c>
      <c r="O74" t="n">
        <v>0</v>
      </c>
      <c r="P74" t="n">
        <v>0</v>
      </c>
      <c r="Q74" t="n">
        <v>0</v>
      </c>
      <c r="R74" s="2" t="inlineStr"/>
    </row>
    <row r="75" ht="15" customHeight="1">
      <c r="A75" t="inlineStr">
        <is>
          <t>A 8492-2019</t>
        </is>
      </c>
      <c r="B75" s="1" t="n">
        <v>43502</v>
      </c>
      <c r="C75" s="1" t="n">
        <v>45292</v>
      </c>
      <c r="D75" t="inlineStr">
        <is>
          <t>VÄSTMANLANDS LÄN</t>
        </is>
      </c>
      <c r="E75" t="inlineStr">
        <is>
          <t>SALA</t>
        </is>
      </c>
      <c r="F75" t="inlineStr">
        <is>
          <t>Kommuner</t>
        </is>
      </c>
      <c r="G75" t="n">
        <v>8</v>
      </c>
      <c r="H75" t="n">
        <v>0</v>
      </c>
      <c r="I75" t="n">
        <v>0</v>
      </c>
      <c r="J75" t="n">
        <v>0</v>
      </c>
      <c r="K75" t="n">
        <v>0</v>
      </c>
      <c r="L75" t="n">
        <v>0</v>
      </c>
      <c r="M75" t="n">
        <v>0</v>
      </c>
      <c r="N75" t="n">
        <v>0</v>
      </c>
      <c r="O75" t="n">
        <v>0</v>
      </c>
      <c r="P75" t="n">
        <v>0</v>
      </c>
      <c r="Q75" t="n">
        <v>0</v>
      </c>
      <c r="R75" s="2" t="inlineStr"/>
    </row>
    <row r="76" ht="15" customHeight="1">
      <c r="A76" t="inlineStr">
        <is>
          <t>A 8564-2019</t>
        </is>
      </c>
      <c r="B76" s="1" t="n">
        <v>43502</v>
      </c>
      <c r="C76" s="1" t="n">
        <v>45292</v>
      </c>
      <c r="D76" t="inlineStr">
        <is>
          <t>VÄSTMANLANDS LÄN</t>
        </is>
      </c>
      <c r="E76" t="inlineStr">
        <is>
          <t>SALA</t>
        </is>
      </c>
      <c r="G76" t="n">
        <v>1.7</v>
      </c>
      <c r="H76" t="n">
        <v>0</v>
      </c>
      <c r="I76" t="n">
        <v>0</v>
      </c>
      <c r="J76" t="n">
        <v>0</v>
      </c>
      <c r="K76" t="n">
        <v>0</v>
      </c>
      <c r="L76" t="n">
        <v>0</v>
      </c>
      <c r="M76" t="n">
        <v>0</v>
      </c>
      <c r="N76" t="n">
        <v>0</v>
      </c>
      <c r="O76" t="n">
        <v>0</v>
      </c>
      <c r="P76" t="n">
        <v>0</v>
      </c>
      <c r="Q76" t="n">
        <v>0</v>
      </c>
      <c r="R76" s="2" t="inlineStr"/>
    </row>
    <row r="77" ht="15" customHeight="1">
      <c r="A77" t="inlineStr">
        <is>
          <t>A 8488-2019</t>
        </is>
      </c>
      <c r="B77" s="1" t="n">
        <v>43502</v>
      </c>
      <c r="C77" s="1" t="n">
        <v>45292</v>
      </c>
      <c r="D77" t="inlineStr">
        <is>
          <t>VÄSTMANLANDS LÄN</t>
        </is>
      </c>
      <c r="E77" t="inlineStr">
        <is>
          <t>SALA</t>
        </is>
      </c>
      <c r="F77" t="inlineStr">
        <is>
          <t>Kommuner</t>
        </is>
      </c>
      <c r="G77" t="n">
        <v>9</v>
      </c>
      <c r="H77" t="n">
        <v>0</v>
      </c>
      <c r="I77" t="n">
        <v>0</v>
      </c>
      <c r="J77" t="n">
        <v>0</v>
      </c>
      <c r="K77" t="n">
        <v>0</v>
      </c>
      <c r="L77" t="n">
        <v>0</v>
      </c>
      <c r="M77" t="n">
        <v>0</v>
      </c>
      <c r="N77" t="n">
        <v>0</v>
      </c>
      <c r="O77" t="n">
        <v>0</v>
      </c>
      <c r="P77" t="n">
        <v>0</v>
      </c>
      <c r="Q77" t="n">
        <v>0</v>
      </c>
      <c r="R77" s="2" t="inlineStr"/>
    </row>
    <row r="78" ht="15" customHeight="1">
      <c r="A78" t="inlineStr">
        <is>
          <t>A 8865-2019</t>
        </is>
      </c>
      <c r="B78" s="1" t="n">
        <v>43503</v>
      </c>
      <c r="C78" s="1" t="n">
        <v>45292</v>
      </c>
      <c r="D78" t="inlineStr">
        <is>
          <t>VÄSTMANLANDS LÄN</t>
        </is>
      </c>
      <c r="E78" t="inlineStr">
        <is>
          <t>SALA</t>
        </is>
      </c>
      <c r="G78" t="n">
        <v>6.7</v>
      </c>
      <c r="H78" t="n">
        <v>0</v>
      </c>
      <c r="I78" t="n">
        <v>0</v>
      </c>
      <c r="J78" t="n">
        <v>0</v>
      </c>
      <c r="K78" t="n">
        <v>0</v>
      </c>
      <c r="L78" t="n">
        <v>0</v>
      </c>
      <c r="M78" t="n">
        <v>0</v>
      </c>
      <c r="N78" t="n">
        <v>0</v>
      </c>
      <c r="O78" t="n">
        <v>0</v>
      </c>
      <c r="P78" t="n">
        <v>0</v>
      </c>
      <c r="Q78" t="n">
        <v>0</v>
      </c>
      <c r="R78" s="2" t="inlineStr"/>
    </row>
    <row r="79" ht="15" customHeight="1">
      <c r="A79" t="inlineStr">
        <is>
          <t>A 9130-2019</t>
        </is>
      </c>
      <c r="B79" s="1" t="n">
        <v>43504</v>
      </c>
      <c r="C79" s="1" t="n">
        <v>45292</v>
      </c>
      <c r="D79" t="inlineStr">
        <is>
          <t>VÄSTMANLANDS LÄN</t>
        </is>
      </c>
      <c r="E79" t="inlineStr">
        <is>
          <t>SALA</t>
        </is>
      </c>
      <c r="G79" t="n">
        <v>1.7</v>
      </c>
      <c r="H79" t="n">
        <v>0</v>
      </c>
      <c r="I79" t="n">
        <v>0</v>
      </c>
      <c r="J79" t="n">
        <v>0</v>
      </c>
      <c r="K79" t="n">
        <v>0</v>
      </c>
      <c r="L79" t="n">
        <v>0</v>
      </c>
      <c r="M79" t="n">
        <v>0</v>
      </c>
      <c r="N79" t="n">
        <v>0</v>
      </c>
      <c r="O79" t="n">
        <v>0</v>
      </c>
      <c r="P79" t="n">
        <v>0</v>
      </c>
      <c r="Q79" t="n">
        <v>0</v>
      </c>
      <c r="R79" s="2" t="inlineStr"/>
    </row>
    <row r="80" ht="15" customHeight="1">
      <c r="A80" t="inlineStr">
        <is>
          <t>A 9515-2019</t>
        </is>
      </c>
      <c r="B80" s="1" t="n">
        <v>43507</v>
      </c>
      <c r="C80" s="1" t="n">
        <v>45292</v>
      </c>
      <c r="D80" t="inlineStr">
        <is>
          <t>VÄSTMANLANDS LÄN</t>
        </is>
      </c>
      <c r="E80" t="inlineStr">
        <is>
          <t>SALA</t>
        </is>
      </c>
      <c r="G80" t="n">
        <v>4.1</v>
      </c>
      <c r="H80" t="n">
        <v>0</v>
      </c>
      <c r="I80" t="n">
        <v>0</v>
      </c>
      <c r="J80" t="n">
        <v>0</v>
      </c>
      <c r="K80" t="n">
        <v>0</v>
      </c>
      <c r="L80" t="n">
        <v>0</v>
      </c>
      <c r="M80" t="n">
        <v>0</v>
      </c>
      <c r="N80" t="n">
        <v>0</v>
      </c>
      <c r="O80" t="n">
        <v>0</v>
      </c>
      <c r="P80" t="n">
        <v>0</v>
      </c>
      <c r="Q80" t="n">
        <v>0</v>
      </c>
      <c r="R80" s="2" t="inlineStr"/>
    </row>
    <row r="81" ht="15" customHeight="1">
      <c r="A81" t="inlineStr">
        <is>
          <t>A 10137-2019</t>
        </is>
      </c>
      <c r="B81" s="1" t="n">
        <v>43510</v>
      </c>
      <c r="C81" s="1" t="n">
        <v>45292</v>
      </c>
      <c r="D81" t="inlineStr">
        <is>
          <t>VÄSTMANLANDS LÄN</t>
        </is>
      </c>
      <c r="E81" t="inlineStr">
        <is>
          <t>SALA</t>
        </is>
      </c>
      <c r="G81" t="n">
        <v>3.4</v>
      </c>
      <c r="H81" t="n">
        <v>0</v>
      </c>
      <c r="I81" t="n">
        <v>0</v>
      </c>
      <c r="J81" t="n">
        <v>0</v>
      </c>
      <c r="K81" t="n">
        <v>0</v>
      </c>
      <c r="L81" t="n">
        <v>0</v>
      </c>
      <c r="M81" t="n">
        <v>0</v>
      </c>
      <c r="N81" t="n">
        <v>0</v>
      </c>
      <c r="O81" t="n">
        <v>0</v>
      </c>
      <c r="P81" t="n">
        <v>0</v>
      </c>
      <c r="Q81" t="n">
        <v>0</v>
      </c>
      <c r="R81" s="2" t="inlineStr"/>
    </row>
    <row r="82" ht="15" customHeight="1">
      <c r="A82" t="inlineStr">
        <is>
          <t>A 10144-2019</t>
        </is>
      </c>
      <c r="B82" s="1" t="n">
        <v>43510</v>
      </c>
      <c r="C82" s="1" t="n">
        <v>45292</v>
      </c>
      <c r="D82" t="inlineStr">
        <is>
          <t>VÄSTMANLANDS LÄN</t>
        </is>
      </c>
      <c r="E82" t="inlineStr">
        <is>
          <t>SALA</t>
        </is>
      </c>
      <c r="G82" t="n">
        <v>2.8</v>
      </c>
      <c r="H82" t="n">
        <v>0</v>
      </c>
      <c r="I82" t="n">
        <v>0</v>
      </c>
      <c r="J82" t="n">
        <v>0</v>
      </c>
      <c r="K82" t="n">
        <v>0</v>
      </c>
      <c r="L82" t="n">
        <v>0</v>
      </c>
      <c r="M82" t="n">
        <v>0</v>
      </c>
      <c r="N82" t="n">
        <v>0</v>
      </c>
      <c r="O82" t="n">
        <v>0</v>
      </c>
      <c r="P82" t="n">
        <v>0</v>
      </c>
      <c r="Q82" t="n">
        <v>0</v>
      </c>
      <c r="R82" s="2" t="inlineStr"/>
    </row>
    <row r="83" ht="15" customHeight="1">
      <c r="A83" t="inlineStr">
        <is>
          <t>A 10127-2019</t>
        </is>
      </c>
      <c r="B83" s="1" t="n">
        <v>43510</v>
      </c>
      <c r="C83" s="1" t="n">
        <v>45292</v>
      </c>
      <c r="D83" t="inlineStr">
        <is>
          <t>VÄSTMANLANDS LÄN</t>
        </is>
      </c>
      <c r="E83" t="inlineStr">
        <is>
          <t>SALA</t>
        </is>
      </c>
      <c r="G83" t="n">
        <v>2.5</v>
      </c>
      <c r="H83" t="n">
        <v>0</v>
      </c>
      <c r="I83" t="n">
        <v>0</v>
      </c>
      <c r="J83" t="n">
        <v>0</v>
      </c>
      <c r="K83" t="n">
        <v>0</v>
      </c>
      <c r="L83" t="n">
        <v>0</v>
      </c>
      <c r="M83" t="n">
        <v>0</v>
      </c>
      <c r="N83" t="n">
        <v>0</v>
      </c>
      <c r="O83" t="n">
        <v>0</v>
      </c>
      <c r="P83" t="n">
        <v>0</v>
      </c>
      <c r="Q83" t="n">
        <v>0</v>
      </c>
      <c r="R83" s="2" t="inlineStr"/>
    </row>
    <row r="84" ht="15" customHeight="1">
      <c r="A84" t="inlineStr">
        <is>
          <t>A 10155-2019</t>
        </is>
      </c>
      <c r="B84" s="1" t="n">
        <v>43510</v>
      </c>
      <c r="C84" s="1" t="n">
        <v>45292</v>
      </c>
      <c r="D84" t="inlineStr">
        <is>
          <t>VÄSTMANLANDS LÄN</t>
        </is>
      </c>
      <c r="E84" t="inlineStr">
        <is>
          <t>SALA</t>
        </is>
      </c>
      <c r="G84" t="n">
        <v>2.1</v>
      </c>
      <c r="H84" t="n">
        <v>0</v>
      </c>
      <c r="I84" t="n">
        <v>0</v>
      </c>
      <c r="J84" t="n">
        <v>0</v>
      </c>
      <c r="K84" t="n">
        <v>0</v>
      </c>
      <c r="L84" t="n">
        <v>0</v>
      </c>
      <c r="M84" t="n">
        <v>0</v>
      </c>
      <c r="N84" t="n">
        <v>0</v>
      </c>
      <c r="O84" t="n">
        <v>0</v>
      </c>
      <c r="P84" t="n">
        <v>0</v>
      </c>
      <c r="Q84" t="n">
        <v>0</v>
      </c>
      <c r="R84" s="2" t="inlineStr"/>
    </row>
    <row r="85" ht="15" customHeight="1">
      <c r="A85" t="inlineStr">
        <is>
          <t>A 10479-2019</t>
        </is>
      </c>
      <c r="B85" s="1" t="n">
        <v>43511</v>
      </c>
      <c r="C85" s="1" t="n">
        <v>45292</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12383-2019</t>
        </is>
      </c>
      <c r="B86" s="1" t="n">
        <v>43523</v>
      </c>
      <c r="C86" s="1" t="n">
        <v>45292</v>
      </c>
      <c r="D86" t="inlineStr">
        <is>
          <t>VÄSTMANLANDS LÄN</t>
        </is>
      </c>
      <c r="E86" t="inlineStr">
        <is>
          <t>SALA</t>
        </is>
      </c>
      <c r="G86" t="n">
        <v>2.4</v>
      </c>
      <c r="H86" t="n">
        <v>0</v>
      </c>
      <c r="I86" t="n">
        <v>0</v>
      </c>
      <c r="J86" t="n">
        <v>0</v>
      </c>
      <c r="K86" t="n">
        <v>0</v>
      </c>
      <c r="L86" t="n">
        <v>0</v>
      </c>
      <c r="M86" t="n">
        <v>0</v>
      </c>
      <c r="N86" t="n">
        <v>0</v>
      </c>
      <c r="O86" t="n">
        <v>0</v>
      </c>
      <c r="P86" t="n">
        <v>0</v>
      </c>
      <c r="Q86" t="n">
        <v>0</v>
      </c>
      <c r="R86" s="2" t="inlineStr"/>
    </row>
    <row r="87" ht="15" customHeight="1">
      <c r="A87" t="inlineStr">
        <is>
          <t>A 13081-2019</t>
        </is>
      </c>
      <c r="B87" s="1" t="n">
        <v>43527</v>
      </c>
      <c r="C87" s="1" t="n">
        <v>45292</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14052-2019</t>
        </is>
      </c>
      <c r="B88" s="1" t="n">
        <v>43532</v>
      </c>
      <c r="C88" s="1" t="n">
        <v>45292</v>
      </c>
      <c r="D88" t="inlineStr">
        <is>
          <t>VÄSTMANLANDS LÄN</t>
        </is>
      </c>
      <c r="E88" t="inlineStr">
        <is>
          <t>SALA</t>
        </is>
      </c>
      <c r="G88" t="n">
        <v>0.1</v>
      </c>
      <c r="H88" t="n">
        <v>0</v>
      </c>
      <c r="I88" t="n">
        <v>0</v>
      </c>
      <c r="J88" t="n">
        <v>0</v>
      </c>
      <c r="K88" t="n">
        <v>0</v>
      </c>
      <c r="L88" t="n">
        <v>0</v>
      </c>
      <c r="M88" t="n">
        <v>0</v>
      </c>
      <c r="N88" t="n">
        <v>0</v>
      </c>
      <c r="O88" t="n">
        <v>0</v>
      </c>
      <c r="P88" t="n">
        <v>0</v>
      </c>
      <c r="Q88" t="n">
        <v>0</v>
      </c>
      <c r="R88" s="2" t="inlineStr"/>
    </row>
    <row r="89" ht="15" customHeight="1">
      <c r="A89" t="inlineStr">
        <is>
          <t>A 14471-2019</t>
        </is>
      </c>
      <c r="B89" s="1" t="n">
        <v>43536</v>
      </c>
      <c r="C89" s="1" t="n">
        <v>45292</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14860-2019</t>
        </is>
      </c>
      <c r="B90" s="1" t="n">
        <v>43537</v>
      </c>
      <c r="C90" s="1" t="n">
        <v>45292</v>
      </c>
      <c r="D90" t="inlineStr">
        <is>
          <t>VÄSTMANLANDS LÄN</t>
        </is>
      </c>
      <c r="E90" t="inlineStr">
        <is>
          <t>SALA</t>
        </is>
      </c>
      <c r="G90" t="n">
        <v>1.9</v>
      </c>
      <c r="H90" t="n">
        <v>0</v>
      </c>
      <c r="I90" t="n">
        <v>0</v>
      </c>
      <c r="J90" t="n">
        <v>0</v>
      </c>
      <c r="K90" t="n">
        <v>0</v>
      </c>
      <c r="L90" t="n">
        <v>0</v>
      </c>
      <c r="M90" t="n">
        <v>0</v>
      </c>
      <c r="N90" t="n">
        <v>0</v>
      </c>
      <c r="O90" t="n">
        <v>0</v>
      </c>
      <c r="P90" t="n">
        <v>0</v>
      </c>
      <c r="Q90" t="n">
        <v>0</v>
      </c>
      <c r="R90" s="2" t="inlineStr"/>
    </row>
    <row r="91" ht="15" customHeight="1">
      <c r="A91" t="inlineStr">
        <is>
          <t>A 14975-2019</t>
        </is>
      </c>
      <c r="B91" s="1" t="n">
        <v>43538</v>
      </c>
      <c r="C91" s="1" t="n">
        <v>45292</v>
      </c>
      <c r="D91" t="inlineStr">
        <is>
          <t>VÄSTMANLANDS LÄN</t>
        </is>
      </c>
      <c r="E91" t="inlineStr">
        <is>
          <t>SALA</t>
        </is>
      </c>
      <c r="G91" t="n">
        <v>0.5</v>
      </c>
      <c r="H91" t="n">
        <v>0</v>
      </c>
      <c r="I91" t="n">
        <v>0</v>
      </c>
      <c r="J91" t="n">
        <v>0</v>
      </c>
      <c r="K91" t="n">
        <v>0</v>
      </c>
      <c r="L91" t="n">
        <v>0</v>
      </c>
      <c r="M91" t="n">
        <v>0</v>
      </c>
      <c r="N91" t="n">
        <v>0</v>
      </c>
      <c r="O91" t="n">
        <v>0</v>
      </c>
      <c r="P91" t="n">
        <v>0</v>
      </c>
      <c r="Q91" t="n">
        <v>0</v>
      </c>
      <c r="R91" s="2" t="inlineStr"/>
    </row>
    <row r="92" ht="15" customHeight="1">
      <c r="A92" t="inlineStr">
        <is>
          <t>A 15694-2019</t>
        </is>
      </c>
      <c r="B92" s="1" t="n">
        <v>43543</v>
      </c>
      <c r="C92" s="1" t="n">
        <v>45292</v>
      </c>
      <c r="D92" t="inlineStr">
        <is>
          <t>VÄSTMANLANDS LÄN</t>
        </is>
      </c>
      <c r="E92" t="inlineStr">
        <is>
          <t>SALA</t>
        </is>
      </c>
      <c r="G92" t="n">
        <v>5.3</v>
      </c>
      <c r="H92" t="n">
        <v>0</v>
      </c>
      <c r="I92" t="n">
        <v>0</v>
      </c>
      <c r="J92" t="n">
        <v>0</v>
      </c>
      <c r="K92" t="n">
        <v>0</v>
      </c>
      <c r="L92" t="n">
        <v>0</v>
      </c>
      <c r="M92" t="n">
        <v>0</v>
      </c>
      <c r="N92" t="n">
        <v>0</v>
      </c>
      <c r="O92" t="n">
        <v>0</v>
      </c>
      <c r="P92" t="n">
        <v>0</v>
      </c>
      <c r="Q92" t="n">
        <v>0</v>
      </c>
      <c r="R92" s="2" t="inlineStr"/>
    </row>
    <row r="93" ht="15" customHeight="1">
      <c r="A93" t="inlineStr">
        <is>
          <t>A 15840-2019</t>
        </is>
      </c>
      <c r="B93" s="1" t="n">
        <v>43543</v>
      </c>
      <c r="C93" s="1" t="n">
        <v>45292</v>
      </c>
      <c r="D93" t="inlineStr">
        <is>
          <t>VÄSTMANLANDS LÄN</t>
        </is>
      </c>
      <c r="E93" t="inlineStr">
        <is>
          <t>SALA</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16587-2019</t>
        </is>
      </c>
      <c r="B94" s="1" t="n">
        <v>43548</v>
      </c>
      <c r="C94" s="1" t="n">
        <v>45292</v>
      </c>
      <c r="D94" t="inlineStr">
        <is>
          <t>VÄSTMANLANDS LÄN</t>
        </is>
      </c>
      <c r="E94" t="inlineStr">
        <is>
          <t>SALA</t>
        </is>
      </c>
      <c r="G94" t="n">
        <v>1.9</v>
      </c>
      <c r="H94" t="n">
        <v>0</v>
      </c>
      <c r="I94" t="n">
        <v>0</v>
      </c>
      <c r="J94" t="n">
        <v>0</v>
      </c>
      <c r="K94" t="n">
        <v>0</v>
      </c>
      <c r="L94" t="n">
        <v>0</v>
      </c>
      <c r="M94" t="n">
        <v>0</v>
      </c>
      <c r="N94" t="n">
        <v>0</v>
      </c>
      <c r="O94" t="n">
        <v>0</v>
      </c>
      <c r="P94" t="n">
        <v>0</v>
      </c>
      <c r="Q94" t="n">
        <v>0</v>
      </c>
      <c r="R94" s="2" t="inlineStr"/>
    </row>
    <row r="95" ht="15" customHeight="1">
      <c r="A95" t="inlineStr">
        <is>
          <t>A 17509-2019</t>
        </is>
      </c>
      <c r="B95" s="1" t="n">
        <v>43553</v>
      </c>
      <c r="C95" s="1" t="n">
        <v>45292</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17518-2019</t>
        </is>
      </c>
      <c r="B96" s="1" t="n">
        <v>43553</v>
      </c>
      <c r="C96" s="1" t="n">
        <v>45292</v>
      </c>
      <c r="D96" t="inlineStr">
        <is>
          <t>VÄSTMANLANDS LÄN</t>
        </is>
      </c>
      <c r="E96" t="inlineStr">
        <is>
          <t>SALA</t>
        </is>
      </c>
      <c r="G96" t="n">
        <v>2.5</v>
      </c>
      <c r="H96" t="n">
        <v>0</v>
      </c>
      <c r="I96" t="n">
        <v>0</v>
      </c>
      <c r="J96" t="n">
        <v>0</v>
      </c>
      <c r="K96" t="n">
        <v>0</v>
      </c>
      <c r="L96" t="n">
        <v>0</v>
      </c>
      <c r="M96" t="n">
        <v>0</v>
      </c>
      <c r="N96" t="n">
        <v>0</v>
      </c>
      <c r="O96" t="n">
        <v>0</v>
      </c>
      <c r="P96" t="n">
        <v>0</v>
      </c>
      <c r="Q96" t="n">
        <v>0</v>
      </c>
      <c r="R96" s="2" t="inlineStr"/>
    </row>
    <row r="97" ht="15" customHeight="1">
      <c r="A97" t="inlineStr">
        <is>
          <t>A 18255-2019</t>
        </is>
      </c>
      <c r="B97" s="1" t="n">
        <v>43558</v>
      </c>
      <c r="C97" s="1" t="n">
        <v>45292</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45292</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45292</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45292</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45292</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45292</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45292</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45292</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45292</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45292</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45292</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45292</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45292</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45292</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45292</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45292</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45292</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45292</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45292</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45292</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45292</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45292</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45292</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45292</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45292</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45292</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45292</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45292</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39483-2019</t>
        </is>
      </c>
      <c r="B125" s="1" t="n">
        <v>43691</v>
      </c>
      <c r="C125" s="1" t="n">
        <v>45292</v>
      </c>
      <c r="D125" t="inlineStr">
        <is>
          <t>VÄSTMANLANDS LÄN</t>
        </is>
      </c>
      <c r="E125" t="inlineStr">
        <is>
          <t>SALA</t>
        </is>
      </c>
      <c r="G125" t="n">
        <v>4.6</v>
      </c>
      <c r="H125" t="n">
        <v>0</v>
      </c>
      <c r="I125" t="n">
        <v>0</v>
      </c>
      <c r="J125" t="n">
        <v>0</v>
      </c>
      <c r="K125" t="n">
        <v>0</v>
      </c>
      <c r="L125" t="n">
        <v>0</v>
      </c>
      <c r="M125" t="n">
        <v>0</v>
      </c>
      <c r="N125" t="n">
        <v>0</v>
      </c>
      <c r="O125" t="n">
        <v>0</v>
      </c>
      <c r="P125" t="n">
        <v>0</v>
      </c>
      <c r="Q125" t="n">
        <v>0</v>
      </c>
      <c r="R125" s="2" t="inlineStr"/>
    </row>
    <row r="126" ht="15" customHeight="1">
      <c r="A126" t="inlineStr">
        <is>
          <t>A 41259-2019</t>
        </is>
      </c>
      <c r="B126" s="1" t="n">
        <v>43698</v>
      </c>
      <c r="C126" s="1" t="n">
        <v>45292</v>
      </c>
      <c r="D126" t="inlineStr">
        <is>
          <t>VÄSTMANLANDS LÄN</t>
        </is>
      </c>
      <c r="E126" t="inlineStr">
        <is>
          <t>SALA</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45302-2019</t>
        </is>
      </c>
      <c r="B127" s="1" t="n">
        <v>43707</v>
      </c>
      <c r="C127" s="1" t="n">
        <v>45292</v>
      </c>
      <c r="D127" t="inlineStr">
        <is>
          <t>VÄSTMANLANDS LÄN</t>
        </is>
      </c>
      <c r="E127" t="inlineStr">
        <is>
          <t>SALA</t>
        </is>
      </c>
      <c r="G127" t="n">
        <v>2.1</v>
      </c>
      <c r="H127" t="n">
        <v>0</v>
      </c>
      <c r="I127" t="n">
        <v>0</v>
      </c>
      <c r="J127" t="n">
        <v>0</v>
      </c>
      <c r="K127" t="n">
        <v>0</v>
      </c>
      <c r="L127" t="n">
        <v>0</v>
      </c>
      <c r="M127" t="n">
        <v>0</v>
      </c>
      <c r="N127" t="n">
        <v>0</v>
      </c>
      <c r="O127" t="n">
        <v>0</v>
      </c>
      <c r="P127" t="n">
        <v>0</v>
      </c>
      <c r="Q127" t="n">
        <v>0</v>
      </c>
      <c r="R127" s="2" t="inlineStr"/>
    </row>
    <row r="128" ht="15" customHeight="1">
      <c r="A128" t="inlineStr">
        <is>
          <t>A 46936-2019</t>
        </is>
      </c>
      <c r="B128" s="1" t="n">
        <v>43719</v>
      </c>
      <c r="C128" s="1" t="n">
        <v>45292</v>
      </c>
      <c r="D128" t="inlineStr">
        <is>
          <t>VÄSTMANLANDS LÄN</t>
        </is>
      </c>
      <c r="E128" t="inlineStr">
        <is>
          <t>SALA</t>
        </is>
      </c>
      <c r="G128" t="n">
        <v>4.6</v>
      </c>
      <c r="H128" t="n">
        <v>0</v>
      </c>
      <c r="I128" t="n">
        <v>0</v>
      </c>
      <c r="J128" t="n">
        <v>0</v>
      </c>
      <c r="K128" t="n">
        <v>0</v>
      </c>
      <c r="L128" t="n">
        <v>0</v>
      </c>
      <c r="M128" t="n">
        <v>0</v>
      </c>
      <c r="N128" t="n">
        <v>0</v>
      </c>
      <c r="O128" t="n">
        <v>0</v>
      </c>
      <c r="P128" t="n">
        <v>0</v>
      </c>
      <c r="Q128" t="n">
        <v>0</v>
      </c>
      <c r="R128" s="2" t="inlineStr"/>
    </row>
    <row r="129" ht="15" customHeight="1">
      <c r="A129" t="inlineStr">
        <is>
          <t>A 47716-2019</t>
        </is>
      </c>
      <c r="B129" s="1" t="n">
        <v>43724</v>
      </c>
      <c r="C129" s="1" t="n">
        <v>45292</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45292</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45292</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52753-2019</t>
        </is>
      </c>
      <c r="B132" s="1" t="n">
        <v>43739</v>
      </c>
      <c r="C132" s="1" t="n">
        <v>45292</v>
      </c>
      <c r="D132" t="inlineStr">
        <is>
          <t>VÄSTMANLANDS LÄN</t>
        </is>
      </c>
      <c r="E132" t="inlineStr">
        <is>
          <t>SALA</t>
        </is>
      </c>
      <c r="G132" t="n">
        <v>4.9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45292</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45292</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45292</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45292</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45292</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45292</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45292</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45292</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45292</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45292</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45292</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45292</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45292</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45292</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45292</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45292</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45292</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45292</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45292</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45292</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45292</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45292</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45292</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45292</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45292</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45292</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45292</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45292</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45292</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45292</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45292</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45292</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45292</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45292</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45292</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45292</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45292</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45292</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45292</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45292</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45292</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45292</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45292</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45292</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45292</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45292</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45292</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45292</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45292</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45292</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45292</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45292</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45292</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45292</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13671-2020</t>
        </is>
      </c>
      <c r="B187" s="1" t="n">
        <v>43903</v>
      </c>
      <c r="C187" s="1" t="n">
        <v>45292</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13936-2020</t>
        </is>
      </c>
      <c r="B188" s="1" t="n">
        <v>43903</v>
      </c>
      <c r="C188" s="1" t="n">
        <v>45292</v>
      </c>
      <c r="D188" t="inlineStr">
        <is>
          <t>VÄSTMANLANDS LÄN</t>
        </is>
      </c>
      <c r="E188" t="inlineStr">
        <is>
          <t>SALA</t>
        </is>
      </c>
      <c r="G188" t="n">
        <v>1.7</v>
      </c>
      <c r="H188" t="n">
        <v>0</v>
      </c>
      <c r="I188" t="n">
        <v>0</v>
      </c>
      <c r="J188" t="n">
        <v>0</v>
      </c>
      <c r="K188" t="n">
        <v>0</v>
      </c>
      <c r="L188" t="n">
        <v>0</v>
      </c>
      <c r="M188" t="n">
        <v>0</v>
      </c>
      <c r="N188" t="n">
        <v>0</v>
      </c>
      <c r="O188" t="n">
        <v>0</v>
      </c>
      <c r="P188" t="n">
        <v>0</v>
      </c>
      <c r="Q188" t="n">
        <v>0</v>
      </c>
      <c r="R188" s="2" t="inlineStr"/>
    </row>
    <row r="189" ht="15" customHeight="1">
      <c r="A189" t="inlineStr">
        <is>
          <t>A 14049-2020</t>
        </is>
      </c>
      <c r="B189" s="1" t="n">
        <v>43906</v>
      </c>
      <c r="C189" s="1" t="n">
        <v>45292</v>
      </c>
      <c r="D189" t="inlineStr">
        <is>
          <t>VÄSTMANLANDS LÄN</t>
        </is>
      </c>
      <c r="E189" t="inlineStr">
        <is>
          <t>SALA</t>
        </is>
      </c>
      <c r="G189" t="n">
        <v>4.4</v>
      </c>
      <c r="H189" t="n">
        <v>0</v>
      </c>
      <c r="I189" t="n">
        <v>0</v>
      </c>
      <c r="J189" t="n">
        <v>0</v>
      </c>
      <c r="K189" t="n">
        <v>0</v>
      </c>
      <c r="L189" t="n">
        <v>0</v>
      </c>
      <c r="M189" t="n">
        <v>0</v>
      </c>
      <c r="N189" t="n">
        <v>0</v>
      </c>
      <c r="O189" t="n">
        <v>0</v>
      </c>
      <c r="P189" t="n">
        <v>0</v>
      </c>
      <c r="Q189" t="n">
        <v>0</v>
      </c>
      <c r="R189" s="2" t="inlineStr"/>
    </row>
    <row r="190" ht="15" customHeight="1">
      <c r="A190" t="inlineStr">
        <is>
          <t>A 14542-2020</t>
        </is>
      </c>
      <c r="B190" s="1" t="n">
        <v>43908</v>
      </c>
      <c r="C190" s="1" t="n">
        <v>45292</v>
      </c>
      <c r="D190" t="inlineStr">
        <is>
          <t>VÄSTMANLANDS LÄN</t>
        </is>
      </c>
      <c r="E190" t="inlineStr">
        <is>
          <t>SALA</t>
        </is>
      </c>
      <c r="G190" t="n">
        <v>4.1</v>
      </c>
      <c r="H190" t="n">
        <v>0</v>
      </c>
      <c r="I190" t="n">
        <v>0</v>
      </c>
      <c r="J190" t="n">
        <v>0</v>
      </c>
      <c r="K190" t="n">
        <v>0</v>
      </c>
      <c r="L190" t="n">
        <v>0</v>
      </c>
      <c r="M190" t="n">
        <v>0</v>
      </c>
      <c r="N190" t="n">
        <v>0</v>
      </c>
      <c r="O190" t="n">
        <v>0</v>
      </c>
      <c r="P190" t="n">
        <v>0</v>
      </c>
      <c r="Q190" t="n">
        <v>0</v>
      </c>
      <c r="R190" s="2" t="inlineStr"/>
    </row>
    <row r="191" ht="15" customHeight="1">
      <c r="A191" t="inlineStr">
        <is>
          <t>A 16480-2020</t>
        </is>
      </c>
      <c r="B191" s="1" t="n">
        <v>43914</v>
      </c>
      <c r="C191" s="1" t="n">
        <v>45292</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15850-2020</t>
        </is>
      </c>
      <c r="B192" s="1" t="n">
        <v>43915</v>
      </c>
      <c r="C192" s="1" t="n">
        <v>45292</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15748-2020</t>
        </is>
      </c>
      <c r="B193" s="1" t="n">
        <v>43915</v>
      </c>
      <c r="C193" s="1" t="n">
        <v>45292</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16093-2020</t>
        </is>
      </c>
      <c r="B194" s="1" t="n">
        <v>43916</v>
      </c>
      <c r="C194" s="1" t="n">
        <v>45292</v>
      </c>
      <c r="D194" t="inlineStr">
        <is>
          <t>VÄSTMANLANDS LÄN</t>
        </is>
      </c>
      <c r="E194" t="inlineStr">
        <is>
          <t>SALA</t>
        </is>
      </c>
      <c r="G194" t="n">
        <v>1.6</v>
      </c>
      <c r="H194" t="n">
        <v>0</v>
      </c>
      <c r="I194" t="n">
        <v>0</v>
      </c>
      <c r="J194" t="n">
        <v>0</v>
      </c>
      <c r="K194" t="n">
        <v>0</v>
      </c>
      <c r="L194" t="n">
        <v>0</v>
      </c>
      <c r="M194" t="n">
        <v>0</v>
      </c>
      <c r="N194" t="n">
        <v>0</v>
      </c>
      <c r="O194" t="n">
        <v>0</v>
      </c>
      <c r="P194" t="n">
        <v>0</v>
      </c>
      <c r="Q194" t="n">
        <v>0</v>
      </c>
      <c r="R194" s="2" t="inlineStr"/>
    </row>
    <row r="195" ht="15" customHeight="1">
      <c r="A195" t="inlineStr">
        <is>
          <t>A 17139-2020</t>
        </is>
      </c>
      <c r="B195" s="1" t="n">
        <v>43922</v>
      </c>
      <c r="C195" s="1" t="n">
        <v>45292</v>
      </c>
      <c r="D195" t="inlineStr">
        <is>
          <t>VÄSTMANLANDS LÄN</t>
        </is>
      </c>
      <c r="E195" t="inlineStr">
        <is>
          <t>SALA</t>
        </is>
      </c>
      <c r="G195" t="n">
        <v>0.5</v>
      </c>
      <c r="H195" t="n">
        <v>0</v>
      </c>
      <c r="I195" t="n">
        <v>0</v>
      </c>
      <c r="J195" t="n">
        <v>0</v>
      </c>
      <c r="K195" t="n">
        <v>0</v>
      </c>
      <c r="L195" t="n">
        <v>0</v>
      </c>
      <c r="M195" t="n">
        <v>0</v>
      </c>
      <c r="N195" t="n">
        <v>0</v>
      </c>
      <c r="O195" t="n">
        <v>0</v>
      </c>
      <c r="P195" t="n">
        <v>0</v>
      </c>
      <c r="Q195" t="n">
        <v>0</v>
      </c>
      <c r="R195" s="2" t="inlineStr"/>
    </row>
    <row r="196" ht="15" customHeight="1">
      <c r="A196" t="inlineStr">
        <is>
          <t>A 17205-2020</t>
        </is>
      </c>
      <c r="B196" s="1" t="n">
        <v>43922</v>
      </c>
      <c r="C196" s="1" t="n">
        <v>45292</v>
      </c>
      <c r="D196" t="inlineStr">
        <is>
          <t>VÄSTMANLANDS LÄN</t>
        </is>
      </c>
      <c r="E196" t="inlineStr">
        <is>
          <t>SALA</t>
        </is>
      </c>
      <c r="G196" t="n">
        <v>3.2</v>
      </c>
      <c r="H196" t="n">
        <v>0</v>
      </c>
      <c r="I196" t="n">
        <v>0</v>
      </c>
      <c r="J196" t="n">
        <v>0</v>
      </c>
      <c r="K196" t="n">
        <v>0</v>
      </c>
      <c r="L196" t="n">
        <v>0</v>
      </c>
      <c r="M196" t="n">
        <v>0</v>
      </c>
      <c r="N196" t="n">
        <v>0</v>
      </c>
      <c r="O196" t="n">
        <v>0</v>
      </c>
      <c r="P196" t="n">
        <v>0</v>
      </c>
      <c r="Q196" t="n">
        <v>0</v>
      </c>
      <c r="R196" s="2" t="inlineStr"/>
    </row>
    <row r="197" ht="15" customHeight="1">
      <c r="A197" t="inlineStr">
        <is>
          <t>A 17355-2020</t>
        </is>
      </c>
      <c r="B197" s="1" t="n">
        <v>43923</v>
      </c>
      <c r="C197" s="1" t="n">
        <v>45292</v>
      </c>
      <c r="D197" t="inlineStr">
        <is>
          <t>VÄSTMANLANDS LÄN</t>
        </is>
      </c>
      <c r="E197" t="inlineStr">
        <is>
          <t>SALA</t>
        </is>
      </c>
      <c r="G197" t="n">
        <v>0.4</v>
      </c>
      <c r="H197" t="n">
        <v>0</v>
      </c>
      <c r="I197" t="n">
        <v>0</v>
      </c>
      <c r="J197" t="n">
        <v>0</v>
      </c>
      <c r="K197" t="n">
        <v>0</v>
      </c>
      <c r="L197" t="n">
        <v>0</v>
      </c>
      <c r="M197" t="n">
        <v>0</v>
      </c>
      <c r="N197" t="n">
        <v>0</v>
      </c>
      <c r="O197" t="n">
        <v>0</v>
      </c>
      <c r="P197" t="n">
        <v>0</v>
      </c>
      <c r="Q197" t="n">
        <v>0</v>
      </c>
      <c r="R197" s="2" t="inlineStr"/>
    </row>
    <row r="198" ht="15" customHeight="1">
      <c r="A198" t="inlineStr">
        <is>
          <t>A 17492-2020</t>
        </is>
      </c>
      <c r="B198" s="1" t="n">
        <v>43923</v>
      </c>
      <c r="C198" s="1" t="n">
        <v>45292</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17919-2020</t>
        </is>
      </c>
      <c r="B199" s="1" t="n">
        <v>43924</v>
      </c>
      <c r="C199" s="1" t="n">
        <v>45292</v>
      </c>
      <c r="D199" t="inlineStr">
        <is>
          <t>VÄSTMANLANDS LÄN</t>
        </is>
      </c>
      <c r="E199" t="inlineStr">
        <is>
          <t>SALA</t>
        </is>
      </c>
      <c r="G199" t="n">
        <v>2.6</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45292</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45292</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45292</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45292</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45292</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45292</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45292</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45292</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45292</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45292</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45292</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45292</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45292</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45292</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45292</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45292</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45292</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45292</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45292</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45292</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45292</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45292</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45292</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45292</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45292</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45292</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45292</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45292</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45292</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45292</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45292</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45292</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45292</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45292</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45292</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45292</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45292</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45292</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45292</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45292</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45292</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45292</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45292</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45292</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45292</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45292</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45292</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45292</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45292</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45292</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45292</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45292</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45292</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45292</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45292</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45292</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45292</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45292</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45292</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45292</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45292</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45292</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45292</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45292</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45292</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69362-2020</t>
        </is>
      </c>
      <c r="B265" s="1" t="n">
        <v>44193</v>
      </c>
      <c r="C265" s="1" t="n">
        <v>45292</v>
      </c>
      <c r="D265" t="inlineStr">
        <is>
          <t>VÄSTMANLANDS LÄN</t>
        </is>
      </c>
      <c r="E265" t="inlineStr">
        <is>
          <t>SALA</t>
        </is>
      </c>
      <c r="G265" t="n">
        <v>13.7</v>
      </c>
      <c r="H265" t="n">
        <v>0</v>
      </c>
      <c r="I265" t="n">
        <v>0</v>
      </c>
      <c r="J265" t="n">
        <v>0</v>
      </c>
      <c r="K265" t="n">
        <v>0</v>
      </c>
      <c r="L265" t="n">
        <v>0</v>
      </c>
      <c r="M265" t="n">
        <v>0</v>
      </c>
      <c r="N265" t="n">
        <v>0</v>
      </c>
      <c r="O265" t="n">
        <v>0</v>
      </c>
      <c r="P265" t="n">
        <v>0</v>
      </c>
      <c r="Q265" t="n">
        <v>0</v>
      </c>
      <c r="R265" s="2" t="inlineStr"/>
    </row>
    <row r="266" ht="15" customHeight="1">
      <c r="A266" t="inlineStr">
        <is>
          <t>A 1599-2021</t>
        </is>
      </c>
      <c r="B266" s="1" t="n">
        <v>44209</v>
      </c>
      <c r="C266" s="1" t="n">
        <v>45292</v>
      </c>
      <c r="D266" t="inlineStr">
        <is>
          <t>VÄSTMANLANDS LÄN</t>
        </is>
      </c>
      <c r="E266" t="inlineStr">
        <is>
          <t>SALA</t>
        </is>
      </c>
      <c r="G266" t="n">
        <v>9.6</v>
      </c>
      <c r="H266" t="n">
        <v>0</v>
      </c>
      <c r="I266" t="n">
        <v>0</v>
      </c>
      <c r="J266" t="n">
        <v>0</v>
      </c>
      <c r="K266" t="n">
        <v>0</v>
      </c>
      <c r="L266" t="n">
        <v>0</v>
      </c>
      <c r="M266" t="n">
        <v>0</v>
      </c>
      <c r="N266" t="n">
        <v>0</v>
      </c>
      <c r="O266" t="n">
        <v>0</v>
      </c>
      <c r="P266" t="n">
        <v>0</v>
      </c>
      <c r="Q266" t="n">
        <v>0</v>
      </c>
      <c r="R266" s="2" t="inlineStr"/>
      <c r="U266">
        <f>HYPERLINK("https://klasma.github.io/Logging_1981/knärot/A 1599-2021 karta knärot.png", "A 1599-2021")</f>
        <v/>
      </c>
      <c r="V266">
        <f>HYPERLINK("https://klasma.github.io/Logging_1981/klagomål/A 1599-2021 FSC-klagomål.docx", "A 1599-2021")</f>
        <v/>
      </c>
      <c r="W266">
        <f>HYPERLINK("https://klasma.github.io/Logging_1981/klagomålsmail/A 1599-2021 FSC-klagomål mail.docx", "A 1599-2021")</f>
        <v/>
      </c>
      <c r="X266">
        <f>HYPERLINK("https://klasma.github.io/Logging_1981/tillsyn/A 1599-2021 tillsynsbegäran.docx", "A 1599-2021")</f>
        <v/>
      </c>
      <c r="Y266">
        <f>HYPERLINK("https://klasma.github.io/Logging_1981/tillsynsmail/A 1599-2021 tillsynsbegäran mail.docx", "A 1599-2021")</f>
        <v/>
      </c>
    </row>
    <row r="267" ht="15" customHeight="1">
      <c r="A267" t="inlineStr">
        <is>
          <t>A 2443-2021</t>
        </is>
      </c>
      <c r="B267" s="1" t="n">
        <v>44214</v>
      </c>
      <c r="C267" s="1" t="n">
        <v>45292</v>
      </c>
      <c r="D267" t="inlineStr">
        <is>
          <t>VÄSTMANLANDS LÄN</t>
        </is>
      </c>
      <c r="E267" t="inlineStr">
        <is>
          <t>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4736-2021</t>
        </is>
      </c>
      <c r="B268" s="1" t="n">
        <v>44225</v>
      </c>
      <c r="C268" s="1" t="n">
        <v>45292</v>
      </c>
      <c r="D268" t="inlineStr">
        <is>
          <t>VÄSTMANLANDS LÄN</t>
        </is>
      </c>
      <c r="E268" t="inlineStr">
        <is>
          <t>SALA</t>
        </is>
      </c>
      <c r="G268" t="n">
        <v>4.2</v>
      </c>
      <c r="H268" t="n">
        <v>0</v>
      </c>
      <c r="I268" t="n">
        <v>0</v>
      </c>
      <c r="J268" t="n">
        <v>0</v>
      </c>
      <c r="K268" t="n">
        <v>0</v>
      </c>
      <c r="L268" t="n">
        <v>0</v>
      </c>
      <c r="M268" t="n">
        <v>0</v>
      </c>
      <c r="N268" t="n">
        <v>0</v>
      </c>
      <c r="O268" t="n">
        <v>0</v>
      </c>
      <c r="P268" t="n">
        <v>0</v>
      </c>
      <c r="Q268" t="n">
        <v>0</v>
      </c>
      <c r="R268" s="2" t="inlineStr"/>
    </row>
    <row r="269" ht="15" customHeight="1">
      <c r="A269" t="inlineStr">
        <is>
          <t>A 6088-2021</t>
        </is>
      </c>
      <c r="B269" s="1" t="n">
        <v>44232</v>
      </c>
      <c r="C269" s="1" t="n">
        <v>45292</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6308-2021</t>
        </is>
      </c>
      <c r="B270" s="1" t="n">
        <v>44235</v>
      </c>
      <c r="C270" s="1" t="n">
        <v>45292</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7681-2021</t>
        </is>
      </c>
      <c r="B271" s="1" t="n">
        <v>44242</v>
      </c>
      <c r="C271" s="1" t="n">
        <v>45292</v>
      </c>
      <c r="D271" t="inlineStr">
        <is>
          <t>VÄSTMANLANDS LÄN</t>
        </is>
      </c>
      <c r="E271" t="inlineStr">
        <is>
          <t>SALA</t>
        </is>
      </c>
      <c r="F271" t="inlineStr">
        <is>
          <t>Sveaskog</t>
        </is>
      </c>
      <c r="G271" t="n">
        <v>16.1</v>
      </c>
      <c r="H271" t="n">
        <v>0</v>
      </c>
      <c r="I271" t="n">
        <v>0</v>
      </c>
      <c r="J271" t="n">
        <v>0</v>
      </c>
      <c r="K271" t="n">
        <v>0</v>
      </c>
      <c r="L271" t="n">
        <v>0</v>
      </c>
      <c r="M271" t="n">
        <v>0</v>
      </c>
      <c r="N271" t="n">
        <v>0</v>
      </c>
      <c r="O271" t="n">
        <v>0</v>
      </c>
      <c r="P271" t="n">
        <v>0</v>
      </c>
      <c r="Q271" t="n">
        <v>0</v>
      </c>
      <c r="R271" s="2" t="inlineStr"/>
    </row>
    <row r="272" ht="15" customHeight="1">
      <c r="A272" t="inlineStr">
        <is>
          <t>A 7968-2021</t>
        </is>
      </c>
      <c r="B272" s="1" t="n">
        <v>44243</v>
      </c>
      <c r="C272" s="1" t="n">
        <v>45292</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7955-2021</t>
        </is>
      </c>
      <c r="B273" s="1" t="n">
        <v>44243</v>
      </c>
      <c r="C273" s="1" t="n">
        <v>45292</v>
      </c>
      <c r="D273" t="inlineStr">
        <is>
          <t>VÄSTMANLANDS LÄN</t>
        </is>
      </c>
      <c r="E273" t="inlineStr">
        <is>
          <t>SALA</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8513-2021</t>
        </is>
      </c>
      <c r="B274" s="1" t="n">
        <v>44244</v>
      </c>
      <c r="C274" s="1" t="n">
        <v>45292</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10154-2021</t>
        </is>
      </c>
      <c r="B275" s="1" t="n">
        <v>44256</v>
      </c>
      <c r="C275" s="1" t="n">
        <v>45292</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10812-2021</t>
        </is>
      </c>
      <c r="B276" s="1" t="n">
        <v>44259</v>
      </c>
      <c r="C276" s="1" t="n">
        <v>45292</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11017-2021</t>
        </is>
      </c>
      <c r="B277" s="1" t="n">
        <v>44260</v>
      </c>
      <c r="C277" s="1" t="n">
        <v>45292</v>
      </c>
      <c r="D277" t="inlineStr">
        <is>
          <t>VÄSTMANLANDS LÄN</t>
        </is>
      </c>
      <c r="E277" t="inlineStr">
        <is>
          <t>SALA</t>
        </is>
      </c>
      <c r="F277" t="inlineStr">
        <is>
          <t>Kyrkan</t>
        </is>
      </c>
      <c r="G277" t="n">
        <v>1.2</v>
      </c>
      <c r="H277" t="n">
        <v>0</v>
      </c>
      <c r="I277" t="n">
        <v>0</v>
      </c>
      <c r="J277" t="n">
        <v>0</v>
      </c>
      <c r="K277" t="n">
        <v>0</v>
      </c>
      <c r="L277" t="n">
        <v>0</v>
      </c>
      <c r="M277" t="n">
        <v>0</v>
      </c>
      <c r="N277" t="n">
        <v>0</v>
      </c>
      <c r="O277" t="n">
        <v>0</v>
      </c>
      <c r="P277" t="n">
        <v>0</v>
      </c>
      <c r="Q277" t="n">
        <v>0</v>
      </c>
      <c r="R277" s="2" t="inlineStr"/>
    </row>
    <row r="278" ht="15" customHeight="1">
      <c r="A278" t="inlineStr">
        <is>
          <t>A 11007-2021</t>
        </is>
      </c>
      <c r="B278" s="1" t="n">
        <v>44260</v>
      </c>
      <c r="C278" s="1" t="n">
        <v>45292</v>
      </c>
      <c r="D278" t="inlineStr">
        <is>
          <t>VÄSTMANLANDS LÄN</t>
        </is>
      </c>
      <c r="E278" t="inlineStr">
        <is>
          <t>SALA</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11560-2021</t>
        </is>
      </c>
      <c r="B279" s="1" t="n">
        <v>44264</v>
      </c>
      <c r="C279" s="1" t="n">
        <v>45292</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13112-2021</t>
        </is>
      </c>
      <c r="B280" s="1" t="n">
        <v>44272</v>
      </c>
      <c r="C280" s="1" t="n">
        <v>45292</v>
      </c>
      <c r="D280" t="inlineStr">
        <is>
          <t>VÄSTMANLANDS LÄN</t>
        </is>
      </c>
      <c r="E280" t="inlineStr">
        <is>
          <t>SALA</t>
        </is>
      </c>
      <c r="G280" t="n">
        <v>3.7</v>
      </c>
      <c r="H280" t="n">
        <v>0</v>
      </c>
      <c r="I280" t="n">
        <v>0</v>
      </c>
      <c r="J280" t="n">
        <v>0</v>
      </c>
      <c r="K280" t="n">
        <v>0</v>
      </c>
      <c r="L280" t="n">
        <v>0</v>
      </c>
      <c r="M280" t="n">
        <v>0</v>
      </c>
      <c r="N280" t="n">
        <v>0</v>
      </c>
      <c r="O280" t="n">
        <v>0</v>
      </c>
      <c r="P280" t="n">
        <v>0</v>
      </c>
      <c r="Q280" t="n">
        <v>0</v>
      </c>
      <c r="R280" s="2" t="inlineStr"/>
    </row>
    <row r="281" ht="15" customHeight="1">
      <c r="A281" t="inlineStr">
        <is>
          <t>A 13993-2021</t>
        </is>
      </c>
      <c r="B281" s="1" t="n">
        <v>44277</v>
      </c>
      <c r="C281" s="1" t="n">
        <v>45292</v>
      </c>
      <c r="D281" t="inlineStr">
        <is>
          <t>VÄSTMANLANDS LÄN</t>
        </is>
      </c>
      <c r="E281" t="inlineStr">
        <is>
          <t>SALA</t>
        </is>
      </c>
      <c r="G281" t="n">
        <v>27.6</v>
      </c>
      <c r="H281" t="n">
        <v>0</v>
      </c>
      <c r="I281" t="n">
        <v>0</v>
      </c>
      <c r="J281" t="n">
        <v>0</v>
      </c>
      <c r="K281" t="n">
        <v>0</v>
      </c>
      <c r="L281" t="n">
        <v>0</v>
      </c>
      <c r="M281" t="n">
        <v>0</v>
      </c>
      <c r="N281" t="n">
        <v>0</v>
      </c>
      <c r="O281" t="n">
        <v>0</v>
      </c>
      <c r="P281" t="n">
        <v>0</v>
      </c>
      <c r="Q281" t="n">
        <v>0</v>
      </c>
      <c r="R281" s="2" t="inlineStr"/>
    </row>
    <row r="282" ht="15" customHeight="1">
      <c r="A282" t="inlineStr">
        <is>
          <t>A 14010-2021</t>
        </is>
      </c>
      <c r="B282" s="1" t="n">
        <v>44277</v>
      </c>
      <c r="C282" s="1" t="n">
        <v>45292</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15354-2021</t>
        </is>
      </c>
      <c r="B283" s="1" t="n">
        <v>44284</v>
      </c>
      <c r="C283" s="1" t="n">
        <v>45292</v>
      </c>
      <c r="D283" t="inlineStr">
        <is>
          <t>VÄSTMANLANDS LÄN</t>
        </is>
      </c>
      <c r="E283" t="inlineStr">
        <is>
          <t>SALA</t>
        </is>
      </c>
      <c r="F283" t="inlineStr">
        <is>
          <t>Kyrkan</t>
        </is>
      </c>
      <c r="G283" t="n">
        <v>8.5</v>
      </c>
      <c r="H283" t="n">
        <v>0</v>
      </c>
      <c r="I283" t="n">
        <v>0</v>
      </c>
      <c r="J283" t="n">
        <v>0</v>
      </c>
      <c r="K283" t="n">
        <v>0</v>
      </c>
      <c r="L283" t="n">
        <v>0</v>
      </c>
      <c r="M283" t="n">
        <v>0</v>
      </c>
      <c r="N283" t="n">
        <v>0</v>
      </c>
      <c r="O283" t="n">
        <v>0</v>
      </c>
      <c r="P283" t="n">
        <v>0</v>
      </c>
      <c r="Q283" t="n">
        <v>0</v>
      </c>
      <c r="R283" s="2" t="inlineStr"/>
    </row>
    <row r="284" ht="15" customHeight="1">
      <c r="A284" t="inlineStr">
        <is>
          <t>A 15483-2021</t>
        </is>
      </c>
      <c r="B284" s="1" t="n">
        <v>44285</v>
      </c>
      <c r="C284" s="1" t="n">
        <v>45292</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15584-2021</t>
        </is>
      </c>
      <c r="B285" s="1" t="n">
        <v>44285</v>
      </c>
      <c r="C285" s="1" t="n">
        <v>45292</v>
      </c>
      <c r="D285" t="inlineStr">
        <is>
          <t>VÄSTMANLANDS LÄN</t>
        </is>
      </c>
      <c r="E285" t="inlineStr">
        <is>
          <t>SALA</t>
        </is>
      </c>
      <c r="G285" t="n">
        <v>3.4</v>
      </c>
      <c r="H285" t="n">
        <v>0</v>
      </c>
      <c r="I285" t="n">
        <v>0</v>
      </c>
      <c r="J285" t="n">
        <v>0</v>
      </c>
      <c r="K285" t="n">
        <v>0</v>
      </c>
      <c r="L285" t="n">
        <v>0</v>
      </c>
      <c r="M285" t="n">
        <v>0</v>
      </c>
      <c r="N285" t="n">
        <v>0</v>
      </c>
      <c r="O285" t="n">
        <v>0</v>
      </c>
      <c r="P285" t="n">
        <v>0</v>
      </c>
      <c r="Q285" t="n">
        <v>0</v>
      </c>
      <c r="R285" s="2" t="inlineStr"/>
    </row>
    <row r="286" ht="15" customHeight="1">
      <c r="A286" t="inlineStr">
        <is>
          <t>A 16651-2021</t>
        </is>
      </c>
      <c r="B286" s="1" t="n">
        <v>44294</v>
      </c>
      <c r="C286" s="1" t="n">
        <v>45292</v>
      </c>
      <c r="D286" t="inlineStr">
        <is>
          <t>VÄSTMANLANDS LÄN</t>
        </is>
      </c>
      <c r="E286" t="inlineStr">
        <is>
          <t>SALA</t>
        </is>
      </c>
      <c r="G286" t="n">
        <v>7.7</v>
      </c>
      <c r="H286" t="n">
        <v>0</v>
      </c>
      <c r="I286" t="n">
        <v>0</v>
      </c>
      <c r="J286" t="n">
        <v>0</v>
      </c>
      <c r="K286" t="n">
        <v>0</v>
      </c>
      <c r="L286" t="n">
        <v>0</v>
      </c>
      <c r="M286" t="n">
        <v>0</v>
      </c>
      <c r="N286" t="n">
        <v>0</v>
      </c>
      <c r="O286" t="n">
        <v>0</v>
      </c>
      <c r="P286" t="n">
        <v>0</v>
      </c>
      <c r="Q286" t="n">
        <v>0</v>
      </c>
      <c r="R286" s="2" t="inlineStr"/>
    </row>
    <row r="287" ht="15" customHeight="1">
      <c r="A287" t="inlineStr">
        <is>
          <t>A 18046-2021</t>
        </is>
      </c>
      <c r="B287" s="1" t="n">
        <v>44301</v>
      </c>
      <c r="C287" s="1" t="n">
        <v>45292</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18189-2021</t>
        </is>
      </c>
      <c r="B288" s="1" t="n">
        <v>44302</v>
      </c>
      <c r="C288" s="1" t="n">
        <v>45292</v>
      </c>
      <c r="D288" t="inlineStr">
        <is>
          <t>VÄSTMANLANDS LÄN</t>
        </is>
      </c>
      <c r="E288" t="inlineStr">
        <is>
          <t>SALA</t>
        </is>
      </c>
      <c r="G288" t="n">
        <v>0.7</v>
      </c>
      <c r="H288" t="n">
        <v>0</v>
      </c>
      <c r="I288" t="n">
        <v>0</v>
      </c>
      <c r="J288" t="n">
        <v>0</v>
      </c>
      <c r="K288" t="n">
        <v>0</v>
      </c>
      <c r="L288" t="n">
        <v>0</v>
      </c>
      <c r="M288" t="n">
        <v>0</v>
      </c>
      <c r="N288" t="n">
        <v>0</v>
      </c>
      <c r="O288" t="n">
        <v>0</v>
      </c>
      <c r="P288" t="n">
        <v>0</v>
      </c>
      <c r="Q288" t="n">
        <v>0</v>
      </c>
      <c r="R288" s="2" t="inlineStr"/>
    </row>
    <row r="289" ht="15" customHeight="1">
      <c r="A289" t="inlineStr">
        <is>
          <t>A 18259-2021</t>
        </is>
      </c>
      <c r="B289" s="1" t="n">
        <v>44305</v>
      </c>
      <c r="C289" s="1" t="n">
        <v>45292</v>
      </c>
      <c r="D289" t="inlineStr">
        <is>
          <t>VÄSTMANLANDS LÄN</t>
        </is>
      </c>
      <c r="E289" t="inlineStr">
        <is>
          <t>SALA</t>
        </is>
      </c>
      <c r="G289" t="n">
        <v>0</v>
      </c>
      <c r="H289" t="n">
        <v>0</v>
      </c>
      <c r="I289" t="n">
        <v>0</v>
      </c>
      <c r="J289" t="n">
        <v>0</v>
      </c>
      <c r="K289" t="n">
        <v>0</v>
      </c>
      <c r="L289" t="n">
        <v>0</v>
      </c>
      <c r="M289" t="n">
        <v>0</v>
      </c>
      <c r="N289" t="n">
        <v>0</v>
      </c>
      <c r="O289" t="n">
        <v>0</v>
      </c>
      <c r="P289" t="n">
        <v>0</v>
      </c>
      <c r="Q289" t="n">
        <v>0</v>
      </c>
      <c r="R289" s="2" t="inlineStr"/>
    </row>
    <row r="290" ht="15" customHeight="1">
      <c r="A290" t="inlineStr">
        <is>
          <t>A 18378-2021</t>
        </is>
      </c>
      <c r="B290" s="1" t="n">
        <v>44305</v>
      </c>
      <c r="C290" s="1" t="n">
        <v>45292</v>
      </c>
      <c r="D290" t="inlineStr">
        <is>
          <t>VÄSTMANLANDS LÄN</t>
        </is>
      </c>
      <c r="E290" t="inlineStr">
        <is>
          <t>SALA</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18385-2021</t>
        </is>
      </c>
      <c r="B291" s="1" t="n">
        <v>44305</v>
      </c>
      <c r="C291" s="1" t="n">
        <v>45292</v>
      </c>
      <c r="D291" t="inlineStr">
        <is>
          <t>VÄSTMANLANDS LÄN</t>
        </is>
      </c>
      <c r="E291" t="inlineStr">
        <is>
          <t>SALA</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18951-2021</t>
        </is>
      </c>
      <c r="B292" s="1" t="n">
        <v>44308</v>
      </c>
      <c r="C292" s="1" t="n">
        <v>45292</v>
      </c>
      <c r="D292" t="inlineStr">
        <is>
          <t>VÄSTMANLANDS LÄN</t>
        </is>
      </c>
      <c r="E292" t="inlineStr">
        <is>
          <t>SALA</t>
        </is>
      </c>
      <c r="G292" t="n">
        <v>0.3</v>
      </c>
      <c r="H292" t="n">
        <v>0</v>
      </c>
      <c r="I292" t="n">
        <v>0</v>
      </c>
      <c r="J292" t="n">
        <v>0</v>
      </c>
      <c r="K292" t="n">
        <v>0</v>
      </c>
      <c r="L292" t="n">
        <v>0</v>
      </c>
      <c r="M292" t="n">
        <v>0</v>
      </c>
      <c r="N292" t="n">
        <v>0</v>
      </c>
      <c r="O292" t="n">
        <v>0</v>
      </c>
      <c r="P292" t="n">
        <v>0</v>
      </c>
      <c r="Q292" t="n">
        <v>0</v>
      </c>
      <c r="R292" s="2" t="inlineStr"/>
    </row>
    <row r="293" ht="15" customHeight="1">
      <c r="A293" t="inlineStr">
        <is>
          <t>A 21458-2021</t>
        </is>
      </c>
      <c r="B293" s="1" t="n">
        <v>44321</v>
      </c>
      <c r="C293" s="1" t="n">
        <v>45292</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21478-2021</t>
        </is>
      </c>
      <c r="B294" s="1" t="n">
        <v>44321</v>
      </c>
      <c r="C294" s="1" t="n">
        <v>45292</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22019-2021</t>
        </is>
      </c>
      <c r="B295" s="1" t="n">
        <v>44323</v>
      </c>
      <c r="C295" s="1" t="n">
        <v>45292</v>
      </c>
      <c r="D295" t="inlineStr">
        <is>
          <t>VÄSTMANLANDS LÄN</t>
        </is>
      </c>
      <c r="E295" t="inlineStr">
        <is>
          <t>SALA</t>
        </is>
      </c>
      <c r="G295" t="n">
        <v>1.9</v>
      </c>
      <c r="H295" t="n">
        <v>0</v>
      </c>
      <c r="I295" t="n">
        <v>0</v>
      </c>
      <c r="J295" t="n">
        <v>0</v>
      </c>
      <c r="K295" t="n">
        <v>0</v>
      </c>
      <c r="L295" t="n">
        <v>0</v>
      </c>
      <c r="M295" t="n">
        <v>0</v>
      </c>
      <c r="N295" t="n">
        <v>0</v>
      </c>
      <c r="O295" t="n">
        <v>0</v>
      </c>
      <c r="P295" t="n">
        <v>0</v>
      </c>
      <c r="Q295" t="n">
        <v>0</v>
      </c>
      <c r="R295" s="2" t="inlineStr"/>
    </row>
    <row r="296" ht="15" customHeight="1">
      <c r="A296" t="inlineStr">
        <is>
          <t>A 22026-2021</t>
        </is>
      </c>
      <c r="B296" s="1" t="n">
        <v>44323</v>
      </c>
      <c r="C296" s="1" t="n">
        <v>45292</v>
      </c>
      <c r="D296" t="inlineStr">
        <is>
          <t>VÄSTMANLANDS LÄN</t>
        </is>
      </c>
      <c r="E296" t="inlineStr">
        <is>
          <t>SALA</t>
        </is>
      </c>
      <c r="G296" t="n">
        <v>2.9</v>
      </c>
      <c r="H296" t="n">
        <v>0</v>
      </c>
      <c r="I296" t="n">
        <v>0</v>
      </c>
      <c r="J296" t="n">
        <v>0</v>
      </c>
      <c r="K296" t="n">
        <v>0</v>
      </c>
      <c r="L296" t="n">
        <v>0</v>
      </c>
      <c r="M296" t="n">
        <v>0</v>
      </c>
      <c r="N296" t="n">
        <v>0</v>
      </c>
      <c r="O296" t="n">
        <v>0</v>
      </c>
      <c r="P296" t="n">
        <v>0</v>
      </c>
      <c r="Q296" t="n">
        <v>0</v>
      </c>
      <c r="R296" s="2" t="inlineStr"/>
    </row>
    <row r="297" ht="15" customHeight="1">
      <c r="A297" t="inlineStr">
        <is>
          <t>A 22017-2021</t>
        </is>
      </c>
      <c r="B297" s="1" t="n">
        <v>44323</v>
      </c>
      <c r="C297" s="1" t="n">
        <v>45292</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22362-2021</t>
        </is>
      </c>
      <c r="B298" s="1" t="n">
        <v>44326</v>
      </c>
      <c r="C298" s="1" t="n">
        <v>45292</v>
      </c>
      <c r="D298" t="inlineStr">
        <is>
          <t>VÄSTMANLANDS LÄN</t>
        </is>
      </c>
      <c r="E298" t="inlineStr">
        <is>
          <t>SALA</t>
        </is>
      </c>
      <c r="G298" t="n">
        <v>1.7</v>
      </c>
      <c r="H298" t="n">
        <v>0</v>
      </c>
      <c r="I298" t="n">
        <v>0</v>
      </c>
      <c r="J298" t="n">
        <v>0</v>
      </c>
      <c r="K298" t="n">
        <v>0</v>
      </c>
      <c r="L298" t="n">
        <v>0</v>
      </c>
      <c r="M298" t="n">
        <v>0</v>
      </c>
      <c r="N298" t="n">
        <v>0</v>
      </c>
      <c r="O298" t="n">
        <v>0</v>
      </c>
      <c r="P298" t="n">
        <v>0</v>
      </c>
      <c r="Q298" t="n">
        <v>0</v>
      </c>
      <c r="R298" s="2" t="inlineStr"/>
    </row>
    <row r="299" ht="15" customHeight="1">
      <c r="A299" t="inlineStr">
        <is>
          <t>A 23696-2021</t>
        </is>
      </c>
      <c r="B299" s="1" t="n">
        <v>44334</v>
      </c>
      <c r="C299" s="1" t="n">
        <v>45292</v>
      </c>
      <c r="D299" t="inlineStr">
        <is>
          <t>VÄSTMANLANDS LÄN</t>
        </is>
      </c>
      <c r="E299" t="inlineStr">
        <is>
          <t>SALA</t>
        </is>
      </c>
      <c r="G299" t="n">
        <v>2.4</v>
      </c>
      <c r="H299" t="n">
        <v>0</v>
      </c>
      <c r="I299" t="n">
        <v>0</v>
      </c>
      <c r="J299" t="n">
        <v>0</v>
      </c>
      <c r="K299" t="n">
        <v>0</v>
      </c>
      <c r="L299" t="n">
        <v>0</v>
      </c>
      <c r="M299" t="n">
        <v>0</v>
      </c>
      <c r="N299" t="n">
        <v>0</v>
      </c>
      <c r="O299" t="n">
        <v>0</v>
      </c>
      <c r="P299" t="n">
        <v>0</v>
      </c>
      <c r="Q299" t="n">
        <v>0</v>
      </c>
      <c r="R299" s="2" t="inlineStr"/>
    </row>
    <row r="300" ht="15" customHeight="1">
      <c r="A300" t="inlineStr">
        <is>
          <t>A 23693-2021</t>
        </is>
      </c>
      <c r="B300" s="1" t="n">
        <v>44334</v>
      </c>
      <c r="C300" s="1" t="n">
        <v>45292</v>
      </c>
      <c r="D300" t="inlineStr">
        <is>
          <t>VÄSTMANLANDS LÄN</t>
        </is>
      </c>
      <c r="E300" t="inlineStr">
        <is>
          <t>SALA</t>
        </is>
      </c>
      <c r="G300" t="n">
        <v>8.4</v>
      </c>
      <c r="H300" t="n">
        <v>0</v>
      </c>
      <c r="I300" t="n">
        <v>0</v>
      </c>
      <c r="J300" t="n">
        <v>0</v>
      </c>
      <c r="K300" t="n">
        <v>0</v>
      </c>
      <c r="L300" t="n">
        <v>0</v>
      </c>
      <c r="M300" t="n">
        <v>0</v>
      </c>
      <c r="N300" t="n">
        <v>0</v>
      </c>
      <c r="O300" t="n">
        <v>0</v>
      </c>
      <c r="P300" t="n">
        <v>0</v>
      </c>
      <c r="Q300" t="n">
        <v>0</v>
      </c>
      <c r="R300" s="2" t="inlineStr"/>
    </row>
    <row r="301" ht="15" customHeight="1">
      <c r="A301" t="inlineStr">
        <is>
          <t>A 24740-2021</t>
        </is>
      </c>
      <c r="B301" s="1" t="n">
        <v>44340</v>
      </c>
      <c r="C301" s="1" t="n">
        <v>45292</v>
      </c>
      <c r="D301" t="inlineStr">
        <is>
          <t>VÄSTMANLANDS LÄN</t>
        </is>
      </c>
      <c r="E301" t="inlineStr">
        <is>
          <t>SALA</t>
        </is>
      </c>
      <c r="G301" t="n">
        <v>2.1</v>
      </c>
      <c r="H301" t="n">
        <v>0</v>
      </c>
      <c r="I301" t="n">
        <v>0</v>
      </c>
      <c r="J301" t="n">
        <v>0</v>
      </c>
      <c r="K301" t="n">
        <v>0</v>
      </c>
      <c r="L301" t="n">
        <v>0</v>
      </c>
      <c r="M301" t="n">
        <v>0</v>
      </c>
      <c r="N301" t="n">
        <v>0</v>
      </c>
      <c r="O301" t="n">
        <v>0</v>
      </c>
      <c r="P301" t="n">
        <v>0</v>
      </c>
      <c r="Q301" t="n">
        <v>0</v>
      </c>
      <c r="R301" s="2" t="inlineStr"/>
    </row>
    <row r="302" ht="15" customHeight="1">
      <c r="A302" t="inlineStr">
        <is>
          <t>A 24823-2021</t>
        </is>
      </c>
      <c r="B302" s="1" t="n">
        <v>44340</v>
      </c>
      <c r="C302" s="1" t="n">
        <v>45292</v>
      </c>
      <c r="D302" t="inlineStr">
        <is>
          <t>VÄSTMANLANDS LÄN</t>
        </is>
      </c>
      <c r="E302" t="inlineStr">
        <is>
          <t>SALA</t>
        </is>
      </c>
      <c r="G302" t="n">
        <v>4.9</v>
      </c>
      <c r="H302" t="n">
        <v>0</v>
      </c>
      <c r="I302" t="n">
        <v>0</v>
      </c>
      <c r="J302" t="n">
        <v>0</v>
      </c>
      <c r="K302" t="n">
        <v>0</v>
      </c>
      <c r="L302" t="n">
        <v>0</v>
      </c>
      <c r="M302" t="n">
        <v>0</v>
      </c>
      <c r="N302" t="n">
        <v>0</v>
      </c>
      <c r="O302" t="n">
        <v>0</v>
      </c>
      <c r="P302" t="n">
        <v>0</v>
      </c>
      <c r="Q302" t="n">
        <v>0</v>
      </c>
      <c r="R302" s="2" t="inlineStr"/>
    </row>
    <row r="303" ht="15" customHeight="1">
      <c r="A303" t="inlineStr">
        <is>
          <t>A 24755-2021</t>
        </is>
      </c>
      <c r="B303" s="1" t="n">
        <v>44340</v>
      </c>
      <c r="C303" s="1" t="n">
        <v>45292</v>
      </c>
      <c r="D303" t="inlineStr">
        <is>
          <t>VÄSTMANLANDS LÄN</t>
        </is>
      </c>
      <c r="E303" t="inlineStr">
        <is>
          <t>SALA</t>
        </is>
      </c>
      <c r="G303" t="n">
        <v>1.2</v>
      </c>
      <c r="H303" t="n">
        <v>0</v>
      </c>
      <c r="I303" t="n">
        <v>0</v>
      </c>
      <c r="J303" t="n">
        <v>0</v>
      </c>
      <c r="K303" t="n">
        <v>0</v>
      </c>
      <c r="L303" t="n">
        <v>0</v>
      </c>
      <c r="M303" t="n">
        <v>0</v>
      </c>
      <c r="N303" t="n">
        <v>0</v>
      </c>
      <c r="O303" t="n">
        <v>0</v>
      </c>
      <c r="P303" t="n">
        <v>0</v>
      </c>
      <c r="Q303" t="n">
        <v>0</v>
      </c>
      <c r="R303" s="2" t="inlineStr"/>
    </row>
    <row r="304" ht="15" customHeight="1">
      <c r="A304" t="inlineStr">
        <is>
          <t>A 26579-2021</t>
        </is>
      </c>
      <c r="B304" s="1" t="n">
        <v>44348</v>
      </c>
      <c r="C304" s="1" t="n">
        <v>45292</v>
      </c>
      <c r="D304" t="inlineStr">
        <is>
          <t>VÄSTMANLANDS LÄN</t>
        </is>
      </c>
      <c r="E304" t="inlineStr">
        <is>
          <t>SALA</t>
        </is>
      </c>
      <c r="G304" t="n">
        <v>1.6</v>
      </c>
      <c r="H304" t="n">
        <v>0</v>
      </c>
      <c r="I304" t="n">
        <v>0</v>
      </c>
      <c r="J304" t="n">
        <v>0</v>
      </c>
      <c r="K304" t="n">
        <v>0</v>
      </c>
      <c r="L304" t="n">
        <v>0</v>
      </c>
      <c r="M304" t="n">
        <v>0</v>
      </c>
      <c r="N304" t="n">
        <v>0</v>
      </c>
      <c r="O304" t="n">
        <v>0</v>
      </c>
      <c r="P304" t="n">
        <v>0</v>
      </c>
      <c r="Q304" t="n">
        <v>0</v>
      </c>
      <c r="R304" s="2" t="inlineStr"/>
    </row>
    <row r="305" ht="15" customHeight="1">
      <c r="A305" t="inlineStr">
        <is>
          <t>A 26571-2021</t>
        </is>
      </c>
      <c r="B305" s="1" t="n">
        <v>44348</v>
      </c>
      <c r="C305" s="1" t="n">
        <v>45292</v>
      </c>
      <c r="D305" t="inlineStr">
        <is>
          <t>VÄSTMANLANDS LÄN</t>
        </is>
      </c>
      <c r="E305" t="inlineStr">
        <is>
          <t>SALA</t>
        </is>
      </c>
      <c r="G305" t="n">
        <v>2.1</v>
      </c>
      <c r="H305" t="n">
        <v>0</v>
      </c>
      <c r="I305" t="n">
        <v>0</v>
      </c>
      <c r="J305" t="n">
        <v>0</v>
      </c>
      <c r="K305" t="n">
        <v>0</v>
      </c>
      <c r="L305" t="n">
        <v>0</v>
      </c>
      <c r="M305" t="n">
        <v>0</v>
      </c>
      <c r="N305" t="n">
        <v>0</v>
      </c>
      <c r="O305" t="n">
        <v>0</v>
      </c>
      <c r="P305" t="n">
        <v>0</v>
      </c>
      <c r="Q305" t="n">
        <v>0</v>
      </c>
      <c r="R305" s="2" t="inlineStr"/>
    </row>
    <row r="306" ht="15" customHeight="1">
      <c r="A306" t="inlineStr">
        <is>
          <t>A 26570-2021</t>
        </is>
      </c>
      <c r="B306" s="1" t="n">
        <v>44348</v>
      </c>
      <c r="C306" s="1" t="n">
        <v>45292</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26575-2021</t>
        </is>
      </c>
      <c r="B307" s="1" t="n">
        <v>44348</v>
      </c>
      <c r="C307" s="1" t="n">
        <v>45292</v>
      </c>
      <c r="D307" t="inlineStr">
        <is>
          <t>VÄSTMANLANDS LÄN</t>
        </is>
      </c>
      <c r="E307" t="inlineStr">
        <is>
          <t>SALA</t>
        </is>
      </c>
      <c r="G307" t="n">
        <v>2.7</v>
      </c>
      <c r="H307" t="n">
        <v>0</v>
      </c>
      <c r="I307" t="n">
        <v>0</v>
      </c>
      <c r="J307" t="n">
        <v>0</v>
      </c>
      <c r="K307" t="n">
        <v>0</v>
      </c>
      <c r="L307" t="n">
        <v>0</v>
      </c>
      <c r="M307" t="n">
        <v>0</v>
      </c>
      <c r="N307" t="n">
        <v>0</v>
      </c>
      <c r="O307" t="n">
        <v>0</v>
      </c>
      <c r="P307" t="n">
        <v>0</v>
      </c>
      <c r="Q307" t="n">
        <v>0</v>
      </c>
      <c r="R307" s="2" t="inlineStr"/>
    </row>
    <row r="308" ht="15" customHeight="1">
      <c r="A308" t="inlineStr">
        <is>
          <t>A 28425-2021</t>
        </is>
      </c>
      <c r="B308" s="1" t="n">
        <v>44356</v>
      </c>
      <c r="C308" s="1" t="n">
        <v>45292</v>
      </c>
      <c r="D308" t="inlineStr">
        <is>
          <t>VÄSTMANLANDS LÄN</t>
        </is>
      </c>
      <c r="E308" t="inlineStr">
        <is>
          <t>SALA</t>
        </is>
      </c>
      <c r="G308" t="n">
        <v>3.7</v>
      </c>
      <c r="H308" t="n">
        <v>0</v>
      </c>
      <c r="I308" t="n">
        <v>0</v>
      </c>
      <c r="J308" t="n">
        <v>0</v>
      </c>
      <c r="K308" t="n">
        <v>0</v>
      </c>
      <c r="L308" t="n">
        <v>0</v>
      </c>
      <c r="M308" t="n">
        <v>0</v>
      </c>
      <c r="N308" t="n">
        <v>0</v>
      </c>
      <c r="O308" t="n">
        <v>0</v>
      </c>
      <c r="P308" t="n">
        <v>0</v>
      </c>
      <c r="Q308" t="n">
        <v>0</v>
      </c>
      <c r="R308" s="2" t="inlineStr"/>
    </row>
    <row r="309" ht="15" customHeight="1">
      <c r="A309" t="inlineStr">
        <is>
          <t>A 30170-2021</t>
        </is>
      </c>
      <c r="B309" s="1" t="n">
        <v>44363</v>
      </c>
      <c r="C309" s="1" t="n">
        <v>45292</v>
      </c>
      <c r="D309" t="inlineStr">
        <is>
          <t>VÄSTMANLANDS LÄN</t>
        </is>
      </c>
      <c r="E309" t="inlineStr">
        <is>
          <t>SALA</t>
        </is>
      </c>
      <c r="G309" t="n">
        <v>7.2</v>
      </c>
      <c r="H309" t="n">
        <v>0</v>
      </c>
      <c r="I309" t="n">
        <v>0</v>
      </c>
      <c r="J309" t="n">
        <v>0</v>
      </c>
      <c r="K309" t="n">
        <v>0</v>
      </c>
      <c r="L309" t="n">
        <v>0</v>
      </c>
      <c r="M309" t="n">
        <v>0</v>
      </c>
      <c r="N309" t="n">
        <v>0</v>
      </c>
      <c r="O309" t="n">
        <v>0</v>
      </c>
      <c r="P309" t="n">
        <v>0</v>
      </c>
      <c r="Q309" t="n">
        <v>0</v>
      </c>
      <c r="R309" s="2" t="inlineStr"/>
    </row>
    <row r="310" ht="15" customHeight="1">
      <c r="A310" t="inlineStr">
        <is>
          <t>A 30859-2021</t>
        </is>
      </c>
      <c r="B310" s="1" t="n">
        <v>44365</v>
      </c>
      <c r="C310" s="1" t="n">
        <v>45292</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30904-2021</t>
        </is>
      </c>
      <c r="B311" s="1" t="n">
        <v>44365</v>
      </c>
      <c r="C311" s="1" t="n">
        <v>45292</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30915-2021</t>
        </is>
      </c>
      <c r="B312" s="1" t="n">
        <v>44365</v>
      </c>
      <c r="C312" s="1" t="n">
        <v>45292</v>
      </c>
      <c r="D312" t="inlineStr">
        <is>
          <t>VÄSTMANLANDS LÄN</t>
        </is>
      </c>
      <c r="E312" t="inlineStr">
        <is>
          <t>SALA</t>
        </is>
      </c>
      <c r="G312" t="n">
        <v>0.5</v>
      </c>
      <c r="H312" t="n">
        <v>0</v>
      </c>
      <c r="I312" t="n">
        <v>0</v>
      </c>
      <c r="J312" t="n">
        <v>0</v>
      </c>
      <c r="K312" t="n">
        <v>0</v>
      </c>
      <c r="L312" t="n">
        <v>0</v>
      </c>
      <c r="M312" t="n">
        <v>0</v>
      </c>
      <c r="N312" t="n">
        <v>0</v>
      </c>
      <c r="O312" t="n">
        <v>0</v>
      </c>
      <c r="P312" t="n">
        <v>0</v>
      </c>
      <c r="Q312" t="n">
        <v>0</v>
      </c>
      <c r="R312" s="2" t="inlineStr"/>
    </row>
    <row r="313" ht="15" customHeight="1">
      <c r="A313" t="inlineStr">
        <is>
          <t>A 30925-2021</t>
        </is>
      </c>
      <c r="B313" s="1" t="n">
        <v>44365</v>
      </c>
      <c r="C313" s="1" t="n">
        <v>45292</v>
      </c>
      <c r="D313" t="inlineStr">
        <is>
          <t>VÄSTMANLANDS LÄN</t>
        </is>
      </c>
      <c r="E313" t="inlineStr">
        <is>
          <t>SALA</t>
        </is>
      </c>
      <c r="G313" t="n">
        <v>0.9</v>
      </c>
      <c r="H313" t="n">
        <v>0</v>
      </c>
      <c r="I313" t="n">
        <v>0</v>
      </c>
      <c r="J313" t="n">
        <v>0</v>
      </c>
      <c r="K313" t="n">
        <v>0</v>
      </c>
      <c r="L313" t="n">
        <v>0</v>
      </c>
      <c r="M313" t="n">
        <v>0</v>
      </c>
      <c r="N313" t="n">
        <v>0</v>
      </c>
      <c r="O313" t="n">
        <v>0</v>
      </c>
      <c r="P313" t="n">
        <v>0</v>
      </c>
      <c r="Q313" t="n">
        <v>0</v>
      </c>
      <c r="R313" s="2" t="inlineStr"/>
    </row>
    <row r="314" ht="15" customHeight="1">
      <c r="A314" t="inlineStr">
        <is>
          <t>A 30918-2021</t>
        </is>
      </c>
      <c r="B314" s="1" t="n">
        <v>44365</v>
      </c>
      <c r="C314" s="1" t="n">
        <v>45292</v>
      </c>
      <c r="D314" t="inlineStr">
        <is>
          <t>VÄSTMANLANDS LÄN</t>
        </is>
      </c>
      <c r="E314" t="inlineStr">
        <is>
          <t>SALA</t>
        </is>
      </c>
      <c r="G314" t="n">
        <v>0.7</v>
      </c>
      <c r="H314" t="n">
        <v>0</v>
      </c>
      <c r="I314" t="n">
        <v>0</v>
      </c>
      <c r="J314" t="n">
        <v>0</v>
      </c>
      <c r="K314" t="n">
        <v>0</v>
      </c>
      <c r="L314" t="n">
        <v>0</v>
      </c>
      <c r="M314" t="n">
        <v>0</v>
      </c>
      <c r="N314" t="n">
        <v>0</v>
      </c>
      <c r="O314" t="n">
        <v>0</v>
      </c>
      <c r="P314" t="n">
        <v>0</v>
      </c>
      <c r="Q314" t="n">
        <v>0</v>
      </c>
      <c r="R314" s="2" t="inlineStr"/>
    </row>
    <row r="315" ht="15" customHeight="1">
      <c r="A315" t="inlineStr">
        <is>
          <t>A 31072-2021</t>
        </is>
      </c>
      <c r="B315" s="1" t="n">
        <v>44368</v>
      </c>
      <c r="C315" s="1" t="n">
        <v>45292</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31082-2021</t>
        </is>
      </c>
      <c r="B316" s="1" t="n">
        <v>44368</v>
      </c>
      <c r="C316" s="1" t="n">
        <v>45292</v>
      </c>
      <c r="D316" t="inlineStr">
        <is>
          <t>VÄSTMANLANDS LÄN</t>
        </is>
      </c>
      <c r="E316" t="inlineStr">
        <is>
          <t>SALA</t>
        </is>
      </c>
      <c r="G316" t="n">
        <v>2</v>
      </c>
      <c r="H316" t="n">
        <v>0</v>
      </c>
      <c r="I316" t="n">
        <v>0</v>
      </c>
      <c r="J316" t="n">
        <v>0</v>
      </c>
      <c r="K316" t="n">
        <v>0</v>
      </c>
      <c r="L316" t="n">
        <v>0</v>
      </c>
      <c r="M316" t="n">
        <v>0</v>
      </c>
      <c r="N316" t="n">
        <v>0</v>
      </c>
      <c r="O316" t="n">
        <v>0</v>
      </c>
      <c r="P316" t="n">
        <v>0</v>
      </c>
      <c r="Q316" t="n">
        <v>0</v>
      </c>
      <c r="R316" s="2" t="inlineStr"/>
    </row>
    <row r="317" ht="15" customHeight="1">
      <c r="A317" t="inlineStr">
        <is>
          <t>A 31452-2021</t>
        </is>
      </c>
      <c r="B317" s="1" t="n">
        <v>44369</v>
      </c>
      <c r="C317" s="1" t="n">
        <v>45292</v>
      </c>
      <c r="D317" t="inlineStr">
        <is>
          <t>VÄSTMANLANDS LÄN</t>
        </is>
      </c>
      <c r="E317" t="inlineStr">
        <is>
          <t>SALA</t>
        </is>
      </c>
      <c r="F317" t="inlineStr">
        <is>
          <t>Sveaskog</t>
        </is>
      </c>
      <c r="G317" t="n">
        <v>0.6</v>
      </c>
      <c r="H317" t="n">
        <v>0</v>
      </c>
      <c r="I317" t="n">
        <v>0</v>
      </c>
      <c r="J317" t="n">
        <v>0</v>
      </c>
      <c r="K317" t="n">
        <v>0</v>
      </c>
      <c r="L317" t="n">
        <v>0</v>
      </c>
      <c r="M317" t="n">
        <v>0</v>
      </c>
      <c r="N317" t="n">
        <v>0</v>
      </c>
      <c r="O317" t="n">
        <v>0</v>
      </c>
      <c r="P317" t="n">
        <v>0</v>
      </c>
      <c r="Q317" t="n">
        <v>0</v>
      </c>
      <c r="R317" s="2" t="inlineStr"/>
    </row>
    <row r="318" ht="15" customHeight="1">
      <c r="A318" t="inlineStr">
        <is>
          <t>A 31470-2021</t>
        </is>
      </c>
      <c r="B318" s="1" t="n">
        <v>44369</v>
      </c>
      <c r="C318" s="1" t="n">
        <v>45292</v>
      </c>
      <c r="D318" t="inlineStr">
        <is>
          <t>VÄSTMANLANDS LÄN</t>
        </is>
      </c>
      <c r="E318" t="inlineStr">
        <is>
          <t>SALA</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31904-2021</t>
        </is>
      </c>
      <c r="B319" s="1" t="n">
        <v>44370</v>
      </c>
      <c r="C319" s="1" t="n">
        <v>45292</v>
      </c>
      <c r="D319" t="inlineStr">
        <is>
          <t>VÄSTMANLANDS LÄN</t>
        </is>
      </c>
      <c r="E319" t="inlineStr">
        <is>
          <t>SALA</t>
        </is>
      </c>
      <c r="G319" t="n">
        <v>0.5</v>
      </c>
      <c r="H319" t="n">
        <v>0</v>
      </c>
      <c r="I319" t="n">
        <v>0</v>
      </c>
      <c r="J319" t="n">
        <v>0</v>
      </c>
      <c r="K319" t="n">
        <v>0</v>
      </c>
      <c r="L319" t="n">
        <v>0</v>
      </c>
      <c r="M319" t="n">
        <v>0</v>
      </c>
      <c r="N319" t="n">
        <v>0</v>
      </c>
      <c r="O319" t="n">
        <v>0</v>
      </c>
      <c r="P319" t="n">
        <v>0</v>
      </c>
      <c r="Q319" t="n">
        <v>0</v>
      </c>
      <c r="R319" s="2" t="inlineStr"/>
    </row>
    <row r="320" ht="15" customHeight="1">
      <c r="A320" t="inlineStr">
        <is>
          <t>A 32610-2021</t>
        </is>
      </c>
      <c r="B320" s="1" t="n">
        <v>44375</v>
      </c>
      <c r="C320" s="1" t="n">
        <v>45292</v>
      </c>
      <c r="D320" t="inlineStr">
        <is>
          <t>VÄSTMANLANDS LÄN</t>
        </is>
      </c>
      <c r="E320" t="inlineStr">
        <is>
          <t>SALA</t>
        </is>
      </c>
      <c r="F320" t="inlineStr">
        <is>
          <t>Sveaskog</t>
        </is>
      </c>
      <c r="G320" t="n">
        <v>4.1</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45292</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34814-2021</t>
        </is>
      </c>
      <c r="B322" s="1" t="n">
        <v>44383</v>
      </c>
      <c r="C322" s="1" t="n">
        <v>45292</v>
      </c>
      <c r="D322" t="inlineStr">
        <is>
          <t>VÄSTMANLANDS LÄN</t>
        </is>
      </c>
      <c r="E322" t="inlineStr">
        <is>
          <t>SALA</t>
        </is>
      </c>
      <c r="F322" t="inlineStr">
        <is>
          <t>Sveaskog</t>
        </is>
      </c>
      <c r="G322" t="n">
        <v>0.5</v>
      </c>
      <c r="H322" t="n">
        <v>0</v>
      </c>
      <c r="I322" t="n">
        <v>0</v>
      </c>
      <c r="J322" t="n">
        <v>0</v>
      </c>
      <c r="K322" t="n">
        <v>0</v>
      </c>
      <c r="L322" t="n">
        <v>0</v>
      </c>
      <c r="M322" t="n">
        <v>0</v>
      </c>
      <c r="N322" t="n">
        <v>0</v>
      </c>
      <c r="O322" t="n">
        <v>0</v>
      </c>
      <c r="P322" t="n">
        <v>0</v>
      </c>
      <c r="Q322" t="n">
        <v>0</v>
      </c>
      <c r="R322" s="2" t="inlineStr"/>
    </row>
    <row r="323" ht="15" customHeight="1">
      <c r="A323" t="inlineStr">
        <is>
          <t>A 35207-2021</t>
        </is>
      </c>
      <c r="B323" s="1" t="n">
        <v>44384</v>
      </c>
      <c r="C323" s="1" t="n">
        <v>45292</v>
      </c>
      <c r="D323" t="inlineStr">
        <is>
          <t>VÄSTMANLANDS LÄN</t>
        </is>
      </c>
      <c r="E323" t="inlineStr">
        <is>
          <t>SALA</t>
        </is>
      </c>
      <c r="G323" t="n">
        <v>2.2</v>
      </c>
      <c r="H323" t="n">
        <v>0</v>
      </c>
      <c r="I323" t="n">
        <v>0</v>
      </c>
      <c r="J323" t="n">
        <v>0</v>
      </c>
      <c r="K323" t="n">
        <v>0</v>
      </c>
      <c r="L323" t="n">
        <v>0</v>
      </c>
      <c r="M323" t="n">
        <v>0</v>
      </c>
      <c r="N323" t="n">
        <v>0</v>
      </c>
      <c r="O323" t="n">
        <v>0</v>
      </c>
      <c r="P323" t="n">
        <v>0</v>
      </c>
      <c r="Q323" t="n">
        <v>0</v>
      </c>
      <c r="R323" s="2" t="inlineStr"/>
    </row>
    <row r="324" ht="15" customHeight="1">
      <c r="A324" t="inlineStr">
        <is>
          <t>A 35211-2021</t>
        </is>
      </c>
      <c r="B324" s="1" t="n">
        <v>44384</v>
      </c>
      <c r="C324" s="1" t="n">
        <v>45292</v>
      </c>
      <c r="D324" t="inlineStr">
        <is>
          <t>VÄSTMANLANDS LÄN</t>
        </is>
      </c>
      <c r="E324" t="inlineStr">
        <is>
          <t>SALA</t>
        </is>
      </c>
      <c r="G324" t="n">
        <v>1.4</v>
      </c>
      <c r="H324" t="n">
        <v>0</v>
      </c>
      <c r="I324" t="n">
        <v>0</v>
      </c>
      <c r="J324" t="n">
        <v>0</v>
      </c>
      <c r="K324" t="n">
        <v>0</v>
      </c>
      <c r="L324" t="n">
        <v>0</v>
      </c>
      <c r="M324" t="n">
        <v>0</v>
      </c>
      <c r="N324" t="n">
        <v>0</v>
      </c>
      <c r="O324" t="n">
        <v>0</v>
      </c>
      <c r="P324" t="n">
        <v>0</v>
      </c>
      <c r="Q324" t="n">
        <v>0</v>
      </c>
      <c r="R324" s="2" t="inlineStr"/>
    </row>
    <row r="325" ht="15" customHeight="1">
      <c r="A325" t="inlineStr">
        <is>
          <t>A 35451-2021</t>
        </is>
      </c>
      <c r="B325" s="1" t="n">
        <v>44384</v>
      </c>
      <c r="C325" s="1" t="n">
        <v>45292</v>
      </c>
      <c r="D325" t="inlineStr">
        <is>
          <t>VÄSTMANLANDS LÄN</t>
        </is>
      </c>
      <c r="E325" t="inlineStr">
        <is>
          <t>SALA</t>
        </is>
      </c>
      <c r="G325" t="n">
        <v>2.5</v>
      </c>
      <c r="H325" t="n">
        <v>0</v>
      </c>
      <c r="I325" t="n">
        <v>0</v>
      </c>
      <c r="J325" t="n">
        <v>0</v>
      </c>
      <c r="K325" t="n">
        <v>0</v>
      </c>
      <c r="L325" t="n">
        <v>0</v>
      </c>
      <c r="M325" t="n">
        <v>0</v>
      </c>
      <c r="N325" t="n">
        <v>0</v>
      </c>
      <c r="O325" t="n">
        <v>0</v>
      </c>
      <c r="P325" t="n">
        <v>0</v>
      </c>
      <c r="Q325" t="n">
        <v>0</v>
      </c>
      <c r="R325" s="2" t="inlineStr"/>
    </row>
    <row r="326" ht="15" customHeight="1">
      <c r="A326" t="inlineStr">
        <is>
          <t>A 35487-2021</t>
        </is>
      </c>
      <c r="B326" s="1" t="n">
        <v>44384</v>
      </c>
      <c r="C326" s="1" t="n">
        <v>45292</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35482-2021</t>
        </is>
      </c>
      <c r="B327" s="1" t="n">
        <v>44384</v>
      </c>
      <c r="C327" s="1" t="n">
        <v>45292</v>
      </c>
      <c r="D327" t="inlineStr">
        <is>
          <t>VÄSTMANLANDS LÄN</t>
        </is>
      </c>
      <c r="E327" t="inlineStr">
        <is>
          <t>SALA</t>
        </is>
      </c>
      <c r="G327" t="n">
        <v>1.5</v>
      </c>
      <c r="H327" t="n">
        <v>0</v>
      </c>
      <c r="I327" t="n">
        <v>0</v>
      </c>
      <c r="J327" t="n">
        <v>0</v>
      </c>
      <c r="K327" t="n">
        <v>0</v>
      </c>
      <c r="L327" t="n">
        <v>0</v>
      </c>
      <c r="M327" t="n">
        <v>0</v>
      </c>
      <c r="N327" t="n">
        <v>0</v>
      </c>
      <c r="O327" t="n">
        <v>0</v>
      </c>
      <c r="P327" t="n">
        <v>0</v>
      </c>
      <c r="Q327" t="n">
        <v>0</v>
      </c>
      <c r="R327" s="2" t="inlineStr"/>
    </row>
    <row r="328" ht="15" customHeight="1">
      <c r="A328" t="inlineStr">
        <is>
          <t>A 35921-2021</t>
        </is>
      </c>
      <c r="B328" s="1" t="n">
        <v>44388</v>
      </c>
      <c r="C328" s="1" t="n">
        <v>45292</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37703-2021</t>
        </is>
      </c>
      <c r="B329" s="1" t="n">
        <v>44400</v>
      </c>
      <c r="C329" s="1" t="n">
        <v>45292</v>
      </c>
      <c r="D329" t="inlineStr">
        <is>
          <t>VÄSTMANLANDS LÄN</t>
        </is>
      </c>
      <c r="E329" t="inlineStr">
        <is>
          <t>SALA</t>
        </is>
      </c>
      <c r="G329" t="n">
        <v>2.7</v>
      </c>
      <c r="H329" t="n">
        <v>0</v>
      </c>
      <c r="I329" t="n">
        <v>0</v>
      </c>
      <c r="J329" t="n">
        <v>0</v>
      </c>
      <c r="K329" t="n">
        <v>0</v>
      </c>
      <c r="L329" t="n">
        <v>0</v>
      </c>
      <c r="M329" t="n">
        <v>0</v>
      </c>
      <c r="N329" t="n">
        <v>0</v>
      </c>
      <c r="O329" t="n">
        <v>0</v>
      </c>
      <c r="P329" t="n">
        <v>0</v>
      </c>
      <c r="Q329" t="n">
        <v>0</v>
      </c>
      <c r="R329" s="2" t="inlineStr"/>
    </row>
    <row r="330" ht="15" customHeight="1">
      <c r="A330" t="inlineStr">
        <is>
          <t>A 37856-2021</t>
        </is>
      </c>
      <c r="B330" s="1" t="n">
        <v>44403</v>
      </c>
      <c r="C330" s="1" t="n">
        <v>45292</v>
      </c>
      <c r="D330" t="inlineStr">
        <is>
          <t>VÄSTMANLANDS LÄN</t>
        </is>
      </c>
      <c r="E330" t="inlineStr">
        <is>
          <t>SALA</t>
        </is>
      </c>
      <c r="G330" t="n">
        <v>3.1</v>
      </c>
      <c r="H330" t="n">
        <v>0</v>
      </c>
      <c r="I330" t="n">
        <v>0</v>
      </c>
      <c r="J330" t="n">
        <v>0</v>
      </c>
      <c r="K330" t="n">
        <v>0</v>
      </c>
      <c r="L330" t="n">
        <v>0</v>
      </c>
      <c r="M330" t="n">
        <v>0</v>
      </c>
      <c r="N330" t="n">
        <v>0</v>
      </c>
      <c r="O330" t="n">
        <v>0</v>
      </c>
      <c r="P330" t="n">
        <v>0</v>
      </c>
      <c r="Q330" t="n">
        <v>0</v>
      </c>
      <c r="R330" s="2" t="inlineStr"/>
    </row>
    <row r="331" ht="15" customHeight="1">
      <c r="A331" t="inlineStr">
        <is>
          <t>A 37872-2021</t>
        </is>
      </c>
      <c r="B331" s="1" t="n">
        <v>44403</v>
      </c>
      <c r="C331" s="1" t="n">
        <v>45292</v>
      </c>
      <c r="D331" t="inlineStr">
        <is>
          <t>VÄSTMANLANDS LÄN</t>
        </is>
      </c>
      <c r="E331" t="inlineStr">
        <is>
          <t>SALA</t>
        </is>
      </c>
      <c r="G331" t="n">
        <v>1.9</v>
      </c>
      <c r="H331" t="n">
        <v>0</v>
      </c>
      <c r="I331" t="n">
        <v>0</v>
      </c>
      <c r="J331" t="n">
        <v>0</v>
      </c>
      <c r="K331" t="n">
        <v>0</v>
      </c>
      <c r="L331" t="n">
        <v>0</v>
      </c>
      <c r="M331" t="n">
        <v>0</v>
      </c>
      <c r="N331" t="n">
        <v>0</v>
      </c>
      <c r="O331" t="n">
        <v>0</v>
      </c>
      <c r="P331" t="n">
        <v>0</v>
      </c>
      <c r="Q331" t="n">
        <v>0</v>
      </c>
      <c r="R331" s="2" t="inlineStr"/>
    </row>
    <row r="332" ht="15" customHeight="1">
      <c r="A332" t="inlineStr">
        <is>
          <t>A 37881-2021</t>
        </is>
      </c>
      <c r="B332" s="1" t="n">
        <v>44403</v>
      </c>
      <c r="C332" s="1" t="n">
        <v>45292</v>
      </c>
      <c r="D332" t="inlineStr">
        <is>
          <t>VÄSTMANLANDS LÄN</t>
        </is>
      </c>
      <c r="E332" t="inlineStr">
        <is>
          <t>SALA</t>
        </is>
      </c>
      <c r="G332" t="n">
        <v>4.6</v>
      </c>
      <c r="H332" t="n">
        <v>0</v>
      </c>
      <c r="I332" t="n">
        <v>0</v>
      </c>
      <c r="J332" t="n">
        <v>0</v>
      </c>
      <c r="K332" t="n">
        <v>0</v>
      </c>
      <c r="L332" t="n">
        <v>0</v>
      </c>
      <c r="M332" t="n">
        <v>0</v>
      </c>
      <c r="N332" t="n">
        <v>0</v>
      </c>
      <c r="O332" t="n">
        <v>0</v>
      </c>
      <c r="P332" t="n">
        <v>0</v>
      </c>
      <c r="Q332" t="n">
        <v>0</v>
      </c>
      <c r="R332" s="2" t="inlineStr"/>
    </row>
    <row r="333" ht="15" customHeight="1">
      <c r="A333" t="inlineStr">
        <is>
          <t>A 38195-2021</t>
        </is>
      </c>
      <c r="B333" s="1" t="n">
        <v>44405</v>
      </c>
      <c r="C333" s="1" t="n">
        <v>45292</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38634-2021</t>
        </is>
      </c>
      <c r="B334" s="1" t="n">
        <v>44410</v>
      </c>
      <c r="C334" s="1" t="n">
        <v>45292</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39439-2021</t>
        </is>
      </c>
      <c r="B335" s="1" t="n">
        <v>44414</v>
      </c>
      <c r="C335" s="1" t="n">
        <v>45292</v>
      </c>
      <c r="D335" t="inlineStr">
        <is>
          <t>VÄSTMANLANDS LÄN</t>
        </is>
      </c>
      <c r="E335" t="inlineStr">
        <is>
          <t>SALA</t>
        </is>
      </c>
      <c r="G335" t="n">
        <v>1.1</v>
      </c>
      <c r="H335" t="n">
        <v>0</v>
      </c>
      <c r="I335" t="n">
        <v>0</v>
      </c>
      <c r="J335" t="n">
        <v>0</v>
      </c>
      <c r="K335" t="n">
        <v>0</v>
      </c>
      <c r="L335" t="n">
        <v>0</v>
      </c>
      <c r="M335" t="n">
        <v>0</v>
      </c>
      <c r="N335" t="n">
        <v>0</v>
      </c>
      <c r="O335" t="n">
        <v>0</v>
      </c>
      <c r="P335" t="n">
        <v>0</v>
      </c>
      <c r="Q335" t="n">
        <v>0</v>
      </c>
      <c r="R335" s="2" t="inlineStr"/>
    </row>
    <row r="336" ht="15" customHeight="1">
      <c r="A336" t="inlineStr">
        <is>
          <t>A 39807-2021</t>
        </is>
      </c>
      <c r="B336" s="1" t="n">
        <v>44417</v>
      </c>
      <c r="C336" s="1" t="n">
        <v>45292</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40157-2021</t>
        </is>
      </c>
      <c r="B337" s="1" t="n">
        <v>44418</v>
      </c>
      <c r="C337" s="1" t="n">
        <v>45292</v>
      </c>
      <c r="D337" t="inlineStr">
        <is>
          <t>VÄSTMANLANDS LÄN</t>
        </is>
      </c>
      <c r="E337" t="inlineStr">
        <is>
          <t>SALA</t>
        </is>
      </c>
      <c r="G337" t="n">
        <v>1.7</v>
      </c>
      <c r="H337" t="n">
        <v>0</v>
      </c>
      <c r="I337" t="n">
        <v>0</v>
      </c>
      <c r="J337" t="n">
        <v>0</v>
      </c>
      <c r="K337" t="n">
        <v>0</v>
      </c>
      <c r="L337" t="n">
        <v>0</v>
      </c>
      <c r="M337" t="n">
        <v>0</v>
      </c>
      <c r="N337" t="n">
        <v>0</v>
      </c>
      <c r="O337" t="n">
        <v>0</v>
      </c>
      <c r="P337" t="n">
        <v>0</v>
      </c>
      <c r="Q337" t="n">
        <v>0</v>
      </c>
      <c r="R337" s="2" t="inlineStr"/>
    </row>
    <row r="338" ht="15" customHeight="1">
      <c r="A338" t="inlineStr">
        <is>
          <t>A 40153-2021</t>
        </is>
      </c>
      <c r="B338" s="1" t="n">
        <v>44418</v>
      </c>
      <c r="C338" s="1" t="n">
        <v>45292</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40398-2021</t>
        </is>
      </c>
      <c r="B339" s="1" t="n">
        <v>44419</v>
      </c>
      <c r="C339" s="1" t="n">
        <v>45292</v>
      </c>
      <c r="D339" t="inlineStr">
        <is>
          <t>VÄSTMANLANDS LÄN</t>
        </is>
      </c>
      <c r="E339" t="inlineStr">
        <is>
          <t>SALA</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40659-2021</t>
        </is>
      </c>
      <c r="B340" s="1" t="n">
        <v>44420</v>
      </c>
      <c r="C340" s="1" t="n">
        <v>45292</v>
      </c>
      <c r="D340" t="inlineStr">
        <is>
          <t>VÄSTMANLANDS LÄN</t>
        </is>
      </c>
      <c r="E340" t="inlineStr">
        <is>
          <t>SALA</t>
        </is>
      </c>
      <c r="G340" t="n">
        <v>1.3</v>
      </c>
      <c r="H340" t="n">
        <v>0</v>
      </c>
      <c r="I340" t="n">
        <v>0</v>
      </c>
      <c r="J340" t="n">
        <v>0</v>
      </c>
      <c r="K340" t="n">
        <v>0</v>
      </c>
      <c r="L340" t="n">
        <v>0</v>
      </c>
      <c r="M340" t="n">
        <v>0</v>
      </c>
      <c r="N340" t="n">
        <v>0</v>
      </c>
      <c r="O340" t="n">
        <v>0</v>
      </c>
      <c r="P340" t="n">
        <v>0</v>
      </c>
      <c r="Q340" t="n">
        <v>0</v>
      </c>
      <c r="R340" s="2" t="inlineStr"/>
    </row>
    <row r="341" ht="15" customHeight="1">
      <c r="A341" t="inlineStr">
        <is>
          <t>A 40871-2021</t>
        </is>
      </c>
      <c r="B341" s="1" t="n">
        <v>44421</v>
      </c>
      <c r="C341" s="1" t="n">
        <v>45292</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41292-2021</t>
        </is>
      </c>
      <c r="B342" s="1" t="n">
        <v>44424</v>
      </c>
      <c r="C342" s="1" t="n">
        <v>45292</v>
      </c>
      <c r="D342" t="inlineStr">
        <is>
          <t>VÄSTMANLANDS LÄN</t>
        </is>
      </c>
      <c r="E342" t="inlineStr">
        <is>
          <t>SALA</t>
        </is>
      </c>
      <c r="G342" t="n">
        <v>0.3</v>
      </c>
      <c r="H342" t="n">
        <v>0</v>
      </c>
      <c r="I342" t="n">
        <v>0</v>
      </c>
      <c r="J342" t="n">
        <v>0</v>
      </c>
      <c r="K342" t="n">
        <v>0</v>
      </c>
      <c r="L342" t="n">
        <v>0</v>
      </c>
      <c r="M342" t="n">
        <v>0</v>
      </c>
      <c r="N342" t="n">
        <v>0</v>
      </c>
      <c r="O342" t="n">
        <v>0</v>
      </c>
      <c r="P342" t="n">
        <v>0</v>
      </c>
      <c r="Q342" t="n">
        <v>0</v>
      </c>
      <c r="R342" s="2" t="inlineStr"/>
    </row>
    <row r="343" ht="15" customHeight="1">
      <c r="A343" t="inlineStr">
        <is>
          <t>A 41583-2021</t>
        </is>
      </c>
      <c r="B343" s="1" t="n">
        <v>44425</v>
      </c>
      <c r="C343" s="1" t="n">
        <v>45292</v>
      </c>
      <c r="D343" t="inlineStr">
        <is>
          <t>VÄSTMANLANDS LÄN</t>
        </is>
      </c>
      <c r="E343" t="inlineStr">
        <is>
          <t>SALA</t>
        </is>
      </c>
      <c r="G343" t="n">
        <v>5</v>
      </c>
      <c r="H343" t="n">
        <v>0</v>
      </c>
      <c r="I343" t="n">
        <v>0</v>
      </c>
      <c r="J343" t="n">
        <v>0</v>
      </c>
      <c r="K343" t="n">
        <v>0</v>
      </c>
      <c r="L343" t="n">
        <v>0</v>
      </c>
      <c r="M343" t="n">
        <v>0</v>
      </c>
      <c r="N343" t="n">
        <v>0</v>
      </c>
      <c r="O343" t="n">
        <v>0</v>
      </c>
      <c r="P343" t="n">
        <v>0</v>
      </c>
      <c r="Q343" t="n">
        <v>0</v>
      </c>
      <c r="R343" s="2" t="inlineStr"/>
    </row>
    <row r="344" ht="15" customHeight="1">
      <c r="A344" t="inlineStr">
        <is>
          <t>A 43292-2021</t>
        </is>
      </c>
      <c r="B344" s="1" t="n">
        <v>44432</v>
      </c>
      <c r="C344" s="1" t="n">
        <v>45292</v>
      </c>
      <c r="D344" t="inlineStr">
        <is>
          <t>VÄSTMANLANDS LÄN</t>
        </is>
      </c>
      <c r="E344" t="inlineStr">
        <is>
          <t>SALA</t>
        </is>
      </c>
      <c r="G344" t="n">
        <v>15</v>
      </c>
      <c r="H344" t="n">
        <v>0</v>
      </c>
      <c r="I344" t="n">
        <v>0</v>
      </c>
      <c r="J344" t="n">
        <v>0</v>
      </c>
      <c r="K344" t="n">
        <v>0</v>
      </c>
      <c r="L344" t="n">
        <v>0</v>
      </c>
      <c r="M344" t="n">
        <v>0</v>
      </c>
      <c r="N344" t="n">
        <v>0</v>
      </c>
      <c r="O344" t="n">
        <v>0</v>
      </c>
      <c r="P344" t="n">
        <v>0</v>
      </c>
      <c r="Q344" t="n">
        <v>0</v>
      </c>
      <c r="R344" s="2" t="inlineStr"/>
    </row>
    <row r="345" ht="15" customHeight="1">
      <c r="A345" t="inlineStr">
        <is>
          <t>A 43509-2021</t>
        </is>
      </c>
      <c r="B345" s="1" t="n">
        <v>44433</v>
      </c>
      <c r="C345" s="1" t="n">
        <v>45292</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44970-2021</t>
        </is>
      </c>
      <c r="B346" s="1" t="n">
        <v>44438</v>
      </c>
      <c r="C346" s="1" t="n">
        <v>45292</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46279-2021</t>
        </is>
      </c>
      <c r="B347" s="1" t="n">
        <v>44442</v>
      </c>
      <c r="C347" s="1" t="n">
        <v>45292</v>
      </c>
      <c r="D347" t="inlineStr">
        <is>
          <t>VÄSTMANLANDS LÄN</t>
        </is>
      </c>
      <c r="E347" t="inlineStr">
        <is>
          <t>SALA</t>
        </is>
      </c>
      <c r="G347" t="n">
        <v>1.4</v>
      </c>
      <c r="H347" t="n">
        <v>0</v>
      </c>
      <c r="I347" t="n">
        <v>0</v>
      </c>
      <c r="J347" t="n">
        <v>0</v>
      </c>
      <c r="K347" t="n">
        <v>0</v>
      </c>
      <c r="L347" t="n">
        <v>0</v>
      </c>
      <c r="M347" t="n">
        <v>0</v>
      </c>
      <c r="N347" t="n">
        <v>0</v>
      </c>
      <c r="O347" t="n">
        <v>0</v>
      </c>
      <c r="P347" t="n">
        <v>0</v>
      </c>
      <c r="Q347" t="n">
        <v>0</v>
      </c>
      <c r="R347" s="2" t="inlineStr"/>
    </row>
    <row r="348" ht="15" customHeight="1">
      <c r="A348" t="inlineStr">
        <is>
          <t>A 47701-2021</t>
        </is>
      </c>
      <c r="B348" s="1" t="n">
        <v>44448</v>
      </c>
      <c r="C348" s="1" t="n">
        <v>45292</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47683-2021</t>
        </is>
      </c>
      <c r="B349" s="1" t="n">
        <v>44448</v>
      </c>
      <c r="C349" s="1" t="n">
        <v>45292</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48400-2021</t>
        </is>
      </c>
      <c r="B350" s="1" t="n">
        <v>44449</v>
      </c>
      <c r="C350" s="1" t="n">
        <v>45292</v>
      </c>
      <c r="D350" t="inlineStr">
        <is>
          <t>VÄSTMANLANDS LÄN</t>
        </is>
      </c>
      <c r="E350" t="inlineStr">
        <is>
          <t>SALA</t>
        </is>
      </c>
      <c r="G350" t="n">
        <v>3</v>
      </c>
      <c r="H350" t="n">
        <v>0</v>
      </c>
      <c r="I350" t="n">
        <v>0</v>
      </c>
      <c r="J350" t="n">
        <v>0</v>
      </c>
      <c r="K350" t="n">
        <v>0</v>
      </c>
      <c r="L350" t="n">
        <v>0</v>
      </c>
      <c r="M350" t="n">
        <v>0</v>
      </c>
      <c r="N350" t="n">
        <v>0</v>
      </c>
      <c r="O350" t="n">
        <v>0</v>
      </c>
      <c r="P350" t="n">
        <v>0</v>
      </c>
      <c r="Q350" t="n">
        <v>0</v>
      </c>
      <c r="R350" s="2" t="inlineStr"/>
    </row>
    <row r="351" ht="15" customHeight="1">
      <c r="A351" t="inlineStr">
        <is>
          <t>A 50962-2021</t>
        </is>
      </c>
      <c r="B351" s="1" t="n">
        <v>44460</v>
      </c>
      <c r="C351" s="1" t="n">
        <v>45292</v>
      </c>
      <c r="D351" t="inlineStr">
        <is>
          <t>VÄSTMANLANDS LÄN</t>
        </is>
      </c>
      <c r="E351" t="inlineStr">
        <is>
          <t>SALA</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54030-2021</t>
        </is>
      </c>
      <c r="B352" s="1" t="n">
        <v>44470</v>
      </c>
      <c r="C352" s="1" t="n">
        <v>45292</v>
      </c>
      <c r="D352" t="inlineStr">
        <is>
          <t>VÄSTMANLANDS LÄN</t>
        </is>
      </c>
      <c r="E352" t="inlineStr">
        <is>
          <t>SALA</t>
        </is>
      </c>
      <c r="G352" t="n">
        <v>4.1</v>
      </c>
      <c r="H352" t="n">
        <v>0</v>
      </c>
      <c r="I352" t="n">
        <v>0</v>
      </c>
      <c r="J352" t="n">
        <v>0</v>
      </c>
      <c r="K352" t="n">
        <v>0</v>
      </c>
      <c r="L352" t="n">
        <v>0</v>
      </c>
      <c r="M352" t="n">
        <v>0</v>
      </c>
      <c r="N352" t="n">
        <v>0</v>
      </c>
      <c r="O352" t="n">
        <v>0</v>
      </c>
      <c r="P352" t="n">
        <v>0</v>
      </c>
      <c r="Q352" t="n">
        <v>0</v>
      </c>
      <c r="R352" s="2" t="inlineStr"/>
    </row>
    <row r="353" ht="15" customHeight="1">
      <c r="A353" t="inlineStr">
        <is>
          <t>A 54520-2021</t>
        </is>
      </c>
      <c r="B353" s="1" t="n">
        <v>44473</v>
      </c>
      <c r="C353" s="1" t="n">
        <v>45292</v>
      </c>
      <c r="D353" t="inlineStr">
        <is>
          <t>VÄSTMANLANDS LÄN</t>
        </is>
      </c>
      <c r="E353" t="inlineStr">
        <is>
          <t>SALA</t>
        </is>
      </c>
      <c r="G353" t="n">
        <v>5.8</v>
      </c>
      <c r="H353" t="n">
        <v>0</v>
      </c>
      <c r="I353" t="n">
        <v>0</v>
      </c>
      <c r="J353" t="n">
        <v>0</v>
      </c>
      <c r="K353" t="n">
        <v>0</v>
      </c>
      <c r="L353" t="n">
        <v>0</v>
      </c>
      <c r="M353" t="n">
        <v>0</v>
      </c>
      <c r="N353" t="n">
        <v>0</v>
      </c>
      <c r="O353" t="n">
        <v>0</v>
      </c>
      <c r="P353" t="n">
        <v>0</v>
      </c>
      <c r="Q353" t="n">
        <v>0</v>
      </c>
      <c r="R353" s="2" t="inlineStr"/>
    </row>
    <row r="354" ht="15" customHeight="1">
      <c r="A354" t="inlineStr">
        <is>
          <t>A 57049-2021</t>
        </is>
      </c>
      <c r="B354" s="1" t="n">
        <v>44482</v>
      </c>
      <c r="C354" s="1" t="n">
        <v>45292</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57056-2021</t>
        </is>
      </c>
      <c r="B355" s="1" t="n">
        <v>44482</v>
      </c>
      <c r="C355" s="1" t="n">
        <v>45292</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57000-2021</t>
        </is>
      </c>
      <c r="B356" s="1" t="n">
        <v>44482</v>
      </c>
      <c r="C356" s="1" t="n">
        <v>45292</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57131-2021</t>
        </is>
      </c>
      <c r="B357" s="1" t="n">
        <v>44482</v>
      </c>
      <c r="C357" s="1" t="n">
        <v>45292</v>
      </c>
      <c r="D357" t="inlineStr">
        <is>
          <t>VÄSTMANLANDS LÄN</t>
        </is>
      </c>
      <c r="E357" t="inlineStr">
        <is>
          <t>SALA</t>
        </is>
      </c>
      <c r="G357" t="n">
        <v>2.3</v>
      </c>
      <c r="H357" t="n">
        <v>0</v>
      </c>
      <c r="I357" t="n">
        <v>0</v>
      </c>
      <c r="J357" t="n">
        <v>0</v>
      </c>
      <c r="K357" t="n">
        <v>0</v>
      </c>
      <c r="L357" t="n">
        <v>0</v>
      </c>
      <c r="M357" t="n">
        <v>0</v>
      </c>
      <c r="N357" t="n">
        <v>0</v>
      </c>
      <c r="O357" t="n">
        <v>0</v>
      </c>
      <c r="P357" t="n">
        <v>0</v>
      </c>
      <c r="Q357" t="n">
        <v>0</v>
      </c>
      <c r="R357" s="2" t="inlineStr"/>
    </row>
    <row r="358" ht="15" customHeight="1">
      <c r="A358" t="inlineStr">
        <is>
          <t>A 57517-2021</t>
        </is>
      </c>
      <c r="B358" s="1" t="n">
        <v>44483</v>
      </c>
      <c r="C358" s="1" t="n">
        <v>45292</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57596-2021</t>
        </is>
      </c>
      <c r="B359" s="1" t="n">
        <v>44483</v>
      </c>
      <c r="C359" s="1" t="n">
        <v>45292</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58107-2021</t>
        </is>
      </c>
      <c r="B360" s="1" t="n">
        <v>44487</v>
      </c>
      <c r="C360" s="1" t="n">
        <v>45292</v>
      </c>
      <c r="D360" t="inlineStr">
        <is>
          <t>VÄSTMANLANDS LÄN</t>
        </is>
      </c>
      <c r="E360" t="inlineStr">
        <is>
          <t>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58106-2021</t>
        </is>
      </c>
      <c r="B361" s="1" t="n">
        <v>44487</v>
      </c>
      <c r="C361" s="1" t="n">
        <v>45292</v>
      </c>
      <c r="D361" t="inlineStr">
        <is>
          <t>VÄSTMANLANDS LÄN</t>
        </is>
      </c>
      <c r="E361" t="inlineStr">
        <is>
          <t>SALA</t>
        </is>
      </c>
      <c r="F361" t="inlineStr">
        <is>
          <t>Sveaskog</t>
        </is>
      </c>
      <c r="G361" t="n">
        <v>4.5</v>
      </c>
      <c r="H361" t="n">
        <v>0</v>
      </c>
      <c r="I361" t="n">
        <v>0</v>
      </c>
      <c r="J361" t="n">
        <v>0</v>
      </c>
      <c r="K361" t="n">
        <v>0</v>
      </c>
      <c r="L361" t="n">
        <v>0</v>
      </c>
      <c r="M361" t="n">
        <v>0</v>
      </c>
      <c r="N361" t="n">
        <v>0</v>
      </c>
      <c r="O361" t="n">
        <v>0</v>
      </c>
      <c r="P361" t="n">
        <v>0</v>
      </c>
      <c r="Q361" t="n">
        <v>0</v>
      </c>
      <c r="R361" s="2" t="inlineStr"/>
    </row>
    <row r="362" ht="15" customHeight="1">
      <c r="A362" t="inlineStr">
        <is>
          <t>A 58522-2021</t>
        </is>
      </c>
      <c r="B362" s="1" t="n">
        <v>44488</v>
      </c>
      <c r="C362" s="1" t="n">
        <v>45292</v>
      </c>
      <c r="D362" t="inlineStr">
        <is>
          <t>VÄSTMANLANDS LÄN</t>
        </is>
      </c>
      <c r="E362" t="inlineStr">
        <is>
          <t>SALA</t>
        </is>
      </c>
      <c r="G362" t="n">
        <v>0.3</v>
      </c>
      <c r="H362" t="n">
        <v>0</v>
      </c>
      <c r="I362" t="n">
        <v>0</v>
      </c>
      <c r="J362" t="n">
        <v>0</v>
      </c>
      <c r="K362" t="n">
        <v>0</v>
      </c>
      <c r="L362" t="n">
        <v>0</v>
      </c>
      <c r="M362" t="n">
        <v>0</v>
      </c>
      <c r="N362" t="n">
        <v>0</v>
      </c>
      <c r="O362" t="n">
        <v>0</v>
      </c>
      <c r="P362" t="n">
        <v>0</v>
      </c>
      <c r="Q362" t="n">
        <v>0</v>
      </c>
      <c r="R362" s="2" t="inlineStr"/>
    </row>
    <row r="363" ht="15" customHeight="1">
      <c r="A363" t="inlineStr">
        <is>
          <t>A 58701-2021</t>
        </is>
      </c>
      <c r="B363" s="1" t="n">
        <v>44489</v>
      </c>
      <c r="C363" s="1" t="n">
        <v>45292</v>
      </c>
      <c r="D363" t="inlineStr">
        <is>
          <t>VÄSTMANLANDS LÄN</t>
        </is>
      </c>
      <c r="E363" t="inlineStr">
        <is>
          <t>SALA</t>
        </is>
      </c>
      <c r="G363" t="n">
        <v>0.7</v>
      </c>
      <c r="H363" t="n">
        <v>0</v>
      </c>
      <c r="I363" t="n">
        <v>0</v>
      </c>
      <c r="J363" t="n">
        <v>0</v>
      </c>
      <c r="K363" t="n">
        <v>0</v>
      </c>
      <c r="L363" t="n">
        <v>0</v>
      </c>
      <c r="M363" t="n">
        <v>0</v>
      </c>
      <c r="N363" t="n">
        <v>0</v>
      </c>
      <c r="O363" t="n">
        <v>0</v>
      </c>
      <c r="P363" t="n">
        <v>0</v>
      </c>
      <c r="Q363" t="n">
        <v>0</v>
      </c>
      <c r="R363" s="2" t="inlineStr"/>
    </row>
    <row r="364" ht="15" customHeight="1">
      <c r="A364" t="inlineStr">
        <is>
          <t>A 60031-2021</t>
        </is>
      </c>
      <c r="B364" s="1" t="n">
        <v>44495</v>
      </c>
      <c r="C364" s="1" t="n">
        <v>45292</v>
      </c>
      <c r="D364" t="inlineStr">
        <is>
          <t>VÄSTMANLANDS LÄN</t>
        </is>
      </c>
      <c r="E364" t="inlineStr">
        <is>
          <t>SALA</t>
        </is>
      </c>
      <c r="G364" t="n">
        <v>4.3</v>
      </c>
      <c r="H364" t="n">
        <v>0</v>
      </c>
      <c r="I364" t="n">
        <v>0</v>
      </c>
      <c r="J364" t="n">
        <v>0</v>
      </c>
      <c r="K364" t="n">
        <v>0</v>
      </c>
      <c r="L364" t="n">
        <v>0</v>
      </c>
      <c r="M364" t="n">
        <v>0</v>
      </c>
      <c r="N364" t="n">
        <v>0</v>
      </c>
      <c r="O364" t="n">
        <v>0</v>
      </c>
      <c r="P364" t="n">
        <v>0</v>
      </c>
      <c r="Q364" t="n">
        <v>0</v>
      </c>
      <c r="R364" s="2" t="inlineStr"/>
    </row>
    <row r="365" ht="15" customHeight="1">
      <c r="A365" t="inlineStr">
        <is>
          <t>A 60951-2021</t>
        </is>
      </c>
      <c r="B365" s="1" t="n">
        <v>44497</v>
      </c>
      <c r="C365" s="1" t="n">
        <v>45292</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61892-2021</t>
        </is>
      </c>
      <c r="B366" s="1" t="n">
        <v>44502</v>
      </c>
      <c r="C366" s="1" t="n">
        <v>45292</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row>
    <row r="367" ht="15" customHeight="1">
      <c r="A367" t="inlineStr">
        <is>
          <t>A 61874-2021</t>
        </is>
      </c>
      <c r="B367" s="1" t="n">
        <v>44502</v>
      </c>
      <c r="C367" s="1" t="n">
        <v>45292</v>
      </c>
      <c r="D367" t="inlineStr">
        <is>
          <t>VÄSTMANLANDS LÄN</t>
        </is>
      </c>
      <c r="E367" t="inlineStr">
        <is>
          <t>SALA</t>
        </is>
      </c>
      <c r="F367" t="inlineStr">
        <is>
          <t>Kyrkan</t>
        </is>
      </c>
      <c r="G367" t="n">
        <v>1.3</v>
      </c>
      <c r="H367" t="n">
        <v>0</v>
      </c>
      <c r="I367" t="n">
        <v>0</v>
      </c>
      <c r="J367" t="n">
        <v>0</v>
      </c>
      <c r="K367" t="n">
        <v>0</v>
      </c>
      <c r="L367" t="n">
        <v>0</v>
      </c>
      <c r="M367" t="n">
        <v>0</v>
      </c>
      <c r="N367" t="n">
        <v>0</v>
      </c>
      <c r="O367" t="n">
        <v>0</v>
      </c>
      <c r="P367" t="n">
        <v>0</v>
      </c>
      <c r="Q367" t="n">
        <v>0</v>
      </c>
      <c r="R367" s="2" t="inlineStr"/>
    </row>
    <row r="368" ht="15" customHeight="1">
      <c r="A368" t="inlineStr">
        <is>
          <t>A 61897-2021</t>
        </is>
      </c>
      <c r="B368" s="1" t="n">
        <v>44502</v>
      </c>
      <c r="C368" s="1" t="n">
        <v>45292</v>
      </c>
      <c r="D368" t="inlineStr">
        <is>
          <t>VÄSTMANLANDS LÄN</t>
        </is>
      </c>
      <c r="E368" t="inlineStr">
        <is>
          <t>SALA</t>
        </is>
      </c>
      <c r="G368" t="n">
        <v>0.5</v>
      </c>
      <c r="H368" t="n">
        <v>0</v>
      </c>
      <c r="I368" t="n">
        <v>0</v>
      </c>
      <c r="J368" t="n">
        <v>0</v>
      </c>
      <c r="K368" t="n">
        <v>0</v>
      </c>
      <c r="L368" t="n">
        <v>0</v>
      </c>
      <c r="M368" t="n">
        <v>0</v>
      </c>
      <c r="N368" t="n">
        <v>0</v>
      </c>
      <c r="O368" t="n">
        <v>0</v>
      </c>
      <c r="P368" t="n">
        <v>0</v>
      </c>
      <c r="Q368" t="n">
        <v>0</v>
      </c>
      <c r="R368" s="2" t="inlineStr"/>
    </row>
    <row r="369" ht="15" customHeight="1">
      <c r="A369" t="inlineStr">
        <is>
          <t>A 62842-2021</t>
        </is>
      </c>
      <c r="B369" s="1" t="n">
        <v>44504</v>
      </c>
      <c r="C369" s="1" t="n">
        <v>45292</v>
      </c>
      <c r="D369" t="inlineStr">
        <is>
          <t>VÄSTMANLANDS LÄN</t>
        </is>
      </c>
      <c r="E369" t="inlineStr">
        <is>
          <t>SALA</t>
        </is>
      </c>
      <c r="G369" t="n">
        <v>5.3</v>
      </c>
      <c r="H369" t="n">
        <v>0</v>
      </c>
      <c r="I369" t="n">
        <v>0</v>
      </c>
      <c r="J369" t="n">
        <v>0</v>
      </c>
      <c r="K369" t="n">
        <v>0</v>
      </c>
      <c r="L369" t="n">
        <v>0</v>
      </c>
      <c r="M369" t="n">
        <v>0</v>
      </c>
      <c r="N369" t="n">
        <v>0</v>
      </c>
      <c r="O369" t="n">
        <v>0</v>
      </c>
      <c r="P369" t="n">
        <v>0</v>
      </c>
      <c r="Q369" t="n">
        <v>0</v>
      </c>
      <c r="R369" s="2" t="inlineStr"/>
    </row>
    <row r="370" ht="15" customHeight="1">
      <c r="A370" t="inlineStr">
        <is>
          <t>A 62793-2021</t>
        </is>
      </c>
      <c r="B370" s="1" t="n">
        <v>44504</v>
      </c>
      <c r="C370" s="1" t="n">
        <v>45292</v>
      </c>
      <c r="D370" t="inlineStr">
        <is>
          <t>VÄSTMANLANDS LÄN</t>
        </is>
      </c>
      <c r="E370" t="inlineStr">
        <is>
          <t>SALA</t>
        </is>
      </c>
      <c r="G370" t="n">
        <v>5.7</v>
      </c>
      <c r="H370" t="n">
        <v>0</v>
      </c>
      <c r="I370" t="n">
        <v>0</v>
      </c>
      <c r="J370" t="n">
        <v>0</v>
      </c>
      <c r="K370" t="n">
        <v>0</v>
      </c>
      <c r="L370" t="n">
        <v>0</v>
      </c>
      <c r="M370" t="n">
        <v>0</v>
      </c>
      <c r="N370" t="n">
        <v>0</v>
      </c>
      <c r="O370" t="n">
        <v>0</v>
      </c>
      <c r="P370" t="n">
        <v>0</v>
      </c>
      <c r="Q370" t="n">
        <v>0</v>
      </c>
      <c r="R370" s="2" t="inlineStr"/>
    </row>
    <row r="371" ht="15" customHeight="1">
      <c r="A371" t="inlineStr">
        <is>
          <t>A 62833-2021</t>
        </is>
      </c>
      <c r="B371" s="1" t="n">
        <v>44504</v>
      </c>
      <c r="C371" s="1" t="n">
        <v>45292</v>
      </c>
      <c r="D371" t="inlineStr">
        <is>
          <t>VÄSTMANLANDS LÄN</t>
        </is>
      </c>
      <c r="E371" t="inlineStr">
        <is>
          <t>SALA</t>
        </is>
      </c>
      <c r="G371" t="n">
        <v>5</v>
      </c>
      <c r="H371" t="n">
        <v>0</v>
      </c>
      <c r="I371" t="n">
        <v>0</v>
      </c>
      <c r="J371" t="n">
        <v>0</v>
      </c>
      <c r="K371" t="n">
        <v>0</v>
      </c>
      <c r="L371" t="n">
        <v>0</v>
      </c>
      <c r="M371" t="n">
        <v>0</v>
      </c>
      <c r="N371" t="n">
        <v>0</v>
      </c>
      <c r="O371" t="n">
        <v>0</v>
      </c>
      <c r="P371" t="n">
        <v>0</v>
      </c>
      <c r="Q371" t="n">
        <v>0</v>
      </c>
      <c r="R371" s="2" t="inlineStr"/>
    </row>
    <row r="372" ht="15" customHeight="1">
      <c r="A372" t="inlineStr">
        <is>
          <t>A 62850-2021</t>
        </is>
      </c>
      <c r="B372" s="1" t="n">
        <v>44504</v>
      </c>
      <c r="C372" s="1" t="n">
        <v>45292</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62967-2021</t>
        </is>
      </c>
      <c r="B373" s="1" t="n">
        <v>44505</v>
      </c>
      <c r="C373" s="1" t="n">
        <v>45292</v>
      </c>
      <c r="D373" t="inlineStr">
        <is>
          <t>VÄSTMANLANDS LÄN</t>
        </is>
      </c>
      <c r="E373" t="inlineStr">
        <is>
          <t>SALA</t>
        </is>
      </c>
      <c r="G373" t="n">
        <v>6.1</v>
      </c>
      <c r="H373" t="n">
        <v>0</v>
      </c>
      <c r="I373" t="n">
        <v>0</v>
      </c>
      <c r="J373" t="n">
        <v>0</v>
      </c>
      <c r="K373" t="n">
        <v>0</v>
      </c>
      <c r="L373" t="n">
        <v>0</v>
      </c>
      <c r="M373" t="n">
        <v>0</v>
      </c>
      <c r="N373" t="n">
        <v>0</v>
      </c>
      <c r="O373" t="n">
        <v>0</v>
      </c>
      <c r="P373" t="n">
        <v>0</v>
      </c>
      <c r="Q373" t="n">
        <v>0</v>
      </c>
      <c r="R373" s="2" t="inlineStr"/>
    </row>
    <row r="374" ht="15" customHeight="1">
      <c r="A374" t="inlineStr">
        <is>
          <t>A 63290-2021</t>
        </is>
      </c>
      <c r="B374" s="1" t="n">
        <v>44505</v>
      </c>
      <c r="C374" s="1" t="n">
        <v>45292</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64931-2021</t>
        </is>
      </c>
      <c r="B375" s="1" t="n">
        <v>44512</v>
      </c>
      <c r="C375" s="1" t="n">
        <v>45292</v>
      </c>
      <c r="D375" t="inlineStr">
        <is>
          <t>VÄSTMANLANDS LÄN</t>
        </is>
      </c>
      <c r="E375" t="inlineStr">
        <is>
          <t>SALA</t>
        </is>
      </c>
      <c r="G375" t="n">
        <v>1.1</v>
      </c>
      <c r="H375" t="n">
        <v>0</v>
      </c>
      <c r="I375" t="n">
        <v>0</v>
      </c>
      <c r="J375" t="n">
        <v>0</v>
      </c>
      <c r="K375" t="n">
        <v>0</v>
      </c>
      <c r="L375" t="n">
        <v>0</v>
      </c>
      <c r="M375" t="n">
        <v>0</v>
      </c>
      <c r="N375" t="n">
        <v>0</v>
      </c>
      <c r="O375" t="n">
        <v>0</v>
      </c>
      <c r="P375" t="n">
        <v>0</v>
      </c>
      <c r="Q375" t="n">
        <v>0</v>
      </c>
      <c r="R375" s="2" t="inlineStr"/>
    </row>
    <row r="376" ht="15" customHeight="1">
      <c r="A376" t="inlineStr">
        <is>
          <t>A 64932-2021</t>
        </is>
      </c>
      <c r="B376" s="1" t="n">
        <v>44512</v>
      </c>
      <c r="C376" s="1" t="n">
        <v>45292</v>
      </c>
      <c r="D376" t="inlineStr">
        <is>
          <t>VÄSTMANLANDS LÄN</t>
        </is>
      </c>
      <c r="E376" t="inlineStr">
        <is>
          <t>SALA</t>
        </is>
      </c>
      <c r="G376" t="n">
        <v>0.8</v>
      </c>
      <c r="H376" t="n">
        <v>0</v>
      </c>
      <c r="I376" t="n">
        <v>0</v>
      </c>
      <c r="J376" t="n">
        <v>0</v>
      </c>
      <c r="K376" t="n">
        <v>0</v>
      </c>
      <c r="L376" t="n">
        <v>0</v>
      </c>
      <c r="M376" t="n">
        <v>0</v>
      </c>
      <c r="N376" t="n">
        <v>0</v>
      </c>
      <c r="O376" t="n">
        <v>0</v>
      </c>
      <c r="P376" t="n">
        <v>0</v>
      </c>
      <c r="Q376" t="n">
        <v>0</v>
      </c>
      <c r="R376" s="2" t="inlineStr"/>
    </row>
    <row r="377" ht="15" customHeight="1">
      <c r="A377" t="inlineStr">
        <is>
          <t>A 65213-2021</t>
        </is>
      </c>
      <c r="B377" s="1" t="n">
        <v>44515</v>
      </c>
      <c r="C377" s="1" t="n">
        <v>45292</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65321-2021</t>
        </is>
      </c>
      <c r="B378" s="1" t="n">
        <v>44515</v>
      </c>
      <c r="C378" s="1" t="n">
        <v>45292</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65338-2021</t>
        </is>
      </c>
      <c r="B379" s="1" t="n">
        <v>44515</v>
      </c>
      <c r="C379" s="1" t="n">
        <v>45292</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65353-2021</t>
        </is>
      </c>
      <c r="B380" s="1" t="n">
        <v>44515</v>
      </c>
      <c r="C380" s="1" t="n">
        <v>45292</v>
      </c>
      <c r="D380" t="inlineStr">
        <is>
          <t>VÄSTMANLANDS LÄN</t>
        </is>
      </c>
      <c r="E380" t="inlineStr">
        <is>
          <t>SALA</t>
        </is>
      </c>
      <c r="G380" t="n">
        <v>1.5</v>
      </c>
      <c r="H380" t="n">
        <v>0</v>
      </c>
      <c r="I380" t="n">
        <v>0</v>
      </c>
      <c r="J380" t="n">
        <v>0</v>
      </c>
      <c r="K380" t="n">
        <v>0</v>
      </c>
      <c r="L380" t="n">
        <v>0</v>
      </c>
      <c r="M380" t="n">
        <v>0</v>
      </c>
      <c r="N380" t="n">
        <v>0</v>
      </c>
      <c r="O380" t="n">
        <v>0</v>
      </c>
      <c r="P380" t="n">
        <v>0</v>
      </c>
      <c r="Q380" t="n">
        <v>0</v>
      </c>
      <c r="R380" s="2" t="inlineStr"/>
    </row>
    <row r="381" ht="15" customHeight="1">
      <c r="A381" t="inlineStr">
        <is>
          <t>A 65490-2021</t>
        </is>
      </c>
      <c r="B381" s="1" t="n">
        <v>44515</v>
      </c>
      <c r="C381" s="1" t="n">
        <v>45292</v>
      </c>
      <c r="D381" t="inlineStr">
        <is>
          <t>VÄSTMANLANDS LÄN</t>
        </is>
      </c>
      <c r="E381" t="inlineStr">
        <is>
          <t>SALA</t>
        </is>
      </c>
      <c r="G381" t="n">
        <v>2.1</v>
      </c>
      <c r="H381" t="n">
        <v>0</v>
      </c>
      <c r="I381" t="n">
        <v>0</v>
      </c>
      <c r="J381" t="n">
        <v>0</v>
      </c>
      <c r="K381" t="n">
        <v>0</v>
      </c>
      <c r="L381" t="n">
        <v>0</v>
      </c>
      <c r="M381" t="n">
        <v>0</v>
      </c>
      <c r="N381" t="n">
        <v>0</v>
      </c>
      <c r="O381" t="n">
        <v>0</v>
      </c>
      <c r="P381" t="n">
        <v>0</v>
      </c>
      <c r="Q381" t="n">
        <v>0</v>
      </c>
      <c r="R381" s="2" t="inlineStr"/>
    </row>
    <row r="382" ht="15" customHeight="1">
      <c r="A382" t="inlineStr">
        <is>
          <t>A 65856-2021</t>
        </is>
      </c>
      <c r="B382" s="1" t="n">
        <v>44517</v>
      </c>
      <c r="C382" s="1" t="n">
        <v>45292</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65818-2021</t>
        </is>
      </c>
      <c r="B383" s="1" t="n">
        <v>44517</v>
      </c>
      <c r="C383" s="1" t="n">
        <v>45292</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65835-2021</t>
        </is>
      </c>
      <c r="B384" s="1" t="n">
        <v>44517</v>
      </c>
      <c r="C384" s="1" t="n">
        <v>45292</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65860-2021</t>
        </is>
      </c>
      <c r="B385" s="1" t="n">
        <v>44517</v>
      </c>
      <c r="C385" s="1" t="n">
        <v>45292</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66307-2021</t>
        </is>
      </c>
      <c r="B386" s="1" t="n">
        <v>44518</v>
      </c>
      <c r="C386" s="1" t="n">
        <v>45292</v>
      </c>
      <c r="D386" t="inlineStr">
        <is>
          <t>VÄSTMANLANDS LÄN</t>
        </is>
      </c>
      <c r="E386" t="inlineStr">
        <is>
          <t>SALA</t>
        </is>
      </c>
      <c r="G386" t="n">
        <v>0.7</v>
      </c>
      <c r="H386" t="n">
        <v>0</v>
      </c>
      <c r="I386" t="n">
        <v>0</v>
      </c>
      <c r="J386" t="n">
        <v>0</v>
      </c>
      <c r="K386" t="n">
        <v>0</v>
      </c>
      <c r="L386" t="n">
        <v>0</v>
      </c>
      <c r="M386" t="n">
        <v>0</v>
      </c>
      <c r="N386" t="n">
        <v>0</v>
      </c>
      <c r="O386" t="n">
        <v>0</v>
      </c>
      <c r="P386" t="n">
        <v>0</v>
      </c>
      <c r="Q386" t="n">
        <v>0</v>
      </c>
      <c r="R386" s="2" t="inlineStr"/>
    </row>
    <row r="387" ht="15" customHeight="1">
      <c r="A387" t="inlineStr">
        <is>
          <t>A 66508-2021</t>
        </is>
      </c>
      <c r="B387" s="1" t="n">
        <v>44519</v>
      </c>
      <c r="C387" s="1" t="n">
        <v>45292</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66563-2021</t>
        </is>
      </c>
      <c r="B388" s="1" t="n">
        <v>44519</v>
      </c>
      <c r="C388" s="1" t="n">
        <v>45292</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66561-2021</t>
        </is>
      </c>
      <c r="B389" s="1" t="n">
        <v>44519</v>
      </c>
      <c r="C389" s="1" t="n">
        <v>45292</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66908-2021</t>
        </is>
      </c>
      <c r="B390" s="1" t="n">
        <v>44522</v>
      </c>
      <c r="C390" s="1" t="n">
        <v>45292</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66830-2021</t>
        </is>
      </c>
      <c r="B391" s="1" t="n">
        <v>44522</v>
      </c>
      <c r="C391" s="1" t="n">
        <v>45292</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67037-2021</t>
        </is>
      </c>
      <c r="B392" s="1" t="n">
        <v>44522</v>
      </c>
      <c r="C392" s="1" t="n">
        <v>45292</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c r="U392">
        <f>HYPERLINK("https://klasma.github.io/Logging_1981/knärot/A 67037-2021 karta knärot.png", "A 67037-2021")</f>
        <v/>
      </c>
      <c r="V392">
        <f>HYPERLINK("https://klasma.github.io/Logging_1981/klagomål/A 67037-2021 FSC-klagomål.docx", "A 67037-2021")</f>
        <v/>
      </c>
      <c r="W392">
        <f>HYPERLINK("https://klasma.github.io/Logging_1981/klagomålsmail/A 67037-2021 FSC-klagomål mail.docx", "A 67037-2021")</f>
        <v/>
      </c>
      <c r="X392">
        <f>HYPERLINK("https://klasma.github.io/Logging_1981/tillsyn/A 67037-2021 tillsynsbegäran.docx", "A 67037-2021")</f>
        <v/>
      </c>
      <c r="Y392">
        <f>HYPERLINK("https://klasma.github.io/Logging_1981/tillsynsmail/A 67037-2021 tillsynsbegäran mail.docx", "A 67037-2021")</f>
        <v/>
      </c>
    </row>
    <row r="393" ht="15" customHeight="1">
      <c r="A393" t="inlineStr">
        <is>
          <t>A 67965-2021</t>
        </is>
      </c>
      <c r="B393" s="1" t="n">
        <v>44525</v>
      </c>
      <c r="C393" s="1" t="n">
        <v>45292</v>
      </c>
      <c r="D393" t="inlineStr">
        <is>
          <t>VÄSTMANLANDS LÄN</t>
        </is>
      </c>
      <c r="E393" t="inlineStr">
        <is>
          <t>SALA</t>
        </is>
      </c>
      <c r="G393" t="n">
        <v>0.6</v>
      </c>
      <c r="H393" t="n">
        <v>0</v>
      </c>
      <c r="I393" t="n">
        <v>0</v>
      </c>
      <c r="J393" t="n">
        <v>0</v>
      </c>
      <c r="K393" t="n">
        <v>0</v>
      </c>
      <c r="L393" t="n">
        <v>0</v>
      </c>
      <c r="M393" t="n">
        <v>0</v>
      </c>
      <c r="N393" t="n">
        <v>0</v>
      </c>
      <c r="O393" t="n">
        <v>0</v>
      </c>
      <c r="P393" t="n">
        <v>0</v>
      </c>
      <c r="Q393" t="n">
        <v>0</v>
      </c>
      <c r="R393" s="2" t="inlineStr"/>
    </row>
    <row r="394" ht="15" customHeight="1">
      <c r="A394" t="inlineStr">
        <is>
          <t>A 67958-2021</t>
        </is>
      </c>
      <c r="B394" s="1" t="n">
        <v>44525</v>
      </c>
      <c r="C394" s="1" t="n">
        <v>45292</v>
      </c>
      <c r="D394" t="inlineStr">
        <is>
          <t>VÄSTMANLANDS LÄN</t>
        </is>
      </c>
      <c r="E394" t="inlineStr">
        <is>
          <t>SALA</t>
        </is>
      </c>
      <c r="G394" t="n">
        <v>0.6</v>
      </c>
      <c r="H394" t="n">
        <v>0</v>
      </c>
      <c r="I394" t="n">
        <v>0</v>
      </c>
      <c r="J394" t="n">
        <v>0</v>
      </c>
      <c r="K394" t="n">
        <v>0</v>
      </c>
      <c r="L394" t="n">
        <v>0</v>
      </c>
      <c r="M394" t="n">
        <v>0</v>
      </c>
      <c r="N394" t="n">
        <v>0</v>
      </c>
      <c r="O394" t="n">
        <v>0</v>
      </c>
      <c r="P394" t="n">
        <v>0</v>
      </c>
      <c r="Q394" t="n">
        <v>0</v>
      </c>
      <c r="R394" s="2" t="inlineStr"/>
    </row>
    <row r="395" ht="15" customHeight="1">
      <c r="A395" t="inlineStr">
        <is>
          <t>A 67962-2021</t>
        </is>
      </c>
      <c r="B395" s="1" t="n">
        <v>44525</v>
      </c>
      <c r="C395" s="1" t="n">
        <v>45292</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68355-2021</t>
        </is>
      </c>
      <c r="B396" s="1" t="n">
        <v>44528</v>
      </c>
      <c r="C396" s="1" t="n">
        <v>45292</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68484-2021</t>
        </is>
      </c>
      <c r="B397" s="1" t="n">
        <v>44529</v>
      </c>
      <c r="C397" s="1" t="n">
        <v>45292</v>
      </c>
      <c r="D397" t="inlineStr">
        <is>
          <t>VÄSTMANLANDS LÄN</t>
        </is>
      </c>
      <c r="E397" t="inlineStr">
        <is>
          <t>SALA</t>
        </is>
      </c>
      <c r="G397" t="n">
        <v>1.7</v>
      </c>
      <c r="H397" t="n">
        <v>0</v>
      </c>
      <c r="I397" t="n">
        <v>0</v>
      </c>
      <c r="J397" t="n">
        <v>0</v>
      </c>
      <c r="K397" t="n">
        <v>0</v>
      </c>
      <c r="L397" t="n">
        <v>0</v>
      </c>
      <c r="M397" t="n">
        <v>0</v>
      </c>
      <c r="N397" t="n">
        <v>0</v>
      </c>
      <c r="O397" t="n">
        <v>0</v>
      </c>
      <c r="P397" t="n">
        <v>0</v>
      </c>
      <c r="Q397" t="n">
        <v>0</v>
      </c>
      <c r="R397" s="2" t="inlineStr"/>
    </row>
    <row r="398" ht="15" customHeight="1">
      <c r="A398" t="inlineStr">
        <is>
          <t>A 68980-2021</t>
        </is>
      </c>
      <c r="B398" s="1" t="n">
        <v>44529</v>
      </c>
      <c r="C398" s="1" t="n">
        <v>45292</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68864-2021</t>
        </is>
      </c>
      <c r="B399" s="1" t="n">
        <v>44530</v>
      </c>
      <c r="C399" s="1" t="n">
        <v>45292</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69232-2021</t>
        </is>
      </c>
      <c r="B400" s="1" t="n">
        <v>44531</v>
      </c>
      <c r="C400" s="1" t="n">
        <v>45292</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69236-2021</t>
        </is>
      </c>
      <c r="B401" s="1" t="n">
        <v>44531</v>
      </c>
      <c r="C401" s="1" t="n">
        <v>45292</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70218-2021</t>
        </is>
      </c>
      <c r="B402" s="1" t="n">
        <v>44535</v>
      </c>
      <c r="C402" s="1" t="n">
        <v>45292</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70319-2021</t>
        </is>
      </c>
      <c r="B403" s="1" t="n">
        <v>44536</v>
      </c>
      <c r="C403" s="1" t="n">
        <v>45292</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70655-2021</t>
        </is>
      </c>
      <c r="B404" s="1" t="n">
        <v>44537</v>
      </c>
      <c r="C404" s="1" t="n">
        <v>45292</v>
      </c>
      <c r="D404" t="inlineStr">
        <is>
          <t>VÄSTMANLANDS LÄN</t>
        </is>
      </c>
      <c r="E404" t="inlineStr">
        <is>
          <t>SALA</t>
        </is>
      </c>
      <c r="G404" t="n">
        <v>4.8</v>
      </c>
      <c r="H404" t="n">
        <v>0</v>
      </c>
      <c r="I404" t="n">
        <v>0</v>
      </c>
      <c r="J404" t="n">
        <v>0</v>
      </c>
      <c r="K404" t="n">
        <v>0</v>
      </c>
      <c r="L404" t="n">
        <v>0</v>
      </c>
      <c r="M404" t="n">
        <v>0</v>
      </c>
      <c r="N404" t="n">
        <v>0</v>
      </c>
      <c r="O404" t="n">
        <v>0</v>
      </c>
      <c r="P404" t="n">
        <v>0</v>
      </c>
      <c r="Q404" t="n">
        <v>0</v>
      </c>
      <c r="R404" s="2" t="inlineStr"/>
    </row>
    <row r="405" ht="15" customHeight="1">
      <c r="A405" t="inlineStr">
        <is>
          <t>A 70958-2021</t>
        </is>
      </c>
      <c r="B405" s="1" t="n">
        <v>44538</v>
      </c>
      <c r="C405" s="1" t="n">
        <v>45292</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71471-2021</t>
        </is>
      </c>
      <c r="B406" s="1" t="n">
        <v>44540</v>
      </c>
      <c r="C406" s="1" t="n">
        <v>45292</v>
      </c>
      <c r="D406" t="inlineStr">
        <is>
          <t>VÄSTMANLANDS LÄN</t>
        </is>
      </c>
      <c r="E406" t="inlineStr">
        <is>
          <t>SALA</t>
        </is>
      </c>
      <c r="G406" t="n">
        <v>13</v>
      </c>
      <c r="H406" t="n">
        <v>0</v>
      </c>
      <c r="I406" t="n">
        <v>0</v>
      </c>
      <c r="J406" t="n">
        <v>0</v>
      </c>
      <c r="K406" t="n">
        <v>0</v>
      </c>
      <c r="L406" t="n">
        <v>0</v>
      </c>
      <c r="M406" t="n">
        <v>0</v>
      </c>
      <c r="N406" t="n">
        <v>0</v>
      </c>
      <c r="O406" t="n">
        <v>0</v>
      </c>
      <c r="P406" t="n">
        <v>0</v>
      </c>
      <c r="Q406" t="n">
        <v>0</v>
      </c>
      <c r="R406" s="2" t="inlineStr"/>
    </row>
    <row r="407" ht="15" customHeight="1">
      <c r="A407" t="inlineStr">
        <is>
          <t>A 71853-2021</t>
        </is>
      </c>
      <c r="B407" s="1" t="n">
        <v>44543</v>
      </c>
      <c r="C407" s="1" t="n">
        <v>45292</v>
      </c>
      <c r="D407" t="inlineStr">
        <is>
          <t>VÄSTMANLANDS LÄN</t>
        </is>
      </c>
      <c r="E407" t="inlineStr">
        <is>
          <t>SALA</t>
        </is>
      </c>
      <c r="G407" t="n">
        <v>6.5</v>
      </c>
      <c r="H407" t="n">
        <v>0</v>
      </c>
      <c r="I407" t="n">
        <v>0</v>
      </c>
      <c r="J407" t="n">
        <v>0</v>
      </c>
      <c r="K407" t="n">
        <v>0</v>
      </c>
      <c r="L407" t="n">
        <v>0</v>
      </c>
      <c r="M407" t="n">
        <v>0</v>
      </c>
      <c r="N407" t="n">
        <v>0</v>
      </c>
      <c r="O407" t="n">
        <v>0</v>
      </c>
      <c r="P407" t="n">
        <v>0</v>
      </c>
      <c r="Q407" t="n">
        <v>0</v>
      </c>
      <c r="R407" s="2" t="inlineStr"/>
    </row>
    <row r="408" ht="15" customHeight="1">
      <c r="A408" t="inlineStr">
        <is>
          <t>A 72071-2021</t>
        </is>
      </c>
      <c r="B408" s="1" t="n">
        <v>44544</v>
      </c>
      <c r="C408" s="1" t="n">
        <v>45292</v>
      </c>
      <c r="D408" t="inlineStr">
        <is>
          <t>VÄSTMANLANDS LÄN</t>
        </is>
      </c>
      <c r="E408" t="inlineStr">
        <is>
          <t>SALA</t>
        </is>
      </c>
      <c r="G408" t="n">
        <v>3.5</v>
      </c>
      <c r="H408" t="n">
        <v>0</v>
      </c>
      <c r="I408" t="n">
        <v>0</v>
      </c>
      <c r="J408" t="n">
        <v>0</v>
      </c>
      <c r="K408" t="n">
        <v>0</v>
      </c>
      <c r="L408" t="n">
        <v>0</v>
      </c>
      <c r="M408" t="n">
        <v>0</v>
      </c>
      <c r="N408" t="n">
        <v>0</v>
      </c>
      <c r="O408" t="n">
        <v>0</v>
      </c>
      <c r="P408" t="n">
        <v>0</v>
      </c>
      <c r="Q408" t="n">
        <v>0</v>
      </c>
      <c r="R408" s="2" t="inlineStr"/>
    </row>
    <row r="409" ht="15" customHeight="1">
      <c r="A409" t="inlineStr">
        <is>
          <t>A 72405-2021</t>
        </is>
      </c>
      <c r="B409" s="1" t="n">
        <v>44545</v>
      </c>
      <c r="C409" s="1" t="n">
        <v>45292</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72389-2021</t>
        </is>
      </c>
      <c r="B410" s="1" t="n">
        <v>44545</v>
      </c>
      <c r="C410" s="1" t="n">
        <v>45292</v>
      </c>
      <c r="D410" t="inlineStr">
        <is>
          <t>VÄSTMANLANDS LÄN</t>
        </is>
      </c>
      <c r="E410" t="inlineStr">
        <is>
          <t>SALA</t>
        </is>
      </c>
      <c r="G410" t="n">
        <v>0.8</v>
      </c>
      <c r="H410" t="n">
        <v>0</v>
      </c>
      <c r="I410" t="n">
        <v>0</v>
      </c>
      <c r="J410" t="n">
        <v>0</v>
      </c>
      <c r="K410" t="n">
        <v>0</v>
      </c>
      <c r="L410" t="n">
        <v>0</v>
      </c>
      <c r="M410" t="n">
        <v>0</v>
      </c>
      <c r="N410" t="n">
        <v>0</v>
      </c>
      <c r="O410" t="n">
        <v>0</v>
      </c>
      <c r="P410" t="n">
        <v>0</v>
      </c>
      <c r="Q410" t="n">
        <v>0</v>
      </c>
      <c r="R410" s="2" t="inlineStr"/>
    </row>
    <row r="411" ht="15" customHeight="1">
      <c r="A411" t="inlineStr">
        <is>
          <t>A 72810-2021</t>
        </is>
      </c>
      <c r="B411" s="1" t="n">
        <v>44546</v>
      </c>
      <c r="C411" s="1" t="n">
        <v>45292</v>
      </c>
      <c r="D411" t="inlineStr">
        <is>
          <t>VÄSTMANLANDS LÄN</t>
        </is>
      </c>
      <c r="E411" t="inlineStr">
        <is>
          <t>SALA</t>
        </is>
      </c>
      <c r="G411" t="n">
        <v>3.3</v>
      </c>
      <c r="H411" t="n">
        <v>0</v>
      </c>
      <c r="I411" t="n">
        <v>0</v>
      </c>
      <c r="J411" t="n">
        <v>0</v>
      </c>
      <c r="K411" t="n">
        <v>0</v>
      </c>
      <c r="L411" t="n">
        <v>0</v>
      </c>
      <c r="M411" t="n">
        <v>0</v>
      </c>
      <c r="N411" t="n">
        <v>0</v>
      </c>
      <c r="O411" t="n">
        <v>0</v>
      </c>
      <c r="P411" t="n">
        <v>0</v>
      </c>
      <c r="Q411" t="n">
        <v>0</v>
      </c>
      <c r="R411" s="2" t="inlineStr"/>
    </row>
    <row r="412" ht="15" customHeight="1">
      <c r="A412" t="inlineStr">
        <is>
          <t>A 72805-2021</t>
        </is>
      </c>
      <c r="B412" s="1" t="n">
        <v>44546</v>
      </c>
      <c r="C412" s="1" t="n">
        <v>45292</v>
      </c>
      <c r="D412" t="inlineStr">
        <is>
          <t>VÄSTMANLANDS LÄN</t>
        </is>
      </c>
      <c r="E412" t="inlineStr">
        <is>
          <t>SALA</t>
        </is>
      </c>
      <c r="G412" t="n">
        <v>7.8</v>
      </c>
      <c r="H412" t="n">
        <v>0</v>
      </c>
      <c r="I412" t="n">
        <v>0</v>
      </c>
      <c r="J412" t="n">
        <v>0</v>
      </c>
      <c r="K412" t="n">
        <v>0</v>
      </c>
      <c r="L412" t="n">
        <v>0</v>
      </c>
      <c r="M412" t="n">
        <v>0</v>
      </c>
      <c r="N412" t="n">
        <v>0</v>
      </c>
      <c r="O412" t="n">
        <v>0</v>
      </c>
      <c r="P412" t="n">
        <v>0</v>
      </c>
      <c r="Q412" t="n">
        <v>0</v>
      </c>
      <c r="R412" s="2" t="inlineStr"/>
    </row>
    <row r="413" ht="15" customHeight="1">
      <c r="A413" t="inlineStr">
        <is>
          <t>A 72808-2021</t>
        </is>
      </c>
      <c r="B413" s="1" t="n">
        <v>44546</v>
      </c>
      <c r="C413" s="1" t="n">
        <v>45292</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72776-2021</t>
        </is>
      </c>
      <c r="B414" s="1" t="n">
        <v>44547</v>
      </c>
      <c r="C414" s="1" t="n">
        <v>45292</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73029-2021</t>
        </is>
      </c>
      <c r="B415" s="1" t="n">
        <v>44550</v>
      </c>
      <c r="C415" s="1" t="n">
        <v>45292</v>
      </c>
      <c r="D415" t="inlineStr">
        <is>
          <t>VÄSTMANLANDS LÄN</t>
        </is>
      </c>
      <c r="E415" t="inlineStr">
        <is>
          <t>SALA</t>
        </is>
      </c>
      <c r="G415" t="n">
        <v>1.8</v>
      </c>
      <c r="H415" t="n">
        <v>0</v>
      </c>
      <c r="I415" t="n">
        <v>0</v>
      </c>
      <c r="J415" t="n">
        <v>0</v>
      </c>
      <c r="K415" t="n">
        <v>0</v>
      </c>
      <c r="L415" t="n">
        <v>0</v>
      </c>
      <c r="M415" t="n">
        <v>0</v>
      </c>
      <c r="N415" t="n">
        <v>0</v>
      </c>
      <c r="O415" t="n">
        <v>0</v>
      </c>
      <c r="P415" t="n">
        <v>0</v>
      </c>
      <c r="Q415" t="n">
        <v>0</v>
      </c>
      <c r="R415" s="2" t="inlineStr"/>
    </row>
    <row r="416" ht="15" customHeight="1">
      <c r="A416" t="inlineStr">
        <is>
          <t>A 73124-2021</t>
        </is>
      </c>
      <c r="B416" s="1" t="n">
        <v>44550</v>
      </c>
      <c r="C416" s="1" t="n">
        <v>45292</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73219-2021</t>
        </is>
      </c>
      <c r="B417" s="1" t="n">
        <v>44550</v>
      </c>
      <c r="C417" s="1" t="n">
        <v>45292</v>
      </c>
      <c r="D417" t="inlineStr">
        <is>
          <t>VÄSTMANLANDS LÄN</t>
        </is>
      </c>
      <c r="E417" t="inlineStr">
        <is>
          <t>SALA</t>
        </is>
      </c>
      <c r="G417" t="n">
        <v>7.1</v>
      </c>
      <c r="H417" t="n">
        <v>0</v>
      </c>
      <c r="I417" t="n">
        <v>0</v>
      </c>
      <c r="J417" t="n">
        <v>0</v>
      </c>
      <c r="K417" t="n">
        <v>0</v>
      </c>
      <c r="L417" t="n">
        <v>0</v>
      </c>
      <c r="M417" t="n">
        <v>0</v>
      </c>
      <c r="N417" t="n">
        <v>0</v>
      </c>
      <c r="O417" t="n">
        <v>0</v>
      </c>
      <c r="P417" t="n">
        <v>0</v>
      </c>
      <c r="Q417" t="n">
        <v>0</v>
      </c>
      <c r="R417" s="2" t="inlineStr"/>
    </row>
    <row r="418" ht="15" customHeight="1">
      <c r="A418" t="inlineStr">
        <is>
          <t>A 73423-2021</t>
        </is>
      </c>
      <c r="B418" s="1" t="n">
        <v>44551</v>
      </c>
      <c r="C418" s="1" t="n">
        <v>45292</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73519-2021</t>
        </is>
      </c>
      <c r="B419" s="1" t="n">
        <v>44551</v>
      </c>
      <c r="C419" s="1" t="n">
        <v>45292</v>
      </c>
      <c r="D419" t="inlineStr">
        <is>
          <t>VÄSTMANLANDS LÄN</t>
        </is>
      </c>
      <c r="E419" t="inlineStr">
        <is>
          <t>SALA</t>
        </is>
      </c>
      <c r="G419" t="n">
        <v>0.3</v>
      </c>
      <c r="H419" t="n">
        <v>0</v>
      </c>
      <c r="I419" t="n">
        <v>0</v>
      </c>
      <c r="J419" t="n">
        <v>0</v>
      </c>
      <c r="K419" t="n">
        <v>0</v>
      </c>
      <c r="L419" t="n">
        <v>0</v>
      </c>
      <c r="M419" t="n">
        <v>0</v>
      </c>
      <c r="N419" t="n">
        <v>0</v>
      </c>
      <c r="O419" t="n">
        <v>0</v>
      </c>
      <c r="P419" t="n">
        <v>0</v>
      </c>
      <c r="Q419" t="n">
        <v>0</v>
      </c>
      <c r="R419" s="2" t="inlineStr"/>
    </row>
    <row r="420" ht="15" customHeight="1">
      <c r="A420" t="inlineStr">
        <is>
          <t>A 73683-2021</t>
        </is>
      </c>
      <c r="B420" s="1" t="n">
        <v>44552</v>
      </c>
      <c r="C420" s="1" t="n">
        <v>45292</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73663-2021</t>
        </is>
      </c>
      <c r="B421" s="1" t="n">
        <v>44552</v>
      </c>
      <c r="C421" s="1" t="n">
        <v>45292</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73673-2021</t>
        </is>
      </c>
      <c r="B422" s="1" t="n">
        <v>44552</v>
      </c>
      <c r="C422" s="1" t="n">
        <v>45292</v>
      </c>
      <c r="D422" t="inlineStr">
        <is>
          <t>VÄSTMANLANDS LÄN</t>
        </is>
      </c>
      <c r="E422" t="inlineStr">
        <is>
          <t>SALA</t>
        </is>
      </c>
      <c r="G422" t="n">
        <v>11.4</v>
      </c>
      <c r="H422" t="n">
        <v>0</v>
      </c>
      <c r="I422" t="n">
        <v>0</v>
      </c>
      <c r="J422" t="n">
        <v>0</v>
      </c>
      <c r="K422" t="n">
        <v>0</v>
      </c>
      <c r="L422" t="n">
        <v>0</v>
      </c>
      <c r="M422" t="n">
        <v>0</v>
      </c>
      <c r="N422" t="n">
        <v>0</v>
      </c>
      <c r="O422" t="n">
        <v>0</v>
      </c>
      <c r="P422" t="n">
        <v>0</v>
      </c>
      <c r="Q422" t="n">
        <v>0</v>
      </c>
      <c r="R422" s="2" t="inlineStr"/>
    </row>
    <row r="423" ht="15" customHeight="1">
      <c r="A423" t="inlineStr">
        <is>
          <t>A 73606-2021</t>
        </is>
      </c>
      <c r="B423" s="1" t="n">
        <v>44552</v>
      </c>
      <c r="C423" s="1" t="n">
        <v>45292</v>
      </c>
      <c r="D423" t="inlineStr">
        <is>
          <t>VÄSTMANLANDS LÄN</t>
        </is>
      </c>
      <c r="E423" t="inlineStr">
        <is>
          <t>SALA</t>
        </is>
      </c>
      <c r="G423" t="n">
        <v>1.5</v>
      </c>
      <c r="H423" t="n">
        <v>0</v>
      </c>
      <c r="I423" t="n">
        <v>0</v>
      </c>
      <c r="J423" t="n">
        <v>0</v>
      </c>
      <c r="K423" t="n">
        <v>0</v>
      </c>
      <c r="L423" t="n">
        <v>0</v>
      </c>
      <c r="M423" t="n">
        <v>0</v>
      </c>
      <c r="N423" t="n">
        <v>0</v>
      </c>
      <c r="O423" t="n">
        <v>0</v>
      </c>
      <c r="P423" t="n">
        <v>0</v>
      </c>
      <c r="Q423" t="n">
        <v>0</v>
      </c>
      <c r="R423" s="2" t="inlineStr"/>
    </row>
    <row r="424" ht="15" customHeight="1">
      <c r="A424" t="inlineStr">
        <is>
          <t>A 73668-2021</t>
        </is>
      </c>
      <c r="B424" s="1" t="n">
        <v>44552</v>
      </c>
      <c r="C424" s="1" t="n">
        <v>45292</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73687-2021</t>
        </is>
      </c>
      <c r="B425" s="1" t="n">
        <v>44552</v>
      </c>
      <c r="C425" s="1" t="n">
        <v>45292</v>
      </c>
      <c r="D425" t="inlineStr">
        <is>
          <t>VÄSTMANLANDS LÄN</t>
        </is>
      </c>
      <c r="E425" t="inlineStr">
        <is>
          <t>SALA</t>
        </is>
      </c>
      <c r="G425" t="n">
        <v>5.6</v>
      </c>
      <c r="H425" t="n">
        <v>0</v>
      </c>
      <c r="I425" t="n">
        <v>0</v>
      </c>
      <c r="J425" t="n">
        <v>0</v>
      </c>
      <c r="K425" t="n">
        <v>0</v>
      </c>
      <c r="L425" t="n">
        <v>0</v>
      </c>
      <c r="M425" t="n">
        <v>0</v>
      </c>
      <c r="N425" t="n">
        <v>0</v>
      </c>
      <c r="O425" t="n">
        <v>0</v>
      </c>
      <c r="P425" t="n">
        <v>0</v>
      </c>
      <c r="Q425" t="n">
        <v>0</v>
      </c>
      <c r="R425" s="2" t="inlineStr"/>
    </row>
    <row r="426" ht="15" customHeight="1">
      <c r="A426" t="inlineStr">
        <is>
          <t>A 73788-2021</t>
        </is>
      </c>
      <c r="B426" s="1" t="n">
        <v>44552</v>
      </c>
      <c r="C426" s="1" t="n">
        <v>45292</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73835-2021</t>
        </is>
      </c>
      <c r="B427" s="1" t="n">
        <v>44552</v>
      </c>
      <c r="C427" s="1" t="n">
        <v>45292</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74123-2021</t>
        </is>
      </c>
      <c r="B428" s="1" t="n">
        <v>44557</v>
      </c>
      <c r="C428" s="1" t="n">
        <v>45292</v>
      </c>
      <c r="D428" t="inlineStr">
        <is>
          <t>VÄSTMANLANDS LÄN</t>
        </is>
      </c>
      <c r="E428" t="inlineStr">
        <is>
          <t>SALA</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74277-2021</t>
        </is>
      </c>
      <c r="B429" s="1" t="n">
        <v>44558</v>
      </c>
      <c r="C429" s="1" t="n">
        <v>45292</v>
      </c>
      <c r="D429" t="inlineStr">
        <is>
          <t>VÄSTMANLANDS LÄN</t>
        </is>
      </c>
      <c r="E429" t="inlineStr">
        <is>
          <t>SALA</t>
        </is>
      </c>
      <c r="F429" t="inlineStr">
        <is>
          <t>Kommuner</t>
        </is>
      </c>
      <c r="G429" t="n">
        <v>24.4</v>
      </c>
      <c r="H429" t="n">
        <v>0</v>
      </c>
      <c r="I429" t="n">
        <v>0</v>
      </c>
      <c r="J429" t="n">
        <v>0</v>
      </c>
      <c r="K429" t="n">
        <v>0</v>
      </c>
      <c r="L429" t="n">
        <v>0</v>
      </c>
      <c r="M429" t="n">
        <v>0</v>
      </c>
      <c r="N429" t="n">
        <v>0</v>
      </c>
      <c r="O429" t="n">
        <v>0</v>
      </c>
      <c r="P429" t="n">
        <v>0</v>
      </c>
      <c r="Q429" t="n">
        <v>0</v>
      </c>
      <c r="R429" s="2" t="inlineStr"/>
    </row>
    <row r="430" ht="15" customHeight="1">
      <c r="A430" t="inlineStr">
        <is>
          <t>A 617-2022</t>
        </is>
      </c>
      <c r="B430" s="1" t="n">
        <v>44567</v>
      </c>
      <c r="C430" s="1" t="n">
        <v>45292</v>
      </c>
      <c r="D430" t="inlineStr">
        <is>
          <t>VÄSTMANLANDS LÄN</t>
        </is>
      </c>
      <c r="E430" t="inlineStr">
        <is>
          <t>SALA</t>
        </is>
      </c>
      <c r="G430" t="n">
        <v>0.4</v>
      </c>
      <c r="H430" t="n">
        <v>0</v>
      </c>
      <c r="I430" t="n">
        <v>0</v>
      </c>
      <c r="J430" t="n">
        <v>0</v>
      </c>
      <c r="K430" t="n">
        <v>0</v>
      </c>
      <c r="L430" t="n">
        <v>0</v>
      </c>
      <c r="M430" t="n">
        <v>0</v>
      </c>
      <c r="N430" t="n">
        <v>0</v>
      </c>
      <c r="O430" t="n">
        <v>0</v>
      </c>
      <c r="P430" t="n">
        <v>0</v>
      </c>
      <c r="Q430" t="n">
        <v>0</v>
      </c>
      <c r="R430" s="2" t="inlineStr"/>
    </row>
    <row r="431" ht="15" customHeight="1">
      <c r="A431" t="inlineStr">
        <is>
          <t>A 939-2022</t>
        </is>
      </c>
      <c r="B431" s="1" t="n">
        <v>44571</v>
      </c>
      <c r="C431" s="1" t="n">
        <v>45292</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v>
      </c>
      <c r="C432" s="1" t="n">
        <v>45292</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1162-2022</t>
        </is>
      </c>
      <c r="B433" s="1" t="n">
        <v>44572</v>
      </c>
      <c r="C433" s="1" t="n">
        <v>45292</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1500-2022</t>
        </is>
      </c>
      <c r="B434" s="1" t="n">
        <v>44573</v>
      </c>
      <c r="C434" s="1" t="n">
        <v>45292</v>
      </c>
      <c r="D434" t="inlineStr">
        <is>
          <t>VÄSTMANLANDS LÄN</t>
        </is>
      </c>
      <c r="E434" t="inlineStr">
        <is>
          <t>SALA</t>
        </is>
      </c>
      <c r="G434" t="n">
        <v>5.8</v>
      </c>
      <c r="H434" t="n">
        <v>0</v>
      </c>
      <c r="I434" t="n">
        <v>0</v>
      </c>
      <c r="J434" t="n">
        <v>0</v>
      </c>
      <c r="K434" t="n">
        <v>0</v>
      </c>
      <c r="L434" t="n">
        <v>0</v>
      </c>
      <c r="M434" t="n">
        <v>0</v>
      </c>
      <c r="N434" t="n">
        <v>0</v>
      </c>
      <c r="O434" t="n">
        <v>0</v>
      </c>
      <c r="P434" t="n">
        <v>0</v>
      </c>
      <c r="Q434" t="n">
        <v>0</v>
      </c>
      <c r="R434" s="2" t="inlineStr"/>
    </row>
    <row r="435" ht="15" customHeight="1">
      <c r="A435" t="inlineStr">
        <is>
          <t>A 1985-2022</t>
        </is>
      </c>
      <c r="B435" s="1" t="n">
        <v>44575</v>
      </c>
      <c r="C435" s="1" t="n">
        <v>45292</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1993-2022</t>
        </is>
      </c>
      <c r="B436" s="1" t="n">
        <v>44575</v>
      </c>
      <c r="C436" s="1" t="n">
        <v>45292</v>
      </c>
      <c r="D436" t="inlineStr">
        <is>
          <t>VÄSTMANLANDS LÄN</t>
        </is>
      </c>
      <c r="E436" t="inlineStr">
        <is>
          <t>SALA</t>
        </is>
      </c>
      <c r="G436" t="n">
        <v>1.6</v>
      </c>
      <c r="H436" t="n">
        <v>0</v>
      </c>
      <c r="I436" t="n">
        <v>0</v>
      </c>
      <c r="J436" t="n">
        <v>0</v>
      </c>
      <c r="K436" t="n">
        <v>0</v>
      </c>
      <c r="L436" t="n">
        <v>0</v>
      </c>
      <c r="M436" t="n">
        <v>0</v>
      </c>
      <c r="N436" t="n">
        <v>0</v>
      </c>
      <c r="O436" t="n">
        <v>0</v>
      </c>
      <c r="P436" t="n">
        <v>0</v>
      </c>
      <c r="Q436" t="n">
        <v>0</v>
      </c>
      <c r="R436" s="2" t="inlineStr"/>
    </row>
    <row r="437" ht="15" customHeight="1">
      <c r="A437" t="inlineStr">
        <is>
          <t>A 2529-2022</t>
        </is>
      </c>
      <c r="B437" s="1" t="n">
        <v>44579</v>
      </c>
      <c r="C437" s="1" t="n">
        <v>45292</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3050-2022</t>
        </is>
      </c>
      <c r="B438" s="1" t="n">
        <v>44582</v>
      </c>
      <c r="C438" s="1" t="n">
        <v>45292</v>
      </c>
      <c r="D438" t="inlineStr">
        <is>
          <t>VÄSTMANLANDS LÄN</t>
        </is>
      </c>
      <c r="E438" t="inlineStr">
        <is>
          <t>SALA</t>
        </is>
      </c>
      <c r="G438" t="n">
        <v>0.5</v>
      </c>
      <c r="H438" t="n">
        <v>0</v>
      </c>
      <c r="I438" t="n">
        <v>0</v>
      </c>
      <c r="J438" t="n">
        <v>0</v>
      </c>
      <c r="K438" t="n">
        <v>0</v>
      </c>
      <c r="L438" t="n">
        <v>0</v>
      </c>
      <c r="M438" t="n">
        <v>0</v>
      </c>
      <c r="N438" t="n">
        <v>0</v>
      </c>
      <c r="O438" t="n">
        <v>0</v>
      </c>
      <c r="P438" t="n">
        <v>0</v>
      </c>
      <c r="Q438" t="n">
        <v>0</v>
      </c>
      <c r="R438" s="2" t="inlineStr"/>
    </row>
    <row r="439" ht="15" customHeight="1">
      <c r="A439" t="inlineStr">
        <is>
          <t>A 3201-2022</t>
        </is>
      </c>
      <c r="B439" s="1" t="n">
        <v>44582</v>
      </c>
      <c r="C439" s="1" t="n">
        <v>45292</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3204-2022</t>
        </is>
      </c>
      <c r="B440" s="1" t="n">
        <v>44582</v>
      </c>
      <c r="C440" s="1" t="n">
        <v>45292</v>
      </c>
      <c r="D440" t="inlineStr">
        <is>
          <t>VÄSTMANLANDS LÄN</t>
        </is>
      </c>
      <c r="E440" t="inlineStr">
        <is>
          <t>SALA</t>
        </is>
      </c>
      <c r="G440" t="n">
        <v>0.7</v>
      </c>
      <c r="H440" t="n">
        <v>0</v>
      </c>
      <c r="I440" t="n">
        <v>0</v>
      </c>
      <c r="J440" t="n">
        <v>0</v>
      </c>
      <c r="K440" t="n">
        <v>0</v>
      </c>
      <c r="L440" t="n">
        <v>0</v>
      </c>
      <c r="M440" t="n">
        <v>0</v>
      </c>
      <c r="N440" t="n">
        <v>0</v>
      </c>
      <c r="O440" t="n">
        <v>0</v>
      </c>
      <c r="P440" t="n">
        <v>0</v>
      </c>
      <c r="Q440" t="n">
        <v>0</v>
      </c>
      <c r="R440" s="2" t="inlineStr"/>
    </row>
    <row r="441" ht="15" customHeight="1">
      <c r="A441" t="inlineStr">
        <is>
          <t>A 3647-2022</t>
        </is>
      </c>
      <c r="B441" s="1" t="n">
        <v>44586</v>
      </c>
      <c r="C441" s="1" t="n">
        <v>45292</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3888-2022</t>
        </is>
      </c>
      <c r="B442" s="1" t="n">
        <v>44587</v>
      </c>
      <c r="C442" s="1" t="n">
        <v>45292</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3920-2022</t>
        </is>
      </c>
      <c r="B443" s="1" t="n">
        <v>44587</v>
      </c>
      <c r="C443" s="1" t="n">
        <v>45292</v>
      </c>
      <c r="D443" t="inlineStr">
        <is>
          <t>VÄSTMANLANDS LÄN</t>
        </is>
      </c>
      <c r="E443" t="inlineStr">
        <is>
          <t>SALA</t>
        </is>
      </c>
      <c r="G443" t="n">
        <v>1.8</v>
      </c>
      <c r="H443" t="n">
        <v>0</v>
      </c>
      <c r="I443" t="n">
        <v>0</v>
      </c>
      <c r="J443" t="n">
        <v>0</v>
      </c>
      <c r="K443" t="n">
        <v>0</v>
      </c>
      <c r="L443" t="n">
        <v>0</v>
      </c>
      <c r="M443" t="n">
        <v>0</v>
      </c>
      <c r="N443" t="n">
        <v>0</v>
      </c>
      <c r="O443" t="n">
        <v>0</v>
      </c>
      <c r="P443" t="n">
        <v>0</v>
      </c>
      <c r="Q443" t="n">
        <v>0</v>
      </c>
      <c r="R443" s="2" t="inlineStr"/>
    </row>
    <row r="444" ht="15" customHeight="1">
      <c r="A444" t="inlineStr">
        <is>
          <t>A 4237-2022</t>
        </is>
      </c>
      <c r="B444" s="1" t="n">
        <v>44588</v>
      </c>
      <c r="C444" s="1" t="n">
        <v>45292</v>
      </c>
      <c r="D444" t="inlineStr">
        <is>
          <t>VÄSTMANLANDS LÄN</t>
        </is>
      </c>
      <c r="E444" t="inlineStr">
        <is>
          <t>SALA</t>
        </is>
      </c>
      <c r="G444" t="n">
        <v>1.2</v>
      </c>
      <c r="H444" t="n">
        <v>0</v>
      </c>
      <c r="I444" t="n">
        <v>0</v>
      </c>
      <c r="J444" t="n">
        <v>0</v>
      </c>
      <c r="K444" t="n">
        <v>0</v>
      </c>
      <c r="L444" t="n">
        <v>0</v>
      </c>
      <c r="M444" t="n">
        <v>0</v>
      </c>
      <c r="N444" t="n">
        <v>0</v>
      </c>
      <c r="O444" t="n">
        <v>0</v>
      </c>
      <c r="P444" t="n">
        <v>0</v>
      </c>
      <c r="Q444" t="n">
        <v>0</v>
      </c>
      <c r="R444" s="2" t="inlineStr"/>
    </row>
    <row r="445" ht="15" customHeight="1">
      <c r="A445" t="inlineStr">
        <is>
          <t>A 4281-2022</t>
        </is>
      </c>
      <c r="B445" s="1" t="n">
        <v>44588</v>
      </c>
      <c r="C445" s="1" t="n">
        <v>45292</v>
      </c>
      <c r="D445" t="inlineStr">
        <is>
          <t>VÄSTMANLANDS LÄN</t>
        </is>
      </c>
      <c r="E445" t="inlineStr">
        <is>
          <t>SALA</t>
        </is>
      </c>
      <c r="G445" t="n">
        <v>1</v>
      </c>
      <c r="H445" t="n">
        <v>0</v>
      </c>
      <c r="I445" t="n">
        <v>0</v>
      </c>
      <c r="J445" t="n">
        <v>0</v>
      </c>
      <c r="K445" t="n">
        <v>0</v>
      </c>
      <c r="L445" t="n">
        <v>0</v>
      </c>
      <c r="M445" t="n">
        <v>0</v>
      </c>
      <c r="N445" t="n">
        <v>0</v>
      </c>
      <c r="O445" t="n">
        <v>0</v>
      </c>
      <c r="P445" t="n">
        <v>0</v>
      </c>
      <c r="Q445" t="n">
        <v>0</v>
      </c>
      <c r="R445" s="2" t="inlineStr"/>
    </row>
    <row r="446" ht="15" customHeight="1">
      <c r="A446" t="inlineStr">
        <is>
          <t>A 4663-2022</t>
        </is>
      </c>
      <c r="B446" s="1" t="n">
        <v>44592</v>
      </c>
      <c r="C446" s="1" t="n">
        <v>45292</v>
      </c>
      <c r="D446" t="inlineStr">
        <is>
          <t>VÄSTMANLANDS LÄN</t>
        </is>
      </c>
      <c r="E446" t="inlineStr">
        <is>
          <t>SALA</t>
        </is>
      </c>
      <c r="G446" t="n">
        <v>2.5</v>
      </c>
      <c r="H446" t="n">
        <v>0</v>
      </c>
      <c r="I446" t="n">
        <v>0</v>
      </c>
      <c r="J446" t="n">
        <v>0</v>
      </c>
      <c r="K446" t="n">
        <v>0</v>
      </c>
      <c r="L446" t="n">
        <v>0</v>
      </c>
      <c r="M446" t="n">
        <v>0</v>
      </c>
      <c r="N446" t="n">
        <v>0</v>
      </c>
      <c r="O446" t="n">
        <v>0</v>
      </c>
      <c r="P446" t="n">
        <v>0</v>
      </c>
      <c r="Q446" t="n">
        <v>0</v>
      </c>
      <c r="R446" s="2" t="inlineStr"/>
    </row>
    <row r="447" ht="15" customHeight="1">
      <c r="A447" t="inlineStr">
        <is>
          <t>A 4779-2022</t>
        </is>
      </c>
      <c r="B447" s="1" t="n">
        <v>44592</v>
      </c>
      <c r="C447" s="1" t="n">
        <v>45292</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5335-2022</t>
        </is>
      </c>
      <c r="B448" s="1" t="n">
        <v>44594</v>
      </c>
      <c r="C448" s="1" t="n">
        <v>45292</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5737-2022</t>
        </is>
      </c>
      <c r="B449" s="1" t="n">
        <v>44596</v>
      </c>
      <c r="C449" s="1" t="n">
        <v>45292</v>
      </c>
      <c r="D449" t="inlineStr">
        <is>
          <t>VÄSTMANLANDS LÄN</t>
        </is>
      </c>
      <c r="E449" t="inlineStr">
        <is>
          <t>SALA</t>
        </is>
      </c>
      <c r="G449" t="n">
        <v>2</v>
      </c>
      <c r="H449" t="n">
        <v>0</v>
      </c>
      <c r="I449" t="n">
        <v>0</v>
      </c>
      <c r="J449" t="n">
        <v>0</v>
      </c>
      <c r="K449" t="n">
        <v>0</v>
      </c>
      <c r="L449" t="n">
        <v>0</v>
      </c>
      <c r="M449" t="n">
        <v>0</v>
      </c>
      <c r="N449" t="n">
        <v>0</v>
      </c>
      <c r="O449" t="n">
        <v>0</v>
      </c>
      <c r="P449" t="n">
        <v>0</v>
      </c>
      <c r="Q449" t="n">
        <v>0</v>
      </c>
      <c r="R449" s="2" t="inlineStr"/>
    </row>
    <row r="450" ht="15" customHeight="1">
      <c r="A450" t="inlineStr">
        <is>
          <t>A 5728-2022</t>
        </is>
      </c>
      <c r="B450" s="1" t="n">
        <v>44596</v>
      </c>
      <c r="C450" s="1" t="n">
        <v>45292</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6097-2022</t>
        </is>
      </c>
      <c r="B451" s="1" t="n">
        <v>44599</v>
      </c>
      <c r="C451" s="1" t="n">
        <v>45292</v>
      </c>
      <c r="D451" t="inlineStr">
        <is>
          <t>VÄSTMANLANDS LÄN</t>
        </is>
      </c>
      <c r="E451" t="inlineStr">
        <is>
          <t>SALA</t>
        </is>
      </c>
      <c r="G451" t="n">
        <v>0.6</v>
      </c>
      <c r="H451" t="n">
        <v>0</v>
      </c>
      <c r="I451" t="n">
        <v>0</v>
      </c>
      <c r="J451" t="n">
        <v>0</v>
      </c>
      <c r="K451" t="n">
        <v>0</v>
      </c>
      <c r="L451" t="n">
        <v>0</v>
      </c>
      <c r="M451" t="n">
        <v>0</v>
      </c>
      <c r="N451" t="n">
        <v>0</v>
      </c>
      <c r="O451" t="n">
        <v>0</v>
      </c>
      <c r="P451" t="n">
        <v>0</v>
      </c>
      <c r="Q451" t="n">
        <v>0</v>
      </c>
      <c r="R451" s="2" t="inlineStr"/>
    </row>
    <row r="452" ht="15" customHeight="1">
      <c r="A452" t="inlineStr">
        <is>
          <t>A 6705-2022</t>
        </is>
      </c>
      <c r="B452" s="1" t="n">
        <v>44602</v>
      </c>
      <c r="C452" s="1" t="n">
        <v>45292</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6665-2022</t>
        </is>
      </c>
      <c r="B453" s="1" t="n">
        <v>44602</v>
      </c>
      <c r="C453" s="1" t="n">
        <v>45292</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6667-2022</t>
        </is>
      </c>
      <c r="B454" s="1" t="n">
        <v>44602</v>
      </c>
      <c r="C454" s="1" t="n">
        <v>45292</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6710-2022</t>
        </is>
      </c>
      <c r="B455" s="1" t="n">
        <v>44602</v>
      </c>
      <c r="C455" s="1" t="n">
        <v>45292</v>
      </c>
      <c r="D455" t="inlineStr">
        <is>
          <t>VÄSTMANLANDS LÄN</t>
        </is>
      </c>
      <c r="E455" t="inlineStr">
        <is>
          <t>SALA</t>
        </is>
      </c>
      <c r="G455" t="n">
        <v>6.4</v>
      </c>
      <c r="H455" t="n">
        <v>0</v>
      </c>
      <c r="I455" t="n">
        <v>0</v>
      </c>
      <c r="J455" t="n">
        <v>0</v>
      </c>
      <c r="K455" t="n">
        <v>0</v>
      </c>
      <c r="L455" t="n">
        <v>0</v>
      </c>
      <c r="M455" t="n">
        <v>0</v>
      </c>
      <c r="N455" t="n">
        <v>0</v>
      </c>
      <c r="O455" t="n">
        <v>0</v>
      </c>
      <c r="P455" t="n">
        <v>0</v>
      </c>
      <c r="Q455" t="n">
        <v>0</v>
      </c>
      <c r="R455" s="2" t="inlineStr"/>
    </row>
    <row r="456" ht="15" customHeight="1">
      <c r="A456" t="inlineStr">
        <is>
          <t>A 6957-2022</t>
        </is>
      </c>
      <c r="B456" s="1" t="n">
        <v>44603</v>
      </c>
      <c r="C456" s="1" t="n">
        <v>45292</v>
      </c>
      <c r="D456" t="inlineStr">
        <is>
          <t>VÄSTMANLANDS LÄN</t>
        </is>
      </c>
      <c r="E456" t="inlineStr">
        <is>
          <t>SALA</t>
        </is>
      </c>
      <c r="G456" t="n">
        <v>4.5</v>
      </c>
      <c r="H456" t="n">
        <v>0</v>
      </c>
      <c r="I456" t="n">
        <v>0</v>
      </c>
      <c r="J456" t="n">
        <v>0</v>
      </c>
      <c r="K456" t="n">
        <v>0</v>
      </c>
      <c r="L456" t="n">
        <v>0</v>
      </c>
      <c r="M456" t="n">
        <v>0</v>
      </c>
      <c r="N456" t="n">
        <v>0</v>
      </c>
      <c r="O456" t="n">
        <v>0</v>
      </c>
      <c r="P456" t="n">
        <v>0</v>
      </c>
      <c r="Q456" t="n">
        <v>0</v>
      </c>
      <c r="R456" s="2" t="inlineStr"/>
    </row>
    <row r="457" ht="15" customHeight="1">
      <c r="A457" t="inlineStr">
        <is>
          <t>A 7169-2022</t>
        </is>
      </c>
      <c r="B457" s="1" t="n">
        <v>44604</v>
      </c>
      <c r="C457" s="1" t="n">
        <v>45292</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8130-2022</t>
        </is>
      </c>
      <c r="B458" s="1" t="n">
        <v>44609</v>
      </c>
      <c r="C458" s="1" t="n">
        <v>45292</v>
      </c>
      <c r="D458" t="inlineStr">
        <is>
          <t>VÄSTMANLANDS LÄN</t>
        </is>
      </c>
      <c r="E458" t="inlineStr">
        <is>
          <t>SALA</t>
        </is>
      </c>
      <c r="G458" t="n">
        <v>3.5</v>
      </c>
      <c r="H458" t="n">
        <v>0</v>
      </c>
      <c r="I458" t="n">
        <v>0</v>
      </c>
      <c r="J458" t="n">
        <v>0</v>
      </c>
      <c r="K458" t="n">
        <v>0</v>
      </c>
      <c r="L458" t="n">
        <v>0</v>
      </c>
      <c r="M458" t="n">
        <v>0</v>
      </c>
      <c r="N458" t="n">
        <v>0</v>
      </c>
      <c r="O458" t="n">
        <v>0</v>
      </c>
      <c r="P458" t="n">
        <v>0</v>
      </c>
      <c r="Q458" t="n">
        <v>0</v>
      </c>
      <c r="R458" s="2" t="inlineStr"/>
    </row>
    <row r="459" ht="15" customHeight="1">
      <c r="A459" t="inlineStr">
        <is>
          <t>A 9048-2022</t>
        </is>
      </c>
      <c r="B459" s="1" t="n">
        <v>44615</v>
      </c>
      <c r="C459" s="1" t="n">
        <v>45292</v>
      </c>
      <c r="D459" t="inlineStr">
        <is>
          <t>VÄSTMANLANDS LÄN</t>
        </is>
      </c>
      <c r="E459" t="inlineStr">
        <is>
          <t>SALA</t>
        </is>
      </c>
      <c r="G459" t="n">
        <v>5.2</v>
      </c>
      <c r="H459" t="n">
        <v>0</v>
      </c>
      <c r="I459" t="n">
        <v>0</v>
      </c>
      <c r="J459" t="n">
        <v>0</v>
      </c>
      <c r="K459" t="n">
        <v>0</v>
      </c>
      <c r="L459" t="n">
        <v>0</v>
      </c>
      <c r="M459" t="n">
        <v>0</v>
      </c>
      <c r="N459" t="n">
        <v>0</v>
      </c>
      <c r="O459" t="n">
        <v>0</v>
      </c>
      <c r="P459" t="n">
        <v>0</v>
      </c>
      <c r="Q459" t="n">
        <v>0</v>
      </c>
      <c r="R459" s="2" t="inlineStr"/>
    </row>
    <row r="460" ht="15" customHeight="1">
      <c r="A460" t="inlineStr">
        <is>
          <t>A 9050-2022</t>
        </is>
      </c>
      <c r="B460" s="1" t="n">
        <v>44615</v>
      </c>
      <c r="C460" s="1" t="n">
        <v>45292</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9075-2022</t>
        </is>
      </c>
      <c r="B461" s="1" t="n">
        <v>44615</v>
      </c>
      <c r="C461" s="1" t="n">
        <v>45292</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9335-2022</t>
        </is>
      </c>
      <c r="B462" s="1" t="n">
        <v>44616</v>
      </c>
      <c r="C462" s="1" t="n">
        <v>45292</v>
      </c>
      <c r="D462" t="inlineStr">
        <is>
          <t>VÄSTMANLANDS LÄN</t>
        </is>
      </c>
      <c r="E462" t="inlineStr">
        <is>
          <t>SALA</t>
        </is>
      </c>
      <c r="G462" t="n">
        <v>1.5</v>
      </c>
      <c r="H462" t="n">
        <v>0</v>
      </c>
      <c r="I462" t="n">
        <v>0</v>
      </c>
      <c r="J462" t="n">
        <v>0</v>
      </c>
      <c r="K462" t="n">
        <v>0</v>
      </c>
      <c r="L462" t="n">
        <v>0</v>
      </c>
      <c r="M462" t="n">
        <v>0</v>
      </c>
      <c r="N462" t="n">
        <v>0</v>
      </c>
      <c r="O462" t="n">
        <v>0</v>
      </c>
      <c r="P462" t="n">
        <v>0</v>
      </c>
      <c r="Q462" t="n">
        <v>0</v>
      </c>
      <c r="R462" s="2" t="inlineStr"/>
    </row>
    <row r="463" ht="15" customHeight="1">
      <c r="A463" t="inlineStr">
        <is>
          <t>A 9856-2022</t>
        </is>
      </c>
      <c r="B463" s="1" t="n">
        <v>44620</v>
      </c>
      <c r="C463" s="1" t="n">
        <v>45292</v>
      </c>
      <c r="D463" t="inlineStr">
        <is>
          <t>VÄSTMANLANDS LÄN</t>
        </is>
      </c>
      <c r="E463" t="inlineStr">
        <is>
          <t>SALA</t>
        </is>
      </c>
      <c r="G463" t="n">
        <v>2.4</v>
      </c>
      <c r="H463" t="n">
        <v>0</v>
      </c>
      <c r="I463" t="n">
        <v>0</v>
      </c>
      <c r="J463" t="n">
        <v>0</v>
      </c>
      <c r="K463" t="n">
        <v>0</v>
      </c>
      <c r="L463" t="n">
        <v>0</v>
      </c>
      <c r="M463" t="n">
        <v>0</v>
      </c>
      <c r="N463" t="n">
        <v>0</v>
      </c>
      <c r="O463" t="n">
        <v>0</v>
      </c>
      <c r="P463" t="n">
        <v>0</v>
      </c>
      <c r="Q463" t="n">
        <v>0</v>
      </c>
      <c r="R463" s="2" t="inlineStr"/>
    </row>
    <row r="464" ht="15" customHeight="1">
      <c r="A464" t="inlineStr">
        <is>
          <t>A 10083-2022</t>
        </is>
      </c>
      <c r="B464" s="1" t="n">
        <v>44621</v>
      </c>
      <c r="C464" s="1" t="n">
        <v>45292</v>
      </c>
      <c r="D464" t="inlineStr">
        <is>
          <t>VÄSTMANLANDS LÄN</t>
        </is>
      </c>
      <c r="E464" t="inlineStr">
        <is>
          <t>SALA</t>
        </is>
      </c>
      <c r="G464" t="n">
        <v>7.8</v>
      </c>
      <c r="H464" t="n">
        <v>0</v>
      </c>
      <c r="I464" t="n">
        <v>0</v>
      </c>
      <c r="J464" t="n">
        <v>0</v>
      </c>
      <c r="K464" t="n">
        <v>0</v>
      </c>
      <c r="L464" t="n">
        <v>0</v>
      </c>
      <c r="M464" t="n">
        <v>0</v>
      </c>
      <c r="N464" t="n">
        <v>0</v>
      </c>
      <c r="O464" t="n">
        <v>0</v>
      </c>
      <c r="P464" t="n">
        <v>0</v>
      </c>
      <c r="Q464" t="n">
        <v>0</v>
      </c>
      <c r="R464" s="2" t="inlineStr"/>
    </row>
    <row r="465" ht="15" customHeight="1">
      <c r="A465" t="inlineStr">
        <is>
          <t>A 10168-2022</t>
        </is>
      </c>
      <c r="B465" s="1" t="n">
        <v>44622</v>
      </c>
      <c r="C465" s="1" t="n">
        <v>45292</v>
      </c>
      <c r="D465" t="inlineStr">
        <is>
          <t>VÄSTMANLANDS LÄN</t>
        </is>
      </c>
      <c r="E465" t="inlineStr">
        <is>
          <t>SALA</t>
        </is>
      </c>
      <c r="G465" t="n">
        <v>2.1</v>
      </c>
      <c r="H465" t="n">
        <v>0</v>
      </c>
      <c r="I465" t="n">
        <v>0</v>
      </c>
      <c r="J465" t="n">
        <v>0</v>
      </c>
      <c r="K465" t="n">
        <v>0</v>
      </c>
      <c r="L465" t="n">
        <v>0</v>
      </c>
      <c r="M465" t="n">
        <v>0</v>
      </c>
      <c r="N465" t="n">
        <v>0</v>
      </c>
      <c r="O465" t="n">
        <v>0</v>
      </c>
      <c r="P465" t="n">
        <v>0</v>
      </c>
      <c r="Q465" t="n">
        <v>0</v>
      </c>
      <c r="R465" s="2" t="inlineStr"/>
    </row>
    <row r="466" ht="15" customHeight="1">
      <c r="A466" t="inlineStr">
        <is>
          <t>A 10434-2022</t>
        </is>
      </c>
      <c r="B466" s="1" t="n">
        <v>44623</v>
      </c>
      <c r="C466" s="1" t="n">
        <v>45292</v>
      </c>
      <c r="D466" t="inlineStr">
        <is>
          <t>VÄSTMANLANDS LÄN</t>
        </is>
      </c>
      <c r="E466" t="inlineStr">
        <is>
          <t>SALA</t>
        </is>
      </c>
      <c r="G466" t="n">
        <v>5.5</v>
      </c>
      <c r="H466" t="n">
        <v>0</v>
      </c>
      <c r="I466" t="n">
        <v>0</v>
      </c>
      <c r="J466" t="n">
        <v>0</v>
      </c>
      <c r="K466" t="n">
        <v>0</v>
      </c>
      <c r="L466" t="n">
        <v>0</v>
      </c>
      <c r="M466" t="n">
        <v>0</v>
      </c>
      <c r="N466" t="n">
        <v>0</v>
      </c>
      <c r="O466" t="n">
        <v>0</v>
      </c>
      <c r="P466" t="n">
        <v>0</v>
      </c>
      <c r="Q466" t="n">
        <v>0</v>
      </c>
      <c r="R466" s="2" t="inlineStr"/>
    </row>
    <row r="467" ht="15" customHeight="1">
      <c r="A467" t="inlineStr">
        <is>
          <t>A 10585-2022</t>
        </is>
      </c>
      <c r="B467" s="1" t="n">
        <v>44624</v>
      </c>
      <c r="C467" s="1" t="n">
        <v>45292</v>
      </c>
      <c r="D467" t="inlineStr">
        <is>
          <t>VÄSTMANLANDS LÄN</t>
        </is>
      </c>
      <c r="E467" t="inlineStr">
        <is>
          <t>SALA</t>
        </is>
      </c>
      <c r="G467" t="n">
        <v>2</v>
      </c>
      <c r="H467" t="n">
        <v>0</v>
      </c>
      <c r="I467" t="n">
        <v>0</v>
      </c>
      <c r="J467" t="n">
        <v>0</v>
      </c>
      <c r="K467" t="n">
        <v>0</v>
      </c>
      <c r="L467" t="n">
        <v>0</v>
      </c>
      <c r="M467" t="n">
        <v>0</v>
      </c>
      <c r="N467" t="n">
        <v>0</v>
      </c>
      <c r="O467" t="n">
        <v>0</v>
      </c>
      <c r="P467" t="n">
        <v>0</v>
      </c>
      <c r="Q467" t="n">
        <v>0</v>
      </c>
      <c r="R467" s="2" t="inlineStr"/>
    </row>
    <row r="468" ht="15" customHeight="1">
      <c r="A468" t="inlineStr">
        <is>
          <t>A 10579-2022</t>
        </is>
      </c>
      <c r="B468" s="1" t="n">
        <v>44624</v>
      </c>
      <c r="C468" s="1" t="n">
        <v>45292</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11370-2022</t>
        </is>
      </c>
      <c r="B469" s="1" t="n">
        <v>44630</v>
      </c>
      <c r="C469" s="1" t="n">
        <v>45292</v>
      </c>
      <c r="D469" t="inlineStr">
        <is>
          <t>VÄSTMANLANDS LÄN</t>
        </is>
      </c>
      <c r="E469" t="inlineStr">
        <is>
          <t>SALA</t>
        </is>
      </c>
      <c r="G469" t="n">
        <v>4.3</v>
      </c>
      <c r="H469" t="n">
        <v>0</v>
      </c>
      <c r="I469" t="n">
        <v>0</v>
      </c>
      <c r="J469" t="n">
        <v>0</v>
      </c>
      <c r="K469" t="n">
        <v>0</v>
      </c>
      <c r="L469" t="n">
        <v>0</v>
      </c>
      <c r="M469" t="n">
        <v>0</v>
      </c>
      <c r="N469" t="n">
        <v>0</v>
      </c>
      <c r="O469" t="n">
        <v>0</v>
      </c>
      <c r="P469" t="n">
        <v>0</v>
      </c>
      <c r="Q469" t="n">
        <v>0</v>
      </c>
      <c r="R469" s="2" t="inlineStr"/>
    </row>
    <row r="470" ht="15" customHeight="1">
      <c r="A470" t="inlineStr">
        <is>
          <t>A 12245-2022</t>
        </is>
      </c>
      <c r="B470" s="1" t="n">
        <v>44637</v>
      </c>
      <c r="C470" s="1" t="n">
        <v>45292</v>
      </c>
      <c r="D470" t="inlineStr">
        <is>
          <t>VÄSTMANLANDS LÄN</t>
        </is>
      </c>
      <c r="E470" t="inlineStr">
        <is>
          <t>SALA</t>
        </is>
      </c>
      <c r="G470" t="n">
        <v>1.1</v>
      </c>
      <c r="H470" t="n">
        <v>0</v>
      </c>
      <c r="I470" t="n">
        <v>0</v>
      </c>
      <c r="J470" t="n">
        <v>0</v>
      </c>
      <c r="K470" t="n">
        <v>0</v>
      </c>
      <c r="L470" t="n">
        <v>0</v>
      </c>
      <c r="M470" t="n">
        <v>0</v>
      </c>
      <c r="N470" t="n">
        <v>0</v>
      </c>
      <c r="O470" t="n">
        <v>0</v>
      </c>
      <c r="P470" t="n">
        <v>0</v>
      </c>
      <c r="Q470" t="n">
        <v>0</v>
      </c>
      <c r="R470" s="2" t="inlineStr"/>
    </row>
    <row r="471" ht="15" customHeight="1">
      <c r="A471" t="inlineStr">
        <is>
          <t>A 13608-2022</t>
        </is>
      </c>
      <c r="B471" s="1" t="n">
        <v>44648</v>
      </c>
      <c r="C471" s="1" t="n">
        <v>45292</v>
      </c>
      <c r="D471" t="inlineStr">
        <is>
          <t>VÄSTMANLANDS LÄN</t>
        </is>
      </c>
      <c r="E471" t="inlineStr">
        <is>
          <t>SALA</t>
        </is>
      </c>
      <c r="G471" t="n">
        <v>5.9</v>
      </c>
      <c r="H471" t="n">
        <v>0</v>
      </c>
      <c r="I471" t="n">
        <v>0</v>
      </c>
      <c r="J471" t="n">
        <v>0</v>
      </c>
      <c r="K471" t="n">
        <v>0</v>
      </c>
      <c r="L471" t="n">
        <v>0</v>
      </c>
      <c r="M471" t="n">
        <v>0</v>
      </c>
      <c r="N471" t="n">
        <v>0</v>
      </c>
      <c r="O471" t="n">
        <v>0</v>
      </c>
      <c r="P471" t="n">
        <v>0</v>
      </c>
      <c r="Q471" t="n">
        <v>0</v>
      </c>
      <c r="R471" s="2" t="inlineStr"/>
    </row>
    <row r="472" ht="15" customHeight="1">
      <c r="A472" t="inlineStr">
        <is>
          <t>A 13962-2022</t>
        </is>
      </c>
      <c r="B472" s="1" t="n">
        <v>44650</v>
      </c>
      <c r="C472" s="1" t="n">
        <v>45292</v>
      </c>
      <c r="D472" t="inlineStr">
        <is>
          <t>VÄSTMANLANDS LÄN</t>
        </is>
      </c>
      <c r="E472" t="inlineStr">
        <is>
          <t>SALA</t>
        </is>
      </c>
      <c r="G472" t="n">
        <v>2.3</v>
      </c>
      <c r="H472" t="n">
        <v>0</v>
      </c>
      <c r="I472" t="n">
        <v>0</v>
      </c>
      <c r="J472" t="n">
        <v>0</v>
      </c>
      <c r="K472" t="n">
        <v>0</v>
      </c>
      <c r="L472" t="n">
        <v>0</v>
      </c>
      <c r="M472" t="n">
        <v>0</v>
      </c>
      <c r="N472" t="n">
        <v>0</v>
      </c>
      <c r="O472" t="n">
        <v>0</v>
      </c>
      <c r="P472" t="n">
        <v>0</v>
      </c>
      <c r="Q472" t="n">
        <v>0</v>
      </c>
      <c r="R472" s="2" t="inlineStr"/>
    </row>
    <row r="473" ht="15" customHeight="1">
      <c r="A473" t="inlineStr">
        <is>
          <t>A 15850-2022</t>
        </is>
      </c>
      <c r="B473" s="1" t="n">
        <v>44664</v>
      </c>
      <c r="C473" s="1" t="n">
        <v>45292</v>
      </c>
      <c r="D473" t="inlineStr">
        <is>
          <t>VÄSTMANLANDS LÄN</t>
        </is>
      </c>
      <c r="E473" t="inlineStr">
        <is>
          <t>SALA</t>
        </is>
      </c>
      <c r="G473" t="n">
        <v>1</v>
      </c>
      <c r="H473" t="n">
        <v>0</v>
      </c>
      <c r="I473" t="n">
        <v>0</v>
      </c>
      <c r="J473" t="n">
        <v>0</v>
      </c>
      <c r="K473" t="n">
        <v>0</v>
      </c>
      <c r="L473" t="n">
        <v>0</v>
      </c>
      <c r="M473" t="n">
        <v>0</v>
      </c>
      <c r="N473" t="n">
        <v>0</v>
      </c>
      <c r="O473" t="n">
        <v>0</v>
      </c>
      <c r="P473" t="n">
        <v>0</v>
      </c>
      <c r="Q473" t="n">
        <v>0</v>
      </c>
      <c r="R473" s="2" t="inlineStr"/>
    </row>
    <row r="474" ht="15" customHeight="1">
      <c r="A474" t="inlineStr">
        <is>
          <t>A 15991-2022</t>
        </is>
      </c>
      <c r="B474" s="1" t="n">
        <v>44664</v>
      </c>
      <c r="C474" s="1" t="n">
        <v>45292</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15988-2022</t>
        </is>
      </c>
      <c r="B475" s="1" t="n">
        <v>44664</v>
      </c>
      <c r="C475" s="1" t="n">
        <v>45292</v>
      </c>
      <c r="D475" t="inlineStr">
        <is>
          <t>VÄSTMANLANDS LÄN</t>
        </is>
      </c>
      <c r="E475" t="inlineStr">
        <is>
          <t>SALA</t>
        </is>
      </c>
      <c r="G475" t="n">
        <v>5</v>
      </c>
      <c r="H475" t="n">
        <v>0</v>
      </c>
      <c r="I475" t="n">
        <v>0</v>
      </c>
      <c r="J475" t="n">
        <v>0</v>
      </c>
      <c r="K475" t="n">
        <v>0</v>
      </c>
      <c r="L475" t="n">
        <v>0</v>
      </c>
      <c r="M475" t="n">
        <v>0</v>
      </c>
      <c r="N475" t="n">
        <v>0</v>
      </c>
      <c r="O475" t="n">
        <v>0</v>
      </c>
      <c r="P475" t="n">
        <v>0</v>
      </c>
      <c r="Q475" t="n">
        <v>0</v>
      </c>
      <c r="R475" s="2" t="inlineStr"/>
    </row>
    <row r="476" ht="15" customHeight="1">
      <c r="A476" t="inlineStr">
        <is>
          <t>A 16255-2022</t>
        </is>
      </c>
      <c r="B476" s="1" t="n">
        <v>44670</v>
      </c>
      <c r="C476" s="1" t="n">
        <v>45292</v>
      </c>
      <c r="D476" t="inlineStr">
        <is>
          <t>VÄSTMANLANDS LÄN</t>
        </is>
      </c>
      <c r="E476" t="inlineStr">
        <is>
          <t>SALA</t>
        </is>
      </c>
      <c r="G476" t="n">
        <v>2.3</v>
      </c>
      <c r="H476" t="n">
        <v>0</v>
      </c>
      <c r="I476" t="n">
        <v>0</v>
      </c>
      <c r="J476" t="n">
        <v>0</v>
      </c>
      <c r="K476" t="n">
        <v>0</v>
      </c>
      <c r="L476" t="n">
        <v>0</v>
      </c>
      <c r="M476" t="n">
        <v>0</v>
      </c>
      <c r="N476" t="n">
        <v>0</v>
      </c>
      <c r="O476" t="n">
        <v>0</v>
      </c>
      <c r="P476" t="n">
        <v>0</v>
      </c>
      <c r="Q476" t="n">
        <v>0</v>
      </c>
      <c r="R476" s="2" t="inlineStr"/>
    </row>
    <row r="477" ht="15" customHeight="1">
      <c r="A477" t="inlineStr">
        <is>
          <t>A 16404-2022</t>
        </is>
      </c>
      <c r="B477" s="1" t="n">
        <v>44671</v>
      </c>
      <c r="C477" s="1" t="n">
        <v>45292</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16768-2022</t>
        </is>
      </c>
      <c r="B478" s="1" t="n">
        <v>44673</v>
      </c>
      <c r="C478" s="1" t="n">
        <v>45292</v>
      </c>
      <c r="D478" t="inlineStr">
        <is>
          <t>VÄSTMANLANDS LÄN</t>
        </is>
      </c>
      <c r="E478" t="inlineStr">
        <is>
          <t>SALA</t>
        </is>
      </c>
      <c r="G478" t="n">
        <v>4.7</v>
      </c>
      <c r="H478" t="n">
        <v>0</v>
      </c>
      <c r="I478" t="n">
        <v>0</v>
      </c>
      <c r="J478" t="n">
        <v>0</v>
      </c>
      <c r="K478" t="n">
        <v>0</v>
      </c>
      <c r="L478" t="n">
        <v>0</v>
      </c>
      <c r="M478" t="n">
        <v>0</v>
      </c>
      <c r="N478" t="n">
        <v>0</v>
      </c>
      <c r="O478" t="n">
        <v>0</v>
      </c>
      <c r="P478" t="n">
        <v>0</v>
      </c>
      <c r="Q478" t="n">
        <v>0</v>
      </c>
      <c r="R478" s="2" t="inlineStr"/>
    </row>
    <row r="479" ht="15" customHeight="1">
      <c r="A479" t="inlineStr">
        <is>
          <t>A 16905-2022</t>
        </is>
      </c>
      <c r="B479" s="1" t="n">
        <v>44676</v>
      </c>
      <c r="C479" s="1" t="n">
        <v>45292</v>
      </c>
      <c r="D479" t="inlineStr">
        <is>
          <t>VÄSTMANLANDS LÄN</t>
        </is>
      </c>
      <c r="E479" t="inlineStr">
        <is>
          <t>SALA</t>
        </is>
      </c>
      <c r="G479" t="n">
        <v>1</v>
      </c>
      <c r="H479" t="n">
        <v>0</v>
      </c>
      <c r="I479" t="n">
        <v>0</v>
      </c>
      <c r="J479" t="n">
        <v>0</v>
      </c>
      <c r="K479" t="n">
        <v>0</v>
      </c>
      <c r="L479" t="n">
        <v>0</v>
      </c>
      <c r="M479" t="n">
        <v>0</v>
      </c>
      <c r="N479" t="n">
        <v>0</v>
      </c>
      <c r="O479" t="n">
        <v>0</v>
      </c>
      <c r="P479" t="n">
        <v>0</v>
      </c>
      <c r="Q479" t="n">
        <v>0</v>
      </c>
      <c r="R479" s="2" t="inlineStr"/>
    </row>
    <row r="480" ht="15" customHeight="1">
      <c r="A480" t="inlineStr">
        <is>
          <t>A 17897-2022</t>
        </is>
      </c>
      <c r="B480" s="1" t="n">
        <v>44683</v>
      </c>
      <c r="C480" s="1" t="n">
        <v>45292</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19058-2022</t>
        </is>
      </c>
      <c r="B481" s="1" t="n">
        <v>44691</v>
      </c>
      <c r="C481" s="1" t="n">
        <v>45292</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19065-2022</t>
        </is>
      </c>
      <c r="B482" s="1" t="n">
        <v>44691</v>
      </c>
      <c r="C482" s="1" t="n">
        <v>45292</v>
      </c>
      <c r="D482" t="inlineStr">
        <is>
          <t>VÄSTMANLANDS LÄN</t>
        </is>
      </c>
      <c r="E482" t="inlineStr">
        <is>
          <t>SALA</t>
        </is>
      </c>
      <c r="G482" t="n">
        <v>3.4</v>
      </c>
      <c r="H482" t="n">
        <v>0</v>
      </c>
      <c r="I482" t="n">
        <v>0</v>
      </c>
      <c r="J482" t="n">
        <v>0</v>
      </c>
      <c r="K482" t="n">
        <v>0</v>
      </c>
      <c r="L482" t="n">
        <v>0</v>
      </c>
      <c r="M482" t="n">
        <v>0</v>
      </c>
      <c r="N482" t="n">
        <v>0</v>
      </c>
      <c r="O482" t="n">
        <v>0</v>
      </c>
      <c r="P482" t="n">
        <v>0</v>
      </c>
      <c r="Q482" t="n">
        <v>0</v>
      </c>
      <c r="R482" s="2" t="inlineStr"/>
    </row>
    <row r="483" ht="15" customHeight="1">
      <c r="A483" t="inlineStr">
        <is>
          <t>A 19751-2022</t>
        </is>
      </c>
      <c r="B483" s="1" t="n">
        <v>44694</v>
      </c>
      <c r="C483" s="1" t="n">
        <v>45292</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19760-2022</t>
        </is>
      </c>
      <c r="B484" s="1" t="n">
        <v>44694</v>
      </c>
      <c r="C484" s="1" t="n">
        <v>45292</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20344-2022</t>
        </is>
      </c>
      <c r="B485" s="1" t="n">
        <v>44699</v>
      </c>
      <c r="C485" s="1" t="n">
        <v>45292</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20352-2022</t>
        </is>
      </c>
      <c r="B486" s="1" t="n">
        <v>44699</v>
      </c>
      <c r="C486" s="1" t="n">
        <v>45292</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20875-2022</t>
        </is>
      </c>
      <c r="B487" s="1" t="n">
        <v>44701</v>
      </c>
      <c r="C487" s="1" t="n">
        <v>45292</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21055-2022</t>
        </is>
      </c>
      <c r="B488" s="1" t="n">
        <v>44704</v>
      </c>
      <c r="C488" s="1" t="n">
        <v>45292</v>
      </c>
      <c r="D488" t="inlineStr">
        <is>
          <t>VÄSTMANLANDS LÄN</t>
        </is>
      </c>
      <c r="E488" t="inlineStr">
        <is>
          <t>SALA</t>
        </is>
      </c>
      <c r="G488" t="n">
        <v>1.9</v>
      </c>
      <c r="H488" t="n">
        <v>0</v>
      </c>
      <c r="I488" t="n">
        <v>0</v>
      </c>
      <c r="J488" t="n">
        <v>0</v>
      </c>
      <c r="K488" t="n">
        <v>0</v>
      </c>
      <c r="L488" t="n">
        <v>0</v>
      </c>
      <c r="M488" t="n">
        <v>0</v>
      </c>
      <c r="N488" t="n">
        <v>0</v>
      </c>
      <c r="O488" t="n">
        <v>0</v>
      </c>
      <c r="P488" t="n">
        <v>0</v>
      </c>
      <c r="Q488" t="n">
        <v>0</v>
      </c>
      <c r="R488" s="2" t="inlineStr"/>
    </row>
    <row r="489" ht="15" customHeight="1">
      <c r="A489" t="inlineStr">
        <is>
          <t>A 21053-2022</t>
        </is>
      </c>
      <c r="B489" s="1" t="n">
        <v>44704</v>
      </c>
      <c r="C489" s="1" t="n">
        <v>45292</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21159-2022</t>
        </is>
      </c>
      <c r="B490" s="1" t="n">
        <v>44704</v>
      </c>
      <c r="C490" s="1" t="n">
        <v>45292</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21777-2022</t>
        </is>
      </c>
      <c r="B491" s="1" t="n">
        <v>44708</v>
      </c>
      <c r="C491" s="1" t="n">
        <v>45292</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22397-2022</t>
        </is>
      </c>
      <c r="B492" s="1" t="n">
        <v>44713</v>
      </c>
      <c r="C492" s="1" t="n">
        <v>45292</v>
      </c>
      <c r="D492" t="inlineStr">
        <is>
          <t>VÄSTMANLANDS LÄN</t>
        </is>
      </c>
      <c r="E492" t="inlineStr">
        <is>
          <t>SALA</t>
        </is>
      </c>
      <c r="G492" t="n">
        <v>2.1</v>
      </c>
      <c r="H492" t="n">
        <v>0</v>
      </c>
      <c r="I492" t="n">
        <v>0</v>
      </c>
      <c r="J492" t="n">
        <v>0</v>
      </c>
      <c r="K492" t="n">
        <v>0</v>
      </c>
      <c r="L492" t="n">
        <v>0</v>
      </c>
      <c r="M492" t="n">
        <v>0</v>
      </c>
      <c r="N492" t="n">
        <v>0</v>
      </c>
      <c r="O492" t="n">
        <v>0</v>
      </c>
      <c r="P492" t="n">
        <v>0</v>
      </c>
      <c r="Q492" t="n">
        <v>0</v>
      </c>
      <c r="R492" s="2" t="inlineStr"/>
    </row>
    <row r="493" ht="15" customHeight="1">
      <c r="A493" t="inlineStr">
        <is>
          <t>A 22575-2022</t>
        </is>
      </c>
      <c r="B493" s="1" t="n">
        <v>44713</v>
      </c>
      <c r="C493" s="1" t="n">
        <v>45292</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22562-2022</t>
        </is>
      </c>
      <c r="B494" s="1" t="n">
        <v>44713</v>
      </c>
      <c r="C494" s="1" t="n">
        <v>45292</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22811-2022</t>
        </is>
      </c>
      <c r="B495" s="1" t="n">
        <v>44715</v>
      </c>
      <c r="C495" s="1" t="n">
        <v>45292</v>
      </c>
      <c r="D495" t="inlineStr">
        <is>
          <t>VÄSTMANLANDS LÄN</t>
        </is>
      </c>
      <c r="E495" t="inlineStr">
        <is>
          <t>SALA</t>
        </is>
      </c>
      <c r="G495" t="n">
        <v>5</v>
      </c>
      <c r="H495" t="n">
        <v>0</v>
      </c>
      <c r="I495" t="n">
        <v>0</v>
      </c>
      <c r="J495" t="n">
        <v>0</v>
      </c>
      <c r="K495" t="n">
        <v>0</v>
      </c>
      <c r="L495" t="n">
        <v>0</v>
      </c>
      <c r="M495" t="n">
        <v>0</v>
      </c>
      <c r="N495" t="n">
        <v>0</v>
      </c>
      <c r="O495" t="n">
        <v>0</v>
      </c>
      <c r="P495" t="n">
        <v>0</v>
      </c>
      <c r="Q495" t="n">
        <v>0</v>
      </c>
      <c r="R495" s="2" t="inlineStr"/>
    </row>
    <row r="496" ht="15" customHeight="1">
      <c r="A496" t="inlineStr">
        <is>
          <t>A 23119-2022</t>
        </is>
      </c>
      <c r="B496" s="1" t="n">
        <v>44719</v>
      </c>
      <c r="C496" s="1" t="n">
        <v>45292</v>
      </c>
      <c r="D496" t="inlineStr">
        <is>
          <t>VÄSTMANLANDS LÄN</t>
        </is>
      </c>
      <c r="E496" t="inlineStr">
        <is>
          <t>SALA</t>
        </is>
      </c>
      <c r="G496" t="n">
        <v>7</v>
      </c>
      <c r="H496" t="n">
        <v>0</v>
      </c>
      <c r="I496" t="n">
        <v>0</v>
      </c>
      <c r="J496" t="n">
        <v>0</v>
      </c>
      <c r="K496" t="n">
        <v>0</v>
      </c>
      <c r="L496" t="n">
        <v>0</v>
      </c>
      <c r="M496" t="n">
        <v>0</v>
      </c>
      <c r="N496" t="n">
        <v>0</v>
      </c>
      <c r="O496" t="n">
        <v>0</v>
      </c>
      <c r="P496" t="n">
        <v>0</v>
      </c>
      <c r="Q496" t="n">
        <v>0</v>
      </c>
      <c r="R496" s="2" t="inlineStr"/>
    </row>
    <row r="497" ht="15" customHeight="1">
      <c r="A497" t="inlineStr">
        <is>
          <t>A 23181-2022</t>
        </is>
      </c>
      <c r="B497" s="1" t="n">
        <v>44719</v>
      </c>
      <c r="C497" s="1" t="n">
        <v>45292</v>
      </c>
      <c r="D497" t="inlineStr">
        <is>
          <t>VÄSTMANLANDS LÄN</t>
        </is>
      </c>
      <c r="E497" t="inlineStr">
        <is>
          <t>SALA</t>
        </is>
      </c>
      <c r="G497" t="n">
        <v>0.8</v>
      </c>
      <c r="H497" t="n">
        <v>0</v>
      </c>
      <c r="I497" t="n">
        <v>0</v>
      </c>
      <c r="J497" t="n">
        <v>0</v>
      </c>
      <c r="K497" t="n">
        <v>0</v>
      </c>
      <c r="L497" t="n">
        <v>0</v>
      </c>
      <c r="M497" t="n">
        <v>0</v>
      </c>
      <c r="N497" t="n">
        <v>0</v>
      </c>
      <c r="O497" t="n">
        <v>0</v>
      </c>
      <c r="P497" t="n">
        <v>0</v>
      </c>
      <c r="Q497" t="n">
        <v>0</v>
      </c>
      <c r="R497" s="2" t="inlineStr"/>
    </row>
    <row r="498" ht="15" customHeight="1">
      <c r="A498" t="inlineStr">
        <is>
          <t>A 23180-2022</t>
        </is>
      </c>
      <c r="B498" s="1" t="n">
        <v>44719</v>
      </c>
      <c r="C498" s="1" t="n">
        <v>45292</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23182-2022</t>
        </is>
      </c>
      <c r="B499" s="1" t="n">
        <v>44719</v>
      </c>
      <c r="C499" s="1" t="n">
        <v>45292</v>
      </c>
      <c r="D499" t="inlineStr">
        <is>
          <t>VÄSTMANLANDS LÄN</t>
        </is>
      </c>
      <c r="E499" t="inlineStr">
        <is>
          <t>SALA</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v>
      </c>
      <c r="C500" s="1" t="n">
        <v>45292</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23847-2022</t>
        </is>
      </c>
      <c r="B501" s="1" t="n">
        <v>44722</v>
      </c>
      <c r="C501" s="1" t="n">
        <v>45292</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24818-2022</t>
        </is>
      </c>
      <c r="B502" s="1" t="n">
        <v>44727</v>
      </c>
      <c r="C502" s="1" t="n">
        <v>45292</v>
      </c>
      <c r="D502" t="inlineStr">
        <is>
          <t>VÄSTMANLANDS LÄN</t>
        </is>
      </c>
      <c r="E502" t="inlineStr">
        <is>
          <t>SALA</t>
        </is>
      </c>
      <c r="G502" t="n">
        <v>1.7</v>
      </c>
      <c r="H502" t="n">
        <v>0</v>
      </c>
      <c r="I502" t="n">
        <v>0</v>
      </c>
      <c r="J502" t="n">
        <v>0</v>
      </c>
      <c r="K502" t="n">
        <v>0</v>
      </c>
      <c r="L502" t="n">
        <v>0</v>
      </c>
      <c r="M502" t="n">
        <v>0</v>
      </c>
      <c r="N502" t="n">
        <v>0</v>
      </c>
      <c r="O502" t="n">
        <v>0</v>
      </c>
      <c r="P502" t="n">
        <v>0</v>
      </c>
      <c r="Q502" t="n">
        <v>0</v>
      </c>
      <c r="R502" s="2" t="inlineStr"/>
    </row>
    <row r="503" ht="15" customHeight="1">
      <c r="A503" t="inlineStr">
        <is>
          <t>A 24835-2022</t>
        </is>
      </c>
      <c r="B503" s="1" t="n">
        <v>44727</v>
      </c>
      <c r="C503" s="1" t="n">
        <v>45292</v>
      </c>
      <c r="D503" t="inlineStr">
        <is>
          <t>VÄSTMANLANDS LÄN</t>
        </is>
      </c>
      <c r="E503" t="inlineStr">
        <is>
          <t>SALA</t>
        </is>
      </c>
      <c r="G503" t="n">
        <v>5.8</v>
      </c>
      <c r="H503" t="n">
        <v>0</v>
      </c>
      <c r="I503" t="n">
        <v>0</v>
      </c>
      <c r="J503" t="n">
        <v>0</v>
      </c>
      <c r="K503" t="n">
        <v>0</v>
      </c>
      <c r="L503" t="n">
        <v>0</v>
      </c>
      <c r="M503" t="n">
        <v>0</v>
      </c>
      <c r="N503" t="n">
        <v>0</v>
      </c>
      <c r="O503" t="n">
        <v>0</v>
      </c>
      <c r="P503" t="n">
        <v>0</v>
      </c>
      <c r="Q503" t="n">
        <v>0</v>
      </c>
      <c r="R503" s="2" t="inlineStr"/>
    </row>
    <row r="504" ht="15" customHeight="1">
      <c r="A504" t="inlineStr">
        <is>
          <t>A 24882-2022</t>
        </is>
      </c>
      <c r="B504" s="1" t="n">
        <v>44728</v>
      </c>
      <c r="C504" s="1" t="n">
        <v>45292</v>
      </c>
      <c r="D504" t="inlineStr">
        <is>
          <t>VÄSTMANLANDS LÄN</t>
        </is>
      </c>
      <c r="E504" t="inlineStr">
        <is>
          <t>SALA</t>
        </is>
      </c>
      <c r="G504" t="n">
        <v>0.5</v>
      </c>
      <c r="H504" t="n">
        <v>0</v>
      </c>
      <c r="I504" t="n">
        <v>0</v>
      </c>
      <c r="J504" t="n">
        <v>0</v>
      </c>
      <c r="K504" t="n">
        <v>0</v>
      </c>
      <c r="L504" t="n">
        <v>0</v>
      </c>
      <c r="M504" t="n">
        <v>0</v>
      </c>
      <c r="N504" t="n">
        <v>0</v>
      </c>
      <c r="O504" t="n">
        <v>0</v>
      </c>
      <c r="P504" t="n">
        <v>0</v>
      </c>
      <c r="Q504" t="n">
        <v>0</v>
      </c>
      <c r="R504" s="2" t="inlineStr"/>
    </row>
    <row r="505" ht="15" customHeight="1">
      <c r="A505" t="inlineStr">
        <is>
          <t>A 25603-2022</t>
        </is>
      </c>
      <c r="B505" s="1" t="n">
        <v>44732</v>
      </c>
      <c r="C505" s="1" t="n">
        <v>45292</v>
      </c>
      <c r="D505" t="inlineStr">
        <is>
          <t>VÄSTMANLANDS LÄN</t>
        </is>
      </c>
      <c r="E505" t="inlineStr">
        <is>
          <t>SALA</t>
        </is>
      </c>
      <c r="G505" t="n">
        <v>2</v>
      </c>
      <c r="H505" t="n">
        <v>0</v>
      </c>
      <c r="I505" t="n">
        <v>0</v>
      </c>
      <c r="J505" t="n">
        <v>0</v>
      </c>
      <c r="K505" t="n">
        <v>0</v>
      </c>
      <c r="L505" t="n">
        <v>0</v>
      </c>
      <c r="M505" t="n">
        <v>0</v>
      </c>
      <c r="N505" t="n">
        <v>0</v>
      </c>
      <c r="O505" t="n">
        <v>0</v>
      </c>
      <c r="P505" t="n">
        <v>0</v>
      </c>
      <c r="Q505" t="n">
        <v>0</v>
      </c>
      <c r="R505" s="2" t="inlineStr"/>
    </row>
    <row r="506" ht="15" customHeight="1">
      <c r="A506" t="inlineStr">
        <is>
          <t>A 25748-2022</t>
        </is>
      </c>
      <c r="B506" s="1" t="n">
        <v>44732</v>
      </c>
      <c r="C506" s="1" t="n">
        <v>45292</v>
      </c>
      <c r="D506" t="inlineStr">
        <is>
          <t>VÄSTMANLANDS LÄN</t>
        </is>
      </c>
      <c r="E506" t="inlineStr">
        <is>
          <t>SALA</t>
        </is>
      </c>
      <c r="G506" t="n">
        <v>7.7</v>
      </c>
      <c r="H506" t="n">
        <v>0</v>
      </c>
      <c r="I506" t="n">
        <v>0</v>
      </c>
      <c r="J506" t="n">
        <v>0</v>
      </c>
      <c r="K506" t="n">
        <v>0</v>
      </c>
      <c r="L506" t="n">
        <v>0</v>
      </c>
      <c r="M506" t="n">
        <v>0</v>
      </c>
      <c r="N506" t="n">
        <v>0</v>
      </c>
      <c r="O506" t="n">
        <v>0</v>
      </c>
      <c r="P506" t="n">
        <v>0</v>
      </c>
      <c r="Q506" t="n">
        <v>0</v>
      </c>
      <c r="R506" s="2" t="inlineStr"/>
    </row>
    <row r="507" ht="15" customHeight="1">
      <c r="A507" t="inlineStr">
        <is>
          <t>A 27229-2022</t>
        </is>
      </c>
      <c r="B507" s="1" t="n">
        <v>44741</v>
      </c>
      <c r="C507" s="1" t="n">
        <v>45292</v>
      </c>
      <c r="D507" t="inlineStr">
        <is>
          <t>VÄSTMANLANDS LÄN</t>
        </is>
      </c>
      <c r="E507" t="inlineStr">
        <is>
          <t>SALA</t>
        </is>
      </c>
      <c r="F507" t="inlineStr">
        <is>
          <t>Kommuner</t>
        </is>
      </c>
      <c r="G507" t="n">
        <v>1.4</v>
      </c>
      <c r="H507" t="n">
        <v>0</v>
      </c>
      <c r="I507" t="n">
        <v>0</v>
      </c>
      <c r="J507" t="n">
        <v>0</v>
      </c>
      <c r="K507" t="n">
        <v>0</v>
      </c>
      <c r="L507" t="n">
        <v>0</v>
      </c>
      <c r="M507" t="n">
        <v>0</v>
      </c>
      <c r="N507" t="n">
        <v>0</v>
      </c>
      <c r="O507" t="n">
        <v>0</v>
      </c>
      <c r="P507" t="n">
        <v>0</v>
      </c>
      <c r="Q507" t="n">
        <v>0</v>
      </c>
      <c r="R507" s="2" t="inlineStr"/>
    </row>
    <row r="508" ht="15" customHeight="1">
      <c r="A508" t="inlineStr">
        <is>
          <t>A 27240-2022</t>
        </is>
      </c>
      <c r="B508" s="1" t="n">
        <v>44741</v>
      </c>
      <c r="C508" s="1" t="n">
        <v>45292</v>
      </c>
      <c r="D508" t="inlineStr">
        <is>
          <t>VÄSTMANLANDS LÄN</t>
        </is>
      </c>
      <c r="E508" t="inlineStr">
        <is>
          <t>SALA</t>
        </is>
      </c>
      <c r="F508" t="inlineStr">
        <is>
          <t>Sveaskog</t>
        </is>
      </c>
      <c r="G508" t="n">
        <v>2.6</v>
      </c>
      <c r="H508" t="n">
        <v>0</v>
      </c>
      <c r="I508" t="n">
        <v>0</v>
      </c>
      <c r="J508" t="n">
        <v>0</v>
      </c>
      <c r="K508" t="n">
        <v>0</v>
      </c>
      <c r="L508" t="n">
        <v>0</v>
      </c>
      <c r="M508" t="n">
        <v>0</v>
      </c>
      <c r="N508" t="n">
        <v>0</v>
      </c>
      <c r="O508" t="n">
        <v>0</v>
      </c>
      <c r="P508" t="n">
        <v>0</v>
      </c>
      <c r="Q508" t="n">
        <v>0</v>
      </c>
      <c r="R508" s="2" t="inlineStr"/>
    </row>
    <row r="509" ht="15" customHeight="1">
      <c r="A509" t="inlineStr">
        <is>
          <t>A 27446-2022</t>
        </is>
      </c>
      <c r="B509" s="1" t="n">
        <v>44742</v>
      </c>
      <c r="C509" s="1" t="n">
        <v>45292</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27528-2022</t>
        </is>
      </c>
      <c r="B510" s="1" t="n">
        <v>44742</v>
      </c>
      <c r="C510" s="1" t="n">
        <v>45292</v>
      </c>
      <c r="D510" t="inlineStr">
        <is>
          <t>VÄSTMANLANDS LÄN</t>
        </is>
      </c>
      <c r="E510" t="inlineStr">
        <is>
          <t>SALA</t>
        </is>
      </c>
      <c r="G510" t="n">
        <v>3.2</v>
      </c>
      <c r="H510" t="n">
        <v>0</v>
      </c>
      <c r="I510" t="n">
        <v>0</v>
      </c>
      <c r="J510" t="n">
        <v>0</v>
      </c>
      <c r="K510" t="n">
        <v>0</v>
      </c>
      <c r="L510" t="n">
        <v>0</v>
      </c>
      <c r="M510" t="n">
        <v>0</v>
      </c>
      <c r="N510" t="n">
        <v>0</v>
      </c>
      <c r="O510" t="n">
        <v>0</v>
      </c>
      <c r="P510" t="n">
        <v>0</v>
      </c>
      <c r="Q510" t="n">
        <v>0</v>
      </c>
      <c r="R510" s="2" t="inlineStr"/>
    </row>
    <row r="511" ht="15" customHeight="1">
      <c r="A511" t="inlineStr">
        <is>
          <t>A 27486-2022</t>
        </is>
      </c>
      <c r="B511" s="1" t="n">
        <v>44742</v>
      </c>
      <c r="C511" s="1" t="n">
        <v>45292</v>
      </c>
      <c r="D511" t="inlineStr">
        <is>
          <t>VÄSTMANLANDS LÄN</t>
        </is>
      </c>
      <c r="E511" t="inlineStr">
        <is>
          <t>SALA</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28069-2022</t>
        </is>
      </c>
      <c r="B512" s="1" t="n">
        <v>44746</v>
      </c>
      <c r="C512" s="1" t="n">
        <v>45292</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28215-2022</t>
        </is>
      </c>
      <c r="B513" s="1" t="n">
        <v>44746</v>
      </c>
      <c r="C513" s="1" t="n">
        <v>45292</v>
      </c>
      <c r="D513" t="inlineStr">
        <is>
          <t>VÄSTMANLANDS LÄN</t>
        </is>
      </c>
      <c r="E513" t="inlineStr">
        <is>
          <t>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28402-2022</t>
        </is>
      </c>
      <c r="B514" s="1" t="n">
        <v>44747</v>
      </c>
      <c r="C514" s="1" t="n">
        <v>45292</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28863-2022</t>
        </is>
      </c>
      <c r="B515" s="1" t="n">
        <v>44749</v>
      </c>
      <c r="C515" s="1" t="n">
        <v>45292</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28875-2022</t>
        </is>
      </c>
      <c r="B516" s="1" t="n">
        <v>44749</v>
      </c>
      <c r="C516" s="1" t="n">
        <v>45292</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28999-2022</t>
        </is>
      </c>
      <c r="B517" s="1" t="n">
        <v>44749</v>
      </c>
      <c r="C517" s="1" t="n">
        <v>45292</v>
      </c>
      <c r="D517" t="inlineStr">
        <is>
          <t>VÄSTMANLANDS LÄN</t>
        </is>
      </c>
      <c r="E517" t="inlineStr">
        <is>
          <t>SALA</t>
        </is>
      </c>
      <c r="G517" t="n">
        <v>5.7</v>
      </c>
      <c r="H517" t="n">
        <v>0</v>
      </c>
      <c r="I517" t="n">
        <v>0</v>
      </c>
      <c r="J517" t="n">
        <v>0</v>
      </c>
      <c r="K517" t="n">
        <v>0</v>
      </c>
      <c r="L517" t="n">
        <v>0</v>
      </c>
      <c r="M517" t="n">
        <v>0</v>
      </c>
      <c r="N517" t="n">
        <v>0</v>
      </c>
      <c r="O517" t="n">
        <v>0</v>
      </c>
      <c r="P517" t="n">
        <v>0</v>
      </c>
      <c r="Q517" t="n">
        <v>0</v>
      </c>
      <c r="R517" s="2" t="inlineStr"/>
    </row>
    <row r="518" ht="15" customHeight="1">
      <c r="A518" t="inlineStr">
        <is>
          <t>A 28827-2022</t>
        </is>
      </c>
      <c r="B518" s="1" t="n">
        <v>44749</v>
      </c>
      <c r="C518" s="1" t="n">
        <v>45292</v>
      </c>
      <c r="D518" t="inlineStr">
        <is>
          <t>VÄSTMANLANDS LÄN</t>
        </is>
      </c>
      <c r="E518" t="inlineStr">
        <is>
          <t>SALA</t>
        </is>
      </c>
      <c r="F518" t="inlineStr">
        <is>
          <t>Kommuner</t>
        </is>
      </c>
      <c r="G518" t="n">
        <v>11.9</v>
      </c>
      <c r="H518" t="n">
        <v>0</v>
      </c>
      <c r="I518" t="n">
        <v>0</v>
      </c>
      <c r="J518" t="n">
        <v>0</v>
      </c>
      <c r="K518" t="n">
        <v>0</v>
      </c>
      <c r="L518" t="n">
        <v>0</v>
      </c>
      <c r="M518" t="n">
        <v>0</v>
      </c>
      <c r="N518" t="n">
        <v>0</v>
      </c>
      <c r="O518" t="n">
        <v>0</v>
      </c>
      <c r="P518" t="n">
        <v>0</v>
      </c>
      <c r="Q518" t="n">
        <v>0</v>
      </c>
      <c r="R518" s="2" t="inlineStr"/>
    </row>
    <row r="519" ht="15" customHeight="1">
      <c r="A519" t="inlineStr">
        <is>
          <t>A 28873-2022</t>
        </is>
      </c>
      <c r="B519" s="1" t="n">
        <v>44749</v>
      </c>
      <c r="C519" s="1" t="n">
        <v>45292</v>
      </c>
      <c r="D519" t="inlineStr">
        <is>
          <t>VÄSTMANLANDS LÄN</t>
        </is>
      </c>
      <c r="E519" t="inlineStr">
        <is>
          <t>SALA</t>
        </is>
      </c>
      <c r="G519" t="n">
        <v>2.7</v>
      </c>
      <c r="H519" t="n">
        <v>0</v>
      </c>
      <c r="I519" t="n">
        <v>0</v>
      </c>
      <c r="J519" t="n">
        <v>0</v>
      </c>
      <c r="K519" t="n">
        <v>0</v>
      </c>
      <c r="L519" t="n">
        <v>0</v>
      </c>
      <c r="M519" t="n">
        <v>0</v>
      </c>
      <c r="N519" t="n">
        <v>0</v>
      </c>
      <c r="O519" t="n">
        <v>0</v>
      </c>
      <c r="P519" t="n">
        <v>0</v>
      </c>
      <c r="Q519" t="n">
        <v>0</v>
      </c>
      <c r="R519" s="2" t="inlineStr"/>
    </row>
    <row r="520" ht="15" customHeight="1">
      <c r="A520" t="inlineStr">
        <is>
          <t>A 29002-2022</t>
        </is>
      </c>
      <c r="B520" s="1" t="n">
        <v>44749</v>
      </c>
      <c r="C520" s="1" t="n">
        <v>45292</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28868-2022</t>
        </is>
      </c>
      <c r="B521" s="1" t="n">
        <v>44749</v>
      </c>
      <c r="C521" s="1" t="n">
        <v>45292</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28874-2022</t>
        </is>
      </c>
      <c r="B522" s="1" t="n">
        <v>44749</v>
      </c>
      <c r="C522" s="1" t="n">
        <v>45292</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28879-2022</t>
        </is>
      </c>
      <c r="B523" s="1" t="n">
        <v>44749</v>
      </c>
      <c r="C523" s="1" t="n">
        <v>45292</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29235-2022</t>
        </is>
      </c>
      <c r="B524" s="1" t="n">
        <v>44750</v>
      </c>
      <c r="C524" s="1" t="n">
        <v>45292</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29228-2022</t>
        </is>
      </c>
      <c r="B525" s="1" t="n">
        <v>44750</v>
      </c>
      <c r="C525" s="1" t="n">
        <v>45292</v>
      </c>
      <c r="D525" t="inlineStr">
        <is>
          <t>VÄSTMANLANDS LÄN</t>
        </is>
      </c>
      <c r="E525" t="inlineStr">
        <is>
          <t>SALA</t>
        </is>
      </c>
      <c r="G525" t="n">
        <v>0.5</v>
      </c>
      <c r="H525" t="n">
        <v>0</v>
      </c>
      <c r="I525" t="n">
        <v>0</v>
      </c>
      <c r="J525" t="n">
        <v>0</v>
      </c>
      <c r="K525" t="n">
        <v>0</v>
      </c>
      <c r="L525" t="n">
        <v>0</v>
      </c>
      <c r="M525" t="n">
        <v>0</v>
      </c>
      <c r="N525" t="n">
        <v>0</v>
      </c>
      <c r="O525" t="n">
        <v>0</v>
      </c>
      <c r="P525" t="n">
        <v>0</v>
      </c>
      <c r="Q525" t="n">
        <v>0</v>
      </c>
      <c r="R525" s="2" t="inlineStr"/>
    </row>
    <row r="526" ht="15" customHeight="1">
      <c r="A526" t="inlineStr">
        <is>
          <t>A 29233-2022</t>
        </is>
      </c>
      <c r="B526" s="1" t="n">
        <v>44750</v>
      </c>
      <c r="C526" s="1" t="n">
        <v>45292</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29248-2022</t>
        </is>
      </c>
      <c r="B527" s="1" t="n">
        <v>44750</v>
      </c>
      <c r="C527" s="1" t="n">
        <v>45292</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29230-2022</t>
        </is>
      </c>
      <c r="B528" s="1" t="n">
        <v>44750</v>
      </c>
      <c r="C528" s="1" t="n">
        <v>45292</v>
      </c>
      <c r="D528" t="inlineStr">
        <is>
          <t>VÄSTMANLANDS LÄN</t>
        </is>
      </c>
      <c r="E528" t="inlineStr">
        <is>
          <t>SALA</t>
        </is>
      </c>
      <c r="G528" t="n">
        <v>1.1</v>
      </c>
      <c r="H528" t="n">
        <v>0</v>
      </c>
      <c r="I528" t="n">
        <v>0</v>
      </c>
      <c r="J528" t="n">
        <v>0</v>
      </c>
      <c r="K528" t="n">
        <v>0</v>
      </c>
      <c r="L528" t="n">
        <v>0</v>
      </c>
      <c r="M528" t="n">
        <v>0</v>
      </c>
      <c r="N528" t="n">
        <v>0</v>
      </c>
      <c r="O528" t="n">
        <v>0</v>
      </c>
      <c r="P528" t="n">
        <v>0</v>
      </c>
      <c r="Q528" t="n">
        <v>0</v>
      </c>
      <c r="R528" s="2" t="inlineStr"/>
    </row>
    <row r="529" ht="15" customHeight="1">
      <c r="A529" t="inlineStr">
        <is>
          <t>A 29133-2022</t>
        </is>
      </c>
      <c r="B529" s="1" t="n">
        <v>44750</v>
      </c>
      <c r="C529" s="1" t="n">
        <v>45292</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29213-2022</t>
        </is>
      </c>
      <c r="B530" s="1" t="n">
        <v>44750</v>
      </c>
      <c r="C530" s="1" t="n">
        <v>45292</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29963-2022</t>
        </is>
      </c>
      <c r="B531" s="1" t="n">
        <v>44756</v>
      </c>
      <c r="C531" s="1" t="n">
        <v>45292</v>
      </c>
      <c r="D531" t="inlineStr">
        <is>
          <t>VÄSTMANLANDS LÄN</t>
        </is>
      </c>
      <c r="E531" t="inlineStr">
        <is>
          <t>SALA</t>
        </is>
      </c>
      <c r="G531" t="n">
        <v>2.3</v>
      </c>
      <c r="H531" t="n">
        <v>0</v>
      </c>
      <c r="I531" t="n">
        <v>0</v>
      </c>
      <c r="J531" t="n">
        <v>0</v>
      </c>
      <c r="K531" t="n">
        <v>0</v>
      </c>
      <c r="L531" t="n">
        <v>0</v>
      </c>
      <c r="M531" t="n">
        <v>0</v>
      </c>
      <c r="N531" t="n">
        <v>0</v>
      </c>
      <c r="O531" t="n">
        <v>0</v>
      </c>
      <c r="P531" t="n">
        <v>0</v>
      </c>
      <c r="Q531" t="n">
        <v>0</v>
      </c>
      <c r="R531" s="2" t="inlineStr"/>
    </row>
    <row r="532" ht="15" customHeight="1">
      <c r="A532" t="inlineStr">
        <is>
          <t>A 29965-2022</t>
        </is>
      </c>
      <c r="B532" s="1" t="n">
        <v>44756</v>
      </c>
      <c r="C532" s="1" t="n">
        <v>45292</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29982-2022</t>
        </is>
      </c>
      <c r="B533" s="1" t="n">
        <v>44756</v>
      </c>
      <c r="C533" s="1" t="n">
        <v>45292</v>
      </c>
      <c r="D533" t="inlineStr">
        <is>
          <t>VÄSTMANLANDS LÄN</t>
        </is>
      </c>
      <c r="E533" t="inlineStr">
        <is>
          <t>SALA</t>
        </is>
      </c>
      <c r="G533" t="n">
        <v>1.4</v>
      </c>
      <c r="H533" t="n">
        <v>0</v>
      </c>
      <c r="I533" t="n">
        <v>0</v>
      </c>
      <c r="J533" t="n">
        <v>0</v>
      </c>
      <c r="K533" t="n">
        <v>0</v>
      </c>
      <c r="L533" t="n">
        <v>0</v>
      </c>
      <c r="M533" t="n">
        <v>0</v>
      </c>
      <c r="N533" t="n">
        <v>0</v>
      </c>
      <c r="O533" t="n">
        <v>0</v>
      </c>
      <c r="P533" t="n">
        <v>0</v>
      </c>
      <c r="Q533" t="n">
        <v>0</v>
      </c>
      <c r="R533" s="2" t="inlineStr"/>
    </row>
    <row r="534" ht="15" customHeight="1">
      <c r="A534" t="inlineStr">
        <is>
          <t>A 30360-2022</t>
        </is>
      </c>
      <c r="B534" s="1" t="n">
        <v>44760</v>
      </c>
      <c r="C534" s="1" t="n">
        <v>45292</v>
      </c>
      <c r="D534" t="inlineStr">
        <is>
          <t>VÄSTMANLANDS LÄN</t>
        </is>
      </c>
      <c r="E534" t="inlineStr">
        <is>
          <t>SALA</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30442-2022</t>
        </is>
      </c>
      <c r="B535" s="1" t="n">
        <v>44761</v>
      </c>
      <c r="C535" s="1" t="n">
        <v>45292</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30971-2022</t>
        </is>
      </c>
      <c r="B536" s="1" t="n">
        <v>44768</v>
      </c>
      <c r="C536" s="1" t="n">
        <v>45292</v>
      </c>
      <c r="D536" t="inlineStr">
        <is>
          <t>VÄSTMANLANDS LÄN</t>
        </is>
      </c>
      <c r="E536" t="inlineStr">
        <is>
          <t>SALA</t>
        </is>
      </c>
      <c r="G536" t="n">
        <v>2.4</v>
      </c>
      <c r="H536" t="n">
        <v>0</v>
      </c>
      <c r="I536" t="n">
        <v>0</v>
      </c>
      <c r="J536" t="n">
        <v>0</v>
      </c>
      <c r="K536" t="n">
        <v>0</v>
      </c>
      <c r="L536" t="n">
        <v>0</v>
      </c>
      <c r="M536" t="n">
        <v>0</v>
      </c>
      <c r="N536" t="n">
        <v>0</v>
      </c>
      <c r="O536" t="n">
        <v>0</v>
      </c>
      <c r="P536" t="n">
        <v>0</v>
      </c>
      <c r="Q536" t="n">
        <v>0</v>
      </c>
      <c r="R536" s="2" t="inlineStr"/>
    </row>
    <row r="537" ht="15" customHeight="1">
      <c r="A537" t="inlineStr">
        <is>
          <t>A 31000-2022</t>
        </is>
      </c>
      <c r="B537" s="1" t="n">
        <v>44768</v>
      </c>
      <c r="C537" s="1" t="n">
        <v>45292</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31373-2022</t>
        </is>
      </c>
      <c r="B538" s="1" t="n">
        <v>44774</v>
      </c>
      <c r="C538" s="1" t="n">
        <v>45292</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31380-2022</t>
        </is>
      </c>
      <c r="B539" s="1" t="n">
        <v>44774</v>
      </c>
      <c r="C539" s="1" t="n">
        <v>45292</v>
      </c>
      <c r="D539" t="inlineStr">
        <is>
          <t>VÄSTMANLANDS LÄN</t>
        </is>
      </c>
      <c r="E539" t="inlineStr">
        <is>
          <t>SALA</t>
        </is>
      </c>
      <c r="G539" t="n">
        <v>4.7</v>
      </c>
      <c r="H539" t="n">
        <v>0</v>
      </c>
      <c r="I539" t="n">
        <v>0</v>
      </c>
      <c r="J539" t="n">
        <v>0</v>
      </c>
      <c r="K539" t="n">
        <v>0</v>
      </c>
      <c r="L539" t="n">
        <v>0</v>
      </c>
      <c r="M539" t="n">
        <v>0</v>
      </c>
      <c r="N539" t="n">
        <v>0</v>
      </c>
      <c r="O539" t="n">
        <v>0</v>
      </c>
      <c r="P539" t="n">
        <v>0</v>
      </c>
      <c r="Q539" t="n">
        <v>0</v>
      </c>
      <c r="R539" s="2" t="inlineStr"/>
    </row>
    <row r="540" ht="15" customHeight="1">
      <c r="A540" t="inlineStr">
        <is>
          <t>A 31387-2022</t>
        </is>
      </c>
      <c r="B540" s="1" t="n">
        <v>44774</v>
      </c>
      <c r="C540" s="1" t="n">
        <v>45292</v>
      </c>
      <c r="D540" t="inlineStr">
        <is>
          <t>VÄSTMANLANDS LÄN</t>
        </is>
      </c>
      <c r="E540" t="inlineStr">
        <is>
          <t>SALA</t>
        </is>
      </c>
      <c r="G540" t="n">
        <v>5.8</v>
      </c>
      <c r="H540" t="n">
        <v>0</v>
      </c>
      <c r="I540" t="n">
        <v>0</v>
      </c>
      <c r="J540" t="n">
        <v>0</v>
      </c>
      <c r="K540" t="n">
        <v>0</v>
      </c>
      <c r="L540" t="n">
        <v>0</v>
      </c>
      <c r="M540" t="n">
        <v>0</v>
      </c>
      <c r="N540" t="n">
        <v>0</v>
      </c>
      <c r="O540" t="n">
        <v>0</v>
      </c>
      <c r="P540" t="n">
        <v>0</v>
      </c>
      <c r="Q540" t="n">
        <v>0</v>
      </c>
      <c r="R540" s="2" t="inlineStr"/>
    </row>
    <row r="541" ht="15" customHeight="1">
      <c r="A541" t="inlineStr">
        <is>
          <t>A 31394-2022</t>
        </is>
      </c>
      <c r="B541" s="1" t="n">
        <v>44774</v>
      </c>
      <c r="C541" s="1" t="n">
        <v>45292</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33309-2022</t>
        </is>
      </c>
      <c r="B542" s="1" t="n">
        <v>44788</v>
      </c>
      <c r="C542" s="1" t="n">
        <v>45292</v>
      </c>
      <c r="D542" t="inlineStr">
        <is>
          <t>VÄSTMANLANDS LÄN</t>
        </is>
      </c>
      <c r="E542" t="inlineStr">
        <is>
          <t>SALA</t>
        </is>
      </c>
      <c r="G542" t="n">
        <v>2.6</v>
      </c>
      <c r="H542" t="n">
        <v>0</v>
      </c>
      <c r="I542" t="n">
        <v>0</v>
      </c>
      <c r="J542" t="n">
        <v>0</v>
      </c>
      <c r="K542" t="n">
        <v>0</v>
      </c>
      <c r="L542" t="n">
        <v>0</v>
      </c>
      <c r="M542" t="n">
        <v>0</v>
      </c>
      <c r="N542" t="n">
        <v>0</v>
      </c>
      <c r="O542" t="n">
        <v>0</v>
      </c>
      <c r="P542" t="n">
        <v>0</v>
      </c>
      <c r="Q542" t="n">
        <v>0</v>
      </c>
      <c r="R542" s="2" t="inlineStr"/>
    </row>
    <row r="543" ht="15" customHeight="1">
      <c r="A543" t="inlineStr">
        <is>
          <t>A 34110-2022</t>
        </is>
      </c>
      <c r="B543" s="1" t="n">
        <v>44791</v>
      </c>
      <c r="C543" s="1" t="n">
        <v>45292</v>
      </c>
      <c r="D543" t="inlineStr">
        <is>
          <t>VÄSTMANLANDS LÄN</t>
        </is>
      </c>
      <c r="E543" t="inlineStr">
        <is>
          <t>SALA</t>
        </is>
      </c>
      <c r="G543" t="n">
        <v>0.2</v>
      </c>
      <c r="H543" t="n">
        <v>0</v>
      </c>
      <c r="I543" t="n">
        <v>0</v>
      </c>
      <c r="J543" t="n">
        <v>0</v>
      </c>
      <c r="K543" t="n">
        <v>0</v>
      </c>
      <c r="L543" t="n">
        <v>0</v>
      </c>
      <c r="M543" t="n">
        <v>0</v>
      </c>
      <c r="N543" t="n">
        <v>0</v>
      </c>
      <c r="O543" t="n">
        <v>0</v>
      </c>
      <c r="P543" t="n">
        <v>0</v>
      </c>
      <c r="Q543" t="n">
        <v>0</v>
      </c>
      <c r="R543" s="2" t="inlineStr"/>
    </row>
    <row r="544" ht="15" customHeight="1">
      <c r="A544" t="inlineStr">
        <is>
          <t>A 34468-2022</t>
        </is>
      </c>
      <c r="B544" s="1" t="n">
        <v>44792</v>
      </c>
      <c r="C544" s="1" t="n">
        <v>45292</v>
      </c>
      <c r="D544" t="inlineStr">
        <is>
          <t>VÄSTMANLANDS LÄN</t>
        </is>
      </c>
      <c r="E544" t="inlineStr">
        <is>
          <t>SALA</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34737-2022</t>
        </is>
      </c>
      <c r="B545" s="1" t="n">
        <v>44795</v>
      </c>
      <c r="C545" s="1" t="n">
        <v>45292</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35410-2022</t>
        </is>
      </c>
      <c r="B546" s="1" t="n">
        <v>44798</v>
      </c>
      <c r="C546" s="1" t="n">
        <v>45292</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35637-2022</t>
        </is>
      </c>
      <c r="B547" s="1" t="n">
        <v>44799</v>
      </c>
      <c r="C547" s="1" t="n">
        <v>45292</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38081-2022</t>
        </is>
      </c>
      <c r="B548" s="1" t="n">
        <v>44811</v>
      </c>
      <c r="C548" s="1" t="n">
        <v>45292</v>
      </c>
      <c r="D548" t="inlineStr">
        <is>
          <t>VÄSTMANLANDS LÄN</t>
        </is>
      </c>
      <c r="E548" t="inlineStr">
        <is>
          <t>SALA</t>
        </is>
      </c>
      <c r="G548" t="n">
        <v>3.4</v>
      </c>
      <c r="H548" t="n">
        <v>0</v>
      </c>
      <c r="I548" t="n">
        <v>0</v>
      </c>
      <c r="J548" t="n">
        <v>0</v>
      </c>
      <c r="K548" t="n">
        <v>0</v>
      </c>
      <c r="L548" t="n">
        <v>0</v>
      </c>
      <c r="M548" t="n">
        <v>0</v>
      </c>
      <c r="N548" t="n">
        <v>0</v>
      </c>
      <c r="O548" t="n">
        <v>0</v>
      </c>
      <c r="P548" t="n">
        <v>0</v>
      </c>
      <c r="Q548" t="n">
        <v>0</v>
      </c>
      <c r="R548" s="2" t="inlineStr"/>
    </row>
    <row r="549" ht="15" customHeight="1">
      <c r="A549" t="inlineStr">
        <is>
          <t>A 38161-2022</t>
        </is>
      </c>
      <c r="B549" s="1" t="n">
        <v>44812</v>
      </c>
      <c r="C549" s="1" t="n">
        <v>45292</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39451-2022</t>
        </is>
      </c>
      <c r="B550" s="1" t="n">
        <v>44818</v>
      </c>
      <c r="C550" s="1" t="n">
        <v>45292</v>
      </c>
      <c r="D550" t="inlineStr">
        <is>
          <t>VÄSTMANLANDS LÄN</t>
        </is>
      </c>
      <c r="E550" t="inlineStr">
        <is>
          <t>SALA</t>
        </is>
      </c>
      <c r="G550" t="n">
        <v>9.4</v>
      </c>
      <c r="H550" t="n">
        <v>0</v>
      </c>
      <c r="I550" t="n">
        <v>0</v>
      </c>
      <c r="J550" t="n">
        <v>0</v>
      </c>
      <c r="K550" t="n">
        <v>0</v>
      </c>
      <c r="L550" t="n">
        <v>0</v>
      </c>
      <c r="M550" t="n">
        <v>0</v>
      </c>
      <c r="N550" t="n">
        <v>0</v>
      </c>
      <c r="O550" t="n">
        <v>0</v>
      </c>
      <c r="P550" t="n">
        <v>0</v>
      </c>
      <c r="Q550" t="n">
        <v>0</v>
      </c>
      <c r="R550" s="2" t="inlineStr"/>
    </row>
    <row r="551" ht="15" customHeight="1">
      <c r="A551" t="inlineStr">
        <is>
          <t>A 39600-2022</t>
        </is>
      </c>
      <c r="B551" s="1" t="n">
        <v>44818</v>
      </c>
      <c r="C551" s="1" t="n">
        <v>45292</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39597-2022</t>
        </is>
      </c>
      <c r="B552" s="1" t="n">
        <v>44818</v>
      </c>
      <c r="C552" s="1" t="n">
        <v>45292</v>
      </c>
      <c r="D552" t="inlineStr">
        <is>
          <t>VÄSTMANLANDS LÄN</t>
        </is>
      </c>
      <c r="E552" t="inlineStr">
        <is>
          <t>SALA</t>
        </is>
      </c>
      <c r="G552" t="n">
        <v>2.3</v>
      </c>
      <c r="H552" t="n">
        <v>0</v>
      </c>
      <c r="I552" t="n">
        <v>0</v>
      </c>
      <c r="J552" t="n">
        <v>0</v>
      </c>
      <c r="K552" t="n">
        <v>0</v>
      </c>
      <c r="L552" t="n">
        <v>0</v>
      </c>
      <c r="M552" t="n">
        <v>0</v>
      </c>
      <c r="N552" t="n">
        <v>0</v>
      </c>
      <c r="O552" t="n">
        <v>0</v>
      </c>
      <c r="P552" t="n">
        <v>0</v>
      </c>
      <c r="Q552" t="n">
        <v>0</v>
      </c>
      <c r="R552" s="2" t="inlineStr"/>
    </row>
    <row r="553" ht="15" customHeight="1">
      <c r="A553" t="inlineStr">
        <is>
          <t>A 40094-2022</t>
        </is>
      </c>
      <c r="B553" s="1" t="n">
        <v>44819</v>
      </c>
      <c r="C553" s="1" t="n">
        <v>45292</v>
      </c>
      <c r="D553" t="inlineStr">
        <is>
          <t>VÄSTMANLANDS LÄN</t>
        </is>
      </c>
      <c r="E553" t="inlineStr">
        <is>
          <t>SALA</t>
        </is>
      </c>
      <c r="G553" t="n">
        <v>1.7</v>
      </c>
      <c r="H553" t="n">
        <v>0</v>
      </c>
      <c r="I553" t="n">
        <v>0</v>
      </c>
      <c r="J553" t="n">
        <v>0</v>
      </c>
      <c r="K553" t="n">
        <v>0</v>
      </c>
      <c r="L553" t="n">
        <v>0</v>
      </c>
      <c r="M553" t="n">
        <v>0</v>
      </c>
      <c r="N553" t="n">
        <v>0</v>
      </c>
      <c r="O553" t="n">
        <v>0</v>
      </c>
      <c r="P553" t="n">
        <v>0</v>
      </c>
      <c r="Q553" t="n">
        <v>0</v>
      </c>
      <c r="R553" s="2" t="inlineStr"/>
    </row>
    <row r="554" ht="15" customHeight="1">
      <c r="A554" t="inlineStr">
        <is>
          <t>A 40042-2022</t>
        </is>
      </c>
      <c r="B554" s="1" t="n">
        <v>44819</v>
      </c>
      <c r="C554" s="1" t="n">
        <v>45292</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40113-2022</t>
        </is>
      </c>
      <c r="B555" s="1" t="n">
        <v>44819</v>
      </c>
      <c r="C555" s="1" t="n">
        <v>45292</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40405-2022</t>
        </is>
      </c>
      <c r="B556" s="1" t="n">
        <v>44823</v>
      </c>
      <c r="C556" s="1" t="n">
        <v>45292</v>
      </c>
      <c r="D556" t="inlineStr">
        <is>
          <t>VÄSTMANLANDS LÄN</t>
        </is>
      </c>
      <c r="E556" t="inlineStr">
        <is>
          <t>SALA</t>
        </is>
      </c>
      <c r="G556" t="n">
        <v>2.6</v>
      </c>
      <c r="H556" t="n">
        <v>0</v>
      </c>
      <c r="I556" t="n">
        <v>0</v>
      </c>
      <c r="J556" t="n">
        <v>0</v>
      </c>
      <c r="K556" t="n">
        <v>0</v>
      </c>
      <c r="L556" t="n">
        <v>0</v>
      </c>
      <c r="M556" t="n">
        <v>0</v>
      </c>
      <c r="N556" t="n">
        <v>0</v>
      </c>
      <c r="O556" t="n">
        <v>0</v>
      </c>
      <c r="P556" t="n">
        <v>0</v>
      </c>
      <c r="Q556" t="n">
        <v>0</v>
      </c>
      <c r="R556" s="2" t="inlineStr"/>
    </row>
    <row r="557" ht="15" customHeight="1">
      <c r="A557" t="inlineStr">
        <is>
          <t>A 40597-2022</t>
        </is>
      </c>
      <c r="B557" s="1" t="n">
        <v>44823</v>
      </c>
      <c r="C557" s="1" t="n">
        <v>45292</v>
      </c>
      <c r="D557" t="inlineStr">
        <is>
          <t>VÄSTMANLANDS LÄN</t>
        </is>
      </c>
      <c r="E557" t="inlineStr">
        <is>
          <t>SALA</t>
        </is>
      </c>
      <c r="G557" t="n">
        <v>3.5</v>
      </c>
      <c r="H557" t="n">
        <v>0</v>
      </c>
      <c r="I557" t="n">
        <v>0</v>
      </c>
      <c r="J557" t="n">
        <v>0</v>
      </c>
      <c r="K557" t="n">
        <v>0</v>
      </c>
      <c r="L557" t="n">
        <v>0</v>
      </c>
      <c r="M557" t="n">
        <v>0</v>
      </c>
      <c r="N557" t="n">
        <v>0</v>
      </c>
      <c r="O557" t="n">
        <v>0</v>
      </c>
      <c r="P557" t="n">
        <v>0</v>
      </c>
      <c r="Q557" t="n">
        <v>0</v>
      </c>
      <c r="R557" s="2" t="inlineStr"/>
    </row>
    <row r="558" ht="15" customHeight="1">
      <c r="A558" t="inlineStr">
        <is>
          <t>A 41567-2022</t>
        </is>
      </c>
      <c r="B558" s="1" t="n">
        <v>44827</v>
      </c>
      <c r="C558" s="1" t="n">
        <v>45292</v>
      </c>
      <c r="D558" t="inlineStr">
        <is>
          <t>VÄSTMANLANDS LÄN</t>
        </is>
      </c>
      <c r="E558" t="inlineStr">
        <is>
          <t>SALA</t>
        </is>
      </c>
      <c r="F558" t="inlineStr">
        <is>
          <t>Bergvik skog öst AB</t>
        </is>
      </c>
      <c r="G558" t="n">
        <v>3.9</v>
      </c>
      <c r="H558" t="n">
        <v>0</v>
      </c>
      <c r="I558" t="n">
        <v>0</v>
      </c>
      <c r="J558" t="n">
        <v>0</v>
      </c>
      <c r="K558" t="n">
        <v>0</v>
      </c>
      <c r="L558" t="n">
        <v>0</v>
      </c>
      <c r="M558" t="n">
        <v>0</v>
      </c>
      <c r="N558" t="n">
        <v>0</v>
      </c>
      <c r="O558" t="n">
        <v>0</v>
      </c>
      <c r="P558" t="n">
        <v>0</v>
      </c>
      <c r="Q558" t="n">
        <v>0</v>
      </c>
      <c r="R558" s="2" t="inlineStr"/>
    </row>
    <row r="559" ht="15" customHeight="1">
      <c r="A559" t="inlineStr">
        <is>
          <t>A 41876-2022</t>
        </is>
      </c>
      <c r="B559" s="1" t="n">
        <v>44830</v>
      </c>
      <c r="C559" s="1" t="n">
        <v>45292</v>
      </c>
      <c r="D559" t="inlineStr">
        <is>
          <t>VÄSTMANLANDS LÄN</t>
        </is>
      </c>
      <c r="E559" t="inlineStr">
        <is>
          <t>SALA</t>
        </is>
      </c>
      <c r="G559" t="n">
        <v>3.6</v>
      </c>
      <c r="H559" t="n">
        <v>0</v>
      </c>
      <c r="I559" t="n">
        <v>0</v>
      </c>
      <c r="J559" t="n">
        <v>0</v>
      </c>
      <c r="K559" t="n">
        <v>0</v>
      </c>
      <c r="L559" t="n">
        <v>0</v>
      </c>
      <c r="M559" t="n">
        <v>0</v>
      </c>
      <c r="N559" t="n">
        <v>0</v>
      </c>
      <c r="O559" t="n">
        <v>0</v>
      </c>
      <c r="P559" t="n">
        <v>0</v>
      </c>
      <c r="Q559" t="n">
        <v>0</v>
      </c>
      <c r="R559" s="2" t="inlineStr"/>
    </row>
    <row r="560" ht="15" customHeight="1">
      <c r="A560" t="inlineStr">
        <is>
          <t>A 42416-2022</t>
        </is>
      </c>
      <c r="B560" s="1" t="n">
        <v>44831</v>
      </c>
      <c r="C560" s="1" t="n">
        <v>45292</v>
      </c>
      <c r="D560" t="inlineStr">
        <is>
          <t>VÄSTMANLANDS LÄN</t>
        </is>
      </c>
      <c r="E560" t="inlineStr">
        <is>
          <t>SALA</t>
        </is>
      </c>
      <c r="G560" t="n">
        <v>2.2</v>
      </c>
      <c r="H560" t="n">
        <v>0</v>
      </c>
      <c r="I560" t="n">
        <v>0</v>
      </c>
      <c r="J560" t="n">
        <v>0</v>
      </c>
      <c r="K560" t="n">
        <v>0</v>
      </c>
      <c r="L560" t="n">
        <v>0</v>
      </c>
      <c r="M560" t="n">
        <v>0</v>
      </c>
      <c r="N560" t="n">
        <v>0</v>
      </c>
      <c r="O560" t="n">
        <v>0</v>
      </c>
      <c r="P560" t="n">
        <v>0</v>
      </c>
      <c r="Q560" t="n">
        <v>0</v>
      </c>
      <c r="R560" s="2" t="inlineStr"/>
    </row>
    <row r="561" ht="15" customHeight="1">
      <c r="A561" t="inlineStr">
        <is>
          <t>A 42447-2022</t>
        </is>
      </c>
      <c r="B561" s="1" t="n">
        <v>44831</v>
      </c>
      <c r="C561" s="1" t="n">
        <v>45292</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42414-2022</t>
        </is>
      </c>
      <c r="B562" s="1" t="n">
        <v>44831</v>
      </c>
      <c r="C562" s="1" t="n">
        <v>45292</v>
      </c>
      <c r="D562" t="inlineStr">
        <is>
          <t>VÄSTMANLANDS LÄN</t>
        </is>
      </c>
      <c r="E562" t="inlineStr">
        <is>
          <t>SALA</t>
        </is>
      </c>
      <c r="G562" t="n">
        <v>3.4</v>
      </c>
      <c r="H562" t="n">
        <v>0</v>
      </c>
      <c r="I562" t="n">
        <v>0</v>
      </c>
      <c r="J562" t="n">
        <v>0</v>
      </c>
      <c r="K562" t="n">
        <v>0</v>
      </c>
      <c r="L562" t="n">
        <v>0</v>
      </c>
      <c r="M562" t="n">
        <v>0</v>
      </c>
      <c r="N562" t="n">
        <v>0</v>
      </c>
      <c r="O562" t="n">
        <v>0</v>
      </c>
      <c r="P562" t="n">
        <v>0</v>
      </c>
      <c r="Q562" t="n">
        <v>0</v>
      </c>
      <c r="R562" s="2" t="inlineStr"/>
    </row>
    <row r="563" ht="15" customHeight="1">
      <c r="A563" t="inlineStr">
        <is>
          <t>A 43103-2022</t>
        </is>
      </c>
      <c r="B563" s="1" t="n">
        <v>44833</v>
      </c>
      <c r="C563" s="1" t="n">
        <v>45292</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43101-2022</t>
        </is>
      </c>
      <c r="B564" s="1" t="n">
        <v>44833</v>
      </c>
      <c r="C564" s="1" t="n">
        <v>45292</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43705-2022</t>
        </is>
      </c>
      <c r="B565" s="1" t="n">
        <v>44837</v>
      </c>
      <c r="C565" s="1" t="n">
        <v>45292</v>
      </c>
      <c r="D565" t="inlineStr">
        <is>
          <t>VÄSTMANLANDS LÄN</t>
        </is>
      </c>
      <c r="E565" t="inlineStr">
        <is>
          <t>SALA</t>
        </is>
      </c>
      <c r="G565" t="n">
        <v>2.9</v>
      </c>
      <c r="H565" t="n">
        <v>0</v>
      </c>
      <c r="I565" t="n">
        <v>0</v>
      </c>
      <c r="J565" t="n">
        <v>0</v>
      </c>
      <c r="K565" t="n">
        <v>0</v>
      </c>
      <c r="L565" t="n">
        <v>0</v>
      </c>
      <c r="M565" t="n">
        <v>0</v>
      </c>
      <c r="N565" t="n">
        <v>0</v>
      </c>
      <c r="O565" t="n">
        <v>0</v>
      </c>
      <c r="P565" t="n">
        <v>0</v>
      </c>
      <c r="Q565" t="n">
        <v>0</v>
      </c>
      <c r="R565" s="2" t="inlineStr"/>
    </row>
    <row r="566" ht="15" customHeight="1">
      <c r="A566" t="inlineStr">
        <is>
          <t>A 44217-2022</t>
        </is>
      </c>
      <c r="B566" s="1" t="n">
        <v>44839</v>
      </c>
      <c r="C566" s="1" t="n">
        <v>45292</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44318-2022</t>
        </is>
      </c>
      <c r="B567" s="1" t="n">
        <v>44839</v>
      </c>
      <c r="C567" s="1" t="n">
        <v>45292</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v>
      </c>
      <c r="C568" s="1" t="n">
        <v>45292</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44892-2022</t>
        </is>
      </c>
      <c r="B569" s="1" t="n">
        <v>44841</v>
      </c>
      <c r="C569" s="1" t="n">
        <v>45292</v>
      </c>
      <c r="D569" t="inlineStr">
        <is>
          <t>VÄSTMANLANDS LÄN</t>
        </is>
      </c>
      <c r="E569" t="inlineStr">
        <is>
          <t>SALA</t>
        </is>
      </c>
      <c r="G569" t="n">
        <v>1.7</v>
      </c>
      <c r="H569" t="n">
        <v>0</v>
      </c>
      <c r="I569" t="n">
        <v>0</v>
      </c>
      <c r="J569" t="n">
        <v>0</v>
      </c>
      <c r="K569" t="n">
        <v>0</v>
      </c>
      <c r="L569" t="n">
        <v>0</v>
      </c>
      <c r="M569" t="n">
        <v>0</v>
      </c>
      <c r="N569" t="n">
        <v>0</v>
      </c>
      <c r="O569" t="n">
        <v>0</v>
      </c>
      <c r="P569" t="n">
        <v>0</v>
      </c>
      <c r="Q569" t="n">
        <v>0</v>
      </c>
      <c r="R569" s="2" t="inlineStr"/>
    </row>
    <row r="570" ht="15" customHeight="1">
      <c r="A570" t="inlineStr">
        <is>
          <t>A 45015-2022</t>
        </is>
      </c>
      <c r="B570" s="1" t="n">
        <v>44841</v>
      </c>
      <c r="C570" s="1" t="n">
        <v>45292</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44935-2022</t>
        </is>
      </c>
      <c r="B571" s="1" t="n">
        <v>44841</v>
      </c>
      <c r="C571" s="1" t="n">
        <v>45292</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45309-2022</t>
        </is>
      </c>
      <c r="B572" s="1" t="n">
        <v>44844</v>
      </c>
      <c r="C572" s="1" t="n">
        <v>45292</v>
      </c>
      <c r="D572" t="inlineStr">
        <is>
          <t>VÄSTMANLANDS LÄN</t>
        </is>
      </c>
      <c r="E572" t="inlineStr">
        <is>
          <t>SALA</t>
        </is>
      </c>
      <c r="G572" t="n">
        <v>10.9</v>
      </c>
      <c r="H572" t="n">
        <v>0</v>
      </c>
      <c r="I572" t="n">
        <v>0</v>
      </c>
      <c r="J572" t="n">
        <v>0</v>
      </c>
      <c r="K572" t="n">
        <v>0</v>
      </c>
      <c r="L572" t="n">
        <v>0</v>
      </c>
      <c r="M572" t="n">
        <v>0</v>
      </c>
      <c r="N572" t="n">
        <v>0</v>
      </c>
      <c r="O572" t="n">
        <v>0</v>
      </c>
      <c r="P572" t="n">
        <v>0</v>
      </c>
      <c r="Q572" t="n">
        <v>0</v>
      </c>
      <c r="R572" s="2" t="inlineStr"/>
    </row>
    <row r="573" ht="15" customHeight="1">
      <c r="A573" t="inlineStr">
        <is>
          <t>A 45517-2022</t>
        </is>
      </c>
      <c r="B573" s="1" t="n">
        <v>44845</v>
      </c>
      <c r="C573" s="1" t="n">
        <v>45292</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45615-2022</t>
        </is>
      </c>
      <c r="B574" s="1" t="n">
        <v>44845</v>
      </c>
      <c r="C574" s="1" t="n">
        <v>45292</v>
      </c>
      <c r="D574" t="inlineStr">
        <is>
          <t>VÄSTMANLANDS LÄN</t>
        </is>
      </c>
      <c r="E574" t="inlineStr">
        <is>
          <t>SALA</t>
        </is>
      </c>
      <c r="F574" t="inlineStr">
        <is>
          <t>Bergvik skog öst AB</t>
        </is>
      </c>
      <c r="G574" t="n">
        <v>10</v>
      </c>
      <c r="H574" t="n">
        <v>0</v>
      </c>
      <c r="I574" t="n">
        <v>0</v>
      </c>
      <c r="J574" t="n">
        <v>0</v>
      </c>
      <c r="K574" t="n">
        <v>0</v>
      </c>
      <c r="L574" t="n">
        <v>0</v>
      </c>
      <c r="M574" t="n">
        <v>0</v>
      </c>
      <c r="N574" t="n">
        <v>0</v>
      </c>
      <c r="O574" t="n">
        <v>0</v>
      </c>
      <c r="P574" t="n">
        <v>0</v>
      </c>
      <c r="Q574" t="n">
        <v>0</v>
      </c>
      <c r="R574" s="2" t="inlineStr"/>
    </row>
    <row r="575" ht="15" customHeight="1">
      <c r="A575" t="inlineStr">
        <is>
          <t>A 46264-2022</t>
        </is>
      </c>
      <c r="B575" s="1" t="n">
        <v>44847</v>
      </c>
      <c r="C575" s="1" t="n">
        <v>45292</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46460-2022</t>
        </is>
      </c>
      <c r="B576" s="1" t="n">
        <v>44848</v>
      </c>
      <c r="C576" s="1" t="n">
        <v>45292</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47086-2022</t>
        </is>
      </c>
      <c r="B577" s="1" t="n">
        <v>44852</v>
      </c>
      <c r="C577" s="1" t="n">
        <v>45292</v>
      </c>
      <c r="D577" t="inlineStr">
        <is>
          <t>VÄSTMANLANDS LÄN</t>
        </is>
      </c>
      <c r="E577" t="inlineStr">
        <is>
          <t>SALA</t>
        </is>
      </c>
      <c r="G577" t="n">
        <v>12.5</v>
      </c>
      <c r="H577" t="n">
        <v>0</v>
      </c>
      <c r="I577" t="n">
        <v>0</v>
      </c>
      <c r="J577" t="n">
        <v>0</v>
      </c>
      <c r="K577" t="n">
        <v>0</v>
      </c>
      <c r="L577" t="n">
        <v>0</v>
      </c>
      <c r="M577" t="n">
        <v>0</v>
      </c>
      <c r="N577" t="n">
        <v>0</v>
      </c>
      <c r="O577" t="n">
        <v>0</v>
      </c>
      <c r="P577" t="n">
        <v>0</v>
      </c>
      <c r="Q577" t="n">
        <v>0</v>
      </c>
      <c r="R577" s="2" t="inlineStr"/>
    </row>
    <row r="578" ht="15" customHeight="1">
      <c r="A578" t="inlineStr">
        <is>
          <t>A 47713-2022</t>
        </is>
      </c>
      <c r="B578" s="1" t="n">
        <v>44854</v>
      </c>
      <c r="C578" s="1" t="n">
        <v>45292</v>
      </c>
      <c r="D578" t="inlineStr">
        <is>
          <t>VÄSTMANLANDS LÄN</t>
        </is>
      </c>
      <c r="E578" t="inlineStr">
        <is>
          <t>SALA</t>
        </is>
      </c>
      <c r="G578" t="n">
        <v>3.4</v>
      </c>
      <c r="H578" t="n">
        <v>0</v>
      </c>
      <c r="I578" t="n">
        <v>0</v>
      </c>
      <c r="J578" t="n">
        <v>0</v>
      </c>
      <c r="K578" t="n">
        <v>0</v>
      </c>
      <c r="L578" t="n">
        <v>0</v>
      </c>
      <c r="M578" t="n">
        <v>0</v>
      </c>
      <c r="N578" t="n">
        <v>0</v>
      </c>
      <c r="O578" t="n">
        <v>0</v>
      </c>
      <c r="P578" t="n">
        <v>0</v>
      </c>
      <c r="Q578" t="n">
        <v>0</v>
      </c>
      <c r="R578" s="2" t="inlineStr"/>
    </row>
    <row r="579" ht="15" customHeight="1">
      <c r="A579" t="inlineStr">
        <is>
          <t>A 47715-2022</t>
        </is>
      </c>
      <c r="B579" s="1" t="n">
        <v>44854</v>
      </c>
      <c r="C579" s="1" t="n">
        <v>45292</v>
      </c>
      <c r="D579" t="inlineStr">
        <is>
          <t>VÄSTMANLANDS LÄN</t>
        </is>
      </c>
      <c r="E579" t="inlineStr">
        <is>
          <t>SALA</t>
        </is>
      </c>
      <c r="G579" t="n">
        <v>2</v>
      </c>
      <c r="H579" t="n">
        <v>0</v>
      </c>
      <c r="I579" t="n">
        <v>0</v>
      </c>
      <c r="J579" t="n">
        <v>0</v>
      </c>
      <c r="K579" t="n">
        <v>0</v>
      </c>
      <c r="L579" t="n">
        <v>0</v>
      </c>
      <c r="M579" t="n">
        <v>0</v>
      </c>
      <c r="N579" t="n">
        <v>0</v>
      </c>
      <c r="O579" t="n">
        <v>0</v>
      </c>
      <c r="P579" t="n">
        <v>0</v>
      </c>
      <c r="Q579" t="n">
        <v>0</v>
      </c>
      <c r="R579" s="2" t="inlineStr"/>
    </row>
    <row r="580" ht="15" customHeight="1">
      <c r="A580" t="inlineStr">
        <is>
          <t>A 47909-2022</t>
        </is>
      </c>
      <c r="B580" s="1" t="n">
        <v>44855</v>
      </c>
      <c r="C580" s="1" t="n">
        <v>45292</v>
      </c>
      <c r="D580" t="inlineStr">
        <is>
          <t>VÄSTMANLANDS LÄN</t>
        </is>
      </c>
      <c r="E580" t="inlineStr">
        <is>
          <t>SALA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48219-2022</t>
        </is>
      </c>
      <c r="B581" s="1" t="n">
        <v>44858</v>
      </c>
      <c r="C581" s="1" t="n">
        <v>45292</v>
      </c>
      <c r="D581" t="inlineStr">
        <is>
          <t>VÄSTMANLANDS LÄN</t>
        </is>
      </c>
      <c r="E581" t="inlineStr">
        <is>
          <t>SALA</t>
        </is>
      </c>
      <c r="G581" t="n">
        <v>3.6</v>
      </c>
      <c r="H581" t="n">
        <v>0</v>
      </c>
      <c r="I581" t="n">
        <v>0</v>
      </c>
      <c r="J581" t="n">
        <v>0</v>
      </c>
      <c r="K581" t="n">
        <v>0</v>
      </c>
      <c r="L581" t="n">
        <v>0</v>
      </c>
      <c r="M581" t="n">
        <v>0</v>
      </c>
      <c r="N581" t="n">
        <v>0</v>
      </c>
      <c r="O581" t="n">
        <v>0</v>
      </c>
      <c r="P581" t="n">
        <v>0</v>
      </c>
      <c r="Q581" t="n">
        <v>0</v>
      </c>
      <c r="R581" s="2" t="inlineStr"/>
    </row>
    <row r="582" ht="15" customHeight="1">
      <c r="A582" t="inlineStr">
        <is>
          <t>A 49086-2022</t>
        </is>
      </c>
      <c r="B582" s="1" t="n">
        <v>44860</v>
      </c>
      <c r="C582" s="1" t="n">
        <v>45292</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49254-2022</t>
        </is>
      </c>
      <c r="B583" s="1" t="n">
        <v>44861</v>
      </c>
      <c r="C583" s="1" t="n">
        <v>45292</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50461-2022</t>
        </is>
      </c>
      <c r="B584" s="1" t="n">
        <v>44861</v>
      </c>
      <c r="C584" s="1" t="n">
        <v>45292</v>
      </c>
      <c r="D584" t="inlineStr">
        <is>
          <t>VÄSTMANLANDS LÄN</t>
        </is>
      </c>
      <c r="E584" t="inlineStr">
        <is>
          <t>SALA</t>
        </is>
      </c>
      <c r="G584" t="n">
        <v>2.2</v>
      </c>
      <c r="H584" t="n">
        <v>0</v>
      </c>
      <c r="I584" t="n">
        <v>0</v>
      </c>
      <c r="J584" t="n">
        <v>0</v>
      </c>
      <c r="K584" t="n">
        <v>0</v>
      </c>
      <c r="L584" t="n">
        <v>0</v>
      </c>
      <c r="M584" t="n">
        <v>0</v>
      </c>
      <c r="N584" t="n">
        <v>0</v>
      </c>
      <c r="O584" t="n">
        <v>0</v>
      </c>
      <c r="P584" t="n">
        <v>0</v>
      </c>
      <c r="Q584" t="n">
        <v>0</v>
      </c>
      <c r="R584" s="2" t="inlineStr"/>
    </row>
    <row r="585" ht="15" customHeight="1">
      <c r="A585" t="inlineStr">
        <is>
          <t>A 50479-2022</t>
        </is>
      </c>
      <c r="B585" s="1" t="n">
        <v>44861</v>
      </c>
      <c r="C585" s="1" t="n">
        <v>45292</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51279-2022</t>
        </is>
      </c>
      <c r="B586" s="1" t="n">
        <v>44866</v>
      </c>
      <c r="C586" s="1" t="n">
        <v>45292</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51377-2022</t>
        </is>
      </c>
      <c r="B587" s="1" t="n">
        <v>44866</v>
      </c>
      <c r="C587" s="1" t="n">
        <v>45292</v>
      </c>
      <c r="D587" t="inlineStr">
        <is>
          <t>VÄSTMANLANDS LÄN</t>
        </is>
      </c>
      <c r="E587" t="inlineStr">
        <is>
          <t>SALA</t>
        </is>
      </c>
      <c r="G587" t="n">
        <v>6.3</v>
      </c>
      <c r="H587" t="n">
        <v>0</v>
      </c>
      <c r="I587" t="n">
        <v>0</v>
      </c>
      <c r="J587" t="n">
        <v>0</v>
      </c>
      <c r="K587" t="n">
        <v>0</v>
      </c>
      <c r="L587" t="n">
        <v>0</v>
      </c>
      <c r="M587" t="n">
        <v>0</v>
      </c>
      <c r="N587" t="n">
        <v>0</v>
      </c>
      <c r="O587" t="n">
        <v>0</v>
      </c>
      <c r="P587" t="n">
        <v>0</v>
      </c>
      <c r="Q587" t="n">
        <v>0</v>
      </c>
      <c r="R587" s="2" t="inlineStr"/>
    </row>
    <row r="588" ht="15" customHeight="1">
      <c r="A588" t="inlineStr">
        <is>
          <t>A 50795-2022</t>
        </is>
      </c>
      <c r="B588" s="1" t="n">
        <v>44867</v>
      </c>
      <c r="C588" s="1" t="n">
        <v>45292</v>
      </c>
      <c r="D588" t="inlineStr">
        <is>
          <t>VÄSTMANLANDS LÄN</t>
        </is>
      </c>
      <c r="E588" t="inlineStr">
        <is>
          <t>SALA</t>
        </is>
      </c>
      <c r="G588" t="n">
        <v>2.6</v>
      </c>
      <c r="H588" t="n">
        <v>0</v>
      </c>
      <c r="I588" t="n">
        <v>0</v>
      </c>
      <c r="J588" t="n">
        <v>0</v>
      </c>
      <c r="K588" t="n">
        <v>0</v>
      </c>
      <c r="L588" t="n">
        <v>0</v>
      </c>
      <c r="M588" t="n">
        <v>0</v>
      </c>
      <c r="N588" t="n">
        <v>0</v>
      </c>
      <c r="O588" t="n">
        <v>0</v>
      </c>
      <c r="P588" t="n">
        <v>0</v>
      </c>
      <c r="Q588" t="n">
        <v>0</v>
      </c>
      <c r="R588" s="2" t="inlineStr"/>
    </row>
    <row r="589" ht="15" customHeight="1">
      <c r="A589" t="inlineStr">
        <is>
          <t>A 51600-2022</t>
        </is>
      </c>
      <c r="B589" s="1" t="n">
        <v>44871</v>
      </c>
      <c r="C589" s="1" t="n">
        <v>45292</v>
      </c>
      <c r="D589" t="inlineStr">
        <is>
          <t>VÄSTMANLANDS LÄN</t>
        </is>
      </c>
      <c r="E589" t="inlineStr">
        <is>
          <t>SALA</t>
        </is>
      </c>
      <c r="F589" t="inlineStr">
        <is>
          <t>Bergvik skog öst AB</t>
        </is>
      </c>
      <c r="G589" t="n">
        <v>2.7</v>
      </c>
      <c r="H589" t="n">
        <v>0</v>
      </c>
      <c r="I589" t="n">
        <v>0</v>
      </c>
      <c r="J589" t="n">
        <v>0</v>
      </c>
      <c r="K589" t="n">
        <v>0</v>
      </c>
      <c r="L589" t="n">
        <v>0</v>
      </c>
      <c r="M589" t="n">
        <v>0</v>
      </c>
      <c r="N589" t="n">
        <v>0</v>
      </c>
      <c r="O589" t="n">
        <v>0</v>
      </c>
      <c r="P589" t="n">
        <v>0</v>
      </c>
      <c r="Q589" t="n">
        <v>0</v>
      </c>
      <c r="R589" s="2" t="inlineStr"/>
    </row>
    <row r="590" ht="15" customHeight="1">
      <c r="A590" t="inlineStr">
        <is>
          <t>A 51596-2022</t>
        </is>
      </c>
      <c r="B590" s="1" t="n">
        <v>44871</v>
      </c>
      <c r="C590" s="1" t="n">
        <v>45292</v>
      </c>
      <c r="D590" t="inlineStr">
        <is>
          <t>VÄSTMANLANDS LÄN</t>
        </is>
      </c>
      <c r="E590" t="inlineStr">
        <is>
          <t>SALA</t>
        </is>
      </c>
      <c r="F590" t="inlineStr">
        <is>
          <t>Bergvik skog öst AB</t>
        </is>
      </c>
      <c r="G590" t="n">
        <v>1.2</v>
      </c>
      <c r="H590" t="n">
        <v>0</v>
      </c>
      <c r="I590" t="n">
        <v>0</v>
      </c>
      <c r="J590" t="n">
        <v>0</v>
      </c>
      <c r="K590" t="n">
        <v>0</v>
      </c>
      <c r="L590" t="n">
        <v>0</v>
      </c>
      <c r="M590" t="n">
        <v>0</v>
      </c>
      <c r="N590" t="n">
        <v>0</v>
      </c>
      <c r="O590" t="n">
        <v>0</v>
      </c>
      <c r="P590" t="n">
        <v>0</v>
      </c>
      <c r="Q590" t="n">
        <v>0</v>
      </c>
      <c r="R590" s="2" t="inlineStr"/>
    </row>
    <row r="591" ht="15" customHeight="1">
      <c r="A591" t="inlineStr">
        <is>
          <t>A 52504-2022</t>
        </is>
      </c>
      <c r="B591" s="1" t="n">
        <v>44874</v>
      </c>
      <c r="C591" s="1" t="n">
        <v>45292</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52498-2022</t>
        </is>
      </c>
      <c r="B592" s="1" t="n">
        <v>44874</v>
      </c>
      <c r="C592" s="1" t="n">
        <v>45292</v>
      </c>
      <c r="D592" t="inlineStr">
        <is>
          <t>VÄSTMANLANDS LÄN</t>
        </is>
      </c>
      <c r="E592" t="inlineStr">
        <is>
          <t>SALA</t>
        </is>
      </c>
      <c r="G592" t="n">
        <v>2.1</v>
      </c>
      <c r="H592" t="n">
        <v>0</v>
      </c>
      <c r="I592" t="n">
        <v>0</v>
      </c>
      <c r="J592" t="n">
        <v>0</v>
      </c>
      <c r="K592" t="n">
        <v>0</v>
      </c>
      <c r="L592" t="n">
        <v>0</v>
      </c>
      <c r="M592" t="n">
        <v>0</v>
      </c>
      <c r="N592" t="n">
        <v>0</v>
      </c>
      <c r="O592" t="n">
        <v>0</v>
      </c>
      <c r="P592" t="n">
        <v>0</v>
      </c>
      <c r="Q592" t="n">
        <v>0</v>
      </c>
      <c r="R592" s="2" t="inlineStr"/>
    </row>
    <row r="593" ht="15" customHeight="1">
      <c r="A593" t="inlineStr">
        <is>
          <t>A 52630-2022</t>
        </is>
      </c>
      <c r="B593" s="1" t="n">
        <v>44874</v>
      </c>
      <c r="C593" s="1" t="n">
        <v>45292</v>
      </c>
      <c r="D593" t="inlineStr">
        <is>
          <t>VÄSTMANLANDS LÄN</t>
        </is>
      </c>
      <c r="E593" t="inlineStr">
        <is>
          <t>SALA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53425-2022</t>
        </is>
      </c>
      <c r="B594" s="1" t="n">
        <v>44879</v>
      </c>
      <c r="C594" s="1" t="n">
        <v>45292</v>
      </c>
      <c r="D594" t="inlineStr">
        <is>
          <t>VÄSTMANLANDS LÄN</t>
        </is>
      </c>
      <c r="E594" t="inlineStr">
        <is>
          <t>SALA</t>
        </is>
      </c>
      <c r="G594" t="n">
        <v>1.2</v>
      </c>
      <c r="H594" t="n">
        <v>0</v>
      </c>
      <c r="I594" t="n">
        <v>0</v>
      </c>
      <c r="J594" t="n">
        <v>0</v>
      </c>
      <c r="K594" t="n">
        <v>0</v>
      </c>
      <c r="L594" t="n">
        <v>0</v>
      </c>
      <c r="M594" t="n">
        <v>0</v>
      </c>
      <c r="N594" t="n">
        <v>0</v>
      </c>
      <c r="O594" t="n">
        <v>0</v>
      </c>
      <c r="P594" t="n">
        <v>0</v>
      </c>
      <c r="Q594" t="n">
        <v>0</v>
      </c>
      <c r="R594" s="2" t="inlineStr"/>
    </row>
    <row r="595" ht="15" customHeight="1">
      <c r="A595" t="inlineStr">
        <is>
          <t>A 53432-2022</t>
        </is>
      </c>
      <c r="B595" s="1" t="n">
        <v>44879</v>
      </c>
      <c r="C595" s="1" t="n">
        <v>45292</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53628-2022</t>
        </is>
      </c>
      <c r="B596" s="1" t="n">
        <v>44879</v>
      </c>
      <c r="C596" s="1" t="n">
        <v>45292</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53630-2022</t>
        </is>
      </c>
      <c r="B597" s="1" t="n">
        <v>44879</v>
      </c>
      <c r="C597" s="1" t="n">
        <v>45292</v>
      </c>
      <c r="D597" t="inlineStr">
        <is>
          <t>VÄSTMANLANDS LÄN</t>
        </is>
      </c>
      <c r="E597" t="inlineStr">
        <is>
          <t>SALA</t>
        </is>
      </c>
      <c r="G597" t="n">
        <v>0.7</v>
      </c>
      <c r="H597" t="n">
        <v>0</v>
      </c>
      <c r="I597" t="n">
        <v>0</v>
      </c>
      <c r="J597" t="n">
        <v>0</v>
      </c>
      <c r="K597" t="n">
        <v>0</v>
      </c>
      <c r="L597" t="n">
        <v>0</v>
      </c>
      <c r="M597" t="n">
        <v>0</v>
      </c>
      <c r="N597" t="n">
        <v>0</v>
      </c>
      <c r="O597" t="n">
        <v>0</v>
      </c>
      <c r="P597" t="n">
        <v>0</v>
      </c>
      <c r="Q597" t="n">
        <v>0</v>
      </c>
      <c r="R597" s="2" t="inlineStr"/>
    </row>
    <row r="598" ht="15" customHeight="1">
      <c r="A598" t="inlineStr">
        <is>
          <t>A 53864-2022</t>
        </is>
      </c>
      <c r="B598" s="1" t="n">
        <v>44880</v>
      </c>
      <c r="C598" s="1" t="n">
        <v>45292</v>
      </c>
      <c r="D598" t="inlineStr">
        <is>
          <t>VÄSTMANLANDS LÄN</t>
        </is>
      </c>
      <c r="E598" t="inlineStr">
        <is>
          <t>SALA</t>
        </is>
      </c>
      <c r="G598" t="n">
        <v>5.9</v>
      </c>
      <c r="H598" t="n">
        <v>0</v>
      </c>
      <c r="I598" t="n">
        <v>0</v>
      </c>
      <c r="J598" t="n">
        <v>0</v>
      </c>
      <c r="K598" t="n">
        <v>0</v>
      </c>
      <c r="L598" t="n">
        <v>0</v>
      </c>
      <c r="M598" t="n">
        <v>0</v>
      </c>
      <c r="N598" t="n">
        <v>0</v>
      </c>
      <c r="O598" t="n">
        <v>0</v>
      </c>
      <c r="P598" t="n">
        <v>0</v>
      </c>
      <c r="Q598" t="n">
        <v>0</v>
      </c>
      <c r="R598" s="2" t="inlineStr"/>
    </row>
    <row r="599" ht="15" customHeight="1">
      <c r="A599" t="inlineStr">
        <is>
          <t>A 53735-2022</t>
        </is>
      </c>
      <c r="B599" s="1" t="n">
        <v>44880</v>
      </c>
      <c r="C599" s="1" t="n">
        <v>45292</v>
      </c>
      <c r="D599" t="inlineStr">
        <is>
          <t>VÄSTMANLANDS LÄN</t>
        </is>
      </c>
      <c r="E599" t="inlineStr">
        <is>
          <t>SALA</t>
        </is>
      </c>
      <c r="F599" t="inlineStr">
        <is>
          <t>Bergvik skog öst AB</t>
        </is>
      </c>
      <c r="G599" t="n">
        <v>1.8</v>
      </c>
      <c r="H599" t="n">
        <v>0</v>
      </c>
      <c r="I599" t="n">
        <v>0</v>
      </c>
      <c r="J599" t="n">
        <v>0</v>
      </c>
      <c r="K599" t="n">
        <v>0</v>
      </c>
      <c r="L599" t="n">
        <v>0</v>
      </c>
      <c r="M599" t="n">
        <v>0</v>
      </c>
      <c r="N599" t="n">
        <v>0</v>
      </c>
      <c r="O599" t="n">
        <v>0</v>
      </c>
      <c r="P599" t="n">
        <v>0</v>
      </c>
      <c r="Q599" t="n">
        <v>0</v>
      </c>
      <c r="R599" s="2" t="inlineStr"/>
    </row>
    <row r="600" ht="15" customHeight="1">
      <c r="A600" t="inlineStr">
        <is>
          <t>A 53838-2022</t>
        </is>
      </c>
      <c r="B600" s="1" t="n">
        <v>44880</v>
      </c>
      <c r="C600" s="1" t="n">
        <v>45292</v>
      </c>
      <c r="D600" t="inlineStr">
        <is>
          <t>VÄSTMANLANDS LÄN</t>
        </is>
      </c>
      <c r="E600" t="inlineStr">
        <is>
          <t>SALA</t>
        </is>
      </c>
      <c r="G600" t="n">
        <v>3.9</v>
      </c>
      <c r="H600" t="n">
        <v>0</v>
      </c>
      <c r="I600" t="n">
        <v>0</v>
      </c>
      <c r="J600" t="n">
        <v>0</v>
      </c>
      <c r="K600" t="n">
        <v>0</v>
      </c>
      <c r="L600" t="n">
        <v>0</v>
      </c>
      <c r="M600" t="n">
        <v>0</v>
      </c>
      <c r="N600" t="n">
        <v>0</v>
      </c>
      <c r="O600" t="n">
        <v>0</v>
      </c>
      <c r="P600" t="n">
        <v>0</v>
      </c>
      <c r="Q600" t="n">
        <v>0</v>
      </c>
      <c r="R600" s="2" t="inlineStr"/>
    </row>
    <row r="601" ht="15" customHeight="1">
      <c r="A601" t="inlineStr">
        <is>
          <t>A 53997-2022</t>
        </is>
      </c>
      <c r="B601" s="1" t="n">
        <v>44881</v>
      </c>
      <c r="C601" s="1" t="n">
        <v>45292</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55733-2022</t>
        </is>
      </c>
      <c r="B602" s="1" t="n">
        <v>44888</v>
      </c>
      <c r="C602" s="1" t="n">
        <v>45292</v>
      </c>
      <c r="D602" t="inlineStr">
        <is>
          <t>VÄSTMANLANDS LÄN</t>
        </is>
      </c>
      <c r="E602" t="inlineStr">
        <is>
          <t>SALA</t>
        </is>
      </c>
      <c r="G602" t="n">
        <v>0.4</v>
      </c>
      <c r="H602" t="n">
        <v>0</v>
      </c>
      <c r="I602" t="n">
        <v>0</v>
      </c>
      <c r="J602" t="n">
        <v>0</v>
      </c>
      <c r="K602" t="n">
        <v>0</v>
      </c>
      <c r="L602" t="n">
        <v>0</v>
      </c>
      <c r="M602" t="n">
        <v>0</v>
      </c>
      <c r="N602" t="n">
        <v>0</v>
      </c>
      <c r="O602" t="n">
        <v>0</v>
      </c>
      <c r="P602" t="n">
        <v>0</v>
      </c>
      <c r="Q602" t="n">
        <v>0</v>
      </c>
      <c r="R602" s="2" t="inlineStr"/>
    </row>
    <row r="603" ht="15" customHeight="1">
      <c r="A603" t="inlineStr">
        <is>
          <t>A 56089-2022</t>
        </is>
      </c>
      <c r="B603" s="1" t="n">
        <v>44889</v>
      </c>
      <c r="C603" s="1" t="n">
        <v>45292</v>
      </c>
      <c r="D603" t="inlineStr">
        <is>
          <t>VÄSTMANLANDS LÄN</t>
        </is>
      </c>
      <c r="E603" t="inlineStr">
        <is>
          <t>SALA</t>
        </is>
      </c>
      <c r="F603" t="inlineStr">
        <is>
          <t>Sveaskog</t>
        </is>
      </c>
      <c r="G603" t="n">
        <v>4.3</v>
      </c>
      <c r="H603" t="n">
        <v>0</v>
      </c>
      <c r="I603" t="n">
        <v>0</v>
      </c>
      <c r="J603" t="n">
        <v>0</v>
      </c>
      <c r="K603" t="n">
        <v>0</v>
      </c>
      <c r="L603" t="n">
        <v>0</v>
      </c>
      <c r="M603" t="n">
        <v>0</v>
      </c>
      <c r="N603" t="n">
        <v>0</v>
      </c>
      <c r="O603" t="n">
        <v>0</v>
      </c>
      <c r="P603" t="n">
        <v>0</v>
      </c>
      <c r="Q603" t="n">
        <v>0</v>
      </c>
      <c r="R603" s="2" t="inlineStr"/>
    </row>
    <row r="604" ht="15" customHeight="1">
      <c r="A604" t="inlineStr">
        <is>
          <t>A 56088-2022</t>
        </is>
      </c>
      <c r="B604" s="1" t="n">
        <v>44889</v>
      </c>
      <c r="C604" s="1" t="n">
        <v>45292</v>
      </c>
      <c r="D604" t="inlineStr">
        <is>
          <t>VÄSTMANLANDS LÄN</t>
        </is>
      </c>
      <c r="E604" t="inlineStr">
        <is>
          <t>SALA</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56234-2022</t>
        </is>
      </c>
      <c r="B605" s="1" t="n">
        <v>44890</v>
      </c>
      <c r="C605" s="1" t="n">
        <v>45292</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56242-2022</t>
        </is>
      </c>
      <c r="B606" s="1" t="n">
        <v>44890</v>
      </c>
      <c r="C606" s="1" t="n">
        <v>45292</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56535-2022</t>
        </is>
      </c>
      <c r="B607" s="1" t="n">
        <v>44893</v>
      </c>
      <c r="C607" s="1" t="n">
        <v>45292</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56704-2022</t>
        </is>
      </c>
      <c r="B608" s="1" t="n">
        <v>44893</v>
      </c>
      <c r="C608" s="1" t="n">
        <v>45292</v>
      </c>
      <c r="D608" t="inlineStr">
        <is>
          <t>VÄSTMANLANDS LÄN</t>
        </is>
      </c>
      <c r="E608" t="inlineStr">
        <is>
          <t>SALA</t>
        </is>
      </c>
      <c r="G608" t="n">
        <v>3.2</v>
      </c>
      <c r="H608" t="n">
        <v>0</v>
      </c>
      <c r="I608" t="n">
        <v>0</v>
      </c>
      <c r="J608" t="n">
        <v>0</v>
      </c>
      <c r="K608" t="n">
        <v>0</v>
      </c>
      <c r="L608" t="n">
        <v>0</v>
      </c>
      <c r="M608" t="n">
        <v>0</v>
      </c>
      <c r="N608" t="n">
        <v>0</v>
      </c>
      <c r="O608" t="n">
        <v>0</v>
      </c>
      <c r="P608" t="n">
        <v>0</v>
      </c>
      <c r="Q608" t="n">
        <v>0</v>
      </c>
      <c r="R608" s="2" t="inlineStr"/>
    </row>
    <row r="609" ht="15" customHeight="1">
      <c r="A609" t="inlineStr">
        <is>
          <t>A 56706-2022</t>
        </is>
      </c>
      <c r="B609" s="1" t="n">
        <v>44893</v>
      </c>
      <c r="C609" s="1" t="n">
        <v>45292</v>
      </c>
      <c r="D609" t="inlineStr">
        <is>
          <t>VÄSTMANLANDS LÄN</t>
        </is>
      </c>
      <c r="E609" t="inlineStr">
        <is>
          <t>SALA</t>
        </is>
      </c>
      <c r="G609" t="n">
        <v>4.5</v>
      </c>
      <c r="H609" t="n">
        <v>0</v>
      </c>
      <c r="I609" t="n">
        <v>0</v>
      </c>
      <c r="J609" t="n">
        <v>0</v>
      </c>
      <c r="K609" t="n">
        <v>0</v>
      </c>
      <c r="L609" t="n">
        <v>0</v>
      </c>
      <c r="M609" t="n">
        <v>0</v>
      </c>
      <c r="N609" t="n">
        <v>0</v>
      </c>
      <c r="O609" t="n">
        <v>0</v>
      </c>
      <c r="P609" t="n">
        <v>0</v>
      </c>
      <c r="Q609" t="n">
        <v>0</v>
      </c>
      <c r="R609" s="2" t="inlineStr"/>
    </row>
    <row r="610" ht="15" customHeight="1">
      <c r="A610" t="inlineStr">
        <is>
          <t>A 56547-2022</t>
        </is>
      </c>
      <c r="B610" s="1" t="n">
        <v>44893</v>
      </c>
      <c r="C610" s="1" t="n">
        <v>45292</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56707-2022</t>
        </is>
      </c>
      <c r="B611" s="1" t="n">
        <v>44893</v>
      </c>
      <c r="C611" s="1" t="n">
        <v>45292</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56977-2022</t>
        </is>
      </c>
      <c r="B612" s="1" t="n">
        <v>44894</v>
      </c>
      <c r="C612" s="1" t="n">
        <v>45292</v>
      </c>
      <c r="D612" t="inlineStr">
        <is>
          <t>VÄSTMANLANDS LÄN</t>
        </is>
      </c>
      <c r="E612" t="inlineStr">
        <is>
          <t>SALA</t>
        </is>
      </c>
      <c r="G612" t="n">
        <v>13</v>
      </c>
      <c r="H612" t="n">
        <v>0</v>
      </c>
      <c r="I612" t="n">
        <v>0</v>
      </c>
      <c r="J612" t="n">
        <v>0</v>
      </c>
      <c r="K612" t="n">
        <v>0</v>
      </c>
      <c r="L612" t="n">
        <v>0</v>
      </c>
      <c r="M612" t="n">
        <v>0</v>
      </c>
      <c r="N612" t="n">
        <v>0</v>
      </c>
      <c r="O612" t="n">
        <v>0</v>
      </c>
      <c r="P612" t="n">
        <v>0</v>
      </c>
      <c r="Q612" t="n">
        <v>0</v>
      </c>
      <c r="R612" s="2" t="inlineStr"/>
    </row>
    <row r="613" ht="15" customHeight="1">
      <c r="A613" t="inlineStr">
        <is>
          <t>A 57371-2022</t>
        </is>
      </c>
      <c r="B613" s="1" t="n">
        <v>44896</v>
      </c>
      <c r="C613" s="1" t="n">
        <v>45292</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58076-2022</t>
        </is>
      </c>
      <c r="B614" s="1" t="n">
        <v>44900</v>
      </c>
      <c r="C614" s="1" t="n">
        <v>45292</v>
      </c>
      <c r="D614" t="inlineStr">
        <is>
          <t>VÄSTMANLANDS LÄN</t>
        </is>
      </c>
      <c r="E614" t="inlineStr">
        <is>
          <t>SALA</t>
        </is>
      </c>
      <c r="G614" t="n">
        <v>6.4</v>
      </c>
      <c r="H614" t="n">
        <v>0</v>
      </c>
      <c r="I614" t="n">
        <v>0</v>
      </c>
      <c r="J614" t="n">
        <v>0</v>
      </c>
      <c r="K614" t="n">
        <v>0</v>
      </c>
      <c r="L614" t="n">
        <v>0</v>
      </c>
      <c r="M614" t="n">
        <v>0</v>
      </c>
      <c r="N614" t="n">
        <v>0</v>
      </c>
      <c r="O614" t="n">
        <v>0</v>
      </c>
      <c r="P614" t="n">
        <v>0</v>
      </c>
      <c r="Q614" t="n">
        <v>0</v>
      </c>
      <c r="R614" s="2" t="inlineStr"/>
    </row>
    <row r="615" ht="15" customHeight="1">
      <c r="A615" t="inlineStr">
        <is>
          <t>A 58496-2022</t>
        </is>
      </c>
      <c r="B615" s="1" t="n">
        <v>44902</v>
      </c>
      <c r="C615" s="1" t="n">
        <v>45292</v>
      </c>
      <c r="D615" t="inlineStr">
        <is>
          <t>VÄSTMANLANDS LÄN</t>
        </is>
      </c>
      <c r="E615" t="inlineStr">
        <is>
          <t>SALA</t>
        </is>
      </c>
      <c r="G615" t="n">
        <v>5.9</v>
      </c>
      <c r="H615" t="n">
        <v>0</v>
      </c>
      <c r="I615" t="n">
        <v>0</v>
      </c>
      <c r="J615" t="n">
        <v>0</v>
      </c>
      <c r="K615" t="n">
        <v>0</v>
      </c>
      <c r="L615" t="n">
        <v>0</v>
      </c>
      <c r="M615" t="n">
        <v>0</v>
      </c>
      <c r="N615" t="n">
        <v>0</v>
      </c>
      <c r="O615" t="n">
        <v>0</v>
      </c>
      <c r="P615" t="n">
        <v>0</v>
      </c>
      <c r="Q615" t="n">
        <v>0</v>
      </c>
      <c r="R615" s="2" t="inlineStr"/>
    </row>
    <row r="616" ht="15" customHeight="1">
      <c r="A616" t="inlineStr">
        <is>
          <t>A 58502-2022</t>
        </is>
      </c>
      <c r="B616" s="1" t="n">
        <v>44902</v>
      </c>
      <c r="C616" s="1" t="n">
        <v>45292</v>
      </c>
      <c r="D616" t="inlineStr">
        <is>
          <t>VÄSTMANLANDS LÄN</t>
        </is>
      </c>
      <c r="E616" t="inlineStr">
        <is>
          <t>SALA</t>
        </is>
      </c>
      <c r="G616" t="n">
        <v>4.6</v>
      </c>
      <c r="H616" t="n">
        <v>0</v>
      </c>
      <c r="I616" t="n">
        <v>0</v>
      </c>
      <c r="J616" t="n">
        <v>0</v>
      </c>
      <c r="K616" t="n">
        <v>0</v>
      </c>
      <c r="L616" t="n">
        <v>0</v>
      </c>
      <c r="M616" t="n">
        <v>0</v>
      </c>
      <c r="N616" t="n">
        <v>0</v>
      </c>
      <c r="O616" t="n">
        <v>0</v>
      </c>
      <c r="P616" t="n">
        <v>0</v>
      </c>
      <c r="Q616" t="n">
        <v>0</v>
      </c>
      <c r="R616" s="2" t="inlineStr"/>
    </row>
    <row r="617" ht="15" customHeight="1">
      <c r="A617" t="inlineStr">
        <is>
          <t>A 59019-2022</t>
        </is>
      </c>
      <c r="B617" s="1" t="n">
        <v>44903</v>
      </c>
      <c r="C617" s="1" t="n">
        <v>45292</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59175-2022</t>
        </is>
      </c>
      <c r="B618" s="1" t="n">
        <v>44904</v>
      </c>
      <c r="C618" s="1" t="n">
        <v>45292</v>
      </c>
      <c r="D618" t="inlineStr">
        <is>
          <t>VÄSTMANLANDS LÄN</t>
        </is>
      </c>
      <c r="E618" t="inlineStr">
        <is>
          <t>SALA</t>
        </is>
      </c>
      <c r="G618" t="n">
        <v>2.1</v>
      </c>
      <c r="H618" t="n">
        <v>0</v>
      </c>
      <c r="I618" t="n">
        <v>0</v>
      </c>
      <c r="J618" t="n">
        <v>0</v>
      </c>
      <c r="K618" t="n">
        <v>0</v>
      </c>
      <c r="L618" t="n">
        <v>0</v>
      </c>
      <c r="M618" t="n">
        <v>0</v>
      </c>
      <c r="N618" t="n">
        <v>0</v>
      </c>
      <c r="O618" t="n">
        <v>0</v>
      </c>
      <c r="P618" t="n">
        <v>0</v>
      </c>
      <c r="Q618" t="n">
        <v>0</v>
      </c>
      <c r="R618" s="2" t="inlineStr"/>
    </row>
    <row r="619" ht="15" customHeight="1">
      <c r="A619" t="inlineStr">
        <is>
          <t>A 59483-2022</t>
        </is>
      </c>
      <c r="B619" s="1" t="n">
        <v>44907</v>
      </c>
      <c r="C619" s="1" t="n">
        <v>45292</v>
      </c>
      <c r="D619" t="inlineStr">
        <is>
          <t>VÄSTMANLANDS LÄN</t>
        </is>
      </c>
      <c r="E619" t="inlineStr">
        <is>
          <t>SALA</t>
        </is>
      </c>
      <c r="G619" t="n">
        <v>5.2</v>
      </c>
      <c r="H619" t="n">
        <v>0</v>
      </c>
      <c r="I619" t="n">
        <v>0</v>
      </c>
      <c r="J619" t="n">
        <v>0</v>
      </c>
      <c r="K619" t="n">
        <v>0</v>
      </c>
      <c r="L619" t="n">
        <v>0</v>
      </c>
      <c r="M619" t="n">
        <v>0</v>
      </c>
      <c r="N619" t="n">
        <v>0</v>
      </c>
      <c r="O619" t="n">
        <v>0</v>
      </c>
      <c r="P619" t="n">
        <v>0</v>
      </c>
      <c r="Q619" t="n">
        <v>0</v>
      </c>
      <c r="R619" s="2" t="inlineStr"/>
    </row>
    <row r="620" ht="15" customHeight="1">
      <c r="A620" t="inlineStr">
        <is>
          <t>A 60156-2022</t>
        </is>
      </c>
      <c r="B620" s="1" t="n">
        <v>44909</v>
      </c>
      <c r="C620" s="1" t="n">
        <v>45292</v>
      </c>
      <c r="D620" t="inlineStr">
        <is>
          <t>VÄSTMANLANDS LÄN</t>
        </is>
      </c>
      <c r="E620" t="inlineStr">
        <is>
          <t>SALA</t>
        </is>
      </c>
      <c r="G620" t="n">
        <v>3.4</v>
      </c>
      <c r="H620" t="n">
        <v>0</v>
      </c>
      <c r="I620" t="n">
        <v>0</v>
      </c>
      <c r="J620" t="n">
        <v>0</v>
      </c>
      <c r="K620" t="n">
        <v>0</v>
      </c>
      <c r="L620" t="n">
        <v>0</v>
      </c>
      <c r="M620" t="n">
        <v>0</v>
      </c>
      <c r="N620" t="n">
        <v>0</v>
      </c>
      <c r="O620" t="n">
        <v>0</v>
      </c>
      <c r="P620" t="n">
        <v>0</v>
      </c>
      <c r="Q620" t="n">
        <v>0</v>
      </c>
      <c r="R620" s="2" t="inlineStr"/>
    </row>
    <row r="621" ht="15" customHeight="1">
      <c r="A621" t="inlineStr">
        <is>
          <t>A 60379-2022</t>
        </is>
      </c>
      <c r="B621" s="1" t="n">
        <v>44910</v>
      </c>
      <c r="C621" s="1" t="n">
        <v>45292</v>
      </c>
      <c r="D621" t="inlineStr">
        <is>
          <t>VÄSTMANLANDS LÄN</t>
        </is>
      </c>
      <c r="E621" t="inlineStr">
        <is>
          <t>SALA</t>
        </is>
      </c>
      <c r="F621" t="inlineStr">
        <is>
          <t>Kyrkan</t>
        </is>
      </c>
      <c r="G621" t="n">
        <v>2.5</v>
      </c>
      <c r="H621" t="n">
        <v>0</v>
      </c>
      <c r="I621" t="n">
        <v>0</v>
      </c>
      <c r="J621" t="n">
        <v>0</v>
      </c>
      <c r="K621" t="n">
        <v>0</v>
      </c>
      <c r="L621" t="n">
        <v>0</v>
      </c>
      <c r="M621" t="n">
        <v>0</v>
      </c>
      <c r="N621" t="n">
        <v>0</v>
      </c>
      <c r="O621" t="n">
        <v>0</v>
      </c>
      <c r="P621" t="n">
        <v>0</v>
      </c>
      <c r="Q621" t="n">
        <v>0</v>
      </c>
      <c r="R621" s="2" t="inlineStr"/>
    </row>
    <row r="622" ht="15" customHeight="1">
      <c r="A622" t="inlineStr">
        <is>
          <t>A 60703-2022</t>
        </is>
      </c>
      <c r="B622" s="1" t="n">
        <v>44912</v>
      </c>
      <c r="C622" s="1" t="n">
        <v>45292</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60974-2022</t>
        </is>
      </c>
      <c r="B623" s="1" t="n">
        <v>44914</v>
      </c>
      <c r="C623" s="1" t="n">
        <v>45292</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62635-2022</t>
        </is>
      </c>
      <c r="B624" s="1" t="n">
        <v>44917</v>
      </c>
      <c r="C624" s="1" t="n">
        <v>45292</v>
      </c>
      <c r="D624" t="inlineStr">
        <is>
          <t>VÄSTMANLANDS LÄN</t>
        </is>
      </c>
      <c r="E624" t="inlineStr">
        <is>
          <t>SALA</t>
        </is>
      </c>
      <c r="G624" t="n">
        <v>0.4</v>
      </c>
      <c r="H624" t="n">
        <v>0</v>
      </c>
      <c r="I624" t="n">
        <v>0</v>
      </c>
      <c r="J624" t="n">
        <v>0</v>
      </c>
      <c r="K624" t="n">
        <v>0</v>
      </c>
      <c r="L624" t="n">
        <v>0</v>
      </c>
      <c r="M624" t="n">
        <v>0</v>
      </c>
      <c r="N624" t="n">
        <v>0</v>
      </c>
      <c r="O624" t="n">
        <v>0</v>
      </c>
      <c r="P624" t="n">
        <v>0</v>
      </c>
      <c r="Q624" t="n">
        <v>0</v>
      </c>
      <c r="R624" s="2" t="inlineStr"/>
    </row>
    <row r="625" ht="15" customHeight="1">
      <c r="A625" t="inlineStr">
        <is>
          <t>A 62654-2022</t>
        </is>
      </c>
      <c r="B625" s="1" t="n">
        <v>44917</v>
      </c>
      <c r="C625" s="1" t="n">
        <v>45292</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62651-2022</t>
        </is>
      </c>
      <c r="B626" s="1" t="n">
        <v>44917</v>
      </c>
      <c r="C626" s="1" t="n">
        <v>45292</v>
      </c>
      <c r="D626" t="inlineStr">
        <is>
          <t>VÄSTMANLANDS LÄN</t>
        </is>
      </c>
      <c r="E626" t="inlineStr">
        <is>
          <t>SALA</t>
        </is>
      </c>
      <c r="G626" t="n">
        <v>0.4</v>
      </c>
      <c r="H626" t="n">
        <v>0</v>
      </c>
      <c r="I626" t="n">
        <v>0</v>
      </c>
      <c r="J626" t="n">
        <v>0</v>
      </c>
      <c r="K626" t="n">
        <v>0</v>
      </c>
      <c r="L626" t="n">
        <v>0</v>
      </c>
      <c r="M626" t="n">
        <v>0</v>
      </c>
      <c r="N626" t="n">
        <v>0</v>
      </c>
      <c r="O626" t="n">
        <v>0</v>
      </c>
      <c r="P626" t="n">
        <v>0</v>
      </c>
      <c r="Q626" t="n">
        <v>0</v>
      </c>
      <c r="R626" s="2" t="inlineStr"/>
    </row>
    <row r="627" ht="15" customHeight="1">
      <c r="A627" t="inlineStr">
        <is>
          <t>A 62648-2022</t>
        </is>
      </c>
      <c r="B627" s="1" t="n">
        <v>44917</v>
      </c>
      <c r="C627" s="1" t="n">
        <v>45292</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61985-2022</t>
        </is>
      </c>
      <c r="B628" s="1" t="n">
        <v>44918</v>
      </c>
      <c r="C628" s="1" t="n">
        <v>45292</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62292-2022</t>
        </is>
      </c>
      <c r="B629" s="1" t="n">
        <v>44923</v>
      </c>
      <c r="C629" s="1" t="n">
        <v>45292</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62300-2022</t>
        </is>
      </c>
      <c r="B630" s="1" t="n">
        <v>44923</v>
      </c>
      <c r="C630" s="1" t="n">
        <v>45292</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1196-2023</t>
        </is>
      </c>
      <c r="B631" s="1" t="n">
        <v>44935</v>
      </c>
      <c r="C631" s="1" t="n">
        <v>45292</v>
      </c>
      <c r="D631" t="inlineStr">
        <is>
          <t>VÄSTMANLANDS LÄN</t>
        </is>
      </c>
      <c r="E631" t="inlineStr">
        <is>
          <t>SALA</t>
        </is>
      </c>
      <c r="G631" t="n">
        <v>4.1</v>
      </c>
      <c r="H631" t="n">
        <v>0</v>
      </c>
      <c r="I631" t="n">
        <v>0</v>
      </c>
      <c r="J631" t="n">
        <v>0</v>
      </c>
      <c r="K631" t="n">
        <v>0</v>
      </c>
      <c r="L631" t="n">
        <v>0</v>
      </c>
      <c r="M631" t="n">
        <v>0</v>
      </c>
      <c r="N631" t="n">
        <v>0</v>
      </c>
      <c r="O631" t="n">
        <v>0</v>
      </c>
      <c r="P631" t="n">
        <v>0</v>
      </c>
      <c r="Q631" t="n">
        <v>0</v>
      </c>
      <c r="R631" s="2" t="inlineStr"/>
    </row>
    <row r="632" ht="15" customHeight="1">
      <c r="A632" t="inlineStr">
        <is>
          <t>A 1638-2023</t>
        </is>
      </c>
      <c r="B632" s="1" t="n">
        <v>44937</v>
      </c>
      <c r="C632" s="1" t="n">
        <v>45292</v>
      </c>
      <c r="D632" t="inlineStr">
        <is>
          <t>VÄSTMANLANDS LÄN</t>
        </is>
      </c>
      <c r="E632" t="inlineStr">
        <is>
          <t>SALA</t>
        </is>
      </c>
      <c r="G632" t="n">
        <v>3.1</v>
      </c>
      <c r="H632" t="n">
        <v>0</v>
      </c>
      <c r="I632" t="n">
        <v>0</v>
      </c>
      <c r="J632" t="n">
        <v>0</v>
      </c>
      <c r="K632" t="n">
        <v>0</v>
      </c>
      <c r="L632" t="n">
        <v>0</v>
      </c>
      <c r="M632" t="n">
        <v>0</v>
      </c>
      <c r="N632" t="n">
        <v>0</v>
      </c>
      <c r="O632" t="n">
        <v>0</v>
      </c>
      <c r="P632" t="n">
        <v>0</v>
      </c>
      <c r="Q632" t="n">
        <v>0</v>
      </c>
      <c r="R632" s="2" t="inlineStr"/>
    </row>
    <row r="633" ht="15" customHeight="1">
      <c r="A633" t="inlineStr">
        <is>
          <t>A 1793-2023</t>
        </is>
      </c>
      <c r="B633" s="1" t="n">
        <v>44937</v>
      </c>
      <c r="C633" s="1" t="n">
        <v>45292</v>
      </c>
      <c r="D633" t="inlineStr">
        <is>
          <t>VÄSTMANLANDS LÄN</t>
        </is>
      </c>
      <c r="E633" t="inlineStr">
        <is>
          <t>SALA</t>
        </is>
      </c>
      <c r="G633" t="n">
        <v>2.6</v>
      </c>
      <c r="H633" t="n">
        <v>0</v>
      </c>
      <c r="I633" t="n">
        <v>0</v>
      </c>
      <c r="J633" t="n">
        <v>0</v>
      </c>
      <c r="K633" t="n">
        <v>0</v>
      </c>
      <c r="L633" t="n">
        <v>0</v>
      </c>
      <c r="M633" t="n">
        <v>0</v>
      </c>
      <c r="N633" t="n">
        <v>0</v>
      </c>
      <c r="O633" t="n">
        <v>0</v>
      </c>
      <c r="P633" t="n">
        <v>0</v>
      </c>
      <c r="Q633" t="n">
        <v>0</v>
      </c>
      <c r="R633" s="2" t="inlineStr"/>
    </row>
    <row r="634" ht="15" customHeight="1">
      <c r="A634" t="inlineStr">
        <is>
          <t>A 1934-2023</t>
        </is>
      </c>
      <c r="B634" s="1" t="n">
        <v>44939</v>
      </c>
      <c r="C634" s="1" t="n">
        <v>45292</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1967-2023</t>
        </is>
      </c>
      <c r="B635" s="1" t="n">
        <v>44939</v>
      </c>
      <c r="C635" s="1" t="n">
        <v>45292</v>
      </c>
      <c r="D635" t="inlineStr">
        <is>
          <t>VÄSTMANLANDS LÄN</t>
        </is>
      </c>
      <c r="E635" t="inlineStr">
        <is>
          <t>SALA</t>
        </is>
      </c>
      <c r="G635" t="n">
        <v>4.1</v>
      </c>
      <c r="H635" t="n">
        <v>0</v>
      </c>
      <c r="I635" t="n">
        <v>0</v>
      </c>
      <c r="J635" t="n">
        <v>0</v>
      </c>
      <c r="K635" t="n">
        <v>0</v>
      </c>
      <c r="L635" t="n">
        <v>0</v>
      </c>
      <c r="M635" t="n">
        <v>0</v>
      </c>
      <c r="N635" t="n">
        <v>0</v>
      </c>
      <c r="O635" t="n">
        <v>0</v>
      </c>
      <c r="P635" t="n">
        <v>0</v>
      </c>
      <c r="Q635" t="n">
        <v>0</v>
      </c>
      <c r="R635" s="2" t="inlineStr"/>
    </row>
    <row r="636" ht="15" customHeight="1">
      <c r="A636" t="inlineStr">
        <is>
          <t>A 2521-2023</t>
        </is>
      </c>
      <c r="B636" s="1" t="n">
        <v>44943</v>
      </c>
      <c r="C636" s="1" t="n">
        <v>45292</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2900-2023</t>
        </is>
      </c>
      <c r="B637" s="1" t="n">
        <v>44943</v>
      </c>
      <c r="C637" s="1" t="n">
        <v>45292</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3733-2023</t>
        </is>
      </c>
      <c r="B638" s="1" t="n">
        <v>44951</v>
      </c>
      <c r="C638" s="1" t="n">
        <v>45292</v>
      </c>
      <c r="D638" t="inlineStr">
        <is>
          <t>VÄSTMANLANDS LÄN</t>
        </is>
      </c>
      <c r="E638" t="inlineStr">
        <is>
          <t>SALA</t>
        </is>
      </c>
      <c r="G638" t="n">
        <v>3.1</v>
      </c>
      <c r="H638" t="n">
        <v>0</v>
      </c>
      <c r="I638" t="n">
        <v>0</v>
      </c>
      <c r="J638" t="n">
        <v>0</v>
      </c>
      <c r="K638" t="n">
        <v>0</v>
      </c>
      <c r="L638" t="n">
        <v>0</v>
      </c>
      <c r="M638" t="n">
        <v>0</v>
      </c>
      <c r="N638" t="n">
        <v>0</v>
      </c>
      <c r="O638" t="n">
        <v>0</v>
      </c>
      <c r="P638" t="n">
        <v>0</v>
      </c>
      <c r="Q638" t="n">
        <v>0</v>
      </c>
      <c r="R638" s="2" t="inlineStr"/>
    </row>
    <row r="639" ht="15" customHeight="1">
      <c r="A639" t="inlineStr">
        <is>
          <t>A 3810-2023</t>
        </is>
      </c>
      <c r="B639" s="1" t="n">
        <v>44951</v>
      </c>
      <c r="C639" s="1" t="n">
        <v>45292</v>
      </c>
      <c r="D639" t="inlineStr">
        <is>
          <t>VÄSTMANLANDS LÄN</t>
        </is>
      </c>
      <c r="E639" t="inlineStr">
        <is>
          <t>SALA</t>
        </is>
      </c>
      <c r="G639" t="n">
        <v>4.2</v>
      </c>
      <c r="H639" t="n">
        <v>0</v>
      </c>
      <c r="I639" t="n">
        <v>0</v>
      </c>
      <c r="J639" t="n">
        <v>0</v>
      </c>
      <c r="K639" t="n">
        <v>0</v>
      </c>
      <c r="L639" t="n">
        <v>0</v>
      </c>
      <c r="M639" t="n">
        <v>0</v>
      </c>
      <c r="N639" t="n">
        <v>0</v>
      </c>
      <c r="O639" t="n">
        <v>0</v>
      </c>
      <c r="P639" t="n">
        <v>0</v>
      </c>
      <c r="Q639" t="n">
        <v>0</v>
      </c>
      <c r="R639" s="2" t="inlineStr"/>
    </row>
    <row r="640" ht="15" customHeight="1">
      <c r="A640" t="inlineStr">
        <is>
          <t>A 3866-2023</t>
        </is>
      </c>
      <c r="B640" s="1" t="n">
        <v>44951</v>
      </c>
      <c r="C640" s="1" t="n">
        <v>45292</v>
      </c>
      <c r="D640" t="inlineStr">
        <is>
          <t>VÄSTMANLANDS LÄN</t>
        </is>
      </c>
      <c r="E640" t="inlineStr">
        <is>
          <t>SALA</t>
        </is>
      </c>
      <c r="G640" t="n">
        <v>1.7</v>
      </c>
      <c r="H640" t="n">
        <v>0</v>
      </c>
      <c r="I640" t="n">
        <v>0</v>
      </c>
      <c r="J640" t="n">
        <v>0</v>
      </c>
      <c r="K640" t="n">
        <v>0</v>
      </c>
      <c r="L640" t="n">
        <v>0</v>
      </c>
      <c r="M640" t="n">
        <v>0</v>
      </c>
      <c r="N640" t="n">
        <v>0</v>
      </c>
      <c r="O640" t="n">
        <v>0</v>
      </c>
      <c r="P640" t="n">
        <v>0</v>
      </c>
      <c r="Q640" t="n">
        <v>0</v>
      </c>
      <c r="R640" s="2" t="inlineStr"/>
    </row>
    <row r="641" ht="15" customHeight="1">
      <c r="A641" t="inlineStr">
        <is>
          <t>A 4853-2023</t>
        </is>
      </c>
      <c r="B641" s="1" t="n">
        <v>44957</v>
      </c>
      <c r="C641" s="1" t="n">
        <v>45292</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4637-2023</t>
        </is>
      </c>
      <c r="B642" s="1" t="n">
        <v>44957</v>
      </c>
      <c r="C642" s="1" t="n">
        <v>45292</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4791-2023</t>
        </is>
      </c>
      <c r="B643" s="1" t="n">
        <v>44957</v>
      </c>
      <c r="C643" s="1" t="n">
        <v>45292</v>
      </c>
      <c r="D643" t="inlineStr">
        <is>
          <t>VÄSTMANLANDS LÄN</t>
        </is>
      </c>
      <c r="E643" t="inlineStr">
        <is>
          <t>SALA</t>
        </is>
      </c>
      <c r="G643" t="n">
        <v>2.8</v>
      </c>
      <c r="H643" t="n">
        <v>0</v>
      </c>
      <c r="I643" t="n">
        <v>0</v>
      </c>
      <c r="J643" t="n">
        <v>0</v>
      </c>
      <c r="K643" t="n">
        <v>0</v>
      </c>
      <c r="L643" t="n">
        <v>0</v>
      </c>
      <c r="M643" t="n">
        <v>0</v>
      </c>
      <c r="N643" t="n">
        <v>0</v>
      </c>
      <c r="O643" t="n">
        <v>0</v>
      </c>
      <c r="P643" t="n">
        <v>0</v>
      </c>
      <c r="Q643" t="n">
        <v>0</v>
      </c>
      <c r="R643" s="2" t="inlineStr"/>
    </row>
    <row r="644" ht="15" customHeight="1">
      <c r="A644" t="inlineStr">
        <is>
          <t>A 4797-2023</t>
        </is>
      </c>
      <c r="B644" s="1" t="n">
        <v>44957</v>
      </c>
      <c r="C644" s="1" t="n">
        <v>45292</v>
      </c>
      <c r="D644" t="inlineStr">
        <is>
          <t>VÄSTMANLANDS LÄN</t>
        </is>
      </c>
      <c r="E644" t="inlineStr">
        <is>
          <t>SALA</t>
        </is>
      </c>
      <c r="G644" t="n">
        <v>5.7</v>
      </c>
      <c r="H644" t="n">
        <v>0</v>
      </c>
      <c r="I644" t="n">
        <v>0</v>
      </c>
      <c r="J644" t="n">
        <v>0</v>
      </c>
      <c r="K644" t="n">
        <v>0</v>
      </c>
      <c r="L644" t="n">
        <v>0</v>
      </c>
      <c r="M644" t="n">
        <v>0</v>
      </c>
      <c r="N644" t="n">
        <v>0</v>
      </c>
      <c r="O644" t="n">
        <v>0</v>
      </c>
      <c r="P644" t="n">
        <v>0</v>
      </c>
      <c r="Q644" t="n">
        <v>0</v>
      </c>
      <c r="R644" s="2" t="inlineStr"/>
    </row>
    <row r="645" ht="15" customHeight="1">
      <c r="A645" t="inlineStr">
        <is>
          <t>A 4852-2023</t>
        </is>
      </c>
      <c r="B645" s="1" t="n">
        <v>44957</v>
      </c>
      <c r="C645" s="1" t="n">
        <v>45292</v>
      </c>
      <c r="D645" t="inlineStr">
        <is>
          <t>VÄSTMANLANDS LÄN</t>
        </is>
      </c>
      <c r="E645" t="inlineStr">
        <is>
          <t>SALA</t>
        </is>
      </c>
      <c r="G645" t="n">
        <v>2</v>
      </c>
      <c r="H645" t="n">
        <v>0</v>
      </c>
      <c r="I645" t="n">
        <v>0</v>
      </c>
      <c r="J645" t="n">
        <v>0</v>
      </c>
      <c r="K645" t="n">
        <v>0</v>
      </c>
      <c r="L645" t="n">
        <v>0</v>
      </c>
      <c r="M645" t="n">
        <v>0</v>
      </c>
      <c r="N645" t="n">
        <v>0</v>
      </c>
      <c r="O645" t="n">
        <v>0</v>
      </c>
      <c r="P645" t="n">
        <v>0</v>
      </c>
      <c r="Q645" t="n">
        <v>0</v>
      </c>
      <c r="R645" s="2" t="inlineStr"/>
    </row>
    <row r="646" ht="15" customHeight="1">
      <c r="A646" t="inlineStr">
        <is>
          <t>A 5782-2023</t>
        </is>
      </c>
      <c r="B646" s="1" t="n">
        <v>44963</v>
      </c>
      <c r="C646" s="1" t="n">
        <v>45292</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6111-2023</t>
        </is>
      </c>
      <c r="B647" s="1" t="n">
        <v>44964</v>
      </c>
      <c r="C647" s="1" t="n">
        <v>45292</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6135-2023</t>
        </is>
      </c>
      <c r="B648" s="1" t="n">
        <v>44964</v>
      </c>
      <c r="C648" s="1" t="n">
        <v>45292</v>
      </c>
      <c r="D648" t="inlineStr">
        <is>
          <t>VÄSTMANLANDS LÄN</t>
        </is>
      </c>
      <c r="E648" t="inlineStr">
        <is>
          <t>SALA</t>
        </is>
      </c>
      <c r="G648" t="n">
        <v>0.5</v>
      </c>
      <c r="H648" t="n">
        <v>0</v>
      </c>
      <c r="I648" t="n">
        <v>0</v>
      </c>
      <c r="J648" t="n">
        <v>0</v>
      </c>
      <c r="K648" t="n">
        <v>0</v>
      </c>
      <c r="L648" t="n">
        <v>0</v>
      </c>
      <c r="M648" t="n">
        <v>0</v>
      </c>
      <c r="N648" t="n">
        <v>0</v>
      </c>
      <c r="O648" t="n">
        <v>0</v>
      </c>
      <c r="P648" t="n">
        <v>0</v>
      </c>
      <c r="Q648" t="n">
        <v>0</v>
      </c>
      <c r="R648" s="2" t="inlineStr"/>
    </row>
    <row r="649" ht="15" customHeight="1">
      <c r="A649" t="inlineStr">
        <is>
          <t>A 6167-2023</t>
        </is>
      </c>
      <c r="B649" s="1" t="n">
        <v>44964</v>
      </c>
      <c r="C649" s="1" t="n">
        <v>45292</v>
      </c>
      <c r="D649" t="inlineStr">
        <is>
          <t>VÄSTMANLANDS LÄN</t>
        </is>
      </c>
      <c r="E649" t="inlineStr">
        <is>
          <t>SALA</t>
        </is>
      </c>
      <c r="G649" t="n">
        <v>0.7</v>
      </c>
      <c r="H649" t="n">
        <v>0</v>
      </c>
      <c r="I649" t="n">
        <v>0</v>
      </c>
      <c r="J649" t="n">
        <v>0</v>
      </c>
      <c r="K649" t="n">
        <v>0</v>
      </c>
      <c r="L649" t="n">
        <v>0</v>
      </c>
      <c r="M649" t="n">
        <v>0</v>
      </c>
      <c r="N649" t="n">
        <v>0</v>
      </c>
      <c r="O649" t="n">
        <v>0</v>
      </c>
      <c r="P649" t="n">
        <v>0</v>
      </c>
      <c r="Q649" t="n">
        <v>0</v>
      </c>
      <c r="R649" s="2" t="inlineStr"/>
    </row>
    <row r="650" ht="15" customHeight="1">
      <c r="A650" t="inlineStr">
        <is>
          <t>A 6130-2023</t>
        </is>
      </c>
      <c r="B650" s="1" t="n">
        <v>44964</v>
      </c>
      <c r="C650" s="1" t="n">
        <v>45292</v>
      </c>
      <c r="D650" t="inlineStr">
        <is>
          <t>VÄSTMANLANDS LÄN</t>
        </is>
      </c>
      <c r="E650" t="inlineStr">
        <is>
          <t>SALA</t>
        </is>
      </c>
      <c r="G650" t="n">
        <v>8</v>
      </c>
      <c r="H650" t="n">
        <v>0</v>
      </c>
      <c r="I650" t="n">
        <v>0</v>
      </c>
      <c r="J650" t="n">
        <v>0</v>
      </c>
      <c r="K650" t="n">
        <v>0</v>
      </c>
      <c r="L650" t="n">
        <v>0</v>
      </c>
      <c r="M650" t="n">
        <v>0</v>
      </c>
      <c r="N650" t="n">
        <v>0</v>
      </c>
      <c r="O650" t="n">
        <v>0</v>
      </c>
      <c r="P650" t="n">
        <v>0</v>
      </c>
      <c r="Q650" t="n">
        <v>0</v>
      </c>
      <c r="R650" s="2" t="inlineStr"/>
    </row>
    <row r="651" ht="15" customHeight="1">
      <c r="A651" t="inlineStr">
        <is>
          <t>A 6116-2023</t>
        </is>
      </c>
      <c r="B651" s="1" t="n">
        <v>44964</v>
      </c>
      <c r="C651" s="1" t="n">
        <v>45292</v>
      </c>
      <c r="D651" t="inlineStr">
        <is>
          <t>VÄSTMANLANDS LÄN</t>
        </is>
      </c>
      <c r="E651" t="inlineStr">
        <is>
          <t>SALA</t>
        </is>
      </c>
      <c r="G651" t="n">
        <v>1.9</v>
      </c>
      <c r="H651" t="n">
        <v>0</v>
      </c>
      <c r="I651" t="n">
        <v>0</v>
      </c>
      <c r="J651" t="n">
        <v>0</v>
      </c>
      <c r="K651" t="n">
        <v>0</v>
      </c>
      <c r="L651" t="n">
        <v>0</v>
      </c>
      <c r="M651" t="n">
        <v>0</v>
      </c>
      <c r="N651" t="n">
        <v>0</v>
      </c>
      <c r="O651" t="n">
        <v>0</v>
      </c>
      <c r="P651" t="n">
        <v>0</v>
      </c>
      <c r="Q651" t="n">
        <v>0</v>
      </c>
      <c r="R651" s="2" t="inlineStr"/>
    </row>
    <row r="652" ht="15" customHeight="1">
      <c r="A652" t="inlineStr">
        <is>
          <t>A 6139-2023</t>
        </is>
      </c>
      <c r="B652" s="1" t="n">
        <v>44964</v>
      </c>
      <c r="C652" s="1" t="n">
        <v>45292</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6869-2023</t>
        </is>
      </c>
      <c r="B653" s="1" t="n">
        <v>44964</v>
      </c>
      <c r="C653" s="1" t="n">
        <v>45292</v>
      </c>
      <c r="D653" t="inlineStr">
        <is>
          <t>VÄSTMANLANDS LÄN</t>
        </is>
      </c>
      <c r="E653" t="inlineStr">
        <is>
          <t>SALA</t>
        </is>
      </c>
      <c r="G653" t="n">
        <v>11.6</v>
      </c>
      <c r="H653" t="n">
        <v>0</v>
      </c>
      <c r="I653" t="n">
        <v>0</v>
      </c>
      <c r="J653" t="n">
        <v>0</v>
      </c>
      <c r="K653" t="n">
        <v>0</v>
      </c>
      <c r="L653" t="n">
        <v>0</v>
      </c>
      <c r="M653" t="n">
        <v>0</v>
      </c>
      <c r="N653" t="n">
        <v>0</v>
      </c>
      <c r="O653" t="n">
        <v>0</v>
      </c>
      <c r="P653" t="n">
        <v>0</v>
      </c>
      <c r="Q653" t="n">
        <v>0</v>
      </c>
      <c r="R653" s="2" t="inlineStr"/>
    </row>
    <row r="654" ht="15" customHeight="1">
      <c r="A654" t="inlineStr">
        <is>
          <t>A 6351-2023</t>
        </is>
      </c>
      <c r="B654" s="1" t="n">
        <v>44965</v>
      </c>
      <c r="C654" s="1" t="n">
        <v>45292</v>
      </c>
      <c r="D654" t="inlineStr">
        <is>
          <t>VÄSTMANLANDS LÄN</t>
        </is>
      </c>
      <c r="E654" t="inlineStr">
        <is>
          <t>SALA</t>
        </is>
      </c>
      <c r="F654" t="inlineStr">
        <is>
          <t>Kommuner</t>
        </is>
      </c>
      <c r="G654" t="n">
        <v>8.800000000000001</v>
      </c>
      <c r="H654" t="n">
        <v>0</v>
      </c>
      <c r="I654" t="n">
        <v>0</v>
      </c>
      <c r="J654" t="n">
        <v>0</v>
      </c>
      <c r="K654" t="n">
        <v>0</v>
      </c>
      <c r="L654" t="n">
        <v>0</v>
      </c>
      <c r="M654" t="n">
        <v>0</v>
      </c>
      <c r="N654" t="n">
        <v>0</v>
      </c>
      <c r="O654" t="n">
        <v>0</v>
      </c>
      <c r="P654" t="n">
        <v>0</v>
      </c>
      <c r="Q654" t="n">
        <v>0</v>
      </c>
      <c r="R654" s="2" t="inlineStr"/>
    </row>
    <row r="655" ht="15" customHeight="1">
      <c r="A655" t="inlineStr">
        <is>
          <t>A 6851-2023</t>
        </is>
      </c>
      <c r="B655" s="1" t="n">
        <v>44967</v>
      </c>
      <c r="C655" s="1" t="n">
        <v>45292</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7176-2023</t>
        </is>
      </c>
      <c r="B656" s="1" t="n">
        <v>44970</v>
      </c>
      <c r="C656" s="1" t="n">
        <v>45292</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7193-2023</t>
        </is>
      </c>
      <c r="B657" s="1" t="n">
        <v>44970</v>
      </c>
      <c r="C657" s="1" t="n">
        <v>45292</v>
      </c>
      <c r="D657" t="inlineStr">
        <is>
          <t>VÄSTMANLANDS LÄN</t>
        </is>
      </c>
      <c r="E657" t="inlineStr">
        <is>
          <t>SALA</t>
        </is>
      </c>
      <c r="G657" t="n">
        <v>2.5</v>
      </c>
      <c r="H657" t="n">
        <v>0</v>
      </c>
      <c r="I657" t="n">
        <v>0</v>
      </c>
      <c r="J657" t="n">
        <v>0</v>
      </c>
      <c r="K657" t="n">
        <v>0</v>
      </c>
      <c r="L657" t="n">
        <v>0</v>
      </c>
      <c r="M657" t="n">
        <v>0</v>
      </c>
      <c r="N657" t="n">
        <v>0</v>
      </c>
      <c r="O657" t="n">
        <v>0</v>
      </c>
      <c r="P657" t="n">
        <v>0</v>
      </c>
      <c r="Q657" t="n">
        <v>0</v>
      </c>
      <c r="R657" s="2" t="inlineStr"/>
    </row>
    <row r="658" ht="15" customHeight="1">
      <c r="A658" t="inlineStr">
        <is>
          <t>A 7954-2023</t>
        </is>
      </c>
      <c r="B658" s="1" t="n">
        <v>44970</v>
      </c>
      <c r="C658" s="1" t="n">
        <v>45292</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7377-2023</t>
        </is>
      </c>
      <c r="B659" s="1" t="n">
        <v>44971</v>
      </c>
      <c r="C659" s="1" t="n">
        <v>45292</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7351-2023</t>
        </is>
      </c>
      <c r="B660" s="1" t="n">
        <v>44971</v>
      </c>
      <c r="C660" s="1" t="n">
        <v>45292</v>
      </c>
      <c r="D660" t="inlineStr">
        <is>
          <t>VÄSTMANLANDS LÄN</t>
        </is>
      </c>
      <c r="E660" t="inlineStr">
        <is>
          <t>SALA</t>
        </is>
      </c>
      <c r="G660" t="n">
        <v>2.3</v>
      </c>
      <c r="H660" t="n">
        <v>0</v>
      </c>
      <c r="I660" t="n">
        <v>0</v>
      </c>
      <c r="J660" t="n">
        <v>0</v>
      </c>
      <c r="K660" t="n">
        <v>0</v>
      </c>
      <c r="L660" t="n">
        <v>0</v>
      </c>
      <c r="M660" t="n">
        <v>0</v>
      </c>
      <c r="N660" t="n">
        <v>0</v>
      </c>
      <c r="O660" t="n">
        <v>0</v>
      </c>
      <c r="P660" t="n">
        <v>0</v>
      </c>
      <c r="Q660" t="n">
        <v>0</v>
      </c>
      <c r="R660" s="2" t="inlineStr"/>
    </row>
    <row r="661" ht="15" customHeight="1">
      <c r="A661" t="inlineStr">
        <is>
          <t>A 7502-2023</t>
        </is>
      </c>
      <c r="B661" s="1" t="n">
        <v>44971</v>
      </c>
      <c r="C661" s="1" t="n">
        <v>45292</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7664-2023</t>
        </is>
      </c>
      <c r="B662" s="1" t="n">
        <v>44972</v>
      </c>
      <c r="C662" s="1" t="n">
        <v>45292</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7635-2023</t>
        </is>
      </c>
      <c r="B663" s="1" t="n">
        <v>44972</v>
      </c>
      <c r="C663" s="1" t="n">
        <v>45292</v>
      </c>
      <c r="D663" t="inlineStr">
        <is>
          <t>VÄSTMANLANDS LÄN</t>
        </is>
      </c>
      <c r="E663" t="inlineStr">
        <is>
          <t>SALA</t>
        </is>
      </c>
      <c r="G663" t="n">
        <v>1.3</v>
      </c>
      <c r="H663" t="n">
        <v>0</v>
      </c>
      <c r="I663" t="n">
        <v>0</v>
      </c>
      <c r="J663" t="n">
        <v>0</v>
      </c>
      <c r="K663" t="n">
        <v>0</v>
      </c>
      <c r="L663" t="n">
        <v>0</v>
      </c>
      <c r="M663" t="n">
        <v>0</v>
      </c>
      <c r="N663" t="n">
        <v>0</v>
      </c>
      <c r="O663" t="n">
        <v>0</v>
      </c>
      <c r="P663" t="n">
        <v>0</v>
      </c>
      <c r="Q663" t="n">
        <v>0</v>
      </c>
      <c r="R663" s="2" t="inlineStr"/>
    </row>
    <row r="664" ht="15" customHeight="1">
      <c r="A664" t="inlineStr">
        <is>
          <t>A 7772-2023</t>
        </is>
      </c>
      <c r="B664" s="1" t="n">
        <v>44973</v>
      </c>
      <c r="C664" s="1" t="n">
        <v>45292</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7813-2023</t>
        </is>
      </c>
      <c r="B665" s="1" t="n">
        <v>44973</v>
      </c>
      <c r="C665" s="1" t="n">
        <v>45292</v>
      </c>
      <c r="D665" t="inlineStr">
        <is>
          <t>VÄSTMANLANDS LÄN</t>
        </is>
      </c>
      <c r="E665" t="inlineStr">
        <is>
          <t>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7747-2023</t>
        </is>
      </c>
      <c r="B666" s="1" t="n">
        <v>44973</v>
      </c>
      <c r="C666" s="1" t="n">
        <v>45292</v>
      </c>
      <c r="D666" t="inlineStr">
        <is>
          <t>VÄSTMANLANDS LÄN</t>
        </is>
      </c>
      <c r="E666" t="inlineStr">
        <is>
          <t>SALA</t>
        </is>
      </c>
      <c r="F666" t="inlineStr">
        <is>
          <t>Övriga Aktiebolag</t>
        </is>
      </c>
      <c r="G666" t="n">
        <v>3.1</v>
      </c>
      <c r="H666" t="n">
        <v>0</v>
      </c>
      <c r="I666" t="n">
        <v>0</v>
      </c>
      <c r="J666" t="n">
        <v>0</v>
      </c>
      <c r="K666" t="n">
        <v>0</v>
      </c>
      <c r="L666" t="n">
        <v>0</v>
      </c>
      <c r="M666" t="n">
        <v>0</v>
      </c>
      <c r="N666" t="n">
        <v>0</v>
      </c>
      <c r="O666" t="n">
        <v>0</v>
      </c>
      <c r="P666" t="n">
        <v>0</v>
      </c>
      <c r="Q666" t="n">
        <v>0</v>
      </c>
      <c r="R666" s="2" t="inlineStr"/>
    </row>
    <row r="667" ht="15" customHeight="1">
      <c r="A667" t="inlineStr">
        <is>
          <t>A 8047-2023</t>
        </is>
      </c>
      <c r="B667" s="1" t="n">
        <v>44974</v>
      </c>
      <c r="C667" s="1" t="n">
        <v>45292</v>
      </c>
      <c r="D667" t="inlineStr">
        <is>
          <t>VÄSTMANLANDS LÄN</t>
        </is>
      </c>
      <c r="E667" t="inlineStr">
        <is>
          <t>SALA</t>
        </is>
      </c>
      <c r="G667" t="n">
        <v>17.4</v>
      </c>
      <c r="H667" t="n">
        <v>0</v>
      </c>
      <c r="I667" t="n">
        <v>0</v>
      </c>
      <c r="J667" t="n">
        <v>0</v>
      </c>
      <c r="K667" t="n">
        <v>0</v>
      </c>
      <c r="L667" t="n">
        <v>0</v>
      </c>
      <c r="M667" t="n">
        <v>0</v>
      </c>
      <c r="N667" t="n">
        <v>0</v>
      </c>
      <c r="O667" t="n">
        <v>0</v>
      </c>
      <c r="P667" t="n">
        <v>0</v>
      </c>
      <c r="Q667" t="n">
        <v>0</v>
      </c>
      <c r="R667" s="2" t="inlineStr"/>
    </row>
    <row r="668" ht="15" customHeight="1">
      <c r="A668" t="inlineStr">
        <is>
          <t>A 8766-2023</t>
        </is>
      </c>
      <c r="B668" s="1" t="n">
        <v>44978</v>
      </c>
      <c r="C668" s="1" t="n">
        <v>45292</v>
      </c>
      <c r="D668" t="inlineStr">
        <is>
          <t>VÄSTMANLANDS LÄN</t>
        </is>
      </c>
      <c r="E668" t="inlineStr">
        <is>
          <t>SALA</t>
        </is>
      </c>
      <c r="G668" t="n">
        <v>1.2</v>
      </c>
      <c r="H668" t="n">
        <v>0</v>
      </c>
      <c r="I668" t="n">
        <v>0</v>
      </c>
      <c r="J668" t="n">
        <v>0</v>
      </c>
      <c r="K668" t="n">
        <v>0</v>
      </c>
      <c r="L668" t="n">
        <v>0</v>
      </c>
      <c r="M668" t="n">
        <v>0</v>
      </c>
      <c r="N668" t="n">
        <v>0</v>
      </c>
      <c r="O668" t="n">
        <v>0</v>
      </c>
      <c r="P668" t="n">
        <v>0</v>
      </c>
      <c r="Q668" t="n">
        <v>0</v>
      </c>
      <c r="R668" s="2" t="inlineStr"/>
    </row>
    <row r="669" ht="15" customHeight="1">
      <c r="A669" t="inlineStr">
        <is>
          <t>A 9051-2023</t>
        </is>
      </c>
      <c r="B669" s="1" t="n">
        <v>44979</v>
      </c>
      <c r="C669" s="1" t="n">
        <v>45292</v>
      </c>
      <c r="D669" t="inlineStr">
        <is>
          <t>VÄSTMANLANDS LÄN</t>
        </is>
      </c>
      <c r="E669" t="inlineStr">
        <is>
          <t>SALA</t>
        </is>
      </c>
      <c r="G669" t="n">
        <v>4.1</v>
      </c>
      <c r="H669" t="n">
        <v>0</v>
      </c>
      <c r="I669" t="n">
        <v>0</v>
      </c>
      <c r="J669" t="n">
        <v>0</v>
      </c>
      <c r="K669" t="n">
        <v>0</v>
      </c>
      <c r="L669" t="n">
        <v>0</v>
      </c>
      <c r="M669" t="n">
        <v>0</v>
      </c>
      <c r="N669" t="n">
        <v>0</v>
      </c>
      <c r="O669" t="n">
        <v>0</v>
      </c>
      <c r="P669" t="n">
        <v>0</v>
      </c>
      <c r="Q669" t="n">
        <v>0</v>
      </c>
      <c r="R669" s="2" t="inlineStr"/>
    </row>
    <row r="670" ht="15" customHeight="1">
      <c r="A670" t="inlineStr">
        <is>
          <t>A 11190-2023</t>
        </is>
      </c>
      <c r="B670" s="1" t="n">
        <v>44992</v>
      </c>
      <c r="C670" s="1" t="n">
        <v>45292</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11166-2023</t>
        </is>
      </c>
      <c r="B671" s="1" t="n">
        <v>44992</v>
      </c>
      <c r="C671" s="1" t="n">
        <v>45292</v>
      </c>
      <c r="D671" t="inlineStr">
        <is>
          <t>VÄSTMANLANDS LÄN</t>
        </is>
      </c>
      <c r="E671" t="inlineStr">
        <is>
          <t>SALA</t>
        </is>
      </c>
      <c r="G671" t="n">
        <v>3.9</v>
      </c>
      <c r="H671" t="n">
        <v>0</v>
      </c>
      <c r="I671" t="n">
        <v>0</v>
      </c>
      <c r="J671" t="n">
        <v>0</v>
      </c>
      <c r="K671" t="n">
        <v>0</v>
      </c>
      <c r="L671" t="n">
        <v>0</v>
      </c>
      <c r="M671" t="n">
        <v>0</v>
      </c>
      <c r="N671" t="n">
        <v>0</v>
      </c>
      <c r="O671" t="n">
        <v>0</v>
      </c>
      <c r="P671" t="n">
        <v>0</v>
      </c>
      <c r="Q671" t="n">
        <v>0</v>
      </c>
      <c r="R671" s="2" t="inlineStr"/>
    </row>
    <row r="672" ht="15" customHeight="1">
      <c r="A672" t="inlineStr">
        <is>
          <t>A 11183-2023</t>
        </is>
      </c>
      <c r="B672" s="1" t="n">
        <v>44992</v>
      </c>
      <c r="C672" s="1" t="n">
        <v>45292</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11631-2023</t>
        </is>
      </c>
      <c r="B673" s="1" t="n">
        <v>44994</v>
      </c>
      <c r="C673" s="1" t="n">
        <v>45292</v>
      </c>
      <c r="D673" t="inlineStr">
        <is>
          <t>VÄSTMANLANDS LÄN</t>
        </is>
      </c>
      <c r="E673" t="inlineStr">
        <is>
          <t>SALA</t>
        </is>
      </c>
      <c r="F673" t="inlineStr">
        <is>
          <t>Kommuner</t>
        </is>
      </c>
      <c r="G673" t="n">
        <v>1.9</v>
      </c>
      <c r="H673" t="n">
        <v>0</v>
      </c>
      <c r="I673" t="n">
        <v>0</v>
      </c>
      <c r="J673" t="n">
        <v>0</v>
      </c>
      <c r="K673" t="n">
        <v>0</v>
      </c>
      <c r="L673" t="n">
        <v>0</v>
      </c>
      <c r="M673" t="n">
        <v>0</v>
      </c>
      <c r="N673" t="n">
        <v>0</v>
      </c>
      <c r="O673" t="n">
        <v>0</v>
      </c>
      <c r="P673" t="n">
        <v>0</v>
      </c>
      <c r="Q673" t="n">
        <v>0</v>
      </c>
      <c r="R673" s="2" t="inlineStr"/>
    </row>
    <row r="674" ht="15" customHeight="1">
      <c r="A674" t="inlineStr">
        <is>
          <t>A 12231-2023</t>
        </is>
      </c>
      <c r="B674" s="1" t="n">
        <v>44995</v>
      </c>
      <c r="C674" s="1" t="n">
        <v>45292</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12246-2023</t>
        </is>
      </c>
      <c r="B675" s="1" t="n">
        <v>44995</v>
      </c>
      <c r="C675" s="1" t="n">
        <v>45292</v>
      </c>
      <c r="D675" t="inlineStr">
        <is>
          <t>VÄSTMANLANDS LÄN</t>
        </is>
      </c>
      <c r="E675" t="inlineStr">
        <is>
          <t>SALA</t>
        </is>
      </c>
      <c r="G675" t="n">
        <v>2.4</v>
      </c>
      <c r="H675" t="n">
        <v>0</v>
      </c>
      <c r="I675" t="n">
        <v>0</v>
      </c>
      <c r="J675" t="n">
        <v>0</v>
      </c>
      <c r="K675" t="n">
        <v>0</v>
      </c>
      <c r="L675" t="n">
        <v>0</v>
      </c>
      <c r="M675" t="n">
        <v>0</v>
      </c>
      <c r="N675" t="n">
        <v>0</v>
      </c>
      <c r="O675" t="n">
        <v>0</v>
      </c>
      <c r="P675" t="n">
        <v>0</v>
      </c>
      <c r="Q675" t="n">
        <v>0</v>
      </c>
      <c r="R675" s="2" t="inlineStr"/>
    </row>
    <row r="676" ht="15" customHeight="1">
      <c r="A676" t="inlineStr">
        <is>
          <t>A 12272-2023</t>
        </is>
      </c>
      <c r="B676" s="1" t="n">
        <v>44995</v>
      </c>
      <c r="C676" s="1" t="n">
        <v>45292</v>
      </c>
      <c r="D676" t="inlineStr">
        <is>
          <t>VÄSTMANLANDS LÄN</t>
        </is>
      </c>
      <c r="E676" t="inlineStr">
        <is>
          <t>SALA</t>
        </is>
      </c>
      <c r="G676" t="n">
        <v>5.2</v>
      </c>
      <c r="H676" t="n">
        <v>0</v>
      </c>
      <c r="I676" t="n">
        <v>0</v>
      </c>
      <c r="J676" t="n">
        <v>0</v>
      </c>
      <c r="K676" t="n">
        <v>0</v>
      </c>
      <c r="L676" t="n">
        <v>0</v>
      </c>
      <c r="M676" t="n">
        <v>0</v>
      </c>
      <c r="N676" t="n">
        <v>0</v>
      </c>
      <c r="O676" t="n">
        <v>0</v>
      </c>
      <c r="P676" t="n">
        <v>0</v>
      </c>
      <c r="Q676" t="n">
        <v>0</v>
      </c>
      <c r="R676" s="2" t="inlineStr"/>
    </row>
    <row r="677" ht="15" customHeight="1">
      <c r="A677" t="inlineStr">
        <is>
          <t>A 12242-2023</t>
        </is>
      </c>
      <c r="B677" s="1" t="n">
        <v>44995</v>
      </c>
      <c r="C677" s="1" t="n">
        <v>45292</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12252-2023</t>
        </is>
      </c>
      <c r="B678" s="1" t="n">
        <v>44995</v>
      </c>
      <c r="C678" s="1" t="n">
        <v>45292</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12225-2023</t>
        </is>
      </c>
      <c r="B679" s="1" t="n">
        <v>44995</v>
      </c>
      <c r="C679" s="1" t="n">
        <v>45292</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12509-2023</t>
        </is>
      </c>
      <c r="B680" s="1" t="n">
        <v>45000</v>
      </c>
      <c r="C680" s="1" t="n">
        <v>45292</v>
      </c>
      <c r="D680" t="inlineStr">
        <is>
          <t>VÄSTMANLANDS LÄN</t>
        </is>
      </c>
      <c r="E680" t="inlineStr">
        <is>
          <t>SALA</t>
        </is>
      </c>
      <c r="G680" t="n">
        <v>13.9</v>
      </c>
      <c r="H680" t="n">
        <v>0</v>
      </c>
      <c r="I680" t="n">
        <v>0</v>
      </c>
      <c r="J680" t="n">
        <v>0</v>
      </c>
      <c r="K680" t="n">
        <v>0</v>
      </c>
      <c r="L680" t="n">
        <v>0</v>
      </c>
      <c r="M680" t="n">
        <v>0</v>
      </c>
      <c r="N680" t="n">
        <v>0</v>
      </c>
      <c r="O680" t="n">
        <v>0</v>
      </c>
      <c r="P680" t="n">
        <v>0</v>
      </c>
      <c r="Q680" t="n">
        <v>0</v>
      </c>
      <c r="R680" s="2" t="inlineStr"/>
    </row>
    <row r="681" ht="15" customHeight="1">
      <c r="A681" t="inlineStr">
        <is>
          <t>A 12510-2023</t>
        </is>
      </c>
      <c r="B681" s="1" t="n">
        <v>45000</v>
      </c>
      <c r="C681" s="1" t="n">
        <v>45292</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13146-2023</t>
        </is>
      </c>
      <c r="B682" s="1" t="n">
        <v>45002</v>
      </c>
      <c r="C682" s="1" t="n">
        <v>45292</v>
      </c>
      <c r="D682" t="inlineStr">
        <is>
          <t>VÄSTMANLANDS LÄN</t>
        </is>
      </c>
      <c r="E682" t="inlineStr">
        <is>
          <t>SALA</t>
        </is>
      </c>
      <c r="G682" t="n">
        <v>2.5</v>
      </c>
      <c r="H682" t="n">
        <v>0</v>
      </c>
      <c r="I682" t="n">
        <v>0</v>
      </c>
      <c r="J682" t="n">
        <v>0</v>
      </c>
      <c r="K682" t="n">
        <v>0</v>
      </c>
      <c r="L682" t="n">
        <v>0</v>
      </c>
      <c r="M682" t="n">
        <v>0</v>
      </c>
      <c r="N682" t="n">
        <v>0</v>
      </c>
      <c r="O682" t="n">
        <v>0</v>
      </c>
      <c r="P682" t="n">
        <v>0</v>
      </c>
      <c r="Q682" t="n">
        <v>0</v>
      </c>
      <c r="R682" s="2" t="inlineStr"/>
    </row>
    <row r="683" ht="15" customHeight="1">
      <c r="A683" t="inlineStr">
        <is>
          <t>A 13022-2023</t>
        </is>
      </c>
      <c r="B683" s="1" t="n">
        <v>45002</v>
      </c>
      <c r="C683" s="1" t="n">
        <v>45292</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13151-2023</t>
        </is>
      </c>
      <c r="B684" s="1" t="n">
        <v>45002</v>
      </c>
      <c r="C684" s="1" t="n">
        <v>45292</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13128-2023</t>
        </is>
      </c>
      <c r="B685" s="1" t="n">
        <v>45002</v>
      </c>
      <c r="C685" s="1" t="n">
        <v>45292</v>
      </c>
      <c r="D685" t="inlineStr">
        <is>
          <t>VÄSTMANLANDS LÄN</t>
        </is>
      </c>
      <c r="E685" t="inlineStr">
        <is>
          <t>SALA</t>
        </is>
      </c>
      <c r="G685" t="n">
        <v>7.9</v>
      </c>
      <c r="H685" t="n">
        <v>0</v>
      </c>
      <c r="I685" t="n">
        <v>0</v>
      </c>
      <c r="J685" t="n">
        <v>0</v>
      </c>
      <c r="K685" t="n">
        <v>0</v>
      </c>
      <c r="L685" t="n">
        <v>0</v>
      </c>
      <c r="M685" t="n">
        <v>0</v>
      </c>
      <c r="N685" t="n">
        <v>0</v>
      </c>
      <c r="O685" t="n">
        <v>0</v>
      </c>
      <c r="P685" t="n">
        <v>0</v>
      </c>
      <c r="Q685" t="n">
        <v>0</v>
      </c>
      <c r="R685" s="2" t="inlineStr"/>
    </row>
    <row r="686" ht="15" customHeight="1">
      <c r="A686" t="inlineStr">
        <is>
          <t>A 13153-2023</t>
        </is>
      </c>
      <c r="B686" s="1" t="n">
        <v>45002</v>
      </c>
      <c r="C686" s="1" t="n">
        <v>45292</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13059-2023</t>
        </is>
      </c>
      <c r="B687" s="1" t="n">
        <v>45002</v>
      </c>
      <c r="C687" s="1" t="n">
        <v>45292</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13857-2023</t>
        </is>
      </c>
      <c r="B688" s="1" t="n">
        <v>45007</v>
      </c>
      <c r="C688" s="1" t="n">
        <v>45292</v>
      </c>
      <c r="D688" t="inlineStr">
        <is>
          <t>VÄSTMANLANDS LÄN</t>
        </is>
      </c>
      <c r="E688" t="inlineStr">
        <is>
          <t>SALA</t>
        </is>
      </c>
      <c r="G688" t="n">
        <v>5.7</v>
      </c>
      <c r="H688" t="n">
        <v>0</v>
      </c>
      <c r="I688" t="n">
        <v>0</v>
      </c>
      <c r="J688" t="n">
        <v>0</v>
      </c>
      <c r="K688" t="n">
        <v>0</v>
      </c>
      <c r="L688" t="n">
        <v>0</v>
      </c>
      <c r="M688" t="n">
        <v>0</v>
      </c>
      <c r="N688" t="n">
        <v>0</v>
      </c>
      <c r="O688" t="n">
        <v>0</v>
      </c>
      <c r="P688" t="n">
        <v>0</v>
      </c>
      <c r="Q688" t="n">
        <v>0</v>
      </c>
      <c r="R688" s="2" t="inlineStr"/>
    </row>
    <row r="689" ht="15" customHeight="1">
      <c r="A689" t="inlineStr">
        <is>
          <t>A 13833-2023</t>
        </is>
      </c>
      <c r="B689" s="1" t="n">
        <v>45007</v>
      </c>
      <c r="C689" s="1" t="n">
        <v>45292</v>
      </c>
      <c r="D689" t="inlineStr">
        <is>
          <t>VÄSTMANLANDS LÄN</t>
        </is>
      </c>
      <c r="E689" t="inlineStr">
        <is>
          <t>SALA</t>
        </is>
      </c>
      <c r="G689" t="n">
        <v>4.3</v>
      </c>
      <c r="H689" t="n">
        <v>0</v>
      </c>
      <c r="I689" t="n">
        <v>0</v>
      </c>
      <c r="J689" t="n">
        <v>0</v>
      </c>
      <c r="K689" t="n">
        <v>0</v>
      </c>
      <c r="L689" t="n">
        <v>0</v>
      </c>
      <c r="M689" t="n">
        <v>0</v>
      </c>
      <c r="N689" t="n">
        <v>0</v>
      </c>
      <c r="O689" t="n">
        <v>0</v>
      </c>
      <c r="P689" t="n">
        <v>0</v>
      </c>
      <c r="Q689" t="n">
        <v>0</v>
      </c>
      <c r="R689" s="2" t="inlineStr"/>
    </row>
    <row r="690" ht="15" customHeight="1">
      <c r="A690" t="inlineStr">
        <is>
          <t>A 13855-2023</t>
        </is>
      </c>
      <c r="B690" s="1" t="n">
        <v>45007</v>
      </c>
      <c r="C690" s="1" t="n">
        <v>45292</v>
      </c>
      <c r="D690" t="inlineStr">
        <is>
          <t>VÄSTMANLANDS LÄN</t>
        </is>
      </c>
      <c r="E690" t="inlineStr">
        <is>
          <t>SALA</t>
        </is>
      </c>
      <c r="G690" t="n">
        <v>2.9</v>
      </c>
      <c r="H690" t="n">
        <v>0</v>
      </c>
      <c r="I690" t="n">
        <v>0</v>
      </c>
      <c r="J690" t="n">
        <v>0</v>
      </c>
      <c r="K690" t="n">
        <v>0</v>
      </c>
      <c r="L690" t="n">
        <v>0</v>
      </c>
      <c r="M690" t="n">
        <v>0</v>
      </c>
      <c r="N690" t="n">
        <v>0</v>
      </c>
      <c r="O690" t="n">
        <v>0</v>
      </c>
      <c r="P690" t="n">
        <v>0</v>
      </c>
      <c r="Q690" t="n">
        <v>0</v>
      </c>
      <c r="R690" s="2" t="inlineStr"/>
    </row>
    <row r="691" ht="15" customHeight="1">
      <c r="A691" t="inlineStr">
        <is>
          <t>A 13990-2023</t>
        </is>
      </c>
      <c r="B691" s="1" t="n">
        <v>45007</v>
      </c>
      <c r="C691" s="1" t="n">
        <v>45292</v>
      </c>
      <c r="D691" t="inlineStr">
        <is>
          <t>VÄSTMANLANDS LÄN</t>
        </is>
      </c>
      <c r="E691" t="inlineStr">
        <is>
          <t>SALA</t>
        </is>
      </c>
      <c r="G691" t="n">
        <v>2.6</v>
      </c>
      <c r="H691" t="n">
        <v>0</v>
      </c>
      <c r="I691" t="n">
        <v>0</v>
      </c>
      <c r="J691" t="n">
        <v>0</v>
      </c>
      <c r="K691" t="n">
        <v>0</v>
      </c>
      <c r="L691" t="n">
        <v>0</v>
      </c>
      <c r="M691" t="n">
        <v>0</v>
      </c>
      <c r="N691" t="n">
        <v>0</v>
      </c>
      <c r="O691" t="n">
        <v>0</v>
      </c>
      <c r="P691" t="n">
        <v>0</v>
      </c>
      <c r="Q691" t="n">
        <v>0</v>
      </c>
      <c r="R691" s="2" t="inlineStr"/>
    </row>
    <row r="692" ht="15" customHeight="1">
      <c r="A692" t="inlineStr">
        <is>
          <t>A 13987-2023</t>
        </is>
      </c>
      <c r="B692" s="1" t="n">
        <v>45007</v>
      </c>
      <c r="C692" s="1" t="n">
        <v>45292</v>
      </c>
      <c r="D692" t="inlineStr">
        <is>
          <t>VÄSTMANLANDS LÄN</t>
        </is>
      </c>
      <c r="E692" t="inlineStr">
        <is>
          <t>SALA</t>
        </is>
      </c>
      <c r="G692" t="n">
        <v>3.2</v>
      </c>
      <c r="H692" t="n">
        <v>0</v>
      </c>
      <c r="I692" t="n">
        <v>0</v>
      </c>
      <c r="J692" t="n">
        <v>0</v>
      </c>
      <c r="K692" t="n">
        <v>0</v>
      </c>
      <c r="L692" t="n">
        <v>0</v>
      </c>
      <c r="M692" t="n">
        <v>0</v>
      </c>
      <c r="N692" t="n">
        <v>0</v>
      </c>
      <c r="O692" t="n">
        <v>0</v>
      </c>
      <c r="P692" t="n">
        <v>0</v>
      </c>
      <c r="Q692" t="n">
        <v>0</v>
      </c>
      <c r="R692" s="2" t="inlineStr"/>
    </row>
    <row r="693" ht="15" customHeight="1">
      <c r="A693" t="inlineStr">
        <is>
          <t>A 13935-2023</t>
        </is>
      </c>
      <c r="B693" s="1" t="n">
        <v>45008</v>
      </c>
      <c r="C693" s="1" t="n">
        <v>45292</v>
      </c>
      <c r="D693" t="inlineStr">
        <is>
          <t>VÄSTMANLANDS LÄN</t>
        </is>
      </c>
      <c r="E693" t="inlineStr">
        <is>
          <t>SALA</t>
        </is>
      </c>
      <c r="G693" t="n">
        <v>0.7</v>
      </c>
      <c r="H693" t="n">
        <v>0</v>
      </c>
      <c r="I693" t="n">
        <v>0</v>
      </c>
      <c r="J693" t="n">
        <v>0</v>
      </c>
      <c r="K693" t="n">
        <v>0</v>
      </c>
      <c r="L693" t="n">
        <v>0</v>
      </c>
      <c r="M693" t="n">
        <v>0</v>
      </c>
      <c r="N693" t="n">
        <v>0</v>
      </c>
      <c r="O693" t="n">
        <v>0</v>
      </c>
      <c r="P693" t="n">
        <v>0</v>
      </c>
      <c r="Q693" t="n">
        <v>0</v>
      </c>
      <c r="R693" s="2" t="inlineStr"/>
    </row>
    <row r="694" ht="15" customHeight="1">
      <c r="A694" t="inlineStr">
        <is>
          <t>A 14578-2023</t>
        </is>
      </c>
      <c r="B694" s="1" t="n">
        <v>45013</v>
      </c>
      <c r="C694" s="1" t="n">
        <v>45292</v>
      </c>
      <c r="D694" t="inlineStr">
        <is>
          <t>VÄSTMANLANDS LÄN</t>
        </is>
      </c>
      <c r="E694" t="inlineStr">
        <is>
          <t>SALA</t>
        </is>
      </c>
      <c r="G694" t="n">
        <v>5.2</v>
      </c>
      <c r="H694" t="n">
        <v>0</v>
      </c>
      <c r="I694" t="n">
        <v>0</v>
      </c>
      <c r="J694" t="n">
        <v>0</v>
      </c>
      <c r="K694" t="n">
        <v>0</v>
      </c>
      <c r="L694" t="n">
        <v>0</v>
      </c>
      <c r="M694" t="n">
        <v>0</v>
      </c>
      <c r="N694" t="n">
        <v>0</v>
      </c>
      <c r="O694" t="n">
        <v>0</v>
      </c>
      <c r="P694" t="n">
        <v>0</v>
      </c>
      <c r="Q694" t="n">
        <v>0</v>
      </c>
      <c r="R694" s="2" t="inlineStr"/>
    </row>
    <row r="695" ht="15" customHeight="1">
      <c r="A695" t="inlineStr">
        <is>
          <t>A 14775-2023</t>
        </is>
      </c>
      <c r="B695" s="1" t="n">
        <v>45014</v>
      </c>
      <c r="C695" s="1" t="n">
        <v>45292</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14823-2023</t>
        </is>
      </c>
      <c r="B696" s="1" t="n">
        <v>45014</v>
      </c>
      <c r="C696" s="1" t="n">
        <v>45292</v>
      </c>
      <c r="D696" t="inlineStr">
        <is>
          <t>VÄSTMANLANDS LÄN</t>
        </is>
      </c>
      <c r="E696" t="inlineStr">
        <is>
          <t>SALA</t>
        </is>
      </c>
      <c r="F696" t="inlineStr">
        <is>
          <t>Kyrkan</t>
        </is>
      </c>
      <c r="G696" t="n">
        <v>3.1</v>
      </c>
      <c r="H696" t="n">
        <v>0</v>
      </c>
      <c r="I696" t="n">
        <v>0</v>
      </c>
      <c r="J696" t="n">
        <v>0</v>
      </c>
      <c r="K696" t="n">
        <v>0</v>
      </c>
      <c r="L696" t="n">
        <v>0</v>
      </c>
      <c r="M696" t="n">
        <v>0</v>
      </c>
      <c r="N696" t="n">
        <v>0</v>
      </c>
      <c r="O696" t="n">
        <v>0</v>
      </c>
      <c r="P696" t="n">
        <v>0</v>
      </c>
      <c r="Q696" t="n">
        <v>0</v>
      </c>
      <c r="R696" s="2" t="inlineStr"/>
    </row>
    <row r="697" ht="15" customHeight="1">
      <c r="A697" t="inlineStr">
        <is>
          <t>A 14790-2023</t>
        </is>
      </c>
      <c r="B697" s="1" t="n">
        <v>45014</v>
      </c>
      <c r="C697" s="1" t="n">
        <v>45292</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15589-2023</t>
        </is>
      </c>
      <c r="B698" s="1" t="n">
        <v>45020</v>
      </c>
      <c r="C698" s="1" t="n">
        <v>45292</v>
      </c>
      <c r="D698" t="inlineStr">
        <is>
          <t>VÄSTMANLANDS LÄN</t>
        </is>
      </c>
      <c r="E698" t="inlineStr">
        <is>
          <t>SALA</t>
        </is>
      </c>
      <c r="G698" t="n">
        <v>7.5</v>
      </c>
      <c r="H698" t="n">
        <v>0</v>
      </c>
      <c r="I698" t="n">
        <v>0</v>
      </c>
      <c r="J698" t="n">
        <v>0</v>
      </c>
      <c r="K698" t="n">
        <v>0</v>
      </c>
      <c r="L698" t="n">
        <v>0</v>
      </c>
      <c r="M698" t="n">
        <v>0</v>
      </c>
      <c r="N698" t="n">
        <v>0</v>
      </c>
      <c r="O698" t="n">
        <v>0</v>
      </c>
      <c r="P698" t="n">
        <v>0</v>
      </c>
      <c r="Q698" t="n">
        <v>0</v>
      </c>
      <c r="R698" s="2" t="inlineStr"/>
    </row>
    <row r="699" ht="15" customHeight="1">
      <c r="A699" t="inlineStr">
        <is>
          <t>A 15584-2023</t>
        </is>
      </c>
      <c r="B699" s="1" t="n">
        <v>45020</v>
      </c>
      <c r="C699" s="1" t="n">
        <v>45292</v>
      </c>
      <c r="D699" t="inlineStr">
        <is>
          <t>VÄSTMANLANDS LÄN</t>
        </is>
      </c>
      <c r="E699" t="inlineStr">
        <is>
          <t>SALA</t>
        </is>
      </c>
      <c r="G699" t="n">
        <v>4.2</v>
      </c>
      <c r="H699" t="n">
        <v>0</v>
      </c>
      <c r="I699" t="n">
        <v>0</v>
      </c>
      <c r="J699" t="n">
        <v>0</v>
      </c>
      <c r="K699" t="n">
        <v>0</v>
      </c>
      <c r="L699" t="n">
        <v>0</v>
      </c>
      <c r="M699" t="n">
        <v>0</v>
      </c>
      <c r="N699" t="n">
        <v>0</v>
      </c>
      <c r="O699" t="n">
        <v>0</v>
      </c>
      <c r="P699" t="n">
        <v>0</v>
      </c>
      <c r="Q699" t="n">
        <v>0</v>
      </c>
      <c r="R699" s="2" t="inlineStr"/>
    </row>
    <row r="700" ht="15" customHeight="1">
      <c r="A700" t="inlineStr">
        <is>
          <t>A 16003-2023</t>
        </is>
      </c>
      <c r="B700" s="1" t="n">
        <v>45024</v>
      </c>
      <c r="C700" s="1" t="n">
        <v>45292</v>
      </c>
      <c r="D700" t="inlineStr">
        <is>
          <t>VÄSTMANLANDS LÄN</t>
        </is>
      </c>
      <c r="E700" t="inlineStr">
        <is>
          <t>SALA</t>
        </is>
      </c>
      <c r="G700" t="n">
        <v>6.6</v>
      </c>
      <c r="H700" t="n">
        <v>0</v>
      </c>
      <c r="I700" t="n">
        <v>0</v>
      </c>
      <c r="J700" t="n">
        <v>0</v>
      </c>
      <c r="K700" t="n">
        <v>0</v>
      </c>
      <c r="L700" t="n">
        <v>0</v>
      </c>
      <c r="M700" t="n">
        <v>0</v>
      </c>
      <c r="N700" t="n">
        <v>0</v>
      </c>
      <c r="O700" t="n">
        <v>0</v>
      </c>
      <c r="P700" t="n">
        <v>0</v>
      </c>
      <c r="Q700" t="n">
        <v>0</v>
      </c>
      <c r="R700" s="2" t="inlineStr"/>
    </row>
    <row r="701" ht="15" customHeight="1">
      <c r="A701" t="inlineStr">
        <is>
          <t>A 16002-2023</t>
        </is>
      </c>
      <c r="B701" s="1" t="n">
        <v>45024</v>
      </c>
      <c r="C701" s="1" t="n">
        <v>45292</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16041-2023</t>
        </is>
      </c>
      <c r="B702" s="1" t="n">
        <v>45027</v>
      </c>
      <c r="C702" s="1" t="n">
        <v>45292</v>
      </c>
      <c r="D702" t="inlineStr">
        <is>
          <t>VÄSTMANLANDS LÄN</t>
        </is>
      </c>
      <c r="E702" t="inlineStr">
        <is>
          <t>SALA</t>
        </is>
      </c>
      <c r="G702" t="n">
        <v>3.1</v>
      </c>
      <c r="H702" t="n">
        <v>0</v>
      </c>
      <c r="I702" t="n">
        <v>0</v>
      </c>
      <c r="J702" t="n">
        <v>0</v>
      </c>
      <c r="K702" t="n">
        <v>0</v>
      </c>
      <c r="L702" t="n">
        <v>0</v>
      </c>
      <c r="M702" t="n">
        <v>0</v>
      </c>
      <c r="N702" t="n">
        <v>0</v>
      </c>
      <c r="O702" t="n">
        <v>0</v>
      </c>
      <c r="P702" t="n">
        <v>0</v>
      </c>
      <c r="Q702" t="n">
        <v>0</v>
      </c>
      <c r="R702" s="2" t="inlineStr"/>
    </row>
    <row r="703" ht="15" customHeight="1">
      <c r="A703" t="inlineStr">
        <is>
          <t>A 16142-2023</t>
        </is>
      </c>
      <c r="B703" s="1" t="n">
        <v>45027</v>
      </c>
      <c r="C703" s="1" t="n">
        <v>45292</v>
      </c>
      <c r="D703" t="inlineStr">
        <is>
          <t>VÄSTMANLANDS LÄN</t>
        </is>
      </c>
      <c r="E703" t="inlineStr">
        <is>
          <t>SALA</t>
        </is>
      </c>
      <c r="G703" t="n">
        <v>6.3</v>
      </c>
      <c r="H703" t="n">
        <v>0</v>
      </c>
      <c r="I703" t="n">
        <v>0</v>
      </c>
      <c r="J703" t="n">
        <v>0</v>
      </c>
      <c r="K703" t="n">
        <v>0</v>
      </c>
      <c r="L703" t="n">
        <v>0</v>
      </c>
      <c r="M703" t="n">
        <v>0</v>
      </c>
      <c r="N703" t="n">
        <v>0</v>
      </c>
      <c r="O703" t="n">
        <v>0</v>
      </c>
      <c r="P703" t="n">
        <v>0</v>
      </c>
      <c r="Q703" t="n">
        <v>0</v>
      </c>
      <c r="R703" s="2" t="inlineStr"/>
    </row>
    <row r="704" ht="15" customHeight="1">
      <c r="A704" t="inlineStr">
        <is>
          <t>A 16083-2023</t>
        </is>
      </c>
      <c r="B704" s="1" t="n">
        <v>45027</v>
      </c>
      <c r="C704" s="1" t="n">
        <v>45292</v>
      </c>
      <c r="D704" t="inlineStr">
        <is>
          <t>VÄSTMANLANDS LÄN</t>
        </is>
      </c>
      <c r="E704" t="inlineStr">
        <is>
          <t>SALA</t>
        </is>
      </c>
      <c r="G704" t="n">
        <v>4.4</v>
      </c>
      <c r="H704" t="n">
        <v>0</v>
      </c>
      <c r="I704" t="n">
        <v>0</v>
      </c>
      <c r="J704" t="n">
        <v>0</v>
      </c>
      <c r="K704" t="n">
        <v>0</v>
      </c>
      <c r="L704" t="n">
        <v>0</v>
      </c>
      <c r="M704" t="n">
        <v>0</v>
      </c>
      <c r="N704" t="n">
        <v>0</v>
      </c>
      <c r="O704" t="n">
        <v>0</v>
      </c>
      <c r="P704" t="n">
        <v>0</v>
      </c>
      <c r="Q704" t="n">
        <v>0</v>
      </c>
      <c r="R704" s="2" t="inlineStr"/>
    </row>
    <row r="705" ht="15" customHeight="1">
      <c r="A705" t="inlineStr">
        <is>
          <t>A 16638-2023</t>
        </is>
      </c>
      <c r="B705" s="1" t="n">
        <v>45027</v>
      </c>
      <c r="C705" s="1" t="n">
        <v>45292</v>
      </c>
      <c r="D705" t="inlineStr">
        <is>
          <t>VÄSTMANLANDS LÄN</t>
        </is>
      </c>
      <c r="E705" t="inlineStr">
        <is>
          <t>SALA</t>
        </is>
      </c>
      <c r="G705" t="n">
        <v>14.8</v>
      </c>
      <c r="H705" t="n">
        <v>0</v>
      </c>
      <c r="I705" t="n">
        <v>0</v>
      </c>
      <c r="J705" t="n">
        <v>0</v>
      </c>
      <c r="K705" t="n">
        <v>0</v>
      </c>
      <c r="L705" t="n">
        <v>0</v>
      </c>
      <c r="M705" t="n">
        <v>0</v>
      </c>
      <c r="N705" t="n">
        <v>0</v>
      </c>
      <c r="O705" t="n">
        <v>0</v>
      </c>
      <c r="P705" t="n">
        <v>0</v>
      </c>
      <c r="Q705" t="n">
        <v>0</v>
      </c>
      <c r="R705" s="2" t="inlineStr"/>
    </row>
    <row r="706" ht="15" customHeight="1">
      <c r="A706" t="inlineStr">
        <is>
          <t>A 16693-2023</t>
        </is>
      </c>
      <c r="B706" s="1" t="n">
        <v>45028</v>
      </c>
      <c r="C706" s="1" t="n">
        <v>45292</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16546-2023</t>
        </is>
      </c>
      <c r="B707" s="1" t="n">
        <v>45029</v>
      </c>
      <c r="C707" s="1" t="n">
        <v>45292</v>
      </c>
      <c r="D707" t="inlineStr">
        <is>
          <t>VÄSTMANLANDS LÄN</t>
        </is>
      </c>
      <c r="E707" t="inlineStr">
        <is>
          <t>SALA</t>
        </is>
      </c>
      <c r="F707" t="inlineStr">
        <is>
          <t>Sveaskog</t>
        </is>
      </c>
      <c r="G707" t="n">
        <v>0.5</v>
      </c>
      <c r="H707" t="n">
        <v>0</v>
      </c>
      <c r="I707" t="n">
        <v>0</v>
      </c>
      <c r="J707" t="n">
        <v>0</v>
      </c>
      <c r="K707" t="n">
        <v>0</v>
      </c>
      <c r="L707" t="n">
        <v>0</v>
      </c>
      <c r="M707" t="n">
        <v>0</v>
      </c>
      <c r="N707" t="n">
        <v>0</v>
      </c>
      <c r="O707" t="n">
        <v>0</v>
      </c>
      <c r="P707" t="n">
        <v>0</v>
      </c>
      <c r="Q707" t="n">
        <v>0</v>
      </c>
      <c r="R707" s="2" t="inlineStr"/>
    </row>
    <row r="708" ht="15" customHeight="1">
      <c r="A708" t="inlineStr">
        <is>
          <t>A 16543-2023</t>
        </is>
      </c>
      <c r="B708" s="1" t="n">
        <v>45029</v>
      </c>
      <c r="C708" s="1" t="n">
        <v>45292</v>
      </c>
      <c r="D708" t="inlineStr">
        <is>
          <t>VÄSTMANLANDS LÄN</t>
        </is>
      </c>
      <c r="E708" t="inlineStr">
        <is>
          <t>SALA</t>
        </is>
      </c>
      <c r="F708" t="inlineStr">
        <is>
          <t>Sveaskog</t>
        </is>
      </c>
      <c r="G708" t="n">
        <v>1.9</v>
      </c>
      <c r="H708" t="n">
        <v>0</v>
      </c>
      <c r="I708" t="n">
        <v>0</v>
      </c>
      <c r="J708" t="n">
        <v>0</v>
      </c>
      <c r="K708" t="n">
        <v>0</v>
      </c>
      <c r="L708" t="n">
        <v>0</v>
      </c>
      <c r="M708" t="n">
        <v>0</v>
      </c>
      <c r="N708" t="n">
        <v>0</v>
      </c>
      <c r="O708" t="n">
        <v>0</v>
      </c>
      <c r="P708" t="n">
        <v>0</v>
      </c>
      <c r="Q708" t="n">
        <v>0</v>
      </c>
      <c r="R708" s="2" t="inlineStr"/>
    </row>
    <row r="709" ht="15" customHeight="1">
      <c r="A709" t="inlineStr">
        <is>
          <t>A 16544-2023</t>
        </is>
      </c>
      <c r="B709" s="1" t="n">
        <v>45029</v>
      </c>
      <c r="C709" s="1" t="n">
        <v>45292</v>
      </c>
      <c r="D709" t="inlineStr">
        <is>
          <t>VÄSTMANLANDS LÄN</t>
        </is>
      </c>
      <c r="E709" t="inlineStr">
        <is>
          <t>SALA</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16547-2023</t>
        </is>
      </c>
      <c r="B710" s="1" t="n">
        <v>45029</v>
      </c>
      <c r="C710" s="1" t="n">
        <v>45292</v>
      </c>
      <c r="D710" t="inlineStr">
        <is>
          <t>VÄSTMANLANDS LÄN</t>
        </is>
      </c>
      <c r="E710" t="inlineStr">
        <is>
          <t>SALA</t>
        </is>
      </c>
      <c r="F710" t="inlineStr">
        <is>
          <t>Sveaskog</t>
        </is>
      </c>
      <c r="G710" t="n">
        <v>11.2</v>
      </c>
      <c r="H710" t="n">
        <v>0</v>
      </c>
      <c r="I710" t="n">
        <v>0</v>
      </c>
      <c r="J710" t="n">
        <v>0</v>
      </c>
      <c r="K710" t="n">
        <v>0</v>
      </c>
      <c r="L710" t="n">
        <v>0</v>
      </c>
      <c r="M710" t="n">
        <v>0</v>
      </c>
      <c r="N710" t="n">
        <v>0</v>
      </c>
      <c r="O710" t="n">
        <v>0</v>
      </c>
      <c r="P710" t="n">
        <v>0</v>
      </c>
      <c r="Q710" t="n">
        <v>0</v>
      </c>
      <c r="R710" s="2" t="inlineStr"/>
    </row>
    <row r="711" ht="15" customHeight="1">
      <c r="A711" t="inlineStr">
        <is>
          <t>A 16545-2023</t>
        </is>
      </c>
      <c r="B711" s="1" t="n">
        <v>45029</v>
      </c>
      <c r="C711" s="1" t="n">
        <v>45292</v>
      </c>
      <c r="D711" t="inlineStr">
        <is>
          <t>VÄSTMANLANDS LÄN</t>
        </is>
      </c>
      <c r="E711" t="inlineStr">
        <is>
          <t>SALA</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16984-2023</t>
        </is>
      </c>
      <c r="B712" s="1" t="n">
        <v>45033</v>
      </c>
      <c r="C712" s="1" t="n">
        <v>45292</v>
      </c>
      <c r="D712" t="inlineStr">
        <is>
          <t>VÄSTMANLANDS LÄN</t>
        </is>
      </c>
      <c r="E712" t="inlineStr">
        <is>
          <t>SALA</t>
        </is>
      </c>
      <c r="G712" t="n">
        <v>0.8</v>
      </c>
      <c r="H712" t="n">
        <v>0</v>
      </c>
      <c r="I712" t="n">
        <v>0</v>
      </c>
      <c r="J712" t="n">
        <v>0</v>
      </c>
      <c r="K712" t="n">
        <v>0</v>
      </c>
      <c r="L712" t="n">
        <v>0</v>
      </c>
      <c r="M712" t="n">
        <v>0</v>
      </c>
      <c r="N712" t="n">
        <v>0</v>
      </c>
      <c r="O712" t="n">
        <v>0</v>
      </c>
      <c r="P712" t="n">
        <v>0</v>
      </c>
      <c r="Q712" t="n">
        <v>0</v>
      </c>
      <c r="R712" s="2" t="inlineStr"/>
    </row>
    <row r="713" ht="15" customHeight="1">
      <c r="A713" t="inlineStr">
        <is>
          <t>A 17079-2023</t>
        </is>
      </c>
      <c r="B713" s="1" t="n">
        <v>45034</v>
      </c>
      <c r="C713" s="1" t="n">
        <v>45292</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17117-2023</t>
        </is>
      </c>
      <c r="B714" s="1" t="n">
        <v>45034</v>
      </c>
      <c r="C714" s="1" t="n">
        <v>45292</v>
      </c>
      <c r="D714" t="inlineStr">
        <is>
          <t>VÄSTMANLANDS LÄN</t>
        </is>
      </c>
      <c r="E714" t="inlineStr">
        <is>
          <t>SALA</t>
        </is>
      </c>
      <c r="G714" t="n">
        <v>0.4</v>
      </c>
      <c r="H714" t="n">
        <v>0</v>
      </c>
      <c r="I714" t="n">
        <v>0</v>
      </c>
      <c r="J714" t="n">
        <v>0</v>
      </c>
      <c r="K714" t="n">
        <v>0</v>
      </c>
      <c r="L714" t="n">
        <v>0</v>
      </c>
      <c r="M714" t="n">
        <v>0</v>
      </c>
      <c r="N714" t="n">
        <v>0</v>
      </c>
      <c r="O714" t="n">
        <v>0</v>
      </c>
      <c r="P714" t="n">
        <v>0</v>
      </c>
      <c r="Q714" t="n">
        <v>0</v>
      </c>
      <c r="R714" s="2" t="inlineStr"/>
    </row>
    <row r="715" ht="15" customHeight="1">
      <c r="A715" t="inlineStr">
        <is>
          <t>A 17109-2023</t>
        </is>
      </c>
      <c r="B715" s="1" t="n">
        <v>45034</v>
      </c>
      <c r="C715" s="1" t="n">
        <v>45292</v>
      </c>
      <c r="D715" t="inlineStr">
        <is>
          <t>VÄSTMANLANDS LÄN</t>
        </is>
      </c>
      <c r="E715" t="inlineStr">
        <is>
          <t>SALA</t>
        </is>
      </c>
      <c r="G715" t="n">
        <v>5.8</v>
      </c>
      <c r="H715" t="n">
        <v>0</v>
      </c>
      <c r="I715" t="n">
        <v>0</v>
      </c>
      <c r="J715" t="n">
        <v>0</v>
      </c>
      <c r="K715" t="n">
        <v>0</v>
      </c>
      <c r="L715" t="n">
        <v>0</v>
      </c>
      <c r="M715" t="n">
        <v>0</v>
      </c>
      <c r="N715" t="n">
        <v>0</v>
      </c>
      <c r="O715" t="n">
        <v>0</v>
      </c>
      <c r="P715" t="n">
        <v>0</v>
      </c>
      <c r="Q715" t="n">
        <v>0</v>
      </c>
      <c r="R715" s="2" t="inlineStr"/>
    </row>
    <row r="716" ht="15" customHeight="1">
      <c r="A716" t="inlineStr">
        <is>
          <t>A 17120-2023</t>
        </is>
      </c>
      <c r="B716" s="1" t="n">
        <v>45034</v>
      </c>
      <c r="C716" s="1" t="n">
        <v>45292</v>
      </c>
      <c r="D716" t="inlineStr">
        <is>
          <t>VÄSTMANLANDS LÄN</t>
        </is>
      </c>
      <c r="E716" t="inlineStr">
        <is>
          <t>SALA</t>
        </is>
      </c>
      <c r="G716" t="n">
        <v>0.1</v>
      </c>
      <c r="H716" t="n">
        <v>0</v>
      </c>
      <c r="I716" t="n">
        <v>0</v>
      </c>
      <c r="J716" t="n">
        <v>0</v>
      </c>
      <c r="K716" t="n">
        <v>0</v>
      </c>
      <c r="L716" t="n">
        <v>0</v>
      </c>
      <c r="M716" t="n">
        <v>0</v>
      </c>
      <c r="N716" t="n">
        <v>0</v>
      </c>
      <c r="O716" t="n">
        <v>0</v>
      </c>
      <c r="P716" t="n">
        <v>0</v>
      </c>
      <c r="Q716" t="n">
        <v>0</v>
      </c>
      <c r="R716" s="2" t="inlineStr"/>
    </row>
    <row r="717" ht="15" customHeight="1">
      <c r="A717" t="inlineStr">
        <is>
          <t>A 18100-2023</t>
        </is>
      </c>
      <c r="B717" s="1" t="n">
        <v>45040</v>
      </c>
      <c r="C717" s="1" t="n">
        <v>45292</v>
      </c>
      <c r="D717" t="inlineStr">
        <is>
          <t>VÄSTMANLANDS LÄN</t>
        </is>
      </c>
      <c r="E717" t="inlineStr">
        <is>
          <t>SALA</t>
        </is>
      </c>
      <c r="G717" t="n">
        <v>1.8</v>
      </c>
      <c r="H717" t="n">
        <v>0</v>
      </c>
      <c r="I717" t="n">
        <v>0</v>
      </c>
      <c r="J717" t="n">
        <v>0</v>
      </c>
      <c r="K717" t="n">
        <v>0</v>
      </c>
      <c r="L717" t="n">
        <v>0</v>
      </c>
      <c r="M717" t="n">
        <v>0</v>
      </c>
      <c r="N717" t="n">
        <v>0</v>
      </c>
      <c r="O717" t="n">
        <v>0</v>
      </c>
      <c r="P717" t="n">
        <v>0</v>
      </c>
      <c r="Q717" t="n">
        <v>0</v>
      </c>
      <c r="R717" s="2" t="inlineStr"/>
    </row>
    <row r="718" ht="15" customHeight="1">
      <c r="A718" t="inlineStr">
        <is>
          <t>A 18431-2023</t>
        </is>
      </c>
      <c r="B718" s="1" t="n">
        <v>45042</v>
      </c>
      <c r="C718" s="1" t="n">
        <v>45292</v>
      </c>
      <c r="D718" t="inlineStr">
        <is>
          <t>VÄSTMANLANDS LÄN</t>
        </is>
      </c>
      <c r="E718" t="inlineStr">
        <is>
          <t>SALA</t>
        </is>
      </c>
      <c r="G718" t="n">
        <v>1.9</v>
      </c>
      <c r="H718" t="n">
        <v>0</v>
      </c>
      <c r="I718" t="n">
        <v>0</v>
      </c>
      <c r="J718" t="n">
        <v>0</v>
      </c>
      <c r="K718" t="n">
        <v>0</v>
      </c>
      <c r="L718" t="n">
        <v>0</v>
      </c>
      <c r="M718" t="n">
        <v>0</v>
      </c>
      <c r="N718" t="n">
        <v>0</v>
      </c>
      <c r="O718" t="n">
        <v>0</v>
      </c>
      <c r="P718" t="n">
        <v>0</v>
      </c>
      <c r="Q718" t="n">
        <v>0</v>
      </c>
      <c r="R718" s="2" t="inlineStr"/>
    </row>
    <row r="719" ht="15" customHeight="1">
      <c r="A719" t="inlineStr">
        <is>
          <t>A 18877-2023</t>
        </is>
      </c>
      <c r="B719" s="1" t="n">
        <v>45044</v>
      </c>
      <c r="C719" s="1" t="n">
        <v>45292</v>
      </c>
      <c r="D719" t="inlineStr">
        <is>
          <t>VÄSTMANLANDS LÄN</t>
        </is>
      </c>
      <c r="E719" t="inlineStr">
        <is>
          <t>SALA</t>
        </is>
      </c>
      <c r="F719" t="inlineStr">
        <is>
          <t>Kommuner</t>
        </is>
      </c>
      <c r="G719" t="n">
        <v>4.4</v>
      </c>
      <c r="H719" t="n">
        <v>0</v>
      </c>
      <c r="I719" t="n">
        <v>0</v>
      </c>
      <c r="J719" t="n">
        <v>0</v>
      </c>
      <c r="K719" t="n">
        <v>0</v>
      </c>
      <c r="L719" t="n">
        <v>0</v>
      </c>
      <c r="M719" t="n">
        <v>0</v>
      </c>
      <c r="N719" t="n">
        <v>0</v>
      </c>
      <c r="O719" t="n">
        <v>0</v>
      </c>
      <c r="P719" t="n">
        <v>0</v>
      </c>
      <c r="Q719" t="n">
        <v>0</v>
      </c>
      <c r="R719" s="2" t="inlineStr"/>
    </row>
    <row r="720" ht="15" customHeight="1">
      <c r="A720" t="inlineStr">
        <is>
          <t>A 19916-2023</t>
        </is>
      </c>
      <c r="B720" s="1" t="n">
        <v>45054</v>
      </c>
      <c r="C720" s="1" t="n">
        <v>45292</v>
      </c>
      <c r="D720" t="inlineStr">
        <is>
          <t>VÄSTMANLANDS LÄN</t>
        </is>
      </c>
      <c r="E720" t="inlineStr">
        <is>
          <t>SALA</t>
        </is>
      </c>
      <c r="G720" t="n">
        <v>9.9</v>
      </c>
      <c r="H720" t="n">
        <v>0</v>
      </c>
      <c r="I720" t="n">
        <v>0</v>
      </c>
      <c r="J720" t="n">
        <v>0</v>
      </c>
      <c r="K720" t="n">
        <v>0</v>
      </c>
      <c r="L720" t="n">
        <v>0</v>
      </c>
      <c r="M720" t="n">
        <v>0</v>
      </c>
      <c r="N720" t="n">
        <v>0</v>
      </c>
      <c r="O720" t="n">
        <v>0</v>
      </c>
      <c r="P720" t="n">
        <v>0</v>
      </c>
      <c r="Q720" t="n">
        <v>0</v>
      </c>
      <c r="R720" s="2" t="inlineStr"/>
    </row>
    <row r="721" ht="15" customHeight="1">
      <c r="A721" t="inlineStr">
        <is>
          <t>A 20568-2023</t>
        </is>
      </c>
      <c r="B721" s="1" t="n">
        <v>45055</v>
      </c>
      <c r="C721" s="1" t="n">
        <v>45292</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20567-2023</t>
        </is>
      </c>
      <c r="B722" s="1" t="n">
        <v>45055</v>
      </c>
      <c r="C722" s="1" t="n">
        <v>45292</v>
      </c>
      <c r="D722" t="inlineStr">
        <is>
          <t>VÄSTMANLANDS LÄN</t>
        </is>
      </c>
      <c r="E722" t="inlineStr">
        <is>
          <t>SALA</t>
        </is>
      </c>
      <c r="G722" t="n">
        <v>1.4</v>
      </c>
      <c r="H722" t="n">
        <v>0</v>
      </c>
      <c r="I722" t="n">
        <v>0</v>
      </c>
      <c r="J722" t="n">
        <v>0</v>
      </c>
      <c r="K722" t="n">
        <v>0</v>
      </c>
      <c r="L722" t="n">
        <v>0</v>
      </c>
      <c r="M722" t="n">
        <v>0</v>
      </c>
      <c r="N722" t="n">
        <v>0</v>
      </c>
      <c r="O722" t="n">
        <v>0</v>
      </c>
      <c r="P722" t="n">
        <v>0</v>
      </c>
      <c r="Q722" t="n">
        <v>0</v>
      </c>
      <c r="R722" s="2" t="inlineStr"/>
    </row>
    <row r="723" ht="15" customHeight="1">
      <c r="A723" t="inlineStr">
        <is>
          <t>A 20405-2023</t>
        </is>
      </c>
      <c r="B723" s="1" t="n">
        <v>45056</v>
      </c>
      <c r="C723" s="1" t="n">
        <v>45292</v>
      </c>
      <c r="D723" t="inlineStr">
        <is>
          <t>VÄSTMANLANDS LÄN</t>
        </is>
      </c>
      <c r="E723" t="inlineStr">
        <is>
          <t>SALA</t>
        </is>
      </c>
      <c r="G723" t="n">
        <v>2</v>
      </c>
      <c r="H723" t="n">
        <v>0</v>
      </c>
      <c r="I723" t="n">
        <v>0</v>
      </c>
      <c r="J723" t="n">
        <v>0</v>
      </c>
      <c r="K723" t="n">
        <v>0</v>
      </c>
      <c r="L723" t="n">
        <v>0</v>
      </c>
      <c r="M723" t="n">
        <v>0</v>
      </c>
      <c r="N723" t="n">
        <v>0</v>
      </c>
      <c r="O723" t="n">
        <v>0</v>
      </c>
      <c r="P723" t="n">
        <v>0</v>
      </c>
      <c r="Q723" t="n">
        <v>0</v>
      </c>
      <c r="R723" s="2" t="inlineStr"/>
    </row>
    <row r="724" ht="15" customHeight="1">
      <c r="A724" t="inlineStr">
        <is>
          <t>A 20587-2023</t>
        </is>
      </c>
      <c r="B724" s="1" t="n">
        <v>45057</v>
      </c>
      <c r="C724" s="1" t="n">
        <v>45292</v>
      </c>
      <c r="D724" t="inlineStr">
        <is>
          <t>VÄSTMANLANDS LÄN</t>
        </is>
      </c>
      <c r="E724" t="inlineStr">
        <is>
          <t>SALA</t>
        </is>
      </c>
      <c r="G724" t="n">
        <v>1</v>
      </c>
      <c r="H724" t="n">
        <v>0</v>
      </c>
      <c r="I724" t="n">
        <v>0</v>
      </c>
      <c r="J724" t="n">
        <v>0</v>
      </c>
      <c r="K724" t="n">
        <v>0</v>
      </c>
      <c r="L724" t="n">
        <v>0</v>
      </c>
      <c r="M724" t="n">
        <v>0</v>
      </c>
      <c r="N724" t="n">
        <v>0</v>
      </c>
      <c r="O724" t="n">
        <v>0</v>
      </c>
      <c r="P724" t="n">
        <v>0</v>
      </c>
      <c r="Q724" t="n">
        <v>0</v>
      </c>
      <c r="R724" s="2" t="inlineStr"/>
    </row>
    <row r="725" ht="15" customHeight="1">
      <c r="A725" t="inlineStr">
        <is>
          <t>A 21455-2023</t>
        </is>
      </c>
      <c r="B725" s="1" t="n">
        <v>45058</v>
      </c>
      <c r="C725" s="1" t="n">
        <v>45292</v>
      </c>
      <c r="D725" t="inlineStr">
        <is>
          <t>VÄSTMANLANDS LÄN</t>
        </is>
      </c>
      <c r="E725" t="inlineStr">
        <is>
          <t>SALA</t>
        </is>
      </c>
      <c r="G725" t="n">
        <v>6.4</v>
      </c>
      <c r="H725" t="n">
        <v>0</v>
      </c>
      <c r="I725" t="n">
        <v>0</v>
      </c>
      <c r="J725" t="n">
        <v>0</v>
      </c>
      <c r="K725" t="n">
        <v>0</v>
      </c>
      <c r="L725" t="n">
        <v>0</v>
      </c>
      <c r="M725" t="n">
        <v>0</v>
      </c>
      <c r="N725" t="n">
        <v>0</v>
      </c>
      <c r="O725" t="n">
        <v>0</v>
      </c>
      <c r="P725" t="n">
        <v>0</v>
      </c>
      <c r="Q725" t="n">
        <v>0</v>
      </c>
      <c r="R725" s="2" t="inlineStr"/>
    </row>
    <row r="726" ht="15" customHeight="1">
      <c r="A726" t="inlineStr">
        <is>
          <t>A 22097-2023</t>
        </is>
      </c>
      <c r="B726" s="1" t="n">
        <v>45065</v>
      </c>
      <c r="C726" s="1" t="n">
        <v>45292</v>
      </c>
      <c r="D726" t="inlineStr">
        <is>
          <t>VÄSTMANLANDS LÄN</t>
        </is>
      </c>
      <c r="E726" t="inlineStr">
        <is>
          <t>SALA</t>
        </is>
      </c>
      <c r="G726" t="n">
        <v>3.6</v>
      </c>
      <c r="H726" t="n">
        <v>0</v>
      </c>
      <c r="I726" t="n">
        <v>0</v>
      </c>
      <c r="J726" t="n">
        <v>0</v>
      </c>
      <c r="K726" t="n">
        <v>0</v>
      </c>
      <c r="L726" t="n">
        <v>0</v>
      </c>
      <c r="M726" t="n">
        <v>0</v>
      </c>
      <c r="N726" t="n">
        <v>0</v>
      </c>
      <c r="O726" t="n">
        <v>0</v>
      </c>
      <c r="P726" t="n">
        <v>0</v>
      </c>
      <c r="Q726" t="n">
        <v>0</v>
      </c>
      <c r="R726" s="2" t="inlineStr"/>
    </row>
    <row r="727" ht="15" customHeight="1">
      <c r="A727" t="inlineStr">
        <is>
          <t>A 22076-2023</t>
        </is>
      </c>
      <c r="B727" s="1" t="n">
        <v>45069</v>
      </c>
      <c r="C727" s="1" t="n">
        <v>45292</v>
      </c>
      <c r="D727" t="inlineStr">
        <is>
          <t>VÄSTMANLANDS LÄN</t>
        </is>
      </c>
      <c r="E727" t="inlineStr">
        <is>
          <t>SALA</t>
        </is>
      </c>
      <c r="G727" t="n">
        <v>5.3</v>
      </c>
      <c r="H727" t="n">
        <v>0</v>
      </c>
      <c r="I727" t="n">
        <v>0</v>
      </c>
      <c r="J727" t="n">
        <v>0</v>
      </c>
      <c r="K727" t="n">
        <v>0</v>
      </c>
      <c r="L727" t="n">
        <v>0</v>
      </c>
      <c r="M727" t="n">
        <v>0</v>
      </c>
      <c r="N727" t="n">
        <v>0</v>
      </c>
      <c r="O727" t="n">
        <v>0</v>
      </c>
      <c r="P727" t="n">
        <v>0</v>
      </c>
      <c r="Q727" t="n">
        <v>0</v>
      </c>
      <c r="R727" s="2" t="inlineStr"/>
    </row>
    <row r="728" ht="15" customHeight="1">
      <c r="A728" t="inlineStr">
        <is>
          <t>A 22146-2023</t>
        </is>
      </c>
      <c r="B728" s="1" t="n">
        <v>45069</v>
      </c>
      <c r="C728" s="1" t="n">
        <v>45292</v>
      </c>
      <c r="D728" t="inlineStr">
        <is>
          <t>VÄSTMANLANDS LÄN</t>
        </is>
      </c>
      <c r="E728" t="inlineStr">
        <is>
          <t>SALA</t>
        </is>
      </c>
      <c r="F728" t="inlineStr">
        <is>
          <t>Kommuner</t>
        </is>
      </c>
      <c r="G728" t="n">
        <v>9.9</v>
      </c>
      <c r="H728" t="n">
        <v>0</v>
      </c>
      <c r="I728" t="n">
        <v>0</v>
      </c>
      <c r="J728" t="n">
        <v>0</v>
      </c>
      <c r="K728" t="n">
        <v>0</v>
      </c>
      <c r="L728" t="n">
        <v>0</v>
      </c>
      <c r="M728" t="n">
        <v>0</v>
      </c>
      <c r="N728" t="n">
        <v>0</v>
      </c>
      <c r="O728" t="n">
        <v>0</v>
      </c>
      <c r="P728" t="n">
        <v>0</v>
      </c>
      <c r="Q728" t="n">
        <v>0</v>
      </c>
      <c r="R728" s="2" t="inlineStr"/>
    </row>
    <row r="729" ht="15" customHeight="1">
      <c r="A729" t="inlineStr">
        <is>
          <t>A 22091-2023</t>
        </is>
      </c>
      <c r="B729" s="1" t="n">
        <v>45069</v>
      </c>
      <c r="C729" s="1" t="n">
        <v>45292</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22082-2023</t>
        </is>
      </c>
      <c r="B730" s="1" t="n">
        <v>45069</v>
      </c>
      <c r="C730" s="1" t="n">
        <v>45292</v>
      </c>
      <c r="D730" t="inlineStr">
        <is>
          <t>VÄSTMANLANDS LÄN</t>
        </is>
      </c>
      <c r="E730" t="inlineStr">
        <is>
          <t>SALA</t>
        </is>
      </c>
      <c r="G730" t="n">
        <v>1.7</v>
      </c>
      <c r="H730" t="n">
        <v>0</v>
      </c>
      <c r="I730" t="n">
        <v>0</v>
      </c>
      <c r="J730" t="n">
        <v>0</v>
      </c>
      <c r="K730" t="n">
        <v>0</v>
      </c>
      <c r="L730" t="n">
        <v>0</v>
      </c>
      <c r="M730" t="n">
        <v>0</v>
      </c>
      <c r="N730" t="n">
        <v>0</v>
      </c>
      <c r="O730" t="n">
        <v>0</v>
      </c>
      <c r="P730" t="n">
        <v>0</v>
      </c>
      <c r="Q730" t="n">
        <v>0</v>
      </c>
      <c r="R730" s="2" t="inlineStr"/>
    </row>
    <row r="731" ht="15" customHeight="1">
      <c r="A731" t="inlineStr">
        <is>
          <t>A 22523-2023</t>
        </is>
      </c>
      <c r="B731" s="1" t="n">
        <v>45069</v>
      </c>
      <c r="C731" s="1" t="n">
        <v>45292</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22921-2023</t>
        </is>
      </c>
      <c r="B732" s="1" t="n">
        <v>45070</v>
      </c>
      <c r="C732" s="1" t="n">
        <v>45292</v>
      </c>
      <c r="D732" t="inlineStr">
        <is>
          <t>VÄSTMANLANDS LÄN</t>
        </is>
      </c>
      <c r="E732" t="inlineStr">
        <is>
          <t>SALA</t>
        </is>
      </c>
      <c r="G732" t="n">
        <v>1.3</v>
      </c>
      <c r="H732" t="n">
        <v>0</v>
      </c>
      <c r="I732" t="n">
        <v>0</v>
      </c>
      <c r="J732" t="n">
        <v>0</v>
      </c>
      <c r="K732" t="n">
        <v>0</v>
      </c>
      <c r="L732" t="n">
        <v>0</v>
      </c>
      <c r="M732" t="n">
        <v>0</v>
      </c>
      <c r="N732" t="n">
        <v>0</v>
      </c>
      <c r="O732" t="n">
        <v>0</v>
      </c>
      <c r="P732" t="n">
        <v>0</v>
      </c>
      <c r="Q732" t="n">
        <v>0</v>
      </c>
      <c r="R732" s="2" t="inlineStr"/>
    </row>
    <row r="733" ht="15" customHeight="1">
      <c r="A733" t="inlineStr">
        <is>
          <t>A 22963-2023</t>
        </is>
      </c>
      <c r="B733" s="1" t="n">
        <v>45072</v>
      </c>
      <c r="C733" s="1" t="n">
        <v>45292</v>
      </c>
      <c r="D733" t="inlineStr">
        <is>
          <t>VÄSTMANLANDS LÄN</t>
        </is>
      </c>
      <c r="E733" t="inlineStr">
        <is>
          <t>SALA</t>
        </is>
      </c>
      <c r="G733" t="n">
        <v>1.2</v>
      </c>
      <c r="H733" t="n">
        <v>0</v>
      </c>
      <c r="I733" t="n">
        <v>0</v>
      </c>
      <c r="J733" t="n">
        <v>0</v>
      </c>
      <c r="K733" t="n">
        <v>0</v>
      </c>
      <c r="L733" t="n">
        <v>0</v>
      </c>
      <c r="M733" t="n">
        <v>0</v>
      </c>
      <c r="N733" t="n">
        <v>0</v>
      </c>
      <c r="O733" t="n">
        <v>0</v>
      </c>
      <c r="P733" t="n">
        <v>0</v>
      </c>
      <c r="Q733" t="n">
        <v>0</v>
      </c>
      <c r="R733" s="2" t="inlineStr"/>
    </row>
    <row r="734" ht="15" customHeight="1">
      <c r="A734" t="inlineStr">
        <is>
          <t>A 22961-2023</t>
        </is>
      </c>
      <c r="B734" s="1" t="n">
        <v>45072</v>
      </c>
      <c r="C734" s="1" t="n">
        <v>45292</v>
      </c>
      <c r="D734" t="inlineStr">
        <is>
          <t>VÄSTMANLANDS LÄN</t>
        </is>
      </c>
      <c r="E734" t="inlineStr">
        <is>
          <t>SALA</t>
        </is>
      </c>
      <c r="G734" t="n">
        <v>2.7</v>
      </c>
      <c r="H734" t="n">
        <v>0</v>
      </c>
      <c r="I734" t="n">
        <v>0</v>
      </c>
      <c r="J734" t="n">
        <v>0</v>
      </c>
      <c r="K734" t="n">
        <v>0</v>
      </c>
      <c r="L734" t="n">
        <v>0</v>
      </c>
      <c r="M734" t="n">
        <v>0</v>
      </c>
      <c r="N734" t="n">
        <v>0</v>
      </c>
      <c r="O734" t="n">
        <v>0</v>
      </c>
      <c r="P734" t="n">
        <v>0</v>
      </c>
      <c r="Q734" t="n">
        <v>0</v>
      </c>
      <c r="R734" s="2" t="inlineStr"/>
    </row>
    <row r="735" ht="15" customHeight="1">
      <c r="A735" t="inlineStr">
        <is>
          <t>A 23145-2023</t>
        </is>
      </c>
      <c r="B735" s="1" t="n">
        <v>45075</v>
      </c>
      <c r="C735" s="1" t="n">
        <v>45292</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23146-2023</t>
        </is>
      </c>
      <c r="B736" s="1" t="n">
        <v>45075</v>
      </c>
      <c r="C736" s="1" t="n">
        <v>45292</v>
      </c>
      <c r="D736" t="inlineStr">
        <is>
          <t>VÄSTMANLANDS LÄN</t>
        </is>
      </c>
      <c r="E736" t="inlineStr">
        <is>
          <t>SALA</t>
        </is>
      </c>
      <c r="G736" t="n">
        <v>1.7</v>
      </c>
      <c r="H736" t="n">
        <v>0</v>
      </c>
      <c r="I736" t="n">
        <v>0</v>
      </c>
      <c r="J736" t="n">
        <v>0</v>
      </c>
      <c r="K736" t="n">
        <v>0</v>
      </c>
      <c r="L736" t="n">
        <v>0</v>
      </c>
      <c r="M736" t="n">
        <v>0</v>
      </c>
      <c r="N736" t="n">
        <v>0</v>
      </c>
      <c r="O736" t="n">
        <v>0</v>
      </c>
      <c r="P736" t="n">
        <v>0</v>
      </c>
      <c r="Q736" t="n">
        <v>0</v>
      </c>
      <c r="R736" s="2" t="inlineStr"/>
    </row>
    <row r="737" ht="15" customHeight="1">
      <c r="A737" t="inlineStr">
        <is>
          <t>A 23224-2023</t>
        </is>
      </c>
      <c r="B737" s="1" t="n">
        <v>45075</v>
      </c>
      <c r="C737" s="1" t="n">
        <v>45292</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23229-2023</t>
        </is>
      </c>
      <c r="B738" s="1" t="n">
        <v>45075</v>
      </c>
      <c r="C738" s="1" t="n">
        <v>45292</v>
      </c>
      <c r="D738" t="inlineStr">
        <is>
          <t>VÄSTMANLANDS LÄN</t>
        </is>
      </c>
      <c r="E738" t="inlineStr">
        <is>
          <t>SALA</t>
        </is>
      </c>
      <c r="G738" t="n">
        <v>20.8</v>
      </c>
      <c r="H738" t="n">
        <v>0</v>
      </c>
      <c r="I738" t="n">
        <v>0</v>
      </c>
      <c r="J738" t="n">
        <v>0</v>
      </c>
      <c r="K738" t="n">
        <v>0</v>
      </c>
      <c r="L738" t="n">
        <v>0</v>
      </c>
      <c r="M738" t="n">
        <v>0</v>
      </c>
      <c r="N738" t="n">
        <v>0</v>
      </c>
      <c r="O738" t="n">
        <v>0</v>
      </c>
      <c r="P738" t="n">
        <v>0</v>
      </c>
      <c r="Q738" t="n">
        <v>0</v>
      </c>
      <c r="R738" s="2" t="inlineStr"/>
    </row>
    <row r="739" ht="15" customHeight="1">
      <c r="A739" t="inlineStr">
        <is>
          <t>A 23222-2023</t>
        </is>
      </c>
      <c r="B739" s="1" t="n">
        <v>45075</v>
      </c>
      <c r="C739" s="1" t="n">
        <v>45292</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23232-2023</t>
        </is>
      </c>
      <c r="B740" s="1" t="n">
        <v>45075</v>
      </c>
      <c r="C740" s="1" t="n">
        <v>45292</v>
      </c>
      <c r="D740" t="inlineStr">
        <is>
          <t>VÄSTMANLANDS LÄN</t>
        </is>
      </c>
      <c r="E740" t="inlineStr">
        <is>
          <t>SALA</t>
        </is>
      </c>
      <c r="G740" t="n">
        <v>1.6</v>
      </c>
      <c r="H740" t="n">
        <v>0</v>
      </c>
      <c r="I740" t="n">
        <v>0</v>
      </c>
      <c r="J740" t="n">
        <v>0</v>
      </c>
      <c r="K740" t="n">
        <v>0</v>
      </c>
      <c r="L740" t="n">
        <v>0</v>
      </c>
      <c r="M740" t="n">
        <v>0</v>
      </c>
      <c r="N740" t="n">
        <v>0</v>
      </c>
      <c r="O740" t="n">
        <v>0</v>
      </c>
      <c r="P740" t="n">
        <v>0</v>
      </c>
      <c r="Q740" t="n">
        <v>0</v>
      </c>
      <c r="R740" s="2" t="inlineStr"/>
    </row>
    <row r="741" ht="15" customHeight="1">
      <c r="A741" t="inlineStr">
        <is>
          <t>A 23374-2023</t>
        </is>
      </c>
      <c r="B741" s="1" t="n">
        <v>45076</v>
      </c>
      <c r="C741" s="1" t="n">
        <v>45292</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23372-2023</t>
        </is>
      </c>
      <c r="B742" s="1" t="n">
        <v>45076</v>
      </c>
      <c r="C742" s="1" t="n">
        <v>45292</v>
      </c>
      <c r="D742" t="inlineStr">
        <is>
          <t>VÄSTMANLANDS LÄN</t>
        </is>
      </c>
      <c r="E742" t="inlineStr">
        <is>
          <t>SALA</t>
        </is>
      </c>
      <c r="G742" t="n">
        <v>2.2</v>
      </c>
      <c r="H742" t="n">
        <v>0</v>
      </c>
      <c r="I742" t="n">
        <v>0</v>
      </c>
      <c r="J742" t="n">
        <v>0</v>
      </c>
      <c r="K742" t="n">
        <v>0</v>
      </c>
      <c r="L742" t="n">
        <v>0</v>
      </c>
      <c r="M742" t="n">
        <v>0</v>
      </c>
      <c r="N742" t="n">
        <v>0</v>
      </c>
      <c r="O742" t="n">
        <v>0</v>
      </c>
      <c r="P742" t="n">
        <v>0</v>
      </c>
      <c r="Q742" t="n">
        <v>0</v>
      </c>
      <c r="R742" s="2" t="inlineStr"/>
    </row>
    <row r="743" ht="15" customHeight="1">
      <c r="A743" t="inlineStr">
        <is>
          <t>A 23659-2023</t>
        </is>
      </c>
      <c r="B743" s="1" t="n">
        <v>45077</v>
      </c>
      <c r="C743" s="1" t="n">
        <v>45292</v>
      </c>
      <c r="D743" t="inlineStr">
        <is>
          <t>VÄSTMANLANDS LÄN</t>
        </is>
      </c>
      <c r="E743" t="inlineStr">
        <is>
          <t>SALA</t>
        </is>
      </c>
      <c r="G743" t="n">
        <v>2.5</v>
      </c>
      <c r="H743" t="n">
        <v>0</v>
      </c>
      <c r="I743" t="n">
        <v>0</v>
      </c>
      <c r="J743" t="n">
        <v>0</v>
      </c>
      <c r="K743" t="n">
        <v>0</v>
      </c>
      <c r="L743" t="n">
        <v>0</v>
      </c>
      <c r="M743" t="n">
        <v>0</v>
      </c>
      <c r="N743" t="n">
        <v>0</v>
      </c>
      <c r="O743" t="n">
        <v>0</v>
      </c>
      <c r="P743" t="n">
        <v>0</v>
      </c>
      <c r="Q743" t="n">
        <v>0</v>
      </c>
      <c r="R743" s="2" t="inlineStr"/>
    </row>
    <row r="744" ht="15" customHeight="1">
      <c r="A744" t="inlineStr">
        <is>
          <t>A 24248-2023</t>
        </is>
      </c>
      <c r="B744" s="1" t="n">
        <v>45079</v>
      </c>
      <c r="C744" s="1" t="n">
        <v>45292</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24495-2023</t>
        </is>
      </c>
      <c r="B745" s="1" t="n">
        <v>45082</v>
      </c>
      <c r="C745" s="1" t="n">
        <v>45292</v>
      </c>
      <c r="D745" t="inlineStr">
        <is>
          <t>VÄSTMANLANDS LÄN</t>
        </is>
      </c>
      <c r="E745" t="inlineStr">
        <is>
          <t>SALA</t>
        </is>
      </c>
      <c r="G745" t="n">
        <v>5.2</v>
      </c>
      <c r="H745" t="n">
        <v>0</v>
      </c>
      <c r="I745" t="n">
        <v>0</v>
      </c>
      <c r="J745" t="n">
        <v>0</v>
      </c>
      <c r="K745" t="n">
        <v>0</v>
      </c>
      <c r="L745" t="n">
        <v>0</v>
      </c>
      <c r="M745" t="n">
        <v>0</v>
      </c>
      <c r="N745" t="n">
        <v>0</v>
      </c>
      <c r="O745" t="n">
        <v>0</v>
      </c>
      <c r="P745" t="n">
        <v>0</v>
      </c>
      <c r="Q745" t="n">
        <v>0</v>
      </c>
      <c r="R745" s="2" t="inlineStr"/>
    </row>
    <row r="746" ht="15" customHeight="1">
      <c r="A746" t="inlineStr">
        <is>
          <t>A 24585-2023</t>
        </is>
      </c>
      <c r="B746" s="1" t="n">
        <v>45083</v>
      </c>
      <c r="C746" s="1" t="n">
        <v>45292</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24584-2023</t>
        </is>
      </c>
      <c r="B747" s="1" t="n">
        <v>45083</v>
      </c>
      <c r="C747" s="1" t="n">
        <v>45292</v>
      </c>
      <c r="D747" t="inlineStr">
        <is>
          <t>VÄSTMANLANDS LÄN</t>
        </is>
      </c>
      <c r="E747" t="inlineStr">
        <is>
          <t>SALA</t>
        </is>
      </c>
      <c r="F747" t="inlineStr">
        <is>
          <t>Sveaskog</t>
        </is>
      </c>
      <c r="G747" t="n">
        <v>7.2</v>
      </c>
      <c r="H747" t="n">
        <v>0</v>
      </c>
      <c r="I747" t="n">
        <v>0</v>
      </c>
      <c r="J747" t="n">
        <v>0</v>
      </c>
      <c r="K747" t="n">
        <v>0</v>
      </c>
      <c r="L747" t="n">
        <v>0</v>
      </c>
      <c r="M747" t="n">
        <v>0</v>
      </c>
      <c r="N747" t="n">
        <v>0</v>
      </c>
      <c r="O747" t="n">
        <v>0</v>
      </c>
      <c r="P747" t="n">
        <v>0</v>
      </c>
      <c r="Q747" t="n">
        <v>0</v>
      </c>
      <c r="R747" s="2" t="inlineStr"/>
    </row>
    <row r="748" ht="15" customHeight="1">
      <c r="A748" t="inlineStr">
        <is>
          <t>A 24586-2023</t>
        </is>
      </c>
      <c r="B748" s="1" t="n">
        <v>45083</v>
      </c>
      <c r="C748" s="1" t="n">
        <v>45292</v>
      </c>
      <c r="D748" t="inlineStr">
        <is>
          <t>VÄSTMANLANDS LÄN</t>
        </is>
      </c>
      <c r="E748" t="inlineStr">
        <is>
          <t>SALA</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24773-2023</t>
        </is>
      </c>
      <c r="B749" s="1" t="n">
        <v>45084</v>
      </c>
      <c r="C749" s="1" t="n">
        <v>45292</v>
      </c>
      <c r="D749" t="inlineStr">
        <is>
          <t>VÄSTMANLANDS LÄN</t>
        </is>
      </c>
      <c r="E749" t="inlineStr">
        <is>
          <t>SALA</t>
        </is>
      </c>
      <c r="G749" t="n">
        <v>5</v>
      </c>
      <c r="H749" t="n">
        <v>0</v>
      </c>
      <c r="I749" t="n">
        <v>0</v>
      </c>
      <c r="J749" t="n">
        <v>0</v>
      </c>
      <c r="K749" t="n">
        <v>0</v>
      </c>
      <c r="L749" t="n">
        <v>0</v>
      </c>
      <c r="M749" t="n">
        <v>0</v>
      </c>
      <c r="N749" t="n">
        <v>0</v>
      </c>
      <c r="O749" t="n">
        <v>0</v>
      </c>
      <c r="P749" t="n">
        <v>0</v>
      </c>
      <c r="Q749" t="n">
        <v>0</v>
      </c>
      <c r="R749" s="2" t="inlineStr"/>
    </row>
    <row r="750" ht="15" customHeight="1">
      <c r="A750" t="inlineStr">
        <is>
          <t>A 24777-2023</t>
        </is>
      </c>
      <c r="B750" s="1" t="n">
        <v>45084</v>
      </c>
      <c r="C750" s="1" t="n">
        <v>45292</v>
      </c>
      <c r="D750" t="inlineStr">
        <is>
          <t>VÄSTMANLANDS LÄN</t>
        </is>
      </c>
      <c r="E750" t="inlineStr">
        <is>
          <t>SALA</t>
        </is>
      </c>
      <c r="G750" t="n">
        <v>1.1</v>
      </c>
      <c r="H750" t="n">
        <v>0</v>
      </c>
      <c r="I750" t="n">
        <v>0</v>
      </c>
      <c r="J750" t="n">
        <v>0</v>
      </c>
      <c r="K750" t="n">
        <v>0</v>
      </c>
      <c r="L750" t="n">
        <v>0</v>
      </c>
      <c r="M750" t="n">
        <v>0</v>
      </c>
      <c r="N750" t="n">
        <v>0</v>
      </c>
      <c r="O750" t="n">
        <v>0</v>
      </c>
      <c r="P750" t="n">
        <v>0</v>
      </c>
      <c r="Q750" t="n">
        <v>0</v>
      </c>
      <c r="R750" s="2" t="inlineStr"/>
    </row>
    <row r="751" ht="15" customHeight="1">
      <c r="A751" t="inlineStr">
        <is>
          <t>A 24944-2023</t>
        </is>
      </c>
      <c r="B751" s="1" t="n">
        <v>45085</v>
      </c>
      <c r="C751" s="1" t="n">
        <v>45292</v>
      </c>
      <c r="D751" t="inlineStr">
        <is>
          <t>VÄSTMANLANDS LÄN</t>
        </is>
      </c>
      <c r="E751" t="inlineStr">
        <is>
          <t>SALA</t>
        </is>
      </c>
      <c r="G751" t="n">
        <v>3.8</v>
      </c>
      <c r="H751" t="n">
        <v>0</v>
      </c>
      <c r="I751" t="n">
        <v>0</v>
      </c>
      <c r="J751" t="n">
        <v>0</v>
      </c>
      <c r="K751" t="n">
        <v>0</v>
      </c>
      <c r="L751" t="n">
        <v>0</v>
      </c>
      <c r="M751" t="n">
        <v>0</v>
      </c>
      <c r="N751" t="n">
        <v>0</v>
      </c>
      <c r="O751" t="n">
        <v>0</v>
      </c>
      <c r="P751" t="n">
        <v>0</v>
      </c>
      <c r="Q751" t="n">
        <v>0</v>
      </c>
      <c r="R751" s="2" t="inlineStr"/>
    </row>
    <row r="752" ht="15" customHeight="1">
      <c r="A752" t="inlineStr">
        <is>
          <t>A 25260-2023</t>
        </is>
      </c>
      <c r="B752" s="1" t="n">
        <v>45086</v>
      </c>
      <c r="C752" s="1" t="n">
        <v>45292</v>
      </c>
      <c r="D752" t="inlineStr">
        <is>
          <t>VÄSTMANLANDS LÄN</t>
        </is>
      </c>
      <c r="E752" t="inlineStr">
        <is>
          <t>SALA</t>
        </is>
      </c>
      <c r="F752" t="inlineStr">
        <is>
          <t>Sveaskog</t>
        </is>
      </c>
      <c r="G752" t="n">
        <v>3.2</v>
      </c>
      <c r="H752" t="n">
        <v>0</v>
      </c>
      <c r="I752" t="n">
        <v>0</v>
      </c>
      <c r="J752" t="n">
        <v>0</v>
      </c>
      <c r="K752" t="n">
        <v>0</v>
      </c>
      <c r="L752" t="n">
        <v>0</v>
      </c>
      <c r="M752" t="n">
        <v>0</v>
      </c>
      <c r="N752" t="n">
        <v>0</v>
      </c>
      <c r="O752" t="n">
        <v>0</v>
      </c>
      <c r="P752" t="n">
        <v>0</v>
      </c>
      <c r="Q752" t="n">
        <v>0</v>
      </c>
      <c r="R752" s="2" t="inlineStr"/>
    </row>
    <row r="753" ht="15" customHeight="1">
      <c r="A753" t="inlineStr">
        <is>
          <t>A 25233-2023</t>
        </is>
      </c>
      <c r="B753" s="1" t="n">
        <v>45086</v>
      </c>
      <c r="C753" s="1" t="n">
        <v>45292</v>
      </c>
      <c r="D753" t="inlineStr">
        <is>
          <t>VÄSTMANLANDS LÄN</t>
        </is>
      </c>
      <c r="E753" t="inlineStr">
        <is>
          <t>SALA</t>
        </is>
      </c>
      <c r="F753" t="inlineStr">
        <is>
          <t>Kommuner</t>
        </is>
      </c>
      <c r="G753" t="n">
        <v>4.7</v>
      </c>
      <c r="H753" t="n">
        <v>0</v>
      </c>
      <c r="I753" t="n">
        <v>0</v>
      </c>
      <c r="J753" t="n">
        <v>0</v>
      </c>
      <c r="K753" t="n">
        <v>0</v>
      </c>
      <c r="L753" t="n">
        <v>0</v>
      </c>
      <c r="M753" t="n">
        <v>0</v>
      </c>
      <c r="N753" t="n">
        <v>0</v>
      </c>
      <c r="O753" t="n">
        <v>0</v>
      </c>
      <c r="P753" t="n">
        <v>0</v>
      </c>
      <c r="Q753" t="n">
        <v>0</v>
      </c>
      <c r="R753" s="2" t="inlineStr"/>
    </row>
    <row r="754" ht="15" customHeight="1">
      <c r="A754" t="inlineStr">
        <is>
          <t>A 26229-2023</t>
        </is>
      </c>
      <c r="B754" s="1" t="n">
        <v>45086</v>
      </c>
      <c r="C754" s="1" t="n">
        <v>45292</v>
      </c>
      <c r="D754" t="inlineStr">
        <is>
          <t>VÄSTMANLANDS LÄN</t>
        </is>
      </c>
      <c r="E754" t="inlineStr">
        <is>
          <t>SALA</t>
        </is>
      </c>
      <c r="G754" t="n">
        <v>6.6</v>
      </c>
      <c r="H754" t="n">
        <v>0</v>
      </c>
      <c r="I754" t="n">
        <v>0</v>
      </c>
      <c r="J754" t="n">
        <v>0</v>
      </c>
      <c r="K754" t="n">
        <v>0</v>
      </c>
      <c r="L754" t="n">
        <v>0</v>
      </c>
      <c r="M754" t="n">
        <v>0</v>
      </c>
      <c r="N754" t="n">
        <v>0</v>
      </c>
      <c r="O754" t="n">
        <v>0</v>
      </c>
      <c r="P754" t="n">
        <v>0</v>
      </c>
      <c r="Q754" t="n">
        <v>0</v>
      </c>
      <c r="R754" s="2" t="inlineStr"/>
    </row>
    <row r="755" ht="15" customHeight="1">
      <c r="A755" t="inlineStr">
        <is>
          <t>A 25566-2023</t>
        </is>
      </c>
      <c r="B755" s="1" t="n">
        <v>45089</v>
      </c>
      <c r="C755" s="1" t="n">
        <v>45292</v>
      </c>
      <c r="D755" t="inlineStr">
        <is>
          <t>VÄSTMANLANDS LÄN</t>
        </is>
      </c>
      <c r="E755" t="inlineStr">
        <is>
          <t>SALA</t>
        </is>
      </c>
      <c r="G755" t="n">
        <v>2.1</v>
      </c>
      <c r="H755" t="n">
        <v>0</v>
      </c>
      <c r="I755" t="n">
        <v>0</v>
      </c>
      <c r="J755" t="n">
        <v>0</v>
      </c>
      <c r="K755" t="n">
        <v>0</v>
      </c>
      <c r="L755" t="n">
        <v>0</v>
      </c>
      <c r="M755" t="n">
        <v>0</v>
      </c>
      <c r="N755" t="n">
        <v>0</v>
      </c>
      <c r="O755" t="n">
        <v>0</v>
      </c>
      <c r="P755" t="n">
        <v>0</v>
      </c>
      <c r="Q755" t="n">
        <v>0</v>
      </c>
      <c r="R755" s="2" t="inlineStr"/>
    </row>
    <row r="756" ht="15" customHeight="1">
      <c r="A756" t="inlineStr">
        <is>
          <t>A 25571-2023</t>
        </is>
      </c>
      <c r="B756" s="1" t="n">
        <v>45089</v>
      </c>
      <c r="C756" s="1" t="n">
        <v>45292</v>
      </c>
      <c r="D756" t="inlineStr">
        <is>
          <t>VÄSTMANLANDS LÄN</t>
        </is>
      </c>
      <c r="E756" t="inlineStr">
        <is>
          <t>SALA</t>
        </is>
      </c>
      <c r="G756" t="n">
        <v>1.7</v>
      </c>
      <c r="H756" t="n">
        <v>0</v>
      </c>
      <c r="I756" t="n">
        <v>0</v>
      </c>
      <c r="J756" t="n">
        <v>0</v>
      </c>
      <c r="K756" t="n">
        <v>0</v>
      </c>
      <c r="L756" t="n">
        <v>0</v>
      </c>
      <c r="M756" t="n">
        <v>0</v>
      </c>
      <c r="N756" t="n">
        <v>0</v>
      </c>
      <c r="O756" t="n">
        <v>0</v>
      </c>
      <c r="P756" t="n">
        <v>0</v>
      </c>
      <c r="Q756" t="n">
        <v>0</v>
      </c>
      <c r="R756" s="2" t="inlineStr"/>
    </row>
    <row r="757" ht="15" customHeight="1">
      <c r="A757" t="inlineStr">
        <is>
          <t>A 25576-2023</t>
        </is>
      </c>
      <c r="B757" s="1" t="n">
        <v>45089</v>
      </c>
      <c r="C757" s="1" t="n">
        <v>45292</v>
      </c>
      <c r="D757" t="inlineStr">
        <is>
          <t>VÄSTMANLANDS LÄN</t>
        </is>
      </c>
      <c r="E757" t="inlineStr">
        <is>
          <t>SALA</t>
        </is>
      </c>
      <c r="G757" t="n">
        <v>1</v>
      </c>
      <c r="H757" t="n">
        <v>0</v>
      </c>
      <c r="I757" t="n">
        <v>0</v>
      </c>
      <c r="J757" t="n">
        <v>0</v>
      </c>
      <c r="K757" t="n">
        <v>0</v>
      </c>
      <c r="L757" t="n">
        <v>0</v>
      </c>
      <c r="M757" t="n">
        <v>0</v>
      </c>
      <c r="N757" t="n">
        <v>0</v>
      </c>
      <c r="O757" t="n">
        <v>0</v>
      </c>
      <c r="P757" t="n">
        <v>0</v>
      </c>
      <c r="Q757" t="n">
        <v>0</v>
      </c>
      <c r="R757" s="2" t="inlineStr"/>
    </row>
    <row r="758" ht="15" customHeight="1">
      <c r="A758" t="inlineStr">
        <is>
          <t>A 25580-2023</t>
        </is>
      </c>
      <c r="B758" s="1" t="n">
        <v>45089</v>
      </c>
      <c r="C758" s="1" t="n">
        <v>45292</v>
      </c>
      <c r="D758" t="inlineStr">
        <is>
          <t>VÄSTMANLANDS LÄN</t>
        </is>
      </c>
      <c r="E758" t="inlineStr">
        <is>
          <t>SALA</t>
        </is>
      </c>
      <c r="G758" t="n">
        <v>0.8</v>
      </c>
      <c r="H758" t="n">
        <v>0</v>
      </c>
      <c r="I758" t="n">
        <v>0</v>
      </c>
      <c r="J758" t="n">
        <v>0</v>
      </c>
      <c r="K758" t="n">
        <v>0</v>
      </c>
      <c r="L758" t="n">
        <v>0</v>
      </c>
      <c r="M758" t="n">
        <v>0</v>
      </c>
      <c r="N758" t="n">
        <v>0</v>
      </c>
      <c r="O758" t="n">
        <v>0</v>
      </c>
      <c r="P758" t="n">
        <v>0</v>
      </c>
      <c r="Q758" t="n">
        <v>0</v>
      </c>
      <c r="R758" s="2" t="inlineStr"/>
    </row>
    <row r="759" ht="15" customHeight="1">
      <c r="A759" t="inlineStr">
        <is>
          <t>A 25894-2023</t>
        </is>
      </c>
      <c r="B759" s="1" t="n">
        <v>45090</v>
      </c>
      <c r="C759" s="1" t="n">
        <v>45292</v>
      </c>
      <c r="D759" t="inlineStr">
        <is>
          <t>VÄSTMANLANDS LÄN</t>
        </is>
      </c>
      <c r="E759" t="inlineStr">
        <is>
          <t>SALA</t>
        </is>
      </c>
      <c r="G759" t="n">
        <v>3.2</v>
      </c>
      <c r="H759" t="n">
        <v>0</v>
      </c>
      <c r="I759" t="n">
        <v>0</v>
      </c>
      <c r="J759" t="n">
        <v>0</v>
      </c>
      <c r="K759" t="n">
        <v>0</v>
      </c>
      <c r="L759" t="n">
        <v>0</v>
      </c>
      <c r="M759" t="n">
        <v>0</v>
      </c>
      <c r="N759" t="n">
        <v>0</v>
      </c>
      <c r="O759" t="n">
        <v>0</v>
      </c>
      <c r="P759" t="n">
        <v>0</v>
      </c>
      <c r="Q759" t="n">
        <v>0</v>
      </c>
      <c r="R759" s="2" t="inlineStr"/>
    </row>
    <row r="760" ht="15" customHeight="1">
      <c r="A760" t="inlineStr">
        <is>
          <t>A 26607-2023</t>
        </is>
      </c>
      <c r="B760" s="1" t="n">
        <v>45090</v>
      </c>
      <c r="C760" s="1" t="n">
        <v>45292</v>
      </c>
      <c r="D760" t="inlineStr">
        <is>
          <t>VÄSTMANLANDS LÄN</t>
        </is>
      </c>
      <c r="E760" t="inlineStr">
        <is>
          <t>SALA</t>
        </is>
      </c>
      <c r="G760" t="n">
        <v>4.8</v>
      </c>
      <c r="H760" t="n">
        <v>0</v>
      </c>
      <c r="I760" t="n">
        <v>0</v>
      </c>
      <c r="J760" t="n">
        <v>0</v>
      </c>
      <c r="K760" t="n">
        <v>0</v>
      </c>
      <c r="L760" t="n">
        <v>0</v>
      </c>
      <c r="M760" t="n">
        <v>0</v>
      </c>
      <c r="N760" t="n">
        <v>0</v>
      </c>
      <c r="O760" t="n">
        <v>0</v>
      </c>
      <c r="P760" t="n">
        <v>0</v>
      </c>
      <c r="Q760" t="n">
        <v>0</v>
      </c>
      <c r="R760" s="2" t="inlineStr"/>
    </row>
    <row r="761" ht="15" customHeight="1">
      <c r="A761" t="inlineStr">
        <is>
          <t>A 26505-2023</t>
        </is>
      </c>
      <c r="B761" s="1" t="n">
        <v>45092</v>
      </c>
      <c r="C761" s="1" t="n">
        <v>45292</v>
      </c>
      <c r="D761" t="inlineStr">
        <is>
          <t>VÄSTMANLANDS LÄN</t>
        </is>
      </c>
      <c r="E761" t="inlineStr">
        <is>
          <t>SALA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26509-2023</t>
        </is>
      </c>
      <c r="B762" s="1" t="n">
        <v>45092</v>
      </c>
      <c r="C762" s="1" t="n">
        <v>45292</v>
      </c>
      <c r="D762" t="inlineStr">
        <is>
          <t>VÄSTMANLANDS LÄN</t>
        </is>
      </c>
      <c r="E762" t="inlineStr">
        <is>
          <t>SALA</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26508-2023</t>
        </is>
      </c>
      <c r="B763" s="1" t="n">
        <v>45092</v>
      </c>
      <c r="C763" s="1" t="n">
        <v>45292</v>
      </c>
      <c r="D763" t="inlineStr">
        <is>
          <t>VÄSTMANLANDS LÄN</t>
        </is>
      </c>
      <c r="E763" t="inlineStr">
        <is>
          <t>SALA</t>
        </is>
      </c>
      <c r="F763" t="inlineStr">
        <is>
          <t>Sveaskog</t>
        </is>
      </c>
      <c r="G763" t="n">
        <v>2.4</v>
      </c>
      <c r="H763" t="n">
        <v>0</v>
      </c>
      <c r="I763" t="n">
        <v>0</v>
      </c>
      <c r="J763" t="n">
        <v>0</v>
      </c>
      <c r="K763" t="n">
        <v>0</v>
      </c>
      <c r="L763" t="n">
        <v>0</v>
      </c>
      <c r="M763" t="n">
        <v>0</v>
      </c>
      <c r="N763" t="n">
        <v>0</v>
      </c>
      <c r="O763" t="n">
        <v>0</v>
      </c>
      <c r="P763" t="n">
        <v>0</v>
      </c>
      <c r="Q763" t="n">
        <v>0</v>
      </c>
      <c r="R763" s="2" t="inlineStr"/>
    </row>
    <row r="764" ht="15" customHeight="1">
      <c r="A764" t="inlineStr">
        <is>
          <t>A 26416-2023</t>
        </is>
      </c>
      <c r="B764" s="1" t="n">
        <v>45092</v>
      </c>
      <c r="C764" s="1" t="n">
        <v>45292</v>
      </c>
      <c r="D764" t="inlineStr">
        <is>
          <t>VÄSTMANLANDS LÄN</t>
        </is>
      </c>
      <c r="E764" t="inlineStr">
        <is>
          <t>SALA</t>
        </is>
      </c>
      <c r="G764" t="n">
        <v>2.9</v>
      </c>
      <c r="H764" t="n">
        <v>0</v>
      </c>
      <c r="I764" t="n">
        <v>0</v>
      </c>
      <c r="J764" t="n">
        <v>0</v>
      </c>
      <c r="K764" t="n">
        <v>0</v>
      </c>
      <c r="L764" t="n">
        <v>0</v>
      </c>
      <c r="M764" t="n">
        <v>0</v>
      </c>
      <c r="N764" t="n">
        <v>0</v>
      </c>
      <c r="O764" t="n">
        <v>0</v>
      </c>
      <c r="P764" t="n">
        <v>0</v>
      </c>
      <c r="Q764" t="n">
        <v>0</v>
      </c>
      <c r="R764" s="2" t="inlineStr"/>
    </row>
    <row r="765" ht="15" customHeight="1">
      <c r="A765" t="inlineStr">
        <is>
          <t>A 26507-2023</t>
        </is>
      </c>
      <c r="B765" s="1" t="n">
        <v>45092</v>
      </c>
      <c r="C765" s="1" t="n">
        <v>45292</v>
      </c>
      <c r="D765" t="inlineStr">
        <is>
          <t>VÄSTMANLANDS LÄN</t>
        </is>
      </c>
      <c r="E765" t="inlineStr">
        <is>
          <t>SALA</t>
        </is>
      </c>
      <c r="F765" t="inlineStr">
        <is>
          <t>Sveaskog</t>
        </is>
      </c>
      <c r="G765" t="n">
        <v>2.2</v>
      </c>
      <c r="H765" t="n">
        <v>0</v>
      </c>
      <c r="I765" t="n">
        <v>0</v>
      </c>
      <c r="J765" t="n">
        <v>0</v>
      </c>
      <c r="K765" t="n">
        <v>0</v>
      </c>
      <c r="L765" t="n">
        <v>0</v>
      </c>
      <c r="M765" t="n">
        <v>0</v>
      </c>
      <c r="N765" t="n">
        <v>0</v>
      </c>
      <c r="O765" t="n">
        <v>0</v>
      </c>
      <c r="P765" t="n">
        <v>0</v>
      </c>
      <c r="Q765" t="n">
        <v>0</v>
      </c>
      <c r="R765" s="2" t="inlineStr"/>
    </row>
    <row r="766" ht="15" customHeight="1">
      <c r="A766" t="inlineStr">
        <is>
          <t>A 26692-2023</t>
        </is>
      </c>
      <c r="B766" s="1" t="n">
        <v>45093</v>
      </c>
      <c r="C766" s="1" t="n">
        <v>45292</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26761-2023</t>
        </is>
      </c>
      <c r="B767" s="1" t="n">
        <v>45093</v>
      </c>
      <c r="C767" s="1" t="n">
        <v>45292</v>
      </c>
      <c r="D767" t="inlineStr">
        <is>
          <t>VÄSTMANLANDS LÄN</t>
        </is>
      </c>
      <c r="E767" t="inlineStr">
        <is>
          <t>SALA</t>
        </is>
      </c>
      <c r="G767" t="n">
        <v>4.3</v>
      </c>
      <c r="H767" t="n">
        <v>0</v>
      </c>
      <c r="I767" t="n">
        <v>0</v>
      </c>
      <c r="J767" t="n">
        <v>0</v>
      </c>
      <c r="K767" t="n">
        <v>0</v>
      </c>
      <c r="L767" t="n">
        <v>0</v>
      </c>
      <c r="M767" t="n">
        <v>0</v>
      </c>
      <c r="N767" t="n">
        <v>0</v>
      </c>
      <c r="O767" t="n">
        <v>0</v>
      </c>
      <c r="P767" t="n">
        <v>0</v>
      </c>
      <c r="Q767" t="n">
        <v>0</v>
      </c>
      <c r="R767" s="2" t="inlineStr"/>
    </row>
    <row r="768" ht="15" customHeight="1">
      <c r="A768" t="inlineStr">
        <is>
          <t>A 27023-2023</t>
        </is>
      </c>
      <c r="B768" s="1" t="n">
        <v>45094</v>
      </c>
      <c r="C768" s="1" t="n">
        <v>45292</v>
      </c>
      <c r="D768" t="inlineStr">
        <is>
          <t>VÄSTMANLANDS LÄN</t>
        </is>
      </c>
      <c r="E768" t="inlineStr">
        <is>
          <t>SALA</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27038-2023</t>
        </is>
      </c>
      <c r="B769" s="1" t="n">
        <v>45095</v>
      </c>
      <c r="C769" s="1" t="n">
        <v>45292</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27228-2023</t>
        </is>
      </c>
      <c r="B770" s="1" t="n">
        <v>45096</v>
      </c>
      <c r="C770" s="1" t="n">
        <v>45292</v>
      </c>
      <c r="D770" t="inlineStr">
        <is>
          <t>VÄSTMANLANDS LÄN</t>
        </is>
      </c>
      <c r="E770" t="inlineStr">
        <is>
          <t>SALA</t>
        </is>
      </c>
      <c r="G770" t="n">
        <v>1</v>
      </c>
      <c r="H770" t="n">
        <v>0</v>
      </c>
      <c r="I770" t="n">
        <v>0</v>
      </c>
      <c r="J770" t="n">
        <v>0</v>
      </c>
      <c r="K770" t="n">
        <v>0</v>
      </c>
      <c r="L770" t="n">
        <v>0</v>
      </c>
      <c r="M770" t="n">
        <v>0</v>
      </c>
      <c r="N770" t="n">
        <v>0</v>
      </c>
      <c r="O770" t="n">
        <v>0</v>
      </c>
      <c r="P770" t="n">
        <v>0</v>
      </c>
      <c r="Q770" t="n">
        <v>0</v>
      </c>
      <c r="R770" s="2" t="inlineStr"/>
    </row>
    <row r="771" ht="15" customHeight="1">
      <c r="A771" t="inlineStr">
        <is>
          <t>A 27255-2023</t>
        </is>
      </c>
      <c r="B771" s="1" t="n">
        <v>45096</v>
      </c>
      <c r="C771" s="1" t="n">
        <v>45292</v>
      </c>
      <c r="D771" t="inlineStr">
        <is>
          <t>VÄSTMANLANDS LÄN</t>
        </is>
      </c>
      <c r="E771" t="inlineStr">
        <is>
          <t>SALA</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27424-2023</t>
        </is>
      </c>
      <c r="B772" s="1" t="n">
        <v>45097</v>
      </c>
      <c r="C772" s="1" t="n">
        <v>45292</v>
      </c>
      <c r="D772" t="inlineStr">
        <is>
          <t>VÄSTMANLANDS LÄN</t>
        </is>
      </c>
      <c r="E772" t="inlineStr">
        <is>
          <t>SALA</t>
        </is>
      </c>
      <c r="G772" t="n">
        <v>0.7</v>
      </c>
      <c r="H772" t="n">
        <v>0</v>
      </c>
      <c r="I772" t="n">
        <v>0</v>
      </c>
      <c r="J772" t="n">
        <v>0</v>
      </c>
      <c r="K772" t="n">
        <v>0</v>
      </c>
      <c r="L772" t="n">
        <v>0</v>
      </c>
      <c r="M772" t="n">
        <v>0</v>
      </c>
      <c r="N772" t="n">
        <v>0</v>
      </c>
      <c r="O772" t="n">
        <v>0</v>
      </c>
      <c r="P772" t="n">
        <v>0</v>
      </c>
      <c r="Q772" t="n">
        <v>0</v>
      </c>
      <c r="R772" s="2" t="inlineStr"/>
    </row>
    <row r="773" ht="15" customHeight="1">
      <c r="A773" t="inlineStr">
        <is>
          <t>A 27638-2023</t>
        </is>
      </c>
      <c r="B773" s="1" t="n">
        <v>45097</v>
      </c>
      <c r="C773" s="1" t="n">
        <v>45292</v>
      </c>
      <c r="D773" t="inlineStr">
        <is>
          <t>VÄSTMANLANDS LÄN</t>
        </is>
      </c>
      <c r="E773" t="inlineStr">
        <is>
          <t>SALA</t>
        </is>
      </c>
      <c r="G773" t="n">
        <v>8.4</v>
      </c>
      <c r="H773" t="n">
        <v>0</v>
      </c>
      <c r="I773" t="n">
        <v>0</v>
      </c>
      <c r="J773" t="n">
        <v>0</v>
      </c>
      <c r="K773" t="n">
        <v>0</v>
      </c>
      <c r="L773" t="n">
        <v>0</v>
      </c>
      <c r="M773" t="n">
        <v>0</v>
      </c>
      <c r="N773" t="n">
        <v>0</v>
      </c>
      <c r="O773" t="n">
        <v>0</v>
      </c>
      <c r="P773" t="n">
        <v>0</v>
      </c>
      <c r="Q773" t="n">
        <v>0</v>
      </c>
      <c r="R773" s="2" t="inlineStr"/>
    </row>
    <row r="774" ht="15" customHeight="1">
      <c r="A774" t="inlineStr">
        <is>
          <t>A 27657-2023</t>
        </is>
      </c>
      <c r="B774" s="1" t="n">
        <v>45097</v>
      </c>
      <c r="C774" s="1" t="n">
        <v>45292</v>
      </c>
      <c r="D774" t="inlineStr">
        <is>
          <t>VÄSTMANLANDS LÄN</t>
        </is>
      </c>
      <c r="E774" t="inlineStr">
        <is>
          <t>SALA</t>
        </is>
      </c>
      <c r="G774" t="n">
        <v>0.1</v>
      </c>
      <c r="H774" t="n">
        <v>0</v>
      </c>
      <c r="I774" t="n">
        <v>0</v>
      </c>
      <c r="J774" t="n">
        <v>0</v>
      </c>
      <c r="K774" t="n">
        <v>0</v>
      </c>
      <c r="L774" t="n">
        <v>0</v>
      </c>
      <c r="M774" t="n">
        <v>0</v>
      </c>
      <c r="N774" t="n">
        <v>0</v>
      </c>
      <c r="O774" t="n">
        <v>0</v>
      </c>
      <c r="P774" t="n">
        <v>0</v>
      </c>
      <c r="Q774" t="n">
        <v>0</v>
      </c>
      <c r="R774" s="2" t="inlineStr"/>
    </row>
    <row r="775" ht="15" customHeight="1">
      <c r="A775" t="inlineStr">
        <is>
          <t>A 27744-2023</t>
        </is>
      </c>
      <c r="B775" s="1" t="n">
        <v>45098</v>
      </c>
      <c r="C775" s="1" t="n">
        <v>45292</v>
      </c>
      <c r="D775" t="inlineStr">
        <is>
          <t>VÄSTMANLANDS LÄN</t>
        </is>
      </c>
      <c r="E775" t="inlineStr">
        <is>
          <t>SALA</t>
        </is>
      </c>
      <c r="G775" t="n">
        <v>5.7</v>
      </c>
      <c r="H775" t="n">
        <v>0</v>
      </c>
      <c r="I775" t="n">
        <v>0</v>
      </c>
      <c r="J775" t="n">
        <v>0</v>
      </c>
      <c r="K775" t="n">
        <v>0</v>
      </c>
      <c r="L775" t="n">
        <v>0</v>
      </c>
      <c r="M775" t="n">
        <v>0</v>
      </c>
      <c r="N775" t="n">
        <v>0</v>
      </c>
      <c r="O775" t="n">
        <v>0</v>
      </c>
      <c r="P775" t="n">
        <v>0</v>
      </c>
      <c r="Q775" t="n">
        <v>0</v>
      </c>
      <c r="R775" s="2" t="inlineStr"/>
    </row>
    <row r="776" ht="15" customHeight="1">
      <c r="A776" t="inlineStr">
        <is>
          <t>A 27834-2023</t>
        </is>
      </c>
      <c r="B776" s="1" t="n">
        <v>45098</v>
      </c>
      <c r="C776" s="1" t="n">
        <v>45292</v>
      </c>
      <c r="D776" t="inlineStr">
        <is>
          <t>VÄSTMANLANDS LÄN</t>
        </is>
      </c>
      <c r="E776" t="inlineStr">
        <is>
          <t>SALA</t>
        </is>
      </c>
      <c r="G776" t="n">
        <v>5</v>
      </c>
      <c r="H776" t="n">
        <v>0</v>
      </c>
      <c r="I776" t="n">
        <v>0</v>
      </c>
      <c r="J776" t="n">
        <v>0</v>
      </c>
      <c r="K776" t="n">
        <v>0</v>
      </c>
      <c r="L776" t="n">
        <v>0</v>
      </c>
      <c r="M776" t="n">
        <v>0</v>
      </c>
      <c r="N776" t="n">
        <v>0</v>
      </c>
      <c r="O776" t="n">
        <v>0</v>
      </c>
      <c r="P776" t="n">
        <v>0</v>
      </c>
      <c r="Q776" t="n">
        <v>0</v>
      </c>
      <c r="R776" s="2" t="inlineStr"/>
    </row>
    <row r="777" ht="15" customHeight="1">
      <c r="A777" t="inlineStr">
        <is>
          <t>A 27824-2023</t>
        </is>
      </c>
      <c r="B777" s="1" t="n">
        <v>45098</v>
      </c>
      <c r="C777" s="1" t="n">
        <v>45292</v>
      </c>
      <c r="D777" t="inlineStr">
        <is>
          <t>VÄSTMANLANDS LÄN</t>
        </is>
      </c>
      <c r="E777" t="inlineStr">
        <is>
          <t>SALA</t>
        </is>
      </c>
      <c r="G777" t="n">
        <v>5.3</v>
      </c>
      <c r="H777" t="n">
        <v>0</v>
      </c>
      <c r="I777" t="n">
        <v>0</v>
      </c>
      <c r="J777" t="n">
        <v>0</v>
      </c>
      <c r="K777" t="n">
        <v>0</v>
      </c>
      <c r="L777" t="n">
        <v>0</v>
      </c>
      <c r="M777" t="n">
        <v>0</v>
      </c>
      <c r="N777" t="n">
        <v>0</v>
      </c>
      <c r="O777" t="n">
        <v>0</v>
      </c>
      <c r="P777" t="n">
        <v>0</v>
      </c>
      <c r="Q777" t="n">
        <v>0</v>
      </c>
      <c r="R777" s="2" t="inlineStr"/>
    </row>
    <row r="778" ht="15" customHeight="1">
      <c r="A778" t="inlineStr">
        <is>
          <t>A 27749-2023</t>
        </is>
      </c>
      <c r="B778" s="1" t="n">
        <v>45098</v>
      </c>
      <c r="C778" s="1" t="n">
        <v>45292</v>
      </c>
      <c r="D778" t="inlineStr">
        <is>
          <t>VÄSTMANLANDS LÄN</t>
        </is>
      </c>
      <c r="E778" t="inlineStr">
        <is>
          <t>SALA</t>
        </is>
      </c>
      <c r="G778" t="n">
        <v>2.1</v>
      </c>
      <c r="H778" t="n">
        <v>0</v>
      </c>
      <c r="I778" t="n">
        <v>0</v>
      </c>
      <c r="J778" t="n">
        <v>0</v>
      </c>
      <c r="K778" t="n">
        <v>0</v>
      </c>
      <c r="L778" t="n">
        <v>0</v>
      </c>
      <c r="M778" t="n">
        <v>0</v>
      </c>
      <c r="N778" t="n">
        <v>0</v>
      </c>
      <c r="O778" t="n">
        <v>0</v>
      </c>
      <c r="P778" t="n">
        <v>0</v>
      </c>
      <c r="Q778" t="n">
        <v>0</v>
      </c>
      <c r="R778" s="2" t="inlineStr"/>
    </row>
    <row r="779" ht="15" customHeight="1">
      <c r="A779" t="inlineStr">
        <is>
          <t>A 29542-2023</t>
        </is>
      </c>
      <c r="B779" s="1" t="n">
        <v>45098</v>
      </c>
      <c r="C779" s="1" t="n">
        <v>45292</v>
      </c>
      <c r="D779" t="inlineStr">
        <is>
          <t>VÄSTMANLANDS LÄN</t>
        </is>
      </c>
      <c r="E779" t="inlineStr">
        <is>
          <t>SALA</t>
        </is>
      </c>
      <c r="G779" t="n">
        <v>4.8</v>
      </c>
      <c r="H779" t="n">
        <v>0</v>
      </c>
      <c r="I779" t="n">
        <v>0</v>
      </c>
      <c r="J779" t="n">
        <v>0</v>
      </c>
      <c r="K779" t="n">
        <v>0</v>
      </c>
      <c r="L779" t="n">
        <v>0</v>
      </c>
      <c r="M779" t="n">
        <v>0</v>
      </c>
      <c r="N779" t="n">
        <v>0</v>
      </c>
      <c r="O779" t="n">
        <v>0</v>
      </c>
      <c r="P779" t="n">
        <v>0</v>
      </c>
      <c r="Q779" t="n">
        <v>0</v>
      </c>
      <c r="R779" s="2" t="inlineStr"/>
    </row>
    <row r="780" ht="15" customHeight="1">
      <c r="A780" t="inlineStr">
        <is>
          <t>A 28328-2023</t>
        </is>
      </c>
      <c r="B780" s="1" t="n">
        <v>45099</v>
      </c>
      <c r="C780" s="1" t="n">
        <v>45292</v>
      </c>
      <c r="D780" t="inlineStr">
        <is>
          <t>VÄSTMANLANDS LÄN</t>
        </is>
      </c>
      <c r="E780" t="inlineStr">
        <is>
          <t>SALA</t>
        </is>
      </c>
      <c r="G780" t="n">
        <v>1.8</v>
      </c>
      <c r="H780" t="n">
        <v>0</v>
      </c>
      <c r="I780" t="n">
        <v>0</v>
      </c>
      <c r="J780" t="n">
        <v>0</v>
      </c>
      <c r="K780" t="n">
        <v>0</v>
      </c>
      <c r="L780" t="n">
        <v>0</v>
      </c>
      <c r="M780" t="n">
        <v>0</v>
      </c>
      <c r="N780" t="n">
        <v>0</v>
      </c>
      <c r="O780" t="n">
        <v>0</v>
      </c>
      <c r="P780" t="n">
        <v>0</v>
      </c>
      <c r="Q780" t="n">
        <v>0</v>
      </c>
      <c r="R780" s="2" t="inlineStr"/>
    </row>
    <row r="781" ht="15" customHeight="1">
      <c r="A781" t="inlineStr">
        <is>
          <t>A 28696-2023</t>
        </is>
      </c>
      <c r="B781" s="1" t="n">
        <v>45103</v>
      </c>
      <c r="C781" s="1" t="n">
        <v>45292</v>
      </c>
      <c r="D781" t="inlineStr">
        <is>
          <t>VÄSTMANLANDS LÄN</t>
        </is>
      </c>
      <c r="E781" t="inlineStr">
        <is>
          <t>SALA</t>
        </is>
      </c>
      <c r="F781" t="inlineStr">
        <is>
          <t>Kommuner</t>
        </is>
      </c>
      <c r="G781" t="n">
        <v>5.9</v>
      </c>
      <c r="H781" t="n">
        <v>0</v>
      </c>
      <c r="I781" t="n">
        <v>0</v>
      </c>
      <c r="J781" t="n">
        <v>0</v>
      </c>
      <c r="K781" t="n">
        <v>0</v>
      </c>
      <c r="L781" t="n">
        <v>0</v>
      </c>
      <c r="M781" t="n">
        <v>0</v>
      </c>
      <c r="N781" t="n">
        <v>0</v>
      </c>
      <c r="O781" t="n">
        <v>0</v>
      </c>
      <c r="P781" t="n">
        <v>0</v>
      </c>
      <c r="Q781" t="n">
        <v>0</v>
      </c>
      <c r="R781" s="2" t="inlineStr"/>
    </row>
    <row r="782" ht="15" customHeight="1">
      <c r="A782" t="inlineStr">
        <is>
          <t>A 29241-2023</t>
        </is>
      </c>
      <c r="B782" s="1" t="n">
        <v>45105</v>
      </c>
      <c r="C782" s="1" t="n">
        <v>45292</v>
      </c>
      <c r="D782" t="inlineStr">
        <is>
          <t>VÄSTMANLANDS LÄN</t>
        </is>
      </c>
      <c r="E782" t="inlineStr">
        <is>
          <t>SALA</t>
        </is>
      </c>
      <c r="F782" t="inlineStr">
        <is>
          <t>Kommuner</t>
        </is>
      </c>
      <c r="G782" t="n">
        <v>4.8</v>
      </c>
      <c r="H782" t="n">
        <v>0</v>
      </c>
      <c r="I782" t="n">
        <v>0</v>
      </c>
      <c r="J782" t="n">
        <v>0</v>
      </c>
      <c r="K782" t="n">
        <v>0</v>
      </c>
      <c r="L782" t="n">
        <v>0</v>
      </c>
      <c r="M782" t="n">
        <v>0</v>
      </c>
      <c r="N782" t="n">
        <v>0</v>
      </c>
      <c r="O782" t="n">
        <v>0</v>
      </c>
      <c r="P782" t="n">
        <v>0</v>
      </c>
      <c r="Q782" t="n">
        <v>0</v>
      </c>
      <c r="R782" s="2" t="inlineStr"/>
    </row>
    <row r="783" ht="15" customHeight="1">
      <c r="A783" t="inlineStr">
        <is>
          <t>A 29727-2023</t>
        </is>
      </c>
      <c r="B783" s="1" t="n">
        <v>45107</v>
      </c>
      <c r="C783" s="1" t="n">
        <v>45292</v>
      </c>
      <c r="D783" t="inlineStr">
        <is>
          <t>VÄSTMANLANDS LÄN</t>
        </is>
      </c>
      <c r="E783" t="inlineStr">
        <is>
          <t>SALA</t>
        </is>
      </c>
      <c r="G783" t="n">
        <v>1.9</v>
      </c>
      <c r="H783" t="n">
        <v>0</v>
      </c>
      <c r="I783" t="n">
        <v>0</v>
      </c>
      <c r="J783" t="n">
        <v>0</v>
      </c>
      <c r="K783" t="n">
        <v>0</v>
      </c>
      <c r="L783" t="n">
        <v>0</v>
      </c>
      <c r="M783" t="n">
        <v>0</v>
      </c>
      <c r="N783" t="n">
        <v>0</v>
      </c>
      <c r="O783" t="n">
        <v>0</v>
      </c>
      <c r="P783" t="n">
        <v>0</v>
      </c>
      <c r="Q783" t="n">
        <v>0</v>
      </c>
      <c r="R783" s="2" t="inlineStr"/>
    </row>
    <row r="784" ht="15" customHeight="1">
      <c r="A784" t="inlineStr">
        <is>
          <t>A 31945-2023</t>
        </is>
      </c>
      <c r="B784" s="1" t="n">
        <v>45107</v>
      </c>
      <c r="C784" s="1" t="n">
        <v>45292</v>
      </c>
      <c r="D784" t="inlineStr">
        <is>
          <t>VÄSTMANLANDS LÄN</t>
        </is>
      </c>
      <c r="E784" t="inlineStr">
        <is>
          <t>SALA</t>
        </is>
      </c>
      <c r="G784" t="n">
        <v>2.1</v>
      </c>
      <c r="H784" t="n">
        <v>0</v>
      </c>
      <c r="I784" t="n">
        <v>0</v>
      </c>
      <c r="J784" t="n">
        <v>0</v>
      </c>
      <c r="K784" t="n">
        <v>0</v>
      </c>
      <c r="L784" t="n">
        <v>0</v>
      </c>
      <c r="M784" t="n">
        <v>0</v>
      </c>
      <c r="N784" t="n">
        <v>0</v>
      </c>
      <c r="O784" t="n">
        <v>0</v>
      </c>
      <c r="P784" t="n">
        <v>0</v>
      </c>
      <c r="Q784" t="n">
        <v>0</v>
      </c>
      <c r="R784" s="2" t="inlineStr"/>
    </row>
    <row r="785" ht="15" customHeight="1">
      <c r="A785" t="inlineStr">
        <is>
          <t>A 31950-2023</t>
        </is>
      </c>
      <c r="B785" s="1" t="n">
        <v>45107</v>
      </c>
      <c r="C785" s="1" t="n">
        <v>45292</v>
      </c>
      <c r="D785" t="inlineStr">
        <is>
          <t>VÄSTMANLANDS LÄN</t>
        </is>
      </c>
      <c r="E785" t="inlineStr">
        <is>
          <t>SALA</t>
        </is>
      </c>
      <c r="G785" t="n">
        <v>2</v>
      </c>
      <c r="H785" t="n">
        <v>0</v>
      </c>
      <c r="I785" t="n">
        <v>0</v>
      </c>
      <c r="J785" t="n">
        <v>0</v>
      </c>
      <c r="K785" t="n">
        <v>0</v>
      </c>
      <c r="L785" t="n">
        <v>0</v>
      </c>
      <c r="M785" t="n">
        <v>0</v>
      </c>
      <c r="N785" t="n">
        <v>0</v>
      </c>
      <c r="O785" t="n">
        <v>0</v>
      </c>
      <c r="P785" t="n">
        <v>0</v>
      </c>
      <c r="Q785" t="n">
        <v>0</v>
      </c>
      <c r="R785" s="2" t="inlineStr"/>
    </row>
    <row r="786" ht="15" customHeight="1">
      <c r="A786" t="inlineStr">
        <is>
          <t>A 31953-2023</t>
        </is>
      </c>
      <c r="B786" s="1" t="n">
        <v>45107</v>
      </c>
      <c r="C786" s="1" t="n">
        <v>45292</v>
      </c>
      <c r="D786" t="inlineStr">
        <is>
          <t>VÄSTMANLANDS LÄN</t>
        </is>
      </c>
      <c r="E786" t="inlineStr">
        <is>
          <t>SALA</t>
        </is>
      </c>
      <c r="G786" t="n">
        <v>1.5</v>
      </c>
      <c r="H786" t="n">
        <v>0</v>
      </c>
      <c r="I786" t="n">
        <v>0</v>
      </c>
      <c r="J786" t="n">
        <v>0</v>
      </c>
      <c r="K786" t="n">
        <v>0</v>
      </c>
      <c r="L786" t="n">
        <v>0</v>
      </c>
      <c r="M786" t="n">
        <v>0</v>
      </c>
      <c r="N786" t="n">
        <v>0</v>
      </c>
      <c r="O786" t="n">
        <v>0</v>
      </c>
      <c r="P786" t="n">
        <v>0</v>
      </c>
      <c r="Q786" t="n">
        <v>0</v>
      </c>
      <c r="R786" s="2" t="inlineStr"/>
    </row>
    <row r="787" ht="15" customHeight="1">
      <c r="A787" t="inlineStr">
        <is>
          <t>A 31298-2023</t>
        </is>
      </c>
      <c r="B787" s="1" t="n">
        <v>45114</v>
      </c>
      <c r="C787" s="1" t="n">
        <v>45292</v>
      </c>
      <c r="D787" t="inlineStr">
        <is>
          <t>VÄSTMANLANDS LÄN</t>
        </is>
      </c>
      <c r="E787" t="inlineStr">
        <is>
          <t>SALA</t>
        </is>
      </c>
      <c r="G787" t="n">
        <v>3</v>
      </c>
      <c r="H787" t="n">
        <v>0</v>
      </c>
      <c r="I787" t="n">
        <v>0</v>
      </c>
      <c r="J787" t="n">
        <v>0</v>
      </c>
      <c r="K787" t="n">
        <v>0</v>
      </c>
      <c r="L787" t="n">
        <v>0</v>
      </c>
      <c r="M787" t="n">
        <v>0</v>
      </c>
      <c r="N787" t="n">
        <v>0</v>
      </c>
      <c r="O787" t="n">
        <v>0</v>
      </c>
      <c r="P787" t="n">
        <v>0</v>
      </c>
      <c r="Q787" t="n">
        <v>0</v>
      </c>
      <c r="R787" s="2" t="inlineStr"/>
    </row>
    <row r="788" ht="15" customHeight="1">
      <c r="A788" t="inlineStr">
        <is>
          <t>A 31315-2023</t>
        </is>
      </c>
      <c r="B788" s="1" t="n">
        <v>45114</v>
      </c>
      <c r="C788" s="1" t="n">
        <v>45292</v>
      </c>
      <c r="D788" t="inlineStr">
        <is>
          <t>VÄSTMANLANDS LÄN</t>
        </is>
      </c>
      <c r="E788" t="inlineStr">
        <is>
          <t>SALA</t>
        </is>
      </c>
      <c r="G788" t="n">
        <v>1.7</v>
      </c>
      <c r="H788" t="n">
        <v>0</v>
      </c>
      <c r="I788" t="n">
        <v>0</v>
      </c>
      <c r="J788" t="n">
        <v>0</v>
      </c>
      <c r="K788" t="n">
        <v>0</v>
      </c>
      <c r="L788" t="n">
        <v>0</v>
      </c>
      <c r="M788" t="n">
        <v>0</v>
      </c>
      <c r="N788" t="n">
        <v>0</v>
      </c>
      <c r="O788" t="n">
        <v>0</v>
      </c>
      <c r="P788" t="n">
        <v>0</v>
      </c>
      <c r="Q788" t="n">
        <v>0</v>
      </c>
      <c r="R788" s="2" t="inlineStr"/>
    </row>
    <row r="789" ht="15" customHeight="1">
      <c r="A789" t="inlineStr">
        <is>
          <t>A 31646-2023</t>
        </is>
      </c>
      <c r="B789" s="1" t="n">
        <v>45117</v>
      </c>
      <c r="C789" s="1" t="n">
        <v>45292</v>
      </c>
      <c r="D789" t="inlineStr">
        <is>
          <t>VÄSTMANLANDS LÄN</t>
        </is>
      </c>
      <c r="E789" t="inlineStr">
        <is>
          <t>SALA</t>
        </is>
      </c>
      <c r="G789" t="n">
        <v>3.5</v>
      </c>
      <c r="H789" t="n">
        <v>0</v>
      </c>
      <c r="I789" t="n">
        <v>0</v>
      </c>
      <c r="J789" t="n">
        <v>0</v>
      </c>
      <c r="K789" t="n">
        <v>0</v>
      </c>
      <c r="L789" t="n">
        <v>0</v>
      </c>
      <c r="M789" t="n">
        <v>0</v>
      </c>
      <c r="N789" t="n">
        <v>0</v>
      </c>
      <c r="O789" t="n">
        <v>0</v>
      </c>
      <c r="P789" t="n">
        <v>0</v>
      </c>
      <c r="Q789" t="n">
        <v>0</v>
      </c>
      <c r="R789" s="2" t="inlineStr"/>
    </row>
    <row r="790" ht="15" customHeight="1">
      <c r="A790" t="inlineStr">
        <is>
          <t>A 31859-2023</t>
        </is>
      </c>
      <c r="B790" s="1" t="n">
        <v>45118</v>
      </c>
      <c r="C790" s="1" t="n">
        <v>45292</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32945-2023</t>
        </is>
      </c>
      <c r="B791" s="1" t="n">
        <v>45125</v>
      </c>
      <c r="C791" s="1" t="n">
        <v>45292</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33152-2023</t>
        </is>
      </c>
      <c r="B792" s="1" t="n">
        <v>45126</v>
      </c>
      <c r="C792" s="1" t="n">
        <v>45292</v>
      </c>
      <c r="D792" t="inlineStr">
        <is>
          <t>VÄSTMANLANDS LÄN</t>
        </is>
      </c>
      <c r="E792" t="inlineStr">
        <is>
          <t>SALA</t>
        </is>
      </c>
      <c r="F792" t="inlineStr">
        <is>
          <t>Sveaskog</t>
        </is>
      </c>
      <c r="G792" t="n">
        <v>1.3</v>
      </c>
      <c r="H792" t="n">
        <v>0</v>
      </c>
      <c r="I792" t="n">
        <v>0</v>
      </c>
      <c r="J792" t="n">
        <v>0</v>
      </c>
      <c r="K792" t="n">
        <v>0</v>
      </c>
      <c r="L792" t="n">
        <v>0</v>
      </c>
      <c r="M792" t="n">
        <v>0</v>
      </c>
      <c r="N792" t="n">
        <v>0</v>
      </c>
      <c r="O792" t="n">
        <v>0</v>
      </c>
      <c r="P792" t="n">
        <v>0</v>
      </c>
      <c r="Q792" t="n">
        <v>0</v>
      </c>
      <c r="R792" s="2" t="inlineStr"/>
    </row>
    <row r="793" ht="15" customHeight="1">
      <c r="A793" t="inlineStr">
        <is>
          <t>A 33151-2023</t>
        </is>
      </c>
      <c r="B793" s="1" t="n">
        <v>45126</v>
      </c>
      <c r="C793" s="1" t="n">
        <v>45292</v>
      </c>
      <c r="D793" t="inlineStr">
        <is>
          <t>VÄSTMANLANDS LÄN</t>
        </is>
      </c>
      <c r="E793" t="inlineStr">
        <is>
          <t>SALA</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33180-2023</t>
        </is>
      </c>
      <c r="B794" s="1" t="n">
        <v>45127</v>
      </c>
      <c r="C794" s="1" t="n">
        <v>45292</v>
      </c>
      <c r="D794" t="inlineStr">
        <is>
          <t>VÄSTMANLANDS LÄN</t>
        </is>
      </c>
      <c r="E794" t="inlineStr">
        <is>
          <t>SALA</t>
        </is>
      </c>
      <c r="G794" t="n">
        <v>2.5</v>
      </c>
      <c r="H794" t="n">
        <v>0</v>
      </c>
      <c r="I794" t="n">
        <v>0</v>
      </c>
      <c r="J794" t="n">
        <v>0</v>
      </c>
      <c r="K794" t="n">
        <v>0</v>
      </c>
      <c r="L794" t="n">
        <v>0</v>
      </c>
      <c r="M794" t="n">
        <v>0</v>
      </c>
      <c r="N794" t="n">
        <v>0</v>
      </c>
      <c r="O794" t="n">
        <v>0</v>
      </c>
      <c r="P794" t="n">
        <v>0</v>
      </c>
      <c r="Q794" t="n">
        <v>0</v>
      </c>
      <c r="R794" s="2" t="inlineStr"/>
    </row>
    <row r="795" ht="15" customHeight="1">
      <c r="A795" t="inlineStr">
        <is>
          <t>A 33273-2023</t>
        </is>
      </c>
      <c r="B795" s="1" t="n">
        <v>45127</v>
      </c>
      <c r="C795" s="1" t="n">
        <v>45292</v>
      </c>
      <c r="D795" t="inlineStr">
        <is>
          <t>VÄSTMANLANDS LÄN</t>
        </is>
      </c>
      <c r="E795" t="inlineStr">
        <is>
          <t>SALA</t>
        </is>
      </c>
      <c r="G795" t="n">
        <v>2.6</v>
      </c>
      <c r="H795" t="n">
        <v>0</v>
      </c>
      <c r="I795" t="n">
        <v>0</v>
      </c>
      <c r="J795" t="n">
        <v>0</v>
      </c>
      <c r="K795" t="n">
        <v>0</v>
      </c>
      <c r="L795" t="n">
        <v>0</v>
      </c>
      <c r="M795" t="n">
        <v>0</v>
      </c>
      <c r="N795" t="n">
        <v>0</v>
      </c>
      <c r="O795" t="n">
        <v>0</v>
      </c>
      <c r="P795" t="n">
        <v>0</v>
      </c>
      <c r="Q795" t="n">
        <v>0</v>
      </c>
      <c r="R795" s="2" t="inlineStr"/>
    </row>
    <row r="796" ht="15" customHeight="1">
      <c r="A796" t="inlineStr">
        <is>
          <t>A 33527-2023</t>
        </is>
      </c>
      <c r="B796" s="1" t="n">
        <v>45131</v>
      </c>
      <c r="C796" s="1" t="n">
        <v>45292</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34361-2023</t>
        </is>
      </c>
      <c r="B797" s="1" t="n">
        <v>45131</v>
      </c>
      <c r="C797" s="1" t="n">
        <v>45292</v>
      </c>
      <c r="D797" t="inlineStr">
        <is>
          <t>VÄSTMANLANDS LÄN</t>
        </is>
      </c>
      <c r="E797" t="inlineStr">
        <is>
          <t>SALA</t>
        </is>
      </c>
      <c r="G797" t="n">
        <v>2.7</v>
      </c>
      <c r="H797" t="n">
        <v>0</v>
      </c>
      <c r="I797" t="n">
        <v>0</v>
      </c>
      <c r="J797" t="n">
        <v>0</v>
      </c>
      <c r="K797" t="n">
        <v>0</v>
      </c>
      <c r="L797" t="n">
        <v>0</v>
      </c>
      <c r="M797" t="n">
        <v>0</v>
      </c>
      <c r="N797" t="n">
        <v>0</v>
      </c>
      <c r="O797" t="n">
        <v>0</v>
      </c>
      <c r="P797" t="n">
        <v>0</v>
      </c>
      <c r="Q797" t="n">
        <v>0</v>
      </c>
      <c r="R797" s="2" t="inlineStr"/>
    </row>
    <row r="798" ht="15" customHeight="1">
      <c r="A798" t="inlineStr">
        <is>
          <t>A 33732-2023</t>
        </is>
      </c>
      <c r="B798" s="1" t="n">
        <v>45133</v>
      </c>
      <c r="C798" s="1" t="n">
        <v>45292</v>
      </c>
      <c r="D798" t="inlineStr">
        <is>
          <t>VÄSTMANLANDS LÄN</t>
        </is>
      </c>
      <c r="E798" t="inlineStr">
        <is>
          <t>SALA</t>
        </is>
      </c>
      <c r="G798" t="n">
        <v>2</v>
      </c>
      <c r="H798" t="n">
        <v>0</v>
      </c>
      <c r="I798" t="n">
        <v>0</v>
      </c>
      <c r="J798" t="n">
        <v>0</v>
      </c>
      <c r="K798" t="n">
        <v>0</v>
      </c>
      <c r="L798" t="n">
        <v>0</v>
      </c>
      <c r="M798" t="n">
        <v>0</v>
      </c>
      <c r="N798" t="n">
        <v>0</v>
      </c>
      <c r="O798" t="n">
        <v>0</v>
      </c>
      <c r="P798" t="n">
        <v>0</v>
      </c>
      <c r="Q798" t="n">
        <v>0</v>
      </c>
      <c r="R798" s="2" t="inlineStr"/>
    </row>
    <row r="799" ht="15" customHeight="1">
      <c r="A799" t="inlineStr">
        <is>
          <t>A 33743-2023</t>
        </is>
      </c>
      <c r="B799" s="1" t="n">
        <v>45133</v>
      </c>
      <c r="C799" s="1" t="n">
        <v>45292</v>
      </c>
      <c r="D799" t="inlineStr">
        <is>
          <t>VÄSTMANLANDS LÄN</t>
        </is>
      </c>
      <c r="E799" t="inlineStr">
        <is>
          <t>SALA</t>
        </is>
      </c>
      <c r="G799" t="n">
        <v>4.6</v>
      </c>
      <c r="H799" t="n">
        <v>0</v>
      </c>
      <c r="I799" t="n">
        <v>0</v>
      </c>
      <c r="J799" t="n">
        <v>0</v>
      </c>
      <c r="K799" t="n">
        <v>0</v>
      </c>
      <c r="L799" t="n">
        <v>0</v>
      </c>
      <c r="M799" t="n">
        <v>0</v>
      </c>
      <c r="N799" t="n">
        <v>0</v>
      </c>
      <c r="O799" t="n">
        <v>0</v>
      </c>
      <c r="P799" t="n">
        <v>0</v>
      </c>
      <c r="Q799" t="n">
        <v>0</v>
      </c>
      <c r="R799" s="2" t="inlineStr"/>
    </row>
    <row r="800" ht="15" customHeight="1">
      <c r="A800" t="inlineStr">
        <is>
          <t>A 34494-2023</t>
        </is>
      </c>
      <c r="B800" s="1" t="n">
        <v>45133</v>
      </c>
      <c r="C800" s="1" t="n">
        <v>45292</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34215-2023</t>
        </is>
      </c>
      <c r="B801" s="1" t="n">
        <v>45138</v>
      </c>
      <c r="C801" s="1" t="n">
        <v>45292</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34752-2023</t>
        </is>
      </c>
      <c r="B802" s="1" t="n">
        <v>45141</v>
      </c>
      <c r="C802" s="1" t="n">
        <v>45292</v>
      </c>
      <c r="D802" t="inlineStr">
        <is>
          <t>VÄSTMANLANDS LÄN</t>
        </is>
      </c>
      <c r="E802" t="inlineStr">
        <is>
          <t>SALA</t>
        </is>
      </c>
      <c r="G802" t="n">
        <v>4.9</v>
      </c>
      <c r="H802" t="n">
        <v>0</v>
      </c>
      <c r="I802" t="n">
        <v>0</v>
      </c>
      <c r="J802" t="n">
        <v>0</v>
      </c>
      <c r="K802" t="n">
        <v>0</v>
      </c>
      <c r="L802" t="n">
        <v>0</v>
      </c>
      <c r="M802" t="n">
        <v>0</v>
      </c>
      <c r="N802" t="n">
        <v>0</v>
      </c>
      <c r="O802" t="n">
        <v>0</v>
      </c>
      <c r="P802" t="n">
        <v>0</v>
      </c>
      <c r="Q802" t="n">
        <v>0</v>
      </c>
      <c r="R802" s="2" t="inlineStr"/>
    </row>
    <row r="803" ht="15" customHeight="1">
      <c r="A803" t="inlineStr">
        <is>
          <t>A 34867-2023</t>
        </is>
      </c>
      <c r="B803" s="1" t="n">
        <v>45142</v>
      </c>
      <c r="C803" s="1" t="n">
        <v>45292</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35434-2023</t>
        </is>
      </c>
      <c r="B804" s="1" t="n">
        <v>45146</v>
      </c>
      <c r="C804" s="1" t="n">
        <v>45292</v>
      </c>
      <c r="D804" t="inlineStr">
        <is>
          <t>VÄSTMANLANDS LÄN</t>
        </is>
      </c>
      <c r="E804" t="inlineStr">
        <is>
          <t>SALA</t>
        </is>
      </c>
      <c r="G804" t="n">
        <v>2.5</v>
      </c>
      <c r="H804" t="n">
        <v>0</v>
      </c>
      <c r="I804" t="n">
        <v>0</v>
      </c>
      <c r="J804" t="n">
        <v>0</v>
      </c>
      <c r="K804" t="n">
        <v>0</v>
      </c>
      <c r="L804" t="n">
        <v>0</v>
      </c>
      <c r="M804" t="n">
        <v>0</v>
      </c>
      <c r="N804" t="n">
        <v>0</v>
      </c>
      <c r="O804" t="n">
        <v>0</v>
      </c>
      <c r="P804" t="n">
        <v>0</v>
      </c>
      <c r="Q804" t="n">
        <v>0</v>
      </c>
      <c r="R804" s="2" t="inlineStr"/>
    </row>
    <row r="805" ht="15" customHeight="1">
      <c r="A805" t="inlineStr">
        <is>
          <t>A 36393-2023</t>
        </is>
      </c>
      <c r="B805" s="1" t="n">
        <v>45152</v>
      </c>
      <c r="C805" s="1" t="n">
        <v>45292</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36858-2023</t>
        </is>
      </c>
      <c r="B806" s="1" t="n">
        <v>45154</v>
      </c>
      <c r="C806" s="1" t="n">
        <v>45292</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38773-2023</t>
        </is>
      </c>
      <c r="B807" s="1" t="n">
        <v>45161</v>
      </c>
      <c r="C807" s="1" t="n">
        <v>45292</v>
      </c>
      <c r="D807" t="inlineStr">
        <is>
          <t>VÄSTMANLANDS LÄN</t>
        </is>
      </c>
      <c r="E807" t="inlineStr">
        <is>
          <t>SALA</t>
        </is>
      </c>
      <c r="G807" t="n">
        <v>12.5</v>
      </c>
      <c r="H807" t="n">
        <v>0</v>
      </c>
      <c r="I807" t="n">
        <v>0</v>
      </c>
      <c r="J807" t="n">
        <v>0</v>
      </c>
      <c r="K807" t="n">
        <v>0</v>
      </c>
      <c r="L807" t="n">
        <v>0</v>
      </c>
      <c r="M807" t="n">
        <v>0</v>
      </c>
      <c r="N807" t="n">
        <v>0</v>
      </c>
      <c r="O807" t="n">
        <v>0</v>
      </c>
      <c r="P807" t="n">
        <v>0</v>
      </c>
      <c r="Q807" t="n">
        <v>0</v>
      </c>
      <c r="R807" s="2" t="inlineStr"/>
    </row>
    <row r="808" ht="15" customHeight="1">
      <c r="A808" t="inlineStr">
        <is>
          <t>A 38561-2023</t>
        </is>
      </c>
      <c r="B808" s="1" t="n">
        <v>45162</v>
      </c>
      <c r="C808" s="1" t="n">
        <v>45292</v>
      </c>
      <c r="D808" t="inlineStr">
        <is>
          <t>VÄSTMANLANDS LÄN</t>
        </is>
      </c>
      <c r="E808" t="inlineStr">
        <is>
          <t>SALA</t>
        </is>
      </c>
      <c r="G808" t="n">
        <v>2.9</v>
      </c>
      <c r="H808" t="n">
        <v>0</v>
      </c>
      <c r="I808" t="n">
        <v>0</v>
      </c>
      <c r="J808" t="n">
        <v>0</v>
      </c>
      <c r="K808" t="n">
        <v>0</v>
      </c>
      <c r="L808" t="n">
        <v>0</v>
      </c>
      <c r="M808" t="n">
        <v>0</v>
      </c>
      <c r="N808" t="n">
        <v>0</v>
      </c>
      <c r="O808" t="n">
        <v>0</v>
      </c>
      <c r="P808" t="n">
        <v>0</v>
      </c>
      <c r="Q808" t="n">
        <v>0</v>
      </c>
      <c r="R808" s="2" t="inlineStr"/>
    </row>
    <row r="809" ht="15" customHeight="1">
      <c r="A809" t="inlineStr">
        <is>
          <t>A 39011-2023</t>
        </is>
      </c>
      <c r="B809" s="1" t="n">
        <v>45162</v>
      </c>
      <c r="C809" s="1" t="n">
        <v>45292</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39604-2023</t>
        </is>
      </c>
      <c r="B810" s="1" t="n">
        <v>45163</v>
      </c>
      <c r="C810" s="1" t="n">
        <v>45292</v>
      </c>
      <c r="D810" t="inlineStr">
        <is>
          <t>VÄSTMANLANDS LÄN</t>
        </is>
      </c>
      <c r="E810" t="inlineStr">
        <is>
          <t>SALA</t>
        </is>
      </c>
      <c r="G810" t="n">
        <v>2.7</v>
      </c>
      <c r="H810" t="n">
        <v>0</v>
      </c>
      <c r="I810" t="n">
        <v>0</v>
      </c>
      <c r="J810" t="n">
        <v>0</v>
      </c>
      <c r="K810" t="n">
        <v>0</v>
      </c>
      <c r="L810" t="n">
        <v>0</v>
      </c>
      <c r="M810" t="n">
        <v>0</v>
      </c>
      <c r="N810" t="n">
        <v>0</v>
      </c>
      <c r="O810" t="n">
        <v>0</v>
      </c>
      <c r="P810" t="n">
        <v>0</v>
      </c>
      <c r="Q810" t="n">
        <v>0</v>
      </c>
      <c r="R810" s="2" t="inlineStr"/>
    </row>
    <row r="811" ht="15" customHeight="1">
      <c r="A811" t="inlineStr">
        <is>
          <t>A 39714-2023</t>
        </is>
      </c>
      <c r="B811" s="1" t="n">
        <v>45167</v>
      </c>
      <c r="C811" s="1" t="n">
        <v>45292</v>
      </c>
      <c r="D811" t="inlineStr">
        <is>
          <t>VÄSTMANLANDS LÄN</t>
        </is>
      </c>
      <c r="E811" t="inlineStr">
        <is>
          <t>SALA</t>
        </is>
      </c>
      <c r="G811" t="n">
        <v>1.3</v>
      </c>
      <c r="H811" t="n">
        <v>0</v>
      </c>
      <c r="I811" t="n">
        <v>0</v>
      </c>
      <c r="J811" t="n">
        <v>0</v>
      </c>
      <c r="K811" t="n">
        <v>0</v>
      </c>
      <c r="L811" t="n">
        <v>0</v>
      </c>
      <c r="M811" t="n">
        <v>0</v>
      </c>
      <c r="N811" t="n">
        <v>0</v>
      </c>
      <c r="O811" t="n">
        <v>0</v>
      </c>
      <c r="P811" t="n">
        <v>0</v>
      </c>
      <c r="Q811" t="n">
        <v>0</v>
      </c>
      <c r="R811" s="2" t="inlineStr"/>
    </row>
    <row r="812" ht="15" customHeight="1">
      <c r="A812" t="inlineStr">
        <is>
          <t>A 39708-2023</t>
        </is>
      </c>
      <c r="B812" s="1" t="n">
        <v>45167</v>
      </c>
      <c r="C812" s="1" t="n">
        <v>45292</v>
      </c>
      <c r="D812" t="inlineStr">
        <is>
          <t>VÄSTMANLANDS LÄN</t>
        </is>
      </c>
      <c r="E812" t="inlineStr">
        <is>
          <t>SALA</t>
        </is>
      </c>
      <c r="G812" t="n">
        <v>5.3</v>
      </c>
      <c r="H812" t="n">
        <v>0</v>
      </c>
      <c r="I812" t="n">
        <v>0</v>
      </c>
      <c r="J812" t="n">
        <v>0</v>
      </c>
      <c r="K812" t="n">
        <v>0</v>
      </c>
      <c r="L812" t="n">
        <v>0</v>
      </c>
      <c r="M812" t="n">
        <v>0</v>
      </c>
      <c r="N812" t="n">
        <v>0</v>
      </c>
      <c r="O812" t="n">
        <v>0</v>
      </c>
      <c r="P812" t="n">
        <v>0</v>
      </c>
      <c r="Q812" t="n">
        <v>0</v>
      </c>
      <c r="R812" s="2" t="inlineStr"/>
    </row>
    <row r="813" ht="15" customHeight="1">
      <c r="A813" t="inlineStr">
        <is>
          <t>A 39713-2023</t>
        </is>
      </c>
      <c r="B813" s="1" t="n">
        <v>45167</v>
      </c>
      <c r="C813" s="1" t="n">
        <v>45292</v>
      </c>
      <c r="D813" t="inlineStr">
        <is>
          <t>VÄSTMANLANDS LÄN</t>
        </is>
      </c>
      <c r="E813" t="inlineStr">
        <is>
          <t>SALA</t>
        </is>
      </c>
      <c r="G813" t="n">
        <v>3.1</v>
      </c>
      <c r="H813" t="n">
        <v>0</v>
      </c>
      <c r="I813" t="n">
        <v>0</v>
      </c>
      <c r="J813" t="n">
        <v>0</v>
      </c>
      <c r="K813" t="n">
        <v>0</v>
      </c>
      <c r="L813" t="n">
        <v>0</v>
      </c>
      <c r="M813" t="n">
        <v>0</v>
      </c>
      <c r="N813" t="n">
        <v>0</v>
      </c>
      <c r="O813" t="n">
        <v>0</v>
      </c>
      <c r="P813" t="n">
        <v>0</v>
      </c>
      <c r="Q813" t="n">
        <v>0</v>
      </c>
      <c r="R813" s="2" t="inlineStr"/>
    </row>
    <row r="814" ht="15" customHeight="1">
      <c r="A814" t="inlineStr">
        <is>
          <t>A 40214-2023</t>
        </is>
      </c>
      <c r="B814" s="1" t="n">
        <v>45169</v>
      </c>
      <c r="C814" s="1" t="n">
        <v>45292</v>
      </c>
      <c r="D814" t="inlineStr">
        <is>
          <t>VÄSTMANLANDS LÄN</t>
        </is>
      </c>
      <c r="E814" t="inlineStr">
        <is>
          <t>SALA</t>
        </is>
      </c>
      <c r="G814" t="n">
        <v>5.5</v>
      </c>
      <c r="H814" t="n">
        <v>0</v>
      </c>
      <c r="I814" t="n">
        <v>0</v>
      </c>
      <c r="J814" t="n">
        <v>0</v>
      </c>
      <c r="K814" t="n">
        <v>0</v>
      </c>
      <c r="L814" t="n">
        <v>0</v>
      </c>
      <c r="M814" t="n">
        <v>0</v>
      </c>
      <c r="N814" t="n">
        <v>0</v>
      </c>
      <c r="O814" t="n">
        <v>0</v>
      </c>
      <c r="P814" t="n">
        <v>0</v>
      </c>
      <c r="Q814" t="n">
        <v>0</v>
      </c>
      <c r="R814" s="2" t="inlineStr"/>
    </row>
    <row r="815" ht="15" customHeight="1">
      <c r="A815" t="inlineStr">
        <is>
          <t>A 41613-2023</t>
        </is>
      </c>
      <c r="B815" s="1" t="n">
        <v>45173</v>
      </c>
      <c r="C815" s="1" t="n">
        <v>45292</v>
      </c>
      <c r="D815" t="inlineStr">
        <is>
          <t>VÄSTMANLANDS LÄN</t>
        </is>
      </c>
      <c r="E815" t="inlineStr">
        <is>
          <t>SALA</t>
        </is>
      </c>
      <c r="G815" t="n">
        <v>0.7</v>
      </c>
      <c r="H815" t="n">
        <v>0</v>
      </c>
      <c r="I815" t="n">
        <v>0</v>
      </c>
      <c r="J815" t="n">
        <v>0</v>
      </c>
      <c r="K815" t="n">
        <v>0</v>
      </c>
      <c r="L815" t="n">
        <v>0</v>
      </c>
      <c r="M815" t="n">
        <v>0</v>
      </c>
      <c r="N815" t="n">
        <v>0</v>
      </c>
      <c r="O815" t="n">
        <v>0</v>
      </c>
      <c r="P815" t="n">
        <v>0</v>
      </c>
      <c r="Q815" t="n">
        <v>0</v>
      </c>
      <c r="R815" s="2" t="inlineStr"/>
    </row>
    <row r="816" ht="15" customHeight="1">
      <c r="A816" t="inlineStr">
        <is>
          <t>A 41619-2023</t>
        </is>
      </c>
      <c r="B816" s="1" t="n">
        <v>45173</v>
      </c>
      <c r="C816" s="1" t="n">
        <v>45292</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42312-2023</t>
        </is>
      </c>
      <c r="B817" s="1" t="n">
        <v>45175</v>
      </c>
      <c r="C817" s="1" t="n">
        <v>45292</v>
      </c>
      <c r="D817" t="inlineStr">
        <is>
          <t>VÄSTMANLANDS LÄN</t>
        </is>
      </c>
      <c r="E817" t="inlineStr">
        <is>
          <t>SALA</t>
        </is>
      </c>
      <c r="G817" t="n">
        <v>2.2</v>
      </c>
      <c r="H817" t="n">
        <v>0</v>
      </c>
      <c r="I817" t="n">
        <v>0</v>
      </c>
      <c r="J817" t="n">
        <v>0</v>
      </c>
      <c r="K817" t="n">
        <v>0</v>
      </c>
      <c r="L817" t="n">
        <v>0</v>
      </c>
      <c r="M817" t="n">
        <v>0</v>
      </c>
      <c r="N817" t="n">
        <v>0</v>
      </c>
      <c r="O817" t="n">
        <v>0</v>
      </c>
      <c r="P817" t="n">
        <v>0</v>
      </c>
      <c r="Q817" t="n">
        <v>0</v>
      </c>
      <c r="R817" s="2" t="inlineStr"/>
    </row>
    <row r="818" ht="15" customHeight="1">
      <c r="A818" t="inlineStr">
        <is>
          <t>A 42938-2023</t>
        </is>
      </c>
      <c r="B818" s="1" t="n">
        <v>45179</v>
      </c>
      <c r="C818" s="1" t="n">
        <v>45292</v>
      </c>
      <c r="D818" t="inlineStr">
        <is>
          <t>VÄSTMANLANDS LÄN</t>
        </is>
      </c>
      <c r="E818" t="inlineStr">
        <is>
          <t>SALA</t>
        </is>
      </c>
      <c r="G818" t="n">
        <v>10.9</v>
      </c>
      <c r="H818" t="n">
        <v>0</v>
      </c>
      <c r="I818" t="n">
        <v>0</v>
      </c>
      <c r="J818" t="n">
        <v>0</v>
      </c>
      <c r="K818" t="n">
        <v>0</v>
      </c>
      <c r="L818" t="n">
        <v>0</v>
      </c>
      <c r="M818" t="n">
        <v>0</v>
      </c>
      <c r="N818" t="n">
        <v>0</v>
      </c>
      <c r="O818" t="n">
        <v>0</v>
      </c>
      <c r="P818" t="n">
        <v>0</v>
      </c>
      <c r="Q818" t="n">
        <v>0</v>
      </c>
      <c r="R818" s="2" t="inlineStr"/>
    </row>
    <row r="819" ht="15" customHeight="1">
      <c r="A819" t="inlineStr">
        <is>
          <t>A 42984-2023</t>
        </is>
      </c>
      <c r="B819" s="1" t="n">
        <v>45179</v>
      </c>
      <c r="C819" s="1" t="n">
        <v>45292</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42991-2023</t>
        </is>
      </c>
      <c r="B820" s="1" t="n">
        <v>45179</v>
      </c>
      <c r="C820" s="1" t="n">
        <v>45292</v>
      </c>
      <c r="D820" t="inlineStr">
        <is>
          <t>VÄSTMANLANDS LÄN</t>
        </is>
      </c>
      <c r="E820" t="inlineStr">
        <is>
          <t>SALA</t>
        </is>
      </c>
      <c r="G820" t="n">
        <v>3.6</v>
      </c>
      <c r="H820" t="n">
        <v>0</v>
      </c>
      <c r="I820" t="n">
        <v>0</v>
      </c>
      <c r="J820" t="n">
        <v>0</v>
      </c>
      <c r="K820" t="n">
        <v>0</v>
      </c>
      <c r="L820" t="n">
        <v>0</v>
      </c>
      <c r="M820" t="n">
        <v>0</v>
      </c>
      <c r="N820" t="n">
        <v>0</v>
      </c>
      <c r="O820" t="n">
        <v>0</v>
      </c>
      <c r="P820" t="n">
        <v>0</v>
      </c>
      <c r="Q820" t="n">
        <v>0</v>
      </c>
      <c r="R820" s="2" t="inlineStr"/>
    </row>
    <row r="821" ht="15" customHeight="1">
      <c r="A821" t="inlineStr">
        <is>
          <t>A 44247-2023</t>
        </is>
      </c>
      <c r="B821" s="1" t="n">
        <v>45182</v>
      </c>
      <c r="C821" s="1" t="n">
        <v>45292</v>
      </c>
      <c r="D821" t="inlineStr">
        <is>
          <t>VÄSTMANLANDS LÄN</t>
        </is>
      </c>
      <c r="E821" t="inlineStr">
        <is>
          <t>SALA</t>
        </is>
      </c>
      <c r="G821" t="n">
        <v>1.7</v>
      </c>
      <c r="H821" t="n">
        <v>0</v>
      </c>
      <c r="I821" t="n">
        <v>0</v>
      </c>
      <c r="J821" t="n">
        <v>0</v>
      </c>
      <c r="K821" t="n">
        <v>0</v>
      </c>
      <c r="L821" t="n">
        <v>0</v>
      </c>
      <c r="M821" t="n">
        <v>0</v>
      </c>
      <c r="N821" t="n">
        <v>0</v>
      </c>
      <c r="O821" t="n">
        <v>0</v>
      </c>
      <c r="P821" t="n">
        <v>0</v>
      </c>
      <c r="Q821" t="n">
        <v>0</v>
      </c>
      <c r="R821" s="2" t="inlineStr"/>
    </row>
    <row r="822" ht="15" customHeight="1">
      <c r="A822" t="inlineStr">
        <is>
          <t>A 43188-2023</t>
        </is>
      </c>
      <c r="B822" s="1" t="n">
        <v>45183</v>
      </c>
      <c r="C822" s="1" t="n">
        <v>45292</v>
      </c>
      <c r="D822" t="inlineStr">
        <is>
          <t>VÄSTMANLANDS LÄN</t>
        </is>
      </c>
      <c r="E822" t="inlineStr">
        <is>
          <t>SALA</t>
        </is>
      </c>
      <c r="G822" t="n">
        <v>1.2</v>
      </c>
      <c r="H822" t="n">
        <v>0</v>
      </c>
      <c r="I822" t="n">
        <v>0</v>
      </c>
      <c r="J822" t="n">
        <v>0</v>
      </c>
      <c r="K822" t="n">
        <v>0</v>
      </c>
      <c r="L822" t="n">
        <v>0</v>
      </c>
      <c r="M822" t="n">
        <v>0</v>
      </c>
      <c r="N822" t="n">
        <v>0</v>
      </c>
      <c r="O822" t="n">
        <v>0</v>
      </c>
      <c r="P822" t="n">
        <v>0</v>
      </c>
      <c r="Q822" t="n">
        <v>0</v>
      </c>
      <c r="R822" s="2" t="inlineStr"/>
    </row>
    <row r="823" ht="15" customHeight="1">
      <c r="A823" t="inlineStr">
        <is>
          <t>A 43184-2023</t>
        </is>
      </c>
      <c r="B823" s="1" t="n">
        <v>45183</v>
      </c>
      <c r="C823" s="1" t="n">
        <v>45292</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43205-2023</t>
        </is>
      </c>
      <c r="B824" s="1" t="n">
        <v>45183</v>
      </c>
      <c r="C824" s="1" t="n">
        <v>45292</v>
      </c>
      <c r="D824" t="inlineStr">
        <is>
          <t>VÄSTMANLANDS LÄN</t>
        </is>
      </c>
      <c r="E824" t="inlineStr">
        <is>
          <t>SALA</t>
        </is>
      </c>
      <c r="G824" t="n">
        <v>2.1</v>
      </c>
      <c r="H824" t="n">
        <v>0</v>
      </c>
      <c r="I824" t="n">
        <v>0</v>
      </c>
      <c r="J824" t="n">
        <v>0</v>
      </c>
      <c r="K824" t="n">
        <v>0</v>
      </c>
      <c r="L824" t="n">
        <v>0</v>
      </c>
      <c r="M824" t="n">
        <v>0</v>
      </c>
      <c r="N824" t="n">
        <v>0</v>
      </c>
      <c r="O824" t="n">
        <v>0</v>
      </c>
      <c r="P824" t="n">
        <v>0</v>
      </c>
      <c r="Q824" t="n">
        <v>0</v>
      </c>
      <c r="R824" s="2" t="inlineStr"/>
    </row>
    <row r="825" ht="15" customHeight="1">
      <c r="A825" t="inlineStr">
        <is>
          <t>A 43176-2023</t>
        </is>
      </c>
      <c r="B825" s="1" t="n">
        <v>45183</v>
      </c>
      <c r="C825" s="1" t="n">
        <v>45292</v>
      </c>
      <c r="D825" t="inlineStr">
        <is>
          <t>VÄSTMANLANDS LÄN</t>
        </is>
      </c>
      <c r="E825" t="inlineStr">
        <is>
          <t>SALA</t>
        </is>
      </c>
      <c r="G825" t="n">
        <v>1.2</v>
      </c>
      <c r="H825" t="n">
        <v>0</v>
      </c>
      <c r="I825" t="n">
        <v>0</v>
      </c>
      <c r="J825" t="n">
        <v>0</v>
      </c>
      <c r="K825" t="n">
        <v>0</v>
      </c>
      <c r="L825" t="n">
        <v>0</v>
      </c>
      <c r="M825" t="n">
        <v>0</v>
      </c>
      <c r="N825" t="n">
        <v>0</v>
      </c>
      <c r="O825" t="n">
        <v>0</v>
      </c>
      <c r="P825" t="n">
        <v>0</v>
      </c>
      <c r="Q825" t="n">
        <v>0</v>
      </c>
      <c r="R825" s="2" t="inlineStr"/>
    </row>
    <row r="826" ht="15" customHeight="1">
      <c r="A826" t="inlineStr">
        <is>
          <t>A 43187-2023</t>
        </is>
      </c>
      <c r="B826" s="1" t="n">
        <v>45183</v>
      </c>
      <c r="C826" s="1" t="n">
        <v>45292</v>
      </c>
      <c r="D826" t="inlineStr">
        <is>
          <t>VÄSTMANLANDS LÄN</t>
        </is>
      </c>
      <c r="E826" t="inlineStr">
        <is>
          <t>SALA</t>
        </is>
      </c>
      <c r="G826" t="n">
        <v>1.6</v>
      </c>
      <c r="H826" t="n">
        <v>0</v>
      </c>
      <c r="I826" t="n">
        <v>0</v>
      </c>
      <c r="J826" t="n">
        <v>0</v>
      </c>
      <c r="K826" t="n">
        <v>0</v>
      </c>
      <c r="L826" t="n">
        <v>0</v>
      </c>
      <c r="M826" t="n">
        <v>0</v>
      </c>
      <c r="N826" t="n">
        <v>0</v>
      </c>
      <c r="O826" t="n">
        <v>0</v>
      </c>
      <c r="P826" t="n">
        <v>0</v>
      </c>
      <c r="Q826" t="n">
        <v>0</v>
      </c>
      <c r="R826" s="2" t="inlineStr"/>
    </row>
    <row r="827" ht="15" customHeight="1">
      <c r="A827" t="inlineStr">
        <is>
          <t>A 43363-2023</t>
        </is>
      </c>
      <c r="B827" s="1" t="n">
        <v>45183</v>
      </c>
      <c r="C827" s="1" t="n">
        <v>45292</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43362-2023</t>
        </is>
      </c>
      <c r="B828" s="1" t="n">
        <v>45183</v>
      </c>
      <c r="C828" s="1" t="n">
        <v>45292</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44713-2023</t>
        </is>
      </c>
      <c r="B829" s="1" t="n">
        <v>45184</v>
      </c>
      <c r="C829" s="1" t="n">
        <v>45292</v>
      </c>
      <c r="D829" t="inlineStr">
        <is>
          <t>VÄSTMANLANDS LÄN</t>
        </is>
      </c>
      <c r="E829" t="inlineStr">
        <is>
          <t>SALA</t>
        </is>
      </c>
      <c r="F829" t="inlineStr">
        <is>
          <t>Kyrkan</t>
        </is>
      </c>
      <c r="G829" t="n">
        <v>7.6</v>
      </c>
      <c r="H829" t="n">
        <v>0</v>
      </c>
      <c r="I829" t="n">
        <v>0</v>
      </c>
      <c r="J829" t="n">
        <v>0</v>
      </c>
      <c r="K829" t="n">
        <v>0</v>
      </c>
      <c r="L829" t="n">
        <v>0</v>
      </c>
      <c r="M829" t="n">
        <v>0</v>
      </c>
      <c r="N829" t="n">
        <v>0</v>
      </c>
      <c r="O829" t="n">
        <v>0</v>
      </c>
      <c r="P829" t="n">
        <v>0</v>
      </c>
      <c r="Q829" t="n">
        <v>0</v>
      </c>
      <c r="R829" s="2" t="inlineStr"/>
    </row>
    <row r="830" ht="15" customHeight="1">
      <c r="A830" t="inlineStr">
        <is>
          <t>A 44720-2023</t>
        </is>
      </c>
      <c r="B830" s="1" t="n">
        <v>45184</v>
      </c>
      <c r="C830" s="1" t="n">
        <v>45292</v>
      </c>
      <c r="D830" t="inlineStr">
        <is>
          <t>VÄSTMANLANDS LÄN</t>
        </is>
      </c>
      <c r="E830" t="inlineStr">
        <is>
          <t>SALA</t>
        </is>
      </c>
      <c r="F830" t="inlineStr">
        <is>
          <t>Kyrkan</t>
        </is>
      </c>
      <c r="G830" t="n">
        <v>2.3</v>
      </c>
      <c r="H830" t="n">
        <v>0</v>
      </c>
      <c r="I830" t="n">
        <v>0</v>
      </c>
      <c r="J830" t="n">
        <v>0</v>
      </c>
      <c r="K830" t="n">
        <v>0</v>
      </c>
      <c r="L830" t="n">
        <v>0</v>
      </c>
      <c r="M830" t="n">
        <v>0</v>
      </c>
      <c r="N830" t="n">
        <v>0</v>
      </c>
      <c r="O830" t="n">
        <v>0</v>
      </c>
      <c r="P830" t="n">
        <v>0</v>
      </c>
      <c r="Q830" t="n">
        <v>0</v>
      </c>
      <c r="R830" s="2" t="inlineStr"/>
    </row>
    <row r="831" ht="15" customHeight="1">
      <c r="A831" t="inlineStr">
        <is>
          <t>A 44297-2023</t>
        </is>
      </c>
      <c r="B831" s="1" t="n">
        <v>45188</v>
      </c>
      <c r="C831" s="1" t="n">
        <v>45292</v>
      </c>
      <c r="D831" t="inlineStr">
        <is>
          <t>VÄSTMANLANDS LÄN</t>
        </is>
      </c>
      <c r="E831" t="inlineStr">
        <is>
          <t>SALA</t>
        </is>
      </c>
      <c r="G831" t="n">
        <v>2.7</v>
      </c>
      <c r="H831" t="n">
        <v>0</v>
      </c>
      <c r="I831" t="n">
        <v>0</v>
      </c>
      <c r="J831" t="n">
        <v>0</v>
      </c>
      <c r="K831" t="n">
        <v>0</v>
      </c>
      <c r="L831" t="n">
        <v>0</v>
      </c>
      <c r="M831" t="n">
        <v>0</v>
      </c>
      <c r="N831" t="n">
        <v>0</v>
      </c>
      <c r="O831" t="n">
        <v>0</v>
      </c>
      <c r="P831" t="n">
        <v>0</v>
      </c>
      <c r="Q831" t="n">
        <v>0</v>
      </c>
      <c r="R831" s="2" t="inlineStr"/>
    </row>
    <row r="832" ht="15" customHeight="1">
      <c r="A832" t="inlineStr">
        <is>
          <t>A 44846-2023</t>
        </is>
      </c>
      <c r="B832" s="1" t="n">
        <v>45190</v>
      </c>
      <c r="C832" s="1" t="n">
        <v>45292</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44857-2023</t>
        </is>
      </c>
      <c r="B833" s="1" t="n">
        <v>45190</v>
      </c>
      <c r="C833" s="1" t="n">
        <v>45292</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46352-2023</t>
        </is>
      </c>
      <c r="B834" s="1" t="n">
        <v>45192</v>
      </c>
      <c r="C834" s="1" t="n">
        <v>45292</v>
      </c>
      <c r="D834" t="inlineStr">
        <is>
          <t>VÄSTMANLANDS LÄN</t>
        </is>
      </c>
      <c r="E834" t="inlineStr">
        <is>
          <t>SALA</t>
        </is>
      </c>
      <c r="G834" t="n">
        <v>1.9</v>
      </c>
      <c r="H834" t="n">
        <v>0</v>
      </c>
      <c r="I834" t="n">
        <v>0</v>
      </c>
      <c r="J834" t="n">
        <v>0</v>
      </c>
      <c r="K834" t="n">
        <v>0</v>
      </c>
      <c r="L834" t="n">
        <v>0</v>
      </c>
      <c r="M834" t="n">
        <v>0</v>
      </c>
      <c r="N834" t="n">
        <v>0</v>
      </c>
      <c r="O834" t="n">
        <v>0</v>
      </c>
      <c r="P834" t="n">
        <v>0</v>
      </c>
      <c r="Q834" t="n">
        <v>0</v>
      </c>
      <c r="R834" s="2" t="inlineStr"/>
    </row>
    <row r="835" ht="15" customHeight="1">
      <c r="A835" t="inlineStr">
        <is>
          <t>A 46355-2023</t>
        </is>
      </c>
      <c r="B835" s="1" t="n">
        <v>45192</v>
      </c>
      <c r="C835" s="1" t="n">
        <v>45292</v>
      </c>
      <c r="D835" t="inlineStr">
        <is>
          <t>VÄSTMANLANDS LÄN</t>
        </is>
      </c>
      <c r="E835" t="inlineStr">
        <is>
          <t>SALA</t>
        </is>
      </c>
      <c r="G835" t="n">
        <v>12</v>
      </c>
      <c r="H835" t="n">
        <v>0</v>
      </c>
      <c r="I835" t="n">
        <v>0</v>
      </c>
      <c r="J835" t="n">
        <v>0</v>
      </c>
      <c r="K835" t="n">
        <v>0</v>
      </c>
      <c r="L835" t="n">
        <v>0</v>
      </c>
      <c r="M835" t="n">
        <v>0</v>
      </c>
      <c r="N835" t="n">
        <v>0</v>
      </c>
      <c r="O835" t="n">
        <v>0</v>
      </c>
      <c r="P835" t="n">
        <v>0</v>
      </c>
      <c r="Q835" t="n">
        <v>0</v>
      </c>
      <c r="R835" s="2" t="inlineStr"/>
    </row>
    <row r="836" ht="15" customHeight="1">
      <c r="A836" t="inlineStr">
        <is>
          <t>A 46350-2023</t>
        </is>
      </c>
      <c r="B836" s="1" t="n">
        <v>45192</v>
      </c>
      <c r="C836" s="1" t="n">
        <v>45292</v>
      </c>
      <c r="D836" t="inlineStr">
        <is>
          <t>VÄSTMANLANDS LÄN</t>
        </is>
      </c>
      <c r="E836" t="inlineStr">
        <is>
          <t>SALA</t>
        </is>
      </c>
      <c r="G836" t="n">
        <v>4.8</v>
      </c>
      <c r="H836" t="n">
        <v>0</v>
      </c>
      <c r="I836" t="n">
        <v>0</v>
      </c>
      <c r="J836" t="n">
        <v>0</v>
      </c>
      <c r="K836" t="n">
        <v>0</v>
      </c>
      <c r="L836" t="n">
        <v>0</v>
      </c>
      <c r="M836" t="n">
        <v>0</v>
      </c>
      <c r="N836" t="n">
        <v>0</v>
      </c>
      <c r="O836" t="n">
        <v>0</v>
      </c>
      <c r="P836" t="n">
        <v>0</v>
      </c>
      <c r="Q836" t="n">
        <v>0</v>
      </c>
      <c r="R836" s="2" t="inlineStr"/>
    </row>
    <row r="837" ht="15" customHeight="1">
      <c r="A837" t="inlineStr">
        <is>
          <t>A 45531-2023</t>
        </is>
      </c>
      <c r="B837" s="1" t="n">
        <v>45194</v>
      </c>
      <c r="C837" s="1" t="n">
        <v>45292</v>
      </c>
      <c r="D837" t="inlineStr">
        <is>
          <t>VÄSTMANLANDS LÄN</t>
        </is>
      </c>
      <c r="E837" t="inlineStr">
        <is>
          <t>SALA</t>
        </is>
      </c>
      <c r="G837" t="n">
        <v>0.7</v>
      </c>
      <c r="H837" t="n">
        <v>0</v>
      </c>
      <c r="I837" t="n">
        <v>0</v>
      </c>
      <c r="J837" t="n">
        <v>0</v>
      </c>
      <c r="K837" t="n">
        <v>0</v>
      </c>
      <c r="L837" t="n">
        <v>0</v>
      </c>
      <c r="M837" t="n">
        <v>0</v>
      </c>
      <c r="N837" t="n">
        <v>0</v>
      </c>
      <c r="O837" t="n">
        <v>0</v>
      </c>
      <c r="P837" t="n">
        <v>0</v>
      </c>
      <c r="Q837" t="n">
        <v>0</v>
      </c>
      <c r="R837" s="2" t="inlineStr"/>
    </row>
    <row r="838" ht="15" customHeight="1">
      <c r="A838" t="inlineStr">
        <is>
          <t>A 45602-2023</t>
        </is>
      </c>
      <c r="B838" s="1" t="n">
        <v>45194</v>
      </c>
      <c r="C838" s="1" t="n">
        <v>45292</v>
      </c>
      <c r="D838" t="inlineStr">
        <is>
          <t>VÄSTMANLANDS LÄN</t>
        </is>
      </c>
      <c r="E838" t="inlineStr">
        <is>
          <t>SALA</t>
        </is>
      </c>
      <c r="G838" t="n">
        <v>1.9</v>
      </c>
      <c r="H838" t="n">
        <v>0</v>
      </c>
      <c r="I838" t="n">
        <v>0</v>
      </c>
      <c r="J838" t="n">
        <v>0</v>
      </c>
      <c r="K838" t="n">
        <v>0</v>
      </c>
      <c r="L838" t="n">
        <v>0</v>
      </c>
      <c r="M838" t="n">
        <v>0</v>
      </c>
      <c r="N838" t="n">
        <v>0</v>
      </c>
      <c r="O838" t="n">
        <v>0</v>
      </c>
      <c r="P838" t="n">
        <v>0</v>
      </c>
      <c r="Q838" t="n">
        <v>0</v>
      </c>
      <c r="R838" s="2" t="inlineStr"/>
    </row>
    <row r="839" ht="15" customHeight="1">
      <c r="A839" t="inlineStr">
        <is>
          <t>A 45790-2023</t>
        </is>
      </c>
      <c r="B839" s="1" t="n">
        <v>45195</v>
      </c>
      <c r="C839" s="1" t="n">
        <v>45292</v>
      </c>
      <c r="D839" t="inlineStr">
        <is>
          <t>VÄSTMANLANDS LÄN</t>
        </is>
      </c>
      <c r="E839" t="inlineStr">
        <is>
          <t>SALA</t>
        </is>
      </c>
      <c r="G839" t="n">
        <v>5.7</v>
      </c>
      <c r="H839" t="n">
        <v>0</v>
      </c>
      <c r="I839" t="n">
        <v>0</v>
      </c>
      <c r="J839" t="n">
        <v>0</v>
      </c>
      <c r="K839" t="n">
        <v>0</v>
      </c>
      <c r="L839" t="n">
        <v>0</v>
      </c>
      <c r="M839" t="n">
        <v>0</v>
      </c>
      <c r="N839" t="n">
        <v>0</v>
      </c>
      <c r="O839" t="n">
        <v>0</v>
      </c>
      <c r="P839" t="n">
        <v>0</v>
      </c>
      <c r="Q839" t="n">
        <v>0</v>
      </c>
      <c r="R839" s="2" t="inlineStr"/>
    </row>
    <row r="840" ht="15" customHeight="1">
      <c r="A840" t="inlineStr">
        <is>
          <t>A 46226-2023</t>
        </is>
      </c>
      <c r="B840" s="1" t="n">
        <v>45196</v>
      </c>
      <c r="C840" s="1" t="n">
        <v>45292</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47501-2023</t>
        </is>
      </c>
      <c r="B841" s="1" t="n">
        <v>45202</v>
      </c>
      <c r="C841" s="1" t="n">
        <v>45292</v>
      </c>
      <c r="D841" t="inlineStr">
        <is>
          <t>VÄSTMANLANDS LÄN</t>
        </is>
      </c>
      <c r="E841" t="inlineStr">
        <is>
          <t>SALA</t>
        </is>
      </c>
      <c r="G841" t="n">
        <v>0.9</v>
      </c>
      <c r="H841" t="n">
        <v>0</v>
      </c>
      <c r="I841" t="n">
        <v>0</v>
      </c>
      <c r="J841" t="n">
        <v>0</v>
      </c>
      <c r="K841" t="n">
        <v>0</v>
      </c>
      <c r="L841" t="n">
        <v>0</v>
      </c>
      <c r="M841" t="n">
        <v>0</v>
      </c>
      <c r="N841" t="n">
        <v>0</v>
      </c>
      <c r="O841" t="n">
        <v>0</v>
      </c>
      <c r="P841" t="n">
        <v>0</v>
      </c>
      <c r="Q841" t="n">
        <v>0</v>
      </c>
      <c r="R841" s="2" t="inlineStr"/>
    </row>
    <row r="842" ht="15" customHeight="1">
      <c r="A842" t="inlineStr">
        <is>
          <t>A 50876-2023</t>
        </is>
      </c>
      <c r="B842" s="1" t="n">
        <v>45211</v>
      </c>
      <c r="C842" s="1" t="n">
        <v>45292</v>
      </c>
      <c r="D842" t="inlineStr">
        <is>
          <t>VÄSTMANLANDS LÄN</t>
        </is>
      </c>
      <c r="E842" t="inlineStr">
        <is>
          <t>SALA</t>
        </is>
      </c>
      <c r="G842" t="n">
        <v>1.9</v>
      </c>
      <c r="H842" t="n">
        <v>0</v>
      </c>
      <c r="I842" t="n">
        <v>0</v>
      </c>
      <c r="J842" t="n">
        <v>0</v>
      </c>
      <c r="K842" t="n">
        <v>0</v>
      </c>
      <c r="L842" t="n">
        <v>0</v>
      </c>
      <c r="M842" t="n">
        <v>0</v>
      </c>
      <c r="N842" t="n">
        <v>0</v>
      </c>
      <c r="O842" t="n">
        <v>0</v>
      </c>
      <c r="P842" t="n">
        <v>0</v>
      </c>
      <c r="Q842" t="n">
        <v>0</v>
      </c>
      <c r="R842" s="2" t="inlineStr"/>
    </row>
    <row r="843" ht="15" customHeight="1">
      <c r="A843" t="inlineStr">
        <is>
          <t>A 50241-2023</t>
        </is>
      </c>
      <c r="B843" s="1" t="n">
        <v>45216</v>
      </c>
      <c r="C843" s="1" t="n">
        <v>45292</v>
      </c>
      <c r="D843" t="inlineStr">
        <is>
          <t>VÄSTMANLANDS LÄN</t>
        </is>
      </c>
      <c r="E843" t="inlineStr">
        <is>
          <t>SALA</t>
        </is>
      </c>
      <c r="G843" t="n">
        <v>1.9</v>
      </c>
      <c r="H843" t="n">
        <v>0</v>
      </c>
      <c r="I843" t="n">
        <v>0</v>
      </c>
      <c r="J843" t="n">
        <v>0</v>
      </c>
      <c r="K843" t="n">
        <v>0</v>
      </c>
      <c r="L843" t="n">
        <v>0</v>
      </c>
      <c r="M843" t="n">
        <v>0</v>
      </c>
      <c r="N843" t="n">
        <v>0</v>
      </c>
      <c r="O843" t="n">
        <v>0</v>
      </c>
      <c r="P843" t="n">
        <v>0</v>
      </c>
      <c r="Q843" t="n">
        <v>0</v>
      </c>
      <c r="R843" s="2" t="inlineStr"/>
    </row>
    <row r="844" ht="15" customHeight="1">
      <c r="A844" t="inlineStr">
        <is>
          <t>A 51203-2023</t>
        </is>
      </c>
      <c r="B844" s="1" t="n">
        <v>45219</v>
      </c>
      <c r="C844" s="1" t="n">
        <v>45292</v>
      </c>
      <c r="D844" t="inlineStr">
        <is>
          <t>VÄSTMANLANDS LÄN</t>
        </is>
      </c>
      <c r="E844" t="inlineStr">
        <is>
          <t>SALA</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51848-2023</t>
        </is>
      </c>
      <c r="B845" s="1" t="n">
        <v>45223</v>
      </c>
      <c r="C845" s="1" t="n">
        <v>45292</v>
      </c>
      <c r="D845" t="inlineStr">
        <is>
          <t>VÄSTMANLANDS LÄN</t>
        </is>
      </c>
      <c r="E845" t="inlineStr">
        <is>
          <t>SALA</t>
        </is>
      </c>
      <c r="G845" t="n">
        <v>7</v>
      </c>
      <c r="H845" t="n">
        <v>0</v>
      </c>
      <c r="I845" t="n">
        <v>0</v>
      </c>
      <c r="J845" t="n">
        <v>0</v>
      </c>
      <c r="K845" t="n">
        <v>0</v>
      </c>
      <c r="L845" t="n">
        <v>0</v>
      </c>
      <c r="M845" t="n">
        <v>0</v>
      </c>
      <c r="N845" t="n">
        <v>0</v>
      </c>
      <c r="O845" t="n">
        <v>0</v>
      </c>
      <c r="P845" t="n">
        <v>0</v>
      </c>
      <c r="Q845" t="n">
        <v>0</v>
      </c>
      <c r="R845" s="2" t="inlineStr"/>
    </row>
    <row r="846" ht="15" customHeight="1">
      <c r="A846" t="inlineStr">
        <is>
          <t>A 52654-2023</t>
        </is>
      </c>
      <c r="B846" s="1" t="n">
        <v>45225</v>
      </c>
      <c r="C846" s="1" t="n">
        <v>45292</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54910-2023</t>
        </is>
      </c>
      <c r="B847" s="1" t="n">
        <v>45229</v>
      </c>
      <c r="C847" s="1" t="n">
        <v>45292</v>
      </c>
      <c r="D847" t="inlineStr">
        <is>
          <t>VÄSTMANLANDS LÄN</t>
        </is>
      </c>
      <c r="E847" t="inlineStr">
        <is>
          <t>SALA</t>
        </is>
      </c>
      <c r="G847" t="n">
        <v>2.4</v>
      </c>
      <c r="H847" t="n">
        <v>0</v>
      </c>
      <c r="I847" t="n">
        <v>0</v>
      </c>
      <c r="J847" t="n">
        <v>0</v>
      </c>
      <c r="K847" t="n">
        <v>0</v>
      </c>
      <c r="L847" t="n">
        <v>0</v>
      </c>
      <c r="M847" t="n">
        <v>0</v>
      </c>
      <c r="N847" t="n">
        <v>0</v>
      </c>
      <c r="O847" t="n">
        <v>0</v>
      </c>
      <c r="P847" t="n">
        <v>0</v>
      </c>
      <c r="Q847" t="n">
        <v>0</v>
      </c>
      <c r="R847" s="2" t="inlineStr"/>
    </row>
    <row r="848" ht="15" customHeight="1">
      <c r="A848" t="inlineStr">
        <is>
          <t>A 55024-2023</t>
        </is>
      </c>
      <c r="B848" s="1" t="n">
        <v>45229</v>
      </c>
      <c r="C848" s="1" t="n">
        <v>45292</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55032-2023</t>
        </is>
      </c>
      <c r="B849" s="1" t="n">
        <v>45229</v>
      </c>
      <c r="C849" s="1" t="n">
        <v>45292</v>
      </c>
      <c r="D849" t="inlineStr">
        <is>
          <t>VÄSTMANLANDS LÄN</t>
        </is>
      </c>
      <c r="E849" t="inlineStr">
        <is>
          <t>SALA</t>
        </is>
      </c>
      <c r="G849" t="n">
        <v>1.5</v>
      </c>
      <c r="H849" t="n">
        <v>0</v>
      </c>
      <c r="I849" t="n">
        <v>0</v>
      </c>
      <c r="J849" t="n">
        <v>0</v>
      </c>
      <c r="K849" t="n">
        <v>0</v>
      </c>
      <c r="L849" t="n">
        <v>0</v>
      </c>
      <c r="M849" t="n">
        <v>0</v>
      </c>
      <c r="N849" t="n">
        <v>0</v>
      </c>
      <c r="O849" t="n">
        <v>0</v>
      </c>
      <c r="P849" t="n">
        <v>0</v>
      </c>
      <c r="Q849" t="n">
        <v>0</v>
      </c>
      <c r="R849" s="2" t="inlineStr"/>
    </row>
    <row r="850" ht="15" customHeight="1">
      <c r="A850" t="inlineStr">
        <is>
          <t>A 55035-2023</t>
        </is>
      </c>
      <c r="B850" s="1" t="n">
        <v>45229</v>
      </c>
      <c r="C850" s="1" t="n">
        <v>45292</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55040-2023</t>
        </is>
      </c>
      <c r="B851" s="1" t="n">
        <v>45229</v>
      </c>
      <c r="C851" s="1" t="n">
        <v>45292</v>
      </c>
      <c r="D851" t="inlineStr">
        <is>
          <t>VÄSTMANLANDS LÄN</t>
        </is>
      </c>
      <c r="E851" t="inlineStr">
        <is>
          <t>SALA</t>
        </is>
      </c>
      <c r="G851" t="n">
        <v>3.3</v>
      </c>
      <c r="H851" t="n">
        <v>0</v>
      </c>
      <c r="I851" t="n">
        <v>0</v>
      </c>
      <c r="J851" t="n">
        <v>0</v>
      </c>
      <c r="K851" t="n">
        <v>0</v>
      </c>
      <c r="L851" t="n">
        <v>0</v>
      </c>
      <c r="M851" t="n">
        <v>0</v>
      </c>
      <c r="N851" t="n">
        <v>0</v>
      </c>
      <c r="O851" t="n">
        <v>0</v>
      </c>
      <c r="P851" t="n">
        <v>0</v>
      </c>
      <c r="Q851" t="n">
        <v>0</v>
      </c>
      <c r="R851" s="2" t="inlineStr"/>
    </row>
    <row r="852" ht="15" customHeight="1">
      <c r="A852" t="inlineStr">
        <is>
          <t>A 53877-2023</t>
        </is>
      </c>
      <c r="B852" s="1" t="n">
        <v>45231</v>
      </c>
      <c r="C852" s="1" t="n">
        <v>45292</v>
      </c>
      <c r="D852" t="inlineStr">
        <is>
          <t>VÄSTMANLANDS LÄN</t>
        </is>
      </c>
      <c r="E852" t="inlineStr">
        <is>
          <t>SALA</t>
        </is>
      </c>
      <c r="G852" t="n">
        <v>3.2</v>
      </c>
      <c r="H852" t="n">
        <v>0</v>
      </c>
      <c r="I852" t="n">
        <v>0</v>
      </c>
      <c r="J852" t="n">
        <v>0</v>
      </c>
      <c r="K852" t="n">
        <v>0</v>
      </c>
      <c r="L852" t="n">
        <v>0</v>
      </c>
      <c r="M852" t="n">
        <v>0</v>
      </c>
      <c r="N852" t="n">
        <v>0</v>
      </c>
      <c r="O852" t="n">
        <v>0</v>
      </c>
      <c r="P852" t="n">
        <v>0</v>
      </c>
      <c r="Q852" t="n">
        <v>0</v>
      </c>
      <c r="R852" s="2" t="inlineStr"/>
    </row>
    <row r="853" ht="15" customHeight="1">
      <c r="A853" t="inlineStr">
        <is>
          <t>A 53951-2023</t>
        </is>
      </c>
      <c r="B853" s="1" t="n">
        <v>45231</v>
      </c>
      <c r="C853" s="1" t="n">
        <v>45292</v>
      </c>
      <c r="D853" t="inlineStr">
        <is>
          <t>VÄSTMANLANDS LÄN</t>
        </is>
      </c>
      <c r="E853" t="inlineStr">
        <is>
          <t>SALA</t>
        </is>
      </c>
      <c r="F853" t="inlineStr">
        <is>
          <t>Kommuner</t>
        </is>
      </c>
      <c r="G853" t="n">
        <v>8.4</v>
      </c>
      <c r="H853" t="n">
        <v>0</v>
      </c>
      <c r="I853" t="n">
        <v>0</v>
      </c>
      <c r="J853" t="n">
        <v>0</v>
      </c>
      <c r="K853" t="n">
        <v>0</v>
      </c>
      <c r="L853" t="n">
        <v>0</v>
      </c>
      <c r="M853" t="n">
        <v>0</v>
      </c>
      <c r="N853" t="n">
        <v>0</v>
      </c>
      <c r="O853" t="n">
        <v>0</v>
      </c>
      <c r="P853" t="n">
        <v>0</v>
      </c>
      <c r="Q853" t="n">
        <v>0</v>
      </c>
      <c r="R853" s="2" t="inlineStr"/>
      <c r="U853">
        <f>HYPERLINK("https://klasma.github.io/Logging_1981/knärot/A 53951-2023 karta knärot.png", "A 53951-2023")</f>
        <v/>
      </c>
      <c r="V853">
        <f>HYPERLINK("https://klasma.github.io/Logging_1981/klagomål/A 53951-2023 FSC-klagomål.docx", "A 53951-2023")</f>
        <v/>
      </c>
      <c r="W853">
        <f>HYPERLINK("https://klasma.github.io/Logging_1981/klagomålsmail/A 53951-2023 FSC-klagomål mail.docx", "A 53951-2023")</f>
        <v/>
      </c>
      <c r="X853">
        <f>HYPERLINK("https://klasma.github.io/Logging_1981/tillsyn/A 53951-2023 tillsynsbegäran.docx", "A 53951-2023")</f>
        <v/>
      </c>
      <c r="Y853">
        <f>HYPERLINK("https://klasma.github.io/Logging_1981/tillsynsmail/A 53951-2023 tillsynsbegäran mail.docx", "A 53951-2023")</f>
        <v/>
      </c>
    </row>
    <row r="854" ht="15" customHeight="1">
      <c r="A854" t="inlineStr">
        <is>
          <t>A 54125-2023</t>
        </is>
      </c>
      <c r="B854" s="1" t="n">
        <v>45232</v>
      </c>
      <c r="C854" s="1" t="n">
        <v>45292</v>
      </c>
      <c r="D854" t="inlineStr">
        <is>
          <t>VÄSTMANLANDS LÄN</t>
        </is>
      </c>
      <c r="E854" t="inlineStr">
        <is>
          <t>SALA</t>
        </is>
      </c>
      <c r="G854" t="n">
        <v>3.7</v>
      </c>
      <c r="H854" t="n">
        <v>0</v>
      </c>
      <c r="I854" t="n">
        <v>0</v>
      </c>
      <c r="J854" t="n">
        <v>0</v>
      </c>
      <c r="K854" t="n">
        <v>0</v>
      </c>
      <c r="L854" t="n">
        <v>0</v>
      </c>
      <c r="M854" t="n">
        <v>0</v>
      </c>
      <c r="N854" t="n">
        <v>0</v>
      </c>
      <c r="O854" t="n">
        <v>0</v>
      </c>
      <c r="P854" t="n">
        <v>0</v>
      </c>
      <c r="Q854" t="n">
        <v>0</v>
      </c>
      <c r="R854" s="2" t="inlineStr"/>
    </row>
    <row r="855" ht="15" customHeight="1">
      <c r="A855" t="inlineStr">
        <is>
          <t>A 54114-2023</t>
        </is>
      </c>
      <c r="B855" s="1" t="n">
        <v>45232</v>
      </c>
      <c r="C855" s="1" t="n">
        <v>45292</v>
      </c>
      <c r="D855" t="inlineStr">
        <is>
          <t>VÄSTMANLANDS LÄN</t>
        </is>
      </c>
      <c r="E855" t="inlineStr">
        <is>
          <t>SALA</t>
        </is>
      </c>
      <c r="G855" t="n">
        <v>1.6</v>
      </c>
      <c r="H855" t="n">
        <v>0</v>
      </c>
      <c r="I855" t="n">
        <v>0</v>
      </c>
      <c r="J855" t="n">
        <v>0</v>
      </c>
      <c r="K855" t="n">
        <v>0</v>
      </c>
      <c r="L855" t="n">
        <v>0</v>
      </c>
      <c r="M855" t="n">
        <v>0</v>
      </c>
      <c r="N855" t="n">
        <v>0</v>
      </c>
      <c r="O855" t="n">
        <v>0</v>
      </c>
      <c r="P855" t="n">
        <v>0</v>
      </c>
      <c r="Q855" t="n">
        <v>0</v>
      </c>
      <c r="R855" s="2" t="inlineStr"/>
    </row>
    <row r="856" ht="15" customHeight="1">
      <c r="A856" t="inlineStr">
        <is>
          <t>A 54118-2023</t>
        </is>
      </c>
      <c r="B856" s="1" t="n">
        <v>45232</v>
      </c>
      <c r="C856" s="1" t="n">
        <v>45292</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55556-2023</t>
        </is>
      </c>
      <c r="B857" s="1" t="n">
        <v>45232</v>
      </c>
      <c r="C857" s="1" t="n">
        <v>45292</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55550-2023</t>
        </is>
      </c>
      <c r="B858" s="1" t="n">
        <v>45232</v>
      </c>
      <c r="C858" s="1" t="n">
        <v>45292</v>
      </c>
      <c r="D858" t="inlineStr">
        <is>
          <t>VÄSTMANLANDS LÄN</t>
        </is>
      </c>
      <c r="E858" t="inlineStr">
        <is>
          <t>SALA</t>
        </is>
      </c>
      <c r="G858" t="n">
        <v>9.9</v>
      </c>
      <c r="H858" t="n">
        <v>0</v>
      </c>
      <c r="I858" t="n">
        <v>0</v>
      </c>
      <c r="J858" t="n">
        <v>0</v>
      </c>
      <c r="K858" t="n">
        <v>0</v>
      </c>
      <c r="L858" t="n">
        <v>0</v>
      </c>
      <c r="M858" t="n">
        <v>0</v>
      </c>
      <c r="N858" t="n">
        <v>0</v>
      </c>
      <c r="O858" t="n">
        <v>0</v>
      </c>
      <c r="P858" t="n">
        <v>0</v>
      </c>
      <c r="Q858" t="n">
        <v>0</v>
      </c>
      <c r="R858" s="2" t="inlineStr"/>
    </row>
    <row r="859" ht="15" customHeight="1">
      <c r="A859" t="inlineStr">
        <is>
          <t>A 56057-2023</t>
        </is>
      </c>
      <c r="B859" s="1" t="n">
        <v>45233</v>
      </c>
      <c r="C859" s="1" t="n">
        <v>45292</v>
      </c>
      <c r="D859" t="inlineStr">
        <is>
          <t>VÄSTMANLANDS LÄN</t>
        </is>
      </c>
      <c r="E859" t="inlineStr">
        <is>
          <t>SALA</t>
        </is>
      </c>
      <c r="G859" t="n">
        <v>0.6</v>
      </c>
      <c r="H859" t="n">
        <v>0</v>
      </c>
      <c r="I859" t="n">
        <v>0</v>
      </c>
      <c r="J859" t="n">
        <v>0</v>
      </c>
      <c r="K859" t="n">
        <v>0</v>
      </c>
      <c r="L859" t="n">
        <v>0</v>
      </c>
      <c r="M859" t="n">
        <v>0</v>
      </c>
      <c r="N859" t="n">
        <v>0</v>
      </c>
      <c r="O859" t="n">
        <v>0</v>
      </c>
      <c r="P859" t="n">
        <v>0</v>
      </c>
      <c r="Q859" t="n">
        <v>0</v>
      </c>
      <c r="R859" s="2" t="inlineStr"/>
    </row>
    <row r="860" ht="15" customHeight="1">
      <c r="A860" t="inlineStr">
        <is>
          <t>A 56064-2023</t>
        </is>
      </c>
      <c r="B860" s="1" t="n">
        <v>45233</v>
      </c>
      <c r="C860" s="1" t="n">
        <v>45292</v>
      </c>
      <c r="D860" t="inlineStr">
        <is>
          <t>VÄSTMANLANDS LÄN</t>
        </is>
      </c>
      <c r="E860" t="inlineStr">
        <is>
          <t>SALA</t>
        </is>
      </c>
      <c r="G860" t="n">
        <v>0.8</v>
      </c>
      <c r="H860" t="n">
        <v>0</v>
      </c>
      <c r="I860" t="n">
        <v>0</v>
      </c>
      <c r="J860" t="n">
        <v>0</v>
      </c>
      <c r="K860" t="n">
        <v>0</v>
      </c>
      <c r="L860" t="n">
        <v>0</v>
      </c>
      <c r="M860" t="n">
        <v>0</v>
      </c>
      <c r="N860" t="n">
        <v>0</v>
      </c>
      <c r="O860" t="n">
        <v>0</v>
      </c>
      <c r="P860" t="n">
        <v>0</v>
      </c>
      <c r="Q860" t="n">
        <v>0</v>
      </c>
      <c r="R860" s="2" t="inlineStr"/>
    </row>
    <row r="861" ht="15" customHeight="1">
      <c r="A861" t="inlineStr">
        <is>
          <t>A 54719-2023</t>
        </is>
      </c>
      <c r="B861" s="1" t="n">
        <v>45236</v>
      </c>
      <c r="C861" s="1" t="n">
        <v>45292</v>
      </c>
      <c r="D861" t="inlineStr">
        <is>
          <t>VÄSTMANLANDS LÄN</t>
        </is>
      </c>
      <c r="E861" t="inlineStr">
        <is>
          <t>SALA</t>
        </is>
      </c>
      <c r="G861" t="n">
        <v>5.8</v>
      </c>
      <c r="H861" t="n">
        <v>0</v>
      </c>
      <c r="I861" t="n">
        <v>0</v>
      </c>
      <c r="J861" t="n">
        <v>0</v>
      </c>
      <c r="K861" t="n">
        <v>0</v>
      </c>
      <c r="L861" t="n">
        <v>0</v>
      </c>
      <c r="M861" t="n">
        <v>0</v>
      </c>
      <c r="N861" t="n">
        <v>0</v>
      </c>
      <c r="O861" t="n">
        <v>0</v>
      </c>
      <c r="P861" t="n">
        <v>0</v>
      </c>
      <c r="Q861" t="n">
        <v>0</v>
      </c>
      <c r="R861" s="2" t="inlineStr"/>
    </row>
    <row r="862" ht="15" customHeight="1">
      <c r="A862" t="inlineStr">
        <is>
          <t>A 55504-2023</t>
        </is>
      </c>
      <c r="B862" s="1" t="n">
        <v>45238</v>
      </c>
      <c r="C862" s="1" t="n">
        <v>45292</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55474-2023</t>
        </is>
      </c>
      <c r="B863" s="1" t="n">
        <v>45238</v>
      </c>
      <c r="C863" s="1" t="n">
        <v>45292</v>
      </c>
      <c r="D863" t="inlineStr">
        <is>
          <t>VÄSTMANLANDS LÄN</t>
        </is>
      </c>
      <c r="E863" t="inlineStr">
        <is>
          <t>SALA</t>
        </is>
      </c>
      <c r="G863" t="n">
        <v>2.4</v>
      </c>
      <c r="H863" t="n">
        <v>0</v>
      </c>
      <c r="I863" t="n">
        <v>0</v>
      </c>
      <c r="J863" t="n">
        <v>0</v>
      </c>
      <c r="K863" t="n">
        <v>0</v>
      </c>
      <c r="L863" t="n">
        <v>0</v>
      </c>
      <c r="M863" t="n">
        <v>0</v>
      </c>
      <c r="N863" t="n">
        <v>0</v>
      </c>
      <c r="O863" t="n">
        <v>0</v>
      </c>
      <c r="P863" t="n">
        <v>0</v>
      </c>
      <c r="Q863" t="n">
        <v>0</v>
      </c>
      <c r="R863" s="2" t="inlineStr"/>
    </row>
    <row r="864" ht="15" customHeight="1">
      <c r="A864" t="inlineStr">
        <is>
          <t>A 56092-2023</t>
        </is>
      </c>
      <c r="B864" s="1" t="n">
        <v>45240</v>
      </c>
      <c r="C864" s="1" t="n">
        <v>45292</v>
      </c>
      <c r="D864" t="inlineStr">
        <is>
          <t>VÄSTMANLANDS LÄN</t>
        </is>
      </c>
      <c r="E864" t="inlineStr">
        <is>
          <t>SALA</t>
        </is>
      </c>
      <c r="G864" t="n">
        <v>11.6</v>
      </c>
      <c r="H864" t="n">
        <v>0</v>
      </c>
      <c r="I864" t="n">
        <v>0</v>
      </c>
      <c r="J864" t="n">
        <v>0</v>
      </c>
      <c r="K864" t="n">
        <v>0</v>
      </c>
      <c r="L864" t="n">
        <v>0</v>
      </c>
      <c r="M864" t="n">
        <v>0</v>
      </c>
      <c r="N864" t="n">
        <v>0</v>
      </c>
      <c r="O864" t="n">
        <v>0</v>
      </c>
      <c r="P864" t="n">
        <v>0</v>
      </c>
      <c r="Q864" t="n">
        <v>0</v>
      </c>
      <c r="R864" s="2" t="inlineStr"/>
    </row>
    <row r="865" ht="15" customHeight="1">
      <c r="A865" t="inlineStr">
        <is>
          <t>A 56956-2023</t>
        </is>
      </c>
      <c r="B865" s="1" t="n">
        <v>45244</v>
      </c>
      <c r="C865" s="1" t="n">
        <v>45292</v>
      </c>
      <c r="D865" t="inlineStr">
        <is>
          <t>VÄSTMANLANDS LÄN</t>
        </is>
      </c>
      <c r="E865" t="inlineStr">
        <is>
          <t>SALA</t>
        </is>
      </c>
      <c r="G865" t="n">
        <v>6.5</v>
      </c>
      <c r="H865" t="n">
        <v>0</v>
      </c>
      <c r="I865" t="n">
        <v>0</v>
      </c>
      <c r="J865" t="n">
        <v>0</v>
      </c>
      <c r="K865" t="n">
        <v>0</v>
      </c>
      <c r="L865" t="n">
        <v>0</v>
      </c>
      <c r="M865" t="n">
        <v>0</v>
      </c>
      <c r="N865" t="n">
        <v>0</v>
      </c>
      <c r="O865" t="n">
        <v>0</v>
      </c>
      <c r="P865" t="n">
        <v>0</v>
      </c>
      <c r="Q865" t="n">
        <v>0</v>
      </c>
      <c r="R865" s="2" t="inlineStr"/>
    </row>
    <row r="866" ht="15" customHeight="1">
      <c r="A866" t="inlineStr">
        <is>
          <t>A 56949-2023</t>
        </is>
      </c>
      <c r="B866" s="1" t="n">
        <v>45244</v>
      </c>
      <c r="C866" s="1" t="n">
        <v>45292</v>
      </c>
      <c r="D866" t="inlineStr">
        <is>
          <t>VÄSTMANLANDS LÄN</t>
        </is>
      </c>
      <c r="E866" t="inlineStr">
        <is>
          <t>SALA</t>
        </is>
      </c>
      <c r="G866" t="n">
        <v>4.7</v>
      </c>
      <c r="H866" t="n">
        <v>0</v>
      </c>
      <c r="I866" t="n">
        <v>0</v>
      </c>
      <c r="J866" t="n">
        <v>0</v>
      </c>
      <c r="K866" t="n">
        <v>0</v>
      </c>
      <c r="L866" t="n">
        <v>0</v>
      </c>
      <c r="M866" t="n">
        <v>0</v>
      </c>
      <c r="N866" t="n">
        <v>0</v>
      </c>
      <c r="O866" t="n">
        <v>0</v>
      </c>
      <c r="P866" t="n">
        <v>0</v>
      </c>
      <c r="Q866" t="n">
        <v>0</v>
      </c>
      <c r="R866" s="2" t="inlineStr"/>
    </row>
    <row r="867" ht="15" customHeight="1">
      <c r="A867" t="inlineStr">
        <is>
          <t>A 56964-2023</t>
        </is>
      </c>
      <c r="B867" s="1" t="n">
        <v>45244</v>
      </c>
      <c r="C867" s="1" t="n">
        <v>45292</v>
      </c>
      <c r="D867" t="inlineStr">
        <is>
          <t>VÄSTMANLANDS LÄN</t>
        </is>
      </c>
      <c r="E867" t="inlineStr">
        <is>
          <t>SALA</t>
        </is>
      </c>
      <c r="G867" t="n">
        <v>4.6</v>
      </c>
      <c r="H867" t="n">
        <v>0</v>
      </c>
      <c r="I867" t="n">
        <v>0</v>
      </c>
      <c r="J867" t="n">
        <v>0</v>
      </c>
      <c r="K867" t="n">
        <v>0</v>
      </c>
      <c r="L867" t="n">
        <v>0</v>
      </c>
      <c r="M867" t="n">
        <v>0</v>
      </c>
      <c r="N867" t="n">
        <v>0</v>
      </c>
      <c r="O867" t="n">
        <v>0</v>
      </c>
      <c r="P867" t="n">
        <v>0</v>
      </c>
      <c r="Q867" t="n">
        <v>0</v>
      </c>
      <c r="R867" s="2" t="inlineStr"/>
    </row>
    <row r="868" ht="15" customHeight="1">
      <c r="A868" t="inlineStr">
        <is>
          <t>A 58028-2023</t>
        </is>
      </c>
      <c r="B868" s="1" t="n">
        <v>45247</v>
      </c>
      <c r="C868" s="1" t="n">
        <v>45292</v>
      </c>
      <c r="D868" t="inlineStr">
        <is>
          <t>VÄSTMANLANDS LÄN</t>
        </is>
      </c>
      <c r="E868" t="inlineStr">
        <is>
          <t>SALA</t>
        </is>
      </c>
      <c r="G868" t="n">
        <v>19.6</v>
      </c>
      <c r="H868" t="n">
        <v>0</v>
      </c>
      <c r="I868" t="n">
        <v>0</v>
      </c>
      <c r="J868" t="n">
        <v>0</v>
      </c>
      <c r="K868" t="n">
        <v>0</v>
      </c>
      <c r="L868" t="n">
        <v>0</v>
      </c>
      <c r="M868" t="n">
        <v>0</v>
      </c>
      <c r="N868" t="n">
        <v>0</v>
      </c>
      <c r="O868" t="n">
        <v>0</v>
      </c>
      <c r="P868" t="n">
        <v>0</v>
      </c>
      <c r="Q868" t="n">
        <v>0</v>
      </c>
      <c r="R868" s="2" t="inlineStr"/>
    </row>
    <row r="869" ht="15" customHeight="1">
      <c r="A869" t="inlineStr">
        <is>
          <t>A 58113-2023</t>
        </is>
      </c>
      <c r="B869" s="1" t="n">
        <v>45249</v>
      </c>
      <c r="C869" s="1" t="n">
        <v>45292</v>
      </c>
      <c r="D869" t="inlineStr">
        <is>
          <t>VÄSTMANLANDS LÄN</t>
        </is>
      </c>
      <c r="E869" t="inlineStr">
        <is>
          <t>SALA</t>
        </is>
      </c>
      <c r="G869" t="n">
        <v>0.6</v>
      </c>
      <c r="H869" t="n">
        <v>0</v>
      </c>
      <c r="I869" t="n">
        <v>0</v>
      </c>
      <c r="J869" t="n">
        <v>0</v>
      </c>
      <c r="K869" t="n">
        <v>0</v>
      </c>
      <c r="L869" t="n">
        <v>0</v>
      </c>
      <c r="M869" t="n">
        <v>0</v>
      </c>
      <c r="N869" t="n">
        <v>0</v>
      </c>
      <c r="O869" t="n">
        <v>0</v>
      </c>
      <c r="P869" t="n">
        <v>0</v>
      </c>
      <c r="Q869" t="n">
        <v>0</v>
      </c>
      <c r="R869" s="2" t="inlineStr"/>
    </row>
    <row r="870" ht="15" customHeight="1">
      <c r="A870" t="inlineStr">
        <is>
          <t>A 58271-2023</t>
        </is>
      </c>
      <c r="B870" s="1" t="n">
        <v>45250</v>
      </c>
      <c r="C870" s="1" t="n">
        <v>45292</v>
      </c>
      <c r="D870" t="inlineStr">
        <is>
          <t>VÄSTMANLANDS LÄN</t>
        </is>
      </c>
      <c r="E870" t="inlineStr">
        <is>
          <t>SALA</t>
        </is>
      </c>
      <c r="G870" t="n">
        <v>5.2</v>
      </c>
      <c r="H870" t="n">
        <v>0</v>
      </c>
      <c r="I870" t="n">
        <v>0</v>
      </c>
      <c r="J870" t="n">
        <v>0</v>
      </c>
      <c r="K870" t="n">
        <v>0</v>
      </c>
      <c r="L870" t="n">
        <v>0</v>
      </c>
      <c r="M870" t="n">
        <v>0</v>
      </c>
      <c r="N870" t="n">
        <v>0</v>
      </c>
      <c r="O870" t="n">
        <v>0</v>
      </c>
      <c r="P870" t="n">
        <v>0</v>
      </c>
      <c r="Q870" t="n">
        <v>0</v>
      </c>
      <c r="R870" s="2" t="inlineStr"/>
    </row>
    <row r="871" ht="15" customHeight="1">
      <c r="A871" t="inlineStr">
        <is>
          <t>A 58920-2023</t>
        </is>
      </c>
      <c r="B871" s="1" t="n">
        <v>45252</v>
      </c>
      <c r="C871" s="1" t="n">
        <v>45292</v>
      </c>
      <c r="D871" t="inlineStr">
        <is>
          <t>VÄSTMANLANDS LÄN</t>
        </is>
      </c>
      <c r="E871" t="inlineStr">
        <is>
          <t>SALA</t>
        </is>
      </c>
      <c r="G871" t="n">
        <v>2.4</v>
      </c>
      <c r="H871" t="n">
        <v>0</v>
      </c>
      <c r="I871" t="n">
        <v>0</v>
      </c>
      <c r="J871" t="n">
        <v>0</v>
      </c>
      <c r="K871" t="n">
        <v>0</v>
      </c>
      <c r="L871" t="n">
        <v>0</v>
      </c>
      <c r="M871" t="n">
        <v>0</v>
      </c>
      <c r="N871" t="n">
        <v>0</v>
      </c>
      <c r="O871" t="n">
        <v>0</v>
      </c>
      <c r="P871" t="n">
        <v>0</v>
      </c>
      <c r="Q871" t="n">
        <v>0</v>
      </c>
      <c r="R871" s="2" t="inlineStr"/>
    </row>
    <row r="872" ht="15" customHeight="1">
      <c r="A872" t="inlineStr">
        <is>
          <t>A 58823-2023</t>
        </is>
      </c>
      <c r="B872" s="1" t="n">
        <v>45252</v>
      </c>
      <c r="C872" s="1" t="n">
        <v>45292</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59297-2023</t>
        </is>
      </c>
      <c r="B873" s="1" t="n">
        <v>45253</v>
      </c>
      <c r="C873" s="1" t="n">
        <v>45292</v>
      </c>
      <c r="D873" t="inlineStr">
        <is>
          <t>VÄSTMANLANDS LÄN</t>
        </is>
      </c>
      <c r="E873" t="inlineStr">
        <is>
          <t>SALA</t>
        </is>
      </c>
      <c r="G873" t="n">
        <v>2</v>
      </c>
      <c r="H873" t="n">
        <v>0</v>
      </c>
      <c r="I873" t="n">
        <v>0</v>
      </c>
      <c r="J873" t="n">
        <v>0</v>
      </c>
      <c r="K873" t="n">
        <v>0</v>
      </c>
      <c r="L873" t="n">
        <v>0</v>
      </c>
      <c r="M873" t="n">
        <v>0</v>
      </c>
      <c r="N873" t="n">
        <v>0</v>
      </c>
      <c r="O873" t="n">
        <v>0</v>
      </c>
      <c r="P873" t="n">
        <v>0</v>
      </c>
      <c r="Q873" t="n">
        <v>0</v>
      </c>
      <c r="R873" s="2" t="inlineStr"/>
    </row>
    <row r="874" ht="15" customHeight="1">
      <c r="A874" t="inlineStr">
        <is>
          <t>A 59713-2023</t>
        </is>
      </c>
      <c r="B874" s="1" t="n">
        <v>45257</v>
      </c>
      <c r="C874" s="1" t="n">
        <v>45292</v>
      </c>
      <c r="D874" t="inlineStr">
        <is>
          <t>VÄSTMANLANDS LÄN</t>
        </is>
      </c>
      <c r="E874" t="inlineStr">
        <is>
          <t>SALA</t>
        </is>
      </c>
      <c r="G874" t="n">
        <v>1.2</v>
      </c>
      <c r="H874" t="n">
        <v>0</v>
      </c>
      <c r="I874" t="n">
        <v>0</v>
      </c>
      <c r="J874" t="n">
        <v>0</v>
      </c>
      <c r="K874" t="n">
        <v>0</v>
      </c>
      <c r="L874" t="n">
        <v>0</v>
      </c>
      <c r="M874" t="n">
        <v>0</v>
      </c>
      <c r="N874" t="n">
        <v>0</v>
      </c>
      <c r="O874" t="n">
        <v>0</v>
      </c>
      <c r="P874" t="n">
        <v>0</v>
      </c>
      <c r="Q874" t="n">
        <v>0</v>
      </c>
      <c r="R874" s="2" t="inlineStr"/>
    </row>
    <row r="875" ht="15" customHeight="1">
      <c r="A875" t="inlineStr">
        <is>
          <t>A 59785-2023</t>
        </is>
      </c>
      <c r="B875" s="1" t="n">
        <v>45257</v>
      </c>
      <c r="C875" s="1" t="n">
        <v>45292</v>
      </c>
      <c r="D875" t="inlineStr">
        <is>
          <t>VÄSTMANLANDS LÄN</t>
        </is>
      </c>
      <c r="E875" t="inlineStr">
        <is>
          <t>SALA</t>
        </is>
      </c>
      <c r="G875" t="n">
        <v>2.2</v>
      </c>
      <c r="H875" t="n">
        <v>0</v>
      </c>
      <c r="I875" t="n">
        <v>0</v>
      </c>
      <c r="J875" t="n">
        <v>0</v>
      </c>
      <c r="K875" t="n">
        <v>0</v>
      </c>
      <c r="L875" t="n">
        <v>0</v>
      </c>
      <c r="M875" t="n">
        <v>0</v>
      </c>
      <c r="N875" t="n">
        <v>0</v>
      </c>
      <c r="O875" t="n">
        <v>0</v>
      </c>
      <c r="P875" t="n">
        <v>0</v>
      </c>
      <c r="Q875" t="n">
        <v>0</v>
      </c>
      <c r="R875" s="2" t="inlineStr"/>
    </row>
    <row r="876" ht="15" customHeight="1">
      <c r="A876" t="inlineStr">
        <is>
          <t>A 60249-2023</t>
        </is>
      </c>
      <c r="B876" s="1" t="n">
        <v>45258</v>
      </c>
      <c r="C876" s="1" t="n">
        <v>45292</v>
      </c>
      <c r="D876" t="inlineStr">
        <is>
          <t>VÄSTMANLANDS LÄN</t>
        </is>
      </c>
      <c r="E876" t="inlineStr">
        <is>
          <t>SALA</t>
        </is>
      </c>
      <c r="G876" t="n">
        <v>2</v>
      </c>
      <c r="H876" t="n">
        <v>0</v>
      </c>
      <c r="I876" t="n">
        <v>0</v>
      </c>
      <c r="J876" t="n">
        <v>0</v>
      </c>
      <c r="K876" t="n">
        <v>0</v>
      </c>
      <c r="L876" t="n">
        <v>0</v>
      </c>
      <c r="M876" t="n">
        <v>0</v>
      </c>
      <c r="N876" t="n">
        <v>0</v>
      </c>
      <c r="O876" t="n">
        <v>0</v>
      </c>
      <c r="P876" t="n">
        <v>0</v>
      </c>
      <c r="Q876" t="n">
        <v>0</v>
      </c>
      <c r="R876" s="2" t="inlineStr"/>
    </row>
    <row r="877" ht="15" customHeight="1">
      <c r="A877" t="inlineStr">
        <is>
          <t>A 60731-2023</t>
        </is>
      </c>
      <c r="B877" s="1" t="n">
        <v>45260</v>
      </c>
      <c r="C877" s="1" t="n">
        <v>45292</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60730-2023</t>
        </is>
      </c>
      <c r="B878" s="1" t="n">
        <v>45260</v>
      </c>
      <c r="C878" s="1" t="n">
        <v>45292</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61525-2023</t>
        </is>
      </c>
      <c r="B879" s="1" t="n">
        <v>45265</v>
      </c>
      <c r="C879" s="1" t="n">
        <v>45292</v>
      </c>
      <c r="D879" t="inlineStr">
        <is>
          <t>VÄSTMANLANDS LÄN</t>
        </is>
      </c>
      <c r="E879" t="inlineStr">
        <is>
          <t>SALA</t>
        </is>
      </c>
      <c r="G879" t="n">
        <v>1.6</v>
      </c>
      <c r="H879" t="n">
        <v>0</v>
      </c>
      <c r="I879" t="n">
        <v>0</v>
      </c>
      <c r="J879" t="n">
        <v>0</v>
      </c>
      <c r="K879" t="n">
        <v>0</v>
      </c>
      <c r="L879" t="n">
        <v>0</v>
      </c>
      <c r="M879" t="n">
        <v>0</v>
      </c>
      <c r="N879" t="n">
        <v>0</v>
      </c>
      <c r="O879" t="n">
        <v>0</v>
      </c>
      <c r="P879" t="n">
        <v>0</v>
      </c>
      <c r="Q879" t="n">
        <v>0</v>
      </c>
      <c r="R879" s="2" t="inlineStr"/>
    </row>
    <row r="880" ht="15" customHeight="1">
      <c r="A880" t="inlineStr">
        <is>
          <t>A 62449-2023</t>
        </is>
      </c>
      <c r="B880" s="1" t="n">
        <v>45268</v>
      </c>
      <c r="C880" s="1" t="n">
        <v>45292</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62630-2023</t>
        </is>
      </c>
      <c r="B881" s="1" t="n">
        <v>45271</v>
      </c>
      <c r="C881" s="1" t="n">
        <v>45292</v>
      </c>
      <c r="D881" t="inlineStr">
        <is>
          <t>VÄSTMANLANDS LÄN</t>
        </is>
      </c>
      <c r="E881" t="inlineStr">
        <is>
          <t>SALA</t>
        </is>
      </c>
      <c r="G881" t="n">
        <v>1.5</v>
      </c>
      <c r="H881" t="n">
        <v>0</v>
      </c>
      <c r="I881" t="n">
        <v>0</v>
      </c>
      <c r="J881" t="n">
        <v>0</v>
      </c>
      <c r="K881" t="n">
        <v>0</v>
      </c>
      <c r="L881" t="n">
        <v>0</v>
      </c>
      <c r="M881" t="n">
        <v>0</v>
      </c>
      <c r="N881" t="n">
        <v>0</v>
      </c>
      <c r="O881" t="n">
        <v>0</v>
      </c>
      <c r="P881" t="n">
        <v>0</v>
      </c>
      <c r="Q881" t="n">
        <v>0</v>
      </c>
      <c r="R881" s="2" t="inlineStr"/>
    </row>
    <row r="882" ht="15" customHeight="1">
      <c r="A882" t="inlineStr">
        <is>
          <t>A 63234-2023</t>
        </is>
      </c>
      <c r="B882" s="1" t="n">
        <v>45273</v>
      </c>
      <c r="C882" s="1" t="n">
        <v>45292</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63274-2023</t>
        </is>
      </c>
      <c r="B883" s="1" t="n">
        <v>45273</v>
      </c>
      <c r="C883" s="1" t="n">
        <v>45292</v>
      </c>
      <c r="D883" t="inlineStr">
        <is>
          <t>VÄSTMANLANDS LÄN</t>
        </is>
      </c>
      <c r="E883" t="inlineStr">
        <is>
          <t>SALA</t>
        </is>
      </c>
      <c r="G883" t="n">
        <v>2.1</v>
      </c>
      <c r="H883" t="n">
        <v>0</v>
      </c>
      <c r="I883" t="n">
        <v>0</v>
      </c>
      <c r="J883" t="n">
        <v>0</v>
      </c>
      <c r="K883" t="n">
        <v>0</v>
      </c>
      <c r="L883" t="n">
        <v>0</v>
      </c>
      <c r="M883" t="n">
        <v>0</v>
      </c>
      <c r="N883" t="n">
        <v>0</v>
      </c>
      <c r="O883" t="n">
        <v>0</v>
      </c>
      <c r="P883" t="n">
        <v>0</v>
      </c>
      <c r="Q883" t="n">
        <v>0</v>
      </c>
      <c r="R883" s="2" t="inlineStr"/>
    </row>
    <row r="884" ht="15" customHeight="1">
      <c r="A884" t="inlineStr">
        <is>
          <t>A 63466-2023</t>
        </is>
      </c>
      <c r="B884" s="1" t="n">
        <v>45274</v>
      </c>
      <c r="C884" s="1" t="n">
        <v>45292</v>
      </c>
      <c r="D884" t="inlineStr">
        <is>
          <t>VÄSTMANLANDS LÄN</t>
        </is>
      </c>
      <c r="E884" t="inlineStr">
        <is>
          <t>SALA</t>
        </is>
      </c>
      <c r="G884" t="n">
        <v>2.9</v>
      </c>
      <c r="H884" t="n">
        <v>0</v>
      </c>
      <c r="I884" t="n">
        <v>0</v>
      </c>
      <c r="J884" t="n">
        <v>0</v>
      </c>
      <c r="K884" t="n">
        <v>0</v>
      </c>
      <c r="L884" t="n">
        <v>0</v>
      </c>
      <c r="M884" t="n">
        <v>0</v>
      </c>
      <c r="N884" t="n">
        <v>0</v>
      </c>
      <c r="O884" t="n">
        <v>0</v>
      </c>
      <c r="P884" t="n">
        <v>0</v>
      </c>
      <c r="Q884" t="n">
        <v>0</v>
      </c>
      <c r="R884" s="2" t="inlineStr"/>
    </row>
    <row r="885" ht="15" customHeight="1">
      <c r="A885" t="inlineStr">
        <is>
          <t>A 63564-2023</t>
        </is>
      </c>
      <c r="B885" s="1" t="n">
        <v>45275</v>
      </c>
      <c r="C885" s="1" t="n">
        <v>45292</v>
      </c>
      <c r="D885" t="inlineStr">
        <is>
          <t>VÄSTMANLANDS LÄN</t>
        </is>
      </c>
      <c r="E885" t="inlineStr">
        <is>
          <t>SALA</t>
        </is>
      </c>
      <c r="G885" t="n">
        <v>3.6</v>
      </c>
      <c r="H885" t="n">
        <v>0</v>
      </c>
      <c r="I885" t="n">
        <v>0</v>
      </c>
      <c r="J885" t="n">
        <v>0</v>
      </c>
      <c r="K885" t="n">
        <v>0</v>
      </c>
      <c r="L885" t="n">
        <v>0</v>
      </c>
      <c r="M885" t="n">
        <v>0</v>
      </c>
      <c r="N885" t="n">
        <v>0</v>
      </c>
      <c r="O885" t="n">
        <v>0</v>
      </c>
      <c r="P885" t="n">
        <v>0</v>
      </c>
      <c r="Q885" t="n">
        <v>0</v>
      </c>
      <c r="R885" s="2" t="inlineStr"/>
    </row>
    <row r="886" ht="15" customHeight="1">
      <c r="A886" t="inlineStr">
        <is>
          <t>A 63905-2023</t>
        </is>
      </c>
      <c r="B886" s="1" t="n">
        <v>45278</v>
      </c>
      <c r="C886" s="1" t="n">
        <v>45292</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63933-2023</t>
        </is>
      </c>
      <c r="B887" s="1" t="n">
        <v>45278</v>
      </c>
      <c r="C887" s="1" t="n">
        <v>45292</v>
      </c>
      <c r="D887" t="inlineStr">
        <is>
          <t>VÄSTMANLANDS LÄN</t>
        </is>
      </c>
      <c r="E887" t="inlineStr">
        <is>
          <t>SALA</t>
        </is>
      </c>
      <c r="G887" t="n">
        <v>1.4</v>
      </c>
      <c r="H887" t="n">
        <v>0</v>
      </c>
      <c r="I887" t="n">
        <v>0</v>
      </c>
      <c r="J887" t="n">
        <v>0</v>
      </c>
      <c r="K887" t="n">
        <v>0</v>
      </c>
      <c r="L887" t="n">
        <v>0</v>
      </c>
      <c r="M887" t="n">
        <v>0</v>
      </c>
      <c r="N887" t="n">
        <v>0</v>
      </c>
      <c r="O887" t="n">
        <v>0</v>
      </c>
      <c r="P887" t="n">
        <v>0</v>
      </c>
      <c r="Q887" t="n">
        <v>0</v>
      </c>
      <c r="R887" s="2" t="inlineStr"/>
    </row>
    <row r="888" ht="15" customHeight="1">
      <c r="A888" t="inlineStr">
        <is>
          <t>A 64109-2023</t>
        </is>
      </c>
      <c r="B888" s="1" t="n">
        <v>45279</v>
      </c>
      <c r="C888" s="1" t="n">
        <v>45292</v>
      </c>
      <c r="D888" t="inlineStr">
        <is>
          <t>VÄSTMANLANDS LÄN</t>
        </is>
      </c>
      <c r="E888" t="inlineStr">
        <is>
          <t>SALA</t>
        </is>
      </c>
      <c r="G888" t="n">
        <v>3.7</v>
      </c>
      <c r="H888" t="n">
        <v>0</v>
      </c>
      <c r="I888" t="n">
        <v>0</v>
      </c>
      <c r="J888" t="n">
        <v>0</v>
      </c>
      <c r="K888" t="n">
        <v>0</v>
      </c>
      <c r="L888" t="n">
        <v>0</v>
      </c>
      <c r="M888" t="n">
        <v>0</v>
      </c>
      <c r="N888" t="n">
        <v>0</v>
      </c>
      <c r="O888" t="n">
        <v>0</v>
      </c>
      <c r="P888" t="n">
        <v>0</v>
      </c>
      <c r="Q888" t="n">
        <v>0</v>
      </c>
      <c r="R888" s="2" t="inlineStr"/>
    </row>
    <row r="889" ht="15" customHeight="1">
      <c r="A889" t="inlineStr">
        <is>
          <t>A 64123-2023</t>
        </is>
      </c>
      <c r="B889" s="1" t="n">
        <v>45279</v>
      </c>
      <c r="C889" s="1" t="n">
        <v>45292</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64692-2023</t>
        </is>
      </c>
      <c r="B890" s="1" t="n">
        <v>45281</v>
      </c>
      <c r="C890" s="1" t="n">
        <v>45292</v>
      </c>
      <c r="D890" t="inlineStr">
        <is>
          <t>VÄSTMANLANDS LÄN</t>
        </is>
      </c>
      <c r="E890" t="inlineStr">
        <is>
          <t>SALA</t>
        </is>
      </c>
      <c r="G890" t="n">
        <v>1.7</v>
      </c>
      <c r="H890" t="n">
        <v>0</v>
      </c>
      <c r="I890" t="n">
        <v>0</v>
      </c>
      <c r="J890" t="n">
        <v>0</v>
      </c>
      <c r="K890" t="n">
        <v>0</v>
      </c>
      <c r="L890" t="n">
        <v>0</v>
      </c>
      <c r="M890" t="n">
        <v>0</v>
      </c>
      <c r="N890" t="n">
        <v>0</v>
      </c>
      <c r="O890" t="n">
        <v>0</v>
      </c>
      <c r="P890" t="n">
        <v>0</v>
      </c>
      <c r="Q890" t="n">
        <v>0</v>
      </c>
      <c r="R890" s="2" t="inlineStr"/>
    </row>
    <row r="891" ht="15" customHeight="1">
      <c r="A891" t="inlineStr">
        <is>
          <t>A 64729-2023</t>
        </is>
      </c>
      <c r="B891" s="1" t="n">
        <v>45281</v>
      </c>
      <c r="C891" s="1" t="n">
        <v>45292</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64693-2023</t>
        </is>
      </c>
      <c r="B892" s="1" t="n">
        <v>45281</v>
      </c>
      <c r="C892" s="1" t="n">
        <v>45292</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64687-2023</t>
        </is>
      </c>
      <c r="B893" s="1" t="n">
        <v>45281</v>
      </c>
      <c r="C893" s="1" t="n">
        <v>45292</v>
      </c>
      <c r="D893" t="inlineStr">
        <is>
          <t>VÄSTMANLANDS LÄN</t>
        </is>
      </c>
      <c r="E893" t="inlineStr">
        <is>
          <t>SALA</t>
        </is>
      </c>
      <c r="G893" t="n">
        <v>2.8</v>
      </c>
      <c r="H893" t="n">
        <v>0</v>
      </c>
      <c r="I893" t="n">
        <v>0</v>
      </c>
      <c r="J893" t="n">
        <v>0</v>
      </c>
      <c r="K893" t="n">
        <v>0</v>
      </c>
      <c r="L893" t="n">
        <v>0</v>
      </c>
      <c r="M893" t="n">
        <v>0</v>
      </c>
      <c r="N893" t="n">
        <v>0</v>
      </c>
      <c r="O893" t="n">
        <v>0</v>
      </c>
      <c r="P893" t="n">
        <v>0</v>
      </c>
      <c r="Q893" t="n">
        <v>0</v>
      </c>
      <c r="R893" s="2" t="inlineStr"/>
    </row>
    <row r="894" ht="15" customHeight="1">
      <c r="A894" t="inlineStr">
        <is>
          <t>A 64695-2023</t>
        </is>
      </c>
      <c r="B894" s="1" t="n">
        <v>45281</v>
      </c>
      <c r="C894" s="1" t="n">
        <v>45292</v>
      </c>
      <c r="D894" t="inlineStr">
        <is>
          <t>VÄSTMANLANDS LÄN</t>
        </is>
      </c>
      <c r="E894" t="inlineStr">
        <is>
          <t>SALA</t>
        </is>
      </c>
      <c r="G894" t="n">
        <v>0.5</v>
      </c>
      <c r="H894" t="n">
        <v>0</v>
      </c>
      <c r="I894" t="n">
        <v>0</v>
      </c>
      <c r="J894" t="n">
        <v>0</v>
      </c>
      <c r="K894" t="n">
        <v>0</v>
      </c>
      <c r="L894" t="n">
        <v>0</v>
      </c>
      <c r="M894" t="n">
        <v>0</v>
      </c>
      <c r="N894" t="n">
        <v>0</v>
      </c>
      <c r="O894" t="n">
        <v>0</v>
      </c>
      <c r="P894" t="n">
        <v>0</v>
      </c>
      <c r="Q894" t="n">
        <v>0</v>
      </c>
      <c r="R894" s="2" t="inlineStr"/>
    </row>
    <row r="895" ht="15" customHeight="1">
      <c r="A895" t="inlineStr">
        <is>
          <t>A 64724-2023</t>
        </is>
      </c>
      <c r="B895" s="1" t="n">
        <v>45281</v>
      </c>
      <c r="C895" s="1" t="n">
        <v>45292</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c r="A896" t="inlineStr">
        <is>
          <t>A 64925-2023</t>
        </is>
      </c>
      <c r="B896" s="1" t="n">
        <v>45282</v>
      </c>
      <c r="C896" s="1" t="n">
        <v>45292</v>
      </c>
      <c r="D896" t="inlineStr">
        <is>
          <t>VÄSTMANLANDS LÄN</t>
        </is>
      </c>
      <c r="E896" t="inlineStr">
        <is>
          <t>SALA</t>
        </is>
      </c>
      <c r="G896" t="n">
        <v>2.5</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2024-01-01T10:06:38Z</dcterms:created>
  <dcterms:modified xmlns:dcterms="http://purl.org/dc/terms/" xmlns:xsi="http://www.w3.org/2001/XMLSchema-instance" xsi:type="dcterms:W3CDTF">2024-01-01T10:06:38Z</dcterms:modified>
</cp:coreProperties>
</file>