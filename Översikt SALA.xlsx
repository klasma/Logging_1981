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46063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46063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46063</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46063</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46063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46063</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46063</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46063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46063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46063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46063</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46063</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53019-2024</t>
        </is>
      </c>
      <c r="B21" s="1" t="n">
        <v>45610</v>
      </c>
      <c r="C21" s="1" t="n">
        <v>46063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47475-2024</t>
        </is>
      </c>
      <c r="B22" s="1" t="n">
        <v>45587.57552083334</v>
      </c>
      <c r="C22" s="1" t="n">
        <v>46063</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46063</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46063</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46063</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3930-2026</t>
        </is>
      </c>
      <c r="B26" s="1" t="n">
        <v>46043</v>
      </c>
      <c r="C26" s="1" t="n">
        <v>46063</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35461-2024</t>
        </is>
      </c>
      <c r="B27" s="1" t="n">
        <v>45531</v>
      </c>
      <c r="C27" s="1" t="n">
        <v>46063</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46063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46063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46063</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46063</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46063</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46063</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46063</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46063</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46063</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15102-2025</t>
        </is>
      </c>
      <c r="B37" s="1" t="n">
        <v>45744.34585648148</v>
      </c>
      <c r="C37" s="1" t="n">
        <v>46063</v>
      </c>
      <c r="D37" t="inlineStr">
        <is>
          <t>VÄSTMANLANDS LÄN</t>
        </is>
      </c>
      <c r="E37" t="inlineStr">
        <is>
          <t>SALA</t>
        </is>
      </c>
      <c r="F37" t="inlineStr">
        <is>
          <t>Sveaskog</t>
        </is>
      </c>
      <c r="G37" t="n">
        <v>4.2</v>
      </c>
      <c r="H37" t="n">
        <v>2</v>
      </c>
      <c r="I37" t="n">
        <v>0</v>
      </c>
      <c r="J37" t="n">
        <v>1</v>
      </c>
      <c r="K37" t="n">
        <v>0</v>
      </c>
      <c r="L37" t="n">
        <v>0</v>
      </c>
      <c r="M37" t="n">
        <v>0</v>
      </c>
      <c r="N37" t="n">
        <v>0</v>
      </c>
      <c r="O37" t="n">
        <v>1</v>
      </c>
      <c r="P37" t="n">
        <v>0</v>
      </c>
      <c r="Q37" t="n">
        <v>2</v>
      </c>
      <c r="R37" s="2" t="inlineStr">
        <is>
          <t>Spillkråka
Grönsiska</t>
        </is>
      </c>
      <c r="S37">
        <f>HYPERLINK("https://klasma.github.io/Logging_1981/artfynd/A 15102-2025 artfynd.xlsx", "A 15102-2025")</f>
        <v/>
      </c>
      <c r="T37">
        <f>HYPERLINK("https://klasma.github.io/Logging_1981/kartor/A 15102-2025 karta.png", "A 15102-2025")</f>
        <v/>
      </c>
      <c r="V37">
        <f>HYPERLINK("https://klasma.github.io/Logging_1981/klagomål/A 15102-2025 FSC-klagomål.docx", "A 15102-2025")</f>
        <v/>
      </c>
      <c r="W37">
        <f>HYPERLINK("https://klasma.github.io/Logging_1981/klagomålsmail/A 15102-2025 FSC-klagomål mail.docx", "A 15102-2025")</f>
        <v/>
      </c>
      <c r="X37">
        <f>HYPERLINK("https://klasma.github.io/Logging_1981/tillsyn/A 15102-2025 tillsynsbegäran.docx", "A 15102-2025")</f>
        <v/>
      </c>
      <c r="Y37">
        <f>HYPERLINK("https://klasma.github.io/Logging_1981/tillsynsmail/A 15102-2025 tillsynsbegäran mail.docx", "A 15102-2025")</f>
        <v/>
      </c>
      <c r="Z37">
        <f>HYPERLINK("https://klasma.github.io/Logging_1981/fåglar/A 15102-2025 prioriterade fågelarter.docx", "A 15102-2025")</f>
        <v/>
      </c>
    </row>
    <row r="38" ht="15" customHeight="1">
      <c r="A38" t="inlineStr">
        <is>
          <t>A 24872-2025</t>
        </is>
      </c>
      <c r="B38" s="1" t="n">
        <v>45799.49038194444</v>
      </c>
      <c r="C38" s="1" t="n">
        <v>46063</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46063</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46063</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46063</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56704-2022</t>
        </is>
      </c>
      <c r="B42" s="1" t="n">
        <v>44893.78075231481</v>
      </c>
      <c r="C42" s="1" t="n">
        <v>46063</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43175-2023</t>
        </is>
      </c>
      <c r="B43" s="1" t="n">
        <v>45183</v>
      </c>
      <c r="C43" s="1" t="n">
        <v>46063</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38255-2025</t>
        </is>
      </c>
      <c r="B44" s="1" t="n">
        <v>45883.38020833334</v>
      </c>
      <c r="C44" s="1" t="n">
        <v>46063</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41270-2024</t>
        </is>
      </c>
      <c r="B45" s="1" t="n">
        <v>45559</v>
      </c>
      <c r="C45" s="1" t="n">
        <v>46063</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60852-2024</t>
        </is>
      </c>
      <c r="B46" s="1" t="n">
        <v>45644</v>
      </c>
      <c r="C46" s="1" t="n">
        <v>46063</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32594-2025</t>
        </is>
      </c>
      <c r="B47" s="1" t="n">
        <v>45838</v>
      </c>
      <c r="C47" s="1" t="n">
        <v>46063</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46063</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43068-2024</t>
        </is>
      </c>
      <c r="B49" s="1" t="n">
        <v>45567</v>
      </c>
      <c r="C49" s="1" t="n">
        <v>46063</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46063</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46063</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48705-2025</t>
        </is>
      </c>
      <c r="B52" s="1" t="n">
        <v>45936.62290509259</v>
      </c>
      <c r="C52" s="1" t="n">
        <v>46063</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14775-2023</t>
        </is>
      </c>
      <c r="B53" s="1" t="n">
        <v>45014</v>
      </c>
      <c r="C53" s="1" t="n">
        <v>46063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50268-2025</t>
        </is>
      </c>
      <c r="B54" s="1" t="n">
        <v>45944.35162037037</v>
      </c>
      <c r="C54" s="1" t="n">
        <v>46063</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19361-2025</t>
        </is>
      </c>
      <c r="B55" s="1" t="n">
        <v>45769.63357638889</v>
      </c>
      <c r="C55" s="1" t="n">
        <v>46063</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46063</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53052-2025</t>
        </is>
      </c>
      <c r="B57" s="1" t="n">
        <v>45958.36266203703</v>
      </c>
      <c r="C57" s="1" t="n">
        <v>46063</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37166-2024</t>
        </is>
      </c>
      <c r="B58" s="1" t="n">
        <v>45539</v>
      </c>
      <c r="C58" s="1" t="n">
        <v>46063</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55995-2025</t>
        </is>
      </c>
      <c r="B59" s="1" t="n">
        <v>45973.56733796297</v>
      </c>
      <c r="C59" s="1" t="n">
        <v>46063</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29985-2022</t>
        </is>
      </c>
      <c r="B60" s="1" t="n">
        <v>44756</v>
      </c>
      <c r="C60" s="1" t="n">
        <v>46063</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7919-2022</t>
        </is>
      </c>
      <c r="B61" s="1" t="n">
        <v>44608</v>
      </c>
      <c r="C61" s="1" t="n">
        <v>46063</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7672-2026</t>
        </is>
      </c>
      <c r="B62" s="1" t="n">
        <v>46062.42077546296</v>
      </c>
      <c r="C62" s="1" t="n">
        <v>46063</v>
      </c>
      <c r="D62" t="inlineStr">
        <is>
          <t>VÄSTMANLANDS LÄN</t>
        </is>
      </c>
      <c r="E62" t="inlineStr">
        <is>
          <t>SALA</t>
        </is>
      </c>
      <c r="G62" t="n">
        <v>2.9</v>
      </c>
      <c r="H62" t="n">
        <v>1</v>
      </c>
      <c r="I62" t="n">
        <v>0</v>
      </c>
      <c r="J62" t="n">
        <v>0</v>
      </c>
      <c r="K62" t="n">
        <v>0</v>
      </c>
      <c r="L62" t="n">
        <v>0</v>
      </c>
      <c r="M62" t="n">
        <v>0</v>
      </c>
      <c r="N62" t="n">
        <v>0</v>
      </c>
      <c r="O62" t="n">
        <v>0</v>
      </c>
      <c r="P62" t="n">
        <v>0</v>
      </c>
      <c r="Q62" t="n">
        <v>1</v>
      </c>
      <c r="R62" s="2" t="inlineStr">
        <is>
          <t>Nattviol</t>
        </is>
      </c>
      <c r="S62">
        <f>HYPERLINK("https://klasma.github.io/Logging_1981/artfynd/A 7672-2026 artfynd.xlsx", "A 7672-2026")</f>
        <v/>
      </c>
      <c r="T62">
        <f>HYPERLINK("https://klasma.github.io/Logging_1981/kartor/A 7672-2026 karta.png", "A 7672-2026")</f>
        <v/>
      </c>
      <c r="V62">
        <f>HYPERLINK("https://klasma.github.io/Logging_1981/klagomål/A 7672-2026 FSC-klagomål.docx", "A 7672-2026")</f>
        <v/>
      </c>
      <c r="W62">
        <f>HYPERLINK("https://klasma.github.io/Logging_1981/klagomålsmail/A 7672-2026 FSC-klagomål mail.docx", "A 7672-2026")</f>
        <v/>
      </c>
      <c r="X62">
        <f>HYPERLINK("https://klasma.github.io/Logging_1981/tillsyn/A 7672-2026 tillsynsbegäran.docx", "A 7672-2026")</f>
        <v/>
      </c>
      <c r="Y62">
        <f>HYPERLINK("https://klasma.github.io/Logging_1981/tillsynsmail/A 7672-2026 tillsynsbegäran mail.docx", "A 7672-2026")</f>
        <v/>
      </c>
    </row>
    <row r="63" ht="15" customHeight="1">
      <c r="A63" t="inlineStr">
        <is>
          <t>A 29727-2023</t>
        </is>
      </c>
      <c r="B63" s="1" t="n">
        <v>45107</v>
      </c>
      <c r="C63" s="1" t="n">
        <v>46063</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55550-2023</t>
        </is>
      </c>
      <c r="B64" s="1" t="n">
        <v>45232</v>
      </c>
      <c r="C64" s="1" t="n">
        <v>46063</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21738-2025</t>
        </is>
      </c>
      <c r="B65" s="1" t="n">
        <v>45783.59173611111</v>
      </c>
      <c r="C65" s="1" t="n">
        <v>46063</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46063</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66561-2021</t>
        </is>
      </c>
      <c r="B67" s="1" t="n">
        <v>44519.41648148148</v>
      </c>
      <c r="C67" s="1" t="n">
        <v>46063</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46063</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46063</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46063</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46063</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46063</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46063</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46063</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46063</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46063</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46063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46063</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46063</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46063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46063</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46063</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46063</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46063</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46063</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10083-2022</t>
        </is>
      </c>
      <c r="B86" s="1" t="n">
        <v>44621.66173611111</v>
      </c>
      <c r="C86" s="1" t="n">
        <v>46063</v>
      </c>
      <c r="D86" t="inlineStr">
        <is>
          <t>VÄSTMANLANDS LÄN</t>
        </is>
      </c>
      <c r="E86" t="inlineStr">
        <is>
          <t>SALA</t>
        </is>
      </c>
      <c r="G86" t="n">
        <v>7.8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46063</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46063</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46063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46063</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46063</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46063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46063</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46063</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46063</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46063</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46063</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46063</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46063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46063</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46063</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46063</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46063</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46063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46063</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46063</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46063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46063</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46063</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46063</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46063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46063</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46063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46063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46063</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46063</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46063</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46063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46063</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46063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46063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46063</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46063</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46063</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46063</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46063</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46063</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46063</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46063</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46063</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46063</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46063</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46063</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46063</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46063</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46063</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65818-2021</t>
        </is>
      </c>
      <c r="B137" s="1" t="n">
        <v>44517</v>
      </c>
      <c r="C137" s="1" t="n">
        <v>46063</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46063</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49254-2022</t>
        </is>
      </c>
      <c r="B139" s="1" t="n">
        <v>44861</v>
      </c>
      <c r="C139" s="1" t="n">
        <v>46063</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11370-2022</t>
        </is>
      </c>
      <c r="B140" s="1" t="n">
        <v>44630</v>
      </c>
      <c r="C140" s="1" t="n">
        <v>46063</v>
      </c>
      <c r="D140" t="inlineStr">
        <is>
          <t>VÄSTMANLANDS LÄN</t>
        </is>
      </c>
      <c r="E140" t="inlineStr">
        <is>
          <t>SALA</t>
        </is>
      </c>
      <c r="G140" t="n">
        <v>4.3</v>
      </c>
      <c r="H140" t="n">
        <v>0</v>
      </c>
      <c r="I140" t="n">
        <v>0</v>
      </c>
      <c r="J140" t="n">
        <v>0</v>
      </c>
      <c r="K140" t="n">
        <v>0</v>
      </c>
      <c r="L140" t="n">
        <v>0</v>
      </c>
      <c r="M140" t="n">
        <v>0</v>
      </c>
      <c r="N140" t="n">
        <v>0</v>
      </c>
      <c r="O140" t="n">
        <v>0</v>
      </c>
      <c r="P140" t="n">
        <v>0</v>
      </c>
      <c r="Q140" t="n">
        <v>0</v>
      </c>
      <c r="R140" s="2" t="inlineStr"/>
    </row>
    <row r="141" ht="15" customHeight="1">
      <c r="A141" t="inlineStr">
        <is>
          <t>A 67962-2021</t>
        </is>
      </c>
      <c r="B141" s="1" t="n">
        <v>44525</v>
      </c>
      <c r="C141" s="1" t="n">
        <v>46063</v>
      </c>
      <c r="D141" t="inlineStr">
        <is>
          <t>VÄSTMANLANDS LÄN</t>
        </is>
      </c>
      <c r="E141" t="inlineStr">
        <is>
          <t>SALA</t>
        </is>
      </c>
      <c r="G141" t="n">
        <v>1.4</v>
      </c>
      <c r="H141" t="n">
        <v>0</v>
      </c>
      <c r="I141" t="n">
        <v>0</v>
      </c>
      <c r="J141" t="n">
        <v>0</v>
      </c>
      <c r="K141" t="n">
        <v>0</v>
      </c>
      <c r="L141" t="n">
        <v>0</v>
      </c>
      <c r="M141" t="n">
        <v>0</v>
      </c>
      <c r="N141" t="n">
        <v>0</v>
      </c>
      <c r="O141" t="n">
        <v>0</v>
      </c>
      <c r="P141" t="n">
        <v>0</v>
      </c>
      <c r="Q141" t="n">
        <v>0</v>
      </c>
      <c r="R141" s="2" t="inlineStr"/>
    </row>
    <row r="142" ht="15" customHeight="1">
      <c r="A142" t="inlineStr">
        <is>
          <t>A 24882-2022</t>
        </is>
      </c>
      <c r="B142" s="1" t="n">
        <v>44728.56488425926</v>
      </c>
      <c r="C142" s="1" t="n">
        <v>46063</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70218-2021</t>
        </is>
      </c>
      <c r="B143" s="1" t="n">
        <v>44535.6571412037</v>
      </c>
      <c r="C143" s="1" t="n">
        <v>46063</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46063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46063</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44615.47800925926</v>
      </c>
      <c r="C146" s="1" t="n">
        <v>46063</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46063</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46063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46063</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46063</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46063</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46063</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46063</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46063</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46063</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46063</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46063</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46063</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46063</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46063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46063</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46063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46063</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46063</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46063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46063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72405-2021</t>
        </is>
      </c>
      <c r="B167" s="1" t="n">
        <v>44545</v>
      </c>
      <c r="C167" s="1" t="n">
        <v>46063</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46063</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46063</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46063</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46063</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46063</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46063</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46063</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46063</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46063</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46063</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46063</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46063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46063</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46063</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46063</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46063</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27486-2022</t>
        </is>
      </c>
      <c r="B184" s="1" t="n">
        <v>44742.60846064815</v>
      </c>
      <c r="C184" s="1" t="n">
        <v>46063</v>
      </c>
      <c r="D184" t="inlineStr">
        <is>
          <t>VÄSTMANLANDS LÄN</t>
        </is>
      </c>
      <c r="E184" t="inlineStr">
        <is>
          <t>SALA</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16651-2021</t>
        </is>
      </c>
      <c r="B185" s="1" t="n">
        <v>44294.50096064815</v>
      </c>
      <c r="C185" s="1" t="n">
        <v>46063</v>
      </c>
      <c r="D185" t="inlineStr">
        <is>
          <t>VÄSTMANLANDS LÄN</t>
        </is>
      </c>
      <c r="E185" t="inlineStr">
        <is>
          <t>SALA</t>
        </is>
      </c>
      <c r="G185" t="n">
        <v>7.7</v>
      </c>
      <c r="H185" t="n">
        <v>0</v>
      </c>
      <c r="I185" t="n">
        <v>0</v>
      </c>
      <c r="J185" t="n">
        <v>0</v>
      </c>
      <c r="K185" t="n">
        <v>0</v>
      </c>
      <c r="L185" t="n">
        <v>0</v>
      </c>
      <c r="M185" t="n">
        <v>0</v>
      </c>
      <c r="N185" t="n">
        <v>0</v>
      </c>
      <c r="O185" t="n">
        <v>0</v>
      </c>
      <c r="P185" t="n">
        <v>0</v>
      </c>
      <c r="Q185" t="n">
        <v>0</v>
      </c>
      <c r="R185" s="2" t="inlineStr"/>
    </row>
    <row r="186" ht="15" customHeight="1">
      <c r="A186" t="inlineStr">
        <is>
          <t>A 27261-2024</t>
        </is>
      </c>
      <c r="B186" s="1" t="n">
        <v>45471</v>
      </c>
      <c r="C186" s="1" t="n">
        <v>46063</v>
      </c>
      <c r="D186" t="inlineStr">
        <is>
          <t>VÄSTMANLANDS LÄN</t>
        </is>
      </c>
      <c r="E186" t="inlineStr">
        <is>
          <t>SALA</t>
        </is>
      </c>
      <c r="G186" t="n">
        <v>6.1</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46063</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54959-2024</t>
        </is>
      </c>
      <c r="B188" s="1" t="n">
        <v>45619</v>
      </c>
      <c r="C188" s="1" t="n">
        <v>46063</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6134-2024</t>
        </is>
      </c>
      <c r="B189" s="1" t="n">
        <v>45337</v>
      </c>
      <c r="C189" s="1" t="n">
        <v>46063</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25860-2024</t>
        </is>
      </c>
      <c r="B190" s="1" t="n">
        <v>45467.46278935186</v>
      </c>
      <c r="C190" s="1" t="n">
        <v>46063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46063</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46063</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46063</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46063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6183-2025</t>
        </is>
      </c>
      <c r="B195" s="1" t="n">
        <v>45698</v>
      </c>
      <c r="C195" s="1" t="n">
        <v>46063</v>
      </c>
      <c r="D195" t="inlineStr">
        <is>
          <t>VÄSTMANLANDS LÄN</t>
        </is>
      </c>
      <c r="E195" t="inlineStr">
        <is>
          <t>SALA</t>
        </is>
      </c>
      <c r="F195" t="inlineStr">
        <is>
          <t>Bergvik skog öst AB</t>
        </is>
      </c>
      <c r="G195" t="n">
        <v>2.3</v>
      </c>
      <c r="H195" t="n">
        <v>0</v>
      </c>
      <c r="I195" t="n">
        <v>0</v>
      </c>
      <c r="J195" t="n">
        <v>0</v>
      </c>
      <c r="K195" t="n">
        <v>0</v>
      </c>
      <c r="L195" t="n">
        <v>0</v>
      </c>
      <c r="M195" t="n">
        <v>0</v>
      </c>
      <c r="N195" t="n">
        <v>0</v>
      </c>
      <c r="O195" t="n">
        <v>0</v>
      </c>
      <c r="P195" t="n">
        <v>0</v>
      </c>
      <c r="Q195" t="n">
        <v>0</v>
      </c>
      <c r="R195" s="2" t="inlineStr"/>
    </row>
    <row r="196" ht="15" customHeight="1">
      <c r="A196" t="inlineStr">
        <is>
          <t>A 19803-2024</t>
        </is>
      </c>
      <c r="B196" s="1" t="n">
        <v>45432</v>
      </c>
      <c r="C196" s="1" t="n">
        <v>46063</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39597-2022</t>
        </is>
      </c>
      <c r="B197" s="1" t="n">
        <v>44818</v>
      </c>
      <c r="C197" s="1" t="n">
        <v>46063</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46063</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24864-2024</t>
        </is>
      </c>
      <c r="B199" s="1" t="n">
        <v>45461.48888888889</v>
      </c>
      <c r="C199" s="1" t="n">
        <v>46063</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46063</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63933-2023</t>
        </is>
      </c>
      <c r="B201" s="1" t="n">
        <v>45278</v>
      </c>
      <c r="C201" s="1" t="n">
        <v>46063</v>
      </c>
      <c r="D201" t="inlineStr">
        <is>
          <t>VÄSTMANLANDS LÄN</t>
        </is>
      </c>
      <c r="E201" t="inlineStr">
        <is>
          <t>SALA</t>
        </is>
      </c>
      <c r="G201" t="n">
        <v>1.4</v>
      </c>
      <c r="H201" t="n">
        <v>0</v>
      </c>
      <c r="I201" t="n">
        <v>0</v>
      </c>
      <c r="J201" t="n">
        <v>0</v>
      </c>
      <c r="K201" t="n">
        <v>0</v>
      </c>
      <c r="L201" t="n">
        <v>0</v>
      </c>
      <c r="M201" t="n">
        <v>0</v>
      </c>
      <c r="N201" t="n">
        <v>0</v>
      </c>
      <c r="O201" t="n">
        <v>0</v>
      </c>
      <c r="P201" t="n">
        <v>0</v>
      </c>
      <c r="Q201" t="n">
        <v>0</v>
      </c>
      <c r="R201" s="2" t="inlineStr"/>
    </row>
    <row r="202" ht="15" customHeight="1">
      <c r="A202" t="inlineStr">
        <is>
          <t>A 39439-2021</t>
        </is>
      </c>
      <c r="B202" s="1" t="n">
        <v>44414</v>
      </c>
      <c r="C202" s="1" t="n">
        <v>46063</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37190-2024</t>
        </is>
      </c>
      <c r="B203" s="1" t="n">
        <v>45539</v>
      </c>
      <c r="C203" s="1" t="n">
        <v>46063</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30971-2022</t>
        </is>
      </c>
      <c r="B204" s="1" t="n">
        <v>44768.46725694444</v>
      </c>
      <c r="C204" s="1" t="n">
        <v>46063</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11389-2024</t>
        </is>
      </c>
      <c r="B205" s="1" t="n">
        <v>45372.45016203704</v>
      </c>
      <c r="C205" s="1" t="n">
        <v>46063</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56706-2022</t>
        </is>
      </c>
      <c r="B206" s="1" t="n">
        <v>44893.78893518518</v>
      </c>
      <c r="C206" s="1" t="n">
        <v>46063</v>
      </c>
      <c r="D206" t="inlineStr">
        <is>
          <t>VÄSTMANLANDS LÄN</t>
        </is>
      </c>
      <c r="E206" t="inlineStr">
        <is>
          <t>SALA</t>
        </is>
      </c>
      <c r="G206" t="n">
        <v>4.5</v>
      </c>
      <c r="H206" t="n">
        <v>0</v>
      </c>
      <c r="I206" t="n">
        <v>0</v>
      </c>
      <c r="J206" t="n">
        <v>0</v>
      </c>
      <c r="K206" t="n">
        <v>0</v>
      </c>
      <c r="L206" t="n">
        <v>0</v>
      </c>
      <c r="M206" t="n">
        <v>0</v>
      </c>
      <c r="N206" t="n">
        <v>0</v>
      </c>
      <c r="O206" t="n">
        <v>0</v>
      </c>
      <c r="P206" t="n">
        <v>0</v>
      </c>
      <c r="Q206" t="n">
        <v>0</v>
      </c>
      <c r="R206" s="2" t="inlineStr"/>
    </row>
    <row r="207" ht="15" customHeight="1">
      <c r="A207" t="inlineStr">
        <is>
          <t>A 56707-2022</t>
        </is>
      </c>
      <c r="B207" s="1" t="n">
        <v>44893.79412037037</v>
      </c>
      <c r="C207" s="1" t="n">
        <v>46063</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46063</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46063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2900-2023</t>
        </is>
      </c>
      <c r="B210" s="1" t="n">
        <v>44943</v>
      </c>
      <c r="C210" s="1" t="n">
        <v>46063</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35976-2024</t>
        </is>
      </c>
      <c r="B211" s="1" t="n">
        <v>45533.49555555556</v>
      </c>
      <c r="C211" s="1" t="n">
        <v>46063</v>
      </c>
      <c r="D211" t="inlineStr">
        <is>
          <t>VÄSTMANLANDS LÄN</t>
        </is>
      </c>
      <c r="E211" t="inlineStr">
        <is>
          <t>SALA</t>
        </is>
      </c>
      <c r="G211" t="n">
        <v>2.3</v>
      </c>
      <c r="H211" t="n">
        <v>0</v>
      </c>
      <c r="I211" t="n">
        <v>0</v>
      </c>
      <c r="J211" t="n">
        <v>0</v>
      </c>
      <c r="K211" t="n">
        <v>0</v>
      </c>
      <c r="L211" t="n">
        <v>0</v>
      </c>
      <c r="M211" t="n">
        <v>0</v>
      </c>
      <c r="N211" t="n">
        <v>0</v>
      </c>
      <c r="O211" t="n">
        <v>0</v>
      </c>
      <c r="P211" t="n">
        <v>0</v>
      </c>
      <c r="Q211" t="n">
        <v>0</v>
      </c>
      <c r="R211" s="2" t="inlineStr"/>
    </row>
    <row r="212" ht="15" customHeight="1">
      <c r="A212" t="inlineStr">
        <is>
          <t>A 71471-2021</t>
        </is>
      </c>
      <c r="B212" s="1" t="n">
        <v>44540.53421296296</v>
      </c>
      <c r="C212" s="1" t="n">
        <v>46063</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8775-2024</t>
        </is>
      </c>
      <c r="B213" s="1" t="n">
        <v>45356</v>
      </c>
      <c r="C213" s="1" t="n">
        <v>46063</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56547-2022</t>
        </is>
      </c>
      <c r="B214" s="1" t="n">
        <v>44893.48284722222</v>
      </c>
      <c r="C214" s="1" t="n">
        <v>46063</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39011-2023</t>
        </is>
      </c>
      <c r="B215" s="1" t="n">
        <v>45162</v>
      </c>
      <c r="C215" s="1" t="n">
        <v>46063</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56916-2022</t>
        </is>
      </c>
      <c r="B216" s="1" t="n">
        <v>44888</v>
      </c>
      <c r="C216" s="1" t="n">
        <v>46063</v>
      </c>
      <c r="D216" t="inlineStr">
        <is>
          <t>VÄSTMANLANDS LÄN</t>
        </is>
      </c>
      <c r="E216" t="inlineStr">
        <is>
          <t>SALA</t>
        </is>
      </c>
      <c r="G216" t="n">
        <v>1.7</v>
      </c>
      <c r="H216" t="n">
        <v>0</v>
      </c>
      <c r="I216" t="n">
        <v>0</v>
      </c>
      <c r="J216" t="n">
        <v>0</v>
      </c>
      <c r="K216" t="n">
        <v>0</v>
      </c>
      <c r="L216" t="n">
        <v>0</v>
      </c>
      <c r="M216" t="n">
        <v>0</v>
      </c>
      <c r="N216" t="n">
        <v>0</v>
      </c>
      <c r="O216" t="n">
        <v>0</v>
      </c>
      <c r="P216" t="n">
        <v>0</v>
      </c>
      <c r="Q216" t="n">
        <v>0</v>
      </c>
      <c r="R216" s="2" t="inlineStr"/>
    </row>
    <row r="217" ht="15" customHeight="1">
      <c r="A217" t="inlineStr">
        <is>
          <t>A 56687-2024</t>
        </is>
      </c>
      <c r="B217" s="1" t="n">
        <v>45627.63271990741</v>
      </c>
      <c r="C217" s="1" t="n">
        <v>46063</v>
      </c>
      <c r="D217" t="inlineStr">
        <is>
          <t>VÄSTMANLANDS LÄN</t>
        </is>
      </c>
      <c r="E217" t="inlineStr">
        <is>
          <t>SALA</t>
        </is>
      </c>
      <c r="G217" t="n">
        <v>1.2</v>
      </c>
      <c r="H217" t="n">
        <v>0</v>
      </c>
      <c r="I217" t="n">
        <v>0</v>
      </c>
      <c r="J217" t="n">
        <v>0</v>
      </c>
      <c r="K217" t="n">
        <v>0</v>
      </c>
      <c r="L217" t="n">
        <v>0</v>
      </c>
      <c r="M217" t="n">
        <v>0</v>
      </c>
      <c r="N217" t="n">
        <v>0</v>
      </c>
      <c r="O217" t="n">
        <v>0</v>
      </c>
      <c r="P217" t="n">
        <v>0</v>
      </c>
      <c r="Q217" t="n">
        <v>0</v>
      </c>
      <c r="R217" s="2" t="inlineStr"/>
    </row>
    <row r="218" ht="15" customHeight="1">
      <c r="A218" t="inlineStr">
        <is>
          <t>A 61715-2024</t>
        </is>
      </c>
      <c r="B218" s="1" t="n">
        <v>45648.89519675926</v>
      </c>
      <c r="C218" s="1" t="n">
        <v>46063</v>
      </c>
      <c r="D218" t="inlineStr">
        <is>
          <t>VÄSTMANLANDS LÄN</t>
        </is>
      </c>
      <c r="E218" t="inlineStr">
        <is>
          <t>SALA</t>
        </is>
      </c>
      <c r="G218" t="n">
        <v>2.5</v>
      </c>
      <c r="H218" t="n">
        <v>0</v>
      </c>
      <c r="I218" t="n">
        <v>0</v>
      </c>
      <c r="J218" t="n">
        <v>0</v>
      </c>
      <c r="K218" t="n">
        <v>0</v>
      </c>
      <c r="L218" t="n">
        <v>0</v>
      </c>
      <c r="M218" t="n">
        <v>0</v>
      </c>
      <c r="N218" t="n">
        <v>0</v>
      </c>
      <c r="O218" t="n">
        <v>0</v>
      </c>
      <c r="P218" t="n">
        <v>0</v>
      </c>
      <c r="Q218" t="n">
        <v>0</v>
      </c>
      <c r="R218" s="2" t="inlineStr"/>
    </row>
    <row r="219" ht="15" customHeight="1">
      <c r="A219" t="inlineStr">
        <is>
          <t>A 16404-2022</t>
        </is>
      </c>
      <c r="B219" s="1" t="n">
        <v>44671</v>
      </c>
      <c r="C219" s="1" t="n">
        <v>46063</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6097-2022</t>
        </is>
      </c>
      <c r="B220" s="1" t="n">
        <v>44599</v>
      </c>
      <c r="C220" s="1" t="n">
        <v>46063</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10559-2024</t>
        </is>
      </c>
      <c r="B221" s="1" t="n">
        <v>45366</v>
      </c>
      <c r="C221" s="1" t="n">
        <v>46063</v>
      </c>
      <c r="D221" t="inlineStr">
        <is>
          <t>VÄSTMANLANDS LÄN</t>
        </is>
      </c>
      <c r="E221" t="inlineStr">
        <is>
          <t>SALA</t>
        </is>
      </c>
      <c r="G221" t="n">
        <v>0.3</v>
      </c>
      <c r="H221" t="n">
        <v>0</v>
      </c>
      <c r="I221" t="n">
        <v>0</v>
      </c>
      <c r="J221" t="n">
        <v>0</v>
      </c>
      <c r="K221" t="n">
        <v>0</v>
      </c>
      <c r="L221" t="n">
        <v>0</v>
      </c>
      <c r="M221" t="n">
        <v>0</v>
      </c>
      <c r="N221" t="n">
        <v>0</v>
      </c>
      <c r="O221" t="n">
        <v>0</v>
      </c>
      <c r="P221" t="n">
        <v>0</v>
      </c>
      <c r="Q221" t="n">
        <v>0</v>
      </c>
      <c r="R221" s="2" t="inlineStr"/>
    </row>
    <row r="222" ht="15" customHeight="1">
      <c r="A222" t="inlineStr">
        <is>
          <t>A 1196-2023</t>
        </is>
      </c>
      <c r="B222" s="1" t="n">
        <v>44935.82290509259</v>
      </c>
      <c r="C222" s="1" t="n">
        <v>46063</v>
      </c>
      <c r="D222" t="inlineStr">
        <is>
          <t>VÄSTMANLANDS LÄN</t>
        </is>
      </c>
      <c r="E222" t="inlineStr">
        <is>
          <t>SALA</t>
        </is>
      </c>
      <c r="G222" t="n">
        <v>4.1</v>
      </c>
      <c r="H222" t="n">
        <v>0</v>
      </c>
      <c r="I222" t="n">
        <v>0</v>
      </c>
      <c r="J222" t="n">
        <v>0</v>
      </c>
      <c r="K222" t="n">
        <v>0</v>
      </c>
      <c r="L222" t="n">
        <v>0</v>
      </c>
      <c r="M222" t="n">
        <v>0</v>
      </c>
      <c r="N222" t="n">
        <v>0</v>
      </c>
      <c r="O222" t="n">
        <v>0</v>
      </c>
      <c r="P222" t="n">
        <v>0</v>
      </c>
      <c r="Q222" t="n">
        <v>0</v>
      </c>
      <c r="R222" s="2" t="inlineStr"/>
    </row>
    <row r="223" ht="15" customHeight="1">
      <c r="A223" t="inlineStr">
        <is>
          <t>A 60545-2024</t>
        </is>
      </c>
      <c r="B223" s="1" t="n">
        <v>45643</v>
      </c>
      <c r="C223" s="1" t="n">
        <v>46063</v>
      </c>
      <c r="D223" t="inlineStr">
        <is>
          <t>VÄSTMANLANDS LÄN</t>
        </is>
      </c>
      <c r="E223" t="inlineStr">
        <is>
          <t>SALA</t>
        </is>
      </c>
      <c r="G223" t="n">
        <v>3.3</v>
      </c>
      <c r="H223" t="n">
        <v>0</v>
      </c>
      <c r="I223" t="n">
        <v>0</v>
      </c>
      <c r="J223" t="n">
        <v>0</v>
      </c>
      <c r="K223" t="n">
        <v>0</v>
      </c>
      <c r="L223" t="n">
        <v>0</v>
      </c>
      <c r="M223" t="n">
        <v>0</v>
      </c>
      <c r="N223" t="n">
        <v>0</v>
      </c>
      <c r="O223" t="n">
        <v>0</v>
      </c>
      <c r="P223" t="n">
        <v>0</v>
      </c>
      <c r="Q223" t="n">
        <v>0</v>
      </c>
      <c r="R223" s="2" t="inlineStr"/>
    </row>
    <row r="224" ht="15" customHeight="1">
      <c r="A224" t="inlineStr">
        <is>
          <t>A 60547-2024</t>
        </is>
      </c>
      <c r="B224" s="1" t="n">
        <v>45643</v>
      </c>
      <c r="C224" s="1" t="n">
        <v>46063</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15965-2024</t>
        </is>
      </c>
      <c r="B225" s="1" t="n">
        <v>45405.55740740741</v>
      </c>
      <c r="C225" s="1" t="n">
        <v>46063</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62651-2022</t>
        </is>
      </c>
      <c r="B226" s="1" t="n">
        <v>44917</v>
      </c>
      <c r="C226" s="1" t="n">
        <v>46063</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54836-2024</t>
        </is>
      </c>
      <c r="B227" s="1" t="n">
        <v>45618</v>
      </c>
      <c r="C227" s="1" t="n">
        <v>46063</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73835-2021</t>
        </is>
      </c>
      <c r="B228" s="1" t="n">
        <v>44552.92112268518</v>
      </c>
      <c r="C228" s="1" t="n">
        <v>46063</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13987-2023</t>
        </is>
      </c>
      <c r="B229" s="1" t="n">
        <v>45007</v>
      </c>
      <c r="C229" s="1" t="n">
        <v>46063</v>
      </c>
      <c r="D229" t="inlineStr">
        <is>
          <t>VÄSTMANLANDS LÄN</t>
        </is>
      </c>
      <c r="E229" t="inlineStr">
        <is>
          <t>SALA</t>
        </is>
      </c>
      <c r="G229" t="n">
        <v>3.2</v>
      </c>
      <c r="H229" t="n">
        <v>0</v>
      </c>
      <c r="I229" t="n">
        <v>0</v>
      </c>
      <c r="J229" t="n">
        <v>0</v>
      </c>
      <c r="K229" t="n">
        <v>0</v>
      </c>
      <c r="L229" t="n">
        <v>0</v>
      </c>
      <c r="M229" t="n">
        <v>0</v>
      </c>
      <c r="N229" t="n">
        <v>0</v>
      </c>
      <c r="O229" t="n">
        <v>0</v>
      </c>
      <c r="P229" t="n">
        <v>0</v>
      </c>
      <c r="Q229" t="n">
        <v>0</v>
      </c>
      <c r="R229" s="2" t="inlineStr"/>
    </row>
    <row r="230" ht="15" customHeight="1">
      <c r="A230" t="inlineStr">
        <is>
          <t>A 13990-2023</t>
        </is>
      </c>
      <c r="B230" s="1" t="n">
        <v>45007</v>
      </c>
      <c r="C230" s="1" t="n">
        <v>46063</v>
      </c>
      <c r="D230" t="inlineStr">
        <is>
          <t>VÄSTMANLANDS LÄN</t>
        </is>
      </c>
      <c r="E230" t="inlineStr">
        <is>
          <t>SALA</t>
        </is>
      </c>
      <c r="G230" t="n">
        <v>2.6</v>
      </c>
      <c r="H230" t="n">
        <v>0</v>
      </c>
      <c r="I230" t="n">
        <v>0</v>
      </c>
      <c r="J230" t="n">
        <v>0</v>
      </c>
      <c r="K230" t="n">
        <v>0</v>
      </c>
      <c r="L230" t="n">
        <v>0</v>
      </c>
      <c r="M230" t="n">
        <v>0</v>
      </c>
      <c r="N230" t="n">
        <v>0</v>
      </c>
      <c r="O230" t="n">
        <v>0</v>
      </c>
      <c r="P230" t="n">
        <v>0</v>
      </c>
      <c r="Q230" t="n">
        <v>0</v>
      </c>
      <c r="R230" s="2" t="inlineStr"/>
    </row>
    <row r="231" ht="15" customHeight="1">
      <c r="A231" t="inlineStr">
        <is>
          <t>A 60379-2022</t>
        </is>
      </c>
      <c r="B231" s="1" t="n">
        <v>44910</v>
      </c>
      <c r="C231" s="1" t="n">
        <v>46063</v>
      </c>
      <c r="D231" t="inlineStr">
        <is>
          <t>VÄSTMANLANDS LÄN</t>
        </is>
      </c>
      <c r="E231" t="inlineStr">
        <is>
          <t>SALA</t>
        </is>
      </c>
      <c r="F231" t="inlineStr">
        <is>
          <t>Kyrkan</t>
        </is>
      </c>
      <c r="G231" t="n">
        <v>2.5</v>
      </c>
      <c r="H231" t="n">
        <v>0</v>
      </c>
      <c r="I231" t="n">
        <v>0</v>
      </c>
      <c r="J231" t="n">
        <v>0</v>
      </c>
      <c r="K231" t="n">
        <v>0</v>
      </c>
      <c r="L231" t="n">
        <v>0</v>
      </c>
      <c r="M231" t="n">
        <v>0</v>
      </c>
      <c r="N231" t="n">
        <v>0</v>
      </c>
      <c r="O231" t="n">
        <v>0</v>
      </c>
      <c r="P231" t="n">
        <v>0</v>
      </c>
      <c r="Q231" t="n">
        <v>0</v>
      </c>
      <c r="R231" s="2" t="inlineStr"/>
    </row>
    <row r="232" ht="15" customHeight="1">
      <c r="A232" t="inlineStr">
        <is>
          <t>A 5477-2024</t>
        </is>
      </c>
      <c r="B232" s="1" t="n">
        <v>45333.67833333334</v>
      </c>
      <c r="C232" s="1" t="n">
        <v>46063</v>
      </c>
      <c r="D232" t="inlineStr">
        <is>
          <t>VÄSTMANLANDS LÄN</t>
        </is>
      </c>
      <c r="E232" t="inlineStr">
        <is>
          <t>SALA</t>
        </is>
      </c>
      <c r="G232" t="n">
        <v>2.3</v>
      </c>
      <c r="H232" t="n">
        <v>0</v>
      </c>
      <c r="I232" t="n">
        <v>0</v>
      </c>
      <c r="J232" t="n">
        <v>0</v>
      </c>
      <c r="K232" t="n">
        <v>0</v>
      </c>
      <c r="L232" t="n">
        <v>0</v>
      </c>
      <c r="M232" t="n">
        <v>0</v>
      </c>
      <c r="N232" t="n">
        <v>0</v>
      </c>
      <c r="O232" t="n">
        <v>0</v>
      </c>
      <c r="P232" t="n">
        <v>0</v>
      </c>
      <c r="Q232" t="n">
        <v>0</v>
      </c>
      <c r="R232" s="2" t="inlineStr"/>
    </row>
    <row r="233" ht="15" customHeight="1">
      <c r="A233" t="inlineStr">
        <is>
          <t>A 51464-2024</t>
        </is>
      </c>
      <c r="B233" s="1" t="n">
        <v>45604.49768518518</v>
      </c>
      <c r="C233" s="1" t="n">
        <v>46063</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45313-2024</t>
        </is>
      </c>
      <c r="B234" s="1" t="n">
        <v>45576</v>
      </c>
      <c r="C234" s="1" t="n">
        <v>46063</v>
      </c>
      <c r="D234" t="inlineStr">
        <is>
          <t>VÄSTMANLANDS LÄN</t>
        </is>
      </c>
      <c r="E234" t="inlineStr">
        <is>
          <t>SALA</t>
        </is>
      </c>
      <c r="G234" t="n">
        <v>0.7</v>
      </c>
      <c r="H234" t="n">
        <v>0</v>
      </c>
      <c r="I234" t="n">
        <v>0</v>
      </c>
      <c r="J234" t="n">
        <v>0</v>
      </c>
      <c r="K234" t="n">
        <v>0</v>
      </c>
      <c r="L234" t="n">
        <v>0</v>
      </c>
      <c r="M234" t="n">
        <v>0</v>
      </c>
      <c r="N234" t="n">
        <v>0</v>
      </c>
      <c r="O234" t="n">
        <v>0</v>
      </c>
      <c r="P234" t="n">
        <v>0</v>
      </c>
      <c r="Q234" t="n">
        <v>0</v>
      </c>
      <c r="R234" s="2" t="inlineStr"/>
    </row>
    <row r="235" ht="15" customHeight="1">
      <c r="A235" t="inlineStr">
        <is>
          <t>A 1638-2023</t>
        </is>
      </c>
      <c r="B235" s="1" t="n">
        <v>44937</v>
      </c>
      <c r="C235" s="1" t="n">
        <v>46063</v>
      </c>
      <c r="D235" t="inlineStr">
        <is>
          <t>VÄSTMANLANDS LÄN</t>
        </is>
      </c>
      <c r="E235" t="inlineStr">
        <is>
          <t>SALA</t>
        </is>
      </c>
      <c r="G235" t="n">
        <v>3.1</v>
      </c>
      <c r="H235" t="n">
        <v>0</v>
      </c>
      <c r="I235" t="n">
        <v>0</v>
      </c>
      <c r="J235" t="n">
        <v>0</v>
      </c>
      <c r="K235" t="n">
        <v>0</v>
      </c>
      <c r="L235" t="n">
        <v>0</v>
      </c>
      <c r="M235" t="n">
        <v>0</v>
      </c>
      <c r="N235" t="n">
        <v>0</v>
      </c>
      <c r="O235" t="n">
        <v>0</v>
      </c>
      <c r="P235" t="n">
        <v>0</v>
      </c>
      <c r="Q235" t="n">
        <v>0</v>
      </c>
      <c r="R235" s="2" t="inlineStr"/>
    </row>
    <row r="236" ht="15" customHeight="1">
      <c r="A236" t="inlineStr">
        <is>
          <t>A 1128-2025</t>
        </is>
      </c>
      <c r="B236" s="1" t="n">
        <v>45666.68469907407</v>
      </c>
      <c r="C236" s="1" t="n">
        <v>46063</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43176-2023</t>
        </is>
      </c>
      <c r="B237" s="1" t="n">
        <v>45183</v>
      </c>
      <c r="C237" s="1" t="n">
        <v>46063</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7953-2024</t>
        </is>
      </c>
      <c r="B238" s="1" t="n">
        <v>45350</v>
      </c>
      <c r="C238" s="1" t="n">
        <v>46063</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56535-2022</t>
        </is>
      </c>
      <c r="B239" s="1" t="n">
        <v>44893.47173611111</v>
      </c>
      <c r="C239" s="1" t="n">
        <v>46063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47909-2022</t>
        </is>
      </c>
      <c r="B240" s="1" t="n">
        <v>44855</v>
      </c>
      <c r="C240" s="1" t="n">
        <v>46063</v>
      </c>
      <c r="D240" t="inlineStr">
        <is>
          <t>VÄSTMANLANDS LÄN</t>
        </is>
      </c>
      <c r="E240" t="inlineStr">
        <is>
          <t>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26507-2023</t>
        </is>
      </c>
      <c r="B241" s="1" t="n">
        <v>45092</v>
      </c>
      <c r="C241" s="1" t="n">
        <v>46063</v>
      </c>
      <c r="D241" t="inlineStr">
        <is>
          <t>VÄSTMANLANDS LÄN</t>
        </is>
      </c>
      <c r="E241" t="inlineStr">
        <is>
          <t>SALA</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6032-2025</t>
        </is>
      </c>
      <c r="B242" s="1" t="n">
        <v>45695.6371875</v>
      </c>
      <c r="C242" s="1" t="n">
        <v>46063</v>
      </c>
      <c r="D242" t="inlineStr">
        <is>
          <t>VÄSTMANLANDS LÄN</t>
        </is>
      </c>
      <c r="E242" t="inlineStr">
        <is>
          <t>SALA</t>
        </is>
      </c>
      <c r="F242" t="inlineStr">
        <is>
          <t>Bergvik skog öst AB</t>
        </is>
      </c>
      <c r="G242" t="n">
        <v>8.1</v>
      </c>
      <c r="H242" t="n">
        <v>0</v>
      </c>
      <c r="I242" t="n">
        <v>0</v>
      </c>
      <c r="J242" t="n">
        <v>0</v>
      </c>
      <c r="K242" t="n">
        <v>0</v>
      </c>
      <c r="L242" t="n">
        <v>0</v>
      </c>
      <c r="M242" t="n">
        <v>0</v>
      </c>
      <c r="N242" t="n">
        <v>0</v>
      </c>
      <c r="O242" t="n">
        <v>0</v>
      </c>
      <c r="P242" t="n">
        <v>0</v>
      </c>
      <c r="Q242" t="n">
        <v>0</v>
      </c>
      <c r="R242" s="2" t="inlineStr"/>
    </row>
    <row r="243" ht="15" customHeight="1">
      <c r="A243" t="inlineStr">
        <is>
          <t>A 28632-2025</t>
        </is>
      </c>
      <c r="B243" s="1" t="n">
        <v>45819.62344907408</v>
      </c>
      <c r="C243" s="1" t="n">
        <v>46063</v>
      </c>
      <c r="D243" t="inlineStr">
        <is>
          <t>VÄSTMANLANDS LÄN</t>
        </is>
      </c>
      <c r="E243" t="inlineStr">
        <is>
          <t>SALA</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28628-2025</t>
        </is>
      </c>
      <c r="B244" s="1" t="n">
        <v>45819.62158564815</v>
      </c>
      <c r="C244" s="1" t="n">
        <v>46063</v>
      </c>
      <c r="D244" t="inlineStr">
        <is>
          <t>VÄSTMANLANDS LÄN</t>
        </is>
      </c>
      <c r="E244" t="inlineStr">
        <is>
          <t>SALA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28630-2025</t>
        </is>
      </c>
      <c r="B245" s="1" t="n">
        <v>45819.62274305556</v>
      </c>
      <c r="C245" s="1" t="n">
        <v>46063</v>
      </c>
      <c r="D245" t="inlineStr">
        <is>
          <t>VÄSTMANLANDS LÄN</t>
        </is>
      </c>
      <c r="E245" t="inlineStr">
        <is>
          <t>SALA</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52630-2022</t>
        </is>
      </c>
      <c r="B246" s="1" t="n">
        <v>44874</v>
      </c>
      <c r="C246" s="1" t="n">
        <v>46063</v>
      </c>
      <c r="D246" t="inlineStr">
        <is>
          <t>VÄSTMANLANDS LÄN</t>
        </is>
      </c>
      <c r="E246" t="inlineStr">
        <is>
          <t>SALA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28837-2025</t>
        </is>
      </c>
      <c r="B247" s="1" t="n">
        <v>45820.56243055555</v>
      </c>
      <c r="C247" s="1" t="n">
        <v>46063</v>
      </c>
      <c r="D247" t="inlineStr">
        <is>
          <t>VÄSTMANLANDS LÄN</t>
        </is>
      </c>
      <c r="E247" t="inlineStr">
        <is>
          <t>SALA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28849-2025</t>
        </is>
      </c>
      <c r="B248" s="1" t="n">
        <v>45820</v>
      </c>
      <c r="C248" s="1" t="n">
        <v>46063</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34814-2021</t>
        </is>
      </c>
      <c r="B249" s="1" t="n">
        <v>44383</v>
      </c>
      <c r="C249" s="1" t="n">
        <v>46063</v>
      </c>
      <c r="D249" t="inlineStr">
        <is>
          <t>VÄSTMANLANDS LÄN</t>
        </is>
      </c>
      <c r="E249" t="inlineStr">
        <is>
          <t>SALA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54118-2023</t>
        </is>
      </c>
      <c r="B250" s="1" t="n">
        <v>45232</v>
      </c>
      <c r="C250" s="1" t="n">
        <v>46063</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35462-2024</t>
        </is>
      </c>
      <c r="B251" s="1" t="n">
        <v>45531</v>
      </c>
      <c r="C251" s="1" t="n">
        <v>46063</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29085-2025</t>
        </is>
      </c>
      <c r="B252" s="1" t="n">
        <v>45821</v>
      </c>
      <c r="C252" s="1" t="n">
        <v>46063</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60541-2024</t>
        </is>
      </c>
      <c r="B253" s="1" t="n">
        <v>45643</v>
      </c>
      <c r="C253" s="1" t="n">
        <v>46063</v>
      </c>
      <c r="D253" t="inlineStr">
        <is>
          <t>VÄSTMANLANDS LÄN</t>
        </is>
      </c>
      <c r="E253" t="inlineStr">
        <is>
          <t>SALA</t>
        </is>
      </c>
      <c r="G253" t="n">
        <v>10.6</v>
      </c>
      <c r="H253" t="n">
        <v>0</v>
      </c>
      <c r="I253" t="n">
        <v>0</v>
      </c>
      <c r="J253" t="n">
        <v>0</v>
      </c>
      <c r="K253" t="n">
        <v>0</v>
      </c>
      <c r="L253" t="n">
        <v>0</v>
      </c>
      <c r="M253" t="n">
        <v>0</v>
      </c>
      <c r="N253" t="n">
        <v>0</v>
      </c>
      <c r="O253" t="n">
        <v>0</v>
      </c>
      <c r="P253" t="n">
        <v>0</v>
      </c>
      <c r="Q253" t="n">
        <v>0</v>
      </c>
      <c r="R253" s="2" t="inlineStr"/>
    </row>
    <row r="254" ht="15" customHeight="1">
      <c r="A254" t="inlineStr">
        <is>
          <t>A 29826-2025</t>
        </is>
      </c>
      <c r="B254" s="1" t="n">
        <v>45825.85761574074</v>
      </c>
      <c r="C254" s="1" t="n">
        <v>46063</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36393-2023</t>
        </is>
      </c>
      <c r="B255" s="1" t="n">
        <v>45152</v>
      </c>
      <c r="C255" s="1" t="n">
        <v>46063</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45790-2023</t>
        </is>
      </c>
      <c r="B256" s="1" t="n">
        <v>45195.45958333334</v>
      </c>
      <c r="C256" s="1" t="n">
        <v>46063</v>
      </c>
      <c r="D256" t="inlineStr">
        <is>
          <t>VÄSTMANLANDS LÄN</t>
        </is>
      </c>
      <c r="E256" t="inlineStr">
        <is>
          <t>SALA</t>
        </is>
      </c>
      <c r="G256" t="n">
        <v>5.7</v>
      </c>
      <c r="H256" t="n">
        <v>0</v>
      </c>
      <c r="I256" t="n">
        <v>0</v>
      </c>
      <c r="J256" t="n">
        <v>0</v>
      </c>
      <c r="K256" t="n">
        <v>0</v>
      </c>
      <c r="L256" t="n">
        <v>0</v>
      </c>
      <c r="M256" t="n">
        <v>0</v>
      </c>
      <c r="N256" t="n">
        <v>0</v>
      </c>
      <c r="O256" t="n">
        <v>0</v>
      </c>
      <c r="P256" t="n">
        <v>0</v>
      </c>
      <c r="Q256" t="n">
        <v>0</v>
      </c>
      <c r="R256" s="2" t="inlineStr"/>
    </row>
    <row r="257" ht="15" customHeight="1">
      <c r="A257" t="inlineStr">
        <is>
          <t>A 56949-2023</t>
        </is>
      </c>
      <c r="B257" s="1" t="n">
        <v>45244.61589120371</v>
      </c>
      <c r="C257" s="1" t="n">
        <v>46063</v>
      </c>
      <c r="D257" t="inlineStr">
        <is>
          <t>VÄSTMANLANDS LÄN</t>
        </is>
      </c>
      <c r="E257" t="inlineStr">
        <is>
          <t>SALA</t>
        </is>
      </c>
      <c r="G257" t="n">
        <v>4.7</v>
      </c>
      <c r="H257" t="n">
        <v>0</v>
      </c>
      <c r="I257" t="n">
        <v>0</v>
      </c>
      <c r="J257" t="n">
        <v>0</v>
      </c>
      <c r="K257" t="n">
        <v>0</v>
      </c>
      <c r="L257" t="n">
        <v>0</v>
      </c>
      <c r="M257" t="n">
        <v>0</v>
      </c>
      <c r="N257" t="n">
        <v>0</v>
      </c>
      <c r="O257" t="n">
        <v>0</v>
      </c>
      <c r="P257" t="n">
        <v>0</v>
      </c>
      <c r="Q257" t="n">
        <v>0</v>
      </c>
      <c r="R257" s="2" t="inlineStr"/>
    </row>
    <row r="258" ht="15" customHeight="1">
      <c r="A258" t="inlineStr">
        <is>
          <t>A 29691-2025</t>
        </is>
      </c>
      <c r="B258" s="1" t="n">
        <v>45825.53645833334</v>
      </c>
      <c r="C258" s="1" t="n">
        <v>46063</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40214-2023</t>
        </is>
      </c>
      <c r="B259" s="1" t="n">
        <v>45169.45173611111</v>
      </c>
      <c r="C259" s="1" t="n">
        <v>46063</v>
      </c>
      <c r="D259" t="inlineStr">
        <is>
          <t>VÄSTMANLANDS LÄN</t>
        </is>
      </c>
      <c r="E259" t="inlineStr">
        <is>
          <t>SALA</t>
        </is>
      </c>
      <c r="G259" t="n">
        <v>5.5</v>
      </c>
      <c r="H259" t="n">
        <v>0</v>
      </c>
      <c r="I259" t="n">
        <v>0</v>
      </c>
      <c r="J259" t="n">
        <v>0</v>
      </c>
      <c r="K259" t="n">
        <v>0</v>
      </c>
      <c r="L259" t="n">
        <v>0</v>
      </c>
      <c r="M259" t="n">
        <v>0</v>
      </c>
      <c r="N259" t="n">
        <v>0</v>
      </c>
      <c r="O259" t="n">
        <v>0</v>
      </c>
      <c r="P259" t="n">
        <v>0</v>
      </c>
      <c r="Q259" t="n">
        <v>0</v>
      </c>
      <c r="R259" s="2" t="inlineStr"/>
    </row>
    <row r="260" ht="15" customHeight="1">
      <c r="A260" t="inlineStr">
        <is>
          <t>A 35016-2024</t>
        </is>
      </c>
      <c r="B260" s="1" t="n">
        <v>45527.59115740741</v>
      </c>
      <c r="C260" s="1" t="n">
        <v>46063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37612-2024</t>
        </is>
      </c>
      <c r="B261" s="1" t="n">
        <v>45541</v>
      </c>
      <c r="C261" s="1" t="n">
        <v>46063</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37615-2024</t>
        </is>
      </c>
      <c r="B262" s="1" t="n">
        <v>45541.50673611111</v>
      </c>
      <c r="C262" s="1" t="n">
        <v>46063</v>
      </c>
      <c r="D262" t="inlineStr">
        <is>
          <t>VÄSTMANLANDS LÄN</t>
        </is>
      </c>
      <c r="E262" t="inlineStr">
        <is>
          <t>SALA</t>
        </is>
      </c>
      <c r="G262" t="n">
        <v>1.1</v>
      </c>
      <c r="H262" t="n">
        <v>0</v>
      </c>
      <c r="I262" t="n">
        <v>0</v>
      </c>
      <c r="J262" t="n">
        <v>0</v>
      </c>
      <c r="K262" t="n">
        <v>0</v>
      </c>
      <c r="L262" t="n">
        <v>0</v>
      </c>
      <c r="M262" t="n">
        <v>0</v>
      </c>
      <c r="N262" t="n">
        <v>0</v>
      </c>
      <c r="O262" t="n">
        <v>0</v>
      </c>
      <c r="P262" t="n">
        <v>0</v>
      </c>
      <c r="Q262" t="n">
        <v>0</v>
      </c>
      <c r="R262" s="2" t="inlineStr"/>
    </row>
    <row r="263" ht="15" customHeight="1">
      <c r="A263" t="inlineStr">
        <is>
          <t>A 5728-2022</t>
        </is>
      </c>
      <c r="B263" s="1" t="n">
        <v>44596.42082175926</v>
      </c>
      <c r="C263" s="1" t="n">
        <v>46063</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46063</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30874-2025</t>
        </is>
      </c>
      <c r="B265" s="1" t="n">
        <v>45832.34430555555</v>
      </c>
      <c r="C265" s="1" t="n">
        <v>46063</v>
      </c>
      <c r="D265" t="inlineStr">
        <is>
          <t>VÄSTMANLANDS LÄN</t>
        </is>
      </c>
      <c r="E265" t="inlineStr">
        <is>
          <t>SALA</t>
        </is>
      </c>
      <c r="G265" t="n">
        <v>8.4</v>
      </c>
      <c r="H265" t="n">
        <v>0</v>
      </c>
      <c r="I265" t="n">
        <v>0</v>
      </c>
      <c r="J265" t="n">
        <v>0</v>
      </c>
      <c r="K265" t="n">
        <v>0</v>
      </c>
      <c r="L265" t="n">
        <v>0</v>
      </c>
      <c r="M265" t="n">
        <v>0</v>
      </c>
      <c r="N265" t="n">
        <v>0</v>
      </c>
      <c r="O265" t="n">
        <v>0</v>
      </c>
      <c r="P265" t="n">
        <v>0</v>
      </c>
      <c r="Q265" t="n">
        <v>0</v>
      </c>
      <c r="R265" s="2" t="inlineStr"/>
    </row>
    <row r="266" ht="15" customHeight="1">
      <c r="A266" t="inlineStr">
        <is>
          <t>A 19751-2022</t>
        </is>
      </c>
      <c r="B266" s="1" t="n">
        <v>44694</v>
      </c>
      <c r="C266" s="1" t="n">
        <v>46063</v>
      </c>
      <c r="D266" t="inlineStr">
        <is>
          <t>VÄSTMANLANDS LÄN</t>
        </is>
      </c>
      <c r="E266" t="inlineStr">
        <is>
          <t>SALA</t>
        </is>
      </c>
      <c r="G266" t="n">
        <v>2.7</v>
      </c>
      <c r="H266" t="n">
        <v>0</v>
      </c>
      <c r="I266" t="n">
        <v>0</v>
      </c>
      <c r="J266" t="n">
        <v>0</v>
      </c>
      <c r="K266" t="n">
        <v>0</v>
      </c>
      <c r="L266" t="n">
        <v>0</v>
      </c>
      <c r="M266" t="n">
        <v>0</v>
      </c>
      <c r="N266" t="n">
        <v>0</v>
      </c>
      <c r="O266" t="n">
        <v>0</v>
      </c>
      <c r="P266" t="n">
        <v>0</v>
      </c>
      <c r="Q266" t="n">
        <v>0</v>
      </c>
      <c r="R266" s="2" t="inlineStr"/>
    </row>
    <row r="267" ht="15" customHeight="1">
      <c r="A267" t="inlineStr">
        <is>
          <t>A 30899-2025</t>
        </is>
      </c>
      <c r="B267" s="1" t="n">
        <v>45832.35767361111</v>
      </c>
      <c r="C267" s="1" t="n">
        <v>46063</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39182-2025</t>
        </is>
      </c>
      <c r="B268" s="1" t="n">
        <v>45888.66204861111</v>
      </c>
      <c r="C268" s="1" t="n">
        <v>46063</v>
      </c>
      <c r="D268" t="inlineStr">
        <is>
          <t>VÄSTMANLANDS LÄN</t>
        </is>
      </c>
      <c r="E268" t="inlineStr">
        <is>
          <t>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30866-2025</t>
        </is>
      </c>
      <c r="B269" s="1" t="n">
        <v>45832.3246875</v>
      </c>
      <c r="C269" s="1" t="n">
        <v>46063</v>
      </c>
      <c r="D269" t="inlineStr">
        <is>
          <t>VÄSTMANLANDS LÄN</t>
        </is>
      </c>
      <c r="E269" t="inlineStr">
        <is>
          <t>SALA</t>
        </is>
      </c>
      <c r="G269" t="n">
        <v>14.3</v>
      </c>
      <c r="H269" t="n">
        <v>0</v>
      </c>
      <c r="I269" t="n">
        <v>0</v>
      </c>
      <c r="J269" t="n">
        <v>0</v>
      </c>
      <c r="K269" t="n">
        <v>0</v>
      </c>
      <c r="L269" t="n">
        <v>0</v>
      </c>
      <c r="M269" t="n">
        <v>0</v>
      </c>
      <c r="N269" t="n">
        <v>0</v>
      </c>
      <c r="O269" t="n">
        <v>0</v>
      </c>
      <c r="P269" t="n">
        <v>0</v>
      </c>
      <c r="Q269" t="n">
        <v>0</v>
      </c>
      <c r="R269" s="2" t="inlineStr"/>
    </row>
    <row r="270" ht="15" customHeight="1">
      <c r="A270" t="inlineStr">
        <is>
          <t>A 31065-2025</t>
        </is>
      </c>
      <c r="B270" s="1" t="n">
        <v>45832.57571759259</v>
      </c>
      <c r="C270" s="1" t="n">
        <v>46063</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31612-2025</t>
        </is>
      </c>
      <c r="B271" s="1" t="n">
        <v>45833.80056712963</v>
      </c>
      <c r="C271" s="1" t="n">
        <v>46063</v>
      </c>
      <c r="D271" t="inlineStr">
        <is>
          <t>VÄSTMANLANDS LÄN</t>
        </is>
      </c>
      <c r="E271" t="inlineStr">
        <is>
          <t>SALA</t>
        </is>
      </c>
      <c r="G271" t="n">
        <v>6.3</v>
      </c>
      <c r="H271" t="n">
        <v>0</v>
      </c>
      <c r="I271" t="n">
        <v>0</v>
      </c>
      <c r="J271" t="n">
        <v>0</v>
      </c>
      <c r="K271" t="n">
        <v>0</v>
      </c>
      <c r="L271" t="n">
        <v>0</v>
      </c>
      <c r="M271" t="n">
        <v>0</v>
      </c>
      <c r="N271" t="n">
        <v>0</v>
      </c>
      <c r="O271" t="n">
        <v>0</v>
      </c>
      <c r="P271" t="n">
        <v>0</v>
      </c>
      <c r="Q271" t="n">
        <v>0</v>
      </c>
      <c r="R271" s="2" t="inlineStr"/>
    </row>
    <row r="272" ht="15" customHeight="1">
      <c r="A272" t="inlineStr">
        <is>
          <t>A 31748-2025</t>
        </is>
      </c>
      <c r="B272" s="1" t="n">
        <v>45834</v>
      </c>
      <c r="C272" s="1" t="n">
        <v>46063</v>
      </c>
      <c r="D272" t="inlineStr">
        <is>
          <t>VÄSTMANLANDS LÄN</t>
        </is>
      </c>
      <c r="E272" t="inlineStr">
        <is>
          <t>SALA</t>
        </is>
      </c>
      <c r="G272" t="n">
        <v>2</v>
      </c>
      <c r="H272" t="n">
        <v>0</v>
      </c>
      <c r="I272" t="n">
        <v>0</v>
      </c>
      <c r="J272" t="n">
        <v>0</v>
      </c>
      <c r="K272" t="n">
        <v>0</v>
      </c>
      <c r="L272" t="n">
        <v>0</v>
      </c>
      <c r="M272" t="n">
        <v>0</v>
      </c>
      <c r="N272" t="n">
        <v>0</v>
      </c>
      <c r="O272" t="n">
        <v>0</v>
      </c>
      <c r="P272" t="n">
        <v>0</v>
      </c>
      <c r="Q272" t="n">
        <v>0</v>
      </c>
      <c r="R272" s="2" t="inlineStr"/>
    </row>
    <row r="273" ht="15" customHeight="1">
      <c r="A273" t="inlineStr">
        <is>
          <t>A 31288-2025</t>
        </is>
      </c>
      <c r="B273" s="1" t="n">
        <v>45833</v>
      </c>
      <c r="C273" s="1" t="n">
        <v>46063</v>
      </c>
      <c r="D273" t="inlineStr">
        <is>
          <t>VÄSTMANLANDS LÄN</t>
        </is>
      </c>
      <c r="E273" t="inlineStr">
        <is>
          <t>SALA</t>
        </is>
      </c>
      <c r="G273" t="n">
        <v>3.1</v>
      </c>
      <c r="H273" t="n">
        <v>0</v>
      </c>
      <c r="I273" t="n">
        <v>0</v>
      </c>
      <c r="J273" t="n">
        <v>0</v>
      </c>
      <c r="K273" t="n">
        <v>0</v>
      </c>
      <c r="L273" t="n">
        <v>0</v>
      </c>
      <c r="M273" t="n">
        <v>0</v>
      </c>
      <c r="N273" t="n">
        <v>0</v>
      </c>
      <c r="O273" t="n">
        <v>0</v>
      </c>
      <c r="P273" t="n">
        <v>0</v>
      </c>
      <c r="Q273" t="n">
        <v>0</v>
      </c>
      <c r="R273" s="2" t="inlineStr"/>
    </row>
    <row r="274" ht="15" customHeight="1">
      <c r="A274" t="inlineStr">
        <is>
          <t>A 46279-2021</t>
        </is>
      </c>
      <c r="B274" s="1" t="n">
        <v>44442.57797453704</v>
      </c>
      <c r="C274" s="1" t="n">
        <v>46063</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31771-2025</t>
        </is>
      </c>
      <c r="B275" s="1" t="n">
        <v>45834.50910879629</v>
      </c>
      <c r="C275" s="1" t="n">
        <v>46063</v>
      </c>
      <c r="D275" t="inlineStr">
        <is>
          <t>VÄSTMANLANDS LÄN</t>
        </is>
      </c>
      <c r="E275" t="inlineStr">
        <is>
          <t>SALA</t>
        </is>
      </c>
      <c r="G275" t="n">
        <v>5.1</v>
      </c>
      <c r="H275" t="n">
        <v>0</v>
      </c>
      <c r="I275" t="n">
        <v>0</v>
      </c>
      <c r="J275" t="n">
        <v>0</v>
      </c>
      <c r="K275" t="n">
        <v>0</v>
      </c>
      <c r="L275" t="n">
        <v>0</v>
      </c>
      <c r="M275" t="n">
        <v>0</v>
      </c>
      <c r="N275" t="n">
        <v>0</v>
      </c>
      <c r="O275" t="n">
        <v>0</v>
      </c>
      <c r="P275" t="n">
        <v>0</v>
      </c>
      <c r="Q275" t="n">
        <v>0</v>
      </c>
      <c r="R275" s="2" t="inlineStr"/>
    </row>
    <row r="276" ht="15" customHeight="1">
      <c r="A276" t="inlineStr">
        <is>
          <t>A 31554-2025</t>
        </is>
      </c>
      <c r="B276" s="1" t="n">
        <v>45833</v>
      </c>
      <c r="C276" s="1" t="n">
        <v>46063</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31864-2025</t>
        </is>
      </c>
      <c r="B277" s="1" t="n">
        <v>45834.63819444444</v>
      </c>
      <c r="C277" s="1" t="n">
        <v>46063</v>
      </c>
      <c r="D277" t="inlineStr">
        <is>
          <t>VÄSTMANLANDS LÄN</t>
        </is>
      </c>
      <c r="E277" t="inlineStr">
        <is>
          <t>SALA</t>
        </is>
      </c>
      <c r="G277" t="n">
        <v>6.3</v>
      </c>
      <c r="H277" t="n">
        <v>0</v>
      </c>
      <c r="I277" t="n">
        <v>0</v>
      </c>
      <c r="J277" t="n">
        <v>0</v>
      </c>
      <c r="K277" t="n">
        <v>0</v>
      </c>
      <c r="L277" t="n">
        <v>0</v>
      </c>
      <c r="M277" t="n">
        <v>0</v>
      </c>
      <c r="N277" t="n">
        <v>0</v>
      </c>
      <c r="O277" t="n">
        <v>0</v>
      </c>
      <c r="P277" t="n">
        <v>0</v>
      </c>
      <c r="Q277" t="n">
        <v>0</v>
      </c>
      <c r="R277" s="2" t="inlineStr"/>
    </row>
    <row r="278" ht="15" customHeight="1">
      <c r="A278" t="inlineStr">
        <is>
          <t>A 6312-2025</t>
        </is>
      </c>
      <c r="B278" s="1" t="n">
        <v>45698</v>
      </c>
      <c r="C278" s="1" t="n">
        <v>46063</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31762-2025</t>
        </is>
      </c>
      <c r="B279" s="1" t="n">
        <v>45834.49288194445</v>
      </c>
      <c r="C279" s="1" t="n">
        <v>46063</v>
      </c>
      <c r="D279" t="inlineStr">
        <is>
          <t>VÄSTMANLANDS LÄN</t>
        </is>
      </c>
      <c r="E279" t="inlineStr">
        <is>
          <t>SALA</t>
        </is>
      </c>
      <c r="G279" t="n">
        <v>5.9</v>
      </c>
      <c r="H279" t="n">
        <v>0</v>
      </c>
      <c r="I279" t="n">
        <v>0</v>
      </c>
      <c r="J279" t="n">
        <v>0</v>
      </c>
      <c r="K279" t="n">
        <v>0</v>
      </c>
      <c r="L279" t="n">
        <v>0</v>
      </c>
      <c r="M279" t="n">
        <v>0</v>
      </c>
      <c r="N279" t="n">
        <v>0</v>
      </c>
      <c r="O279" t="n">
        <v>0</v>
      </c>
      <c r="P279" t="n">
        <v>0</v>
      </c>
      <c r="Q279" t="n">
        <v>0</v>
      </c>
      <c r="R279" s="2" t="inlineStr"/>
    </row>
    <row r="280" ht="15" customHeight="1">
      <c r="A280" t="inlineStr">
        <is>
          <t>A 31608-2025</t>
        </is>
      </c>
      <c r="B280" s="1" t="n">
        <v>45833</v>
      </c>
      <c r="C280" s="1" t="n">
        <v>46063</v>
      </c>
      <c r="D280" t="inlineStr">
        <is>
          <t>VÄSTMANLANDS LÄN</t>
        </is>
      </c>
      <c r="E280" t="inlineStr">
        <is>
          <t>SALA</t>
        </is>
      </c>
      <c r="G280" t="n">
        <v>6.1</v>
      </c>
      <c r="H280" t="n">
        <v>0</v>
      </c>
      <c r="I280" t="n">
        <v>0</v>
      </c>
      <c r="J280" t="n">
        <v>0</v>
      </c>
      <c r="K280" t="n">
        <v>0</v>
      </c>
      <c r="L280" t="n">
        <v>0</v>
      </c>
      <c r="M280" t="n">
        <v>0</v>
      </c>
      <c r="N280" t="n">
        <v>0</v>
      </c>
      <c r="O280" t="n">
        <v>0</v>
      </c>
      <c r="P280" t="n">
        <v>0</v>
      </c>
      <c r="Q280" t="n">
        <v>0</v>
      </c>
      <c r="R280" s="2" t="inlineStr"/>
    </row>
    <row r="281" ht="15" customHeight="1">
      <c r="A281" t="inlineStr">
        <is>
          <t>A 31610-2025</t>
        </is>
      </c>
      <c r="B281" s="1" t="n">
        <v>45833.78650462963</v>
      </c>
      <c r="C281" s="1" t="n">
        <v>46063</v>
      </c>
      <c r="D281" t="inlineStr">
        <is>
          <t>VÄSTMANLANDS LÄN</t>
        </is>
      </c>
      <c r="E281" t="inlineStr">
        <is>
          <t>SALA</t>
        </is>
      </c>
      <c r="G281" t="n">
        <v>8</v>
      </c>
      <c r="H281" t="n">
        <v>0</v>
      </c>
      <c r="I281" t="n">
        <v>0</v>
      </c>
      <c r="J281" t="n">
        <v>0</v>
      </c>
      <c r="K281" t="n">
        <v>0</v>
      </c>
      <c r="L281" t="n">
        <v>0</v>
      </c>
      <c r="M281" t="n">
        <v>0</v>
      </c>
      <c r="N281" t="n">
        <v>0</v>
      </c>
      <c r="O281" t="n">
        <v>0</v>
      </c>
      <c r="P281" t="n">
        <v>0</v>
      </c>
      <c r="Q281" t="n">
        <v>0</v>
      </c>
      <c r="R281" s="2" t="inlineStr"/>
    </row>
    <row r="282" ht="15" customHeight="1">
      <c r="A282" t="inlineStr">
        <is>
          <t>A 31296-2025</t>
        </is>
      </c>
      <c r="B282" s="1" t="n">
        <v>45833.36765046296</v>
      </c>
      <c r="C282" s="1" t="n">
        <v>46063</v>
      </c>
      <c r="D282" t="inlineStr">
        <is>
          <t>VÄSTMANLANDS LÄN</t>
        </is>
      </c>
      <c r="E282" t="inlineStr">
        <is>
          <t>SALA</t>
        </is>
      </c>
      <c r="G282" t="n">
        <v>3.7</v>
      </c>
      <c r="H282" t="n">
        <v>0</v>
      </c>
      <c r="I282" t="n">
        <v>0</v>
      </c>
      <c r="J282" t="n">
        <v>0</v>
      </c>
      <c r="K282" t="n">
        <v>0</v>
      </c>
      <c r="L282" t="n">
        <v>0</v>
      </c>
      <c r="M282" t="n">
        <v>0</v>
      </c>
      <c r="N282" t="n">
        <v>0</v>
      </c>
      <c r="O282" t="n">
        <v>0</v>
      </c>
      <c r="P282" t="n">
        <v>0</v>
      </c>
      <c r="Q282" t="n">
        <v>0</v>
      </c>
      <c r="R282" s="2" t="inlineStr"/>
    </row>
    <row r="283" ht="15" customHeight="1">
      <c r="A283" t="inlineStr">
        <is>
          <t>A 55035-2023</t>
        </is>
      </c>
      <c r="B283" s="1" t="n">
        <v>45229</v>
      </c>
      <c r="C283" s="1" t="n">
        <v>46063</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39167-2025</t>
        </is>
      </c>
      <c r="B284" s="1" t="n">
        <v>45888</v>
      </c>
      <c r="C284" s="1" t="n">
        <v>46063</v>
      </c>
      <c r="D284" t="inlineStr">
        <is>
          <t>VÄSTMANLANDS LÄN</t>
        </is>
      </c>
      <c r="E284" t="inlineStr">
        <is>
          <t>SALA</t>
        </is>
      </c>
      <c r="G284" t="n">
        <v>5.5</v>
      </c>
      <c r="H284" t="n">
        <v>0</v>
      </c>
      <c r="I284" t="n">
        <v>0</v>
      </c>
      <c r="J284" t="n">
        <v>0</v>
      </c>
      <c r="K284" t="n">
        <v>0</v>
      </c>
      <c r="L284" t="n">
        <v>0</v>
      </c>
      <c r="M284" t="n">
        <v>0</v>
      </c>
      <c r="N284" t="n">
        <v>0</v>
      </c>
      <c r="O284" t="n">
        <v>0</v>
      </c>
      <c r="P284" t="n">
        <v>0</v>
      </c>
      <c r="Q284" t="n">
        <v>0</v>
      </c>
      <c r="R284" s="2" t="inlineStr"/>
    </row>
    <row r="285" ht="15" customHeight="1">
      <c r="A285" t="inlineStr">
        <is>
          <t>A 31573-2025</t>
        </is>
      </c>
      <c r="B285" s="1" t="n">
        <v>45833</v>
      </c>
      <c r="C285" s="1" t="n">
        <v>46063</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32201-2025</t>
        </is>
      </c>
      <c r="B286" s="1" t="n">
        <v>45835</v>
      </c>
      <c r="C286" s="1" t="n">
        <v>46063</v>
      </c>
      <c r="D286" t="inlineStr">
        <is>
          <t>VÄSTMANLANDS LÄN</t>
        </is>
      </c>
      <c r="E286" t="inlineStr">
        <is>
          <t>SALA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32205-2025</t>
        </is>
      </c>
      <c r="B287" s="1" t="n">
        <v>45835</v>
      </c>
      <c r="C287" s="1" t="n">
        <v>46063</v>
      </c>
      <c r="D287" t="inlineStr">
        <is>
          <t>VÄSTMANLANDS LÄN</t>
        </is>
      </c>
      <c r="E287" t="inlineStr">
        <is>
          <t>SALA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32210-2025</t>
        </is>
      </c>
      <c r="B288" s="1" t="n">
        <v>45835</v>
      </c>
      <c r="C288" s="1" t="n">
        <v>46063</v>
      </c>
      <c r="D288" t="inlineStr">
        <is>
          <t>VÄSTMANLANDS LÄN</t>
        </is>
      </c>
      <c r="E288" t="inlineStr">
        <is>
          <t>SALA</t>
        </is>
      </c>
      <c r="F288" t="inlineStr">
        <is>
          <t>Bergvik skog öst AB</t>
        </is>
      </c>
      <c r="G288" t="n">
        <v>1.5</v>
      </c>
      <c r="H288" t="n">
        <v>0</v>
      </c>
      <c r="I288" t="n">
        <v>0</v>
      </c>
      <c r="J288" t="n">
        <v>0</v>
      </c>
      <c r="K288" t="n">
        <v>0</v>
      </c>
      <c r="L288" t="n">
        <v>0</v>
      </c>
      <c r="M288" t="n">
        <v>0</v>
      </c>
      <c r="N288" t="n">
        <v>0</v>
      </c>
      <c r="O288" t="n">
        <v>0</v>
      </c>
      <c r="P288" t="n">
        <v>0</v>
      </c>
      <c r="Q288" t="n">
        <v>0</v>
      </c>
      <c r="R288" s="2" t="inlineStr"/>
    </row>
    <row r="289" ht="15" customHeight="1">
      <c r="A289" t="inlineStr">
        <is>
          <t>A 52500-2024</t>
        </is>
      </c>
      <c r="B289" s="1" t="n">
        <v>45609</v>
      </c>
      <c r="C289" s="1" t="n">
        <v>46063</v>
      </c>
      <c r="D289" t="inlineStr">
        <is>
          <t>VÄSTMANLANDS LÄN</t>
        </is>
      </c>
      <c r="E289" t="inlineStr">
        <is>
          <t>SALA</t>
        </is>
      </c>
      <c r="G289" t="n">
        <v>1.3</v>
      </c>
      <c r="H289" t="n">
        <v>0</v>
      </c>
      <c r="I289" t="n">
        <v>0</v>
      </c>
      <c r="J289" t="n">
        <v>0</v>
      </c>
      <c r="K289" t="n">
        <v>0</v>
      </c>
      <c r="L289" t="n">
        <v>0</v>
      </c>
      <c r="M289" t="n">
        <v>0</v>
      </c>
      <c r="N289" t="n">
        <v>0</v>
      </c>
      <c r="O289" t="n">
        <v>0</v>
      </c>
      <c r="P289" t="n">
        <v>0</v>
      </c>
      <c r="Q289" t="n">
        <v>0</v>
      </c>
      <c r="R289" s="2" t="inlineStr"/>
    </row>
    <row r="290" ht="15" customHeight="1">
      <c r="A290" t="inlineStr">
        <is>
          <t>A 32286-2025</t>
        </is>
      </c>
      <c r="B290" s="1" t="n">
        <v>45835</v>
      </c>
      <c r="C290" s="1" t="n">
        <v>46063</v>
      </c>
      <c r="D290" t="inlineStr">
        <is>
          <t>VÄSTMANLANDS LÄN</t>
        </is>
      </c>
      <c r="E290" t="inlineStr">
        <is>
          <t>SALA</t>
        </is>
      </c>
      <c r="G290" t="n">
        <v>6.4</v>
      </c>
      <c r="H290" t="n">
        <v>0</v>
      </c>
      <c r="I290" t="n">
        <v>0</v>
      </c>
      <c r="J290" t="n">
        <v>0</v>
      </c>
      <c r="K290" t="n">
        <v>0</v>
      </c>
      <c r="L290" t="n">
        <v>0</v>
      </c>
      <c r="M290" t="n">
        <v>0</v>
      </c>
      <c r="N290" t="n">
        <v>0</v>
      </c>
      <c r="O290" t="n">
        <v>0</v>
      </c>
      <c r="P290" t="n">
        <v>0</v>
      </c>
      <c r="Q290" t="n">
        <v>0</v>
      </c>
      <c r="R290" s="2" t="inlineStr"/>
    </row>
    <row r="291" ht="15" customHeight="1">
      <c r="A291" t="inlineStr">
        <is>
          <t>A 52498-2022</t>
        </is>
      </c>
      <c r="B291" s="1" t="n">
        <v>44874.50152777778</v>
      </c>
      <c r="C291" s="1" t="n">
        <v>46063</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32207-2025</t>
        </is>
      </c>
      <c r="B292" s="1" t="n">
        <v>45835</v>
      </c>
      <c r="C292" s="1" t="n">
        <v>46063</v>
      </c>
      <c r="D292" t="inlineStr">
        <is>
          <t>VÄSTMANLANDS LÄN</t>
        </is>
      </c>
      <c r="E292" t="inlineStr">
        <is>
          <t>SALA</t>
        </is>
      </c>
      <c r="F292" t="inlineStr">
        <is>
          <t>Bergvik skog öst AB</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7950-2025</t>
        </is>
      </c>
      <c r="B293" s="1" t="n">
        <v>45707.41799768519</v>
      </c>
      <c r="C293" s="1" t="n">
        <v>46063</v>
      </c>
      <c r="D293" t="inlineStr">
        <is>
          <t>VÄSTMANLANDS LÄN</t>
        </is>
      </c>
      <c r="E293" t="inlineStr">
        <is>
          <t>SALA</t>
        </is>
      </c>
      <c r="G293" t="n">
        <v>3.2</v>
      </c>
      <c r="H293" t="n">
        <v>0</v>
      </c>
      <c r="I293" t="n">
        <v>0</v>
      </c>
      <c r="J293" t="n">
        <v>0</v>
      </c>
      <c r="K293" t="n">
        <v>0</v>
      </c>
      <c r="L293" t="n">
        <v>0</v>
      </c>
      <c r="M293" t="n">
        <v>0</v>
      </c>
      <c r="N293" t="n">
        <v>0</v>
      </c>
      <c r="O293" t="n">
        <v>0</v>
      </c>
      <c r="P293" t="n">
        <v>0</v>
      </c>
      <c r="Q293" t="n">
        <v>0</v>
      </c>
      <c r="R293" s="2" t="inlineStr"/>
    </row>
    <row r="294" ht="15" customHeight="1">
      <c r="A294" t="inlineStr">
        <is>
          <t>A 32902-2025</t>
        </is>
      </c>
      <c r="B294" s="1" t="n">
        <v>45839</v>
      </c>
      <c r="C294" s="1" t="n">
        <v>46063</v>
      </c>
      <c r="D294" t="inlineStr">
        <is>
          <t>VÄSTMANLANDS LÄN</t>
        </is>
      </c>
      <c r="E294" t="inlineStr">
        <is>
          <t>SALA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10812-2021</t>
        </is>
      </c>
      <c r="B295" s="1" t="n">
        <v>44259</v>
      </c>
      <c r="C295" s="1" t="n">
        <v>46063</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10154-2021</t>
        </is>
      </c>
      <c r="B296" s="1" t="n">
        <v>44256</v>
      </c>
      <c r="C296" s="1" t="n">
        <v>46063</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16328-2025</t>
        </is>
      </c>
      <c r="B297" s="1" t="n">
        <v>45751</v>
      </c>
      <c r="C297" s="1" t="n">
        <v>46063</v>
      </c>
      <c r="D297" t="inlineStr">
        <is>
          <t>VÄSTMANLANDS LÄN</t>
        </is>
      </c>
      <c r="E297" t="inlineStr">
        <is>
          <t>SALA</t>
        </is>
      </c>
      <c r="G297" t="n">
        <v>2.9</v>
      </c>
      <c r="H297" t="n">
        <v>0</v>
      </c>
      <c r="I297" t="n">
        <v>0</v>
      </c>
      <c r="J297" t="n">
        <v>0</v>
      </c>
      <c r="K297" t="n">
        <v>0</v>
      </c>
      <c r="L297" t="n">
        <v>0</v>
      </c>
      <c r="M297" t="n">
        <v>0</v>
      </c>
      <c r="N297" t="n">
        <v>0</v>
      </c>
      <c r="O297" t="n">
        <v>0</v>
      </c>
      <c r="P297" t="n">
        <v>0</v>
      </c>
      <c r="Q297" t="n">
        <v>0</v>
      </c>
      <c r="R297" s="2" t="inlineStr"/>
    </row>
    <row r="298" ht="15" customHeight="1">
      <c r="A298" t="inlineStr">
        <is>
          <t>A 40556-2025</t>
        </is>
      </c>
      <c r="B298" s="1" t="n">
        <v>45896.44944444444</v>
      </c>
      <c r="C298" s="1" t="n">
        <v>46063</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40559-2025</t>
        </is>
      </c>
      <c r="B299" s="1" t="n">
        <v>45896.45037037037</v>
      </c>
      <c r="C299" s="1" t="n">
        <v>46063</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40620-2025</t>
        </is>
      </c>
      <c r="B300" s="1" t="n">
        <v>45896.58609953704</v>
      </c>
      <c r="C300" s="1" t="n">
        <v>46063</v>
      </c>
      <c r="D300" t="inlineStr">
        <is>
          <t>VÄSTMANLANDS LÄN</t>
        </is>
      </c>
      <c r="E300" t="inlineStr">
        <is>
          <t>SALA</t>
        </is>
      </c>
      <c r="G300" t="n">
        <v>6.7</v>
      </c>
      <c r="H300" t="n">
        <v>0</v>
      </c>
      <c r="I300" t="n">
        <v>0</v>
      </c>
      <c r="J300" t="n">
        <v>0</v>
      </c>
      <c r="K300" t="n">
        <v>0</v>
      </c>
      <c r="L300" t="n">
        <v>0</v>
      </c>
      <c r="M300" t="n">
        <v>0</v>
      </c>
      <c r="N300" t="n">
        <v>0</v>
      </c>
      <c r="O300" t="n">
        <v>0</v>
      </c>
      <c r="P300" t="n">
        <v>0</v>
      </c>
      <c r="Q300" t="n">
        <v>0</v>
      </c>
      <c r="R300" s="2" t="inlineStr"/>
    </row>
    <row r="301" ht="15" customHeight="1">
      <c r="A301" t="inlineStr">
        <is>
          <t>A 31609-2024</t>
        </is>
      </c>
      <c r="B301" s="1" t="n">
        <v>45506</v>
      </c>
      <c r="C301" s="1" t="n">
        <v>46063</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34069-2025</t>
        </is>
      </c>
      <c r="B302" s="1" t="n">
        <v>45845.43560185185</v>
      </c>
      <c r="C302" s="1" t="n">
        <v>46063</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c r="U302">
        <f>HYPERLINK("https://klasma.github.io/Logging_1981/knärot/A 34069-2025 karta knärot.png", "A 34069-2025")</f>
        <v/>
      </c>
      <c r="V302">
        <f>HYPERLINK("https://klasma.github.io/Logging_1981/klagomål/A 34069-2025 FSC-klagomål.docx", "A 34069-2025")</f>
        <v/>
      </c>
      <c r="W302">
        <f>HYPERLINK("https://klasma.github.io/Logging_1981/klagomålsmail/A 34069-2025 FSC-klagomål mail.docx", "A 34069-2025")</f>
        <v/>
      </c>
      <c r="X302">
        <f>HYPERLINK("https://klasma.github.io/Logging_1981/tillsyn/A 34069-2025 tillsynsbegäran.docx", "A 34069-2025")</f>
        <v/>
      </c>
      <c r="Y302">
        <f>HYPERLINK("https://klasma.github.io/Logging_1981/tillsynsmail/A 34069-2025 tillsynsbegäran mail.docx", "A 34069-2025")</f>
        <v/>
      </c>
    </row>
    <row r="303" ht="15" customHeight="1">
      <c r="A303" t="inlineStr">
        <is>
          <t>A 35410-2022</t>
        </is>
      </c>
      <c r="B303" s="1" t="n">
        <v>44798.62576388889</v>
      </c>
      <c r="C303" s="1" t="n">
        <v>46063</v>
      </c>
      <c r="D303" t="inlineStr">
        <is>
          <t>VÄSTMANLANDS LÄN</t>
        </is>
      </c>
      <c r="E303" t="inlineStr">
        <is>
          <t>SALA</t>
        </is>
      </c>
      <c r="G303" t="n">
        <v>1.6</v>
      </c>
      <c r="H303" t="n">
        <v>0</v>
      </c>
      <c r="I303" t="n">
        <v>0</v>
      </c>
      <c r="J303" t="n">
        <v>0</v>
      </c>
      <c r="K303" t="n">
        <v>0</v>
      </c>
      <c r="L303" t="n">
        <v>0</v>
      </c>
      <c r="M303" t="n">
        <v>0</v>
      </c>
      <c r="N303" t="n">
        <v>0</v>
      </c>
      <c r="O303" t="n">
        <v>0</v>
      </c>
      <c r="P303" t="n">
        <v>0</v>
      </c>
      <c r="Q303" t="n">
        <v>0</v>
      </c>
      <c r="R303" s="2" t="inlineStr"/>
    </row>
    <row r="304" ht="15" customHeight="1">
      <c r="A304" t="inlineStr">
        <is>
          <t>A 41230-2025</t>
        </is>
      </c>
      <c r="B304" s="1" t="n">
        <v>45898</v>
      </c>
      <c r="C304" s="1" t="n">
        <v>46063</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15744-2025</t>
        </is>
      </c>
      <c r="B305" s="1" t="n">
        <v>45748</v>
      </c>
      <c r="C305" s="1" t="n">
        <v>46063</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41431-2025</t>
        </is>
      </c>
      <c r="B306" s="1" t="n">
        <v>45901.39347222223</v>
      </c>
      <c r="C306" s="1" t="n">
        <v>46063</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41414-2025</t>
        </is>
      </c>
      <c r="B307" s="1" t="n">
        <v>45901.360625</v>
      </c>
      <c r="C307" s="1" t="n">
        <v>46063</v>
      </c>
      <c r="D307" t="inlineStr">
        <is>
          <t>VÄSTMANLANDS LÄN</t>
        </is>
      </c>
      <c r="E307" t="inlineStr">
        <is>
          <t>SALA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53164-2024</t>
        </is>
      </c>
      <c r="B308" s="1" t="n">
        <v>45611.64887731482</v>
      </c>
      <c r="C308" s="1" t="n">
        <v>46063</v>
      </c>
      <c r="D308" t="inlineStr">
        <is>
          <t>VÄSTMANLANDS LÄN</t>
        </is>
      </c>
      <c r="E308" t="inlineStr">
        <is>
          <t>SALA</t>
        </is>
      </c>
      <c r="G308" t="n">
        <v>2.6</v>
      </c>
      <c r="H308" t="n">
        <v>0</v>
      </c>
      <c r="I308" t="n">
        <v>0</v>
      </c>
      <c r="J308" t="n">
        <v>0</v>
      </c>
      <c r="K308" t="n">
        <v>0</v>
      </c>
      <c r="L308" t="n">
        <v>0</v>
      </c>
      <c r="M308" t="n">
        <v>0</v>
      </c>
      <c r="N308" t="n">
        <v>0</v>
      </c>
      <c r="O308" t="n">
        <v>0</v>
      </c>
      <c r="P308" t="n">
        <v>0</v>
      </c>
      <c r="Q308" t="n">
        <v>0</v>
      </c>
      <c r="R308" s="2" t="inlineStr"/>
    </row>
    <row r="309" ht="15" customHeight="1">
      <c r="A309" t="inlineStr">
        <is>
          <t>A 61717-2024</t>
        </is>
      </c>
      <c r="B309" s="1" t="n">
        <v>45648</v>
      </c>
      <c r="C309" s="1" t="n">
        <v>46063</v>
      </c>
      <c r="D309" t="inlineStr">
        <is>
          <t>VÄSTMANLANDS LÄN</t>
        </is>
      </c>
      <c r="E309" t="inlineStr">
        <is>
          <t>SALA</t>
        </is>
      </c>
      <c r="G309" t="n">
        <v>3.7</v>
      </c>
      <c r="H309" t="n">
        <v>0</v>
      </c>
      <c r="I309" t="n">
        <v>0</v>
      </c>
      <c r="J309" t="n">
        <v>0</v>
      </c>
      <c r="K309" t="n">
        <v>0</v>
      </c>
      <c r="L309" t="n">
        <v>0</v>
      </c>
      <c r="M309" t="n">
        <v>0</v>
      </c>
      <c r="N309" t="n">
        <v>0</v>
      </c>
      <c r="O309" t="n">
        <v>0</v>
      </c>
      <c r="P309" t="n">
        <v>0</v>
      </c>
      <c r="Q309" t="n">
        <v>0</v>
      </c>
      <c r="R309" s="2" t="inlineStr"/>
    </row>
    <row r="310" ht="15" customHeight="1">
      <c r="A310" t="inlineStr">
        <is>
          <t>A 21159-2022</t>
        </is>
      </c>
      <c r="B310" s="1" t="n">
        <v>44704</v>
      </c>
      <c r="C310" s="1" t="n">
        <v>46063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46063</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60328-2024</t>
        </is>
      </c>
      <c r="B312" s="1" t="n">
        <v>45643.38416666666</v>
      </c>
      <c r="C312" s="1" t="n">
        <v>46063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35715-2025</t>
        </is>
      </c>
      <c r="B313" s="1" t="n">
        <v>45860.42148148148</v>
      </c>
      <c r="C313" s="1" t="n">
        <v>46063</v>
      </c>
      <c r="D313" t="inlineStr">
        <is>
          <t>VÄSTMANLANDS LÄN</t>
        </is>
      </c>
      <c r="E313" t="inlineStr">
        <is>
          <t>SALA</t>
        </is>
      </c>
      <c r="G313" t="n">
        <v>3.8</v>
      </c>
      <c r="H313" t="n">
        <v>0</v>
      </c>
      <c r="I313" t="n">
        <v>0</v>
      </c>
      <c r="J313" t="n">
        <v>0</v>
      </c>
      <c r="K313" t="n">
        <v>0</v>
      </c>
      <c r="L313" t="n">
        <v>0</v>
      </c>
      <c r="M313" t="n">
        <v>0</v>
      </c>
      <c r="N313" t="n">
        <v>0</v>
      </c>
      <c r="O313" t="n">
        <v>0</v>
      </c>
      <c r="P313" t="n">
        <v>0</v>
      </c>
      <c r="Q313" t="n">
        <v>0</v>
      </c>
      <c r="R313" s="2" t="inlineStr"/>
    </row>
    <row r="314" ht="15" customHeight="1">
      <c r="A314" t="inlineStr">
        <is>
          <t>A 35651-2025</t>
        </is>
      </c>
      <c r="B314" s="1" t="n">
        <v>45859.52435185185</v>
      </c>
      <c r="C314" s="1" t="n">
        <v>46063</v>
      </c>
      <c r="D314" t="inlineStr">
        <is>
          <t>VÄSTMANLANDS LÄN</t>
        </is>
      </c>
      <c r="E314" t="inlineStr">
        <is>
          <t>SALA</t>
        </is>
      </c>
      <c r="G314" t="n">
        <v>6.3</v>
      </c>
      <c r="H314" t="n">
        <v>0</v>
      </c>
      <c r="I314" t="n">
        <v>0</v>
      </c>
      <c r="J314" t="n">
        <v>0</v>
      </c>
      <c r="K314" t="n">
        <v>0</v>
      </c>
      <c r="L314" t="n">
        <v>0</v>
      </c>
      <c r="M314" t="n">
        <v>0</v>
      </c>
      <c r="N314" t="n">
        <v>0</v>
      </c>
      <c r="O314" t="n">
        <v>0</v>
      </c>
      <c r="P314" t="n">
        <v>0</v>
      </c>
      <c r="Q314" t="n">
        <v>0</v>
      </c>
      <c r="R314" s="2" t="inlineStr"/>
    </row>
    <row r="315" ht="15" customHeight="1">
      <c r="A315" t="inlineStr">
        <is>
          <t>A 33273-2023</t>
        </is>
      </c>
      <c r="B315" s="1" t="n">
        <v>45127</v>
      </c>
      <c r="C315" s="1" t="n">
        <v>46063</v>
      </c>
      <c r="D315" t="inlineStr">
        <is>
          <t>VÄSTMANLANDS LÄN</t>
        </is>
      </c>
      <c r="E315" t="inlineStr">
        <is>
          <t>SALA</t>
        </is>
      </c>
      <c r="G315" t="n">
        <v>2.6</v>
      </c>
      <c r="H315" t="n">
        <v>0</v>
      </c>
      <c r="I315" t="n">
        <v>0</v>
      </c>
      <c r="J315" t="n">
        <v>0</v>
      </c>
      <c r="K315" t="n">
        <v>0</v>
      </c>
      <c r="L315" t="n">
        <v>0</v>
      </c>
      <c r="M315" t="n">
        <v>0</v>
      </c>
      <c r="N315" t="n">
        <v>0</v>
      </c>
      <c r="O315" t="n">
        <v>0</v>
      </c>
      <c r="P315" t="n">
        <v>0</v>
      </c>
      <c r="Q315" t="n">
        <v>0</v>
      </c>
      <c r="R315" s="2" t="inlineStr"/>
    </row>
    <row r="316" ht="15" customHeight="1">
      <c r="A316" t="inlineStr">
        <is>
          <t>A 35775-2025</t>
        </is>
      </c>
      <c r="B316" s="1" t="n">
        <v>45860</v>
      </c>
      <c r="C316" s="1" t="n">
        <v>46063</v>
      </c>
      <c r="D316" t="inlineStr">
        <is>
          <t>VÄSTMANLANDS LÄN</t>
        </is>
      </c>
      <c r="E316" t="inlineStr">
        <is>
          <t>SALA</t>
        </is>
      </c>
      <c r="G316" t="n">
        <v>2.6</v>
      </c>
      <c r="H316" t="n">
        <v>0</v>
      </c>
      <c r="I316" t="n">
        <v>0</v>
      </c>
      <c r="J316" t="n">
        <v>0</v>
      </c>
      <c r="K316" t="n">
        <v>0</v>
      </c>
      <c r="L316" t="n">
        <v>0</v>
      </c>
      <c r="M316" t="n">
        <v>0</v>
      </c>
      <c r="N316" t="n">
        <v>0</v>
      </c>
      <c r="O316" t="n">
        <v>0</v>
      </c>
      <c r="P316" t="n">
        <v>0</v>
      </c>
      <c r="Q316" t="n">
        <v>0</v>
      </c>
      <c r="R316" s="2" t="inlineStr"/>
    </row>
    <row r="317" ht="15" customHeight="1">
      <c r="A317" t="inlineStr">
        <is>
          <t>A 21968-2024</t>
        </is>
      </c>
      <c r="B317" s="1" t="n">
        <v>45443</v>
      </c>
      <c r="C317" s="1" t="n">
        <v>46063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35774-2025</t>
        </is>
      </c>
      <c r="B318" s="1" t="n">
        <v>45860.68780092592</v>
      </c>
      <c r="C318" s="1" t="n">
        <v>46063</v>
      </c>
      <c r="D318" t="inlineStr">
        <is>
          <t>VÄSTMANLANDS LÄN</t>
        </is>
      </c>
      <c r="E318" t="inlineStr">
        <is>
          <t>SALA</t>
        </is>
      </c>
      <c r="G318" t="n">
        <v>6.5</v>
      </c>
      <c r="H318" t="n">
        <v>0</v>
      </c>
      <c r="I318" t="n">
        <v>0</v>
      </c>
      <c r="J318" t="n">
        <v>0</v>
      </c>
      <c r="K318" t="n">
        <v>0</v>
      </c>
      <c r="L318" t="n">
        <v>0</v>
      </c>
      <c r="M318" t="n">
        <v>0</v>
      </c>
      <c r="N318" t="n">
        <v>0</v>
      </c>
      <c r="O318" t="n">
        <v>0</v>
      </c>
      <c r="P318" t="n">
        <v>0</v>
      </c>
      <c r="Q318" t="n">
        <v>0</v>
      </c>
      <c r="R318" s="2" t="inlineStr"/>
    </row>
    <row r="319" ht="15" customHeight="1">
      <c r="A319" t="inlineStr">
        <is>
          <t>A 35776-2025</t>
        </is>
      </c>
      <c r="B319" s="1" t="n">
        <v>45860.69211805556</v>
      </c>
      <c r="C319" s="1" t="n">
        <v>46063</v>
      </c>
      <c r="D319" t="inlineStr">
        <is>
          <t>VÄSTMANLANDS LÄN</t>
        </is>
      </c>
      <c r="E319" t="inlineStr">
        <is>
          <t>SALA</t>
        </is>
      </c>
      <c r="G319" t="n">
        <v>14.2</v>
      </c>
      <c r="H319" t="n">
        <v>0</v>
      </c>
      <c r="I319" t="n">
        <v>0</v>
      </c>
      <c r="J319" t="n">
        <v>0</v>
      </c>
      <c r="K319" t="n">
        <v>0</v>
      </c>
      <c r="L319" t="n">
        <v>0</v>
      </c>
      <c r="M319" t="n">
        <v>0</v>
      </c>
      <c r="N319" t="n">
        <v>0</v>
      </c>
      <c r="O319" t="n">
        <v>0</v>
      </c>
      <c r="P319" t="n">
        <v>0</v>
      </c>
      <c r="Q319" t="n">
        <v>0</v>
      </c>
      <c r="R319" s="2" t="inlineStr"/>
    </row>
    <row r="320" ht="15" customHeight="1">
      <c r="A320" t="inlineStr">
        <is>
          <t>A 35779-2025</t>
        </is>
      </c>
      <c r="B320" s="1" t="n">
        <v>45860.69495370371</v>
      </c>
      <c r="C320" s="1" t="n">
        <v>46063</v>
      </c>
      <c r="D320" t="inlineStr">
        <is>
          <t>VÄSTMANLANDS LÄN</t>
        </is>
      </c>
      <c r="E320" t="inlineStr">
        <is>
          <t>SALA</t>
        </is>
      </c>
      <c r="G320" t="n">
        <v>2.4</v>
      </c>
      <c r="H320" t="n">
        <v>0</v>
      </c>
      <c r="I320" t="n">
        <v>0</v>
      </c>
      <c r="J320" t="n">
        <v>0</v>
      </c>
      <c r="K320" t="n">
        <v>0</v>
      </c>
      <c r="L320" t="n">
        <v>0</v>
      </c>
      <c r="M320" t="n">
        <v>0</v>
      </c>
      <c r="N320" t="n">
        <v>0</v>
      </c>
      <c r="O320" t="n">
        <v>0</v>
      </c>
      <c r="P320" t="n">
        <v>0</v>
      </c>
      <c r="Q320" t="n">
        <v>0</v>
      </c>
      <c r="R320" s="2" t="inlineStr"/>
    </row>
    <row r="321" ht="15" customHeight="1">
      <c r="A321" t="inlineStr">
        <is>
          <t>A 52827-2024</t>
        </is>
      </c>
      <c r="B321" s="1" t="n">
        <v>45610</v>
      </c>
      <c r="C321" s="1" t="n">
        <v>46063</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53166-2024</t>
        </is>
      </c>
      <c r="B322" s="1" t="n">
        <v>45611</v>
      </c>
      <c r="C322" s="1" t="n">
        <v>46063</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42421-2025</t>
        </is>
      </c>
      <c r="B323" s="1" t="n">
        <v>45905.40067129629</v>
      </c>
      <c r="C323" s="1" t="n">
        <v>46063</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11244-2024</t>
        </is>
      </c>
      <c r="B324" s="1" t="n">
        <v>45371</v>
      </c>
      <c r="C324" s="1" t="n">
        <v>46063</v>
      </c>
      <c r="D324" t="inlineStr">
        <is>
          <t>VÄSTMANLANDS LÄN</t>
        </is>
      </c>
      <c r="E324" t="inlineStr">
        <is>
          <t>SALA</t>
        </is>
      </c>
      <c r="G324" t="n">
        <v>1.2</v>
      </c>
      <c r="H324" t="n">
        <v>0</v>
      </c>
      <c r="I324" t="n">
        <v>0</v>
      </c>
      <c r="J324" t="n">
        <v>0</v>
      </c>
      <c r="K324" t="n">
        <v>0</v>
      </c>
      <c r="L324" t="n">
        <v>0</v>
      </c>
      <c r="M324" t="n">
        <v>0</v>
      </c>
      <c r="N324" t="n">
        <v>0</v>
      </c>
      <c r="O324" t="n">
        <v>0</v>
      </c>
      <c r="P324" t="n">
        <v>0</v>
      </c>
      <c r="Q324" t="n">
        <v>0</v>
      </c>
      <c r="R324" s="2" t="inlineStr"/>
    </row>
    <row r="325" ht="15" customHeight="1">
      <c r="A325" t="inlineStr">
        <is>
          <t>A 36049-2025</t>
        </is>
      </c>
      <c r="B325" s="1" t="n">
        <v>45866.37065972222</v>
      </c>
      <c r="C325" s="1" t="n">
        <v>46063</v>
      </c>
      <c r="D325" t="inlineStr">
        <is>
          <t>VÄSTMANLANDS LÄN</t>
        </is>
      </c>
      <c r="E325" t="inlineStr">
        <is>
          <t>SALA</t>
        </is>
      </c>
      <c r="F325" t="inlineStr">
        <is>
          <t>Kommuner</t>
        </is>
      </c>
      <c r="G325" t="n">
        <v>1.9</v>
      </c>
      <c r="H325" t="n">
        <v>0</v>
      </c>
      <c r="I325" t="n">
        <v>0</v>
      </c>
      <c r="J325" t="n">
        <v>0</v>
      </c>
      <c r="K325" t="n">
        <v>0</v>
      </c>
      <c r="L325" t="n">
        <v>0</v>
      </c>
      <c r="M325" t="n">
        <v>0</v>
      </c>
      <c r="N325" t="n">
        <v>0</v>
      </c>
      <c r="O325" t="n">
        <v>0</v>
      </c>
      <c r="P325" t="n">
        <v>0</v>
      </c>
      <c r="Q325" t="n">
        <v>0</v>
      </c>
      <c r="R325" s="2" t="inlineStr"/>
    </row>
    <row r="326" ht="15" customHeight="1">
      <c r="A326" t="inlineStr">
        <is>
          <t>A 62654-2022</t>
        </is>
      </c>
      <c r="B326" s="1" t="n">
        <v>44917</v>
      </c>
      <c r="C326" s="1" t="n">
        <v>46063</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6135-2023</t>
        </is>
      </c>
      <c r="B327" s="1" t="n">
        <v>44964.62628472222</v>
      </c>
      <c r="C327" s="1" t="n">
        <v>46063</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53864-2022</t>
        </is>
      </c>
      <c r="B328" s="1" t="n">
        <v>44880.64016203704</v>
      </c>
      <c r="C328" s="1" t="n">
        <v>46063</v>
      </c>
      <c r="D328" t="inlineStr">
        <is>
          <t>VÄSTMANLANDS LÄN</t>
        </is>
      </c>
      <c r="E328" t="inlineStr">
        <is>
          <t>SALA</t>
        </is>
      </c>
      <c r="G328" t="n">
        <v>5.9</v>
      </c>
      <c r="H328" t="n">
        <v>0</v>
      </c>
      <c r="I328" t="n">
        <v>0</v>
      </c>
      <c r="J328" t="n">
        <v>0</v>
      </c>
      <c r="K328" t="n">
        <v>0</v>
      </c>
      <c r="L328" t="n">
        <v>0</v>
      </c>
      <c r="M328" t="n">
        <v>0</v>
      </c>
      <c r="N328" t="n">
        <v>0</v>
      </c>
      <c r="O328" t="n">
        <v>0</v>
      </c>
      <c r="P328" t="n">
        <v>0</v>
      </c>
      <c r="Q328" t="n">
        <v>0</v>
      </c>
      <c r="R328" s="2" t="inlineStr"/>
    </row>
    <row r="329" ht="15" customHeight="1">
      <c r="A329" t="inlineStr">
        <is>
          <t>A 36031-2025</t>
        </is>
      </c>
      <c r="B329" s="1" t="n">
        <v>45865.46111111111</v>
      </c>
      <c r="C329" s="1" t="n">
        <v>46063</v>
      </c>
      <c r="D329" t="inlineStr">
        <is>
          <t>VÄSTMANLANDS LÄN</t>
        </is>
      </c>
      <c r="E329" t="inlineStr">
        <is>
          <t>SALA</t>
        </is>
      </c>
      <c r="G329" t="n">
        <v>7.2</v>
      </c>
      <c r="H329" t="n">
        <v>0</v>
      </c>
      <c r="I329" t="n">
        <v>0</v>
      </c>
      <c r="J329" t="n">
        <v>0</v>
      </c>
      <c r="K329" t="n">
        <v>0</v>
      </c>
      <c r="L329" t="n">
        <v>0</v>
      </c>
      <c r="M329" t="n">
        <v>0</v>
      </c>
      <c r="N329" t="n">
        <v>0</v>
      </c>
      <c r="O329" t="n">
        <v>0</v>
      </c>
      <c r="P329" t="n">
        <v>0</v>
      </c>
      <c r="Q329" t="n">
        <v>0</v>
      </c>
      <c r="R329" s="2" t="inlineStr"/>
    </row>
    <row r="330" ht="15" customHeight="1">
      <c r="A330" t="inlineStr">
        <is>
          <t>A 36060-2025</t>
        </is>
      </c>
      <c r="B330" s="1" t="n">
        <v>45866.39469907407</v>
      </c>
      <c r="C330" s="1" t="n">
        <v>46063</v>
      </c>
      <c r="D330" t="inlineStr">
        <is>
          <t>VÄSTMANLANDS LÄN</t>
        </is>
      </c>
      <c r="E330" t="inlineStr">
        <is>
          <t>SALA</t>
        </is>
      </c>
      <c r="F330" t="inlineStr">
        <is>
          <t>Kommuner</t>
        </is>
      </c>
      <c r="G330" t="n">
        <v>4.3</v>
      </c>
      <c r="H330" t="n">
        <v>0</v>
      </c>
      <c r="I330" t="n">
        <v>0</v>
      </c>
      <c r="J330" t="n">
        <v>0</v>
      </c>
      <c r="K330" t="n">
        <v>0</v>
      </c>
      <c r="L330" t="n">
        <v>0</v>
      </c>
      <c r="M330" t="n">
        <v>0</v>
      </c>
      <c r="N330" t="n">
        <v>0</v>
      </c>
      <c r="O330" t="n">
        <v>0</v>
      </c>
      <c r="P330" t="n">
        <v>0</v>
      </c>
      <c r="Q330" t="n">
        <v>0</v>
      </c>
      <c r="R330" s="2" t="inlineStr"/>
    </row>
    <row r="331" ht="15" customHeight="1">
      <c r="A331" t="inlineStr">
        <is>
          <t>A 36032-2025</t>
        </is>
      </c>
      <c r="B331" s="1" t="n">
        <v>45865.48740740741</v>
      </c>
      <c r="C331" s="1" t="n">
        <v>46063</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36043-2025</t>
        </is>
      </c>
      <c r="B332" s="1" t="n">
        <v>45866.35333333333</v>
      </c>
      <c r="C332" s="1" t="n">
        <v>46063</v>
      </c>
      <c r="D332" t="inlineStr">
        <is>
          <t>VÄSTMANLANDS LÄN</t>
        </is>
      </c>
      <c r="E332" t="inlineStr">
        <is>
          <t>SALA</t>
        </is>
      </c>
      <c r="F332" t="inlineStr">
        <is>
          <t>Kommuner</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36045-2025</t>
        </is>
      </c>
      <c r="B333" s="1" t="n">
        <v>45866.36200231482</v>
      </c>
      <c r="C333" s="1" t="n">
        <v>46063</v>
      </c>
      <c r="D333" t="inlineStr">
        <is>
          <t>VÄSTMANLANDS LÄN</t>
        </is>
      </c>
      <c r="E333" t="inlineStr">
        <is>
          <t>SALA</t>
        </is>
      </c>
      <c r="F333" t="inlineStr">
        <is>
          <t>Kommuner</t>
        </is>
      </c>
      <c r="G333" t="n">
        <v>1.7</v>
      </c>
      <c r="H333" t="n">
        <v>0</v>
      </c>
      <c r="I333" t="n">
        <v>0</v>
      </c>
      <c r="J333" t="n">
        <v>0</v>
      </c>
      <c r="K333" t="n">
        <v>0</v>
      </c>
      <c r="L333" t="n">
        <v>0</v>
      </c>
      <c r="M333" t="n">
        <v>0</v>
      </c>
      <c r="N333" t="n">
        <v>0</v>
      </c>
      <c r="O333" t="n">
        <v>0</v>
      </c>
      <c r="P333" t="n">
        <v>0</v>
      </c>
      <c r="Q333" t="n">
        <v>0</v>
      </c>
      <c r="R333" s="2" t="inlineStr"/>
    </row>
    <row r="334" ht="15" customHeight="1">
      <c r="A334" t="inlineStr">
        <is>
          <t>A 27255-2023</t>
        </is>
      </c>
      <c r="B334" s="1" t="n">
        <v>45096</v>
      </c>
      <c r="C334" s="1" t="n">
        <v>46063</v>
      </c>
      <c r="D334" t="inlineStr">
        <is>
          <t>VÄSTMANLANDS LÄN</t>
        </is>
      </c>
      <c r="E334" t="inlineStr">
        <is>
          <t>SALA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43028-2025</t>
        </is>
      </c>
      <c r="B335" s="1" t="n">
        <v>45909.53472222222</v>
      </c>
      <c r="C335" s="1" t="n">
        <v>46063</v>
      </c>
      <c r="D335" t="inlineStr">
        <is>
          <t>VÄSTMANLANDS LÄN</t>
        </is>
      </c>
      <c r="E335" t="inlineStr">
        <is>
          <t>SALA</t>
        </is>
      </c>
      <c r="G335" t="n">
        <v>3.8</v>
      </c>
      <c r="H335" t="n">
        <v>0</v>
      </c>
      <c r="I335" t="n">
        <v>0</v>
      </c>
      <c r="J335" t="n">
        <v>0</v>
      </c>
      <c r="K335" t="n">
        <v>0</v>
      </c>
      <c r="L335" t="n">
        <v>0</v>
      </c>
      <c r="M335" t="n">
        <v>0</v>
      </c>
      <c r="N335" t="n">
        <v>0</v>
      </c>
      <c r="O335" t="n">
        <v>0</v>
      </c>
      <c r="P335" t="n">
        <v>0</v>
      </c>
      <c r="Q335" t="n">
        <v>0</v>
      </c>
      <c r="R335" s="2" t="inlineStr"/>
    </row>
    <row r="336" ht="15" customHeight="1">
      <c r="A336" t="inlineStr">
        <is>
          <t>A 43328-2025</t>
        </is>
      </c>
      <c r="B336" s="1" t="n">
        <v>45910</v>
      </c>
      <c r="C336" s="1" t="n">
        <v>46063</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43031-2025</t>
        </is>
      </c>
      <c r="B337" s="1" t="n">
        <v>45909.53856481481</v>
      </c>
      <c r="C337" s="1" t="n">
        <v>46063</v>
      </c>
      <c r="D337" t="inlineStr">
        <is>
          <t>VÄSTMANLANDS LÄN</t>
        </is>
      </c>
      <c r="E337" t="inlineStr">
        <is>
          <t>SALA</t>
        </is>
      </c>
      <c r="G337" t="n">
        <v>0.2</v>
      </c>
      <c r="H337" t="n">
        <v>0</v>
      </c>
      <c r="I337" t="n">
        <v>0</v>
      </c>
      <c r="J337" t="n">
        <v>0</v>
      </c>
      <c r="K337" t="n">
        <v>0</v>
      </c>
      <c r="L337" t="n">
        <v>0</v>
      </c>
      <c r="M337" t="n">
        <v>0</v>
      </c>
      <c r="N337" t="n">
        <v>0</v>
      </c>
      <c r="O337" t="n">
        <v>0</v>
      </c>
      <c r="P337" t="n">
        <v>0</v>
      </c>
      <c r="Q337" t="n">
        <v>0</v>
      </c>
      <c r="R337" s="2" t="inlineStr"/>
    </row>
    <row r="338" ht="15" customHeight="1">
      <c r="A338" t="inlineStr">
        <is>
          <t>A 17495-2024</t>
        </is>
      </c>
      <c r="B338" s="1" t="n">
        <v>45415</v>
      </c>
      <c r="C338" s="1" t="n">
        <v>46063</v>
      </c>
      <c r="D338" t="inlineStr">
        <is>
          <t>VÄSTMANLANDS LÄN</t>
        </is>
      </c>
      <c r="E338" t="inlineStr">
        <is>
          <t>SALA</t>
        </is>
      </c>
      <c r="G338" t="n">
        <v>3.1</v>
      </c>
      <c r="H338" t="n">
        <v>0</v>
      </c>
      <c r="I338" t="n">
        <v>0</v>
      </c>
      <c r="J338" t="n">
        <v>0</v>
      </c>
      <c r="K338" t="n">
        <v>0</v>
      </c>
      <c r="L338" t="n">
        <v>0</v>
      </c>
      <c r="M338" t="n">
        <v>0</v>
      </c>
      <c r="N338" t="n">
        <v>0</v>
      </c>
      <c r="O338" t="n">
        <v>0</v>
      </c>
      <c r="P338" t="n">
        <v>0</v>
      </c>
      <c r="Q338" t="n">
        <v>0</v>
      </c>
      <c r="R338" s="2" t="inlineStr"/>
    </row>
    <row r="339" ht="15" customHeight="1">
      <c r="A339" t="inlineStr">
        <is>
          <t>A 37263-2025</t>
        </is>
      </c>
      <c r="B339" s="1" t="n">
        <v>45876.4584837963</v>
      </c>
      <c r="C339" s="1" t="n">
        <v>46063</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40554-2025</t>
        </is>
      </c>
      <c r="B340" s="1" t="n">
        <v>45896.44506944445</v>
      </c>
      <c r="C340" s="1" t="n">
        <v>46063</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17985-2025</t>
        </is>
      </c>
      <c r="B341" s="1" t="n">
        <v>45761</v>
      </c>
      <c r="C341" s="1" t="n">
        <v>46063</v>
      </c>
      <c r="D341" t="inlineStr">
        <is>
          <t>VÄSTMANLANDS LÄN</t>
        </is>
      </c>
      <c r="E341" t="inlineStr">
        <is>
          <t>SALA</t>
        </is>
      </c>
      <c r="G341" t="n">
        <v>12.5</v>
      </c>
      <c r="H341" t="n">
        <v>0</v>
      </c>
      <c r="I341" t="n">
        <v>0</v>
      </c>
      <c r="J341" t="n">
        <v>0</v>
      </c>
      <c r="K341" t="n">
        <v>0</v>
      </c>
      <c r="L341" t="n">
        <v>0</v>
      </c>
      <c r="M341" t="n">
        <v>0</v>
      </c>
      <c r="N341" t="n">
        <v>0</v>
      </c>
      <c r="O341" t="n">
        <v>0</v>
      </c>
      <c r="P341" t="n">
        <v>0</v>
      </c>
      <c r="Q341" t="n">
        <v>0</v>
      </c>
      <c r="R341" s="2" t="inlineStr"/>
    </row>
    <row r="342" ht="15" customHeight="1">
      <c r="A342" t="inlineStr">
        <is>
          <t>A 31869-2025</t>
        </is>
      </c>
      <c r="B342" s="1" t="n">
        <v>45834.64555555556</v>
      </c>
      <c r="C342" s="1" t="n">
        <v>46063</v>
      </c>
      <c r="D342" t="inlineStr">
        <is>
          <t>VÄSTMANLANDS LÄN</t>
        </is>
      </c>
      <c r="E342" t="inlineStr">
        <is>
          <t>SALA</t>
        </is>
      </c>
      <c r="G342" t="n">
        <v>17.5</v>
      </c>
      <c r="H342" t="n">
        <v>0</v>
      </c>
      <c r="I342" t="n">
        <v>0</v>
      </c>
      <c r="J342" t="n">
        <v>0</v>
      </c>
      <c r="K342" t="n">
        <v>0</v>
      </c>
      <c r="L342" t="n">
        <v>0</v>
      </c>
      <c r="M342" t="n">
        <v>0</v>
      </c>
      <c r="N342" t="n">
        <v>0</v>
      </c>
      <c r="O342" t="n">
        <v>0</v>
      </c>
      <c r="P342" t="n">
        <v>0</v>
      </c>
      <c r="Q342" t="n">
        <v>0</v>
      </c>
      <c r="R342" s="2" t="inlineStr"/>
    </row>
    <row r="343" ht="15" customHeight="1">
      <c r="A343" t="inlineStr">
        <is>
          <t>A 43129-2025</t>
        </is>
      </c>
      <c r="B343" s="1" t="n">
        <v>45909</v>
      </c>
      <c r="C343" s="1" t="n">
        <v>46063</v>
      </c>
      <c r="D343" t="inlineStr">
        <is>
          <t>VÄSTMANLANDS LÄN</t>
        </is>
      </c>
      <c r="E343" t="inlineStr">
        <is>
          <t>SALA</t>
        </is>
      </c>
      <c r="G343" t="n">
        <v>2.4</v>
      </c>
      <c r="H343" t="n">
        <v>0</v>
      </c>
      <c r="I343" t="n">
        <v>0</v>
      </c>
      <c r="J343" t="n">
        <v>0</v>
      </c>
      <c r="K343" t="n">
        <v>0</v>
      </c>
      <c r="L343" t="n">
        <v>0</v>
      </c>
      <c r="M343" t="n">
        <v>0</v>
      </c>
      <c r="N343" t="n">
        <v>0</v>
      </c>
      <c r="O343" t="n">
        <v>0</v>
      </c>
      <c r="P343" t="n">
        <v>0</v>
      </c>
      <c r="Q343" t="n">
        <v>0</v>
      </c>
      <c r="R343" s="2" t="inlineStr"/>
    </row>
    <row r="344" ht="15" customHeight="1">
      <c r="A344" t="inlineStr">
        <is>
          <t>A 43130-2025</t>
        </is>
      </c>
      <c r="B344" s="1" t="n">
        <v>45909</v>
      </c>
      <c r="C344" s="1" t="n">
        <v>46063</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60034-2024</t>
        </is>
      </c>
      <c r="B345" s="1" t="n">
        <v>45642.46261574074</v>
      </c>
      <c r="C345" s="1" t="n">
        <v>46063</v>
      </c>
      <c r="D345" t="inlineStr">
        <is>
          <t>VÄSTMANLANDS LÄN</t>
        </is>
      </c>
      <c r="E345" t="inlineStr">
        <is>
          <t>SALA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3810-2023</t>
        </is>
      </c>
      <c r="B346" s="1" t="n">
        <v>44951.60454861111</v>
      </c>
      <c r="C346" s="1" t="n">
        <v>46063</v>
      </c>
      <c r="D346" t="inlineStr">
        <is>
          <t>VÄSTMANLANDS LÄN</t>
        </is>
      </c>
      <c r="E346" t="inlineStr">
        <is>
          <t>SALA</t>
        </is>
      </c>
      <c r="G346" t="n">
        <v>4.2</v>
      </c>
      <c r="H346" t="n">
        <v>0</v>
      </c>
      <c r="I346" t="n">
        <v>0</v>
      </c>
      <c r="J346" t="n">
        <v>0</v>
      </c>
      <c r="K346" t="n">
        <v>0</v>
      </c>
      <c r="L346" t="n">
        <v>0</v>
      </c>
      <c r="M346" t="n">
        <v>0</v>
      </c>
      <c r="N346" t="n">
        <v>0</v>
      </c>
      <c r="O346" t="n">
        <v>0</v>
      </c>
      <c r="P346" t="n">
        <v>0</v>
      </c>
      <c r="Q346" t="n">
        <v>0</v>
      </c>
      <c r="R346" s="2" t="inlineStr"/>
    </row>
    <row r="347" ht="15" customHeight="1">
      <c r="A347" t="inlineStr">
        <is>
          <t>A 43128-2025</t>
        </is>
      </c>
      <c r="B347" s="1" t="n">
        <v>45909</v>
      </c>
      <c r="C347" s="1" t="n">
        <v>46063</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31863-2025</t>
        </is>
      </c>
      <c r="B348" s="1" t="n">
        <v>45834.63303240741</v>
      </c>
      <c r="C348" s="1" t="n">
        <v>46063</v>
      </c>
      <c r="D348" t="inlineStr">
        <is>
          <t>VÄSTMANLANDS LÄN</t>
        </is>
      </c>
      <c r="E348" t="inlineStr">
        <is>
          <t>SALA</t>
        </is>
      </c>
      <c r="G348" t="n">
        <v>2.5</v>
      </c>
      <c r="H348" t="n">
        <v>0</v>
      </c>
      <c r="I348" t="n">
        <v>0</v>
      </c>
      <c r="J348" t="n">
        <v>0</v>
      </c>
      <c r="K348" t="n">
        <v>0</v>
      </c>
      <c r="L348" t="n">
        <v>0</v>
      </c>
      <c r="M348" t="n">
        <v>0</v>
      </c>
      <c r="N348" t="n">
        <v>0</v>
      </c>
      <c r="O348" t="n">
        <v>0</v>
      </c>
      <c r="P348" t="n">
        <v>0</v>
      </c>
      <c r="Q348" t="n">
        <v>0</v>
      </c>
      <c r="R348" s="2" t="inlineStr"/>
    </row>
    <row r="349" ht="15" customHeight="1">
      <c r="A349" t="inlineStr">
        <is>
          <t>A 43127-2025</t>
        </is>
      </c>
      <c r="B349" s="1" t="n">
        <v>45909</v>
      </c>
      <c r="C349" s="1" t="n">
        <v>46063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17766-2025</t>
        </is>
      </c>
      <c r="B350" s="1" t="n">
        <v>45758</v>
      </c>
      <c r="C350" s="1" t="n">
        <v>46063</v>
      </c>
      <c r="D350" t="inlineStr">
        <is>
          <t>VÄSTMANLANDS LÄN</t>
        </is>
      </c>
      <c r="E350" t="inlineStr">
        <is>
          <t>SALA</t>
        </is>
      </c>
      <c r="G350" t="n">
        <v>16.5</v>
      </c>
      <c r="H350" t="n">
        <v>0</v>
      </c>
      <c r="I350" t="n">
        <v>0</v>
      </c>
      <c r="J350" t="n">
        <v>0</v>
      </c>
      <c r="K350" t="n">
        <v>0</v>
      </c>
      <c r="L350" t="n">
        <v>0</v>
      </c>
      <c r="M350" t="n">
        <v>0</v>
      </c>
      <c r="N350" t="n">
        <v>0</v>
      </c>
      <c r="O350" t="n">
        <v>0</v>
      </c>
      <c r="P350" t="n">
        <v>0</v>
      </c>
      <c r="Q350" t="n">
        <v>0</v>
      </c>
      <c r="R350" s="2" t="inlineStr"/>
    </row>
    <row r="351" ht="15" customHeight="1">
      <c r="A351" t="inlineStr">
        <is>
          <t>A 7664-2023</t>
        </is>
      </c>
      <c r="B351" s="1" t="n">
        <v>44972</v>
      </c>
      <c r="C351" s="1" t="n">
        <v>46063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3546-2025</t>
        </is>
      </c>
      <c r="B352" s="1" t="n">
        <v>45680</v>
      </c>
      <c r="C352" s="1" t="n">
        <v>46063</v>
      </c>
      <c r="D352" t="inlineStr">
        <is>
          <t>VÄSTMANLANDS LÄN</t>
        </is>
      </c>
      <c r="E352" t="inlineStr">
        <is>
          <t>SALA</t>
        </is>
      </c>
      <c r="G352" t="n">
        <v>0.4</v>
      </c>
      <c r="H352" t="n">
        <v>0</v>
      </c>
      <c r="I352" t="n">
        <v>0</v>
      </c>
      <c r="J352" t="n">
        <v>0</v>
      </c>
      <c r="K352" t="n">
        <v>0</v>
      </c>
      <c r="L352" t="n">
        <v>0</v>
      </c>
      <c r="M352" t="n">
        <v>0</v>
      </c>
      <c r="N352" t="n">
        <v>0</v>
      </c>
      <c r="O352" t="n">
        <v>0</v>
      </c>
      <c r="P352" t="n">
        <v>0</v>
      </c>
      <c r="Q352" t="n">
        <v>0</v>
      </c>
      <c r="R352" s="2" t="inlineStr"/>
    </row>
    <row r="353" ht="15" customHeight="1">
      <c r="A353" t="inlineStr">
        <is>
          <t>A 52503-2024</t>
        </is>
      </c>
      <c r="B353" s="1" t="n">
        <v>45609.58806712963</v>
      </c>
      <c r="C353" s="1" t="n">
        <v>46063</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2521-2025</t>
        </is>
      </c>
      <c r="B354" s="1" t="n">
        <v>45674</v>
      </c>
      <c r="C354" s="1" t="n">
        <v>46063</v>
      </c>
      <c r="D354" t="inlineStr">
        <is>
          <t>VÄSTMANLANDS LÄN</t>
        </is>
      </c>
      <c r="E354" t="inlineStr">
        <is>
          <t>SALA</t>
        </is>
      </c>
      <c r="G354" t="n">
        <v>3.5</v>
      </c>
      <c r="H354" t="n">
        <v>0</v>
      </c>
      <c r="I354" t="n">
        <v>0</v>
      </c>
      <c r="J354" t="n">
        <v>0</v>
      </c>
      <c r="K354" t="n">
        <v>0</v>
      </c>
      <c r="L354" t="n">
        <v>0</v>
      </c>
      <c r="M354" t="n">
        <v>0</v>
      </c>
      <c r="N354" t="n">
        <v>0</v>
      </c>
      <c r="O354" t="n">
        <v>0</v>
      </c>
      <c r="P354" t="n">
        <v>0</v>
      </c>
      <c r="Q354" t="n">
        <v>0</v>
      </c>
      <c r="R354" s="2" t="inlineStr"/>
    </row>
    <row r="355" ht="15" customHeight="1">
      <c r="A355" t="inlineStr">
        <is>
          <t>A 31000-2022</t>
        </is>
      </c>
      <c r="B355" s="1" t="n">
        <v>44768</v>
      </c>
      <c r="C355" s="1" t="n">
        <v>46063</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44100-2025</t>
        </is>
      </c>
      <c r="B356" s="1" t="n">
        <v>45915.56707175926</v>
      </c>
      <c r="C356" s="1" t="n">
        <v>46063</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37017-2025</t>
        </is>
      </c>
      <c r="B357" s="1" t="n">
        <v>45874</v>
      </c>
      <c r="C357" s="1" t="n">
        <v>46063</v>
      </c>
      <c r="D357" t="inlineStr">
        <is>
          <t>VÄSTMANLANDS LÄN</t>
        </is>
      </c>
      <c r="E357" t="inlineStr">
        <is>
          <t>SALA</t>
        </is>
      </c>
      <c r="G357" t="n">
        <v>11.1</v>
      </c>
      <c r="H357" t="n">
        <v>0</v>
      </c>
      <c r="I357" t="n">
        <v>0</v>
      </c>
      <c r="J357" t="n">
        <v>0</v>
      </c>
      <c r="K357" t="n">
        <v>0</v>
      </c>
      <c r="L357" t="n">
        <v>0</v>
      </c>
      <c r="M357" t="n">
        <v>0</v>
      </c>
      <c r="N357" t="n">
        <v>0</v>
      </c>
      <c r="O357" t="n">
        <v>0</v>
      </c>
      <c r="P357" t="n">
        <v>0</v>
      </c>
      <c r="Q357" t="n">
        <v>0</v>
      </c>
      <c r="R357" s="2" t="inlineStr"/>
    </row>
    <row r="358" ht="15" customHeight="1">
      <c r="A358" t="inlineStr">
        <is>
          <t>A 44486-2025</t>
        </is>
      </c>
      <c r="B358" s="1" t="n">
        <v>45916.65517361111</v>
      </c>
      <c r="C358" s="1" t="n">
        <v>46063</v>
      </c>
      <c r="D358" t="inlineStr">
        <is>
          <t>VÄSTMANLANDS LÄN</t>
        </is>
      </c>
      <c r="E358" t="inlineStr">
        <is>
          <t>SALA</t>
        </is>
      </c>
      <c r="G358" t="n">
        <v>1.7</v>
      </c>
      <c r="H358" t="n">
        <v>0</v>
      </c>
      <c r="I358" t="n">
        <v>0</v>
      </c>
      <c r="J358" t="n">
        <v>0</v>
      </c>
      <c r="K358" t="n">
        <v>0</v>
      </c>
      <c r="L358" t="n">
        <v>0</v>
      </c>
      <c r="M358" t="n">
        <v>0</v>
      </c>
      <c r="N358" t="n">
        <v>0</v>
      </c>
      <c r="O358" t="n">
        <v>0</v>
      </c>
      <c r="P358" t="n">
        <v>0</v>
      </c>
      <c r="Q358" t="n">
        <v>0</v>
      </c>
      <c r="R358" s="2" t="inlineStr"/>
    </row>
    <row r="359" ht="15" customHeight="1">
      <c r="A359" t="inlineStr">
        <is>
          <t>A 44524-2025</t>
        </is>
      </c>
      <c r="B359" s="1" t="n">
        <v>45916.72920138889</v>
      </c>
      <c r="C359" s="1" t="n">
        <v>46063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37103-2025</t>
        </is>
      </c>
      <c r="B360" s="1" t="n">
        <v>45875.47743055555</v>
      </c>
      <c r="C360" s="1" t="n">
        <v>46063</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37246-2025</t>
        </is>
      </c>
      <c r="B361" s="1" t="n">
        <v>45876.39435185185</v>
      </c>
      <c r="C361" s="1" t="n">
        <v>46063</v>
      </c>
      <c r="D361" t="inlineStr">
        <is>
          <t>VÄSTMANLANDS LÄN</t>
        </is>
      </c>
      <c r="E361" t="inlineStr">
        <is>
          <t>SALA</t>
        </is>
      </c>
      <c r="G361" t="n">
        <v>2.3</v>
      </c>
      <c r="H361" t="n">
        <v>0</v>
      </c>
      <c r="I361" t="n">
        <v>0</v>
      </c>
      <c r="J361" t="n">
        <v>0</v>
      </c>
      <c r="K361" t="n">
        <v>0</v>
      </c>
      <c r="L361" t="n">
        <v>0</v>
      </c>
      <c r="M361" t="n">
        <v>0</v>
      </c>
      <c r="N361" t="n">
        <v>0</v>
      </c>
      <c r="O361" t="n">
        <v>0</v>
      </c>
      <c r="P361" t="n">
        <v>0</v>
      </c>
      <c r="Q361" t="n">
        <v>0</v>
      </c>
      <c r="R361" s="2" t="inlineStr"/>
    </row>
    <row r="362" ht="15" customHeight="1">
      <c r="A362" t="inlineStr">
        <is>
          <t>A 31950-2023</t>
        </is>
      </c>
      <c r="B362" s="1" t="n">
        <v>45107</v>
      </c>
      <c r="C362" s="1" t="n">
        <v>46063</v>
      </c>
      <c r="D362" t="inlineStr">
        <is>
          <t>VÄSTMANLANDS LÄN</t>
        </is>
      </c>
      <c r="E362" t="inlineStr">
        <is>
          <t>SALA</t>
        </is>
      </c>
      <c r="G362" t="n">
        <v>0.1</v>
      </c>
      <c r="H362" t="n">
        <v>0</v>
      </c>
      <c r="I362" t="n">
        <v>0</v>
      </c>
      <c r="J362" t="n">
        <v>0</v>
      </c>
      <c r="K362" t="n">
        <v>0</v>
      </c>
      <c r="L362" t="n">
        <v>0</v>
      </c>
      <c r="M362" t="n">
        <v>0</v>
      </c>
      <c r="N362" t="n">
        <v>0</v>
      </c>
      <c r="O362" t="n">
        <v>0</v>
      </c>
      <c r="P362" t="n">
        <v>0</v>
      </c>
      <c r="Q362" t="n">
        <v>0</v>
      </c>
      <c r="R362" s="2" t="inlineStr"/>
    </row>
    <row r="363" ht="15" customHeight="1">
      <c r="A363" t="inlineStr">
        <is>
          <t>A 43122-2025</t>
        </is>
      </c>
      <c r="B363" s="1" t="n">
        <v>45909</v>
      </c>
      <c r="C363" s="1" t="n">
        <v>46063</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16693-2023</t>
        </is>
      </c>
      <c r="B364" s="1" t="n">
        <v>45028</v>
      </c>
      <c r="C364" s="1" t="n">
        <v>46063</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23182-2022</t>
        </is>
      </c>
      <c r="B365" s="1" t="n">
        <v>44719.79707175926</v>
      </c>
      <c r="C365" s="1" t="n">
        <v>46063</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37590-2025</t>
        </is>
      </c>
      <c r="B366" s="1" t="n">
        <v>45880.41138888889</v>
      </c>
      <c r="C366" s="1" t="n">
        <v>46063</v>
      </c>
      <c r="D366" t="inlineStr">
        <is>
          <t>VÄSTMANLANDS LÄN</t>
        </is>
      </c>
      <c r="E366" t="inlineStr">
        <is>
          <t>SALA</t>
        </is>
      </c>
      <c r="G366" t="n">
        <v>2.2</v>
      </c>
      <c r="H366" t="n">
        <v>0</v>
      </c>
      <c r="I366" t="n">
        <v>0</v>
      </c>
      <c r="J366" t="n">
        <v>0</v>
      </c>
      <c r="K366" t="n">
        <v>0</v>
      </c>
      <c r="L366" t="n">
        <v>0</v>
      </c>
      <c r="M366" t="n">
        <v>0</v>
      </c>
      <c r="N366" t="n">
        <v>0</v>
      </c>
      <c r="O366" t="n">
        <v>0</v>
      </c>
      <c r="P366" t="n">
        <v>0</v>
      </c>
      <c r="Q366" t="n">
        <v>0</v>
      </c>
      <c r="R366" s="2" t="inlineStr"/>
    </row>
    <row r="367" ht="15" customHeight="1">
      <c r="A367" t="inlineStr">
        <is>
          <t>A 37593-2025</t>
        </is>
      </c>
      <c r="B367" s="1" t="n">
        <v>45880.41325231481</v>
      </c>
      <c r="C367" s="1" t="n">
        <v>46063</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57371-2022</t>
        </is>
      </c>
      <c r="B368" s="1" t="n">
        <v>44896.43832175926</v>
      </c>
      <c r="C368" s="1" t="n">
        <v>46063</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43359-2024</t>
        </is>
      </c>
      <c r="B369" s="1" t="n">
        <v>45568.57724537037</v>
      </c>
      <c r="C369" s="1" t="n">
        <v>46063</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29972-2025</t>
        </is>
      </c>
      <c r="B370" s="1" t="n">
        <v>45826</v>
      </c>
      <c r="C370" s="1" t="n">
        <v>46063</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45371-2025</t>
        </is>
      </c>
      <c r="B371" s="1" t="n">
        <v>45922.39001157408</v>
      </c>
      <c r="C371" s="1" t="n">
        <v>46063</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45177-2025</t>
        </is>
      </c>
      <c r="B372" s="1" t="n">
        <v>45919.52444444445</v>
      </c>
      <c r="C372" s="1" t="n">
        <v>46063</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56548-2024</t>
        </is>
      </c>
      <c r="B373" s="1" t="n">
        <v>45625</v>
      </c>
      <c r="C373" s="1" t="n">
        <v>46063</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47086-2022</t>
        </is>
      </c>
      <c r="B374" s="1" t="n">
        <v>44852</v>
      </c>
      <c r="C374" s="1" t="n">
        <v>46063</v>
      </c>
      <c r="D374" t="inlineStr">
        <is>
          <t>VÄSTMANLANDS LÄN</t>
        </is>
      </c>
      <c r="E374" t="inlineStr">
        <is>
          <t>SALA</t>
        </is>
      </c>
      <c r="G374" t="n">
        <v>12.5</v>
      </c>
      <c r="H374" t="n">
        <v>0</v>
      </c>
      <c r="I374" t="n">
        <v>0</v>
      </c>
      <c r="J374" t="n">
        <v>0</v>
      </c>
      <c r="K374" t="n">
        <v>0</v>
      </c>
      <c r="L374" t="n">
        <v>0</v>
      </c>
      <c r="M374" t="n">
        <v>0</v>
      </c>
      <c r="N374" t="n">
        <v>0</v>
      </c>
      <c r="O374" t="n">
        <v>0</v>
      </c>
      <c r="P374" t="n">
        <v>0</v>
      </c>
      <c r="Q374" t="n">
        <v>0</v>
      </c>
      <c r="R374" s="2" t="inlineStr"/>
    </row>
    <row r="375" ht="15" customHeight="1">
      <c r="A375" t="inlineStr">
        <is>
          <t>A 45914-2025</t>
        </is>
      </c>
      <c r="B375" s="1" t="n">
        <v>45923.82582175926</v>
      </c>
      <c r="C375" s="1" t="n">
        <v>46063</v>
      </c>
      <c r="D375" t="inlineStr">
        <is>
          <t>VÄSTMANLANDS LÄN</t>
        </is>
      </c>
      <c r="E375" t="inlineStr">
        <is>
          <t>SALA</t>
        </is>
      </c>
      <c r="F375" t="inlineStr">
        <is>
          <t>Kommuner</t>
        </is>
      </c>
      <c r="G375" t="n">
        <v>18.2</v>
      </c>
      <c r="H375" t="n">
        <v>0</v>
      </c>
      <c r="I375" t="n">
        <v>0</v>
      </c>
      <c r="J375" t="n">
        <v>0</v>
      </c>
      <c r="K375" t="n">
        <v>0</v>
      </c>
      <c r="L375" t="n">
        <v>0</v>
      </c>
      <c r="M375" t="n">
        <v>0</v>
      </c>
      <c r="N375" t="n">
        <v>0</v>
      </c>
      <c r="O375" t="n">
        <v>0</v>
      </c>
      <c r="P375" t="n">
        <v>0</v>
      </c>
      <c r="Q375" t="n">
        <v>0</v>
      </c>
      <c r="R375" s="2" t="inlineStr"/>
    </row>
    <row r="376" ht="15" customHeight="1">
      <c r="A376" t="inlineStr">
        <is>
          <t>A 45909-2025</t>
        </is>
      </c>
      <c r="B376" s="1" t="n">
        <v>45923.75078703704</v>
      </c>
      <c r="C376" s="1" t="n">
        <v>46063</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46597-2025</t>
        </is>
      </c>
      <c r="B377" s="1" t="n">
        <v>45926.40113425926</v>
      </c>
      <c r="C377" s="1" t="n">
        <v>46063</v>
      </c>
      <c r="D377" t="inlineStr">
        <is>
          <t>VÄSTMANLANDS LÄN</t>
        </is>
      </c>
      <c r="E377" t="inlineStr">
        <is>
          <t>SALA</t>
        </is>
      </c>
      <c r="G377" t="n">
        <v>3.4</v>
      </c>
      <c r="H377" t="n">
        <v>0</v>
      </c>
      <c r="I377" t="n">
        <v>0</v>
      </c>
      <c r="J377" t="n">
        <v>0</v>
      </c>
      <c r="K377" t="n">
        <v>0</v>
      </c>
      <c r="L377" t="n">
        <v>0</v>
      </c>
      <c r="M377" t="n">
        <v>0</v>
      </c>
      <c r="N377" t="n">
        <v>0</v>
      </c>
      <c r="O377" t="n">
        <v>0</v>
      </c>
      <c r="P377" t="n">
        <v>0</v>
      </c>
      <c r="Q377" t="n">
        <v>0</v>
      </c>
      <c r="R377" s="2" t="inlineStr"/>
    </row>
    <row r="378" ht="15" customHeight="1">
      <c r="A378" t="inlineStr">
        <is>
          <t>A 988-2025</t>
        </is>
      </c>
      <c r="B378" s="1" t="n">
        <v>45666.44038194444</v>
      </c>
      <c r="C378" s="1" t="n">
        <v>46063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5032-2025</t>
        </is>
      </c>
      <c r="B379" s="1" t="n">
        <v>45691</v>
      </c>
      <c r="C379" s="1" t="n">
        <v>46063</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46063</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11696-2025</t>
        </is>
      </c>
      <c r="B381" s="1" t="n">
        <v>45727</v>
      </c>
      <c r="C381" s="1" t="n">
        <v>46063</v>
      </c>
      <c r="D381" t="inlineStr">
        <is>
          <t>VÄSTMANLANDS LÄN</t>
        </is>
      </c>
      <c r="E381" t="inlineStr">
        <is>
          <t>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46661-2025</t>
        </is>
      </c>
      <c r="B382" s="1" t="n">
        <v>45926</v>
      </c>
      <c r="C382" s="1" t="n">
        <v>46063</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43509-2021</t>
        </is>
      </c>
      <c r="B383" s="1" t="n">
        <v>44433</v>
      </c>
      <c r="C383" s="1" t="n">
        <v>46063</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46915-2025</t>
        </is>
      </c>
      <c r="B384" s="1" t="n">
        <v>45929.42114583333</v>
      </c>
      <c r="C384" s="1" t="n">
        <v>46063</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13746-2025</t>
        </is>
      </c>
      <c r="B385" s="1" t="n">
        <v>45737.40944444444</v>
      </c>
      <c r="C385" s="1" t="n">
        <v>46063</v>
      </c>
      <c r="D385" t="inlineStr">
        <is>
          <t>VÄSTMANLANDS LÄN</t>
        </is>
      </c>
      <c r="E385" t="inlineStr">
        <is>
          <t>SALA</t>
        </is>
      </c>
      <c r="G385" t="n">
        <v>2.1</v>
      </c>
      <c r="H385" t="n">
        <v>0</v>
      </c>
      <c r="I385" t="n">
        <v>0</v>
      </c>
      <c r="J385" t="n">
        <v>0</v>
      </c>
      <c r="K385" t="n">
        <v>0</v>
      </c>
      <c r="L385" t="n">
        <v>0</v>
      </c>
      <c r="M385" t="n">
        <v>0</v>
      </c>
      <c r="N385" t="n">
        <v>0</v>
      </c>
      <c r="O385" t="n">
        <v>0</v>
      </c>
      <c r="P385" t="n">
        <v>0</v>
      </c>
      <c r="Q385" t="n">
        <v>0</v>
      </c>
      <c r="R385" s="2" t="inlineStr"/>
    </row>
    <row r="386" ht="15" customHeight="1">
      <c r="A386" t="inlineStr">
        <is>
          <t>A 73673-2021</t>
        </is>
      </c>
      <c r="B386" s="1" t="n">
        <v>44552.46501157407</v>
      </c>
      <c r="C386" s="1" t="n">
        <v>46063</v>
      </c>
      <c r="D386" t="inlineStr">
        <is>
          <t>VÄSTMANLANDS LÄN</t>
        </is>
      </c>
      <c r="E386" t="inlineStr">
        <is>
          <t>SALA</t>
        </is>
      </c>
      <c r="G386" t="n">
        <v>11.4</v>
      </c>
      <c r="H386" t="n">
        <v>0</v>
      </c>
      <c r="I386" t="n">
        <v>0</v>
      </c>
      <c r="J386" t="n">
        <v>0</v>
      </c>
      <c r="K386" t="n">
        <v>0</v>
      </c>
      <c r="L386" t="n">
        <v>0</v>
      </c>
      <c r="M386" t="n">
        <v>0</v>
      </c>
      <c r="N386" t="n">
        <v>0</v>
      </c>
      <c r="O386" t="n">
        <v>0</v>
      </c>
      <c r="P386" t="n">
        <v>0</v>
      </c>
      <c r="Q386" t="n">
        <v>0</v>
      </c>
      <c r="R386" s="2" t="inlineStr"/>
    </row>
    <row r="387" ht="15" customHeight="1">
      <c r="A387" t="inlineStr">
        <is>
          <t>A 25897-2024</t>
        </is>
      </c>
      <c r="B387" s="1" t="n">
        <v>45467.54435185185</v>
      </c>
      <c r="C387" s="1" t="n">
        <v>46063</v>
      </c>
      <c r="D387" t="inlineStr">
        <is>
          <t>VÄSTMANLANDS LÄN</t>
        </is>
      </c>
      <c r="E387" t="inlineStr">
        <is>
          <t>SALA</t>
        </is>
      </c>
      <c r="G387" t="n">
        <v>9.9</v>
      </c>
      <c r="H387" t="n">
        <v>0</v>
      </c>
      <c r="I387" t="n">
        <v>0</v>
      </c>
      <c r="J387" t="n">
        <v>0</v>
      </c>
      <c r="K387" t="n">
        <v>0</v>
      </c>
      <c r="L387" t="n">
        <v>0</v>
      </c>
      <c r="M387" t="n">
        <v>0</v>
      </c>
      <c r="N387" t="n">
        <v>0</v>
      </c>
      <c r="O387" t="n">
        <v>0</v>
      </c>
      <c r="P387" t="n">
        <v>0</v>
      </c>
      <c r="Q387" t="n">
        <v>0</v>
      </c>
      <c r="R387" s="2" t="inlineStr"/>
    </row>
    <row r="388" ht="15" customHeight="1">
      <c r="A388" t="inlineStr">
        <is>
          <t>A 38574-2025</t>
        </is>
      </c>
      <c r="B388" s="1" t="n">
        <v>45884.46390046296</v>
      </c>
      <c r="C388" s="1" t="n">
        <v>46063</v>
      </c>
      <c r="D388" t="inlineStr">
        <is>
          <t>VÄSTMANLANDS LÄN</t>
        </is>
      </c>
      <c r="E388" t="inlineStr">
        <is>
          <t>SALA</t>
        </is>
      </c>
      <c r="G388" t="n">
        <v>2.1</v>
      </c>
      <c r="H388" t="n">
        <v>0</v>
      </c>
      <c r="I388" t="n">
        <v>0</v>
      </c>
      <c r="J388" t="n">
        <v>0</v>
      </c>
      <c r="K388" t="n">
        <v>0</v>
      </c>
      <c r="L388" t="n">
        <v>0</v>
      </c>
      <c r="M388" t="n">
        <v>0</v>
      </c>
      <c r="N388" t="n">
        <v>0</v>
      </c>
      <c r="O388" t="n">
        <v>0</v>
      </c>
      <c r="P388" t="n">
        <v>0</v>
      </c>
      <c r="Q388" t="n">
        <v>0</v>
      </c>
      <c r="R388" s="2" t="inlineStr"/>
    </row>
    <row r="389" ht="15" customHeight="1">
      <c r="A389" t="inlineStr">
        <is>
          <t>A 16651-2021</t>
        </is>
      </c>
      <c r="B389" s="1" t="n">
        <v>44294.50096064815</v>
      </c>
      <c r="C389" s="1" t="n">
        <v>46063</v>
      </c>
      <c r="D389" t="inlineStr">
        <is>
          <t>VÄSTMANLANDS LÄN</t>
        </is>
      </c>
      <c r="E389" t="inlineStr">
        <is>
          <t>SALA</t>
        </is>
      </c>
      <c r="G389" t="n">
        <v>7.7</v>
      </c>
      <c r="H389" t="n">
        <v>0</v>
      </c>
      <c r="I389" t="n">
        <v>0</v>
      </c>
      <c r="J389" t="n">
        <v>0</v>
      </c>
      <c r="K389" t="n">
        <v>0</v>
      </c>
      <c r="L389" t="n">
        <v>0</v>
      </c>
      <c r="M389" t="n">
        <v>0</v>
      </c>
      <c r="N389" t="n">
        <v>0</v>
      </c>
      <c r="O389" t="n">
        <v>0</v>
      </c>
      <c r="P389" t="n">
        <v>0</v>
      </c>
      <c r="Q389" t="n">
        <v>0</v>
      </c>
      <c r="R389" s="2" t="inlineStr"/>
    </row>
    <row r="390" ht="15" customHeight="1">
      <c r="A390" t="inlineStr">
        <is>
          <t>A 23222-2023</t>
        </is>
      </c>
      <c r="B390" s="1" t="n">
        <v>45075</v>
      </c>
      <c r="C390" s="1" t="n">
        <v>46063</v>
      </c>
      <c r="D390" t="inlineStr">
        <is>
          <t>VÄSTMANLANDS LÄN</t>
        </is>
      </c>
      <c r="E390" t="inlineStr">
        <is>
          <t>SALA</t>
        </is>
      </c>
      <c r="G390" t="n">
        <v>0.8</v>
      </c>
      <c r="H390" t="n">
        <v>0</v>
      </c>
      <c r="I390" t="n">
        <v>0</v>
      </c>
      <c r="J390" t="n">
        <v>0</v>
      </c>
      <c r="K390" t="n">
        <v>0</v>
      </c>
      <c r="L390" t="n">
        <v>0</v>
      </c>
      <c r="M390" t="n">
        <v>0</v>
      </c>
      <c r="N390" t="n">
        <v>0</v>
      </c>
      <c r="O390" t="n">
        <v>0</v>
      </c>
      <c r="P390" t="n">
        <v>0</v>
      </c>
      <c r="Q390" t="n">
        <v>0</v>
      </c>
      <c r="R390" s="2" t="inlineStr"/>
    </row>
    <row r="391" ht="15" customHeight="1">
      <c r="A391" t="inlineStr">
        <is>
          <t>A 23224-2023</t>
        </is>
      </c>
      <c r="B391" s="1" t="n">
        <v>45075.65040509259</v>
      </c>
      <c r="C391" s="1" t="n">
        <v>46063</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48057-2025</t>
        </is>
      </c>
      <c r="B392" s="1" t="n">
        <v>45932.67947916667</v>
      </c>
      <c r="C392" s="1" t="n">
        <v>46063</v>
      </c>
      <c r="D392" t="inlineStr">
        <is>
          <t>VÄSTMANLANDS LÄN</t>
        </is>
      </c>
      <c r="E392" t="inlineStr">
        <is>
          <t>SALA</t>
        </is>
      </c>
      <c r="G392" t="n">
        <v>4.3</v>
      </c>
      <c r="H392" t="n">
        <v>0</v>
      </c>
      <c r="I392" t="n">
        <v>0</v>
      </c>
      <c r="J392" t="n">
        <v>0</v>
      </c>
      <c r="K392" t="n">
        <v>0</v>
      </c>
      <c r="L392" t="n">
        <v>0</v>
      </c>
      <c r="M392" t="n">
        <v>0</v>
      </c>
      <c r="N392" t="n">
        <v>0</v>
      </c>
      <c r="O392" t="n">
        <v>0</v>
      </c>
      <c r="P392" t="n">
        <v>0</v>
      </c>
      <c r="Q392" t="n">
        <v>0</v>
      </c>
      <c r="R392" s="2" t="inlineStr"/>
    </row>
    <row r="393" ht="15" customHeight="1">
      <c r="A393" t="inlineStr">
        <is>
          <t>A 38294-2025</t>
        </is>
      </c>
      <c r="B393" s="1" t="n">
        <v>45883.44854166666</v>
      </c>
      <c r="C393" s="1" t="n">
        <v>46063</v>
      </c>
      <c r="D393" t="inlineStr">
        <is>
          <t>VÄSTMANLANDS LÄN</t>
        </is>
      </c>
      <c r="E393" t="inlineStr">
        <is>
          <t>SALA</t>
        </is>
      </c>
      <c r="G393" t="n">
        <v>1.5</v>
      </c>
      <c r="H393" t="n">
        <v>0</v>
      </c>
      <c r="I393" t="n">
        <v>0</v>
      </c>
      <c r="J393" t="n">
        <v>0</v>
      </c>
      <c r="K393" t="n">
        <v>0</v>
      </c>
      <c r="L393" t="n">
        <v>0</v>
      </c>
      <c r="M393" t="n">
        <v>0</v>
      </c>
      <c r="N393" t="n">
        <v>0</v>
      </c>
      <c r="O393" t="n">
        <v>0</v>
      </c>
      <c r="P393" t="n">
        <v>0</v>
      </c>
      <c r="Q393" t="n">
        <v>0</v>
      </c>
      <c r="R393" s="2" t="inlineStr"/>
    </row>
    <row r="394" ht="15" customHeight="1">
      <c r="A394" t="inlineStr">
        <is>
          <t>A 50479-2022</t>
        </is>
      </c>
      <c r="B394" s="1" t="n">
        <v>44861</v>
      </c>
      <c r="C394" s="1" t="n">
        <v>46063</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47577-2025</t>
        </is>
      </c>
      <c r="B395" s="1" t="n">
        <v>45931.4047337963</v>
      </c>
      <c r="C395" s="1" t="n">
        <v>46063</v>
      </c>
      <c r="D395" t="inlineStr">
        <is>
          <t>VÄSTMANLANDS LÄN</t>
        </is>
      </c>
      <c r="E395" t="inlineStr">
        <is>
          <t>SALA</t>
        </is>
      </c>
      <c r="G395" t="n">
        <v>3.7</v>
      </c>
      <c r="H395" t="n">
        <v>0</v>
      </c>
      <c r="I395" t="n">
        <v>0</v>
      </c>
      <c r="J395" t="n">
        <v>0</v>
      </c>
      <c r="K395" t="n">
        <v>0</v>
      </c>
      <c r="L395" t="n">
        <v>0</v>
      </c>
      <c r="M395" t="n">
        <v>0</v>
      </c>
      <c r="N395" t="n">
        <v>0</v>
      </c>
      <c r="O395" t="n">
        <v>0</v>
      </c>
      <c r="P395" t="n">
        <v>0</v>
      </c>
      <c r="Q395" t="n">
        <v>0</v>
      </c>
      <c r="R395" s="2" t="inlineStr"/>
    </row>
    <row r="396" ht="15" customHeight="1">
      <c r="A396" t="inlineStr">
        <is>
          <t>A 14919-2025</t>
        </is>
      </c>
      <c r="B396" s="1" t="n">
        <v>45743.54256944444</v>
      </c>
      <c r="C396" s="1" t="n">
        <v>46063</v>
      </c>
      <c r="D396" t="inlineStr">
        <is>
          <t>VÄSTMANLANDS LÄN</t>
        </is>
      </c>
      <c r="E396" t="inlineStr">
        <is>
          <t>SALA</t>
        </is>
      </c>
      <c r="G396" t="n">
        <v>0.6</v>
      </c>
      <c r="H396" t="n">
        <v>0</v>
      </c>
      <c r="I396" t="n">
        <v>0</v>
      </c>
      <c r="J396" t="n">
        <v>0</v>
      </c>
      <c r="K396" t="n">
        <v>0</v>
      </c>
      <c r="L396" t="n">
        <v>0</v>
      </c>
      <c r="M396" t="n">
        <v>0</v>
      </c>
      <c r="N396" t="n">
        <v>0</v>
      </c>
      <c r="O396" t="n">
        <v>0</v>
      </c>
      <c r="P396" t="n">
        <v>0</v>
      </c>
      <c r="Q396" t="n">
        <v>0</v>
      </c>
      <c r="R396" s="2" t="inlineStr"/>
    </row>
    <row r="397" ht="15" customHeight="1">
      <c r="A397" t="inlineStr">
        <is>
          <t>A 14920-2025</t>
        </is>
      </c>
      <c r="B397" s="1" t="n">
        <v>45743</v>
      </c>
      <c r="C397" s="1" t="n">
        <v>46063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48710-2025</t>
        </is>
      </c>
      <c r="B398" s="1" t="n">
        <v>45936.63184027778</v>
      </c>
      <c r="C398" s="1" t="n">
        <v>46063</v>
      </c>
      <c r="D398" t="inlineStr">
        <is>
          <t>VÄSTMANLANDS LÄN</t>
        </is>
      </c>
      <c r="E398" t="inlineStr">
        <is>
          <t>SALA</t>
        </is>
      </c>
      <c r="G398" t="n">
        <v>2.7</v>
      </c>
      <c r="H398" t="n">
        <v>0</v>
      </c>
      <c r="I398" t="n">
        <v>0</v>
      </c>
      <c r="J398" t="n">
        <v>0</v>
      </c>
      <c r="K398" t="n">
        <v>0</v>
      </c>
      <c r="L398" t="n">
        <v>0</v>
      </c>
      <c r="M398" t="n">
        <v>0</v>
      </c>
      <c r="N398" t="n">
        <v>0</v>
      </c>
      <c r="O398" t="n">
        <v>0</v>
      </c>
      <c r="P398" t="n">
        <v>0</v>
      </c>
      <c r="Q398" t="n">
        <v>0</v>
      </c>
      <c r="R398" s="2" t="inlineStr"/>
    </row>
    <row r="399" ht="15" customHeight="1">
      <c r="A399" t="inlineStr">
        <is>
          <t>A 13855-2023</t>
        </is>
      </c>
      <c r="B399" s="1" t="n">
        <v>45007</v>
      </c>
      <c r="C399" s="1" t="n">
        <v>46063</v>
      </c>
      <c r="D399" t="inlineStr">
        <is>
          <t>VÄSTMANLANDS LÄN</t>
        </is>
      </c>
      <c r="E399" t="inlineStr">
        <is>
          <t>SALA</t>
        </is>
      </c>
      <c r="G399" t="n">
        <v>2.9</v>
      </c>
      <c r="H399" t="n">
        <v>0</v>
      </c>
      <c r="I399" t="n">
        <v>0</v>
      </c>
      <c r="J399" t="n">
        <v>0</v>
      </c>
      <c r="K399" t="n">
        <v>0</v>
      </c>
      <c r="L399" t="n">
        <v>0</v>
      </c>
      <c r="M399" t="n">
        <v>0</v>
      </c>
      <c r="N399" t="n">
        <v>0</v>
      </c>
      <c r="O399" t="n">
        <v>0</v>
      </c>
      <c r="P399" t="n">
        <v>0</v>
      </c>
      <c r="Q399" t="n">
        <v>0</v>
      </c>
      <c r="R399" s="2" t="inlineStr"/>
    </row>
    <row r="400" ht="15" customHeight="1">
      <c r="A400" t="inlineStr">
        <is>
          <t>A 18877-2023</t>
        </is>
      </c>
      <c r="B400" s="1" t="n">
        <v>45044</v>
      </c>
      <c r="C400" s="1" t="n">
        <v>46063</v>
      </c>
      <c r="D400" t="inlineStr">
        <is>
          <t>VÄSTMANLANDS LÄN</t>
        </is>
      </c>
      <c r="E400" t="inlineStr">
        <is>
          <t>SALA</t>
        </is>
      </c>
      <c r="F400" t="inlineStr">
        <is>
          <t>Kommuner</t>
        </is>
      </c>
      <c r="G400" t="n">
        <v>4.4</v>
      </c>
      <c r="H400" t="n">
        <v>0</v>
      </c>
      <c r="I400" t="n">
        <v>0</v>
      </c>
      <c r="J400" t="n">
        <v>0</v>
      </c>
      <c r="K400" t="n">
        <v>0</v>
      </c>
      <c r="L400" t="n">
        <v>0</v>
      </c>
      <c r="M400" t="n">
        <v>0</v>
      </c>
      <c r="N400" t="n">
        <v>0</v>
      </c>
      <c r="O400" t="n">
        <v>0</v>
      </c>
      <c r="P400" t="n">
        <v>0</v>
      </c>
      <c r="Q400" t="n">
        <v>0</v>
      </c>
      <c r="R400" s="2" t="inlineStr"/>
    </row>
    <row r="401" ht="15" customHeight="1">
      <c r="A401" t="inlineStr">
        <is>
          <t>A 55556-2023</t>
        </is>
      </c>
      <c r="B401" s="1" t="n">
        <v>45232</v>
      </c>
      <c r="C401" s="1" t="n">
        <v>46063</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34494-2023</t>
        </is>
      </c>
      <c r="B402" s="1" t="n">
        <v>45133</v>
      </c>
      <c r="C402" s="1" t="n">
        <v>46063</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13752-2025</t>
        </is>
      </c>
      <c r="B403" s="1" t="n">
        <v>45737.41416666667</v>
      </c>
      <c r="C403" s="1" t="n">
        <v>46063</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19398-2025</t>
        </is>
      </c>
      <c r="B404" s="1" t="n">
        <v>45769</v>
      </c>
      <c r="C404" s="1" t="n">
        <v>46063</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48910-2025</t>
        </is>
      </c>
      <c r="B405" s="1" t="n">
        <v>45937.48649305556</v>
      </c>
      <c r="C405" s="1" t="n">
        <v>46063</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49640-2025</t>
        </is>
      </c>
      <c r="B406" s="1" t="n">
        <v>45939.61459490741</v>
      </c>
      <c r="C406" s="1" t="n">
        <v>46063</v>
      </c>
      <c r="D406" t="inlineStr">
        <is>
          <t>VÄSTMANLANDS LÄN</t>
        </is>
      </c>
      <c r="E406" t="inlineStr">
        <is>
          <t>SALA</t>
        </is>
      </c>
      <c r="F406" t="inlineStr">
        <is>
          <t>Kommuner</t>
        </is>
      </c>
      <c r="G406" t="n">
        <v>18.8</v>
      </c>
      <c r="H406" t="n">
        <v>0</v>
      </c>
      <c r="I406" t="n">
        <v>0</v>
      </c>
      <c r="J406" t="n">
        <v>0</v>
      </c>
      <c r="K406" t="n">
        <v>0</v>
      </c>
      <c r="L406" t="n">
        <v>0</v>
      </c>
      <c r="M406" t="n">
        <v>0</v>
      </c>
      <c r="N406" t="n">
        <v>0</v>
      </c>
      <c r="O406" t="n">
        <v>0</v>
      </c>
      <c r="P406" t="n">
        <v>0</v>
      </c>
      <c r="Q406" t="n">
        <v>0</v>
      </c>
      <c r="R406" s="2" t="inlineStr"/>
    </row>
    <row r="407" ht="15" customHeight="1">
      <c r="A407" t="inlineStr">
        <is>
          <t>A 22921-2023</t>
        </is>
      </c>
      <c r="B407" s="1" t="n">
        <v>45070</v>
      </c>
      <c r="C407" s="1" t="n">
        <v>46063</v>
      </c>
      <c r="D407" t="inlineStr">
        <is>
          <t>VÄSTMANLANDS LÄN</t>
        </is>
      </c>
      <c r="E407" t="inlineStr">
        <is>
          <t>SALA</t>
        </is>
      </c>
      <c r="G407" t="n">
        <v>1.3</v>
      </c>
      <c r="H407" t="n">
        <v>0</v>
      </c>
      <c r="I407" t="n">
        <v>0</v>
      </c>
      <c r="J407" t="n">
        <v>0</v>
      </c>
      <c r="K407" t="n">
        <v>0</v>
      </c>
      <c r="L407" t="n">
        <v>0</v>
      </c>
      <c r="M407" t="n">
        <v>0</v>
      </c>
      <c r="N407" t="n">
        <v>0</v>
      </c>
      <c r="O407" t="n">
        <v>0</v>
      </c>
      <c r="P407" t="n">
        <v>0</v>
      </c>
      <c r="Q407" t="n">
        <v>0</v>
      </c>
      <c r="R407" s="2" t="inlineStr"/>
    </row>
    <row r="408" ht="15" customHeight="1">
      <c r="A408" t="inlineStr">
        <is>
          <t>A 16133-2025</t>
        </is>
      </c>
      <c r="B408" s="1" t="n">
        <v>45750</v>
      </c>
      <c r="C408" s="1" t="n">
        <v>46063</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49585-2025</t>
        </is>
      </c>
      <c r="B409" s="1" t="n">
        <v>45939.5043287037</v>
      </c>
      <c r="C409" s="1" t="n">
        <v>46063</v>
      </c>
      <c r="D409" t="inlineStr">
        <is>
          <t>VÄSTMANLANDS LÄN</t>
        </is>
      </c>
      <c r="E409" t="inlineStr">
        <is>
          <t>SALA</t>
        </is>
      </c>
      <c r="G409" t="n">
        <v>2.2</v>
      </c>
      <c r="H409" t="n">
        <v>0</v>
      </c>
      <c r="I409" t="n">
        <v>0</v>
      </c>
      <c r="J409" t="n">
        <v>0</v>
      </c>
      <c r="K409" t="n">
        <v>0</v>
      </c>
      <c r="L409" t="n">
        <v>0</v>
      </c>
      <c r="M409" t="n">
        <v>0</v>
      </c>
      <c r="N409" t="n">
        <v>0</v>
      </c>
      <c r="O409" t="n">
        <v>0</v>
      </c>
      <c r="P409" t="n">
        <v>0</v>
      </c>
      <c r="Q409" t="n">
        <v>0</v>
      </c>
      <c r="R409" s="2" t="inlineStr"/>
    </row>
    <row r="410" ht="15" customHeight="1">
      <c r="A410" t="inlineStr">
        <is>
          <t>A 6127-2025</t>
        </is>
      </c>
      <c r="B410" s="1" t="n">
        <v>45698</v>
      </c>
      <c r="C410" s="1" t="n">
        <v>46063</v>
      </c>
      <c r="D410" t="inlineStr">
        <is>
          <t>VÄSTMANLANDS LÄN</t>
        </is>
      </c>
      <c r="E410" t="inlineStr">
        <is>
          <t>SALA</t>
        </is>
      </c>
      <c r="F410" t="inlineStr">
        <is>
          <t>Bergvik skog öst AB</t>
        </is>
      </c>
      <c r="G410" t="n">
        <v>4.3</v>
      </c>
      <c r="H410" t="n">
        <v>0</v>
      </c>
      <c r="I410" t="n">
        <v>0</v>
      </c>
      <c r="J410" t="n">
        <v>0</v>
      </c>
      <c r="K410" t="n">
        <v>0</v>
      </c>
      <c r="L410" t="n">
        <v>0</v>
      </c>
      <c r="M410" t="n">
        <v>0</v>
      </c>
      <c r="N410" t="n">
        <v>0</v>
      </c>
      <c r="O410" t="n">
        <v>0</v>
      </c>
      <c r="P410" t="n">
        <v>0</v>
      </c>
      <c r="Q410" t="n">
        <v>0</v>
      </c>
      <c r="R410" s="2" t="inlineStr"/>
    </row>
    <row r="411" ht="15" customHeight="1">
      <c r="A411" t="inlineStr">
        <is>
          <t>A 15272-2025</t>
        </is>
      </c>
      <c r="B411" s="1" t="n">
        <v>45744</v>
      </c>
      <c r="C411" s="1" t="n">
        <v>46063</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50128-2025</t>
        </is>
      </c>
      <c r="B412" s="1" t="n">
        <v>45943.55318287037</v>
      </c>
      <c r="C412" s="1" t="n">
        <v>46063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24248-2023</t>
        </is>
      </c>
      <c r="B413" s="1" t="n">
        <v>45079</v>
      </c>
      <c r="C413" s="1" t="n">
        <v>46063</v>
      </c>
      <c r="D413" t="inlineStr">
        <is>
          <t>VÄSTMANLANDS LÄN</t>
        </is>
      </c>
      <c r="E413" t="inlineStr">
        <is>
          <t>SALA</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38195-2021</t>
        </is>
      </c>
      <c r="B414" s="1" t="n">
        <v>44405</v>
      </c>
      <c r="C414" s="1" t="n">
        <v>46063</v>
      </c>
      <c r="D414" t="inlineStr">
        <is>
          <t>VÄSTMANLANDS LÄN</t>
        </is>
      </c>
      <c r="E414" t="inlineStr">
        <is>
          <t>SALA</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50249-2025</t>
        </is>
      </c>
      <c r="B415" s="1" t="n">
        <v>45944.31508101852</v>
      </c>
      <c r="C415" s="1" t="n">
        <v>46063</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27228-2023</t>
        </is>
      </c>
      <c r="B416" s="1" t="n">
        <v>45096.59189814814</v>
      </c>
      <c r="C416" s="1" t="n">
        <v>46063</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50119-2025</t>
        </is>
      </c>
      <c r="B417" s="1" t="n">
        <v>45943.54883101852</v>
      </c>
      <c r="C417" s="1" t="n">
        <v>46063</v>
      </c>
      <c r="D417" t="inlineStr">
        <is>
          <t>VÄSTMANLANDS LÄN</t>
        </is>
      </c>
      <c r="E417" t="inlineStr">
        <is>
          <t>SALA</t>
        </is>
      </c>
      <c r="G417" t="n">
        <v>3.3</v>
      </c>
      <c r="H417" t="n">
        <v>0</v>
      </c>
      <c r="I417" t="n">
        <v>0</v>
      </c>
      <c r="J417" t="n">
        <v>0</v>
      </c>
      <c r="K417" t="n">
        <v>0</v>
      </c>
      <c r="L417" t="n">
        <v>0</v>
      </c>
      <c r="M417" t="n">
        <v>0</v>
      </c>
      <c r="N417" t="n">
        <v>0</v>
      </c>
      <c r="O417" t="n">
        <v>0</v>
      </c>
      <c r="P417" t="n">
        <v>0</v>
      </c>
      <c r="Q417" t="n">
        <v>0</v>
      </c>
      <c r="R417" s="2" t="inlineStr"/>
    </row>
    <row r="418" ht="15" customHeight="1">
      <c r="A418" t="inlineStr">
        <is>
          <t>A 50059-2025</t>
        </is>
      </c>
      <c r="B418" s="1" t="n">
        <v>45943.44125</v>
      </c>
      <c r="C418" s="1" t="n">
        <v>46063</v>
      </c>
      <c r="D418" t="inlineStr">
        <is>
          <t>VÄSTMANLANDS LÄN</t>
        </is>
      </c>
      <c r="E418" t="inlineStr">
        <is>
          <t>SALA</t>
        </is>
      </c>
      <c r="G418" t="n">
        <v>4.4</v>
      </c>
      <c r="H418" t="n">
        <v>0</v>
      </c>
      <c r="I418" t="n">
        <v>0</v>
      </c>
      <c r="J418" t="n">
        <v>0</v>
      </c>
      <c r="K418" t="n">
        <v>0</v>
      </c>
      <c r="L418" t="n">
        <v>0</v>
      </c>
      <c r="M418" t="n">
        <v>0</v>
      </c>
      <c r="N418" t="n">
        <v>0</v>
      </c>
      <c r="O418" t="n">
        <v>0</v>
      </c>
      <c r="P418" t="n">
        <v>0</v>
      </c>
      <c r="Q418" t="n">
        <v>0</v>
      </c>
      <c r="R418" s="2" t="inlineStr"/>
    </row>
    <row r="419" ht="15" customHeight="1">
      <c r="A419" t="inlineStr">
        <is>
          <t>A 53838-2022</t>
        </is>
      </c>
      <c r="B419" s="1" t="n">
        <v>44880.59363425926</v>
      </c>
      <c r="C419" s="1" t="n">
        <v>46063</v>
      </c>
      <c r="D419" t="inlineStr">
        <is>
          <t>VÄSTMANLANDS LÄN</t>
        </is>
      </c>
      <c r="E419" t="inlineStr">
        <is>
          <t>SALA</t>
        </is>
      </c>
      <c r="G419" t="n">
        <v>3.9</v>
      </c>
      <c r="H419" t="n">
        <v>0</v>
      </c>
      <c r="I419" t="n">
        <v>0</v>
      </c>
      <c r="J419" t="n">
        <v>0</v>
      </c>
      <c r="K419" t="n">
        <v>0</v>
      </c>
      <c r="L419" t="n">
        <v>0</v>
      </c>
      <c r="M419" t="n">
        <v>0</v>
      </c>
      <c r="N419" t="n">
        <v>0</v>
      </c>
      <c r="O419" t="n">
        <v>0</v>
      </c>
      <c r="P419" t="n">
        <v>0</v>
      </c>
      <c r="Q419" t="n">
        <v>0</v>
      </c>
      <c r="R419" s="2" t="inlineStr"/>
    </row>
    <row r="420" ht="15" customHeight="1">
      <c r="A420" t="inlineStr">
        <is>
          <t>A 25260-2023</t>
        </is>
      </c>
      <c r="B420" s="1" t="n">
        <v>45086</v>
      </c>
      <c r="C420" s="1" t="n">
        <v>46063</v>
      </c>
      <c r="D420" t="inlineStr">
        <is>
          <t>VÄSTMANLANDS LÄN</t>
        </is>
      </c>
      <c r="E420" t="inlineStr">
        <is>
          <t>SALA</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16769-2024</t>
        </is>
      </c>
      <c r="B421" s="1" t="n">
        <v>45411.38738425926</v>
      </c>
      <c r="C421" s="1" t="n">
        <v>46063</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60249-2023</t>
        </is>
      </c>
      <c r="B422" s="1" t="n">
        <v>45258</v>
      </c>
      <c r="C422" s="1" t="n">
        <v>46063</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14271-2025</t>
        </is>
      </c>
      <c r="B423" s="1" t="n">
        <v>45740.64129629629</v>
      </c>
      <c r="C423" s="1" t="n">
        <v>46063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69232-2021</t>
        </is>
      </c>
      <c r="B424" s="1" t="n">
        <v>44531.39696759259</v>
      </c>
      <c r="C424" s="1" t="n">
        <v>46063</v>
      </c>
      <c r="D424" t="inlineStr">
        <is>
          <t>VÄSTMANLANDS LÄN</t>
        </is>
      </c>
      <c r="E424" t="inlineStr">
        <is>
          <t>SALA</t>
        </is>
      </c>
      <c r="G424" t="n">
        <v>2.3</v>
      </c>
      <c r="H424" t="n">
        <v>0</v>
      </c>
      <c r="I424" t="n">
        <v>0</v>
      </c>
      <c r="J424" t="n">
        <v>0</v>
      </c>
      <c r="K424" t="n">
        <v>0</v>
      </c>
      <c r="L424" t="n">
        <v>0</v>
      </c>
      <c r="M424" t="n">
        <v>0</v>
      </c>
      <c r="N424" t="n">
        <v>0</v>
      </c>
      <c r="O424" t="n">
        <v>0</v>
      </c>
      <c r="P424" t="n">
        <v>0</v>
      </c>
      <c r="Q424" t="n">
        <v>0</v>
      </c>
      <c r="R424" s="2" t="inlineStr"/>
    </row>
    <row r="425" ht="15" customHeight="1">
      <c r="A425" t="inlineStr">
        <is>
          <t>A 51626-2025</t>
        </is>
      </c>
      <c r="B425" s="1" t="n">
        <v>45951.41769675926</v>
      </c>
      <c r="C425" s="1" t="n">
        <v>46063</v>
      </c>
      <c r="D425" t="inlineStr">
        <is>
          <t>VÄSTMANLANDS LÄN</t>
        </is>
      </c>
      <c r="E425" t="inlineStr">
        <is>
          <t>SALA</t>
        </is>
      </c>
      <c r="G425" t="n">
        <v>2.6</v>
      </c>
      <c r="H425" t="n">
        <v>0</v>
      </c>
      <c r="I425" t="n">
        <v>0</v>
      </c>
      <c r="J425" t="n">
        <v>0</v>
      </c>
      <c r="K425" t="n">
        <v>0</v>
      </c>
      <c r="L425" t="n">
        <v>0</v>
      </c>
      <c r="M425" t="n">
        <v>0</v>
      </c>
      <c r="N425" t="n">
        <v>0</v>
      </c>
      <c r="O425" t="n">
        <v>0</v>
      </c>
      <c r="P425" t="n">
        <v>0</v>
      </c>
      <c r="Q425" t="n">
        <v>0</v>
      </c>
      <c r="R425" s="2" t="inlineStr"/>
    </row>
    <row r="426" ht="15" customHeight="1">
      <c r="A426" t="inlineStr">
        <is>
          <t>A 51690-2025</t>
        </is>
      </c>
      <c r="B426" s="1" t="n">
        <v>45951.53462962963</v>
      </c>
      <c r="C426" s="1" t="n">
        <v>46063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51809-2025</t>
        </is>
      </c>
      <c r="B427" s="1" t="n">
        <v>45951.80116898148</v>
      </c>
      <c r="C427" s="1" t="n">
        <v>46063</v>
      </c>
      <c r="D427" t="inlineStr">
        <is>
          <t>VÄSTMANLANDS LÄN</t>
        </is>
      </c>
      <c r="E427" t="inlineStr">
        <is>
          <t>SALA</t>
        </is>
      </c>
      <c r="F427" t="inlineStr">
        <is>
          <t>Kommuner</t>
        </is>
      </c>
      <c r="G427" t="n">
        <v>3.5</v>
      </c>
      <c r="H427" t="n">
        <v>0</v>
      </c>
      <c r="I427" t="n">
        <v>0</v>
      </c>
      <c r="J427" t="n">
        <v>0</v>
      </c>
      <c r="K427" t="n">
        <v>0</v>
      </c>
      <c r="L427" t="n">
        <v>0</v>
      </c>
      <c r="M427" t="n">
        <v>0</v>
      </c>
      <c r="N427" t="n">
        <v>0</v>
      </c>
      <c r="O427" t="n">
        <v>0</v>
      </c>
      <c r="P427" t="n">
        <v>0</v>
      </c>
      <c r="Q427" t="n">
        <v>0</v>
      </c>
      <c r="R427" s="2" t="inlineStr"/>
    </row>
    <row r="428" ht="15" customHeight="1">
      <c r="A428" t="inlineStr">
        <is>
          <t>A 28328-2023</t>
        </is>
      </c>
      <c r="B428" s="1" t="n">
        <v>45099.71063657408</v>
      </c>
      <c r="C428" s="1" t="n">
        <v>46063</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51803-2025</t>
        </is>
      </c>
      <c r="B429" s="1" t="n">
        <v>45951.76818287037</v>
      </c>
      <c r="C429" s="1" t="n">
        <v>46063</v>
      </c>
      <c r="D429" t="inlineStr">
        <is>
          <t>VÄSTMANLANDS LÄN</t>
        </is>
      </c>
      <c r="E429" t="inlineStr">
        <is>
          <t>SALA</t>
        </is>
      </c>
      <c r="F429" t="inlineStr">
        <is>
          <t>Kommuner</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51805-2025</t>
        </is>
      </c>
      <c r="B430" s="1" t="n">
        <v>45951.78359953704</v>
      </c>
      <c r="C430" s="1" t="n">
        <v>46063</v>
      </c>
      <c r="D430" t="inlineStr">
        <is>
          <t>VÄSTMANLANDS LÄN</t>
        </is>
      </c>
      <c r="E430" t="inlineStr">
        <is>
          <t>SALA</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40085-2024</t>
        </is>
      </c>
      <c r="B431" s="1" t="n">
        <v>45554</v>
      </c>
      <c r="C431" s="1" t="n">
        <v>46063</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51804-2025</t>
        </is>
      </c>
      <c r="B432" s="1" t="n">
        <v>45951.77697916667</v>
      </c>
      <c r="C432" s="1" t="n">
        <v>46063</v>
      </c>
      <c r="D432" t="inlineStr">
        <is>
          <t>VÄSTMANLANDS LÄN</t>
        </is>
      </c>
      <c r="E432" t="inlineStr">
        <is>
          <t>SALA</t>
        </is>
      </c>
      <c r="F432" t="inlineStr">
        <is>
          <t>Kommuner</t>
        </is>
      </c>
      <c r="G432" t="n">
        <v>2</v>
      </c>
      <c r="H432" t="n">
        <v>0</v>
      </c>
      <c r="I432" t="n">
        <v>0</v>
      </c>
      <c r="J432" t="n">
        <v>0</v>
      </c>
      <c r="K432" t="n">
        <v>0</v>
      </c>
      <c r="L432" t="n">
        <v>0</v>
      </c>
      <c r="M432" t="n">
        <v>0</v>
      </c>
      <c r="N432" t="n">
        <v>0</v>
      </c>
      <c r="O432" t="n">
        <v>0</v>
      </c>
      <c r="P432" t="n">
        <v>0</v>
      </c>
      <c r="Q432" t="n">
        <v>0</v>
      </c>
      <c r="R432" s="2" t="inlineStr"/>
    </row>
    <row r="433" ht="15" customHeight="1">
      <c r="A433" t="inlineStr">
        <is>
          <t>A 51808-2025</t>
        </is>
      </c>
      <c r="B433" s="1" t="n">
        <v>45951.79302083333</v>
      </c>
      <c r="C433" s="1" t="n">
        <v>46063</v>
      </c>
      <c r="D433" t="inlineStr">
        <is>
          <t>VÄSTMANLANDS LÄN</t>
        </is>
      </c>
      <c r="E433" t="inlineStr">
        <is>
          <t>SALA</t>
        </is>
      </c>
      <c r="F433" t="inlineStr">
        <is>
          <t>Kommuner</t>
        </is>
      </c>
      <c r="G433" t="n">
        <v>3</v>
      </c>
      <c r="H433" t="n">
        <v>0</v>
      </c>
      <c r="I433" t="n">
        <v>0</v>
      </c>
      <c r="J433" t="n">
        <v>0</v>
      </c>
      <c r="K433" t="n">
        <v>0</v>
      </c>
      <c r="L433" t="n">
        <v>0</v>
      </c>
      <c r="M433" t="n">
        <v>0</v>
      </c>
      <c r="N433" t="n">
        <v>0</v>
      </c>
      <c r="O433" t="n">
        <v>0</v>
      </c>
      <c r="P433" t="n">
        <v>0</v>
      </c>
      <c r="Q433" t="n">
        <v>0</v>
      </c>
      <c r="R433" s="2" t="inlineStr"/>
    </row>
    <row r="434" ht="15" customHeight="1">
      <c r="A434" t="inlineStr">
        <is>
          <t>A 51764-2025</t>
        </is>
      </c>
      <c r="B434" s="1" t="n">
        <v>45951.63636574074</v>
      </c>
      <c r="C434" s="1" t="n">
        <v>46063</v>
      </c>
      <c r="D434" t="inlineStr">
        <is>
          <t>VÄSTMANLANDS LÄN</t>
        </is>
      </c>
      <c r="E434" t="inlineStr">
        <is>
          <t>SALA</t>
        </is>
      </c>
      <c r="G434" t="n">
        <v>1.5</v>
      </c>
      <c r="H434" t="n">
        <v>0</v>
      </c>
      <c r="I434" t="n">
        <v>0</v>
      </c>
      <c r="J434" t="n">
        <v>0</v>
      </c>
      <c r="K434" t="n">
        <v>0</v>
      </c>
      <c r="L434" t="n">
        <v>0</v>
      </c>
      <c r="M434" t="n">
        <v>0</v>
      </c>
      <c r="N434" t="n">
        <v>0</v>
      </c>
      <c r="O434" t="n">
        <v>0</v>
      </c>
      <c r="P434" t="n">
        <v>0</v>
      </c>
      <c r="Q434" t="n">
        <v>0</v>
      </c>
      <c r="R434" s="2" t="inlineStr"/>
    </row>
    <row r="435" ht="15" customHeight="1">
      <c r="A435" t="inlineStr">
        <is>
          <t>A 18158-2025</t>
        </is>
      </c>
      <c r="B435" s="1" t="n">
        <v>45761</v>
      </c>
      <c r="C435" s="1" t="n">
        <v>46063</v>
      </c>
      <c r="D435" t="inlineStr">
        <is>
          <t>VÄSTMANLANDS LÄN</t>
        </is>
      </c>
      <c r="E435" t="inlineStr">
        <is>
          <t>SALA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49661-2024</t>
        </is>
      </c>
      <c r="B436" s="1" t="n">
        <v>45596</v>
      </c>
      <c r="C436" s="1" t="n">
        <v>46063</v>
      </c>
      <c r="D436" t="inlineStr">
        <is>
          <t>VÄSTMANLANDS LÄN</t>
        </is>
      </c>
      <c r="E436" t="inlineStr">
        <is>
          <t>SALA</t>
        </is>
      </c>
      <c r="G436" t="n">
        <v>6.7</v>
      </c>
      <c r="H436" t="n">
        <v>0</v>
      </c>
      <c r="I436" t="n">
        <v>0</v>
      </c>
      <c r="J436" t="n">
        <v>0</v>
      </c>
      <c r="K436" t="n">
        <v>0</v>
      </c>
      <c r="L436" t="n">
        <v>0</v>
      </c>
      <c r="M436" t="n">
        <v>0</v>
      </c>
      <c r="N436" t="n">
        <v>0</v>
      </c>
      <c r="O436" t="n">
        <v>0</v>
      </c>
      <c r="P436" t="n">
        <v>0</v>
      </c>
      <c r="Q436" t="n">
        <v>0</v>
      </c>
      <c r="R436" s="2" t="inlineStr"/>
    </row>
    <row r="437" ht="15" customHeight="1">
      <c r="A437" t="inlineStr">
        <is>
          <t>A 35519-2024</t>
        </is>
      </c>
      <c r="B437" s="1" t="n">
        <v>45531</v>
      </c>
      <c r="C437" s="1" t="n">
        <v>46063</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54347-2024</t>
        </is>
      </c>
      <c r="B438" s="1" t="n">
        <v>45617.39325231482</v>
      </c>
      <c r="C438" s="1" t="n">
        <v>46063</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13022-2023</t>
        </is>
      </c>
      <c r="B439" s="1" t="n">
        <v>45002.33291666667</v>
      </c>
      <c r="C439" s="1" t="n">
        <v>46063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35003-2024</t>
        </is>
      </c>
      <c r="B440" s="1" t="n">
        <v>45527.56790509259</v>
      </c>
      <c r="C440" s="1" t="n">
        <v>46063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53744-2025</t>
        </is>
      </c>
      <c r="B441" s="1" t="n">
        <v>45960.64863425926</v>
      </c>
      <c r="C441" s="1" t="n">
        <v>46063</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53725-2025</t>
        </is>
      </c>
      <c r="B442" s="1" t="n">
        <v>45960.63394675926</v>
      </c>
      <c r="C442" s="1" t="n">
        <v>46063</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66307-2021</t>
        </is>
      </c>
      <c r="B443" s="1" t="n">
        <v>44518.48670138889</v>
      </c>
      <c r="C443" s="1" t="n">
        <v>46063</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6030-2024</t>
        </is>
      </c>
      <c r="B444" s="1" t="n">
        <v>45336.62782407407</v>
      </c>
      <c r="C444" s="1" t="n">
        <v>46063</v>
      </c>
      <c r="D444" t="inlineStr">
        <is>
          <t>VÄSTMANLANDS LÄN</t>
        </is>
      </c>
      <c r="E444" t="inlineStr">
        <is>
          <t>SALA</t>
        </is>
      </c>
      <c r="G444" t="n">
        <v>3.9</v>
      </c>
      <c r="H444" t="n">
        <v>0</v>
      </c>
      <c r="I444" t="n">
        <v>0</v>
      </c>
      <c r="J444" t="n">
        <v>0</v>
      </c>
      <c r="K444" t="n">
        <v>0</v>
      </c>
      <c r="L444" t="n">
        <v>0</v>
      </c>
      <c r="M444" t="n">
        <v>0</v>
      </c>
      <c r="N444" t="n">
        <v>0</v>
      </c>
      <c r="O444" t="n">
        <v>0</v>
      </c>
      <c r="P444" t="n">
        <v>0</v>
      </c>
      <c r="Q444" t="n">
        <v>0</v>
      </c>
      <c r="R444" s="2" t="inlineStr"/>
    </row>
    <row r="445" ht="15" customHeight="1">
      <c r="A445" t="inlineStr">
        <is>
          <t>A 26761-2023</t>
        </is>
      </c>
      <c r="B445" s="1" t="n">
        <v>45093</v>
      </c>
      <c r="C445" s="1" t="n">
        <v>46063</v>
      </c>
      <c r="D445" t="inlineStr">
        <is>
          <t>VÄSTMANLANDS LÄN</t>
        </is>
      </c>
      <c r="E445" t="inlineStr">
        <is>
          <t>SALA</t>
        </is>
      </c>
      <c r="G445" t="n">
        <v>4.3</v>
      </c>
      <c r="H445" t="n">
        <v>0</v>
      </c>
      <c r="I445" t="n">
        <v>0</v>
      </c>
      <c r="J445" t="n">
        <v>0</v>
      </c>
      <c r="K445" t="n">
        <v>0</v>
      </c>
      <c r="L445" t="n">
        <v>0</v>
      </c>
      <c r="M445" t="n">
        <v>0</v>
      </c>
      <c r="N445" t="n">
        <v>0</v>
      </c>
      <c r="O445" t="n">
        <v>0</v>
      </c>
      <c r="P445" t="n">
        <v>0</v>
      </c>
      <c r="Q445" t="n">
        <v>0</v>
      </c>
      <c r="R445" s="2" t="inlineStr"/>
    </row>
    <row r="446" ht="15" customHeight="1">
      <c r="A446" t="inlineStr">
        <is>
          <t>A 61892-2021</t>
        </is>
      </c>
      <c r="B446" s="1" t="n">
        <v>44502</v>
      </c>
      <c r="C446" s="1" t="n">
        <v>46063</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53724-2025</t>
        </is>
      </c>
      <c r="B447" s="1" t="n">
        <v>45960.63174768518</v>
      </c>
      <c r="C447" s="1" t="n">
        <v>46063</v>
      </c>
      <c r="D447" t="inlineStr">
        <is>
          <t>VÄSTMANLANDS LÄN</t>
        </is>
      </c>
      <c r="E447" t="inlineStr">
        <is>
          <t>SALA</t>
        </is>
      </c>
      <c r="G447" t="n">
        <v>2.8</v>
      </c>
      <c r="H447" t="n">
        <v>0</v>
      </c>
      <c r="I447" t="n">
        <v>0</v>
      </c>
      <c r="J447" t="n">
        <v>0</v>
      </c>
      <c r="K447" t="n">
        <v>0</v>
      </c>
      <c r="L447" t="n">
        <v>0</v>
      </c>
      <c r="M447" t="n">
        <v>0</v>
      </c>
      <c r="N447" t="n">
        <v>0</v>
      </c>
      <c r="O447" t="n">
        <v>0</v>
      </c>
      <c r="P447" t="n">
        <v>0</v>
      </c>
      <c r="Q447" t="n">
        <v>0</v>
      </c>
      <c r="R447" s="2" t="inlineStr"/>
    </row>
    <row r="448" ht="15" customHeight="1">
      <c r="A448" t="inlineStr">
        <is>
          <t>A 38636-2024</t>
        </is>
      </c>
      <c r="B448" s="1" t="n">
        <v>45546</v>
      </c>
      <c r="C448" s="1" t="n">
        <v>46063</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54201-2025</t>
        </is>
      </c>
      <c r="B449" s="1" t="n">
        <v>45964.58055555556</v>
      </c>
      <c r="C449" s="1" t="n">
        <v>46063</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7772-2023</t>
        </is>
      </c>
      <c r="B450" s="1" t="n">
        <v>44973.40076388889</v>
      </c>
      <c r="C450" s="1" t="n">
        <v>46063</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54344-2025</t>
        </is>
      </c>
      <c r="B451" s="1" t="n">
        <v>45965.36462962963</v>
      </c>
      <c r="C451" s="1" t="n">
        <v>46063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42416-2022</t>
        </is>
      </c>
      <c r="B452" s="1" t="n">
        <v>44831</v>
      </c>
      <c r="C452" s="1" t="n">
        <v>46063</v>
      </c>
      <c r="D452" t="inlineStr">
        <is>
          <t>VÄSTMANLANDS LÄN</t>
        </is>
      </c>
      <c r="E452" t="inlineStr">
        <is>
          <t>SALA</t>
        </is>
      </c>
      <c r="G452" t="n">
        <v>2.2</v>
      </c>
      <c r="H452" t="n">
        <v>0</v>
      </c>
      <c r="I452" t="n">
        <v>0</v>
      </c>
      <c r="J452" t="n">
        <v>0</v>
      </c>
      <c r="K452" t="n">
        <v>0</v>
      </c>
      <c r="L452" t="n">
        <v>0</v>
      </c>
      <c r="M452" t="n">
        <v>0</v>
      </c>
      <c r="N452" t="n">
        <v>0</v>
      </c>
      <c r="O452" t="n">
        <v>0</v>
      </c>
      <c r="P452" t="n">
        <v>0</v>
      </c>
      <c r="Q452" t="n">
        <v>0</v>
      </c>
      <c r="R452" s="2" t="inlineStr"/>
    </row>
    <row r="453" ht="15" customHeight="1">
      <c r="A453" t="inlineStr">
        <is>
          <t>A 54590-2025</t>
        </is>
      </c>
      <c r="B453" s="1" t="n">
        <v>45965.74199074074</v>
      </c>
      <c r="C453" s="1" t="n">
        <v>46063</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19381-2025</t>
        </is>
      </c>
      <c r="B454" s="1" t="n">
        <v>45769</v>
      </c>
      <c r="C454" s="1" t="n">
        <v>46063</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48688-2024</t>
        </is>
      </c>
      <c r="B455" s="1" t="n">
        <v>45593.50541666667</v>
      </c>
      <c r="C455" s="1" t="n">
        <v>46063</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54893-2025</t>
        </is>
      </c>
      <c r="B456" s="1" t="n">
        <v>45967.36383101852</v>
      </c>
      <c r="C456" s="1" t="n">
        <v>46063</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45187-2024</t>
        </is>
      </c>
      <c r="B457" s="1" t="n">
        <v>45575</v>
      </c>
      <c r="C457" s="1" t="n">
        <v>46063</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15968-2024</t>
        </is>
      </c>
      <c r="B458" s="1" t="n">
        <v>45405.56021990741</v>
      </c>
      <c r="C458" s="1" t="n">
        <v>46063</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19033-2025</t>
        </is>
      </c>
      <c r="B459" s="1" t="n">
        <v>45764.65796296296</v>
      </c>
      <c r="C459" s="1" t="n">
        <v>46063</v>
      </c>
      <c r="D459" t="inlineStr">
        <is>
          <t>VÄSTMANLANDS LÄN</t>
        </is>
      </c>
      <c r="E459" t="inlineStr">
        <is>
          <t>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3733-2023</t>
        </is>
      </c>
      <c r="B460" s="1" t="n">
        <v>44951.42501157407</v>
      </c>
      <c r="C460" s="1" t="n">
        <v>46063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44544-2024</t>
        </is>
      </c>
      <c r="B461" s="1" t="n">
        <v>45574.46119212963</v>
      </c>
      <c r="C461" s="1" t="n">
        <v>46063</v>
      </c>
      <c r="D461" t="inlineStr">
        <is>
          <t>VÄSTMANLANDS LÄN</t>
        </is>
      </c>
      <c r="E461" t="inlineStr">
        <is>
          <t>SALA</t>
        </is>
      </c>
      <c r="G461" t="n">
        <v>3.3</v>
      </c>
      <c r="H461" t="n">
        <v>0</v>
      </c>
      <c r="I461" t="n">
        <v>0</v>
      </c>
      <c r="J461" t="n">
        <v>0</v>
      </c>
      <c r="K461" t="n">
        <v>0</v>
      </c>
      <c r="L461" t="n">
        <v>0</v>
      </c>
      <c r="M461" t="n">
        <v>0</v>
      </c>
      <c r="N461" t="n">
        <v>0</v>
      </c>
      <c r="O461" t="n">
        <v>0</v>
      </c>
      <c r="P461" t="n">
        <v>0</v>
      </c>
      <c r="Q461" t="n">
        <v>0</v>
      </c>
      <c r="R461" s="2" t="inlineStr"/>
    </row>
    <row r="462" ht="15" customHeight="1">
      <c r="A462" t="inlineStr">
        <is>
          <t>A 64729-2023</t>
        </is>
      </c>
      <c r="B462" s="1" t="n">
        <v>45281</v>
      </c>
      <c r="C462" s="1" t="n">
        <v>46063</v>
      </c>
      <c r="D462" t="inlineStr">
        <is>
          <t>VÄSTMANLANDS LÄN</t>
        </is>
      </c>
      <c r="E462" t="inlineStr">
        <is>
          <t>SALA</t>
        </is>
      </c>
      <c r="G462" t="n">
        <v>1.8</v>
      </c>
      <c r="H462" t="n">
        <v>0</v>
      </c>
      <c r="I462" t="n">
        <v>0</v>
      </c>
      <c r="J462" t="n">
        <v>0</v>
      </c>
      <c r="K462" t="n">
        <v>0</v>
      </c>
      <c r="L462" t="n">
        <v>0</v>
      </c>
      <c r="M462" t="n">
        <v>0</v>
      </c>
      <c r="N462" t="n">
        <v>0</v>
      </c>
      <c r="O462" t="n">
        <v>0</v>
      </c>
      <c r="P462" t="n">
        <v>0</v>
      </c>
      <c r="Q462" t="n">
        <v>0</v>
      </c>
      <c r="R462" s="2" t="inlineStr"/>
    </row>
    <row r="463" ht="15" customHeight="1">
      <c r="A463" t="inlineStr">
        <is>
          <t>A 55997-2025</t>
        </is>
      </c>
      <c r="B463" s="1" t="n">
        <v>45973.56833333334</v>
      </c>
      <c r="C463" s="1" t="n">
        <v>46063</v>
      </c>
      <c r="D463" t="inlineStr">
        <is>
          <t>VÄSTMANLANDS LÄN</t>
        </is>
      </c>
      <c r="E463" t="inlineStr">
        <is>
          <t>SALA</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68864-2021</t>
        </is>
      </c>
      <c r="B464" s="1" t="n">
        <v>44530</v>
      </c>
      <c r="C464" s="1" t="n">
        <v>46063</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55714-2025</t>
        </is>
      </c>
      <c r="B465" s="1" t="n">
        <v>45972.49131944445</v>
      </c>
      <c r="C465" s="1" t="n">
        <v>46063</v>
      </c>
      <c r="D465" t="inlineStr">
        <is>
          <t>VÄSTMANLANDS LÄN</t>
        </is>
      </c>
      <c r="E465" t="inlineStr">
        <is>
          <t>SALA</t>
        </is>
      </c>
      <c r="G465" t="n">
        <v>6.6</v>
      </c>
      <c r="H465" t="n">
        <v>0</v>
      </c>
      <c r="I465" t="n">
        <v>0</v>
      </c>
      <c r="J465" t="n">
        <v>0</v>
      </c>
      <c r="K465" t="n">
        <v>0</v>
      </c>
      <c r="L465" t="n">
        <v>0</v>
      </c>
      <c r="M465" t="n">
        <v>0</v>
      </c>
      <c r="N465" t="n">
        <v>0</v>
      </c>
      <c r="O465" t="n">
        <v>0</v>
      </c>
      <c r="P465" t="n">
        <v>0</v>
      </c>
      <c r="Q465" t="n">
        <v>0</v>
      </c>
      <c r="R465" s="2" t="inlineStr"/>
    </row>
    <row r="466" ht="15" customHeight="1">
      <c r="A466" t="inlineStr">
        <is>
          <t>A 64925-2023</t>
        </is>
      </c>
      <c r="B466" s="1" t="n">
        <v>45282</v>
      </c>
      <c r="C466" s="1" t="n">
        <v>46063</v>
      </c>
      <c r="D466" t="inlineStr">
        <is>
          <t>VÄSTMANLANDS LÄN</t>
        </is>
      </c>
      <c r="E466" t="inlineStr">
        <is>
          <t>SALA</t>
        </is>
      </c>
      <c r="G466" t="n">
        <v>2.5</v>
      </c>
      <c r="H466" t="n">
        <v>0</v>
      </c>
      <c r="I466" t="n">
        <v>0</v>
      </c>
      <c r="J466" t="n">
        <v>0</v>
      </c>
      <c r="K466" t="n">
        <v>0</v>
      </c>
      <c r="L466" t="n">
        <v>0</v>
      </c>
      <c r="M466" t="n">
        <v>0</v>
      </c>
      <c r="N466" t="n">
        <v>0</v>
      </c>
      <c r="O466" t="n">
        <v>0</v>
      </c>
      <c r="P466" t="n">
        <v>0</v>
      </c>
      <c r="Q466" t="n">
        <v>0</v>
      </c>
      <c r="R466" s="2" t="inlineStr"/>
    </row>
    <row r="467" ht="15" customHeight="1">
      <c r="A467" t="inlineStr">
        <is>
          <t>A 48570-2024</t>
        </is>
      </c>
      <c r="B467" s="1" t="n">
        <v>45591</v>
      </c>
      <c r="C467" s="1" t="n">
        <v>46063</v>
      </c>
      <c r="D467" t="inlineStr">
        <is>
          <t>VÄSTMANLANDS LÄN</t>
        </is>
      </c>
      <c r="E467" t="inlineStr">
        <is>
          <t>SALA</t>
        </is>
      </c>
      <c r="G467" t="n">
        <v>3</v>
      </c>
      <c r="H467" t="n">
        <v>0</v>
      </c>
      <c r="I467" t="n">
        <v>0</v>
      </c>
      <c r="J467" t="n">
        <v>0</v>
      </c>
      <c r="K467" t="n">
        <v>0</v>
      </c>
      <c r="L467" t="n">
        <v>0</v>
      </c>
      <c r="M467" t="n">
        <v>0</v>
      </c>
      <c r="N467" t="n">
        <v>0</v>
      </c>
      <c r="O467" t="n">
        <v>0</v>
      </c>
      <c r="P467" t="n">
        <v>0</v>
      </c>
      <c r="Q467" t="n">
        <v>0</v>
      </c>
      <c r="R467" s="2" t="inlineStr"/>
    </row>
    <row r="468" ht="15" customHeight="1">
      <c r="A468" t="inlineStr">
        <is>
          <t>A 61517-2024</t>
        </is>
      </c>
      <c r="B468" s="1" t="n">
        <v>45645</v>
      </c>
      <c r="C468" s="1" t="n">
        <v>46063</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46063</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16760-2024</t>
        </is>
      </c>
      <c r="B470" s="1" t="n">
        <v>45411</v>
      </c>
      <c r="C470" s="1" t="n">
        <v>46063</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56611-2025</t>
        </is>
      </c>
      <c r="B471" s="1" t="n">
        <v>45975</v>
      </c>
      <c r="C471" s="1" t="n">
        <v>46063</v>
      </c>
      <c r="D471" t="inlineStr">
        <is>
          <t>VÄSTMANLANDS LÄN</t>
        </is>
      </c>
      <c r="E471" t="inlineStr">
        <is>
          <t>SALA</t>
        </is>
      </c>
      <c r="G471" t="n">
        <v>2.8</v>
      </c>
      <c r="H471" t="n">
        <v>0</v>
      </c>
      <c r="I471" t="n">
        <v>0</v>
      </c>
      <c r="J471" t="n">
        <v>0</v>
      </c>
      <c r="K471" t="n">
        <v>0</v>
      </c>
      <c r="L471" t="n">
        <v>0</v>
      </c>
      <c r="M471" t="n">
        <v>0</v>
      </c>
      <c r="N471" t="n">
        <v>0</v>
      </c>
      <c r="O471" t="n">
        <v>0</v>
      </c>
      <c r="P471" t="n">
        <v>0</v>
      </c>
      <c r="Q471" t="n">
        <v>0</v>
      </c>
      <c r="R471" s="2" t="inlineStr"/>
    </row>
    <row r="472" ht="15" customHeight="1">
      <c r="A472" t="inlineStr">
        <is>
          <t>A 54603-2024</t>
        </is>
      </c>
      <c r="B472" s="1" t="n">
        <v>45617.68224537037</v>
      </c>
      <c r="C472" s="1" t="n">
        <v>46063</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57014-2025</t>
        </is>
      </c>
      <c r="B473" s="1" t="n">
        <v>45978</v>
      </c>
      <c r="C473" s="1" t="n">
        <v>46063</v>
      </c>
      <c r="D473" t="inlineStr">
        <is>
          <t>VÄSTMANLANDS LÄN</t>
        </is>
      </c>
      <c r="E473" t="inlineStr">
        <is>
          <t>SALA</t>
        </is>
      </c>
      <c r="G473" t="n">
        <v>2.2</v>
      </c>
      <c r="H473" t="n">
        <v>0</v>
      </c>
      <c r="I473" t="n">
        <v>0</v>
      </c>
      <c r="J473" t="n">
        <v>0</v>
      </c>
      <c r="K473" t="n">
        <v>0</v>
      </c>
      <c r="L473" t="n">
        <v>0</v>
      </c>
      <c r="M473" t="n">
        <v>0</v>
      </c>
      <c r="N473" t="n">
        <v>0</v>
      </c>
      <c r="O473" t="n">
        <v>0</v>
      </c>
      <c r="P473" t="n">
        <v>0</v>
      </c>
      <c r="Q473" t="n">
        <v>0</v>
      </c>
      <c r="R473" s="2" t="inlineStr"/>
    </row>
    <row r="474" ht="15" customHeight="1">
      <c r="A474" t="inlineStr">
        <is>
          <t>A 56502-2025</t>
        </is>
      </c>
      <c r="B474" s="1" t="n">
        <v>45975</v>
      </c>
      <c r="C474" s="1" t="n">
        <v>46063</v>
      </c>
      <c r="D474" t="inlineStr">
        <is>
          <t>VÄSTMANLANDS LÄN</t>
        </is>
      </c>
      <c r="E474" t="inlineStr">
        <is>
          <t>SALA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46063</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56645-2025</t>
        </is>
      </c>
      <c r="B476" s="1" t="n">
        <v>45975.63063657407</v>
      </c>
      <c r="C476" s="1" t="n">
        <v>46063</v>
      </c>
      <c r="D476" t="inlineStr">
        <is>
          <t>VÄSTMANLANDS LÄN</t>
        </is>
      </c>
      <c r="E476" t="inlineStr">
        <is>
          <t>SALA</t>
        </is>
      </c>
      <c r="F476" t="inlineStr">
        <is>
          <t>Bergvik skog öst AB</t>
        </is>
      </c>
      <c r="G476" t="n">
        <v>5.3</v>
      </c>
      <c r="H476" t="n">
        <v>0</v>
      </c>
      <c r="I476" t="n">
        <v>0</v>
      </c>
      <c r="J476" t="n">
        <v>0</v>
      </c>
      <c r="K476" t="n">
        <v>0</v>
      </c>
      <c r="L476" t="n">
        <v>0</v>
      </c>
      <c r="M476" t="n">
        <v>0</v>
      </c>
      <c r="N476" t="n">
        <v>0</v>
      </c>
      <c r="O476" t="n">
        <v>0</v>
      </c>
      <c r="P476" t="n">
        <v>0</v>
      </c>
      <c r="Q476" t="n">
        <v>0</v>
      </c>
      <c r="R476" s="2" t="inlineStr"/>
    </row>
    <row r="477" ht="15" customHeight="1">
      <c r="A477" t="inlineStr">
        <is>
          <t>A 18762-2024</t>
        </is>
      </c>
      <c r="B477" s="1" t="n">
        <v>45426.55240740741</v>
      </c>
      <c r="C477" s="1" t="n">
        <v>46063</v>
      </c>
      <c r="D477" t="inlineStr">
        <is>
          <t>VÄSTMANLANDS LÄN</t>
        </is>
      </c>
      <c r="E477" t="inlineStr">
        <is>
          <t>SALA</t>
        </is>
      </c>
      <c r="G477" t="n">
        <v>6.2</v>
      </c>
      <c r="H477" t="n">
        <v>0</v>
      </c>
      <c r="I477" t="n">
        <v>0</v>
      </c>
      <c r="J477" t="n">
        <v>0</v>
      </c>
      <c r="K477" t="n">
        <v>0</v>
      </c>
      <c r="L477" t="n">
        <v>0</v>
      </c>
      <c r="M477" t="n">
        <v>0</v>
      </c>
      <c r="N477" t="n">
        <v>0</v>
      </c>
      <c r="O477" t="n">
        <v>0</v>
      </c>
      <c r="P477" t="n">
        <v>0</v>
      </c>
      <c r="Q477" t="n">
        <v>0</v>
      </c>
      <c r="R477" s="2" t="inlineStr"/>
    </row>
    <row r="478" ht="15" customHeight="1">
      <c r="A478" t="inlineStr">
        <is>
          <t>A 17120-2023</t>
        </is>
      </c>
      <c r="B478" s="1" t="n">
        <v>45034</v>
      </c>
      <c r="C478" s="1" t="n">
        <v>46063</v>
      </c>
      <c r="D478" t="inlineStr">
        <is>
          <t>VÄSTMANLANDS LÄN</t>
        </is>
      </c>
      <c r="E478" t="inlineStr">
        <is>
          <t>SALA</t>
        </is>
      </c>
      <c r="G478" t="n">
        <v>0.1</v>
      </c>
      <c r="H478" t="n">
        <v>0</v>
      </c>
      <c r="I478" t="n">
        <v>0</v>
      </c>
      <c r="J478" t="n">
        <v>0</v>
      </c>
      <c r="K478" t="n">
        <v>0</v>
      </c>
      <c r="L478" t="n">
        <v>0</v>
      </c>
      <c r="M478" t="n">
        <v>0</v>
      </c>
      <c r="N478" t="n">
        <v>0</v>
      </c>
      <c r="O478" t="n">
        <v>0</v>
      </c>
      <c r="P478" t="n">
        <v>0</v>
      </c>
      <c r="Q478" t="n">
        <v>0</v>
      </c>
      <c r="R478" s="2" t="inlineStr"/>
    </row>
    <row r="479" ht="15" customHeight="1">
      <c r="A479" t="inlineStr">
        <is>
          <t>A 42938-2023</t>
        </is>
      </c>
      <c r="B479" s="1" t="n">
        <v>45179</v>
      </c>
      <c r="C479" s="1" t="n">
        <v>46063</v>
      </c>
      <c r="D479" t="inlineStr">
        <is>
          <t>VÄSTMANLANDS LÄN</t>
        </is>
      </c>
      <c r="E479" t="inlineStr">
        <is>
          <t>SALA</t>
        </is>
      </c>
      <c r="G479" t="n">
        <v>10.9</v>
      </c>
      <c r="H479" t="n">
        <v>0</v>
      </c>
      <c r="I479" t="n">
        <v>0</v>
      </c>
      <c r="J479" t="n">
        <v>0</v>
      </c>
      <c r="K479" t="n">
        <v>0</v>
      </c>
      <c r="L479" t="n">
        <v>0</v>
      </c>
      <c r="M479" t="n">
        <v>0</v>
      </c>
      <c r="N479" t="n">
        <v>0</v>
      </c>
      <c r="O479" t="n">
        <v>0</v>
      </c>
      <c r="P479" t="n">
        <v>0</v>
      </c>
      <c r="Q479" t="n">
        <v>0</v>
      </c>
      <c r="R479" s="2" t="inlineStr"/>
    </row>
    <row r="480" ht="15" customHeight="1">
      <c r="A480" t="inlineStr">
        <is>
          <t>A 42984-2023</t>
        </is>
      </c>
      <c r="B480" s="1" t="n">
        <v>45179</v>
      </c>
      <c r="C480" s="1" t="n">
        <v>46063</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57412-2025</t>
        </is>
      </c>
      <c r="B481" s="1" t="n">
        <v>45980.44883101852</v>
      </c>
      <c r="C481" s="1" t="n">
        <v>46063</v>
      </c>
      <c r="D481" t="inlineStr">
        <is>
          <t>VÄSTMANLANDS LÄN</t>
        </is>
      </c>
      <c r="E481" t="inlineStr">
        <is>
          <t>SALA</t>
        </is>
      </c>
      <c r="F481" t="inlineStr">
        <is>
          <t>Bergvik skog öst AB</t>
        </is>
      </c>
      <c r="G481" t="n">
        <v>4.5</v>
      </c>
      <c r="H481" t="n">
        <v>0</v>
      </c>
      <c r="I481" t="n">
        <v>0</v>
      </c>
      <c r="J481" t="n">
        <v>0</v>
      </c>
      <c r="K481" t="n">
        <v>0</v>
      </c>
      <c r="L481" t="n">
        <v>0</v>
      </c>
      <c r="M481" t="n">
        <v>0</v>
      </c>
      <c r="N481" t="n">
        <v>0</v>
      </c>
      <c r="O481" t="n">
        <v>0</v>
      </c>
      <c r="P481" t="n">
        <v>0</v>
      </c>
      <c r="Q481" t="n">
        <v>0</v>
      </c>
      <c r="R481" s="2" t="inlineStr"/>
    </row>
    <row r="482" ht="15" customHeight="1">
      <c r="A482" t="inlineStr">
        <is>
          <t>A 15972-2024</t>
        </is>
      </c>
      <c r="B482" s="1" t="n">
        <v>45405.56498842593</v>
      </c>
      <c r="C482" s="1" t="n">
        <v>46063</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39714-2023</t>
        </is>
      </c>
      <c r="B483" s="1" t="n">
        <v>45167.62133101852</v>
      </c>
      <c r="C483" s="1" t="n">
        <v>46063</v>
      </c>
      <c r="D483" t="inlineStr">
        <is>
          <t>VÄSTMANLANDS LÄN</t>
        </is>
      </c>
      <c r="E483" t="inlineStr">
        <is>
          <t>SALA</t>
        </is>
      </c>
      <c r="G483" t="n">
        <v>1.3</v>
      </c>
      <c r="H483" t="n">
        <v>0</v>
      </c>
      <c r="I483" t="n">
        <v>0</v>
      </c>
      <c r="J483" t="n">
        <v>0</v>
      </c>
      <c r="K483" t="n">
        <v>0</v>
      </c>
      <c r="L483" t="n">
        <v>0</v>
      </c>
      <c r="M483" t="n">
        <v>0</v>
      </c>
      <c r="N483" t="n">
        <v>0</v>
      </c>
      <c r="O483" t="n">
        <v>0</v>
      </c>
      <c r="P483" t="n">
        <v>0</v>
      </c>
      <c r="Q483" t="n">
        <v>0</v>
      </c>
      <c r="R483" s="2" t="inlineStr"/>
    </row>
    <row r="484" ht="15" customHeight="1">
      <c r="A484" t="inlineStr">
        <is>
          <t>A 57414-2025</t>
        </is>
      </c>
      <c r="B484" s="1" t="n">
        <v>45980.45003472222</v>
      </c>
      <c r="C484" s="1" t="n">
        <v>46063</v>
      </c>
      <c r="D484" t="inlineStr">
        <is>
          <t>VÄSTMANLANDS LÄN</t>
        </is>
      </c>
      <c r="E484" t="inlineStr">
        <is>
          <t>SALA</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57415-2025</t>
        </is>
      </c>
      <c r="B485" s="1" t="n">
        <v>45980.45099537037</v>
      </c>
      <c r="C485" s="1" t="n">
        <v>46063</v>
      </c>
      <c r="D485" t="inlineStr">
        <is>
          <t>VÄSTMANLANDS LÄN</t>
        </is>
      </c>
      <c r="E485" t="inlineStr">
        <is>
          <t>SALA</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33527-2023</t>
        </is>
      </c>
      <c r="B486" s="1" t="n">
        <v>45131</v>
      </c>
      <c r="C486" s="1" t="n">
        <v>46063</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10913-2025</t>
        </is>
      </c>
      <c r="B487" s="1" t="n">
        <v>45722.73423611111</v>
      </c>
      <c r="C487" s="1" t="n">
        <v>46063</v>
      </c>
      <c r="D487" t="inlineStr">
        <is>
          <t>VÄSTMANLANDS LÄN</t>
        </is>
      </c>
      <c r="E487" t="inlineStr">
        <is>
          <t>SALA</t>
        </is>
      </c>
      <c r="G487" t="n">
        <v>7.6</v>
      </c>
      <c r="H487" t="n">
        <v>0</v>
      </c>
      <c r="I487" t="n">
        <v>0</v>
      </c>
      <c r="J487" t="n">
        <v>0</v>
      </c>
      <c r="K487" t="n">
        <v>0</v>
      </c>
      <c r="L487" t="n">
        <v>0</v>
      </c>
      <c r="M487" t="n">
        <v>0</v>
      </c>
      <c r="N487" t="n">
        <v>0</v>
      </c>
      <c r="O487" t="n">
        <v>0</v>
      </c>
      <c r="P487" t="n">
        <v>0</v>
      </c>
      <c r="Q487" t="n">
        <v>0</v>
      </c>
      <c r="R487" s="2" t="inlineStr"/>
    </row>
    <row r="488" ht="15" customHeight="1">
      <c r="A488" t="inlineStr">
        <is>
          <t>A 58107-2021</t>
        </is>
      </c>
      <c r="B488" s="1" t="n">
        <v>44487</v>
      </c>
      <c r="C488" s="1" t="n">
        <v>46063</v>
      </c>
      <c r="D488" t="inlineStr">
        <is>
          <t>VÄSTMANLANDS LÄN</t>
        </is>
      </c>
      <c r="E488" t="inlineStr">
        <is>
          <t>SALA</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2927-2024</t>
        </is>
      </c>
      <c r="B489" s="1" t="n">
        <v>45315.58989583333</v>
      </c>
      <c r="C489" s="1" t="n">
        <v>46063</v>
      </c>
      <c r="D489" t="inlineStr">
        <is>
          <t>VÄSTMANLANDS LÄN</t>
        </is>
      </c>
      <c r="E489" t="inlineStr">
        <is>
          <t>SALA</t>
        </is>
      </c>
      <c r="G489" t="n">
        <v>2.5</v>
      </c>
      <c r="H489" t="n">
        <v>0</v>
      </c>
      <c r="I489" t="n">
        <v>0</v>
      </c>
      <c r="J489" t="n">
        <v>0</v>
      </c>
      <c r="K489" t="n">
        <v>0</v>
      </c>
      <c r="L489" t="n">
        <v>0</v>
      </c>
      <c r="M489" t="n">
        <v>0</v>
      </c>
      <c r="N489" t="n">
        <v>0</v>
      </c>
      <c r="O489" t="n">
        <v>0</v>
      </c>
      <c r="P489" t="n">
        <v>0</v>
      </c>
      <c r="Q489" t="n">
        <v>0</v>
      </c>
      <c r="R489" s="2" t="inlineStr"/>
    </row>
    <row r="490" ht="15" customHeight="1">
      <c r="A490" t="inlineStr">
        <is>
          <t>A 37183-2024</t>
        </is>
      </c>
      <c r="B490" s="1" t="n">
        <v>45539</v>
      </c>
      <c r="C490" s="1" t="n">
        <v>46063</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58357-2025</t>
        </is>
      </c>
      <c r="B491" s="1" t="n">
        <v>45985.51518518518</v>
      </c>
      <c r="C491" s="1" t="n">
        <v>46063</v>
      </c>
      <c r="D491" t="inlineStr">
        <is>
          <t>VÄSTMANLANDS LÄN</t>
        </is>
      </c>
      <c r="E491" t="inlineStr">
        <is>
          <t>SALA</t>
        </is>
      </c>
      <c r="G491" t="n">
        <v>3</v>
      </c>
      <c r="H491" t="n">
        <v>0</v>
      </c>
      <c r="I491" t="n">
        <v>0</v>
      </c>
      <c r="J491" t="n">
        <v>0</v>
      </c>
      <c r="K491" t="n">
        <v>0</v>
      </c>
      <c r="L491" t="n">
        <v>0</v>
      </c>
      <c r="M491" t="n">
        <v>0</v>
      </c>
      <c r="N491" t="n">
        <v>0</v>
      </c>
      <c r="O491" t="n">
        <v>0</v>
      </c>
      <c r="P491" t="n">
        <v>0</v>
      </c>
      <c r="Q491" t="n">
        <v>0</v>
      </c>
      <c r="R491" s="2" t="inlineStr"/>
    </row>
    <row r="492" ht="15" customHeight="1">
      <c r="A492" t="inlineStr">
        <is>
          <t>A 55760-2025</t>
        </is>
      </c>
      <c r="B492" s="1" t="n">
        <v>45972</v>
      </c>
      <c r="C492" s="1" t="n">
        <v>46063</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58365-2025</t>
        </is>
      </c>
      <c r="B493" s="1" t="n">
        <v>45985.52288194445</v>
      </c>
      <c r="C493" s="1" t="n">
        <v>46063</v>
      </c>
      <c r="D493" t="inlineStr">
        <is>
          <t>VÄSTMANLANDS LÄN</t>
        </is>
      </c>
      <c r="E493" t="inlineStr">
        <is>
          <t>SALA</t>
        </is>
      </c>
      <c r="G493" t="n">
        <v>3.9</v>
      </c>
      <c r="H493" t="n">
        <v>0</v>
      </c>
      <c r="I493" t="n">
        <v>0</v>
      </c>
      <c r="J493" t="n">
        <v>0</v>
      </c>
      <c r="K493" t="n">
        <v>0</v>
      </c>
      <c r="L493" t="n">
        <v>0</v>
      </c>
      <c r="M493" t="n">
        <v>0</v>
      </c>
      <c r="N493" t="n">
        <v>0</v>
      </c>
      <c r="O493" t="n">
        <v>0</v>
      </c>
      <c r="P493" t="n">
        <v>0</v>
      </c>
      <c r="Q493" t="n">
        <v>0</v>
      </c>
      <c r="R493" s="2" t="inlineStr"/>
    </row>
    <row r="494" ht="15" customHeight="1">
      <c r="A494" t="inlineStr">
        <is>
          <t>A 54199-2024</t>
        </is>
      </c>
      <c r="B494" s="1" t="n">
        <v>45616.64703703704</v>
      </c>
      <c r="C494" s="1" t="n">
        <v>46063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60548-2024</t>
        </is>
      </c>
      <c r="B495" s="1" t="n">
        <v>45643.80978009259</v>
      </c>
      <c r="C495" s="1" t="n">
        <v>46063</v>
      </c>
      <c r="D495" t="inlineStr">
        <is>
          <t>VÄSTMANLANDS LÄN</t>
        </is>
      </c>
      <c r="E495" t="inlineStr">
        <is>
          <t>SALA</t>
        </is>
      </c>
      <c r="G495" t="n">
        <v>1.6</v>
      </c>
      <c r="H495" t="n">
        <v>0</v>
      </c>
      <c r="I495" t="n">
        <v>0</v>
      </c>
      <c r="J495" t="n">
        <v>0</v>
      </c>
      <c r="K495" t="n">
        <v>0</v>
      </c>
      <c r="L495" t="n">
        <v>0</v>
      </c>
      <c r="M495" t="n">
        <v>0</v>
      </c>
      <c r="N495" t="n">
        <v>0</v>
      </c>
      <c r="O495" t="n">
        <v>0</v>
      </c>
      <c r="P495" t="n">
        <v>0</v>
      </c>
      <c r="Q495" t="n">
        <v>0</v>
      </c>
      <c r="R495" s="2" t="inlineStr"/>
    </row>
    <row r="496" ht="15" customHeight="1">
      <c r="A496" t="inlineStr">
        <is>
          <t>A 58282-2025</t>
        </is>
      </c>
      <c r="B496" s="1" t="n">
        <v>45985.44309027777</v>
      </c>
      <c r="C496" s="1" t="n">
        <v>46063</v>
      </c>
      <c r="D496" t="inlineStr">
        <is>
          <t>VÄSTMANLANDS LÄN</t>
        </is>
      </c>
      <c r="E496" t="inlineStr">
        <is>
          <t>SALA</t>
        </is>
      </c>
      <c r="G496" t="n">
        <v>8.9</v>
      </c>
      <c r="H496" t="n">
        <v>0</v>
      </c>
      <c r="I496" t="n">
        <v>0</v>
      </c>
      <c r="J496" t="n">
        <v>0</v>
      </c>
      <c r="K496" t="n">
        <v>0</v>
      </c>
      <c r="L496" t="n">
        <v>0</v>
      </c>
      <c r="M496" t="n">
        <v>0</v>
      </c>
      <c r="N496" t="n">
        <v>0</v>
      </c>
      <c r="O496" t="n">
        <v>0</v>
      </c>
      <c r="P496" t="n">
        <v>0</v>
      </c>
      <c r="Q496" t="n">
        <v>0</v>
      </c>
      <c r="R496" s="2" t="inlineStr"/>
    </row>
    <row r="497" ht="15" customHeight="1">
      <c r="A497" t="inlineStr">
        <is>
          <t>A 58359-2025</t>
        </is>
      </c>
      <c r="B497" s="1" t="n">
        <v>45985.51594907408</v>
      </c>
      <c r="C497" s="1" t="n">
        <v>46063</v>
      </c>
      <c r="D497" t="inlineStr">
        <is>
          <t>VÄSTMANLANDS LÄN</t>
        </is>
      </c>
      <c r="E497" t="inlineStr">
        <is>
          <t>SALA</t>
        </is>
      </c>
      <c r="G497" t="n">
        <v>3.7</v>
      </c>
      <c r="H497" t="n">
        <v>0</v>
      </c>
      <c r="I497" t="n">
        <v>0</v>
      </c>
      <c r="J497" t="n">
        <v>0</v>
      </c>
      <c r="K497" t="n">
        <v>0</v>
      </c>
      <c r="L497" t="n">
        <v>0</v>
      </c>
      <c r="M497" t="n">
        <v>0</v>
      </c>
      <c r="N497" t="n">
        <v>0</v>
      </c>
      <c r="O497" t="n">
        <v>0</v>
      </c>
      <c r="P497" t="n">
        <v>0</v>
      </c>
      <c r="Q497" t="n">
        <v>0</v>
      </c>
      <c r="R497" s="2" t="inlineStr"/>
    </row>
    <row r="498" ht="15" customHeight="1">
      <c r="A498" t="inlineStr">
        <is>
          <t>A 58364-2025</t>
        </is>
      </c>
      <c r="B498" s="1" t="n">
        <v>45985.5228125</v>
      </c>
      <c r="C498" s="1" t="n">
        <v>46063</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910-2026</t>
        </is>
      </c>
      <c r="B499" s="1" t="n">
        <v>46030.4771412037</v>
      </c>
      <c r="C499" s="1" t="n">
        <v>46063</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51247-2025</t>
        </is>
      </c>
      <c r="B500" s="1" t="n">
        <v>45947.86487268518</v>
      </c>
      <c r="C500" s="1" t="n">
        <v>46063</v>
      </c>
      <c r="D500" t="inlineStr">
        <is>
          <t>VÄSTMANLANDS LÄN</t>
        </is>
      </c>
      <c r="E500" t="inlineStr">
        <is>
          <t>SALA</t>
        </is>
      </c>
      <c r="G500" t="n">
        <v>10.4</v>
      </c>
      <c r="H500" t="n">
        <v>0</v>
      </c>
      <c r="I500" t="n">
        <v>0</v>
      </c>
      <c r="J500" t="n">
        <v>0</v>
      </c>
      <c r="K500" t="n">
        <v>0</v>
      </c>
      <c r="L500" t="n">
        <v>0</v>
      </c>
      <c r="M500" t="n">
        <v>0</v>
      </c>
      <c r="N500" t="n">
        <v>0</v>
      </c>
      <c r="O500" t="n">
        <v>0</v>
      </c>
      <c r="P500" t="n">
        <v>0</v>
      </c>
      <c r="Q500" t="n">
        <v>0</v>
      </c>
      <c r="R500" s="2" t="inlineStr"/>
    </row>
    <row r="501" ht="15" customHeight="1">
      <c r="A501" t="inlineStr">
        <is>
          <t>A 57895-2024</t>
        </is>
      </c>
      <c r="B501" s="1" t="n">
        <v>45631</v>
      </c>
      <c r="C501" s="1" t="n">
        <v>46063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914-2026</t>
        </is>
      </c>
      <c r="B502" s="1" t="n">
        <v>46030.47952546296</v>
      </c>
      <c r="C502" s="1" t="n">
        <v>46063</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31597-2024</t>
        </is>
      </c>
      <c r="B503" s="1" t="n">
        <v>45506</v>
      </c>
      <c r="C503" s="1" t="n">
        <v>46063</v>
      </c>
      <c r="D503" t="inlineStr">
        <is>
          <t>VÄSTMANLANDS LÄN</t>
        </is>
      </c>
      <c r="E503" t="inlineStr">
        <is>
          <t>SALA</t>
        </is>
      </c>
      <c r="G503" t="n">
        <v>2.4</v>
      </c>
      <c r="H503" t="n">
        <v>0</v>
      </c>
      <c r="I503" t="n">
        <v>0</v>
      </c>
      <c r="J503" t="n">
        <v>0</v>
      </c>
      <c r="K503" t="n">
        <v>0</v>
      </c>
      <c r="L503" t="n">
        <v>0</v>
      </c>
      <c r="M503" t="n">
        <v>0</v>
      </c>
      <c r="N503" t="n">
        <v>0</v>
      </c>
      <c r="O503" t="n">
        <v>0</v>
      </c>
      <c r="P503" t="n">
        <v>0</v>
      </c>
      <c r="Q503" t="n">
        <v>0</v>
      </c>
      <c r="R503" s="2" t="inlineStr"/>
    </row>
    <row r="504" ht="15" customHeight="1">
      <c r="A504" t="inlineStr">
        <is>
          <t>A 17458-2024</t>
        </is>
      </c>
      <c r="B504" s="1" t="n">
        <v>45415</v>
      </c>
      <c r="C504" s="1" t="n">
        <v>46063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56543-2024</t>
        </is>
      </c>
      <c r="B505" s="1" t="n">
        <v>45625</v>
      </c>
      <c r="C505" s="1" t="n">
        <v>46063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948-2026</t>
        </is>
      </c>
      <c r="B506" s="1" t="n">
        <v>46030.53986111111</v>
      </c>
      <c r="C506" s="1" t="n">
        <v>46063</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28661-2024</t>
        </is>
      </c>
      <c r="B507" s="1" t="n">
        <v>45478</v>
      </c>
      <c r="C507" s="1" t="n">
        <v>46063</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2529-2022</t>
        </is>
      </c>
      <c r="B508" s="1" t="n">
        <v>44579.86452546297</v>
      </c>
      <c r="C508" s="1" t="n">
        <v>46063</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56540-2024</t>
        </is>
      </c>
      <c r="B509" s="1" t="n">
        <v>45625</v>
      </c>
      <c r="C509" s="1" t="n">
        <v>46063</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31599-2024</t>
        </is>
      </c>
      <c r="B510" s="1" t="n">
        <v>45506</v>
      </c>
      <c r="C510" s="1" t="n">
        <v>46063</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31601-2024</t>
        </is>
      </c>
      <c r="B511" s="1" t="n">
        <v>45506</v>
      </c>
      <c r="C511" s="1" t="n">
        <v>46063</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31608-2024</t>
        </is>
      </c>
      <c r="B512" s="1" t="n">
        <v>45506</v>
      </c>
      <c r="C512" s="1" t="n">
        <v>46063</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31612-2024</t>
        </is>
      </c>
      <c r="B513" s="1" t="n">
        <v>45506</v>
      </c>
      <c r="C513" s="1" t="n">
        <v>46063</v>
      </c>
      <c r="D513" t="inlineStr">
        <is>
          <t>VÄSTMANLANDS LÄN</t>
        </is>
      </c>
      <c r="E513" t="inlineStr">
        <is>
          <t>SALA</t>
        </is>
      </c>
      <c r="G513" t="n">
        <v>3.2</v>
      </c>
      <c r="H513" t="n">
        <v>0</v>
      </c>
      <c r="I513" t="n">
        <v>0</v>
      </c>
      <c r="J513" t="n">
        <v>0</v>
      </c>
      <c r="K513" t="n">
        <v>0</v>
      </c>
      <c r="L513" t="n">
        <v>0</v>
      </c>
      <c r="M513" t="n">
        <v>0</v>
      </c>
      <c r="N513" t="n">
        <v>0</v>
      </c>
      <c r="O513" t="n">
        <v>0</v>
      </c>
      <c r="P513" t="n">
        <v>0</v>
      </c>
      <c r="Q513" t="n">
        <v>0</v>
      </c>
      <c r="R513" s="2" t="inlineStr"/>
    </row>
    <row r="514" ht="15" customHeight="1">
      <c r="A514" t="inlineStr">
        <is>
          <t>A 59817-2025</t>
        </is>
      </c>
      <c r="B514" s="1" t="n">
        <v>45992.63711805556</v>
      </c>
      <c r="C514" s="1" t="n">
        <v>46063</v>
      </c>
      <c r="D514" t="inlineStr">
        <is>
          <t>VÄSTMANLANDS LÄN</t>
        </is>
      </c>
      <c r="E514" t="inlineStr">
        <is>
          <t>SALA</t>
        </is>
      </c>
      <c r="G514" t="n">
        <v>6.9</v>
      </c>
      <c r="H514" t="n">
        <v>0</v>
      </c>
      <c r="I514" t="n">
        <v>0</v>
      </c>
      <c r="J514" t="n">
        <v>0</v>
      </c>
      <c r="K514" t="n">
        <v>0</v>
      </c>
      <c r="L514" t="n">
        <v>0</v>
      </c>
      <c r="M514" t="n">
        <v>0</v>
      </c>
      <c r="N514" t="n">
        <v>0</v>
      </c>
      <c r="O514" t="n">
        <v>0</v>
      </c>
      <c r="P514" t="n">
        <v>0</v>
      </c>
      <c r="Q514" t="n">
        <v>0</v>
      </c>
      <c r="R514" s="2" t="inlineStr"/>
    </row>
    <row r="515" ht="15" customHeight="1">
      <c r="A515" t="inlineStr">
        <is>
          <t>A 10579-2022</t>
        </is>
      </c>
      <c r="B515" s="1" t="n">
        <v>44624</v>
      </c>
      <c r="C515" s="1" t="n">
        <v>46063</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59390-2025</t>
        </is>
      </c>
      <c r="B516" s="1" t="n">
        <v>45989.4640162037</v>
      </c>
      <c r="C516" s="1" t="n">
        <v>46063</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59385-2025</t>
        </is>
      </c>
      <c r="B517" s="1" t="n">
        <v>45989.45746527778</v>
      </c>
      <c r="C517" s="1" t="n">
        <v>46063</v>
      </c>
      <c r="D517" t="inlineStr">
        <is>
          <t>VÄSTMANLANDS LÄN</t>
        </is>
      </c>
      <c r="E517" t="inlineStr">
        <is>
          <t>SALA</t>
        </is>
      </c>
      <c r="G517" t="n">
        <v>0.4</v>
      </c>
      <c r="H517" t="n">
        <v>0</v>
      </c>
      <c r="I517" t="n">
        <v>0</v>
      </c>
      <c r="J517" t="n">
        <v>0</v>
      </c>
      <c r="K517" t="n">
        <v>0</v>
      </c>
      <c r="L517" t="n">
        <v>0</v>
      </c>
      <c r="M517" t="n">
        <v>0</v>
      </c>
      <c r="N517" t="n">
        <v>0</v>
      </c>
      <c r="O517" t="n">
        <v>0</v>
      </c>
      <c r="P517" t="n">
        <v>0</v>
      </c>
      <c r="Q517" t="n">
        <v>0</v>
      </c>
      <c r="R517" s="2" t="inlineStr"/>
    </row>
    <row r="518" ht="15" customHeight="1">
      <c r="A518" t="inlineStr">
        <is>
          <t>A 1705-2026</t>
        </is>
      </c>
      <c r="B518" s="1" t="n">
        <v>46034.59930555556</v>
      </c>
      <c r="C518" s="1" t="n">
        <v>46063</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64693-2023</t>
        </is>
      </c>
      <c r="B519" s="1" t="n">
        <v>45281.63850694444</v>
      </c>
      <c r="C519" s="1" t="n">
        <v>46063</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64695-2023</t>
        </is>
      </c>
      <c r="B520" s="1" t="n">
        <v>45281.64099537037</v>
      </c>
      <c r="C520" s="1" t="n">
        <v>46063</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60017-2025</t>
        </is>
      </c>
      <c r="B521" s="1" t="n">
        <v>45993.59998842593</v>
      </c>
      <c r="C521" s="1" t="n">
        <v>46063</v>
      </c>
      <c r="D521" t="inlineStr">
        <is>
          <t>VÄSTMANLANDS LÄN</t>
        </is>
      </c>
      <c r="E521" t="inlineStr">
        <is>
          <t>SALA</t>
        </is>
      </c>
      <c r="G521" t="n">
        <v>4.4</v>
      </c>
      <c r="H521" t="n">
        <v>0</v>
      </c>
      <c r="I521" t="n">
        <v>0</v>
      </c>
      <c r="J521" t="n">
        <v>0</v>
      </c>
      <c r="K521" t="n">
        <v>0</v>
      </c>
      <c r="L521" t="n">
        <v>0</v>
      </c>
      <c r="M521" t="n">
        <v>0</v>
      </c>
      <c r="N521" t="n">
        <v>0</v>
      </c>
      <c r="O521" t="n">
        <v>0</v>
      </c>
      <c r="P521" t="n">
        <v>0</v>
      </c>
      <c r="Q521" t="n">
        <v>0</v>
      </c>
      <c r="R521" s="2" t="inlineStr"/>
    </row>
    <row r="522" ht="15" customHeight="1">
      <c r="A522" t="inlineStr">
        <is>
          <t>A 60258-2025</t>
        </is>
      </c>
      <c r="B522" s="1" t="n">
        <v>45994.6064699074</v>
      </c>
      <c r="C522" s="1" t="n">
        <v>46063</v>
      </c>
      <c r="D522" t="inlineStr">
        <is>
          <t>VÄSTMANLANDS LÄN</t>
        </is>
      </c>
      <c r="E522" t="inlineStr">
        <is>
          <t>SALA</t>
        </is>
      </c>
      <c r="G522" t="n">
        <v>2.2</v>
      </c>
      <c r="H522" t="n">
        <v>0</v>
      </c>
      <c r="I522" t="n">
        <v>0</v>
      </c>
      <c r="J522" t="n">
        <v>0</v>
      </c>
      <c r="K522" t="n">
        <v>0</v>
      </c>
      <c r="L522" t="n">
        <v>0</v>
      </c>
      <c r="M522" t="n">
        <v>0</v>
      </c>
      <c r="N522" t="n">
        <v>0</v>
      </c>
      <c r="O522" t="n">
        <v>0</v>
      </c>
      <c r="P522" t="n">
        <v>0</v>
      </c>
      <c r="Q522" t="n">
        <v>0</v>
      </c>
      <c r="R522" s="2" t="inlineStr"/>
    </row>
    <row r="523" ht="15" customHeight="1">
      <c r="A523" t="inlineStr">
        <is>
          <t>A 60241-2025</t>
        </is>
      </c>
      <c r="B523" s="1" t="n">
        <v>45994.58454861111</v>
      </c>
      <c r="C523" s="1" t="n">
        <v>46063</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59870-2025</t>
        </is>
      </c>
      <c r="B524" s="1" t="n">
        <v>45992.92226851852</v>
      </c>
      <c r="C524" s="1" t="n">
        <v>46063</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60259-2025</t>
        </is>
      </c>
      <c r="B525" s="1" t="n">
        <v>45994.60913194445</v>
      </c>
      <c r="C525" s="1" t="n">
        <v>46063</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60246-2025</t>
        </is>
      </c>
      <c r="B526" s="1" t="n">
        <v>45994.58931712963</v>
      </c>
      <c r="C526" s="1" t="n">
        <v>46063</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55784-2024</t>
        </is>
      </c>
      <c r="B527" s="1" t="n">
        <v>45623</v>
      </c>
      <c r="C527" s="1" t="n">
        <v>46063</v>
      </c>
      <c r="D527" t="inlineStr">
        <is>
          <t>VÄSTMANLANDS LÄN</t>
        </is>
      </c>
      <c r="E527" t="inlineStr">
        <is>
          <t>SALA</t>
        </is>
      </c>
      <c r="F527" t="inlineStr">
        <is>
          <t>Bergvik skog öst AB</t>
        </is>
      </c>
      <c r="G527" t="n">
        <v>28.4</v>
      </c>
      <c r="H527" t="n">
        <v>0</v>
      </c>
      <c r="I527" t="n">
        <v>0</v>
      </c>
      <c r="J527" t="n">
        <v>0</v>
      </c>
      <c r="K527" t="n">
        <v>0</v>
      </c>
      <c r="L527" t="n">
        <v>0</v>
      </c>
      <c r="M527" t="n">
        <v>0</v>
      </c>
      <c r="N527" t="n">
        <v>0</v>
      </c>
      <c r="O527" t="n">
        <v>0</v>
      </c>
      <c r="P527" t="n">
        <v>0</v>
      </c>
      <c r="Q527" t="n">
        <v>0</v>
      </c>
      <c r="R527" s="2" t="inlineStr"/>
    </row>
    <row r="528" ht="15" customHeight="1">
      <c r="A528" t="inlineStr">
        <is>
          <t>A 60254-2025</t>
        </is>
      </c>
      <c r="B528" s="1" t="n">
        <v>45994.60146990741</v>
      </c>
      <c r="C528" s="1" t="n">
        <v>46063</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59926-2025</t>
        </is>
      </c>
      <c r="B529" s="1" t="n">
        <v>45993.39221064815</v>
      </c>
      <c r="C529" s="1" t="n">
        <v>46063</v>
      </c>
      <c r="D529" t="inlineStr">
        <is>
          <t>VÄSTMANLANDS LÄN</t>
        </is>
      </c>
      <c r="E529" t="inlineStr">
        <is>
          <t>SALA</t>
        </is>
      </c>
      <c r="G529" t="n">
        <v>7.1</v>
      </c>
      <c r="H529" t="n">
        <v>0</v>
      </c>
      <c r="I529" t="n">
        <v>0</v>
      </c>
      <c r="J529" t="n">
        <v>0</v>
      </c>
      <c r="K529" t="n">
        <v>0</v>
      </c>
      <c r="L529" t="n">
        <v>0</v>
      </c>
      <c r="M529" t="n">
        <v>0</v>
      </c>
      <c r="N529" t="n">
        <v>0</v>
      </c>
      <c r="O529" t="n">
        <v>0</v>
      </c>
      <c r="P529" t="n">
        <v>0</v>
      </c>
      <c r="Q529" t="n">
        <v>0</v>
      </c>
      <c r="R529" s="2" t="inlineStr"/>
    </row>
    <row r="530" ht="15" customHeight="1">
      <c r="A530" t="inlineStr">
        <is>
          <t>A 29542-2023</t>
        </is>
      </c>
      <c r="B530" s="1" t="n">
        <v>45098</v>
      </c>
      <c r="C530" s="1" t="n">
        <v>46063</v>
      </c>
      <c r="D530" t="inlineStr">
        <is>
          <t>VÄSTMANLANDS LÄN</t>
        </is>
      </c>
      <c r="E530" t="inlineStr">
        <is>
          <t>SALA</t>
        </is>
      </c>
      <c r="G530" t="n">
        <v>4.8</v>
      </c>
      <c r="H530" t="n">
        <v>0</v>
      </c>
      <c r="I530" t="n">
        <v>0</v>
      </c>
      <c r="J530" t="n">
        <v>0</v>
      </c>
      <c r="K530" t="n">
        <v>0</v>
      </c>
      <c r="L530" t="n">
        <v>0</v>
      </c>
      <c r="M530" t="n">
        <v>0</v>
      </c>
      <c r="N530" t="n">
        <v>0</v>
      </c>
      <c r="O530" t="n">
        <v>0</v>
      </c>
      <c r="P530" t="n">
        <v>0</v>
      </c>
      <c r="Q530" t="n">
        <v>0</v>
      </c>
      <c r="R530" s="2" t="inlineStr"/>
    </row>
    <row r="531" ht="15" customHeight="1">
      <c r="A531" t="inlineStr">
        <is>
          <t>A 27038-2023</t>
        </is>
      </c>
      <c r="B531" s="1" t="n">
        <v>45095</v>
      </c>
      <c r="C531" s="1" t="n">
        <v>46063</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60629-2025</t>
        </is>
      </c>
      <c r="B532" s="1" t="n">
        <v>45996.41972222222</v>
      </c>
      <c r="C532" s="1" t="n">
        <v>46063</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17051-2025</t>
        </is>
      </c>
      <c r="B533" s="1" t="n">
        <v>45755</v>
      </c>
      <c r="C533" s="1" t="n">
        <v>46063</v>
      </c>
      <c r="D533" t="inlineStr">
        <is>
          <t>VÄSTMANLANDS LÄN</t>
        </is>
      </c>
      <c r="E533" t="inlineStr">
        <is>
          <t>SALA</t>
        </is>
      </c>
      <c r="G533" t="n">
        <v>2.9</v>
      </c>
      <c r="H533" t="n">
        <v>0</v>
      </c>
      <c r="I533" t="n">
        <v>0</v>
      </c>
      <c r="J533" t="n">
        <v>0</v>
      </c>
      <c r="K533" t="n">
        <v>0</v>
      </c>
      <c r="L533" t="n">
        <v>0</v>
      </c>
      <c r="M533" t="n">
        <v>0</v>
      </c>
      <c r="N533" t="n">
        <v>0</v>
      </c>
      <c r="O533" t="n">
        <v>0</v>
      </c>
      <c r="P533" t="n">
        <v>0</v>
      </c>
      <c r="Q533" t="n">
        <v>0</v>
      </c>
      <c r="R533" s="2" t="inlineStr"/>
    </row>
    <row r="534" ht="15" customHeight="1">
      <c r="A534" t="inlineStr">
        <is>
          <t>A 8285-2025</t>
        </is>
      </c>
      <c r="B534" s="1" t="n">
        <v>45708</v>
      </c>
      <c r="C534" s="1" t="n">
        <v>46063</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14010-2021</t>
        </is>
      </c>
      <c r="B535" s="1" t="n">
        <v>44277.63396990741</v>
      </c>
      <c r="C535" s="1" t="n">
        <v>46063</v>
      </c>
      <c r="D535" t="inlineStr">
        <is>
          <t>VÄSTMANLANDS LÄN</t>
        </is>
      </c>
      <c r="E535" t="inlineStr">
        <is>
          <t>SALA</t>
        </is>
      </c>
      <c r="G535" t="n">
        <v>3.5</v>
      </c>
      <c r="H535" t="n">
        <v>0</v>
      </c>
      <c r="I535" t="n">
        <v>0</v>
      </c>
      <c r="J535" t="n">
        <v>0</v>
      </c>
      <c r="K535" t="n">
        <v>0</v>
      </c>
      <c r="L535" t="n">
        <v>0</v>
      </c>
      <c r="M535" t="n">
        <v>0</v>
      </c>
      <c r="N535" t="n">
        <v>0</v>
      </c>
      <c r="O535" t="n">
        <v>0</v>
      </c>
      <c r="P535" t="n">
        <v>0</v>
      </c>
      <c r="Q535" t="n">
        <v>0</v>
      </c>
      <c r="R535" s="2" t="inlineStr"/>
    </row>
    <row r="536" ht="15" customHeight="1">
      <c r="A536" t="inlineStr">
        <is>
          <t>A 22019-2021</t>
        </is>
      </c>
      <c r="B536" s="1" t="n">
        <v>44323</v>
      </c>
      <c r="C536" s="1" t="n">
        <v>46063</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57404-2024</t>
        </is>
      </c>
      <c r="B537" s="1" t="n">
        <v>45629.71967592592</v>
      </c>
      <c r="C537" s="1" t="n">
        <v>46063</v>
      </c>
      <c r="D537" t="inlineStr">
        <is>
          <t>VÄSTMANLANDS LÄN</t>
        </is>
      </c>
      <c r="E537" t="inlineStr">
        <is>
          <t>SALA</t>
        </is>
      </c>
      <c r="G537" t="n">
        <v>0.3</v>
      </c>
      <c r="H537" t="n">
        <v>0</v>
      </c>
      <c r="I537" t="n">
        <v>0</v>
      </c>
      <c r="J537" t="n">
        <v>0</v>
      </c>
      <c r="K537" t="n">
        <v>0</v>
      </c>
      <c r="L537" t="n">
        <v>0</v>
      </c>
      <c r="M537" t="n">
        <v>0</v>
      </c>
      <c r="N537" t="n">
        <v>0</v>
      </c>
      <c r="O537" t="n">
        <v>0</v>
      </c>
      <c r="P537" t="n">
        <v>0</v>
      </c>
      <c r="Q537" t="n">
        <v>0</v>
      </c>
      <c r="R537" s="2" t="inlineStr"/>
    </row>
    <row r="538" ht="15" customHeight="1">
      <c r="A538" t="inlineStr">
        <is>
          <t>A 21777-2022</t>
        </is>
      </c>
      <c r="B538" s="1" t="n">
        <v>44708.48194444444</v>
      </c>
      <c r="C538" s="1" t="n">
        <v>46063</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17866-2025</t>
        </is>
      </c>
      <c r="B539" s="1" t="n">
        <v>45758</v>
      </c>
      <c r="C539" s="1" t="n">
        <v>46063</v>
      </c>
      <c r="D539" t="inlineStr">
        <is>
          <t>VÄSTMANLANDS LÄN</t>
        </is>
      </c>
      <c r="E539" t="inlineStr">
        <is>
          <t>SALA</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33732-2023</t>
        </is>
      </c>
      <c r="B540" s="1" t="n">
        <v>45133.32409722222</v>
      </c>
      <c r="C540" s="1" t="n">
        <v>46063</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7166-2025</t>
        </is>
      </c>
      <c r="B541" s="1" t="n">
        <v>45702</v>
      </c>
      <c r="C541" s="1" t="n">
        <v>46063</v>
      </c>
      <c r="D541" t="inlineStr">
        <is>
          <t>VÄSTMANLANDS LÄN</t>
        </is>
      </c>
      <c r="E541" t="inlineStr">
        <is>
          <t>SALA</t>
        </is>
      </c>
      <c r="G541" t="n">
        <v>6.1</v>
      </c>
      <c r="H541" t="n">
        <v>0</v>
      </c>
      <c r="I541" t="n">
        <v>0</v>
      </c>
      <c r="J541" t="n">
        <v>0</v>
      </c>
      <c r="K541" t="n">
        <v>0</v>
      </c>
      <c r="L541" t="n">
        <v>0</v>
      </c>
      <c r="M541" t="n">
        <v>0</v>
      </c>
      <c r="N541" t="n">
        <v>0</v>
      </c>
      <c r="O541" t="n">
        <v>0</v>
      </c>
      <c r="P541" t="n">
        <v>0</v>
      </c>
      <c r="Q541" t="n">
        <v>0</v>
      </c>
      <c r="R541" s="2" t="inlineStr"/>
    </row>
    <row r="542" ht="15" customHeight="1">
      <c r="A542" t="inlineStr">
        <is>
          <t>A 44857-2023</t>
        </is>
      </c>
      <c r="B542" s="1" t="n">
        <v>45190.58479166667</v>
      </c>
      <c r="C542" s="1" t="n">
        <v>46063</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46352-2023</t>
        </is>
      </c>
      <c r="B543" s="1" t="n">
        <v>45192</v>
      </c>
      <c r="C543" s="1" t="n">
        <v>46063</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22397-2022</t>
        </is>
      </c>
      <c r="B544" s="1" t="n">
        <v>44713</v>
      </c>
      <c r="C544" s="1" t="n">
        <v>46063</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27424-2023</t>
        </is>
      </c>
      <c r="B545" s="1" t="n">
        <v>45097.37690972222</v>
      </c>
      <c r="C545" s="1" t="n">
        <v>46063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7469-2025</t>
        </is>
      </c>
      <c r="B546" s="1" t="n">
        <v>45705</v>
      </c>
      <c r="C546" s="1" t="n">
        <v>46063</v>
      </c>
      <c r="D546" t="inlineStr">
        <is>
          <t>VÄSTMANLANDS LÄN</t>
        </is>
      </c>
      <c r="E546" t="inlineStr">
        <is>
          <t>SALA</t>
        </is>
      </c>
      <c r="G546" t="n">
        <v>2.1</v>
      </c>
      <c r="H546" t="n">
        <v>0</v>
      </c>
      <c r="I546" t="n">
        <v>0</v>
      </c>
      <c r="J546" t="n">
        <v>0</v>
      </c>
      <c r="K546" t="n">
        <v>0</v>
      </c>
      <c r="L546" t="n">
        <v>0</v>
      </c>
      <c r="M546" t="n">
        <v>0</v>
      </c>
      <c r="N546" t="n">
        <v>0</v>
      </c>
      <c r="O546" t="n">
        <v>0</v>
      </c>
      <c r="P546" t="n">
        <v>0</v>
      </c>
      <c r="Q546" t="n">
        <v>0</v>
      </c>
      <c r="R546" s="2" t="inlineStr"/>
    </row>
    <row r="547" ht="15" customHeight="1">
      <c r="A547" t="inlineStr">
        <is>
          <t>A 6691-2025</t>
        </is>
      </c>
      <c r="B547" s="1" t="n">
        <v>45700.50625</v>
      </c>
      <c r="C547" s="1" t="n">
        <v>46063</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60036-2024</t>
        </is>
      </c>
      <c r="B548" s="1" t="n">
        <v>45642.46434027778</v>
      </c>
      <c r="C548" s="1" t="n">
        <v>46063</v>
      </c>
      <c r="D548" t="inlineStr">
        <is>
          <t>VÄSTMANLANDS LÄN</t>
        </is>
      </c>
      <c r="E548" t="inlineStr">
        <is>
          <t>SALA</t>
        </is>
      </c>
      <c r="G548" t="n">
        <v>2.5</v>
      </c>
      <c r="H548" t="n">
        <v>0</v>
      </c>
      <c r="I548" t="n">
        <v>0</v>
      </c>
      <c r="J548" t="n">
        <v>0</v>
      </c>
      <c r="K548" t="n">
        <v>0</v>
      </c>
      <c r="L548" t="n">
        <v>0</v>
      </c>
      <c r="M548" t="n">
        <v>0</v>
      </c>
      <c r="N548" t="n">
        <v>0</v>
      </c>
      <c r="O548" t="n">
        <v>0</v>
      </c>
      <c r="P548" t="n">
        <v>0</v>
      </c>
      <c r="Q548" t="n">
        <v>0</v>
      </c>
      <c r="R548" s="2" t="inlineStr"/>
    </row>
    <row r="549" ht="15" customHeight="1">
      <c r="A549" t="inlineStr">
        <is>
          <t>A 43188-2023</t>
        </is>
      </c>
      <c r="B549" s="1" t="n">
        <v>45183</v>
      </c>
      <c r="C549" s="1" t="n">
        <v>46063</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43205-2023</t>
        </is>
      </c>
      <c r="B550" s="1" t="n">
        <v>45183</v>
      </c>
      <c r="C550" s="1" t="n">
        <v>46063</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28827-2022</t>
        </is>
      </c>
      <c r="B551" s="1" t="n">
        <v>44749.45561342593</v>
      </c>
      <c r="C551" s="1" t="n">
        <v>46063</v>
      </c>
      <c r="D551" t="inlineStr">
        <is>
          <t>VÄSTMANLANDS LÄN</t>
        </is>
      </c>
      <c r="E551" t="inlineStr">
        <is>
          <t>SALA</t>
        </is>
      </c>
      <c r="F551" t="inlineStr">
        <is>
          <t>Kommuner</t>
        </is>
      </c>
      <c r="G551" t="n">
        <v>11.9</v>
      </c>
      <c r="H551" t="n">
        <v>0</v>
      </c>
      <c r="I551" t="n">
        <v>0</v>
      </c>
      <c r="J551" t="n">
        <v>0</v>
      </c>
      <c r="K551" t="n">
        <v>0</v>
      </c>
      <c r="L551" t="n">
        <v>0</v>
      </c>
      <c r="M551" t="n">
        <v>0</v>
      </c>
      <c r="N551" t="n">
        <v>0</v>
      </c>
      <c r="O551" t="n">
        <v>0</v>
      </c>
      <c r="P551" t="n">
        <v>0</v>
      </c>
      <c r="Q551" t="n">
        <v>0</v>
      </c>
      <c r="R551" s="2" t="inlineStr"/>
    </row>
    <row r="552" ht="15" customHeight="1">
      <c r="A552" t="inlineStr">
        <is>
          <t>A 61522-2025</t>
        </is>
      </c>
      <c r="B552" s="1" t="n">
        <v>46001.68684027778</v>
      </c>
      <c r="C552" s="1" t="n">
        <v>46063</v>
      </c>
      <c r="D552" t="inlineStr">
        <is>
          <t>VÄSTMANLANDS LÄN</t>
        </is>
      </c>
      <c r="E552" t="inlineStr">
        <is>
          <t>SALA</t>
        </is>
      </c>
      <c r="G552" t="n">
        <v>5.7</v>
      </c>
      <c r="H552" t="n">
        <v>0</v>
      </c>
      <c r="I552" t="n">
        <v>0</v>
      </c>
      <c r="J552" t="n">
        <v>0</v>
      </c>
      <c r="K552" t="n">
        <v>0</v>
      </c>
      <c r="L552" t="n">
        <v>0</v>
      </c>
      <c r="M552" t="n">
        <v>0</v>
      </c>
      <c r="N552" t="n">
        <v>0</v>
      </c>
      <c r="O552" t="n">
        <v>0</v>
      </c>
      <c r="P552" t="n">
        <v>0</v>
      </c>
      <c r="Q552" t="n">
        <v>0</v>
      </c>
      <c r="R552" s="2" t="inlineStr"/>
    </row>
    <row r="553" ht="15" customHeight="1">
      <c r="A553" t="inlineStr">
        <is>
          <t>A 15756-2025</t>
        </is>
      </c>
      <c r="B553" s="1" t="n">
        <v>45748.56810185185</v>
      </c>
      <c r="C553" s="1" t="n">
        <v>46063</v>
      </c>
      <c r="D553" t="inlineStr">
        <is>
          <t>VÄSTMANLANDS LÄN</t>
        </is>
      </c>
      <c r="E553" t="inlineStr">
        <is>
          <t>SALA</t>
        </is>
      </c>
      <c r="F553" t="inlineStr">
        <is>
          <t>Bergvik skog öst AB</t>
        </is>
      </c>
      <c r="G553" t="n">
        <v>0.8</v>
      </c>
      <c r="H553" t="n">
        <v>0</v>
      </c>
      <c r="I553" t="n">
        <v>0</v>
      </c>
      <c r="J553" t="n">
        <v>0</v>
      </c>
      <c r="K553" t="n">
        <v>0</v>
      </c>
      <c r="L553" t="n">
        <v>0</v>
      </c>
      <c r="M553" t="n">
        <v>0</v>
      </c>
      <c r="N553" t="n">
        <v>0</v>
      </c>
      <c r="O553" t="n">
        <v>0</v>
      </c>
      <c r="P553" t="n">
        <v>0</v>
      </c>
      <c r="Q553" t="n">
        <v>0</v>
      </c>
      <c r="R553" s="2" t="inlineStr"/>
    </row>
    <row r="554" ht="15" customHeight="1">
      <c r="A554" t="inlineStr">
        <is>
          <t>A 19243-2025</t>
        </is>
      </c>
      <c r="B554" s="1" t="n">
        <v>45769</v>
      </c>
      <c r="C554" s="1" t="n">
        <v>46063</v>
      </c>
      <c r="D554" t="inlineStr">
        <is>
          <t>VÄSTMANLANDS LÄN</t>
        </is>
      </c>
      <c r="E554" t="inlineStr">
        <is>
          <t>SALA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59297-2023</t>
        </is>
      </c>
      <c r="B555" s="1" t="n">
        <v>45253</v>
      </c>
      <c r="C555" s="1" t="n">
        <v>46063</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4712-2026</t>
        </is>
      </c>
      <c r="B556" s="1" t="n">
        <v>46048.46082175926</v>
      </c>
      <c r="C556" s="1" t="n">
        <v>46063</v>
      </c>
      <c r="D556" t="inlineStr">
        <is>
          <t>VÄSTMANLANDS LÄN</t>
        </is>
      </c>
      <c r="E556" t="inlineStr">
        <is>
          <t>SALA</t>
        </is>
      </c>
      <c r="G556" t="n">
        <v>4.1</v>
      </c>
      <c r="H556" t="n">
        <v>0</v>
      </c>
      <c r="I556" t="n">
        <v>0</v>
      </c>
      <c r="J556" t="n">
        <v>0</v>
      </c>
      <c r="K556" t="n">
        <v>0</v>
      </c>
      <c r="L556" t="n">
        <v>0</v>
      </c>
      <c r="M556" t="n">
        <v>0</v>
      </c>
      <c r="N556" t="n">
        <v>0</v>
      </c>
      <c r="O556" t="n">
        <v>0</v>
      </c>
      <c r="P556" t="n">
        <v>0</v>
      </c>
      <c r="Q556" t="n">
        <v>0</v>
      </c>
      <c r="R556" s="2" t="inlineStr"/>
    </row>
    <row r="557" ht="15" customHeight="1">
      <c r="A557" t="inlineStr">
        <is>
          <t>A 6136-2025</t>
        </is>
      </c>
      <c r="B557" s="1" t="n">
        <v>45698.37601851852</v>
      </c>
      <c r="C557" s="1" t="n">
        <v>46063</v>
      </c>
      <c r="D557" t="inlineStr">
        <is>
          <t>VÄSTMANLANDS LÄN</t>
        </is>
      </c>
      <c r="E557" t="inlineStr">
        <is>
          <t>SALA</t>
        </is>
      </c>
      <c r="F557" t="inlineStr">
        <is>
          <t>Bergvik skog öst AB</t>
        </is>
      </c>
      <c r="G557" t="n">
        <v>2.2</v>
      </c>
      <c r="H557" t="n">
        <v>0</v>
      </c>
      <c r="I557" t="n">
        <v>0</v>
      </c>
      <c r="J557" t="n">
        <v>0</v>
      </c>
      <c r="K557" t="n">
        <v>0</v>
      </c>
      <c r="L557" t="n">
        <v>0</v>
      </c>
      <c r="M557" t="n">
        <v>0</v>
      </c>
      <c r="N557" t="n">
        <v>0</v>
      </c>
      <c r="O557" t="n">
        <v>0</v>
      </c>
      <c r="P557" t="n">
        <v>0</v>
      </c>
      <c r="Q557" t="n">
        <v>0</v>
      </c>
      <c r="R557" s="2" t="inlineStr"/>
    </row>
    <row r="558" ht="15" customHeight="1">
      <c r="A558" t="inlineStr">
        <is>
          <t>A 6190-2025</t>
        </is>
      </c>
      <c r="B558" s="1" t="n">
        <v>45698</v>
      </c>
      <c r="C558" s="1" t="n">
        <v>46063</v>
      </c>
      <c r="D558" t="inlineStr">
        <is>
          <t>VÄSTMANLANDS LÄN</t>
        </is>
      </c>
      <c r="E558" t="inlineStr">
        <is>
          <t>SALA</t>
        </is>
      </c>
      <c r="F558" t="inlineStr">
        <is>
          <t>Bergvik skog öst AB</t>
        </is>
      </c>
      <c r="G558" t="n">
        <v>4.6</v>
      </c>
      <c r="H558" t="n">
        <v>0</v>
      </c>
      <c r="I558" t="n">
        <v>0</v>
      </c>
      <c r="J558" t="n">
        <v>0</v>
      </c>
      <c r="K558" t="n">
        <v>0</v>
      </c>
      <c r="L558" t="n">
        <v>0</v>
      </c>
      <c r="M558" t="n">
        <v>0</v>
      </c>
      <c r="N558" t="n">
        <v>0</v>
      </c>
      <c r="O558" t="n">
        <v>0</v>
      </c>
      <c r="P558" t="n">
        <v>0</v>
      </c>
      <c r="Q558" t="n">
        <v>0</v>
      </c>
      <c r="R558" s="2" t="inlineStr"/>
    </row>
    <row r="559" ht="15" customHeight="1">
      <c r="A559" t="inlineStr">
        <is>
          <t>A 4664-2026</t>
        </is>
      </c>
      <c r="B559" s="1" t="n">
        <v>46048.41061342593</v>
      </c>
      <c r="C559" s="1" t="n">
        <v>46063</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28863-2022</t>
        </is>
      </c>
      <c r="B560" s="1" t="n">
        <v>44749.50649305555</v>
      </c>
      <c r="C560" s="1" t="n">
        <v>46063</v>
      </c>
      <c r="D560" t="inlineStr">
        <is>
          <t>VÄSTMANLANDS LÄN</t>
        </is>
      </c>
      <c r="E560" t="inlineStr">
        <is>
          <t>SALA</t>
        </is>
      </c>
      <c r="G560" t="n">
        <v>1.6</v>
      </c>
      <c r="H560" t="n">
        <v>0</v>
      </c>
      <c r="I560" t="n">
        <v>0</v>
      </c>
      <c r="J560" t="n">
        <v>0</v>
      </c>
      <c r="K560" t="n">
        <v>0</v>
      </c>
      <c r="L560" t="n">
        <v>0</v>
      </c>
      <c r="M560" t="n">
        <v>0</v>
      </c>
      <c r="N560" t="n">
        <v>0</v>
      </c>
      <c r="O560" t="n">
        <v>0</v>
      </c>
      <c r="P560" t="n">
        <v>0</v>
      </c>
      <c r="Q560" t="n">
        <v>0</v>
      </c>
      <c r="R560" s="2" t="inlineStr"/>
    </row>
    <row r="561" ht="15" customHeight="1">
      <c r="A561" t="inlineStr">
        <is>
          <t>A 4624-2026</t>
        </is>
      </c>
      <c r="B561" s="1" t="n">
        <v>46048.38107638889</v>
      </c>
      <c r="C561" s="1" t="n">
        <v>46063</v>
      </c>
      <c r="D561" t="inlineStr">
        <is>
          <t>VÄSTMANLANDS LÄN</t>
        </is>
      </c>
      <c r="E561" t="inlineStr">
        <is>
          <t>SALA</t>
        </is>
      </c>
      <c r="G561" t="n">
        <v>12.3</v>
      </c>
      <c r="H561" t="n">
        <v>0</v>
      </c>
      <c r="I561" t="n">
        <v>0</v>
      </c>
      <c r="J561" t="n">
        <v>0</v>
      </c>
      <c r="K561" t="n">
        <v>0</v>
      </c>
      <c r="L561" t="n">
        <v>0</v>
      </c>
      <c r="M561" t="n">
        <v>0</v>
      </c>
      <c r="N561" t="n">
        <v>0</v>
      </c>
      <c r="O561" t="n">
        <v>0</v>
      </c>
      <c r="P561" t="n">
        <v>0</v>
      </c>
      <c r="Q561" t="n">
        <v>0</v>
      </c>
      <c r="R561" s="2" t="inlineStr"/>
    </row>
    <row r="562" ht="15" customHeight="1">
      <c r="A562" t="inlineStr">
        <is>
          <t>A 25541-2024</t>
        </is>
      </c>
      <c r="B562" s="1" t="n">
        <v>45463.56337962963</v>
      </c>
      <c r="C562" s="1" t="n">
        <v>46063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4681-2026</t>
        </is>
      </c>
      <c r="B563" s="1" t="n">
        <v>46048.43016203704</v>
      </c>
      <c r="C563" s="1" t="n">
        <v>46063</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29213-2022</t>
        </is>
      </c>
      <c r="B564" s="1" t="n">
        <v>44750.57474537037</v>
      </c>
      <c r="C564" s="1" t="n">
        <v>46063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56964-2023</t>
        </is>
      </c>
      <c r="B565" s="1" t="n">
        <v>45244.63140046296</v>
      </c>
      <c r="C565" s="1" t="n">
        <v>46063</v>
      </c>
      <c r="D565" t="inlineStr">
        <is>
          <t>VÄSTMANLANDS LÄN</t>
        </is>
      </c>
      <c r="E565" t="inlineStr">
        <is>
          <t>SALA</t>
        </is>
      </c>
      <c r="G565" t="n">
        <v>4.6</v>
      </c>
      <c r="H565" t="n">
        <v>0</v>
      </c>
      <c r="I565" t="n">
        <v>0</v>
      </c>
      <c r="J565" t="n">
        <v>0</v>
      </c>
      <c r="K565" t="n">
        <v>0</v>
      </c>
      <c r="L565" t="n">
        <v>0</v>
      </c>
      <c r="M565" t="n">
        <v>0</v>
      </c>
      <c r="N565" t="n">
        <v>0</v>
      </c>
      <c r="O565" t="n">
        <v>0</v>
      </c>
      <c r="P565" t="n">
        <v>0</v>
      </c>
      <c r="Q565" t="n">
        <v>0</v>
      </c>
      <c r="R565" s="2" t="inlineStr"/>
    </row>
    <row r="566" ht="15" customHeight="1">
      <c r="A566" t="inlineStr">
        <is>
          <t>A 62523-2025</t>
        </is>
      </c>
      <c r="B566" s="1" t="n">
        <v>46007.61512731481</v>
      </c>
      <c r="C566" s="1" t="n">
        <v>46063</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5219-2026</t>
        </is>
      </c>
      <c r="B567" s="1" t="n">
        <v>46049.76225694444</v>
      </c>
      <c r="C567" s="1" t="n">
        <v>46063</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5418-2026</t>
        </is>
      </c>
      <c r="B568" s="1" t="n">
        <v>46050.53740740741</v>
      </c>
      <c r="C568" s="1" t="n">
        <v>46063</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5525-2026</t>
        </is>
      </c>
      <c r="B569" s="1" t="n">
        <v>46050.65055555556</v>
      </c>
      <c r="C569" s="1" t="n">
        <v>46063</v>
      </c>
      <c r="D569" t="inlineStr">
        <is>
          <t>VÄSTMANLANDS LÄN</t>
        </is>
      </c>
      <c r="E569" t="inlineStr">
        <is>
          <t>SALA</t>
        </is>
      </c>
      <c r="G569" t="n">
        <v>13.1</v>
      </c>
      <c r="H569" t="n">
        <v>0</v>
      </c>
      <c r="I569" t="n">
        <v>0</v>
      </c>
      <c r="J569" t="n">
        <v>0</v>
      </c>
      <c r="K569" t="n">
        <v>0</v>
      </c>
      <c r="L569" t="n">
        <v>0</v>
      </c>
      <c r="M569" t="n">
        <v>0</v>
      </c>
      <c r="N569" t="n">
        <v>0</v>
      </c>
      <c r="O569" t="n">
        <v>0</v>
      </c>
      <c r="P569" t="n">
        <v>0</v>
      </c>
      <c r="Q569" t="n">
        <v>0</v>
      </c>
      <c r="R569" s="2" t="inlineStr"/>
    </row>
    <row r="570" ht="15" customHeight="1">
      <c r="A570" t="inlineStr">
        <is>
          <t>A 1555-2024</t>
        </is>
      </c>
      <c r="B570" s="1" t="n">
        <v>45306</v>
      </c>
      <c r="C570" s="1" t="n">
        <v>46063</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13188-2025</t>
        </is>
      </c>
      <c r="B571" s="1" t="n">
        <v>45735.39246527778</v>
      </c>
      <c r="C571" s="1" t="n">
        <v>46063</v>
      </c>
      <c r="D571" t="inlineStr">
        <is>
          <t>VÄSTMANLANDS LÄN</t>
        </is>
      </c>
      <c r="E571" t="inlineStr">
        <is>
          <t>SALA</t>
        </is>
      </c>
      <c r="F571" t="inlineStr">
        <is>
          <t>Naturvårdsverket</t>
        </is>
      </c>
      <c r="G571" t="n">
        <v>18.4</v>
      </c>
      <c r="H571" t="n">
        <v>0</v>
      </c>
      <c r="I571" t="n">
        <v>0</v>
      </c>
      <c r="J571" t="n">
        <v>0</v>
      </c>
      <c r="K571" t="n">
        <v>0</v>
      </c>
      <c r="L571" t="n">
        <v>0</v>
      </c>
      <c r="M571" t="n">
        <v>0</v>
      </c>
      <c r="N571" t="n">
        <v>0</v>
      </c>
      <c r="O571" t="n">
        <v>0</v>
      </c>
      <c r="P571" t="n">
        <v>0</v>
      </c>
      <c r="Q571" t="n">
        <v>0</v>
      </c>
      <c r="R571" s="2" t="inlineStr"/>
    </row>
    <row r="572" ht="15" customHeight="1">
      <c r="A572" t="inlineStr">
        <is>
          <t>A 7197-2025</t>
        </is>
      </c>
      <c r="B572" s="1" t="n">
        <v>45702</v>
      </c>
      <c r="C572" s="1" t="n">
        <v>46063</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63055-2025</t>
        </is>
      </c>
      <c r="B573" s="1" t="n">
        <v>46009.63619212963</v>
      </c>
      <c r="C573" s="1" t="n">
        <v>46063</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15099-2025</t>
        </is>
      </c>
      <c r="B574" s="1" t="n">
        <v>45744.3434837963</v>
      </c>
      <c r="C574" s="1" t="n">
        <v>46063</v>
      </c>
      <c r="D574" t="inlineStr">
        <is>
          <t>VÄSTMANLANDS LÄN</t>
        </is>
      </c>
      <c r="E574" t="inlineStr">
        <is>
          <t>SALA</t>
        </is>
      </c>
      <c r="F574" t="inlineStr">
        <is>
          <t>Sveaskog</t>
        </is>
      </c>
      <c r="G574" t="n">
        <v>14.4</v>
      </c>
      <c r="H574" t="n">
        <v>0</v>
      </c>
      <c r="I574" t="n">
        <v>0</v>
      </c>
      <c r="J574" t="n">
        <v>0</v>
      </c>
      <c r="K574" t="n">
        <v>0</v>
      </c>
      <c r="L574" t="n">
        <v>0</v>
      </c>
      <c r="M574" t="n">
        <v>0</v>
      </c>
      <c r="N574" t="n">
        <v>0</v>
      </c>
      <c r="O574" t="n">
        <v>0</v>
      </c>
      <c r="P574" t="n">
        <v>0</v>
      </c>
      <c r="Q574" t="n">
        <v>0</v>
      </c>
      <c r="R574" s="2" t="inlineStr"/>
    </row>
    <row r="575" ht="15" customHeight="1">
      <c r="A575" t="inlineStr">
        <is>
          <t>A 63353-2025</t>
        </is>
      </c>
      <c r="B575" s="1" t="n">
        <v>46010.66670138889</v>
      </c>
      <c r="C575" s="1" t="n">
        <v>46063</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2928-2024</t>
        </is>
      </c>
      <c r="B576" s="1" t="n">
        <v>45315.59041666667</v>
      </c>
      <c r="C576" s="1" t="n">
        <v>46063</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5894-2026</t>
        </is>
      </c>
      <c r="B577" s="1" t="n">
        <v>46052.42412037037</v>
      </c>
      <c r="C577" s="1" t="n">
        <v>46063</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63051-2025</t>
        </is>
      </c>
      <c r="B578" s="1" t="n">
        <v>46009.63134259259</v>
      </c>
      <c r="C578" s="1" t="n">
        <v>46063</v>
      </c>
      <c r="D578" t="inlineStr">
        <is>
          <t>VÄSTMANLANDS LÄN</t>
        </is>
      </c>
      <c r="E578" t="inlineStr">
        <is>
          <t>SALA</t>
        </is>
      </c>
      <c r="G578" t="n">
        <v>1.1</v>
      </c>
      <c r="H578" t="n">
        <v>0</v>
      </c>
      <c r="I578" t="n">
        <v>0</v>
      </c>
      <c r="J578" t="n">
        <v>0</v>
      </c>
      <c r="K578" t="n">
        <v>0</v>
      </c>
      <c r="L578" t="n">
        <v>0</v>
      </c>
      <c r="M578" t="n">
        <v>0</v>
      </c>
      <c r="N578" t="n">
        <v>0</v>
      </c>
      <c r="O578" t="n">
        <v>0</v>
      </c>
      <c r="P578" t="n">
        <v>0</v>
      </c>
      <c r="Q578" t="n">
        <v>0</v>
      </c>
      <c r="R578" s="2" t="inlineStr"/>
    </row>
    <row r="579" ht="15" customHeight="1">
      <c r="A579" t="inlineStr">
        <is>
          <t>A 63046-2025</t>
        </is>
      </c>
      <c r="B579" s="1" t="n">
        <v>46009.62373842593</v>
      </c>
      <c r="C579" s="1" t="n">
        <v>46063</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9962-2025</t>
        </is>
      </c>
      <c r="B580" s="1" t="n">
        <v>45719.37072916667</v>
      </c>
      <c r="C580" s="1" t="n">
        <v>46063</v>
      </c>
      <c r="D580" t="inlineStr">
        <is>
          <t>VÄSTMANLANDS LÄN</t>
        </is>
      </c>
      <c r="E580" t="inlineStr">
        <is>
          <t>SALA</t>
        </is>
      </c>
      <c r="G580" t="n">
        <v>4.5</v>
      </c>
      <c r="H580" t="n">
        <v>0</v>
      </c>
      <c r="I580" t="n">
        <v>0</v>
      </c>
      <c r="J580" t="n">
        <v>0</v>
      </c>
      <c r="K580" t="n">
        <v>0</v>
      </c>
      <c r="L580" t="n">
        <v>0</v>
      </c>
      <c r="M580" t="n">
        <v>0</v>
      </c>
      <c r="N580" t="n">
        <v>0</v>
      </c>
      <c r="O580" t="n">
        <v>0</v>
      </c>
      <c r="P580" t="n">
        <v>0</v>
      </c>
      <c r="Q580" t="n">
        <v>0</v>
      </c>
      <c r="R580" s="2" t="inlineStr"/>
    </row>
    <row r="581" ht="15" customHeight="1">
      <c r="A581" t="inlineStr">
        <is>
          <t>A 63269-2025</t>
        </is>
      </c>
      <c r="B581" s="1" t="n">
        <v>46010</v>
      </c>
      <c r="C581" s="1" t="n">
        <v>46063</v>
      </c>
      <c r="D581" t="inlineStr">
        <is>
          <t>VÄSTMANLANDS LÄN</t>
        </is>
      </c>
      <c r="E581" t="inlineStr">
        <is>
          <t>SALA</t>
        </is>
      </c>
      <c r="G581" t="n">
        <v>6.4</v>
      </c>
      <c r="H581" t="n">
        <v>0</v>
      </c>
      <c r="I581" t="n">
        <v>0</v>
      </c>
      <c r="J581" t="n">
        <v>0</v>
      </c>
      <c r="K581" t="n">
        <v>0</v>
      </c>
      <c r="L581" t="n">
        <v>0</v>
      </c>
      <c r="M581" t="n">
        <v>0</v>
      </c>
      <c r="N581" t="n">
        <v>0</v>
      </c>
      <c r="O581" t="n">
        <v>0</v>
      </c>
      <c r="P581" t="n">
        <v>0</v>
      </c>
      <c r="Q581" t="n">
        <v>0</v>
      </c>
      <c r="R581" s="2" t="inlineStr"/>
    </row>
    <row r="582" ht="15" customHeight="1">
      <c r="A582" t="inlineStr">
        <is>
          <t>A 14024-2025</t>
        </is>
      </c>
      <c r="B582" s="1" t="n">
        <v>45740.34650462963</v>
      </c>
      <c r="C582" s="1" t="n">
        <v>46063</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3551-2024</t>
        </is>
      </c>
      <c r="B583" s="1" t="n">
        <v>45320.61099537037</v>
      </c>
      <c r="C583" s="1" t="n">
        <v>46063</v>
      </c>
      <c r="D583" t="inlineStr">
        <is>
          <t>VÄSTMANLANDS LÄN</t>
        </is>
      </c>
      <c r="E583" t="inlineStr">
        <is>
          <t>SALA</t>
        </is>
      </c>
      <c r="F583" t="inlineStr">
        <is>
          <t>Kommuner</t>
        </is>
      </c>
      <c r="G583" t="n">
        <v>6</v>
      </c>
      <c r="H583" t="n">
        <v>0</v>
      </c>
      <c r="I583" t="n">
        <v>0</v>
      </c>
      <c r="J583" t="n">
        <v>0</v>
      </c>
      <c r="K583" t="n">
        <v>0</v>
      </c>
      <c r="L583" t="n">
        <v>0</v>
      </c>
      <c r="M583" t="n">
        <v>0</v>
      </c>
      <c r="N583" t="n">
        <v>0</v>
      </c>
      <c r="O583" t="n">
        <v>0</v>
      </c>
      <c r="P583" t="n">
        <v>0</v>
      </c>
      <c r="Q583" t="n">
        <v>0</v>
      </c>
      <c r="R583" s="2" t="inlineStr"/>
    </row>
    <row r="584" ht="15" customHeight="1">
      <c r="A584" t="inlineStr">
        <is>
          <t>A 62635-2022</t>
        </is>
      </c>
      <c r="B584" s="1" t="n">
        <v>44917</v>
      </c>
      <c r="C584" s="1" t="n">
        <v>46063</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19304-2025</t>
        </is>
      </c>
      <c r="B585" s="1" t="n">
        <v>45769</v>
      </c>
      <c r="C585" s="1" t="n">
        <v>46063</v>
      </c>
      <c r="D585" t="inlineStr">
        <is>
          <t>VÄSTMANLANDS LÄN</t>
        </is>
      </c>
      <c r="E585" t="inlineStr">
        <is>
          <t>SALA</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56057-2023</t>
        </is>
      </c>
      <c r="B586" s="1" t="n">
        <v>45233</v>
      </c>
      <c r="C586" s="1" t="n">
        <v>46063</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55024-2023</t>
        </is>
      </c>
      <c r="B587" s="1" t="n">
        <v>45229</v>
      </c>
      <c r="C587" s="1" t="n">
        <v>46063</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55032-2023</t>
        </is>
      </c>
      <c r="B588" s="1" t="n">
        <v>45229</v>
      </c>
      <c r="C588" s="1" t="n">
        <v>46063</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29248-2022</t>
        </is>
      </c>
      <c r="B589" s="1" t="n">
        <v>44750</v>
      </c>
      <c r="C589" s="1" t="n">
        <v>46063</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59175-2022</t>
        </is>
      </c>
      <c r="B590" s="1" t="n">
        <v>44904.48502314815</v>
      </c>
      <c r="C590" s="1" t="n">
        <v>46063</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39451-2022</t>
        </is>
      </c>
      <c r="B591" s="1" t="n">
        <v>44818.36606481481</v>
      </c>
      <c r="C591" s="1" t="n">
        <v>46063</v>
      </c>
      <c r="D591" t="inlineStr">
        <is>
          <t>VÄSTMANLANDS LÄN</t>
        </is>
      </c>
      <c r="E591" t="inlineStr">
        <is>
          <t>SALA</t>
        </is>
      </c>
      <c r="G591" t="n">
        <v>9.4</v>
      </c>
      <c r="H591" t="n">
        <v>0</v>
      </c>
      <c r="I591" t="n">
        <v>0</v>
      </c>
      <c r="J591" t="n">
        <v>0</v>
      </c>
      <c r="K591" t="n">
        <v>0</v>
      </c>
      <c r="L591" t="n">
        <v>0</v>
      </c>
      <c r="M591" t="n">
        <v>0</v>
      </c>
      <c r="N591" t="n">
        <v>0</v>
      </c>
      <c r="O591" t="n">
        <v>0</v>
      </c>
      <c r="P591" t="n">
        <v>0</v>
      </c>
      <c r="Q591" t="n">
        <v>0</v>
      </c>
      <c r="R591" s="2" t="inlineStr"/>
    </row>
    <row r="592" ht="15" customHeight="1">
      <c r="A592" t="inlineStr">
        <is>
          <t>A 17722-2025</t>
        </is>
      </c>
      <c r="B592" s="1" t="n">
        <v>45758</v>
      </c>
      <c r="C592" s="1" t="n">
        <v>46063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6021-2026</t>
        </is>
      </c>
      <c r="B593" s="1" t="n">
        <v>46050</v>
      </c>
      <c r="C593" s="1" t="n">
        <v>46063</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11631-2023</t>
        </is>
      </c>
      <c r="B594" s="1" t="n">
        <v>44994.44001157407</v>
      </c>
      <c r="C594" s="1" t="n">
        <v>46063</v>
      </c>
      <c r="D594" t="inlineStr">
        <is>
          <t>VÄSTMANLANDS LÄN</t>
        </is>
      </c>
      <c r="E594" t="inlineStr">
        <is>
          <t>SALA</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7327-2026</t>
        </is>
      </c>
      <c r="B595" s="1" t="n">
        <v>46058.68371527778</v>
      </c>
      <c r="C595" s="1" t="n">
        <v>46063</v>
      </c>
      <c r="D595" t="inlineStr">
        <is>
          <t>VÄSTMANLANDS LÄN</t>
        </is>
      </c>
      <c r="E595" t="inlineStr">
        <is>
          <t>SALA</t>
        </is>
      </c>
      <c r="G595" t="n">
        <v>5.8</v>
      </c>
      <c r="H595" t="n">
        <v>0</v>
      </c>
      <c r="I595" t="n">
        <v>0</v>
      </c>
      <c r="J595" t="n">
        <v>0</v>
      </c>
      <c r="K595" t="n">
        <v>0</v>
      </c>
      <c r="L595" t="n">
        <v>0</v>
      </c>
      <c r="M595" t="n">
        <v>0</v>
      </c>
      <c r="N595" t="n">
        <v>0</v>
      </c>
      <c r="O595" t="n">
        <v>0</v>
      </c>
      <c r="P595" t="n">
        <v>0</v>
      </c>
      <c r="Q595" t="n">
        <v>0</v>
      </c>
      <c r="R595" s="2" t="inlineStr"/>
    </row>
    <row r="596" ht="15" customHeight="1">
      <c r="A596" t="inlineStr">
        <is>
          <t>A 62648-2022</t>
        </is>
      </c>
      <c r="B596" s="1" t="n">
        <v>44917</v>
      </c>
      <c r="C596" s="1" t="n">
        <v>46063</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1934-2023</t>
        </is>
      </c>
      <c r="B597" s="1" t="n">
        <v>44939.43024305555</v>
      </c>
      <c r="C597" s="1" t="n">
        <v>46063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11927-2025</t>
        </is>
      </c>
      <c r="B598" s="1" t="n">
        <v>45728.5137962963</v>
      </c>
      <c r="C598" s="1" t="n">
        <v>46063</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60823-2024</t>
        </is>
      </c>
      <c r="B599" s="1" t="n">
        <v>45644</v>
      </c>
      <c r="C599" s="1" t="n">
        <v>46063</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7332-2026</t>
        </is>
      </c>
      <c r="B600" s="1" t="n">
        <v>46058.68884259259</v>
      </c>
      <c r="C600" s="1" t="n">
        <v>46063</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7329-2026</t>
        </is>
      </c>
      <c r="B601" s="1" t="n">
        <v>46058.68678240741</v>
      </c>
      <c r="C601" s="1" t="n">
        <v>46063</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96-2024</t>
        </is>
      </c>
      <c r="B602" s="1" t="n">
        <v>45293.85872685185</v>
      </c>
      <c r="C602" s="1" t="n">
        <v>46063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7324-2026</t>
        </is>
      </c>
      <c r="B603" s="1" t="n">
        <v>46058.68023148148</v>
      </c>
      <c r="C603" s="1" t="n">
        <v>46063</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23374-2023</t>
        </is>
      </c>
      <c r="B604" s="1" t="n">
        <v>45076.4399537037</v>
      </c>
      <c r="C604" s="1" t="n">
        <v>46063</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7584-2026</t>
        </is>
      </c>
      <c r="B605" s="1" t="n">
        <v>46061.81653935185</v>
      </c>
      <c r="C605" s="1" t="n">
        <v>46063</v>
      </c>
      <c r="D605" t="inlineStr">
        <is>
          <t>VÄSTMANLANDS LÄN</t>
        </is>
      </c>
      <c r="E605" t="inlineStr">
        <is>
          <t>SALA</t>
        </is>
      </c>
      <c r="G605" t="n">
        <v>16.7</v>
      </c>
      <c r="H605" t="n">
        <v>0</v>
      </c>
      <c r="I605" t="n">
        <v>0</v>
      </c>
      <c r="J605" t="n">
        <v>0</v>
      </c>
      <c r="K605" t="n">
        <v>0</v>
      </c>
      <c r="L605" t="n">
        <v>0</v>
      </c>
      <c r="M605" t="n">
        <v>0</v>
      </c>
      <c r="N605" t="n">
        <v>0</v>
      </c>
      <c r="O605" t="n">
        <v>0</v>
      </c>
      <c r="P605" t="n">
        <v>0</v>
      </c>
      <c r="Q605" t="n">
        <v>0</v>
      </c>
      <c r="R605" s="2" t="inlineStr"/>
    </row>
    <row r="606" ht="15" customHeight="1">
      <c r="A606" t="inlineStr">
        <is>
          <t>A 7590-2026</t>
        </is>
      </c>
      <c r="B606" s="1" t="n">
        <v>46061.85252314815</v>
      </c>
      <c r="C606" s="1" t="n">
        <v>46063</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7596-2026</t>
        </is>
      </c>
      <c r="B607" s="1" t="n">
        <v>46061.90922453703</v>
      </c>
      <c r="C607" s="1" t="n">
        <v>46063</v>
      </c>
      <c r="D607" t="inlineStr">
        <is>
          <t>VÄSTMANLANDS LÄN</t>
        </is>
      </c>
      <c r="E607" t="inlineStr">
        <is>
          <t>SALA</t>
        </is>
      </c>
      <c r="G607" t="n">
        <v>3.1</v>
      </c>
      <c r="H607" t="n">
        <v>0</v>
      </c>
      <c r="I607" t="n">
        <v>0</v>
      </c>
      <c r="J607" t="n">
        <v>0</v>
      </c>
      <c r="K607" t="n">
        <v>0</v>
      </c>
      <c r="L607" t="n">
        <v>0</v>
      </c>
      <c r="M607" t="n">
        <v>0</v>
      </c>
      <c r="N607" t="n">
        <v>0</v>
      </c>
      <c r="O607" t="n">
        <v>0</v>
      </c>
      <c r="P607" t="n">
        <v>0</v>
      </c>
      <c r="Q607" t="n">
        <v>0</v>
      </c>
      <c r="R607" s="2" t="inlineStr"/>
    </row>
    <row r="608" ht="15" customHeight="1">
      <c r="A608" t="inlineStr">
        <is>
          <t>A 7588-2026</t>
        </is>
      </c>
      <c r="B608" s="1" t="n">
        <v>46061.83528935185</v>
      </c>
      <c r="C608" s="1" t="n">
        <v>46063</v>
      </c>
      <c r="D608" t="inlineStr">
        <is>
          <t>VÄSTMANLANDS LÄN</t>
        </is>
      </c>
      <c r="E608" t="inlineStr">
        <is>
          <t>SALA</t>
        </is>
      </c>
      <c r="G608" t="n">
        <v>2.8</v>
      </c>
      <c r="H608" t="n">
        <v>0</v>
      </c>
      <c r="I608" t="n">
        <v>0</v>
      </c>
      <c r="J608" t="n">
        <v>0</v>
      </c>
      <c r="K608" t="n">
        <v>0</v>
      </c>
      <c r="L608" t="n">
        <v>0</v>
      </c>
      <c r="M608" t="n">
        <v>0</v>
      </c>
      <c r="N608" t="n">
        <v>0</v>
      </c>
      <c r="O608" t="n">
        <v>0</v>
      </c>
      <c r="P608" t="n">
        <v>0</v>
      </c>
      <c r="Q608" t="n">
        <v>0</v>
      </c>
      <c r="R608" s="2" t="inlineStr"/>
    </row>
    <row r="609" ht="15" customHeight="1">
      <c r="A609" t="inlineStr">
        <is>
          <t>A 7654-2026</t>
        </is>
      </c>
      <c r="B609" s="1" t="n">
        <v>46062.38828703704</v>
      </c>
      <c r="C609" s="1" t="n">
        <v>46063</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61874-2021</t>
        </is>
      </c>
      <c r="B610" s="1" t="n">
        <v>44502</v>
      </c>
      <c r="C610" s="1" t="n">
        <v>46063</v>
      </c>
      <c r="D610" t="inlineStr">
        <is>
          <t>VÄSTMANLANDS LÄN</t>
        </is>
      </c>
      <c r="E610" t="inlineStr">
        <is>
          <t>SALA</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7498-2026</t>
        </is>
      </c>
      <c r="B611" s="1" t="n">
        <v>46059.55550925926</v>
      </c>
      <c r="C611" s="1" t="n">
        <v>46063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4683-2026</t>
        </is>
      </c>
      <c r="B612" s="1" t="n">
        <v>46048.43489583334</v>
      </c>
      <c r="C612" s="1" t="n">
        <v>46063</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7676-2026</t>
        </is>
      </c>
      <c r="B613" s="1" t="n">
        <v>46062.42498842593</v>
      </c>
      <c r="C613" s="1" t="n">
        <v>46063</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9856-2022</t>
        </is>
      </c>
      <c r="B614" s="1" t="n">
        <v>44620</v>
      </c>
      <c r="C614" s="1" t="n">
        <v>46063</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63749-2025</t>
        </is>
      </c>
      <c r="B615" s="1" t="n">
        <v>46017.75243055556</v>
      </c>
      <c r="C615" s="1" t="n">
        <v>46063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16159-2024</t>
        </is>
      </c>
      <c r="B616" s="1" t="n">
        <v>45406</v>
      </c>
      <c r="C616" s="1" t="n">
        <v>46063</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50241-2023</t>
        </is>
      </c>
      <c r="B617" s="1" t="n">
        <v>45216</v>
      </c>
      <c r="C617" s="1" t="n">
        <v>46063</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4214-2026</t>
        </is>
      </c>
      <c r="B618" s="1" t="n">
        <v>46044.76459490741</v>
      </c>
      <c r="C618" s="1" t="n">
        <v>46063</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3332-2024</t>
        </is>
      </c>
      <c r="B619" s="1" t="n">
        <v>45317</v>
      </c>
      <c r="C619" s="1" t="n">
        <v>46063</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35637-2022</t>
        </is>
      </c>
      <c r="B620" s="1" t="n">
        <v>44799.55194444444</v>
      </c>
      <c r="C620" s="1" t="n">
        <v>46063</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63748-2025</t>
        </is>
      </c>
      <c r="B621" s="1" t="n">
        <v>46017.71640046296</v>
      </c>
      <c r="C621" s="1" t="n">
        <v>46063</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7593-2026</t>
        </is>
      </c>
      <c r="B622" s="1" t="n">
        <v>46061.88057870371</v>
      </c>
      <c r="C622" s="1" t="n">
        <v>46063</v>
      </c>
      <c r="D622" t="inlineStr">
        <is>
          <t>VÄSTMANLANDS LÄN</t>
        </is>
      </c>
      <c r="E622" t="inlineStr">
        <is>
          <t>SALA</t>
        </is>
      </c>
      <c r="G622" t="n">
        <v>7.5</v>
      </c>
      <c r="H622" t="n">
        <v>0</v>
      </c>
      <c r="I622" t="n">
        <v>0</v>
      </c>
      <c r="J622" t="n">
        <v>0</v>
      </c>
      <c r="K622" t="n">
        <v>0</v>
      </c>
      <c r="L622" t="n">
        <v>0</v>
      </c>
      <c r="M622" t="n">
        <v>0</v>
      </c>
      <c r="N622" t="n">
        <v>0</v>
      </c>
      <c r="O622" t="n">
        <v>0</v>
      </c>
      <c r="P622" t="n">
        <v>0</v>
      </c>
      <c r="Q622" t="n">
        <v>0</v>
      </c>
      <c r="R622" s="2" t="inlineStr"/>
    </row>
    <row r="623" ht="15" customHeight="1">
      <c r="A623" t="inlineStr">
        <is>
          <t>A 7597-2026</t>
        </is>
      </c>
      <c r="B623" s="1" t="n">
        <v>46061.91765046296</v>
      </c>
      <c r="C623" s="1" t="n">
        <v>46063</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7595-2026</t>
        </is>
      </c>
      <c r="B624" s="1" t="n">
        <v>46061.90009259259</v>
      </c>
      <c r="C624" s="1" t="n">
        <v>46063</v>
      </c>
      <c r="D624" t="inlineStr">
        <is>
          <t>VÄSTMANLANDS LÄN</t>
        </is>
      </c>
      <c r="E624" t="inlineStr">
        <is>
          <t>SALA</t>
        </is>
      </c>
      <c r="G624" t="n">
        <v>1.2</v>
      </c>
      <c r="H624" t="n">
        <v>0</v>
      </c>
      <c r="I624" t="n">
        <v>0</v>
      </c>
      <c r="J624" t="n">
        <v>0</v>
      </c>
      <c r="K624" t="n">
        <v>0</v>
      </c>
      <c r="L624" t="n">
        <v>0</v>
      </c>
      <c r="M624" t="n">
        <v>0</v>
      </c>
      <c r="N624" t="n">
        <v>0</v>
      </c>
      <c r="O624" t="n">
        <v>0</v>
      </c>
      <c r="P624" t="n">
        <v>0</v>
      </c>
      <c r="Q624" t="n">
        <v>0</v>
      </c>
      <c r="R624" s="2" t="inlineStr"/>
    </row>
    <row r="625" ht="15" customHeight="1">
      <c r="A625" t="inlineStr">
        <is>
          <t>A 7661-2026</t>
        </is>
      </c>
      <c r="B625" s="1" t="n">
        <v>46062.39614583334</v>
      </c>
      <c r="C625" s="1" t="n">
        <v>46063</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7680-2026</t>
        </is>
      </c>
      <c r="B626" s="1" t="n">
        <v>46062.43087962963</v>
      </c>
      <c r="C626" s="1" t="n">
        <v>46063</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7850-2026</t>
        </is>
      </c>
      <c r="B627" s="1" t="n">
        <v>46062.66236111111</v>
      </c>
      <c r="C627" s="1" t="n">
        <v>46063</v>
      </c>
      <c r="D627" t="inlineStr">
        <is>
          <t>VÄSTMANLANDS LÄN</t>
        </is>
      </c>
      <c r="E627" t="inlineStr">
        <is>
          <t>SALA</t>
        </is>
      </c>
      <c r="G627" t="n">
        <v>2.3</v>
      </c>
      <c r="H627" t="n">
        <v>0</v>
      </c>
      <c r="I627" t="n">
        <v>0</v>
      </c>
      <c r="J627" t="n">
        <v>0</v>
      </c>
      <c r="K627" t="n">
        <v>0</v>
      </c>
      <c r="L627" t="n">
        <v>0</v>
      </c>
      <c r="M627" t="n">
        <v>0</v>
      </c>
      <c r="N627" t="n">
        <v>0</v>
      </c>
      <c r="O627" t="n">
        <v>0</v>
      </c>
      <c r="P627" t="n">
        <v>0</v>
      </c>
      <c r="Q627" t="n">
        <v>0</v>
      </c>
      <c r="R627" s="2" t="inlineStr"/>
    </row>
    <row r="628" ht="15" customHeight="1">
      <c r="A628" t="inlineStr">
        <is>
          <t>A 57883-2024</t>
        </is>
      </c>
      <c r="B628" s="1" t="n">
        <v>45630</v>
      </c>
      <c r="C628" s="1" t="n">
        <v>46063</v>
      </c>
      <c r="D628" t="inlineStr">
        <is>
          <t>VÄSTMANLANDS LÄN</t>
        </is>
      </c>
      <c r="E628" t="inlineStr">
        <is>
          <t>SALA</t>
        </is>
      </c>
      <c r="G628" t="n">
        <v>5.4</v>
      </c>
      <c r="H628" t="n">
        <v>0</v>
      </c>
      <c r="I628" t="n">
        <v>0</v>
      </c>
      <c r="J628" t="n">
        <v>0</v>
      </c>
      <c r="K628" t="n">
        <v>0</v>
      </c>
      <c r="L628" t="n">
        <v>0</v>
      </c>
      <c r="M628" t="n">
        <v>0</v>
      </c>
      <c r="N628" t="n">
        <v>0</v>
      </c>
      <c r="O628" t="n">
        <v>0</v>
      </c>
      <c r="P628" t="n">
        <v>0</v>
      </c>
      <c r="Q628" t="n">
        <v>0</v>
      </c>
      <c r="R628" s="2" t="inlineStr"/>
    </row>
    <row r="629" ht="15" customHeight="1">
      <c r="A629" t="inlineStr">
        <is>
          <t>A 50876-2023</t>
        </is>
      </c>
      <c r="B629" s="1" t="n">
        <v>45211</v>
      </c>
      <c r="C629" s="1" t="n">
        <v>46063</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37624-2024</t>
        </is>
      </c>
      <c r="B630" s="1" t="n">
        <v>45541</v>
      </c>
      <c r="C630" s="1" t="n">
        <v>46063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40398-2021</t>
        </is>
      </c>
      <c r="B631" s="1" t="n">
        <v>44419</v>
      </c>
      <c r="C631" s="1" t="n">
        <v>46063</v>
      </c>
      <c r="D631" t="inlineStr">
        <is>
          <t>VÄSTMANLANDS LÄN</t>
        </is>
      </c>
      <c r="E631" t="inlineStr">
        <is>
          <t>SALA</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46063</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27262-2024</t>
        </is>
      </c>
      <c r="B633" s="1" t="n">
        <v>45471</v>
      </c>
      <c r="C633" s="1" t="n">
        <v>46063</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15584-2021</t>
        </is>
      </c>
      <c r="B634" s="1" t="n">
        <v>44285</v>
      </c>
      <c r="C634" s="1" t="n">
        <v>46063</v>
      </c>
      <c r="D634" t="inlineStr">
        <is>
          <t>VÄSTMANLANDS LÄN</t>
        </is>
      </c>
      <c r="E634" t="inlineStr">
        <is>
          <t>SALA</t>
        </is>
      </c>
      <c r="G634" t="n">
        <v>3.4</v>
      </c>
      <c r="H634" t="n">
        <v>0</v>
      </c>
      <c r="I634" t="n">
        <v>0</v>
      </c>
      <c r="J634" t="n">
        <v>0</v>
      </c>
      <c r="K634" t="n">
        <v>0</v>
      </c>
      <c r="L634" t="n">
        <v>0</v>
      </c>
      <c r="M634" t="n">
        <v>0</v>
      </c>
      <c r="N634" t="n">
        <v>0</v>
      </c>
      <c r="O634" t="n">
        <v>0</v>
      </c>
      <c r="P634" t="n">
        <v>0</v>
      </c>
      <c r="Q634" t="n">
        <v>0</v>
      </c>
      <c r="R634" s="2" t="inlineStr"/>
    </row>
    <row r="635" ht="15" customHeight="1">
      <c r="A635" t="inlineStr">
        <is>
          <t>A 7611-2026</t>
        </is>
      </c>
      <c r="B635" s="1" t="n">
        <v>46062.32387731481</v>
      </c>
      <c r="C635" s="1" t="n">
        <v>46063</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23119-2022</t>
        </is>
      </c>
      <c r="B636" s="1" t="n">
        <v>44719.56697916667</v>
      </c>
      <c r="C636" s="1" t="n">
        <v>46063</v>
      </c>
      <c r="D636" t="inlineStr">
        <is>
          <t>VÄSTMANLANDS LÄN</t>
        </is>
      </c>
      <c r="E636" t="inlineStr">
        <is>
          <t>SALA</t>
        </is>
      </c>
      <c r="G636" t="n">
        <v>7</v>
      </c>
      <c r="H636" t="n">
        <v>0</v>
      </c>
      <c r="I636" t="n">
        <v>0</v>
      </c>
      <c r="J636" t="n">
        <v>0</v>
      </c>
      <c r="K636" t="n">
        <v>0</v>
      </c>
      <c r="L636" t="n">
        <v>0</v>
      </c>
      <c r="M636" t="n">
        <v>0</v>
      </c>
      <c r="N636" t="n">
        <v>0</v>
      </c>
      <c r="O636" t="n">
        <v>0</v>
      </c>
      <c r="P636" t="n">
        <v>0</v>
      </c>
      <c r="Q636" t="n">
        <v>0</v>
      </c>
      <c r="R636" s="2" t="inlineStr"/>
    </row>
    <row r="637" ht="15" customHeight="1">
      <c r="A637" t="inlineStr">
        <is>
          <t>A 43751-2021</t>
        </is>
      </c>
      <c r="B637" s="1" t="n">
        <v>44433</v>
      </c>
      <c r="C637" s="1" t="n">
        <v>46063</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59483-2022</t>
        </is>
      </c>
      <c r="B638" s="1" t="n">
        <v>44907.45679398148</v>
      </c>
      <c r="C638" s="1" t="n">
        <v>46063</v>
      </c>
      <c r="D638" t="inlineStr">
        <is>
          <t>VÄSTMANLANDS LÄN</t>
        </is>
      </c>
      <c r="E638" t="inlineStr">
        <is>
          <t>SALA</t>
        </is>
      </c>
      <c r="G638" t="n">
        <v>5.2</v>
      </c>
      <c r="H638" t="n">
        <v>0</v>
      </c>
      <c r="I638" t="n">
        <v>0</v>
      </c>
      <c r="J638" t="n">
        <v>0</v>
      </c>
      <c r="K638" t="n">
        <v>0</v>
      </c>
      <c r="L638" t="n">
        <v>0</v>
      </c>
      <c r="M638" t="n">
        <v>0</v>
      </c>
      <c r="N638" t="n">
        <v>0</v>
      </c>
      <c r="O638" t="n">
        <v>0</v>
      </c>
      <c r="P638" t="n">
        <v>0</v>
      </c>
      <c r="Q638" t="n">
        <v>0</v>
      </c>
      <c r="R638" s="2" t="inlineStr"/>
    </row>
    <row r="639" ht="15" customHeight="1">
      <c r="A639" t="inlineStr">
        <is>
          <t>A 73673-2021</t>
        </is>
      </c>
      <c r="B639" s="1" t="n">
        <v>44552.46501157407</v>
      </c>
      <c r="C639" s="1" t="n">
        <v>46063</v>
      </c>
      <c r="D639" t="inlineStr">
        <is>
          <t>VÄSTMANLANDS LÄN</t>
        </is>
      </c>
      <c r="E639" t="inlineStr">
        <is>
          <t>SALA</t>
        </is>
      </c>
      <c r="G639" t="n">
        <v>11.4</v>
      </c>
      <c r="H639" t="n">
        <v>0</v>
      </c>
      <c r="I639" t="n">
        <v>0</v>
      </c>
      <c r="J639" t="n">
        <v>0</v>
      </c>
      <c r="K639" t="n">
        <v>0</v>
      </c>
      <c r="L639" t="n">
        <v>0</v>
      </c>
      <c r="M639" t="n">
        <v>0</v>
      </c>
      <c r="N639" t="n">
        <v>0</v>
      </c>
      <c r="O639" t="n">
        <v>0</v>
      </c>
      <c r="P639" t="n">
        <v>0</v>
      </c>
      <c r="Q639" t="n">
        <v>0</v>
      </c>
      <c r="R639" s="2" t="inlineStr"/>
    </row>
    <row r="640" ht="15" customHeight="1">
      <c r="A640" t="inlineStr">
        <is>
          <t>A 4853-2023</t>
        </is>
      </c>
      <c r="B640" s="1" t="n">
        <v>44957.73234953704</v>
      </c>
      <c r="C640" s="1" t="n">
        <v>46063</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1993-2022</t>
        </is>
      </c>
      <c r="B641" s="1" t="n">
        <v>44575</v>
      </c>
      <c r="C641" s="1" t="n">
        <v>46063</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46063</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42447-2022</t>
        </is>
      </c>
      <c r="B643" s="1" t="n">
        <v>44831</v>
      </c>
      <c r="C643" s="1" t="n">
        <v>46063</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44992.57782407408</v>
      </c>
      <c r="C644" s="1" t="n">
        <v>46063</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11190-2023</t>
        </is>
      </c>
      <c r="B645" s="1" t="n">
        <v>44992</v>
      </c>
      <c r="C645" s="1" t="n">
        <v>46063</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31950-2023</t>
        </is>
      </c>
      <c r="B646" s="1" t="n">
        <v>45107</v>
      </c>
      <c r="C646" s="1" t="n">
        <v>46063</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48710-2024</t>
        </is>
      </c>
      <c r="B647" s="1" t="n">
        <v>45593.53636574074</v>
      </c>
      <c r="C647" s="1" t="n">
        <v>46063</v>
      </c>
      <c r="D647" t="inlineStr">
        <is>
          <t>VÄSTMANLANDS LÄN</t>
        </is>
      </c>
      <c r="E647" t="inlineStr">
        <is>
          <t>SALA</t>
        </is>
      </c>
      <c r="G647" t="n">
        <v>6.5</v>
      </c>
      <c r="H647" t="n">
        <v>0</v>
      </c>
      <c r="I647" t="n">
        <v>0</v>
      </c>
      <c r="J647" t="n">
        <v>0</v>
      </c>
      <c r="K647" t="n">
        <v>0</v>
      </c>
      <c r="L647" t="n">
        <v>0</v>
      </c>
      <c r="M647" t="n">
        <v>0</v>
      </c>
      <c r="N647" t="n">
        <v>0</v>
      </c>
      <c r="O647" t="n">
        <v>0</v>
      </c>
      <c r="P647" t="n">
        <v>0</v>
      </c>
      <c r="Q647" t="n">
        <v>0</v>
      </c>
      <c r="R647" s="2" t="inlineStr"/>
    </row>
    <row r="648" ht="15" customHeight="1">
      <c r="A648" t="inlineStr">
        <is>
          <t>A 23406-2024</t>
        </is>
      </c>
      <c r="B648" s="1" t="n">
        <v>45453.58296296297</v>
      </c>
      <c r="C648" s="1" t="n">
        <v>46063</v>
      </c>
      <c r="D648" t="inlineStr">
        <is>
          <t>VÄSTMANLANDS LÄN</t>
        </is>
      </c>
      <c r="E648" t="inlineStr">
        <is>
          <t>SALA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12246-2023</t>
        </is>
      </c>
      <c r="B649" s="1" t="n">
        <v>44995</v>
      </c>
      <c r="C649" s="1" t="n">
        <v>46063</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48571-2024</t>
        </is>
      </c>
      <c r="B650" s="1" t="n">
        <v>45591</v>
      </c>
      <c r="C650" s="1" t="n">
        <v>46063</v>
      </c>
      <c r="D650" t="inlineStr">
        <is>
          <t>VÄSTMANLANDS LÄN</t>
        </is>
      </c>
      <c r="E650" t="inlineStr">
        <is>
          <t>SALA</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43362-2023</t>
        </is>
      </c>
      <c r="B651" s="1" t="n">
        <v>45183</v>
      </c>
      <c r="C651" s="1" t="n">
        <v>46063</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16767-2024</t>
        </is>
      </c>
      <c r="B652" s="1" t="n">
        <v>45411.38171296296</v>
      </c>
      <c r="C652" s="1" t="n">
        <v>46063</v>
      </c>
      <c r="D652" t="inlineStr">
        <is>
          <t>VÄSTMANLANDS LÄN</t>
        </is>
      </c>
      <c r="E652" t="inlineStr">
        <is>
          <t>SALA</t>
        </is>
      </c>
      <c r="G652" t="n">
        <v>2.5</v>
      </c>
      <c r="H652" t="n">
        <v>0</v>
      </c>
      <c r="I652" t="n">
        <v>0</v>
      </c>
      <c r="J652" t="n">
        <v>0</v>
      </c>
      <c r="K652" t="n">
        <v>0</v>
      </c>
      <c r="L652" t="n">
        <v>0</v>
      </c>
      <c r="M652" t="n">
        <v>0</v>
      </c>
      <c r="N652" t="n">
        <v>0</v>
      </c>
      <c r="O652" t="n">
        <v>0</v>
      </c>
      <c r="P652" t="n">
        <v>0</v>
      </c>
      <c r="Q652" t="n">
        <v>0</v>
      </c>
      <c r="R652" s="2" t="inlineStr"/>
    </row>
    <row r="653" ht="15" customHeight="1">
      <c r="A653" t="inlineStr">
        <is>
          <t>A 31470-2021</t>
        </is>
      </c>
      <c r="B653" s="1" t="n">
        <v>44369</v>
      </c>
      <c r="C653" s="1" t="n">
        <v>46063</v>
      </c>
      <c r="D653" t="inlineStr">
        <is>
          <t>VÄSTMANLANDS LÄN</t>
        </is>
      </c>
      <c r="E653" t="inlineStr">
        <is>
          <t>SALA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18461-2024</t>
        </is>
      </c>
      <c r="B654" s="1" t="n">
        <v>45425.47435185185</v>
      </c>
      <c r="C654" s="1" t="n">
        <v>46063</v>
      </c>
      <c r="D654" t="inlineStr">
        <is>
          <t>VÄSTMANLANDS LÄN</t>
        </is>
      </c>
      <c r="E654" t="inlineStr">
        <is>
          <t>SALA</t>
        </is>
      </c>
      <c r="G654" t="n">
        <v>1.7</v>
      </c>
      <c r="H654" t="n">
        <v>0</v>
      </c>
      <c r="I654" t="n">
        <v>0</v>
      </c>
      <c r="J654" t="n">
        <v>0</v>
      </c>
      <c r="K654" t="n">
        <v>0</v>
      </c>
      <c r="L654" t="n">
        <v>0</v>
      </c>
      <c r="M654" t="n">
        <v>0</v>
      </c>
      <c r="N654" t="n">
        <v>0</v>
      </c>
      <c r="O654" t="n">
        <v>0</v>
      </c>
      <c r="P654" t="n">
        <v>0</v>
      </c>
      <c r="Q654" t="n">
        <v>0</v>
      </c>
      <c r="R654" s="2" t="inlineStr"/>
    </row>
    <row r="655" ht="15" customHeight="1">
      <c r="A655" t="inlineStr">
        <is>
          <t>A 29230-2022</t>
        </is>
      </c>
      <c r="B655" s="1" t="n">
        <v>44750</v>
      </c>
      <c r="C655" s="1" t="n">
        <v>46063</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9335-2022</t>
        </is>
      </c>
      <c r="B656" s="1" t="n">
        <v>44616.56579861111</v>
      </c>
      <c r="C656" s="1" t="n">
        <v>46063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47479-2024</t>
        </is>
      </c>
      <c r="B657" s="1" t="n">
        <v>45587</v>
      </c>
      <c r="C657" s="1" t="n">
        <v>46063</v>
      </c>
      <c r="D657" t="inlineStr">
        <is>
          <t>VÄSTMANLANDS LÄN</t>
        </is>
      </c>
      <c r="E657" t="inlineStr">
        <is>
          <t>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19065-2022</t>
        </is>
      </c>
      <c r="B658" s="1" t="n">
        <v>44691.44309027777</v>
      </c>
      <c r="C658" s="1" t="n">
        <v>46063</v>
      </c>
      <c r="D658" t="inlineStr">
        <is>
          <t>VÄSTMANLANDS LÄN</t>
        </is>
      </c>
      <c r="E658" t="inlineStr">
        <is>
          <t>SALA</t>
        </is>
      </c>
      <c r="G658" t="n">
        <v>3.4</v>
      </c>
      <c r="H658" t="n">
        <v>0</v>
      </c>
      <c r="I658" t="n">
        <v>0</v>
      </c>
      <c r="J658" t="n">
        <v>0</v>
      </c>
      <c r="K658" t="n">
        <v>0</v>
      </c>
      <c r="L658" t="n">
        <v>0</v>
      </c>
      <c r="M658" t="n">
        <v>0</v>
      </c>
      <c r="N658" t="n">
        <v>0</v>
      </c>
      <c r="O658" t="n">
        <v>0</v>
      </c>
      <c r="P658" t="n">
        <v>0</v>
      </c>
      <c r="Q658" t="n">
        <v>0</v>
      </c>
      <c r="R658" s="2" t="inlineStr"/>
    </row>
    <row r="659" ht="15" customHeight="1">
      <c r="A659" t="inlineStr">
        <is>
          <t>A 22961-2023</t>
        </is>
      </c>
      <c r="B659" s="1" t="n">
        <v>45072</v>
      </c>
      <c r="C659" s="1" t="n">
        <v>46063</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22963-2023</t>
        </is>
      </c>
      <c r="B660" s="1" t="n">
        <v>45072</v>
      </c>
      <c r="C660" s="1" t="n">
        <v>46063</v>
      </c>
      <c r="D660" t="inlineStr">
        <is>
          <t>VÄSTMANLANDS LÄN</t>
        </is>
      </c>
      <c r="E660" t="inlineStr">
        <is>
          <t>SALA</t>
        </is>
      </c>
      <c r="G660" t="n">
        <v>1.2</v>
      </c>
      <c r="H660" t="n">
        <v>0</v>
      </c>
      <c r="I660" t="n">
        <v>0</v>
      </c>
      <c r="J660" t="n">
        <v>0</v>
      </c>
      <c r="K660" t="n">
        <v>0</v>
      </c>
      <c r="L660" t="n">
        <v>0</v>
      </c>
      <c r="M660" t="n">
        <v>0</v>
      </c>
      <c r="N660" t="n">
        <v>0</v>
      </c>
      <c r="O660" t="n">
        <v>0</v>
      </c>
      <c r="P660" t="n">
        <v>0</v>
      </c>
      <c r="Q660" t="n">
        <v>0</v>
      </c>
      <c r="R660" s="2" t="inlineStr"/>
    </row>
    <row r="661" ht="15" customHeight="1">
      <c r="A661" t="inlineStr">
        <is>
          <t>A 10585-2022</t>
        </is>
      </c>
      <c r="B661" s="1" t="n">
        <v>44624</v>
      </c>
      <c r="C661" s="1" t="n">
        <v>46063</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69236-2021</t>
        </is>
      </c>
      <c r="B662" s="1" t="n">
        <v>44531.4047337963</v>
      </c>
      <c r="C662" s="1" t="n">
        <v>46063</v>
      </c>
      <c r="D662" t="inlineStr">
        <is>
          <t>VÄSTMANLANDS LÄN</t>
        </is>
      </c>
      <c r="E662" t="inlineStr">
        <is>
          <t>SALA</t>
        </is>
      </c>
      <c r="G662" t="n">
        <v>2.8</v>
      </c>
      <c r="H662" t="n">
        <v>0</v>
      </c>
      <c r="I662" t="n">
        <v>0</v>
      </c>
      <c r="J662" t="n">
        <v>0</v>
      </c>
      <c r="K662" t="n">
        <v>0</v>
      </c>
      <c r="L662" t="n">
        <v>0</v>
      </c>
      <c r="M662" t="n">
        <v>0</v>
      </c>
      <c r="N662" t="n">
        <v>0</v>
      </c>
      <c r="O662" t="n">
        <v>0</v>
      </c>
      <c r="P662" t="n">
        <v>0</v>
      </c>
      <c r="Q662" t="n">
        <v>0</v>
      </c>
      <c r="R662" s="2" t="inlineStr"/>
    </row>
    <row r="663" ht="15" customHeight="1">
      <c r="A663" t="inlineStr">
        <is>
          <t>A 48117-2024</t>
        </is>
      </c>
      <c r="B663" s="1" t="n">
        <v>45589</v>
      </c>
      <c r="C663" s="1" t="n">
        <v>46063</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12225-2023</t>
        </is>
      </c>
      <c r="B664" s="1" t="n">
        <v>44995</v>
      </c>
      <c r="C664" s="1" t="n">
        <v>46063</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12252-2023</t>
        </is>
      </c>
      <c r="B665" s="1" t="n">
        <v>44995</v>
      </c>
      <c r="C665" s="1" t="n">
        <v>46063</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6116-2023</t>
        </is>
      </c>
      <c r="B666" s="1" t="n">
        <v>44964</v>
      </c>
      <c r="C666" s="1" t="n">
        <v>46063</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18100-2023</t>
        </is>
      </c>
      <c r="B667" s="1" t="n">
        <v>45040</v>
      </c>
      <c r="C667" s="1" t="n">
        <v>46063</v>
      </c>
      <c r="D667" t="inlineStr">
        <is>
          <t>VÄSTMANLANDS LÄN</t>
        </is>
      </c>
      <c r="E667" t="inlineStr">
        <is>
          <t>SALA</t>
        </is>
      </c>
      <c r="G667" t="n">
        <v>1.8</v>
      </c>
      <c r="H667" t="n">
        <v>0</v>
      </c>
      <c r="I667" t="n">
        <v>0</v>
      </c>
      <c r="J667" t="n">
        <v>0</v>
      </c>
      <c r="K667" t="n">
        <v>0</v>
      </c>
      <c r="L667" t="n">
        <v>0</v>
      </c>
      <c r="M667" t="n">
        <v>0</v>
      </c>
      <c r="N667" t="n">
        <v>0</v>
      </c>
      <c r="O667" t="n">
        <v>0</v>
      </c>
      <c r="P667" t="n">
        <v>0</v>
      </c>
      <c r="Q667" t="n">
        <v>0</v>
      </c>
      <c r="R667" s="2" t="inlineStr"/>
    </row>
    <row r="668" ht="15" customHeight="1">
      <c r="A668" t="inlineStr">
        <is>
          <t>A 13471-2025</t>
        </is>
      </c>
      <c r="B668" s="1" t="n">
        <v>45736.40579861111</v>
      </c>
      <c r="C668" s="1" t="n">
        <v>46063</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26854-2024</t>
        </is>
      </c>
      <c r="B669" s="1" t="n">
        <v>45470</v>
      </c>
      <c r="C669" s="1" t="n">
        <v>46063</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37602-2024</t>
        </is>
      </c>
      <c r="B670" s="1" t="n">
        <v>45541</v>
      </c>
      <c r="C670" s="1" t="n">
        <v>46063</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1985-2022</t>
        </is>
      </c>
      <c r="B671" s="1" t="n">
        <v>44575</v>
      </c>
      <c r="C671" s="1" t="n">
        <v>46063</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21455-2023</t>
        </is>
      </c>
      <c r="B672" s="1" t="n">
        <v>45058</v>
      </c>
      <c r="C672" s="1" t="n">
        <v>46063</v>
      </c>
      <c r="D672" t="inlineStr">
        <is>
          <t>VÄSTMANLANDS LÄN</t>
        </is>
      </c>
      <c r="E672" t="inlineStr">
        <is>
          <t>SALA</t>
        </is>
      </c>
      <c r="G672" t="n">
        <v>6.4</v>
      </c>
      <c r="H672" t="n">
        <v>0</v>
      </c>
      <c r="I672" t="n">
        <v>0</v>
      </c>
      <c r="J672" t="n">
        <v>0</v>
      </c>
      <c r="K672" t="n">
        <v>0</v>
      </c>
      <c r="L672" t="n">
        <v>0</v>
      </c>
      <c r="M672" t="n">
        <v>0</v>
      </c>
      <c r="N672" t="n">
        <v>0</v>
      </c>
      <c r="O672" t="n">
        <v>0</v>
      </c>
      <c r="P672" t="n">
        <v>0</v>
      </c>
      <c r="Q672" t="n">
        <v>0</v>
      </c>
      <c r="R672" s="2" t="inlineStr"/>
    </row>
    <row r="673" ht="15" customHeight="1">
      <c r="A673" t="inlineStr">
        <is>
          <t>A 4797-2023</t>
        </is>
      </c>
      <c r="B673" s="1" t="n">
        <v>44957</v>
      </c>
      <c r="C673" s="1" t="n">
        <v>46063</v>
      </c>
      <c r="D673" t="inlineStr">
        <is>
          <t>VÄSTMANLANDS LÄN</t>
        </is>
      </c>
      <c r="E673" t="inlineStr">
        <is>
          <t>SALA</t>
        </is>
      </c>
      <c r="G673" t="n">
        <v>5.7</v>
      </c>
      <c r="H673" t="n">
        <v>0</v>
      </c>
      <c r="I673" t="n">
        <v>0</v>
      </c>
      <c r="J673" t="n">
        <v>0</v>
      </c>
      <c r="K673" t="n">
        <v>0</v>
      </c>
      <c r="L673" t="n">
        <v>0</v>
      </c>
      <c r="M673" t="n">
        <v>0</v>
      </c>
      <c r="N673" t="n">
        <v>0</v>
      </c>
      <c r="O673" t="n">
        <v>0</v>
      </c>
      <c r="P673" t="n">
        <v>0</v>
      </c>
      <c r="Q673" t="n">
        <v>0</v>
      </c>
      <c r="R673" s="2" t="inlineStr"/>
    </row>
    <row r="674" ht="15" customHeight="1">
      <c r="A674" t="inlineStr">
        <is>
          <t>A 4852-2023</t>
        </is>
      </c>
      <c r="B674" s="1" t="n">
        <v>44957.72496527778</v>
      </c>
      <c r="C674" s="1" t="n">
        <v>46063</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36858-2023</t>
        </is>
      </c>
      <c r="B675" s="1" t="n">
        <v>45154.55184027777</v>
      </c>
      <c r="C675" s="1" t="n">
        <v>46063</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58701-2021</t>
        </is>
      </c>
      <c r="B676" s="1" t="n">
        <v>44489.46454861111</v>
      </c>
      <c r="C676" s="1" t="n">
        <v>46063</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37337-2024</t>
        </is>
      </c>
      <c r="B677" s="1" t="n">
        <v>45540</v>
      </c>
      <c r="C677" s="1" t="n">
        <v>46063</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10250-2025</t>
        </is>
      </c>
      <c r="B678" s="1" t="n">
        <v>45720.36165509259</v>
      </c>
      <c r="C678" s="1" t="n">
        <v>46063</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23180-2022</t>
        </is>
      </c>
      <c r="B679" s="1" t="n">
        <v>44719.79344907407</v>
      </c>
      <c r="C679" s="1" t="n">
        <v>46063</v>
      </c>
      <c r="D679" t="inlineStr">
        <is>
          <t>VÄSTMANLANDS LÄN</t>
        </is>
      </c>
      <c r="E679" t="inlineStr">
        <is>
          <t>SALA</t>
        </is>
      </c>
      <c r="G679" t="n">
        <v>1.2</v>
      </c>
      <c r="H679" t="n">
        <v>0</v>
      </c>
      <c r="I679" t="n">
        <v>0</v>
      </c>
      <c r="J679" t="n">
        <v>0</v>
      </c>
      <c r="K679" t="n">
        <v>0</v>
      </c>
      <c r="L679" t="n">
        <v>0</v>
      </c>
      <c r="M679" t="n">
        <v>0</v>
      </c>
      <c r="N679" t="n">
        <v>0</v>
      </c>
      <c r="O679" t="n">
        <v>0</v>
      </c>
      <c r="P679" t="n">
        <v>0</v>
      </c>
      <c r="Q679" t="n">
        <v>0</v>
      </c>
      <c r="R679" s="2" t="inlineStr"/>
    </row>
    <row r="680" ht="15" customHeight="1">
      <c r="A680" t="inlineStr">
        <is>
          <t>A 21053-2022</t>
        </is>
      </c>
      <c r="B680" s="1" t="n">
        <v>44704</v>
      </c>
      <c r="C680" s="1" t="n">
        <v>46063</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18340-2025</t>
        </is>
      </c>
      <c r="B681" s="1" t="n">
        <v>45762</v>
      </c>
      <c r="C681" s="1" t="n">
        <v>46063</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46063</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17117-2023</t>
        </is>
      </c>
      <c r="B683" s="1" t="n">
        <v>45034</v>
      </c>
      <c r="C683" s="1" t="n">
        <v>46063</v>
      </c>
      <c r="D683" t="inlineStr">
        <is>
          <t>VÄSTMANLANDS LÄN</t>
        </is>
      </c>
      <c r="E683" t="inlineStr">
        <is>
          <t>SALA</t>
        </is>
      </c>
      <c r="G683" t="n">
        <v>0.4</v>
      </c>
      <c r="H683" t="n">
        <v>0</v>
      </c>
      <c r="I683" t="n">
        <v>0</v>
      </c>
      <c r="J683" t="n">
        <v>0</v>
      </c>
      <c r="K683" t="n">
        <v>0</v>
      </c>
      <c r="L683" t="n">
        <v>0</v>
      </c>
      <c r="M683" t="n">
        <v>0</v>
      </c>
      <c r="N683" t="n">
        <v>0</v>
      </c>
      <c r="O683" t="n">
        <v>0</v>
      </c>
      <c r="P683" t="n">
        <v>0</v>
      </c>
      <c r="Q683" t="n">
        <v>0</v>
      </c>
      <c r="R683" s="2" t="inlineStr"/>
    </row>
    <row r="684" ht="15" customHeight="1">
      <c r="A684" t="inlineStr">
        <is>
          <t>A 59909-2024</t>
        </is>
      </c>
      <c r="B684" s="1" t="n">
        <v>45641</v>
      </c>
      <c r="C684" s="1" t="n">
        <v>46063</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30028-2024</t>
        </is>
      </c>
      <c r="B685" s="1" t="n">
        <v>45485</v>
      </c>
      <c r="C685" s="1" t="n">
        <v>46063</v>
      </c>
      <c r="D685" t="inlineStr">
        <is>
          <t>VÄSTMANLANDS LÄN</t>
        </is>
      </c>
      <c r="E685" t="inlineStr">
        <is>
          <t>SALA</t>
        </is>
      </c>
      <c r="G685" t="n">
        <v>2.6</v>
      </c>
      <c r="H685" t="n">
        <v>0</v>
      </c>
      <c r="I685" t="n">
        <v>0</v>
      </c>
      <c r="J685" t="n">
        <v>0</v>
      </c>
      <c r="K685" t="n">
        <v>0</v>
      </c>
      <c r="L685" t="n">
        <v>0</v>
      </c>
      <c r="M685" t="n">
        <v>0</v>
      </c>
      <c r="N685" t="n">
        <v>0</v>
      </c>
      <c r="O685" t="n">
        <v>0</v>
      </c>
      <c r="P685" t="n">
        <v>0</v>
      </c>
      <c r="Q685" t="n">
        <v>0</v>
      </c>
      <c r="R685" s="2" t="inlineStr"/>
    </row>
    <row r="686" ht="15" customHeight="1">
      <c r="A686" t="inlineStr">
        <is>
          <t>A 33309-2022</t>
        </is>
      </c>
      <c r="B686" s="1" t="n">
        <v>44788.40986111111</v>
      </c>
      <c r="C686" s="1" t="n">
        <v>46063</v>
      </c>
      <c r="D686" t="inlineStr">
        <is>
          <t>VÄSTMANLANDS LÄN</t>
        </is>
      </c>
      <c r="E686" t="inlineStr">
        <is>
          <t>SALA</t>
        </is>
      </c>
      <c r="G686" t="n">
        <v>2.6</v>
      </c>
      <c r="H686" t="n">
        <v>0</v>
      </c>
      <c r="I686" t="n">
        <v>0</v>
      </c>
      <c r="J686" t="n">
        <v>0</v>
      </c>
      <c r="K686" t="n">
        <v>0</v>
      </c>
      <c r="L686" t="n">
        <v>0</v>
      </c>
      <c r="M686" t="n">
        <v>0</v>
      </c>
      <c r="N686" t="n">
        <v>0</v>
      </c>
      <c r="O686" t="n">
        <v>0</v>
      </c>
      <c r="P686" t="n">
        <v>0</v>
      </c>
      <c r="Q686" t="n">
        <v>0</v>
      </c>
      <c r="R686" s="2" t="inlineStr"/>
    </row>
    <row r="687" ht="15" customHeight="1">
      <c r="A687" t="inlineStr">
        <is>
          <t>A 7377-2023</t>
        </is>
      </c>
      <c r="B687" s="1" t="n">
        <v>44971</v>
      </c>
      <c r="C687" s="1" t="n">
        <v>46063</v>
      </c>
      <c r="D687" t="inlineStr">
        <is>
          <t>VÄSTMANLANDS LÄN</t>
        </is>
      </c>
      <c r="E687" t="inlineStr">
        <is>
          <t>SALA</t>
        </is>
      </c>
      <c r="G687" t="n">
        <v>0.9</v>
      </c>
      <c r="H687" t="n">
        <v>0</v>
      </c>
      <c r="I687" t="n">
        <v>0</v>
      </c>
      <c r="J687" t="n">
        <v>0</v>
      </c>
      <c r="K687" t="n">
        <v>0</v>
      </c>
      <c r="L687" t="n">
        <v>0</v>
      </c>
      <c r="M687" t="n">
        <v>0</v>
      </c>
      <c r="N687" t="n">
        <v>0</v>
      </c>
      <c r="O687" t="n">
        <v>0</v>
      </c>
      <c r="P687" t="n">
        <v>0</v>
      </c>
      <c r="Q687" t="n">
        <v>0</v>
      </c>
      <c r="R687" s="2" t="inlineStr"/>
    </row>
    <row r="688" ht="15" customHeight="1">
      <c r="A688" t="inlineStr">
        <is>
          <t>A 27229-2022</t>
        </is>
      </c>
      <c r="B688" s="1" t="n">
        <v>44741</v>
      </c>
      <c r="C688" s="1" t="n">
        <v>46063</v>
      </c>
      <c r="D688" t="inlineStr">
        <is>
          <t>VÄSTMANLANDS LÄN</t>
        </is>
      </c>
      <c r="E688" t="inlineStr">
        <is>
          <t>SALA</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24755-2021</t>
        </is>
      </c>
      <c r="B689" s="1" t="n">
        <v>44340</v>
      </c>
      <c r="C689" s="1" t="n">
        <v>46063</v>
      </c>
      <c r="D689" t="inlineStr">
        <is>
          <t>VÄSTMANLANDS LÄN</t>
        </is>
      </c>
      <c r="E689" t="inlineStr">
        <is>
          <t>SALA</t>
        </is>
      </c>
      <c r="G689" t="n">
        <v>1.2</v>
      </c>
      <c r="H689" t="n">
        <v>0</v>
      </c>
      <c r="I689" t="n">
        <v>0</v>
      </c>
      <c r="J689" t="n">
        <v>0</v>
      </c>
      <c r="K689" t="n">
        <v>0</v>
      </c>
      <c r="L689" t="n">
        <v>0</v>
      </c>
      <c r="M689" t="n">
        <v>0</v>
      </c>
      <c r="N689" t="n">
        <v>0</v>
      </c>
      <c r="O689" t="n">
        <v>0</v>
      </c>
      <c r="P689" t="n">
        <v>0</v>
      </c>
      <c r="Q689" t="n">
        <v>0</v>
      </c>
      <c r="R689" s="2" t="inlineStr"/>
    </row>
    <row r="690" ht="15" customHeight="1">
      <c r="A690" t="inlineStr">
        <is>
          <t>A 34867-2023</t>
        </is>
      </c>
      <c r="B690" s="1" t="n">
        <v>45142.33481481481</v>
      </c>
      <c r="C690" s="1" t="n">
        <v>46063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25748-2022</t>
        </is>
      </c>
      <c r="B691" s="1" t="n">
        <v>44732</v>
      </c>
      <c r="C691" s="1" t="n">
        <v>46063</v>
      </c>
      <c r="D691" t="inlineStr">
        <is>
          <t>VÄSTMANLANDS LÄN</t>
        </is>
      </c>
      <c r="E691" t="inlineStr">
        <is>
          <t>SALA</t>
        </is>
      </c>
      <c r="G691" t="n">
        <v>7.7</v>
      </c>
      <c r="H691" t="n">
        <v>0</v>
      </c>
      <c r="I691" t="n">
        <v>0</v>
      </c>
      <c r="J691" t="n">
        <v>0</v>
      </c>
      <c r="K691" t="n">
        <v>0</v>
      </c>
      <c r="L691" t="n">
        <v>0</v>
      </c>
      <c r="M691" t="n">
        <v>0</v>
      </c>
      <c r="N691" t="n">
        <v>0</v>
      </c>
      <c r="O691" t="n">
        <v>0</v>
      </c>
      <c r="P691" t="n">
        <v>0</v>
      </c>
      <c r="Q691" t="n">
        <v>0</v>
      </c>
      <c r="R691" s="2" t="inlineStr"/>
    </row>
    <row r="692" ht="15" customHeight="1">
      <c r="A692" t="inlineStr">
        <is>
          <t>A 49512-2024</t>
        </is>
      </c>
      <c r="B692" s="1" t="n">
        <v>45591</v>
      </c>
      <c r="C692" s="1" t="n">
        <v>46063</v>
      </c>
      <c r="D692" t="inlineStr">
        <is>
          <t>VÄSTMANLANDS LÄN</t>
        </is>
      </c>
      <c r="E692" t="inlineStr">
        <is>
          <t>SALA</t>
        </is>
      </c>
      <c r="G692" t="n">
        <v>8.1</v>
      </c>
      <c r="H692" t="n">
        <v>0</v>
      </c>
      <c r="I692" t="n">
        <v>0</v>
      </c>
      <c r="J692" t="n">
        <v>0</v>
      </c>
      <c r="K692" t="n">
        <v>0</v>
      </c>
      <c r="L692" t="n">
        <v>0</v>
      </c>
      <c r="M692" t="n">
        <v>0</v>
      </c>
      <c r="N692" t="n">
        <v>0</v>
      </c>
      <c r="O692" t="n">
        <v>0</v>
      </c>
      <c r="P692" t="n">
        <v>0</v>
      </c>
      <c r="Q692" t="n">
        <v>0</v>
      </c>
      <c r="R692" s="2" t="inlineStr"/>
    </row>
    <row r="693" ht="15" customHeight="1">
      <c r="A693" t="inlineStr">
        <is>
          <t>A 13128-2023</t>
        </is>
      </c>
      <c r="B693" s="1" t="n">
        <v>45002</v>
      </c>
      <c r="C693" s="1" t="n">
        <v>46063</v>
      </c>
      <c r="D693" t="inlineStr">
        <is>
          <t>VÄSTMANLANDS LÄN</t>
        </is>
      </c>
      <c r="E693" t="inlineStr">
        <is>
          <t>SALA</t>
        </is>
      </c>
      <c r="G693" t="n">
        <v>7.9</v>
      </c>
      <c r="H693" t="n">
        <v>0</v>
      </c>
      <c r="I693" t="n">
        <v>0</v>
      </c>
      <c r="J693" t="n">
        <v>0</v>
      </c>
      <c r="K693" t="n">
        <v>0</v>
      </c>
      <c r="L693" t="n">
        <v>0</v>
      </c>
      <c r="M693" t="n">
        <v>0</v>
      </c>
      <c r="N693" t="n">
        <v>0</v>
      </c>
      <c r="O693" t="n">
        <v>0</v>
      </c>
      <c r="P693" t="n">
        <v>0</v>
      </c>
      <c r="Q693" t="n">
        <v>0</v>
      </c>
      <c r="R693" s="2" t="inlineStr"/>
    </row>
    <row r="694" ht="15" customHeight="1">
      <c r="A694" t="inlineStr">
        <is>
          <t>A 37958-2024</t>
        </is>
      </c>
      <c r="B694" s="1" t="n">
        <v>45544</v>
      </c>
      <c r="C694" s="1" t="n">
        <v>46063</v>
      </c>
      <c r="D694" t="inlineStr">
        <is>
          <t>VÄSTMANLANDS LÄN</t>
        </is>
      </c>
      <c r="E694" t="inlineStr">
        <is>
          <t>SALA</t>
        </is>
      </c>
      <c r="G694" t="n">
        <v>5.6</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46063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57650-2024</t>
        </is>
      </c>
      <c r="B696" s="1" t="n">
        <v>45630</v>
      </c>
      <c r="C696" s="1" t="n">
        <v>46063</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10255-2024</t>
        </is>
      </c>
      <c r="B697" s="1" t="n">
        <v>45365</v>
      </c>
      <c r="C697" s="1" t="n">
        <v>46063</v>
      </c>
      <c r="D697" t="inlineStr">
        <is>
          <t>VÄSTMANLANDS LÄN</t>
        </is>
      </c>
      <c r="E697" t="inlineStr">
        <is>
          <t>SALA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28696-2023</t>
        </is>
      </c>
      <c r="B698" s="1" t="n">
        <v>45103.71759259259</v>
      </c>
      <c r="C698" s="1" t="n">
        <v>46063</v>
      </c>
      <c r="D698" t="inlineStr">
        <is>
          <t>VÄSTMANLANDS LÄN</t>
        </is>
      </c>
      <c r="E698" t="inlineStr">
        <is>
          <t>SALA</t>
        </is>
      </c>
      <c r="F698" t="inlineStr">
        <is>
          <t>Kommuner</t>
        </is>
      </c>
      <c r="G698" t="n">
        <v>5.9</v>
      </c>
      <c r="H698" t="n">
        <v>0</v>
      </c>
      <c r="I698" t="n">
        <v>0</v>
      </c>
      <c r="J698" t="n">
        <v>0</v>
      </c>
      <c r="K698" t="n">
        <v>0</v>
      </c>
      <c r="L698" t="n">
        <v>0</v>
      </c>
      <c r="M698" t="n">
        <v>0</v>
      </c>
      <c r="N698" t="n">
        <v>0</v>
      </c>
      <c r="O698" t="n">
        <v>0</v>
      </c>
      <c r="P698" t="n">
        <v>0</v>
      </c>
      <c r="Q698" t="n">
        <v>0</v>
      </c>
      <c r="R698" s="2" t="inlineStr"/>
    </row>
    <row r="699" ht="15" customHeight="1">
      <c r="A699" t="inlineStr">
        <is>
          <t>A 31072-2021</t>
        </is>
      </c>
      <c r="B699" s="1" t="n">
        <v>44368</v>
      </c>
      <c r="C699" s="1" t="n">
        <v>46063</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16543-2023</t>
        </is>
      </c>
      <c r="B700" s="1" t="n">
        <v>45029</v>
      </c>
      <c r="C700" s="1" t="n">
        <v>46063</v>
      </c>
      <c r="D700" t="inlineStr">
        <is>
          <t>VÄSTMANLANDS LÄN</t>
        </is>
      </c>
      <c r="E700" t="inlineStr">
        <is>
          <t>SALA</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22523-2023</t>
        </is>
      </c>
      <c r="B701" s="1" t="n">
        <v>45069</v>
      </c>
      <c r="C701" s="1" t="n">
        <v>46063</v>
      </c>
      <c r="D701" t="inlineStr">
        <is>
          <t>VÄSTMANLANDS LÄN</t>
        </is>
      </c>
      <c r="E701" t="inlineStr">
        <is>
          <t>SALA</t>
        </is>
      </c>
      <c r="G701" t="n">
        <v>2.4</v>
      </c>
      <c r="H701" t="n">
        <v>0</v>
      </c>
      <c r="I701" t="n">
        <v>0</v>
      </c>
      <c r="J701" t="n">
        <v>0</v>
      </c>
      <c r="K701" t="n">
        <v>0</v>
      </c>
      <c r="L701" t="n">
        <v>0</v>
      </c>
      <c r="M701" t="n">
        <v>0</v>
      </c>
      <c r="N701" t="n">
        <v>0</v>
      </c>
      <c r="O701" t="n">
        <v>0</v>
      </c>
      <c r="P701" t="n">
        <v>0</v>
      </c>
      <c r="Q701" t="n">
        <v>0</v>
      </c>
      <c r="R701" s="2" t="inlineStr"/>
    </row>
    <row r="702" ht="15" customHeight="1">
      <c r="A702" t="inlineStr">
        <is>
          <t>A 4663-2022</t>
        </is>
      </c>
      <c r="B702" s="1" t="n">
        <v>44592.45429398148</v>
      </c>
      <c r="C702" s="1" t="n">
        <v>46063</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6132-2025</t>
        </is>
      </c>
      <c r="B703" s="1" t="n">
        <v>45698</v>
      </c>
      <c r="C703" s="1" t="n">
        <v>46063</v>
      </c>
      <c r="D703" t="inlineStr">
        <is>
          <t>VÄSTMANLANDS LÄN</t>
        </is>
      </c>
      <c r="E703" t="inlineStr">
        <is>
          <t>SALA</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31859-2023</t>
        </is>
      </c>
      <c r="B704" s="1" t="n">
        <v>45118</v>
      </c>
      <c r="C704" s="1" t="n">
        <v>46063</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c r="U704">
        <f>HYPERLINK("https://klasma.github.io/Logging_1981/knärot/A 31859-2023 karta knärot.png", "A 31859-2023")</f>
        <v/>
      </c>
      <c r="V704">
        <f>HYPERLINK("https://klasma.github.io/Logging_1981/klagomål/A 31859-2023 FSC-klagomål.docx", "A 31859-2023")</f>
        <v/>
      </c>
      <c r="W704">
        <f>HYPERLINK("https://klasma.github.io/Logging_1981/klagomålsmail/A 31859-2023 FSC-klagomål mail.docx", "A 31859-2023")</f>
        <v/>
      </c>
      <c r="X704">
        <f>HYPERLINK("https://klasma.github.io/Logging_1981/tillsyn/A 31859-2023 tillsynsbegäran.docx", "A 31859-2023")</f>
        <v/>
      </c>
      <c r="Y704">
        <f>HYPERLINK("https://klasma.github.io/Logging_1981/tillsynsmail/A 31859-2023 tillsynsbegäran mail.docx", "A 31859-2023")</f>
        <v/>
      </c>
    </row>
    <row r="705" ht="15" customHeight="1">
      <c r="A705" t="inlineStr">
        <is>
          <t>A 61681-2024</t>
        </is>
      </c>
      <c r="B705" s="1" t="n">
        <v>45647</v>
      </c>
      <c r="C705" s="1" t="n">
        <v>46063</v>
      </c>
      <c r="D705" t="inlineStr">
        <is>
          <t>VÄSTMANLANDS LÄN</t>
        </is>
      </c>
      <c r="E705" t="inlineStr">
        <is>
          <t>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54960-2024</t>
        </is>
      </c>
      <c r="B706" s="1" t="n">
        <v>45619.85208333333</v>
      </c>
      <c r="C706" s="1" t="n">
        <v>46063</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31082-2021</t>
        </is>
      </c>
      <c r="B707" s="1" t="n">
        <v>44368</v>
      </c>
      <c r="C707" s="1" t="n">
        <v>46063</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20352-2022</t>
        </is>
      </c>
      <c r="B708" s="1" t="n">
        <v>44699.37318287037</v>
      </c>
      <c r="C708" s="1" t="n">
        <v>46063</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27657-2023</t>
        </is>
      </c>
      <c r="B709" s="1" t="n">
        <v>45097.76631944445</v>
      </c>
      <c r="C709" s="1" t="n">
        <v>46063</v>
      </c>
      <c r="D709" t="inlineStr">
        <is>
          <t>VÄSTMANLANDS LÄN</t>
        </is>
      </c>
      <c r="E709" t="inlineStr">
        <is>
          <t>SALA</t>
        </is>
      </c>
      <c r="G709" t="n">
        <v>0.1</v>
      </c>
      <c r="H709" t="n">
        <v>0</v>
      </c>
      <c r="I709" t="n">
        <v>0</v>
      </c>
      <c r="J709" t="n">
        <v>0</v>
      </c>
      <c r="K709" t="n">
        <v>0</v>
      </c>
      <c r="L709" t="n">
        <v>0</v>
      </c>
      <c r="M709" t="n">
        <v>0</v>
      </c>
      <c r="N709" t="n">
        <v>0</v>
      </c>
      <c r="O709" t="n">
        <v>0</v>
      </c>
      <c r="P709" t="n">
        <v>0</v>
      </c>
      <c r="Q709" t="n">
        <v>0</v>
      </c>
      <c r="R709" s="2" t="inlineStr"/>
    </row>
    <row r="710" ht="15" customHeight="1">
      <c r="A710" t="inlineStr">
        <is>
          <t>A 2766-2024</t>
        </is>
      </c>
      <c r="B710" s="1" t="n">
        <v>45314.60950231482</v>
      </c>
      <c r="C710" s="1" t="n">
        <v>46063</v>
      </c>
      <c r="D710" t="inlineStr">
        <is>
          <t>VÄSTMANLANDS LÄN</t>
        </is>
      </c>
      <c r="E710" t="inlineStr">
        <is>
          <t>SALA</t>
        </is>
      </c>
      <c r="G710" t="n">
        <v>2.8</v>
      </c>
      <c r="H710" t="n">
        <v>0</v>
      </c>
      <c r="I710" t="n">
        <v>0</v>
      </c>
      <c r="J710" t="n">
        <v>0</v>
      </c>
      <c r="K710" t="n">
        <v>0</v>
      </c>
      <c r="L710" t="n">
        <v>0</v>
      </c>
      <c r="M710" t="n">
        <v>0</v>
      </c>
      <c r="N710" t="n">
        <v>0</v>
      </c>
      <c r="O710" t="n">
        <v>0</v>
      </c>
      <c r="P710" t="n">
        <v>0</v>
      </c>
      <c r="Q710" t="n">
        <v>0</v>
      </c>
      <c r="R710" s="2" t="inlineStr"/>
    </row>
    <row r="711" ht="15" customHeight="1">
      <c r="A711" t="inlineStr">
        <is>
          <t>A 60550-2024</t>
        </is>
      </c>
      <c r="B711" s="1" t="n">
        <v>45643</v>
      </c>
      <c r="C711" s="1" t="n">
        <v>46063</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14690-2025</t>
        </is>
      </c>
      <c r="B712" s="1" t="n">
        <v>45742.58212962963</v>
      </c>
      <c r="C712" s="1" t="n">
        <v>46063</v>
      </c>
      <c r="D712" t="inlineStr">
        <is>
          <t>VÄSTMANLANDS LÄN</t>
        </is>
      </c>
      <c r="E712" t="inlineStr">
        <is>
          <t>SALA</t>
        </is>
      </c>
      <c r="G712" t="n">
        <v>3.4</v>
      </c>
      <c r="H712" t="n">
        <v>0</v>
      </c>
      <c r="I712" t="n">
        <v>0</v>
      </c>
      <c r="J712" t="n">
        <v>0</v>
      </c>
      <c r="K712" t="n">
        <v>0</v>
      </c>
      <c r="L712" t="n">
        <v>0</v>
      </c>
      <c r="M712" t="n">
        <v>0</v>
      </c>
      <c r="N712" t="n">
        <v>0</v>
      </c>
      <c r="O712" t="n">
        <v>0</v>
      </c>
      <c r="P712" t="n">
        <v>0</v>
      </c>
      <c r="Q712" t="n">
        <v>0</v>
      </c>
      <c r="R712" s="2" t="inlineStr"/>
    </row>
    <row r="713" ht="15" customHeight="1">
      <c r="A713" t="inlineStr">
        <is>
          <t>A 24175-2024</t>
        </is>
      </c>
      <c r="B713" s="1" t="n">
        <v>45456</v>
      </c>
      <c r="C713" s="1" t="n">
        <v>46063</v>
      </c>
      <c r="D713" t="inlineStr">
        <is>
          <t>VÄSTMANLANDS LÄN</t>
        </is>
      </c>
      <c r="E713" t="inlineStr">
        <is>
          <t>SALA</t>
        </is>
      </c>
      <c r="G713" t="n">
        <v>0.6</v>
      </c>
      <c r="H713" t="n">
        <v>0</v>
      </c>
      <c r="I713" t="n">
        <v>0</v>
      </c>
      <c r="J713" t="n">
        <v>0</v>
      </c>
      <c r="K713" t="n">
        <v>0</v>
      </c>
      <c r="L713" t="n">
        <v>0</v>
      </c>
      <c r="M713" t="n">
        <v>0</v>
      </c>
      <c r="N713" t="n">
        <v>0</v>
      </c>
      <c r="O713" t="n">
        <v>0</v>
      </c>
      <c r="P713" t="n">
        <v>0</v>
      </c>
      <c r="Q713" t="n">
        <v>0</v>
      </c>
      <c r="R713" s="2" t="inlineStr"/>
    </row>
    <row r="714" ht="15" customHeight="1">
      <c r="A714" t="inlineStr">
        <is>
          <t>A 62449-2023</t>
        </is>
      </c>
      <c r="B714" s="1" t="n">
        <v>45268.49008101852</v>
      </c>
      <c r="C714" s="1" t="n">
        <v>46063</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54910-2023</t>
        </is>
      </c>
      <c r="B715" s="1" t="n">
        <v>45229</v>
      </c>
      <c r="C715" s="1" t="n">
        <v>46063</v>
      </c>
      <c r="D715" t="inlineStr">
        <is>
          <t>VÄSTMANLANDS LÄN</t>
        </is>
      </c>
      <c r="E715" t="inlineStr">
        <is>
          <t>SALA</t>
        </is>
      </c>
      <c r="G715" t="n">
        <v>2.4</v>
      </c>
      <c r="H715" t="n">
        <v>0</v>
      </c>
      <c r="I715" t="n">
        <v>0</v>
      </c>
      <c r="J715" t="n">
        <v>0</v>
      </c>
      <c r="K715" t="n">
        <v>0</v>
      </c>
      <c r="L715" t="n">
        <v>0</v>
      </c>
      <c r="M715" t="n">
        <v>0</v>
      </c>
      <c r="N715" t="n">
        <v>0</v>
      </c>
      <c r="O715" t="n">
        <v>0</v>
      </c>
      <c r="P715" t="n">
        <v>0</v>
      </c>
      <c r="Q715" t="n">
        <v>0</v>
      </c>
      <c r="R715" s="2" t="inlineStr"/>
    </row>
    <row r="716" ht="15" customHeight="1">
      <c r="A716" t="inlineStr">
        <is>
          <t>A 19222-2025</t>
        </is>
      </c>
      <c r="B716" s="1" t="n">
        <v>45769</v>
      </c>
      <c r="C716" s="1" t="n">
        <v>46063</v>
      </c>
      <c r="D716" t="inlineStr">
        <is>
          <t>VÄSTMANLANDS LÄN</t>
        </is>
      </c>
      <c r="E716" t="inlineStr">
        <is>
          <t>SALA</t>
        </is>
      </c>
      <c r="G716" t="n">
        <v>1.8</v>
      </c>
      <c r="H716" t="n">
        <v>0</v>
      </c>
      <c r="I716" t="n">
        <v>0</v>
      </c>
      <c r="J716" t="n">
        <v>0</v>
      </c>
      <c r="K716" t="n">
        <v>0</v>
      </c>
      <c r="L716" t="n">
        <v>0</v>
      </c>
      <c r="M716" t="n">
        <v>0</v>
      </c>
      <c r="N716" t="n">
        <v>0</v>
      </c>
      <c r="O716" t="n">
        <v>0</v>
      </c>
      <c r="P716" t="n">
        <v>0</v>
      </c>
      <c r="Q716" t="n">
        <v>0</v>
      </c>
      <c r="R716" s="2" t="inlineStr"/>
    </row>
    <row r="717" ht="15" customHeight="1">
      <c r="A717" t="inlineStr">
        <is>
          <t>A 19241-2025</t>
        </is>
      </c>
      <c r="B717" s="1" t="n">
        <v>45769</v>
      </c>
      <c r="C717" s="1" t="n">
        <v>46063</v>
      </c>
      <c r="D717" t="inlineStr">
        <is>
          <t>VÄSTMANLANDS LÄN</t>
        </is>
      </c>
      <c r="E717" t="inlineStr">
        <is>
          <t>SALA</t>
        </is>
      </c>
      <c r="G717" t="n">
        <v>3.6</v>
      </c>
      <c r="H717" t="n">
        <v>0</v>
      </c>
      <c r="I717" t="n">
        <v>0</v>
      </c>
      <c r="J717" t="n">
        <v>0</v>
      </c>
      <c r="K717" t="n">
        <v>0</v>
      </c>
      <c r="L717" t="n">
        <v>0</v>
      </c>
      <c r="M717" t="n">
        <v>0</v>
      </c>
      <c r="N717" t="n">
        <v>0</v>
      </c>
      <c r="O717" t="n">
        <v>0</v>
      </c>
      <c r="P717" t="n">
        <v>0</v>
      </c>
      <c r="Q717" t="n">
        <v>0</v>
      </c>
      <c r="R717" s="2" t="inlineStr"/>
    </row>
    <row r="718" ht="15" customHeight="1">
      <c r="A718" t="inlineStr">
        <is>
          <t>A 26416-2023</t>
        </is>
      </c>
      <c r="B718" s="1" t="n">
        <v>45092.38087962963</v>
      </c>
      <c r="C718" s="1" t="n">
        <v>46063</v>
      </c>
      <c r="D718" t="inlineStr">
        <is>
          <t>VÄSTMANLANDS LÄN</t>
        </is>
      </c>
      <c r="E718" t="inlineStr">
        <is>
          <t>SALA</t>
        </is>
      </c>
      <c r="G718" t="n">
        <v>2.9</v>
      </c>
      <c r="H718" t="n">
        <v>0</v>
      </c>
      <c r="I718" t="n">
        <v>0</v>
      </c>
      <c r="J718" t="n">
        <v>0</v>
      </c>
      <c r="K718" t="n">
        <v>0</v>
      </c>
      <c r="L718" t="n">
        <v>0</v>
      </c>
      <c r="M718" t="n">
        <v>0</v>
      </c>
      <c r="N718" t="n">
        <v>0</v>
      </c>
      <c r="O718" t="n">
        <v>0</v>
      </c>
      <c r="P718" t="n">
        <v>0</v>
      </c>
      <c r="Q718" t="n">
        <v>0</v>
      </c>
      <c r="R718" s="2" t="inlineStr"/>
    </row>
    <row r="719" ht="15" customHeight="1">
      <c r="A719" t="inlineStr">
        <is>
          <t>A 26692-2023</t>
        </is>
      </c>
      <c r="B719" s="1" t="n">
        <v>45093.360625</v>
      </c>
      <c r="C719" s="1" t="n">
        <v>46063</v>
      </c>
      <c r="D719" t="inlineStr">
        <is>
          <t>VÄSTMANLANDS LÄN</t>
        </is>
      </c>
      <c r="E719" t="inlineStr">
        <is>
          <t>SALA</t>
        </is>
      </c>
      <c r="G719" t="n">
        <v>1.8</v>
      </c>
      <c r="H719" t="n">
        <v>0</v>
      </c>
      <c r="I719" t="n">
        <v>0</v>
      </c>
      <c r="J719" t="n">
        <v>0</v>
      </c>
      <c r="K719" t="n">
        <v>0</v>
      </c>
      <c r="L719" t="n">
        <v>0</v>
      </c>
      <c r="M719" t="n">
        <v>0</v>
      </c>
      <c r="N719" t="n">
        <v>0</v>
      </c>
      <c r="O719" t="n">
        <v>0</v>
      </c>
      <c r="P719" t="n">
        <v>0</v>
      </c>
      <c r="Q719" t="n">
        <v>0</v>
      </c>
      <c r="R719" s="2" t="inlineStr"/>
    </row>
    <row r="720" ht="15" customHeight="1">
      <c r="A720" t="inlineStr">
        <is>
          <t>A 15681-2025</t>
        </is>
      </c>
      <c r="B720" s="1" t="n">
        <v>45748.45454861111</v>
      </c>
      <c r="C720" s="1" t="n">
        <v>46063</v>
      </c>
      <c r="D720" t="inlineStr">
        <is>
          <t>VÄSTMANLANDS LÄN</t>
        </is>
      </c>
      <c r="E720" t="inlineStr">
        <is>
          <t>SALA</t>
        </is>
      </c>
      <c r="F720" t="inlineStr">
        <is>
          <t>Bergvik skog öst AB</t>
        </is>
      </c>
      <c r="G720" t="n">
        <v>4.3</v>
      </c>
      <c r="H720" t="n">
        <v>0</v>
      </c>
      <c r="I720" t="n">
        <v>0</v>
      </c>
      <c r="J720" t="n">
        <v>0</v>
      </c>
      <c r="K720" t="n">
        <v>0</v>
      </c>
      <c r="L720" t="n">
        <v>0</v>
      </c>
      <c r="M720" t="n">
        <v>0</v>
      </c>
      <c r="N720" t="n">
        <v>0</v>
      </c>
      <c r="O720" t="n">
        <v>0</v>
      </c>
      <c r="P720" t="n">
        <v>0</v>
      </c>
      <c r="Q720" t="n">
        <v>0</v>
      </c>
      <c r="R720" s="2" t="inlineStr"/>
    </row>
    <row r="721" ht="15" customHeight="1">
      <c r="A721" t="inlineStr">
        <is>
          <t>A 2925-2024</t>
        </is>
      </c>
      <c r="B721" s="1" t="n">
        <v>45315.58909722222</v>
      </c>
      <c r="C721" s="1" t="n">
        <v>46063</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44746-2024</t>
        </is>
      </c>
      <c r="B722" s="1" t="n">
        <v>45574.59813657407</v>
      </c>
      <c r="C722" s="1" t="n">
        <v>46063</v>
      </c>
      <c r="D722" t="inlineStr">
        <is>
          <t>VÄSTMANLANDS LÄN</t>
        </is>
      </c>
      <c r="E722" t="inlineStr">
        <is>
          <t>SALA</t>
        </is>
      </c>
      <c r="G722" t="n">
        <v>6.7</v>
      </c>
      <c r="H722" t="n">
        <v>0</v>
      </c>
      <c r="I722" t="n">
        <v>0</v>
      </c>
      <c r="J722" t="n">
        <v>0</v>
      </c>
      <c r="K722" t="n">
        <v>0</v>
      </c>
      <c r="L722" t="n">
        <v>0</v>
      </c>
      <c r="M722" t="n">
        <v>0</v>
      </c>
      <c r="N722" t="n">
        <v>0</v>
      </c>
      <c r="O722" t="n">
        <v>0</v>
      </c>
      <c r="P722" t="n">
        <v>0</v>
      </c>
      <c r="Q722" t="n">
        <v>0</v>
      </c>
      <c r="R722" s="2" t="inlineStr"/>
    </row>
    <row r="723" ht="15" customHeight="1">
      <c r="A723" t="inlineStr">
        <is>
          <t>A 44713-2023</t>
        </is>
      </c>
      <c r="B723" s="1" t="n">
        <v>45184</v>
      </c>
      <c r="C723" s="1" t="n">
        <v>46063</v>
      </c>
      <c r="D723" t="inlineStr">
        <is>
          <t>VÄSTMANLANDS LÄN</t>
        </is>
      </c>
      <c r="E723" t="inlineStr">
        <is>
          <t>SALA</t>
        </is>
      </c>
      <c r="F723" t="inlineStr">
        <is>
          <t>Kyrkan</t>
        </is>
      </c>
      <c r="G723" t="n">
        <v>7.6</v>
      </c>
      <c r="H723" t="n">
        <v>0</v>
      </c>
      <c r="I723" t="n">
        <v>0</v>
      </c>
      <c r="J723" t="n">
        <v>0</v>
      </c>
      <c r="K723" t="n">
        <v>0</v>
      </c>
      <c r="L723" t="n">
        <v>0</v>
      </c>
      <c r="M723" t="n">
        <v>0</v>
      </c>
      <c r="N723" t="n">
        <v>0</v>
      </c>
      <c r="O723" t="n">
        <v>0</v>
      </c>
      <c r="P723" t="n">
        <v>0</v>
      </c>
      <c r="Q723" t="n">
        <v>0</v>
      </c>
      <c r="R723" s="2" t="inlineStr"/>
    </row>
    <row r="724" ht="15" customHeight="1">
      <c r="A724" t="inlineStr">
        <is>
          <t>A 23431-2024</t>
        </is>
      </c>
      <c r="B724" s="1" t="n">
        <v>45453</v>
      </c>
      <c r="C724" s="1" t="n">
        <v>46063</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21168-2025</t>
        </is>
      </c>
      <c r="B725" s="1" t="n">
        <v>45777</v>
      </c>
      <c r="C725" s="1" t="n">
        <v>46063</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21751-2025</t>
        </is>
      </c>
      <c r="B726" s="1" t="n">
        <v>45783.61372685185</v>
      </c>
      <c r="C726" s="1" t="n">
        <v>46063</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21754-2025</t>
        </is>
      </c>
      <c r="B727" s="1" t="n">
        <v>45783.61837962963</v>
      </c>
      <c r="C727" s="1" t="n">
        <v>46063</v>
      </c>
      <c r="D727" t="inlineStr">
        <is>
          <t>VÄSTMANLANDS LÄN</t>
        </is>
      </c>
      <c r="E727" t="inlineStr">
        <is>
          <t>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37587-2024</t>
        </is>
      </c>
      <c r="B728" s="1" t="n">
        <v>45541</v>
      </c>
      <c r="C728" s="1" t="n">
        <v>46063</v>
      </c>
      <c r="D728" t="inlineStr">
        <is>
          <t>VÄSTMANLANDS LÄN</t>
        </is>
      </c>
      <c r="E728" t="inlineStr">
        <is>
          <t>SALA</t>
        </is>
      </c>
      <c r="G728" t="n">
        <v>1.2</v>
      </c>
      <c r="H728" t="n">
        <v>0</v>
      </c>
      <c r="I728" t="n">
        <v>0</v>
      </c>
      <c r="J728" t="n">
        <v>0</v>
      </c>
      <c r="K728" t="n">
        <v>0</v>
      </c>
      <c r="L728" t="n">
        <v>0</v>
      </c>
      <c r="M728" t="n">
        <v>0</v>
      </c>
      <c r="N728" t="n">
        <v>0</v>
      </c>
      <c r="O728" t="n">
        <v>0</v>
      </c>
      <c r="P728" t="n">
        <v>0</v>
      </c>
      <c r="Q728" t="n">
        <v>0</v>
      </c>
      <c r="R728" s="2" t="inlineStr"/>
    </row>
    <row r="729" ht="15" customHeight="1">
      <c r="A729" t="inlineStr">
        <is>
          <t>A 22353-2025</t>
        </is>
      </c>
      <c r="B729" s="1" t="n">
        <v>45786</v>
      </c>
      <c r="C729" s="1" t="n">
        <v>46063</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64724-2023</t>
        </is>
      </c>
      <c r="B730" s="1" t="n">
        <v>45281.7602662037</v>
      </c>
      <c r="C730" s="1" t="n">
        <v>46063</v>
      </c>
      <c r="D730" t="inlineStr">
        <is>
          <t>VÄSTMANLANDS LÄN</t>
        </is>
      </c>
      <c r="E730" t="inlineStr">
        <is>
          <t>SALA</t>
        </is>
      </c>
      <c r="G730" t="n">
        <v>2.3</v>
      </c>
      <c r="H730" t="n">
        <v>0</v>
      </c>
      <c r="I730" t="n">
        <v>0</v>
      </c>
      <c r="J730" t="n">
        <v>0</v>
      </c>
      <c r="K730" t="n">
        <v>0</v>
      </c>
      <c r="L730" t="n">
        <v>0</v>
      </c>
      <c r="M730" t="n">
        <v>0</v>
      </c>
      <c r="N730" t="n">
        <v>0</v>
      </c>
      <c r="O730" t="n">
        <v>0</v>
      </c>
      <c r="P730" t="n">
        <v>0</v>
      </c>
      <c r="Q730" t="n">
        <v>0</v>
      </c>
      <c r="R730" s="2" t="inlineStr"/>
    </row>
    <row r="731" ht="15" customHeight="1">
      <c r="A731" t="inlineStr">
        <is>
          <t>A 22370-2025</t>
        </is>
      </c>
      <c r="B731" s="1" t="n">
        <v>45786</v>
      </c>
      <c r="C731" s="1" t="n">
        <v>46063</v>
      </c>
      <c r="D731" t="inlineStr">
        <is>
          <t>VÄSTMANLANDS LÄN</t>
        </is>
      </c>
      <c r="E731" t="inlineStr">
        <is>
          <t>SALA</t>
        </is>
      </c>
      <c r="G731" t="n">
        <v>3.2</v>
      </c>
      <c r="H731" t="n">
        <v>0</v>
      </c>
      <c r="I731" t="n">
        <v>0</v>
      </c>
      <c r="J731" t="n">
        <v>0</v>
      </c>
      <c r="K731" t="n">
        <v>0</v>
      </c>
      <c r="L731" t="n">
        <v>0</v>
      </c>
      <c r="M731" t="n">
        <v>0</v>
      </c>
      <c r="N731" t="n">
        <v>0</v>
      </c>
      <c r="O731" t="n">
        <v>0</v>
      </c>
      <c r="P731" t="n">
        <v>0</v>
      </c>
      <c r="Q731" t="n">
        <v>0</v>
      </c>
      <c r="R731" s="2" t="inlineStr"/>
    </row>
    <row r="732" ht="15" customHeight="1">
      <c r="A732" t="inlineStr">
        <is>
          <t>A 22383-2025</t>
        </is>
      </c>
      <c r="B732" s="1" t="n">
        <v>45786</v>
      </c>
      <c r="C732" s="1" t="n">
        <v>46063</v>
      </c>
      <c r="D732" t="inlineStr">
        <is>
          <t>VÄSTMANLANDS LÄN</t>
        </is>
      </c>
      <c r="E732" t="inlineStr">
        <is>
          <t>SALA</t>
        </is>
      </c>
      <c r="G732" t="n">
        <v>2.2</v>
      </c>
      <c r="H732" t="n">
        <v>0</v>
      </c>
      <c r="I732" t="n">
        <v>0</v>
      </c>
      <c r="J732" t="n">
        <v>0</v>
      </c>
      <c r="K732" t="n">
        <v>0</v>
      </c>
      <c r="L732" t="n">
        <v>0</v>
      </c>
      <c r="M732" t="n">
        <v>0</v>
      </c>
      <c r="N732" t="n">
        <v>0</v>
      </c>
      <c r="O732" t="n">
        <v>0</v>
      </c>
      <c r="P732" t="n">
        <v>0</v>
      </c>
      <c r="Q732" t="n">
        <v>0</v>
      </c>
      <c r="R732" s="2" t="inlineStr"/>
    </row>
    <row r="733" ht="15" customHeight="1">
      <c r="A733" t="inlineStr">
        <is>
          <t>A 7176-2023</t>
        </is>
      </c>
      <c r="B733" s="1" t="n">
        <v>44970</v>
      </c>
      <c r="C733" s="1" t="n">
        <v>46063</v>
      </c>
      <c r="D733" t="inlineStr">
        <is>
          <t>VÄSTMANLANDS LÄN</t>
        </is>
      </c>
      <c r="E733" t="inlineStr">
        <is>
          <t>SALA</t>
        </is>
      </c>
      <c r="G733" t="n">
        <v>1.5</v>
      </c>
      <c r="H733" t="n">
        <v>0</v>
      </c>
      <c r="I733" t="n">
        <v>0</v>
      </c>
      <c r="J733" t="n">
        <v>0</v>
      </c>
      <c r="K733" t="n">
        <v>0</v>
      </c>
      <c r="L733" t="n">
        <v>0</v>
      </c>
      <c r="M733" t="n">
        <v>0</v>
      </c>
      <c r="N733" t="n">
        <v>0</v>
      </c>
      <c r="O733" t="n">
        <v>0</v>
      </c>
      <c r="P733" t="n">
        <v>0</v>
      </c>
      <c r="Q733" t="n">
        <v>0</v>
      </c>
      <c r="R733" s="2" t="inlineStr"/>
    </row>
    <row r="734" ht="15" customHeight="1">
      <c r="A734" t="inlineStr">
        <is>
          <t>A 22624-2025</t>
        </is>
      </c>
      <c r="B734" s="1" t="n">
        <v>45789.43327546296</v>
      </c>
      <c r="C734" s="1" t="n">
        <v>46063</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31405-2024</t>
        </is>
      </c>
      <c r="B735" s="1" t="n">
        <v>45505.5490625</v>
      </c>
      <c r="C735" s="1" t="n">
        <v>46063</v>
      </c>
      <c r="D735" t="inlineStr">
        <is>
          <t>VÄSTMANLANDS LÄN</t>
        </is>
      </c>
      <c r="E735" t="inlineStr">
        <is>
          <t>SALA</t>
        </is>
      </c>
      <c r="G735" t="n">
        <v>5.2</v>
      </c>
      <c r="H735" t="n">
        <v>0</v>
      </c>
      <c r="I735" t="n">
        <v>0</v>
      </c>
      <c r="J735" t="n">
        <v>0</v>
      </c>
      <c r="K735" t="n">
        <v>0</v>
      </c>
      <c r="L735" t="n">
        <v>0</v>
      </c>
      <c r="M735" t="n">
        <v>0</v>
      </c>
      <c r="N735" t="n">
        <v>0</v>
      </c>
      <c r="O735" t="n">
        <v>0</v>
      </c>
      <c r="P735" t="n">
        <v>0</v>
      </c>
      <c r="Q735" t="n">
        <v>0</v>
      </c>
      <c r="R735" s="2" t="inlineStr"/>
    </row>
    <row r="736" ht="15" customHeight="1">
      <c r="A736" t="inlineStr">
        <is>
          <t>A 22616-2025</t>
        </is>
      </c>
      <c r="B736" s="1" t="n">
        <v>45789.42752314815</v>
      </c>
      <c r="C736" s="1" t="n">
        <v>46063</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43600-2024</t>
        </is>
      </c>
      <c r="B737" s="1" t="n">
        <v>45569</v>
      </c>
      <c r="C737" s="1" t="n">
        <v>46063</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13130-2025</t>
        </is>
      </c>
      <c r="B738" s="1" t="n">
        <v>45734</v>
      </c>
      <c r="C738" s="1" t="n">
        <v>46063</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24169-2025</t>
        </is>
      </c>
      <c r="B739" s="1" t="n">
        <v>45796</v>
      </c>
      <c r="C739" s="1" t="n">
        <v>46063</v>
      </c>
      <c r="D739" t="inlineStr">
        <is>
          <t>VÄSTMANLANDS LÄN</t>
        </is>
      </c>
      <c r="E739" t="inlineStr">
        <is>
          <t>SALA</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22126-2025</t>
        </is>
      </c>
      <c r="B740" s="1" t="n">
        <v>45785</v>
      </c>
      <c r="C740" s="1" t="n">
        <v>46063</v>
      </c>
      <c r="D740" t="inlineStr">
        <is>
          <t>VÄSTMANLANDS LÄN</t>
        </is>
      </c>
      <c r="E740" t="inlineStr">
        <is>
          <t>SALA</t>
        </is>
      </c>
      <c r="G740" t="n">
        <v>10.6</v>
      </c>
      <c r="H740" t="n">
        <v>0</v>
      </c>
      <c r="I740" t="n">
        <v>0</v>
      </c>
      <c r="J740" t="n">
        <v>0</v>
      </c>
      <c r="K740" t="n">
        <v>0</v>
      </c>
      <c r="L740" t="n">
        <v>0</v>
      </c>
      <c r="M740" t="n">
        <v>0</v>
      </c>
      <c r="N740" t="n">
        <v>0</v>
      </c>
      <c r="O740" t="n">
        <v>0</v>
      </c>
      <c r="P740" t="n">
        <v>0</v>
      </c>
      <c r="Q740" t="n">
        <v>0</v>
      </c>
      <c r="R740" s="2" t="inlineStr"/>
    </row>
    <row r="741" ht="15" customHeight="1">
      <c r="A741" t="inlineStr">
        <is>
          <t>A 23810-2025</t>
        </is>
      </c>
      <c r="B741" s="1" t="n">
        <v>45793.56989583333</v>
      </c>
      <c r="C741" s="1" t="n">
        <v>46063</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24944-2023</t>
        </is>
      </c>
      <c r="B742" s="1" t="n">
        <v>45085</v>
      </c>
      <c r="C742" s="1" t="n">
        <v>46063</v>
      </c>
      <c r="D742" t="inlineStr">
        <is>
          <t>VÄSTMANLANDS LÄN</t>
        </is>
      </c>
      <c r="E742" t="inlineStr">
        <is>
          <t>SALA</t>
        </is>
      </c>
      <c r="G742" t="n">
        <v>3.8</v>
      </c>
      <c r="H742" t="n">
        <v>0</v>
      </c>
      <c r="I742" t="n">
        <v>0</v>
      </c>
      <c r="J742" t="n">
        <v>0</v>
      </c>
      <c r="K742" t="n">
        <v>0</v>
      </c>
      <c r="L742" t="n">
        <v>0</v>
      </c>
      <c r="M742" t="n">
        <v>0</v>
      </c>
      <c r="N742" t="n">
        <v>0</v>
      </c>
      <c r="O742" t="n">
        <v>0</v>
      </c>
      <c r="P742" t="n">
        <v>0</v>
      </c>
      <c r="Q742" t="n">
        <v>0</v>
      </c>
      <c r="R742" s="2" t="inlineStr"/>
    </row>
    <row r="743" ht="15" customHeight="1">
      <c r="A743" t="inlineStr">
        <is>
          <t>A 23804-2025</t>
        </is>
      </c>
      <c r="B743" s="1" t="n">
        <v>45793.55995370371</v>
      </c>
      <c r="C743" s="1" t="n">
        <v>46063</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11210-2025</t>
        </is>
      </c>
      <c r="B744" s="1" t="n">
        <v>45726</v>
      </c>
      <c r="C744" s="1" t="n">
        <v>46063</v>
      </c>
      <c r="D744" t="inlineStr">
        <is>
          <t>VÄSTMANLANDS LÄN</t>
        </is>
      </c>
      <c r="E744" t="inlineStr">
        <is>
          <t>SALA</t>
        </is>
      </c>
      <c r="G744" t="n">
        <v>4.1</v>
      </c>
      <c r="H744" t="n">
        <v>0</v>
      </c>
      <c r="I744" t="n">
        <v>0</v>
      </c>
      <c r="J744" t="n">
        <v>0</v>
      </c>
      <c r="K744" t="n">
        <v>0</v>
      </c>
      <c r="L744" t="n">
        <v>0</v>
      </c>
      <c r="M744" t="n">
        <v>0</v>
      </c>
      <c r="N744" t="n">
        <v>0</v>
      </c>
      <c r="O744" t="n">
        <v>0</v>
      </c>
      <c r="P744" t="n">
        <v>0</v>
      </c>
      <c r="Q744" t="n">
        <v>0</v>
      </c>
      <c r="R744" s="2" t="inlineStr"/>
    </row>
    <row r="745" ht="15" customHeight="1">
      <c r="A745" t="inlineStr">
        <is>
          <t>A 19297-2025</t>
        </is>
      </c>
      <c r="B745" s="1" t="n">
        <v>45769.56261574074</v>
      </c>
      <c r="C745" s="1" t="n">
        <v>46063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24460-2025</t>
        </is>
      </c>
      <c r="B746" s="1" t="n">
        <v>45798</v>
      </c>
      <c r="C746" s="1" t="n">
        <v>46063</v>
      </c>
      <c r="D746" t="inlineStr">
        <is>
          <t>VÄSTMANLANDS LÄN</t>
        </is>
      </c>
      <c r="E746" t="inlineStr">
        <is>
          <t>SALA</t>
        </is>
      </c>
      <c r="F746" t="inlineStr">
        <is>
          <t>Bergvik skog öst AB</t>
        </is>
      </c>
      <c r="G746" t="n">
        <v>2.6</v>
      </c>
      <c r="H746" t="n">
        <v>0</v>
      </c>
      <c r="I746" t="n">
        <v>0</v>
      </c>
      <c r="J746" t="n">
        <v>0</v>
      </c>
      <c r="K746" t="n">
        <v>0</v>
      </c>
      <c r="L746" t="n">
        <v>0</v>
      </c>
      <c r="M746" t="n">
        <v>0</v>
      </c>
      <c r="N746" t="n">
        <v>0</v>
      </c>
      <c r="O746" t="n">
        <v>0</v>
      </c>
      <c r="P746" t="n">
        <v>0</v>
      </c>
      <c r="Q746" t="n">
        <v>0</v>
      </c>
      <c r="R746" s="2" t="inlineStr"/>
    </row>
    <row r="747" ht="15" customHeight="1">
      <c r="A747" t="inlineStr">
        <is>
          <t>A 55065-2024</t>
        </is>
      </c>
      <c r="B747" s="1" t="n">
        <v>45618</v>
      </c>
      <c r="C747" s="1" t="n">
        <v>46063</v>
      </c>
      <c r="D747" t="inlineStr">
        <is>
          <t>VÄSTMANLANDS LÄN</t>
        </is>
      </c>
      <c r="E747" t="inlineStr">
        <is>
          <t>SALA</t>
        </is>
      </c>
      <c r="G747" t="n">
        <v>3.5</v>
      </c>
      <c r="H747" t="n">
        <v>0</v>
      </c>
      <c r="I747" t="n">
        <v>0</v>
      </c>
      <c r="J747" t="n">
        <v>0</v>
      </c>
      <c r="K747" t="n">
        <v>0</v>
      </c>
      <c r="L747" t="n">
        <v>0</v>
      </c>
      <c r="M747" t="n">
        <v>0</v>
      </c>
      <c r="N747" t="n">
        <v>0</v>
      </c>
      <c r="O747" t="n">
        <v>0</v>
      </c>
      <c r="P747" t="n">
        <v>0</v>
      </c>
      <c r="Q747" t="n">
        <v>0</v>
      </c>
      <c r="R747" s="2" t="inlineStr"/>
    </row>
    <row r="748" ht="15" customHeight="1">
      <c r="A748" t="inlineStr">
        <is>
          <t>A 24463-2025</t>
        </is>
      </c>
      <c r="B748" s="1" t="n">
        <v>45798</v>
      </c>
      <c r="C748" s="1" t="n">
        <v>46063</v>
      </c>
      <c r="D748" t="inlineStr">
        <is>
          <t>VÄSTMANLANDS LÄN</t>
        </is>
      </c>
      <c r="E748" t="inlineStr">
        <is>
          <t>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24907-2025</t>
        </is>
      </c>
      <c r="B749" s="1" t="n">
        <v>45799</v>
      </c>
      <c r="C749" s="1" t="n">
        <v>46063</v>
      </c>
      <c r="D749" t="inlineStr">
        <is>
          <t>VÄSTMANLANDS LÄN</t>
        </is>
      </c>
      <c r="E749" t="inlineStr">
        <is>
          <t>SALA</t>
        </is>
      </c>
      <c r="G749" t="n">
        <v>3.5</v>
      </c>
      <c r="H749" t="n">
        <v>0</v>
      </c>
      <c r="I749" t="n">
        <v>0</v>
      </c>
      <c r="J749" t="n">
        <v>0</v>
      </c>
      <c r="K749" t="n">
        <v>0</v>
      </c>
      <c r="L749" t="n">
        <v>0</v>
      </c>
      <c r="M749" t="n">
        <v>0</v>
      </c>
      <c r="N749" t="n">
        <v>0</v>
      </c>
      <c r="O749" t="n">
        <v>0</v>
      </c>
      <c r="P749" t="n">
        <v>0</v>
      </c>
      <c r="Q749" t="n">
        <v>0</v>
      </c>
      <c r="R749" s="2" t="inlineStr"/>
    </row>
    <row r="750" ht="15" customHeight="1">
      <c r="A750" t="inlineStr">
        <is>
          <t>A 24910-2025</t>
        </is>
      </c>
      <c r="B750" s="1" t="n">
        <v>45799.53775462963</v>
      </c>
      <c r="C750" s="1" t="n">
        <v>46063</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10909-2024</t>
        </is>
      </c>
      <c r="B751" s="1" t="n">
        <v>45370</v>
      </c>
      <c r="C751" s="1" t="n">
        <v>46063</v>
      </c>
      <c r="D751" t="inlineStr">
        <is>
          <t>VÄSTMANLANDS LÄN</t>
        </is>
      </c>
      <c r="E751" t="inlineStr">
        <is>
          <t>SALA</t>
        </is>
      </c>
      <c r="G751" t="n">
        <v>3.3</v>
      </c>
      <c r="H751" t="n">
        <v>0</v>
      </c>
      <c r="I751" t="n">
        <v>0</v>
      </c>
      <c r="J751" t="n">
        <v>0</v>
      </c>
      <c r="K751" t="n">
        <v>0</v>
      </c>
      <c r="L751" t="n">
        <v>0</v>
      </c>
      <c r="M751" t="n">
        <v>0</v>
      </c>
      <c r="N751" t="n">
        <v>0</v>
      </c>
      <c r="O751" t="n">
        <v>0</v>
      </c>
      <c r="P751" t="n">
        <v>0</v>
      </c>
      <c r="Q751" t="n">
        <v>0</v>
      </c>
      <c r="R751" s="2" t="inlineStr"/>
    </row>
    <row r="752" ht="15" customHeight="1">
      <c r="A752" t="inlineStr">
        <is>
          <t>A 26661-2025</t>
        </is>
      </c>
      <c r="B752" s="1" t="n">
        <v>45810</v>
      </c>
      <c r="C752" s="1" t="n">
        <v>46063</v>
      </c>
      <c r="D752" t="inlineStr">
        <is>
          <t>VÄSTMANLANDS LÄN</t>
        </is>
      </c>
      <c r="E752" t="inlineStr">
        <is>
          <t>SALA</t>
        </is>
      </c>
      <c r="G752" t="n">
        <v>3.5</v>
      </c>
      <c r="H752" t="n">
        <v>0</v>
      </c>
      <c r="I752" t="n">
        <v>0</v>
      </c>
      <c r="J752" t="n">
        <v>0</v>
      </c>
      <c r="K752" t="n">
        <v>0</v>
      </c>
      <c r="L752" t="n">
        <v>0</v>
      </c>
      <c r="M752" t="n">
        <v>0</v>
      </c>
      <c r="N752" t="n">
        <v>0</v>
      </c>
      <c r="O752" t="n">
        <v>0</v>
      </c>
      <c r="P752" t="n">
        <v>0</v>
      </c>
      <c r="Q752" t="n">
        <v>0</v>
      </c>
      <c r="R752" s="2" t="inlineStr"/>
    </row>
    <row r="753" ht="15" customHeight="1">
      <c r="A753" t="inlineStr">
        <is>
          <t>A 28193-2025</t>
        </is>
      </c>
      <c r="B753" s="1" t="n">
        <v>45818.425625</v>
      </c>
      <c r="C753" s="1" t="n">
        <v>46063</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27981-2025</t>
        </is>
      </c>
      <c r="B754" s="1" t="n">
        <v>45817.57471064815</v>
      </c>
      <c r="C754" s="1" t="n">
        <v>46063</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28278-2025</t>
        </is>
      </c>
      <c r="B755" s="1" t="n">
        <v>45818.58454861111</v>
      </c>
      <c r="C755" s="1" t="n">
        <v>46063</v>
      </c>
      <c r="D755" t="inlineStr">
        <is>
          <t>VÄSTMANLANDS LÄN</t>
        </is>
      </c>
      <c r="E755" t="inlineStr">
        <is>
          <t>SALA</t>
        </is>
      </c>
      <c r="G755" t="n">
        <v>7.6</v>
      </c>
      <c r="H755" t="n">
        <v>0</v>
      </c>
      <c r="I755" t="n">
        <v>0</v>
      </c>
      <c r="J755" t="n">
        <v>0</v>
      </c>
      <c r="K755" t="n">
        <v>0</v>
      </c>
      <c r="L755" t="n">
        <v>0</v>
      </c>
      <c r="M755" t="n">
        <v>0</v>
      </c>
      <c r="N755" t="n">
        <v>0</v>
      </c>
      <c r="O755" t="n">
        <v>0</v>
      </c>
      <c r="P755" t="n">
        <v>0</v>
      </c>
      <c r="Q755" t="n">
        <v>0</v>
      </c>
      <c r="R755" s="2" t="inlineStr"/>
    </row>
    <row r="756" ht="15" customHeight="1">
      <c r="A756" t="inlineStr">
        <is>
          <t>A 27989-2025</t>
        </is>
      </c>
      <c r="B756" s="1" t="n">
        <v>45817.58716435185</v>
      </c>
      <c r="C756" s="1" t="n">
        <v>46063</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c r="A757" t="inlineStr">
        <is>
          <t>A 28284-2025</t>
        </is>
      </c>
      <c r="B757" s="1" t="n">
        <v>45818.58893518519</v>
      </c>
      <c r="C757" s="1" t="n">
        <v>46063</v>
      </c>
      <c r="D757" t="inlineStr">
        <is>
          <t>VÄSTMANLANDS LÄN</t>
        </is>
      </c>
      <c r="E757" t="inlineStr">
        <is>
          <t>SALA</t>
        </is>
      </c>
      <c r="G757" t="n">
        <v>2.4</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2026-02-10T11:05:01Z</dcterms:created>
  <dcterms:modified xmlns:dcterms="http://purl.org/dc/terms/" xmlns:xsi="http://www.w3.org/2001/XMLSchema-instance" xsi:type="dcterms:W3CDTF">2026-02-10T11:05:02Z</dcterms:modified>
</cp:coreProperties>
</file>