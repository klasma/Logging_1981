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45918</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45918</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45918</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27488-2023</t>
        </is>
      </c>
      <c r="B12" s="1" t="n">
        <v>45097</v>
      </c>
      <c r="C12" s="1" t="n">
        <v>45918</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45918</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53009-2024</t>
        </is>
      </c>
      <c r="B14" s="1" t="n">
        <v>45610</v>
      </c>
      <c r="C14" s="1" t="n">
        <v>45918</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45918</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45918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45918</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45918</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62768-2021</t>
        </is>
      </c>
      <c r="B19" s="1" t="n">
        <v>44504</v>
      </c>
      <c r="C19" s="1" t="n">
        <v>45918</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53019-2024</t>
        </is>
      </c>
      <c r="B20" s="1" t="n">
        <v>45610</v>
      </c>
      <c r="C20" s="1" t="n">
        <v>45918</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4264-2024</t>
        </is>
      </c>
      <c r="B21" s="1" t="n">
        <v>45324</v>
      </c>
      <c r="C21" s="1" t="n">
        <v>45918</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35461-2024</t>
        </is>
      </c>
      <c r="B22" s="1" t="n">
        <v>45531</v>
      </c>
      <c r="C22" s="1" t="n">
        <v>45918</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34065-2025</t>
        </is>
      </c>
      <c r="B23" s="1" t="n">
        <v>45845.42806712963</v>
      </c>
      <c r="C23" s="1" t="n">
        <v>45918</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45918</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45918</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45918</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45918</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45918</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45918</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13029-2023</t>
        </is>
      </c>
      <c r="B30" s="1" t="n">
        <v>45001</v>
      </c>
      <c r="C30" s="1" t="n">
        <v>45918</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24872-2025</t>
        </is>
      </c>
      <c r="B31" s="1" t="n">
        <v>45799.49038194444</v>
      </c>
      <c r="C31" s="1" t="n">
        <v>45918</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1500-2022</t>
        </is>
      </c>
      <c r="B32" s="1" t="n">
        <v>44573.54357638889</v>
      </c>
      <c r="C32" s="1" t="n">
        <v>45918</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45918</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45918</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45918</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45918</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45918</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55550-2023</t>
        </is>
      </c>
      <c r="B38" s="1" t="n">
        <v>45232</v>
      </c>
      <c r="C38" s="1" t="n">
        <v>45918</v>
      </c>
      <c r="D38" t="inlineStr">
        <is>
          <t>VÄSTMANLANDS LÄN</t>
        </is>
      </c>
      <c r="E38" t="inlineStr">
        <is>
          <t>SALA</t>
        </is>
      </c>
      <c r="G38" t="n">
        <v>9.9</v>
      </c>
      <c r="H38" t="n">
        <v>1</v>
      </c>
      <c r="I38" t="n">
        <v>0</v>
      </c>
      <c r="J38" t="n">
        <v>0</v>
      </c>
      <c r="K38" t="n">
        <v>1</v>
      </c>
      <c r="L38" t="n">
        <v>0</v>
      </c>
      <c r="M38" t="n">
        <v>0</v>
      </c>
      <c r="N38" t="n">
        <v>0</v>
      </c>
      <c r="O38" t="n">
        <v>1</v>
      </c>
      <c r="P38" t="n">
        <v>1</v>
      </c>
      <c r="Q38" t="n">
        <v>1</v>
      </c>
      <c r="R38" s="2" t="inlineStr">
        <is>
          <t>Knärot</t>
        </is>
      </c>
      <c r="S38">
        <f>HYPERLINK("https://klasma.github.io/Logging_1981/artfynd/A 55550-2023 artfynd.xlsx", "A 55550-2023")</f>
        <v/>
      </c>
      <c r="T38">
        <f>HYPERLINK("https://klasma.github.io/Logging_1981/kartor/A 55550-2023 karta.png", "A 55550-2023")</f>
        <v/>
      </c>
      <c r="U38">
        <f>HYPERLINK("https://klasma.github.io/Logging_1981/knärot/A 55550-2023 karta knärot.png", "A 55550-2023")</f>
        <v/>
      </c>
      <c r="V38">
        <f>HYPERLINK("https://klasma.github.io/Logging_1981/klagomål/A 55550-2023 FSC-klagomål.docx", "A 55550-2023")</f>
        <v/>
      </c>
      <c r="W38">
        <f>HYPERLINK("https://klasma.github.io/Logging_1981/klagomålsmail/A 55550-2023 FSC-klagomål mail.docx", "A 55550-2023")</f>
        <v/>
      </c>
      <c r="X38">
        <f>HYPERLINK("https://klasma.github.io/Logging_1981/tillsyn/A 55550-2023 tillsynsbegäran.docx", "A 55550-2023")</f>
        <v/>
      </c>
      <c r="Y38">
        <f>HYPERLINK("https://klasma.github.io/Logging_1981/tillsynsmail/A 55550-2023 tillsynsbegäran mail.docx", "A 55550-2023")</f>
        <v/>
      </c>
    </row>
    <row r="39" ht="15" customHeight="1">
      <c r="A39" t="inlineStr">
        <is>
          <t>A 37166-2024</t>
        </is>
      </c>
      <c r="B39" s="1" t="n">
        <v>45539</v>
      </c>
      <c r="C39" s="1" t="n">
        <v>45918</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7919-2022</t>
        </is>
      </c>
      <c r="B40" s="1" t="n">
        <v>44608</v>
      </c>
      <c r="C40" s="1" t="n">
        <v>45918</v>
      </c>
      <c r="D40" t="inlineStr">
        <is>
          <t>VÄSTMANLANDS LÄN</t>
        </is>
      </c>
      <c r="E40" t="inlineStr">
        <is>
          <t>SALA</t>
        </is>
      </c>
      <c r="F40" t="inlineStr">
        <is>
          <t>Bergvik skog öst AB</t>
        </is>
      </c>
      <c r="G40" t="n">
        <v>4.5</v>
      </c>
      <c r="H40" t="n">
        <v>1</v>
      </c>
      <c r="I40" t="n">
        <v>0</v>
      </c>
      <c r="J40" t="n">
        <v>1</v>
      </c>
      <c r="K40" t="n">
        <v>0</v>
      </c>
      <c r="L40" t="n">
        <v>0</v>
      </c>
      <c r="M40" t="n">
        <v>0</v>
      </c>
      <c r="N40" t="n">
        <v>0</v>
      </c>
      <c r="O40" t="n">
        <v>1</v>
      </c>
      <c r="P40" t="n">
        <v>0</v>
      </c>
      <c r="Q40" t="n">
        <v>1</v>
      </c>
      <c r="R40" s="2" t="inlineStr">
        <is>
          <t>Ävjepilört</t>
        </is>
      </c>
      <c r="S40">
        <f>HYPERLINK("https://klasma.github.io/Logging_1981/artfynd/A 7919-2022 artfynd.xlsx", "A 7919-2022")</f>
        <v/>
      </c>
      <c r="T40">
        <f>HYPERLINK("https://klasma.github.io/Logging_1981/kartor/A 7919-2022 karta.png", "A 7919-2022")</f>
        <v/>
      </c>
      <c r="V40">
        <f>HYPERLINK("https://klasma.github.io/Logging_1981/klagomål/A 7919-2022 FSC-klagomål.docx", "A 7919-2022")</f>
        <v/>
      </c>
      <c r="W40">
        <f>HYPERLINK("https://klasma.github.io/Logging_1981/klagomålsmail/A 7919-2022 FSC-klagomål mail.docx", "A 7919-2022")</f>
        <v/>
      </c>
      <c r="X40">
        <f>HYPERLINK("https://klasma.github.io/Logging_1981/tillsyn/A 7919-2022 tillsynsbegäran.docx", "A 7919-2022")</f>
        <v/>
      </c>
      <c r="Y40">
        <f>HYPERLINK("https://klasma.github.io/Logging_1981/tillsynsmail/A 7919-2022 tillsynsbegäran mail.docx", "A 7919-2022")</f>
        <v/>
      </c>
    </row>
    <row r="41" ht="15" customHeight="1">
      <c r="A41" t="inlineStr">
        <is>
          <t>A 29727-2023</t>
        </is>
      </c>
      <c r="B41" s="1" t="n">
        <v>45107</v>
      </c>
      <c r="C41" s="1" t="n">
        <v>45918</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29985-2022</t>
        </is>
      </c>
      <c r="B42" s="1" t="n">
        <v>44756</v>
      </c>
      <c r="C42" s="1" t="n">
        <v>45918</v>
      </c>
      <c r="D42" t="inlineStr">
        <is>
          <t>VÄSTMANLANDS LÄN</t>
        </is>
      </c>
      <c r="E42" t="inlineStr">
        <is>
          <t>SALA</t>
        </is>
      </c>
      <c r="F42" t="inlineStr">
        <is>
          <t>Kommuner</t>
        </is>
      </c>
      <c r="G42" t="n">
        <v>1</v>
      </c>
      <c r="H42" t="n">
        <v>1</v>
      </c>
      <c r="I42" t="n">
        <v>1</v>
      </c>
      <c r="J42" t="n">
        <v>0</v>
      </c>
      <c r="K42" t="n">
        <v>0</v>
      </c>
      <c r="L42" t="n">
        <v>0</v>
      </c>
      <c r="M42" t="n">
        <v>0</v>
      </c>
      <c r="N42" t="n">
        <v>0</v>
      </c>
      <c r="O42" t="n">
        <v>0</v>
      </c>
      <c r="P42" t="n">
        <v>0</v>
      </c>
      <c r="Q42" t="n">
        <v>1</v>
      </c>
      <c r="R42" s="2" t="inlineStr">
        <is>
          <t>Skogsknipprot</t>
        </is>
      </c>
      <c r="S42">
        <f>HYPERLINK("https://klasma.github.io/Logging_1981/artfynd/A 29985-2022 artfynd.xlsx", "A 29985-2022")</f>
        <v/>
      </c>
      <c r="T42">
        <f>HYPERLINK("https://klasma.github.io/Logging_1981/kartor/A 29985-2022 karta.png", "A 29985-2022")</f>
        <v/>
      </c>
      <c r="V42">
        <f>HYPERLINK("https://klasma.github.io/Logging_1981/klagomål/A 29985-2022 FSC-klagomål.docx", "A 29985-2022")</f>
        <v/>
      </c>
      <c r="W42">
        <f>HYPERLINK("https://klasma.github.io/Logging_1981/klagomålsmail/A 29985-2022 FSC-klagomål mail.docx", "A 29985-2022")</f>
        <v/>
      </c>
      <c r="X42">
        <f>HYPERLINK("https://klasma.github.io/Logging_1981/tillsyn/A 29985-2022 tillsynsbegäran.docx", "A 29985-2022")</f>
        <v/>
      </c>
      <c r="Y42">
        <f>HYPERLINK("https://klasma.github.io/Logging_1981/tillsynsmail/A 29985-2022 tillsynsbegäran mail.docx", "A 29985-2022")</f>
        <v/>
      </c>
    </row>
    <row r="43" ht="15" customHeight="1">
      <c r="A43" t="inlineStr">
        <is>
          <t>A 7731-2023</t>
        </is>
      </c>
      <c r="B43" s="1" t="n">
        <v>44973</v>
      </c>
      <c r="C43" s="1" t="n">
        <v>45918</v>
      </c>
      <c r="D43" t="inlineStr">
        <is>
          <t>VÄSTMANLANDS LÄN</t>
        </is>
      </c>
      <c r="E43" t="inlineStr">
        <is>
          <t>SALA</t>
        </is>
      </c>
      <c r="F43" t="inlineStr">
        <is>
          <t>Bergvik skog öst AB</t>
        </is>
      </c>
      <c r="G43" t="n">
        <v>1.7</v>
      </c>
      <c r="H43" t="n">
        <v>1</v>
      </c>
      <c r="I43" t="n">
        <v>0</v>
      </c>
      <c r="J43" t="n">
        <v>1</v>
      </c>
      <c r="K43" t="n">
        <v>0</v>
      </c>
      <c r="L43" t="n">
        <v>0</v>
      </c>
      <c r="M43" t="n">
        <v>0</v>
      </c>
      <c r="N43" t="n">
        <v>0</v>
      </c>
      <c r="O43" t="n">
        <v>1</v>
      </c>
      <c r="P43" t="n">
        <v>0</v>
      </c>
      <c r="Q43" t="n">
        <v>1</v>
      </c>
      <c r="R43" s="2" t="inlineStr">
        <is>
          <t>Ävjepilört</t>
        </is>
      </c>
      <c r="S43">
        <f>HYPERLINK("https://klasma.github.io/Logging_1981/artfynd/A 7731-2023 artfynd.xlsx", "A 7731-2023")</f>
        <v/>
      </c>
      <c r="T43">
        <f>HYPERLINK("https://klasma.github.io/Logging_1981/kartor/A 7731-2023 karta.png", "A 7731-2023")</f>
        <v/>
      </c>
      <c r="V43">
        <f>HYPERLINK("https://klasma.github.io/Logging_1981/klagomål/A 7731-2023 FSC-klagomål.docx", "A 7731-2023")</f>
        <v/>
      </c>
      <c r="W43">
        <f>HYPERLINK("https://klasma.github.io/Logging_1981/klagomålsmail/A 7731-2023 FSC-klagomål mail.docx", "A 7731-2023")</f>
        <v/>
      </c>
      <c r="X43">
        <f>HYPERLINK("https://klasma.github.io/Logging_1981/tillsyn/A 7731-2023 tillsynsbegäran.docx", "A 7731-2023")</f>
        <v/>
      </c>
      <c r="Y43">
        <f>HYPERLINK("https://klasma.github.io/Logging_1981/tillsynsmail/A 7731-2023 tillsynsbegäran mail.docx", "A 7731-2023")</f>
        <v/>
      </c>
    </row>
    <row r="44" ht="15" customHeight="1">
      <c r="A44" t="inlineStr">
        <is>
          <t>A 56704-2022</t>
        </is>
      </c>
      <c r="B44" s="1" t="n">
        <v>44893.78075231481</v>
      </c>
      <c r="C44" s="1" t="n">
        <v>45918</v>
      </c>
      <c r="D44" t="inlineStr">
        <is>
          <t>VÄSTMANLANDS LÄN</t>
        </is>
      </c>
      <c r="E44" t="inlineStr">
        <is>
          <t>SALA</t>
        </is>
      </c>
      <c r="G44" t="n">
        <v>3.2</v>
      </c>
      <c r="H44" t="n">
        <v>1</v>
      </c>
      <c r="I44" t="n">
        <v>0</v>
      </c>
      <c r="J44" t="n">
        <v>0</v>
      </c>
      <c r="K44" t="n">
        <v>1</v>
      </c>
      <c r="L44" t="n">
        <v>0</v>
      </c>
      <c r="M44" t="n">
        <v>0</v>
      </c>
      <c r="N44" t="n">
        <v>0</v>
      </c>
      <c r="O44" t="n">
        <v>1</v>
      </c>
      <c r="P44" t="n">
        <v>1</v>
      </c>
      <c r="Q44" t="n">
        <v>1</v>
      </c>
      <c r="R44" s="2" t="inlineStr">
        <is>
          <t>Knärot</t>
        </is>
      </c>
      <c r="S44">
        <f>HYPERLINK("https://klasma.github.io/Logging_1981/artfynd/A 56704-2022 artfynd.xlsx", "A 56704-2022")</f>
        <v/>
      </c>
      <c r="T44">
        <f>HYPERLINK("https://klasma.github.io/Logging_1981/kartor/A 56704-2022 karta.png", "A 56704-2022")</f>
        <v/>
      </c>
      <c r="U44">
        <f>HYPERLINK("https://klasma.github.io/Logging_1981/knärot/A 56704-2022 karta knärot.png", "A 56704-2022")</f>
        <v/>
      </c>
      <c r="V44">
        <f>HYPERLINK("https://klasma.github.io/Logging_1981/klagomål/A 56704-2022 FSC-klagomål.docx", "A 56704-2022")</f>
        <v/>
      </c>
      <c r="W44">
        <f>HYPERLINK("https://klasma.github.io/Logging_1981/klagomålsmail/A 56704-2022 FSC-klagomål mail.docx", "A 56704-2022")</f>
        <v/>
      </c>
      <c r="X44">
        <f>HYPERLINK("https://klasma.github.io/Logging_1981/tillsyn/A 56704-2022 tillsynsbegäran.docx", "A 56704-2022")</f>
        <v/>
      </c>
      <c r="Y44">
        <f>HYPERLINK("https://klasma.github.io/Logging_1981/tillsynsmail/A 56704-2022 tillsynsbegäran mail.docx", "A 56704-2022")</f>
        <v/>
      </c>
    </row>
    <row r="45" ht="15" customHeight="1">
      <c r="A45" t="inlineStr">
        <is>
          <t>A 41270-2024</t>
        </is>
      </c>
      <c r="B45" s="1" t="n">
        <v>45559</v>
      </c>
      <c r="C45" s="1" t="n">
        <v>45918</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14775-2023</t>
        </is>
      </c>
      <c r="B46" s="1" t="n">
        <v>45014</v>
      </c>
      <c r="C46" s="1" t="n">
        <v>45918</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22950-2025</t>
        </is>
      </c>
      <c r="B47" s="1" t="n">
        <v>45790.50728009259</v>
      </c>
      <c r="C47" s="1" t="n">
        <v>45918</v>
      </c>
      <c r="D47" t="inlineStr">
        <is>
          <t>VÄSTMANLANDS LÄN</t>
        </is>
      </c>
      <c r="E47" t="inlineStr">
        <is>
          <t>SALA</t>
        </is>
      </c>
      <c r="G47" t="n">
        <v>6.2</v>
      </c>
      <c r="H47" t="n">
        <v>1</v>
      </c>
      <c r="I47" t="n">
        <v>0</v>
      </c>
      <c r="J47" t="n">
        <v>1</v>
      </c>
      <c r="K47" t="n">
        <v>0</v>
      </c>
      <c r="L47" t="n">
        <v>0</v>
      </c>
      <c r="M47" t="n">
        <v>0</v>
      </c>
      <c r="N47" t="n">
        <v>0</v>
      </c>
      <c r="O47" t="n">
        <v>1</v>
      </c>
      <c r="P47" t="n">
        <v>0</v>
      </c>
      <c r="Q47" t="n">
        <v>1</v>
      </c>
      <c r="R47" s="2" t="inlineStr">
        <is>
          <t>Svartvit flugsnappare</t>
        </is>
      </c>
      <c r="S47">
        <f>HYPERLINK("https://klasma.github.io/Logging_1981/artfynd/A 22950-2025 artfynd.xlsx", "A 22950-2025")</f>
        <v/>
      </c>
      <c r="T47">
        <f>HYPERLINK("https://klasma.github.io/Logging_1981/kartor/A 22950-2025 karta.png", "A 22950-2025")</f>
        <v/>
      </c>
      <c r="V47">
        <f>HYPERLINK("https://klasma.github.io/Logging_1981/klagomål/A 22950-2025 FSC-klagomål.docx", "A 22950-2025")</f>
        <v/>
      </c>
      <c r="W47">
        <f>HYPERLINK("https://klasma.github.io/Logging_1981/klagomålsmail/A 22950-2025 FSC-klagomål mail.docx", "A 22950-2025")</f>
        <v/>
      </c>
      <c r="X47">
        <f>HYPERLINK("https://klasma.github.io/Logging_1981/tillsyn/A 22950-2025 tillsynsbegäran.docx", "A 22950-2025")</f>
        <v/>
      </c>
      <c r="Y47">
        <f>HYPERLINK("https://klasma.github.io/Logging_1981/tillsynsmail/A 22950-2025 tillsynsbegäran mail.docx", "A 22950-2025")</f>
        <v/>
      </c>
      <c r="Z47">
        <f>HYPERLINK("https://klasma.github.io/Logging_1981/fåglar/A 22950-2025 prioriterade fågelarter.docx", "A 22950-2025")</f>
        <v/>
      </c>
    </row>
    <row r="48" ht="15" customHeight="1">
      <c r="A48" t="inlineStr">
        <is>
          <t>A 12509-2023</t>
        </is>
      </c>
      <c r="B48" s="1" t="n">
        <v>44999.95988425926</v>
      </c>
      <c r="C48" s="1" t="n">
        <v>45918</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13973-2021</t>
        </is>
      </c>
      <c r="B49" s="1" t="n">
        <v>44277</v>
      </c>
      <c r="C49" s="1" t="n">
        <v>45918</v>
      </c>
      <c r="D49" t="inlineStr">
        <is>
          <t>VÄSTMANLANDS LÄN</t>
        </is>
      </c>
      <c r="E49" t="inlineStr">
        <is>
          <t>SALA</t>
        </is>
      </c>
      <c r="G49" t="n">
        <v>2</v>
      </c>
      <c r="H49" t="n">
        <v>1</v>
      </c>
      <c r="I49" t="n">
        <v>0</v>
      </c>
      <c r="J49" t="n">
        <v>0</v>
      </c>
      <c r="K49" t="n">
        <v>0</v>
      </c>
      <c r="L49" t="n">
        <v>0</v>
      </c>
      <c r="M49" t="n">
        <v>0</v>
      </c>
      <c r="N49" t="n">
        <v>0</v>
      </c>
      <c r="O49" t="n">
        <v>0</v>
      </c>
      <c r="P49" t="n">
        <v>0</v>
      </c>
      <c r="Q49" t="n">
        <v>1</v>
      </c>
      <c r="R49" s="2" t="inlineStr">
        <is>
          <t>Blåsippa</t>
        </is>
      </c>
      <c r="S49">
        <f>HYPERLINK("https://klasma.github.io/Logging_1981/artfynd/A 13973-2021 artfynd.xlsx", "A 13973-2021")</f>
        <v/>
      </c>
      <c r="T49">
        <f>HYPERLINK("https://klasma.github.io/Logging_1981/kartor/A 13973-2021 karta.png", "A 13973-2021")</f>
        <v/>
      </c>
      <c r="V49">
        <f>HYPERLINK("https://klasma.github.io/Logging_1981/klagomål/A 13973-2021 FSC-klagomål.docx", "A 13973-2021")</f>
        <v/>
      </c>
      <c r="W49">
        <f>HYPERLINK("https://klasma.github.io/Logging_1981/klagomålsmail/A 13973-2021 FSC-klagomål mail.docx", "A 13973-2021")</f>
        <v/>
      </c>
      <c r="X49">
        <f>HYPERLINK("https://klasma.github.io/Logging_1981/tillsyn/A 13973-2021 tillsynsbegäran.docx", "A 13973-2021")</f>
        <v/>
      </c>
      <c r="Y49">
        <f>HYPERLINK("https://klasma.github.io/Logging_1981/tillsynsmail/A 13973-2021 tillsynsbegäran mail.docx", "A 13973-2021")</f>
        <v/>
      </c>
    </row>
    <row r="50" ht="15" customHeight="1">
      <c r="A50" t="inlineStr">
        <is>
          <t>A 19361-2025</t>
        </is>
      </c>
      <c r="B50" s="1" t="n">
        <v>45769.63357638889</v>
      </c>
      <c r="C50" s="1" t="n">
        <v>45918</v>
      </c>
      <c r="D50" t="inlineStr">
        <is>
          <t>VÄSTMANLANDS LÄN</t>
        </is>
      </c>
      <c r="E50" t="inlineStr">
        <is>
          <t>SALA</t>
        </is>
      </c>
      <c r="F50" t="inlineStr">
        <is>
          <t>Bergvik skog öst AB</t>
        </is>
      </c>
      <c r="G50" t="n">
        <v>8.9</v>
      </c>
      <c r="H50" t="n">
        <v>0</v>
      </c>
      <c r="I50" t="n">
        <v>0</v>
      </c>
      <c r="J50" t="n">
        <v>1</v>
      </c>
      <c r="K50" t="n">
        <v>0</v>
      </c>
      <c r="L50" t="n">
        <v>0</v>
      </c>
      <c r="M50" t="n">
        <v>0</v>
      </c>
      <c r="N50" t="n">
        <v>0</v>
      </c>
      <c r="O50" t="n">
        <v>1</v>
      </c>
      <c r="P50" t="n">
        <v>0</v>
      </c>
      <c r="Q50" t="n">
        <v>1</v>
      </c>
      <c r="R50" s="2" t="inlineStr">
        <is>
          <t>Garnlav</t>
        </is>
      </c>
      <c r="S50">
        <f>HYPERLINK("https://klasma.github.io/Logging_1981/artfynd/A 19361-2025 artfynd.xlsx", "A 19361-2025")</f>
        <v/>
      </c>
      <c r="T50">
        <f>HYPERLINK("https://klasma.github.io/Logging_1981/kartor/A 19361-2025 karta.png", "A 19361-2025")</f>
        <v/>
      </c>
      <c r="V50">
        <f>HYPERLINK("https://klasma.github.io/Logging_1981/klagomål/A 19361-2025 FSC-klagomål.docx", "A 19361-2025")</f>
        <v/>
      </c>
      <c r="W50">
        <f>HYPERLINK("https://klasma.github.io/Logging_1981/klagomålsmail/A 19361-2025 FSC-klagomål mail.docx", "A 19361-2025")</f>
        <v/>
      </c>
      <c r="X50">
        <f>HYPERLINK("https://klasma.github.io/Logging_1981/tillsyn/A 19361-2025 tillsynsbegäran.docx", "A 19361-2025")</f>
        <v/>
      </c>
      <c r="Y50">
        <f>HYPERLINK("https://klasma.github.io/Logging_1981/tillsynsmail/A 19361-2025 tillsynsbegäran mail.docx", "A 19361-2025")</f>
        <v/>
      </c>
    </row>
    <row r="51" ht="15" customHeight="1">
      <c r="A51" t="inlineStr">
        <is>
          <t>A 41570-2021</t>
        </is>
      </c>
      <c r="B51" s="1" t="n">
        <v>44425</v>
      </c>
      <c r="C51" s="1" t="n">
        <v>45918</v>
      </c>
      <c r="D51" t="inlineStr">
        <is>
          <t>VÄSTMANLANDS LÄN</t>
        </is>
      </c>
      <c r="E51" t="inlineStr">
        <is>
          <t>SALA</t>
        </is>
      </c>
      <c r="G51" t="n">
        <v>1.4</v>
      </c>
      <c r="H51" t="n">
        <v>0</v>
      </c>
      <c r="I51" t="n">
        <v>0</v>
      </c>
      <c r="J51" t="n">
        <v>1</v>
      </c>
      <c r="K51" t="n">
        <v>0</v>
      </c>
      <c r="L51" t="n">
        <v>0</v>
      </c>
      <c r="M51" t="n">
        <v>0</v>
      </c>
      <c r="N51" t="n">
        <v>0</v>
      </c>
      <c r="O51" t="n">
        <v>1</v>
      </c>
      <c r="P51" t="n">
        <v>0</v>
      </c>
      <c r="Q51" t="n">
        <v>1</v>
      </c>
      <c r="R51" s="2" t="inlineStr">
        <is>
          <t>Vedtrappmossa</t>
        </is>
      </c>
      <c r="S51">
        <f>HYPERLINK("https://klasma.github.io/Logging_1981/artfynd/A 41570-2021 artfynd.xlsx", "A 41570-2021")</f>
        <v/>
      </c>
      <c r="T51">
        <f>HYPERLINK("https://klasma.github.io/Logging_1981/kartor/A 41570-2021 karta.png", "A 41570-2021")</f>
        <v/>
      </c>
      <c r="V51">
        <f>HYPERLINK("https://klasma.github.io/Logging_1981/klagomål/A 41570-2021 FSC-klagomål.docx", "A 41570-2021")</f>
        <v/>
      </c>
      <c r="W51">
        <f>HYPERLINK("https://klasma.github.io/Logging_1981/klagomålsmail/A 41570-2021 FSC-klagomål mail.docx", "A 41570-2021")</f>
        <v/>
      </c>
      <c r="X51">
        <f>HYPERLINK("https://klasma.github.io/Logging_1981/tillsyn/A 41570-2021 tillsynsbegäran.docx", "A 41570-2021")</f>
        <v/>
      </c>
      <c r="Y51">
        <f>HYPERLINK("https://klasma.github.io/Logging_1981/tillsynsmail/A 41570-2021 tillsynsbegäran mail.docx", "A 41570-2021")</f>
        <v/>
      </c>
    </row>
    <row r="52" ht="15" customHeight="1">
      <c r="A52" t="inlineStr">
        <is>
          <t>A 43175-2023</t>
        </is>
      </c>
      <c r="B52" s="1" t="n">
        <v>45183</v>
      </c>
      <c r="C52" s="1" t="n">
        <v>45918</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32594-2025</t>
        </is>
      </c>
      <c r="B53" s="1" t="n">
        <v>45838</v>
      </c>
      <c r="C53" s="1" t="n">
        <v>45918</v>
      </c>
      <c r="D53" t="inlineStr">
        <is>
          <t>VÄSTMANLANDS LÄN</t>
        </is>
      </c>
      <c r="E53" t="inlineStr">
        <is>
          <t>SALA</t>
        </is>
      </c>
      <c r="F53" t="inlineStr">
        <is>
          <t>Bergvik skog öst AB</t>
        </is>
      </c>
      <c r="G53" t="n">
        <v>0.9</v>
      </c>
      <c r="H53" t="n">
        <v>1</v>
      </c>
      <c r="I53" t="n">
        <v>0</v>
      </c>
      <c r="J53" t="n">
        <v>0</v>
      </c>
      <c r="K53" t="n">
        <v>0</v>
      </c>
      <c r="L53" t="n">
        <v>0</v>
      </c>
      <c r="M53" t="n">
        <v>0</v>
      </c>
      <c r="N53" t="n">
        <v>0</v>
      </c>
      <c r="O53" t="n">
        <v>0</v>
      </c>
      <c r="P53" t="n">
        <v>0</v>
      </c>
      <c r="Q53" t="n">
        <v>1</v>
      </c>
      <c r="R53" s="2" t="inlineStr">
        <is>
          <t>Blåsippa</t>
        </is>
      </c>
      <c r="S53">
        <f>HYPERLINK("https://klasma.github.io/Logging_1981/artfynd/A 32594-2025 artfynd.xlsx", "A 32594-2025")</f>
        <v/>
      </c>
      <c r="T53">
        <f>HYPERLINK("https://klasma.github.io/Logging_1981/kartor/A 32594-2025 karta.png", "A 32594-2025")</f>
        <v/>
      </c>
      <c r="V53">
        <f>HYPERLINK("https://klasma.github.io/Logging_1981/klagomål/A 32594-2025 FSC-klagomål.docx", "A 32594-2025")</f>
        <v/>
      </c>
      <c r="W53">
        <f>HYPERLINK("https://klasma.github.io/Logging_1981/klagomålsmail/A 32594-2025 FSC-klagomål mail.docx", "A 32594-2025")</f>
        <v/>
      </c>
      <c r="X53">
        <f>HYPERLINK("https://klasma.github.io/Logging_1981/tillsyn/A 32594-2025 tillsynsbegäran.docx", "A 32594-2025")</f>
        <v/>
      </c>
      <c r="Y53">
        <f>HYPERLINK("https://klasma.github.io/Logging_1981/tillsynsmail/A 32594-2025 tillsynsbegäran mail.docx", "A 32594-2025")</f>
        <v/>
      </c>
    </row>
    <row r="54" ht="15" customHeight="1">
      <c r="A54" t="inlineStr">
        <is>
          <t>A 38255-2025</t>
        </is>
      </c>
      <c r="B54" s="1" t="n">
        <v>45883.38020833334</v>
      </c>
      <c r="C54" s="1" t="n">
        <v>45918</v>
      </c>
      <c r="D54" t="inlineStr">
        <is>
          <t>VÄSTMANLANDS LÄN</t>
        </is>
      </c>
      <c r="E54" t="inlineStr">
        <is>
          <t>SALA</t>
        </is>
      </c>
      <c r="G54" t="n">
        <v>0.9</v>
      </c>
      <c r="H54" t="n">
        <v>1</v>
      </c>
      <c r="I54" t="n">
        <v>0</v>
      </c>
      <c r="J54" t="n">
        <v>0</v>
      </c>
      <c r="K54" t="n">
        <v>1</v>
      </c>
      <c r="L54" t="n">
        <v>0</v>
      </c>
      <c r="M54" t="n">
        <v>0</v>
      </c>
      <c r="N54" t="n">
        <v>0</v>
      </c>
      <c r="O54" t="n">
        <v>1</v>
      </c>
      <c r="P54" t="n">
        <v>1</v>
      </c>
      <c r="Q54" t="n">
        <v>1</v>
      </c>
      <c r="R54" s="2" t="inlineStr">
        <is>
          <t>Knärot</t>
        </is>
      </c>
      <c r="S54">
        <f>HYPERLINK("https://klasma.github.io/Logging_1981/artfynd/A 38255-2025 artfynd.xlsx", "A 38255-2025")</f>
        <v/>
      </c>
      <c r="T54">
        <f>HYPERLINK("https://klasma.github.io/Logging_1981/kartor/A 38255-2025 karta.png", "A 38255-2025")</f>
        <v/>
      </c>
      <c r="U54">
        <f>HYPERLINK("https://klasma.github.io/Logging_1981/knärot/A 38255-2025 karta knärot.png", "A 38255-2025")</f>
        <v/>
      </c>
      <c r="V54">
        <f>HYPERLINK("https://klasma.github.io/Logging_1981/klagomål/A 38255-2025 FSC-klagomål.docx", "A 38255-2025")</f>
        <v/>
      </c>
      <c r="W54">
        <f>HYPERLINK("https://klasma.github.io/Logging_1981/klagomålsmail/A 38255-2025 FSC-klagomål mail.docx", "A 38255-2025")</f>
        <v/>
      </c>
      <c r="X54">
        <f>HYPERLINK("https://klasma.github.io/Logging_1981/tillsyn/A 38255-2025 tillsynsbegäran.docx", "A 38255-2025")</f>
        <v/>
      </c>
      <c r="Y54">
        <f>HYPERLINK("https://klasma.github.io/Logging_1981/tillsynsmail/A 38255-2025 tillsynsbegäran mail.docx", "A 38255-2025")</f>
        <v/>
      </c>
    </row>
    <row r="55" ht="15" customHeight="1">
      <c r="A55" t="inlineStr">
        <is>
          <t>A 56014-2020</t>
        </is>
      </c>
      <c r="B55" s="1" t="n">
        <v>44132</v>
      </c>
      <c r="C55" s="1" t="n">
        <v>45918</v>
      </c>
      <c r="D55" t="inlineStr">
        <is>
          <t>VÄSTMANLANDS LÄN</t>
        </is>
      </c>
      <c r="E55" t="inlineStr">
        <is>
          <t>SALA</t>
        </is>
      </c>
      <c r="G55" t="n">
        <v>5.6</v>
      </c>
      <c r="H55" t="n">
        <v>0</v>
      </c>
      <c r="I55" t="n">
        <v>0</v>
      </c>
      <c r="J55" t="n">
        <v>0</v>
      </c>
      <c r="K55" t="n">
        <v>1</v>
      </c>
      <c r="L55" t="n">
        <v>0</v>
      </c>
      <c r="M55" t="n">
        <v>0</v>
      </c>
      <c r="N55" t="n">
        <v>0</v>
      </c>
      <c r="O55" t="n">
        <v>1</v>
      </c>
      <c r="P55" t="n">
        <v>1</v>
      </c>
      <c r="Q55" t="n">
        <v>1</v>
      </c>
      <c r="R55" s="2" t="inlineStr">
        <is>
          <t>Blackticka</t>
        </is>
      </c>
      <c r="S55">
        <f>HYPERLINK("https://klasma.github.io/Logging_1981/artfynd/A 56014-2020 artfynd.xlsx", "A 56014-2020")</f>
        <v/>
      </c>
      <c r="T55">
        <f>HYPERLINK("https://klasma.github.io/Logging_1981/kartor/A 56014-2020 karta.png", "A 56014-2020")</f>
        <v/>
      </c>
      <c r="V55">
        <f>HYPERLINK("https://klasma.github.io/Logging_1981/klagomål/A 56014-2020 FSC-klagomål.docx", "A 56014-2020")</f>
        <v/>
      </c>
      <c r="W55">
        <f>HYPERLINK("https://klasma.github.io/Logging_1981/klagomålsmail/A 56014-2020 FSC-klagomål mail.docx", "A 56014-2020")</f>
        <v/>
      </c>
      <c r="X55">
        <f>HYPERLINK("https://klasma.github.io/Logging_1981/tillsyn/A 56014-2020 tillsynsbegäran.docx", "A 56014-2020")</f>
        <v/>
      </c>
      <c r="Y55">
        <f>HYPERLINK("https://klasma.github.io/Logging_1981/tillsynsmail/A 56014-2020 tillsynsbegäran mail.docx", "A 56014-2020")</f>
        <v/>
      </c>
    </row>
    <row r="56" ht="15" customHeight="1">
      <c r="A56" t="inlineStr">
        <is>
          <t>A 43068-2024</t>
        </is>
      </c>
      <c r="B56" s="1" t="n">
        <v>45567</v>
      </c>
      <c r="C56" s="1" t="n">
        <v>45918</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22350-2024</t>
        </is>
      </c>
      <c r="B57" s="1" t="n">
        <v>45446</v>
      </c>
      <c r="C57" s="1" t="n">
        <v>45918</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Blåsippa</t>
        </is>
      </c>
      <c r="S57">
        <f>HYPERLINK("https://klasma.github.io/Logging_1981/artfynd/A 22350-2024 artfynd.xlsx", "A 22350-2024")</f>
        <v/>
      </c>
      <c r="T57">
        <f>HYPERLINK("https://klasma.github.io/Logging_1981/kartor/A 22350-2024 karta.png", "A 22350-2024")</f>
        <v/>
      </c>
      <c r="V57">
        <f>HYPERLINK("https://klasma.github.io/Logging_1981/klagomål/A 22350-2024 FSC-klagomål.docx", "A 22350-2024")</f>
        <v/>
      </c>
      <c r="W57">
        <f>HYPERLINK("https://klasma.github.io/Logging_1981/klagomålsmail/A 22350-2024 FSC-klagomål mail.docx", "A 22350-2024")</f>
        <v/>
      </c>
      <c r="X57">
        <f>HYPERLINK("https://klasma.github.io/Logging_1981/tillsyn/A 22350-2024 tillsynsbegäran.docx", "A 22350-2024")</f>
        <v/>
      </c>
      <c r="Y57">
        <f>HYPERLINK("https://klasma.github.io/Logging_1981/tillsynsmail/A 22350-2024 tillsynsbegäran mail.docx", "A 22350-2024")</f>
        <v/>
      </c>
    </row>
    <row r="58" ht="15" customHeight="1">
      <c r="A58" t="inlineStr">
        <is>
          <t>A 60852-2024</t>
        </is>
      </c>
      <c r="B58" s="1" t="n">
        <v>45644</v>
      </c>
      <c r="C58" s="1" t="n">
        <v>45918</v>
      </c>
      <c r="D58" t="inlineStr">
        <is>
          <t>VÄSTMANLANDS LÄN</t>
        </is>
      </c>
      <c r="E58" t="inlineStr">
        <is>
          <t>SALA</t>
        </is>
      </c>
      <c r="G58" t="n">
        <v>7.6</v>
      </c>
      <c r="H58" t="n">
        <v>1</v>
      </c>
      <c r="I58" t="n">
        <v>0</v>
      </c>
      <c r="J58" t="n">
        <v>0</v>
      </c>
      <c r="K58" t="n">
        <v>0</v>
      </c>
      <c r="L58" t="n">
        <v>0</v>
      </c>
      <c r="M58" t="n">
        <v>0</v>
      </c>
      <c r="N58" t="n">
        <v>0</v>
      </c>
      <c r="O58" t="n">
        <v>0</v>
      </c>
      <c r="P58" t="n">
        <v>0</v>
      </c>
      <c r="Q58" t="n">
        <v>1</v>
      </c>
      <c r="R58" s="2" t="inlineStr">
        <is>
          <t>Blåsippa</t>
        </is>
      </c>
      <c r="S58">
        <f>HYPERLINK("https://klasma.github.io/Logging_1981/artfynd/A 60852-2024 artfynd.xlsx", "A 60852-2024")</f>
        <v/>
      </c>
      <c r="T58">
        <f>HYPERLINK("https://klasma.github.io/Logging_1981/kartor/A 60852-2024 karta.png", "A 60852-2024")</f>
        <v/>
      </c>
      <c r="V58">
        <f>HYPERLINK("https://klasma.github.io/Logging_1981/klagomål/A 60852-2024 FSC-klagomål.docx", "A 60852-2024")</f>
        <v/>
      </c>
      <c r="W58">
        <f>HYPERLINK("https://klasma.github.io/Logging_1981/klagomålsmail/A 60852-2024 FSC-klagomål mail.docx", "A 60852-2024")</f>
        <v/>
      </c>
      <c r="X58">
        <f>HYPERLINK("https://klasma.github.io/Logging_1981/tillsyn/A 60852-2024 tillsynsbegäran.docx", "A 60852-2024")</f>
        <v/>
      </c>
      <c r="Y58">
        <f>HYPERLINK("https://klasma.github.io/Logging_1981/tillsynsmail/A 60852-2024 tillsynsbegäran mail.docx", "A 60852-2024")</f>
        <v/>
      </c>
    </row>
    <row r="59" ht="15" customHeight="1">
      <c r="A59" t="inlineStr">
        <is>
          <t>A 58314-2020</t>
        </is>
      </c>
      <c r="B59" s="1" t="n">
        <v>44145</v>
      </c>
      <c r="C59" s="1" t="n">
        <v>45918</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45918</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45918</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73124-2021</t>
        </is>
      </c>
      <c r="B62" s="1" t="n">
        <v>44550</v>
      </c>
      <c r="C62" s="1" t="n">
        <v>45918</v>
      </c>
      <c r="D62" t="inlineStr">
        <is>
          <t>VÄSTMANLANDS LÄN</t>
        </is>
      </c>
      <c r="E62" t="inlineStr">
        <is>
          <t>SALA</t>
        </is>
      </c>
      <c r="G62" t="n">
        <v>2.8</v>
      </c>
      <c r="H62" t="n">
        <v>0</v>
      </c>
      <c r="I62" t="n">
        <v>0</v>
      </c>
      <c r="J62" t="n">
        <v>0</v>
      </c>
      <c r="K62" t="n">
        <v>0</v>
      </c>
      <c r="L62" t="n">
        <v>0</v>
      </c>
      <c r="M62" t="n">
        <v>0</v>
      </c>
      <c r="N62" t="n">
        <v>0</v>
      </c>
      <c r="O62" t="n">
        <v>0</v>
      </c>
      <c r="P62" t="n">
        <v>0</v>
      </c>
      <c r="Q62" t="n">
        <v>0</v>
      </c>
      <c r="R62" s="2" t="inlineStr"/>
    </row>
    <row r="63" ht="15" customHeight="1">
      <c r="A63" t="inlineStr">
        <is>
          <t>A 73788-2021</t>
        </is>
      </c>
      <c r="B63" s="1" t="n">
        <v>44552</v>
      </c>
      <c r="C63" s="1" t="n">
        <v>45918</v>
      </c>
      <c r="D63" t="inlineStr">
        <is>
          <t>VÄSTMANLANDS LÄN</t>
        </is>
      </c>
      <c r="E63" t="inlineStr">
        <is>
          <t>SALA</t>
        </is>
      </c>
      <c r="G63" t="n">
        <v>0.8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45918</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45918</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45918</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45918</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45918</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45918</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45918</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45918</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45918</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45918</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45918</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45918</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45918</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45918</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45918</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45918</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45918</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45918</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45918</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45918</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45918</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45918</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45918</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45918</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45918</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45918</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45918</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45918</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45918</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45918</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45918</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45918</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45918</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45918</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45918</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45918</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45918</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45918</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45918</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45918</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45918</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45918</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45918</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45918</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45918</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45918</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46965-2020</t>
        </is>
      </c>
      <c r="B110" s="1" t="n">
        <v>44096</v>
      </c>
      <c r="C110" s="1" t="n">
        <v>45918</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45918</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45918</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45918</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45918</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45918</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45918</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45918</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45918</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45918</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45918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45918</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45918</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45918</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45918</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73606-2021</t>
        </is>
      </c>
      <c r="B125" s="1" t="n">
        <v>44552</v>
      </c>
      <c r="C125" s="1" t="n">
        <v>45918</v>
      </c>
      <c r="D125" t="inlineStr">
        <is>
          <t>VÄSTMANLANDS LÄN</t>
        </is>
      </c>
      <c r="E125" t="inlineStr">
        <is>
          <t>SALA</t>
        </is>
      </c>
      <c r="G125" t="n">
        <v>1.5</v>
      </c>
      <c r="H125" t="n">
        <v>0</v>
      </c>
      <c r="I125" t="n">
        <v>0</v>
      </c>
      <c r="J125" t="n">
        <v>0</v>
      </c>
      <c r="K125" t="n">
        <v>0</v>
      </c>
      <c r="L125" t="n">
        <v>0</v>
      </c>
      <c r="M125" t="n">
        <v>0</v>
      </c>
      <c r="N125" t="n">
        <v>0</v>
      </c>
      <c r="O125" t="n">
        <v>0</v>
      </c>
      <c r="P125" t="n">
        <v>0</v>
      </c>
      <c r="Q125" t="n">
        <v>0</v>
      </c>
      <c r="R125" s="2" t="inlineStr"/>
    </row>
    <row r="126" ht="15" customHeight="1">
      <c r="A126" t="inlineStr">
        <is>
          <t>A 49254-2022</t>
        </is>
      </c>
      <c r="B126" s="1" t="n">
        <v>44861</v>
      </c>
      <c r="C126" s="1" t="n">
        <v>45918</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22575-2022</t>
        </is>
      </c>
      <c r="B127" s="1" t="n">
        <v>44713</v>
      </c>
      <c r="C127" s="1" t="n">
        <v>45918</v>
      </c>
      <c r="D127" t="inlineStr">
        <is>
          <t>VÄSTMANLANDS LÄN</t>
        </is>
      </c>
      <c r="E127" t="inlineStr">
        <is>
          <t>SALA</t>
        </is>
      </c>
      <c r="G127" t="n">
        <v>0.7</v>
      </c>
      <c r="H127" t="n">
        <v>0</v>
      </c>
      <c r="I127" t="n">
        <v>0</v>
      </c>
      <c r="J127" t="n">
        <v>0</v>
      </c>
      <c r="K127" t="n">
        <v>0</v>
      </c>
      <c r="L127" t="n">
        <v>0</v>
      </c>
      <c r="M127" t="n">
        <v>0</v>
      </c>
      <c r="N127" t="n">
        <v>0</v>
      </c>
      <c r="O127" t="n">
        <v>0</v>
      </c>
      <c r="P127" t="n">
        <v>0</v>
      </c>
      <c r="Q127" t="n">
        <v>0</v>
      </c>
      <c r="R127" s="2" t="inlineStr"/>
    </row>
    <row r="128" ht="15" customHeight="1">
      <c r="A128" t="inlineStr">
        <is>
          <t>A 47054-2020</t>
        </is>
      </c>
      <c r="B128" s="1" t="n">
        <v>44096</v>
      </c>
      <c r="C128" s="1" t="n">
        <v>45918</v>
      </c>
      <c r="D128" t="inlineStr">
        <is>
          <t>VÄSTMANLANDS LÄN</t>
        </is>
      </c>
      <c r="E128" t="inlineStr">
        <is>
          <t>SALA</t>
        </is>
      </c>
      <c r="F128" t="inlineStr">
        <is>
          <t>Kommuner</t>
        </is>
      </c>
      <c r="G128" t="n">
        <v>1.1</v>
      </c>
      <c r="H128" t="n">
        <v>0</v>
      </c>
      <c r="I128" t="n">
        <v>0</v>
      </c>
      <c r="J128" t="n">
        <v>0</v>
      </c>
      <c r="K128" t="n">
        <v>0</v>
      </c>
      <c r="L128" t="n">
        <v>0</v>
      </c>
      <c r="M128" t="n">
        <v>0</v>
      </c>
      <c r="N128" t="n">
        <v>0</v>
      </c>
      <c r="O128" t="n">
        <v>0</v>
      </c>
      <c r="P128" t="n">
        <v>0</v>
      </c>
      <c r="Q128" t="n">
        <v>0</v>
      </c>
      <c r="R128" s="2" t="inlineStr"/>
    </row>
    <row r="129" ht="15" customHeight="1">
      <c r="A129" t="inlineStr">
        <is>
          <t>A 11370-2022</t>
        </is>
      </c>
      <c r="B129" s="1" t="n">
        <v>44630</v>
      </c>
      <c r="C129" s="1" t="n">
        <v>45918</v>
      </c>
      <c r="D129" t="inlineStr">
        <is>
          <t>VÄSTMANLANDS LÄN</t>
        </is>
      </c>
      <c r="E129" t="inlineStr">
        <is>
          <t>SALA</t>
        </is>
      </c>
      <c r="G129" t="n">
        <v>4.3</v>
      </c>
      <c r="H129" t="n">
        <v>0</v>
      </c>
      <c r="I129" t="n">
        <v>0</v>
      </c>
      <c r="J129" t="n">
        <v>0</v>
      </c>
      <c r="K129" t="n">
        <v>0</v>
      </c>
      <c r="L129" t="n">
        <v>0</v>
      </c>
      <c r="M129" t="n">
        <v>0</v>
      </c>
      <c r="N129" t="n">
        <v>0</v>
      </c>
      <c r="O129" t="n">
        <v>0</v>
      </c>
      <c r="P129" t="n">
        <v>0</v>
      </c>
      <c r="Q129" t="n">
        <v>0</v>
      </c>
      <c r="R129" s="2" t="inlineStr"/>
    </row>
    <row r="130" ht="15" customHeight="1">
      <c r="A130" t="inlineStr">
        <is>
          <t>A 69192-2020</t>
        </is>
      </c>
      <c r="B130" s="1" t="n">
        <v>44191</v>
      </c>
      <c r="C130" s="1" t="n">
        <v>45918</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40094-2022</t>
        </is>
      </c>
      <c r="B131" s="1" t="n">
        <v>44819</v>
      </c>
      <c r="C131" s="1" t="n">
        <v>45918</v>
      </c>
      <c r="D131" t="inlineStr">
        <is>
          <t>VÄSTMANLANDS LÄN</t>
        </is>
      </c>
      <c r="E131" t="inlineStr">
        <is>
          <t>SALA</t>
        </is>
      </c>
      <c r="G131" t="n">
        <v>1.7</v>
      </c>
      <c r="H131" t="n">
        <v>0</v>
      </c>
      <c r="I131" t="n">
        <v>0</v>
      </c>
      <c r="J131" t="n">
        <v>0</v>
      </c>
      <c r="K131" t="n">
        <v>0</v>
      </c>
      <c r="L131" t="n">
        <v>0</v>
      </c>
      <c r="M131" t="n">
        <v>0</v>
      </c>
      <c r="N131" t="n">
        <v>0</v>
      </c>
      <c r="O131" t="n">
        <v>0</v>
      </c>
      <c r="P131" t="n">
        <v>0</v>
      </c>
      <c r="Q131" t="n">
        <v>0</v>
      </c>
      <c r="R131" s="2" t="inlineStr"/>
    </row>
    <row r="132" ht="15" customHeight="1">
      <c r="A132" t="inlineStr">
        <is>
          <t>A 53735-2022</t>
        </is>
      </c>
      <c r="B132" s="1" t="n">
        <v>44880.42752314815</v>
      </c>
      <c r="C132" s="1" t="n">
        <v>45918</v>
      </c>
      <c r="D132" t="inlineStr">
        <is>
          <t>VÄSTMANLANDS LÄN</t>
        </is>
      </c>
      <c r="E132" t="inlineStr">
        <is>
          <t>SALA</t>
        </is>
      </c>
      <c r="F132" t="inlineStr">
        <is>
          <t>Bergvik skog öst AB</t>
        </is>
      </c>
      <c r="G132" t="n">
        <v>1.8</v>
      </c>
      <c r="H132" t="n">
        <v>0</v>
      </c>
      <c r="I132" t="n">
        <v>0</v>
      </c>
      <c r="J132" t="n">
        <v>0</v>
      </c>
      <c r="K132" t="n">
        <v>0</v>
      </c>
      <c r="L132" t="n">
        <v>0</v>
      </c>
      <c r="M132" t="n">
        <v>0</v>
      </c>
      <c r="N132" t="n">
        <v>0</v>
      </c>
      <c r="O132" t="n">
        <v>0</v>
      </c>
      <c r="P132" t="n">
        <v>0</v>
      </c>
      <c r="Q132" t="n">
        <v>0</v>
      </c>
      <c r="R132" s="2" t="inlineStr"/>
    </row>
    <row r="133" ht="15" customHeight="1">
      <c r="A133" t="inlineStr">
        <is>
          <t>A 14047-2021</t>
        </is>
      </c>
      <c r="B133" s="1" t="n">
        <v>44277</v>
      </c>
      <c r="C133" s="1" t="n">
        <v>45918</v>
      </c>
      <c r="D133" t="inlineStr">
        <is>
          <t>VÄSTMANLANDS LÄN</t>
        </is>
      </c>
      <c r="E133" t="inlineStr">
        <is>
          <t>SALA</t>
        </is>
      </c>
      <c r="F133" t="inlineStr">
        <is>
          <t>Kyrkan</t>
        </is>
      </c>
      <c r="G133" t="n">
        <v>0.7</v>
      </c>
      <c r="H133" t="n">
        <v>0</v>
      </c>
      <c r="I133" t="n">
        <v>0</v>
      </c>
      <c r="J133" t="n">
        <v>0</v>
      </c>
      <c r="K133" t="n">
        <v>0</v>
      </c>
      <c r="L133" t="n">
        <v>0</v>
      </c>
      <c r="M133" t="n">
        <v>0</v>
      </c>
      <c r="N133" t="n">
        <v>0</v>
      </c>
      <c r="O133" t="n">
        <v>0</v>
      </c>
      <c r="P133" t="n">
        <v>0</v>
      </c>
      <c r="Q133" t="n">
        <v>0</v>
      </c>
      <c r="R133" s="2" t="inlineStr"/>
    </row>
    <row r="134" ht="15" customHeight="1">
      <c r="A134" t="inlineStr">
        <is>
          <t>A 65856-2021</t>
        </is>
      </c>
      <c r="B134" s="1" t="n">
        <v>44517</v>
      </c>
      <c r="C134" s="1" t="n">
        <v>45918</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53630-2022</t>
        </is>
      </c>
      <c r="B135" s="1" t="n">
        <v>44879.87533564815</v>
      </c>
      <c r="C135" s="1" t="n">
        <v>45918</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45918</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57517-2021</t>
        </is>
      </c>
      <c r="B137" s="1" t="n">
        <v>44483</v>
      </c>
      <c r="C137" s="1" t="n">
        <v>45918</v>
      </c>
      <c r="D137" t="inlineStr">
        <is>
          <t>VÄSTMANLANDS LÄN</t>
        </is>
      </c>
      <c r="E137" t="inlineStr">
        <is>
          <t>SALA</t>
        </is>
      </c>
      <c r="G137" t="n">
        <v>1.1</v>
      </c>
      <c r="H137" t="n">
        <v>0</v>
      </c>
      <c r="I137" t="n">
        <v>0</v>
      </c>
      <c r="J137" t="n">
        <v>0</v>
      </c>
      <c r="K137" t="n">
        <v>0</v>
      </c>
      <c r="L137" t="n">
        <v>0</v>
      </c>
      <c r="M137" t="n">
        <v>0</v>
      </c>
      <c r="N137" t="n">
        <v>0</v>
      </c>
      <c r="O137" t="n">
        <v>0</v>
      </c>
      <c r="P137" t="n">
        <v>0</v>
      </c>
      <c r="Q137" t="n">
        <v>0</v>
      </c>
      <c r="R137" s="2" t="inlineStr"/>
    </row>
    <row r="138" ht="15" customHeight="1">
      <c r="A138" t="inlineStr">
        <is>
          <t>A 61415-2020</t>
        </is>
      </c>
      <c r="B138" s="1" t="n">
        <v>44156</v>
      </c>
      <c r="C138" s="1" t="n">
        <v>45918</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45918</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44224-2022</t>
        </is>
      </c>
      <c r="B140" s="1" t="n">
        <v>44839.506875</v>
      </c>
      <c r="C140" s="1" t="n">
        <v>45918</v>
      </c>
      <c r="D140" t="inlineStr">
        <is>
          <t>VÄSTMANLANDS LÄN</t>
        </is>
      </c>
      <c r="E140" t="inlineStr">
        <is>
          <t>SALA</t>
        </is>
      </c>
      <c r="G140" t="n">
        <v>2.1</v>
      </c>
      <c r="H140" t="n">
        <v>0</v>
      </c>
      <c r="I140" t="n">
        <v>0</v>
      </c>
      <c r="J140" t="n">
        <v>0</v>
      </c>
      <c r="K140" t="n">
        <v>0</v>
      </c>
      <c r="L140" t="n">
        <v>0</v>
      </c>
      <c r="M140" t="n">
        <v>0</v>
      </c>
      <c r="N140" t="n">
        <v>0</v>
      </c>
      <c r="O140" t="n">
        <v>0</v>
      </c>
      <c r="P140" t="n">
        <v>0</v>
      </c>
      <c r="Q140" t="n">
        <v>0</v>
      </c>
      <c r="R140" s="2" t="inlineStr"/>
    </row>
    <row r="141" ht="15" customHeight="1">
      <c r="A141" t="inlineStr">
        <is>
          <t>A 26575-2021</t>
        </is>
      </c>
      <c r="B141" s="1" t="n">
        <v>44348</v>
      </c>
      <c r="C141" s="1" t="n">
        <v>45918</v>
      </c>
      <c r="D141" t="inlineStr">
        <is>
          <t>VÄSTMANLANDS LÄN</t>
        </is>
      </c>
      <c r="E141" t="inlineStr">
        <is>
          <t>SALA</t>
        </is>
      </c>
      <c r="G141" t="n">
        <v>2.7</v>
      </c>
      <c r="H141" t="n">
        <v>0</v>
      </c>
      <c r="I141" t="n">
        <v>0</v>
      </c>
      <c r="J141" t="n">
        <v>0</v>
      </c>
      <c r="K141" t="n">
        <v>0</v>
      </c>
      <c r="L141" t="n">
        <v>0</v>
      </c>
      <c r="M141" t="n">
        <v>0</v>
      </c>
      <c r="N141" t="n">
        <v>0</v>
      </c>
      <c r="O141" t="n">
        <v>0</v>
      </c>
      <c r="P141" t="n">
        <v>0</v>
      </c>
      <c r="Q141" t="n">
        <v>0</v>
      </c>
      <c r="R141" s="2" t="inlineStr"/>
    </row>
    <row r="142" ht="15" customHeight="1">
      <c r="A142" t="inlineStr">
        <is>
          <t>A 58781-2020</t>
        </is>
      </c>
      <c r="B142" s="1" t="n">
        <v>44146</v>
      </c>
      <c r="C142" s="1" t="n">
        <v>45918</v>
      </c>
      <c r="D142" t="inlineStr">
        <is>
          <t>VÄSTMANLANDS LÄN</t>
        </is>
      </c>
      <c r="E142" t="inlineStr">
        <is>
          <t>SALA</t>
        </is>
      </c>
      <c r="G142" t="n">
        <v>1.2</v>
      </c>
      <c r="H142" t="n">
        <v>0</v>
      </c>
      <c r="I142" t="n">
        <v>0</v>
      </c>
      <c r="J142" t="n">
        <v>0</v>
      </c>
      <c r="K142" t="n">
        <v>0</v>
      </c>
      <c r="L142" t="n">
        <v>0</v>
      </c>
      <c r="M142" t="n">
        <v>0</v>
      </c>
      <c r="N142" t="n">
        <v>0</v>
      </c>
      <c r="O142" t="n">
        <v>0</v>
      </c>
      <c r="P142" t="n">
        <v>0</v>
      </c>
      <c r="Q142" t="n">
        <v>0</v>
      </c>
      <c r="R142" s="2" t="inlineStr"/>
    </row>
    <row r="143" ht="15" customHeight="1">
      <c r="A143" t="inlineStr">
        <is>
          <t>A 25603-2022</t>
        </is>
      </c>
      <c r="B143" s="1" t="n">
        <v>44732</v>
      </c>
      <c r="C143" s="1" t="n">
        <v>45918</v>
      </c>
      <c r="D143" t="inlineStr">
        <is>
          <t>VÄSTMANLANDS LÄN</t>
        </is>
      </c>
      <c r="E143" t="inlineStr">
        <is>
          <t>SALA</t>
        </is>
      </c>
      <c r="G143" t="n">
        <v>2</v>
      </c>
      <c r="H143" t="n">
        <v>0</v>
      </c>
      <c r="I143" t="n">
        <v>0</v>
      </c>
      <c r="J143" t="n">
        <v>0</v>
      </c>
      <c r="K143" t="n">
        <v>0</v>
      </c>
      <c r="L143" t="n">
        <v>0</v>
      </c>
      <c r="M143" t="n">
        <v>0</v>
      </c>
      <c r="N143" t="n">
        <v>0</v>
      </c>
      <c r="O143" t="n">
        <v>0</v>
      </c>
      <c r="P143" t="n">
        <v>0</v>
      </c>
      <c r="Q143" t="n">
        <v>0</v>
      </c>
      <c r="R143" s="2" t="inlineStr"/>
    </row>
    <row r="144" ht="15" customHeight="1">
      <c r="A144" t="inlineStr">
        <is>
          <t>A 29235-2022</t>
        </is>
      </c>
      <c r="B144" s="1" t="n">
        <v>44750</v>
      </c>
      <c r="C144" s="1" t="n">
        <v>45918</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70218-2021</t>
        </is>
      </c>
      <c r="B145" s="1" t="n">
        <v>44535.6571412037</v>
      </c>
      <c r="C145" s="1" t="n">
        <v>45918</v>
      </c>
      <c r="D145" t="inlineStr">
        <is>
          <t>VÄSTMANLANDS LÄN</t>
        </is>
      </c>
      <c r="E145" t="inlineStr">
        <is>
          <t>SALA</t>
        </is>
      </c>
      <c r="G145" t="n">
        <v>0.4</v>
      </c>
      <c r="H145" t="n">
        <v>0</v>
      </c>
      <c r="I145" t="n">
        <v>0</v>
      </c>
      <c r="J145" t="n">
        <v>0</v>
      </c>
      <c r="K145" t="n">
        <v>0</v>
      </c>
      <c r="L145" t="n">
        <v>0</v>
      </c>
      <c r="M145" t="n">
        <v>0</v>
      </c>
      <c r="N145" t="n">
        <v>0</v>
      </c>
      <c r="O145" t="n">
        <v>0</v>
      </c>
      <c r="P145" t="n">
        <v>0</v>
      </c>
      <c r="Q145" t="n">
        <v>0</v>
      </c>
      <c r="R145" s="2" t="inlineStr"/>
    </row>
    <row r="146" ht="15" customHeight="1">
      <c r="A146" t="inlineStr">
        <is>
          <t>A 3204-2022</t>
        </is>
      </c>
      <c r="B146" s="1" t="n">
        <v>44582</v>
      </c>
      <c r="C146" s="1" t="n">
        <v>45918</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26570-2021</t>
        </is>
      </c>
      <c r="B147" s="1" t="n">
        <v>44348</v>
      </c>
      <c r="C147" s="1" t="n">
        <v>45918</v>
      </c>
      <c r="D147" t="inlineStr">
        <is>
          <t>VÄSTMANLANDS LÄN</t>
        </is>
      </c>
      <c r="E147" t="inlineStr">
        <is>
          <t>SALA</t>
        </is>
      </c>
      <c r="G147" t="n">
        <v>2.5</v>
      </c>
      <c r="H147" t="n">
        <v>0</v>
      </c>
      <c r="I147" t="n">
        <v>0</v>
      </c>
      <c r="J147" t="n">
        <v>0</v>
      </c>
      <c r="K147" t="n">
        <v>0</v>
      </c>
      <c r="L147" t="n">
        <v>0</v>
      </c>
      <c r="M147" t="n">
        <v>0</v>
      </c>
      <c r="N147" t="n">
        <v>0</v>
      </c>
      <c r="O147" t="n">
        <v>0</v>
      </c>
      <c r="P147" t="n">
        <v>0</v>
      </c>
      <c r="Q147" t="n">
        <v>0</v>
      </c>
      <c r="R147" s="2" t="inlineStr"/>
    </row>
    <row r="148" ht="15" customHeight="1">
      <c r="A148" t="inlineStr">
        <is>
          <t>A 72405-2021</t>
        </is>
      </c>
      <c r="B148" s="1" t="n">
        <v>44545</v>
      </c>
      <c r="C148" s="1" t="n">
        <v>45918</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45918</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45918</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29002-2022</t>
        </is>
      </c>
      <c r="B151" s="1" t="n">
        <v>44749</v>
      </c>
      <c r="C151" s="1" t="n">
        <v>45918</v>
      </c>
      <c r="D151" t="inlineStr">
        <is>
          <t>VÄSTMANLANDS LÄN</t>
        </is>
      </c>
      <c r="E151" t="inlineStr">
        <is>
          <t>SALA</t>
        </is>
      </c>
      <c r="G151" t="n">
        <v>5.4</v>
      </c>
      <c r="H151" t="n">
        <v>0</v>
      </c>
      <c r="I151" t="n">
        <v>0</v>
      </c>
      <c r="J151" t="n">
        <v>0</v>
      </c>
      <c r="K151" t="n">
        <v>0</v>
      </c>
      <c r="L151" t="n">
        <v>0</v>
      </c>
      <c r="M151" t="n">
        <v>0</v>
      </c>
      <c r="N151" t="n">
        <v>0</v>
      </c>
      <c r="O151" t="n">
        <v>0</v>
      </c>
      <c r="P151" t="n">
        <v>0</v>
      </c>
      <c r="Q151" t="n">
        <v>0</v>
      </c>
      <c r="R151" s="2" t="inlineStr"/>
    </row>
    <row r="152" ht="15" customHeight="1">
      <c r="A152" t="inlineStr">
        <is>
          <t>A 23757-2022</t>
        </is>
      </c>
      <c r="B152" s="1" t="n">
        <v>44722.37339120371</v>
      </c>
      <c r="C152" s="1" t="n">
        <v>45918</v>
      </c>
      <c r="D152" t="inlineStr">
        <is>
          <t>VÄSTMANLANDS LÄN</t>
        </is>
      </c>
      <c r="E152" t="inlineStr">
        <is>
          <t>SALA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45918</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66830-2021</t>
        </is>
      </c>
      <c r="B154" s="1" t="n">
        <v>44522.40886574074</v>
      </c>
      <c r="C154" s="1" t="n">
        <v>45918</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58912-2020</t>
        </is>
      </c>
      <c r="B155" s="1" t="n">
        <v>44146</v>
      </c>
      <c r="C155" s="1" t="n">
        <v>45918</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28402-2022</t>
        </is>
      </c>
      <c r="B156" s="1" t="n">
        <v>44747</v>
      </c>
      <c r="C156" s="1" t="n">
        <v>45918</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45918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45918</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22562-2022</t>
        </is>
      </c>
      <c r="B159" s="1" t="n">
        <v>44713</v>
      </c>
      <c r="C159" s="1" t="n">
        <v>45918</v>
      </c>
      <c r="D159" t="inlineStr">
        <is>
          <t>VÄSTMANLANDS LÄN</t>
        </is>
      </c>
      <c r="E159" t="inlineStr">
        <is>
          <t>SALA</t>
        </is>
      </c>
      <c r="G159" t="n">
        <v>0.8</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45918</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41876-2022</t>
        </is>
      </c>
      <c r="B161" s="1" t="n">
        <v>44829.97008101852</v>
      </c>
      <c r="C161" s="1" t="n">
        <v>45918</v>
      </c>
      <c r="D161" t="inlineStr">
        <is>
          <t>VÄSTMANLANDS LÄN</t>
        </is>
      </c>
      <c r="E161" t="inlineStr">
        <is>
          <t>SALA</t>
        </is>
      </c>
      <c r="G161" t="n">
        <v>3.6</v>
      </c>
      <c r="H161" t="n">
        <v>0</v>
      </c>
      <c r="I161" t="n">
        <v>0</v>
      </c>
      <c r="J161" t="n">
        <v>0</v>
      </c>
      <c r="K161" t="n">
        <v>0</v>
      </c>
      <c r="L161" t="n">
        <v>0</v>
      </c>
      <c r="M161" t="n">
        <v>0</v>
      </c>
      <c r="N161" t="n">
        <v>0</v>
      </c>
      <c r="O161" t="n">
        <v>0</v>
      </c>
      <c r="P161" t="n">
        <v>0</v>
      </c>
      <c r="Q161" t="n">
        <v>0</v>
      </c>
      <c r="R161" s="2" t="inlineStr"/>
    </row>
    <row r="162" ht="15" customHeight="1">
      <c r="A162" t="inlineStr">
        <is>
          <t>A 67958-2021</t>
        </is>
      </c>
      <c r="B162" s="1" t="n">
        <v>44525</v>
      </c>
      <c r="C162" s="1" t="n">
        <v>45918</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67965-2021</t>
        </is>
      </c>
      <c r="B163" s="1" t="n">
        <v>44525</v>
      </c>
      <c r="C163" s="1" t="n">
        <v>45918</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51596-2022</t>
        </is>
      </c>
      <c r="B164" s="1" t="n">
        <v>44871</v>
      </c>
      <c r="C164" s="1" t="n">
        <v>45918</v>
      </c>
      <c r="D164" t="inlineStr">
        <is>
          <t>VÄSTMANLANDS LÄN</t>
        </is>
      </c>
      <c r="E164" t="inlineStr">
        <is>
          <t>SALA</t>
        </is>
      </c>
      <c r="F164" t="inlineStr">
        <is>
          <t>Bergvik skog öst AB</t>
        </is>
      </c>
      <c r="G164" t="n">
        <v>1.2</v>
      </c>
      <c r="H164" t="n">
        <v>0</v>
      </c>
      <c r="I164" t="n">
        <v>0</v>
      </c>
      <c r="J164" t="n">
        <v>0</v>
      </c>
      <c r="K164" t="n">
        <v>0</v>
      </c>
      <c r="L164" t="n">
        <v>0</v>
      </c>
      <c r="M164" t="n">
        <v>0</v>
      </c>
      <c r="N164" t="n">
        <v>0</v>
      </c>
      <c r="O164" t="n">
        <v>0</v>
      </c>
      <c r="P164" t="n">
        <v>0</v>
      </c>
      <c r="Q164" t="n">
        <v>0</v>
      </c>
      <c r="R164" s="2" t="inlineStr"/>
    </row>
    <row r="165" ht="15" customHeight="1">
      <c r="A165" t="inlineStr">
        <is>
          <t>A 66508-2021</t>
        </is>
      </c>
      <c r="B165" s="1" t="n">
        <v>44519.33401620371</v>
      </c>
      <c r="C165" s="1" t="n">
        <v>45918</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31452-2021</t>
        </is>
      </c>
      <c r="B166" s="1" t="n">
        <v>44369</v>
      </c>
      <c r="C166" s="1" t="n">
        <v>45918</v>
      </c>
      <c r="D166" t="inlineStr">
        <is>
          <t>VÄSTMANLANDS LÄN</t>
        </is>
      </c>
      <c r="E166" t="inlineStr">
        <is>
          <t>SALA</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45015-2022</t>
        </is>
      </c>
      <c r="B167" s="1" t="n">
        <v>44841.63766203704</v>
      </c>
      <c r="C167" s="1" t="n">
        <v>45918</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22811-2022</t>
        </is>
      </c>
      <c r="B168" s="1" t="n">
        <v>44715</v>
      </c>
      <c r="C168" s="1" t="n">
        <v>45918</v>
      </c>
      <c r="D168" t="inlineStr">
        <is>
          <t>VÄSTMANLANDS LÄN</t>
        </is>
      </c>
      <c r="E168" t="inlineStr">
        <is>
          <t>SALA</t>
        </is>
      </c>
      <c r="G168" t="n">
        <v>5</v>
      </c>
      <c r="H168" t="n">
        <v>0</v>
      </c>
      <c r="I168" t="n">
        <v>0</v>
      </c>
      <c r="J168" t="n">
        <v>0</v>
      </c>
      <c r="K168" t="n">
        <v>0</v>
      </c>
      <c r="L168" t="n">
        <v>0</v>
      </c>
      <c r="M168" t="n">
        <v>0</v>
      </c>
      <c r="N168" t="n">
        <v>0</v>
      </c>
      <c r="O168" t="n">
        <v>0</v>
      </c>
      <c r="P168" t="n">
        <v>0</v>
      </c>
      <c r="Q168" t="n">
        <v>0</v>
      </c>
      <c r="R168" s="2" t="inlineStr"/>
    </row>
    <row r="169" ht="15" customHeight="1">
      <c r="A169" t="inlineStr">
        <is>
          <t>A 65213-2021</t>
        </is>
      </c>
      <c r="B169" s="1" t="n">
        <v>44515</v>
      </c>
      <c r="C169" s="1" t="n">
        <v>45918</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65353-2021</t>
        </is>
      </c>
      <c r="B170" s="1" t="n">
        <v>44515</v>
      </c>
      <c r="C170" s="1" t="n">
        <v>45918</v>
      </c>
      <c r="D170" t="inlineStr">
        <is>
          <t>VÄSTMANLANDS LÄN</t>
        </is>
      </c>
      <c r="E170" t="inlineStr">
        <is>
          <t>SALA</t>
        </is>
      </c>
      <c r="G170" t="n">
        <v>1.5</v>
      </c>
      <c r="H170" t="n">
        <v>0</v>
      </c>
      <c r="I170" t="n">
        <v>0</v>
      </c>
      <c r="J170" t="n">
        <v>0</v>
      </c>
      <c r="K170" t="n">
        <v>0</v>
      </c>
      <c r="L170" t="n">
        <v>0</v>
      </c>
      <c r="M170" t="n">
        <v>0</v>
      </c>
      <c r="N170" t="n">
        <v>0</v>
      </c>
      <c r="O170" t="n">
        <v>0</v>
      </c>
      <c r="P170" t="n">
        <v>0</v>
      </c>
      <c r="Q170" t="n">
        <v>0</v>
      </c>
      <c r="R170" s="2" t="inlineStr"/>
    </row>
    <row r="171" ht="15" customHeight="1">
      <c r="A171" t="inlineStr">
        <is>
          <t>A 23181-2022</t>
        </is>
      </c>
      <c r="B171" s="1" t="n">
        <v>44719.79537037037</v>
      </c>
      <c r="C171" s="1" t="n">
        <v>45918</v>
      </c>
      <c r="D171" t="inlineStr">
        <is>
          <t>VÄSTMANLANDS LÄN</t>
        </is>
      </c>
      <c r="E171" t="inlineStr">
        <is>
          <t>SALA</t>
        </is>
      </c>
      <c r="G171" t="n">
        <v>0.8</v>
      </c>
      <c r="H171" t="n">
        <v>0</v>
      </c>
      <c r="I171" t="n">
        <v>0</v>
      </c>
      <c r="J171" t="n">
        <v>0</v>
      </c>
      <c r="K171" t="n">
        <v>0</v>
      </c>
      <c r="L171" t="n">
        <v>0</v>
      </c>
      <c r="M171" t="n">
        <v>0</v>
      </c>
      <c r="N171" t="n">
        <v>0</v>
      </c>
      <c r="O171" t="n">
        <v>0</v>
      </c>
      <c r="P171" t="n">
        <v>0</v>
      </c>
      <c r="Q171" t="n">
        <v>0</v>
      </c>
      <c r="R171" s="2" t="inlineStr"/>
    </row>
    <row r="172" ht="15" customHeight="1">
      <c r="A172" t="inlineStr">
        <is>
          <t>A 65860-2021</t>
        </is>
      </c>
      <c r="B172" s="1" t="n">
        <v>44517.38163194444</v>
      </c>
      <c r="C172" s="1" t="n">
        <v>45918</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45918</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13022-2023</t>
        </is>
      </c>
      <c r="B174" s="1" t="n">
        <v>45002.33291666667</v>
      </c>
      <c r="C174" s="1" t="n">
        <v>45918</v>
      </c>
      <c r="D174" t="inlineStr">
        <is>
          <t>VÄSTMANLANDS LÄN</t>
        </is>
      </c>
      <c r="E174" t="inlineStr">
        <is>
          <t>SALA</t>
        </is>
      </c>
      <c r="G174" t="n">
        <v>1.5</v>
      </c>
      <c r="H174" t="n">
        <v>0</v>
      </c>
      <c r="I174" t="n">
        <v>0</v>
      </c>
      <c r="J174" t="n">
        <v>0</v>
      </c>
      <c r="K174" t="n">
        <v>0</v>
      </c>
      <c r="L174" t="n">
        <v>0</v>
      </c>
      <c r="M174" t="n">
        <v>0</v>
      </c>
      <c r="N174" t="n">
        <v>0</v>
      </c>
      <c r="O174" t="n">
        <v>0</v>
      </c>
      <c r="P174" t="n">
        <v>0</v>
      </c>
      <c r="Q174" t="n">
        <v>0</v>
      </c>
      <c r="R174" s="2" t="inlineStr"/>
    </row>
    <row r="175" ht="15" customHeight="1">
      <c r="A175" t="inlineStr">
        <is>
          <t>A 8130-2022</t>
        </is>
      </c>
      <c r="B175" s="1" t="n">
        <v>44609.5984837963</v>
      </c>
      <c r="C175" s="1" t="n">
        <v>45918</v>
      </c>
      <c r="D175" t="inlineStr">
        <is>
          <t>VÄSTMANLANDS LÄN</t>
        </is>
      </c>
      <c r="E175" t="inlineStr">
        <is>
          <t>SALA</t>
        </is>
      </c>
      <c r="G175" t="n">
        <v>3.5</v>
      </c>
      <c r="H175" t="n">
        <v>0</v>
      </c>
      <c r="I175" t="n">
        <v>0</v>
      </c>
      <c r="J175" t="n">
        <v>0</v>
      </c>
      <c r="K175" t="n">
        <v>0</v>
      </c>
      <c r="L175" t="n">
        <v>0</v>
      </c>
      <c r="M175" t="n">
        <v>0</v>
      </c>
      <c r="N175" t="n">
        <v>0</v>
      </c>
      <c r="O175" t="n">
        <v>0</v>
      </c>
      <c r="P175" t="n">
        <v>0</v>
      </c>
      <c r="Q175" t="n">
        <v>0</v>
      </c>
      <c r="R175" s="2" t="inlineStr"/>
    </row>
    <row r="176" ht="15" customHeight="1">
      <c r="A176" t="inlineStr">
        <is>
          <t>A 4853-2023</t>
        </is>
      </c>
      <c r="B176" s="1" t="n">
        <v>44957.73234953704</v>
      </c>
      <c r="C176" s="1" t="n">
        <v>45918</v>
      </c>
      <c r="D176" t="inlineStr">
        <is>
          <t>VÄSTMANLANDS LÄN</t>
        </is>
      </c>
      <c r="E176" t="inlineStr">
        <is>
          <t>SALA</t>
        </is>
      </c>
      <c r="G176" t="n">
        <v>2.7</v>
      </c>
      <c r="H176" t="n">
        <v>0</v>
      </c>
      <c r="I176" t="n">
        <v>0</v>
      </c>
      <c r="J176" t="n">
        <v>0</v>
      </c>
      <c r="K176" t="n">
        <v>0</v>
      </c>
      <c r="L176" t="n">
        <v>0</v>
      </c>
      <c r="M176" t="n">
        <v>0</v>
      </c>
      <c r="N176" t="n">
        <v>0</v>
      </c>
      <c r="O176" t="n">
        <v>0</v>
      </c>
      <c r="P176" t="n">
        <v>0</v>
      </c>
      <c r="Q176" t="n">
        <v>0</v>
      </c>
      <c r="R176" s="2" t="inlineStr"/>
    </row>
    <row r="177" ht="15" customHeight="1">
      <c r="A177" t="inlineStr">
        <is>
          <t>A 65818-2021</t>
        </is>
      </c>
      <c r="B177" s="1" t="n">
        <v>44517</v>
      </c>
      <c r="C177" s="1" t="n">
        <v>45918</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12246-2023</t>
        </is>
      </c>
      <c r="B178" s="1" t="n">
        <v>44995</v>
      </c>
      <c r="C178" s="1" t="n">
        <v>45918</v>
      </c>
      <c r="D178" t="inlineStr">
        <is>
          <t>VÄSTMANLANDS LÄN</t>
        </is>
      </c>
      <c r="E178" t="inlineStr">
        <is>
          <t>SALA</t>
        </is>
      </c>
      <c r="G178" t="n">
        <v>2.4</v>
      </c>
      <c r="H178" t="n">
        <v>0</v>
      </c>
      <c r="I178" t="n">
        <v>0</v>
      </c>
      <c r="J178" t="n">
        <v>0</v>
      </c>
      <c r="K178" t="n">
        <v>0</v>
      </c>
      <c r="L178" t="n">
        <v>0</v>
      </c>
      <c r="M178" t="n">
        <v>0</v>
      </c>
      <c r="N178" t="n">
        <v>0</v>
      </c>
      <c r="O178" t="n">
        <v>0</v>
      </c>
      <c r="P178" t="n">
        <v>0</v>
      </c>
      <c r="Q178" t="n">
        <v>0</v>
      </c>
      <c r="R178" s="2" t="inlineStr"/>
    </row>
    <row r="179" ht="15" customHeight="1">
      <c r="A179" t="inlineStr">
        <is>
          <t>A 55881-2020</t>
        </is>
      </c>
      <c r="B179" s="1" t="n">
        <v>44132</v>
      </c>
      <c r="C179" s="1" t="n">
        <v>45918</v>
      </c>
      <c r="D179" t="inlineStr">
        <is>
          <t>VÄSTMANLANDS LÄN</t>
        </is>
      </c>
      <c r="E179" t="inlineStr">
        <is>
          <t>SALA</t>
        </is>
      </c>
      <c r="G179" t="n">
        <v>3</v>
      </c>
      <c r="H179" t="n">
        <v>0</v>
      </c>
      <c r="I179" t="n">
        <v>0</v>
      </c>
      <c r="J179" t="n">
        <v>0</v>
      </c>
      <c r="K179" t="n">
        <v>0</v>
      </c>
      <c r="L179" t="n">
        <v>0</v>
      </c>
      <c r="M179" t="n">
        <v>0</v>
      </c>
      <c r="N179" t="n">
        <v>0</v>
      </c>
      <c r="O179" t="n">
        <v>0</v>
      </c>
      <c r="P179" t="n">
        <v>0</v>
      </c>
      <c r="Q179" t="n">
        <v>0</v>
      </c>
      <c r="R179" s="2" t="inlineStr"/>
    </row>
    <row r="180" ht="15" customHeight="1">
      <c r="A180" t="inlineStr">
        <is>
          <t>A 9050-2022</t>
        </is>
      </c>
      <c r="B180" s="1" t="n">
        <v>44615.45451388889</v>
      </c>
      <c r="C180" s="1" t="n">
        <v>45918</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42447-2022</t>
        </is>
      </c>
      <c r="B181" s="1" t="n">
        <v>44831</v>
      </c>
      <c r="C181" s="1" t="n">
        <v>45918</v>
      </c>
      <c r="D181" t="inlineStr">
        <is>
          <t>VÄSTMANLANDS LÄN</t>
        </is>
      </c>
      <c r="E181" t="inlineStr">
        <is>
          <t>SALA</t>
        </is>
      </c>
      <c r="G181" t="n">
        <v>1.1</v>
      </c>
      <c r="H181" t="n">
        <v>0</v>
      </c>
      <c r="I181" t="n">
        <v>0</v>
      </c>
      <c r="J181" t="n">
        <v>0</v>
      </c>
      <c r="K181" t="n">
        <v>0</v>
      </c>
      <c r="L181" t="n">
        <v>0</v>
      </c>
      <c r="M181" t="n">
        <v>0</v>
      </c>
      <c r="N181" t="n">
        <v>0</v>
      </c>
      <c r="O181" t="n">
        <v>0</v>
      </c>
      <c r="P181" t="n">
        <v>0</v>
      </c>
      <c r="Q181" t="n">
        <v>0</v>
      </c>
      <c r="R181" s="2" t="inlineStr"/>
    </row>
    <row r="182" ht="15" customHeight="1">
      <c r="A182" t="inlineStr">
        <is>
          <t>A 66307-2021</t>
        </is>
      </c>
      <c r="B182" s="1" t="n">
        <v>44518.48670138889</v>
      </c>
      <c r="C182" s="1" t="n">
        <v>45918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33732-2023</t>
        </is>
      </c>
      <c r="B183" s="1" t="n">
        <v>45133.32409722222</v>
      </c>
      <c r="C183" s="1" t="n">
        <v>45918</v>
      </c>
      <c r="D183" t="inlineStr">
        <is>
          <t>VÄSTMANLANDS LÄN</t>
        </is>
      </c>
      <c r="E183" t="inlineStr">
        <is>
          <t>SALA</t>
        </is>
      </c>
      <c r="G183" t="n">
        <v>2</v>
      </c>
      <c r="H183" t="n">
        <v>0</v>
      </c>
      <c r="I183" t="n">
        <v>0</v>
      </c>
      <c r="J183" t="n">
        <v>0</v>
      </c>
      <c r="K183" t="n">
        <v>0</v>
      </c>
      <c r="L183" t="n">
        <v>0</v>
      </c>
      <c r="M183" t="n">
        <v>0</v>
      </c>
      <c r="N183" t="n">
        <v>0</v>
      </c>
      <c r="O183" t="n">
        <v>0</v>
      </c>
      <c r="P183" t="n">
        <v>0</v>
      </c>
      <c r="Q183" t="n">
        <v>0</v>
      </c>
      <c r="R183" s="2" t="inlineStr"/>
    </row>
    <row r="184" ht="15" customHeight="1">
      <c r="A184" t="inlineStr">
        <is>
          <t>A 57000-2021</t>
        </is>
      </c>
      <c r="B184" s="1" t="n">
        <v>44482.46760416667</v>
      </c>
      <c r="C184" s="1" t="n">
        <v>45918</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59909-2024</t>
        </is>
      </c>
      <c r="B185" s="1" t="n">
        <v>45641</v>
      </c>
      <c r="C185" s="1" t="n">
        <v>45918</v>
      </c>
      <c r="D185" t="inlineStr">
        <is>
          <t>VÄSTMANLANDS LÄN</t>
        </is>
      </c>
      <c r="E185" t="inlineStr">
        <is>
          <t>SALA</t>
        </is>
      </c>
      <c r="G185" t="n">
        <v>2.1</v>
      </c>
      <c r="H185" t="n">
        <v>0</v>
      </c>
      <c r="I185" t="n">
        <v>0</v>
      </c>
      <c r="J185" t="n">
        <v>0</v>
      </c>
      <c r="K185" t="n">
        <v>0</v>
      </c>
      <c r="L185" t="n">
        <v>0</v>
      </c>
      <c r="M185" t="n">
        <v>0</v>
      </c>
      <c r="N185" t="n">
        <v>0</v>
      </c>
      <c r="O185" t="n">
        <v>0</v>
      </c>
      <c r="P185" t="n">
        <v>0</v>
      </c>
      <c r="Q185" t="n">
        <v>0</v>
      </c>
      <c r="R185" s="2" t="inlineStr"/>
    </row>
    <row r="186" ht="15" customHeight="1">
      <c r="A186" t="inlineStr">
        <is>
          <t>A 27262-2024</t>
        </is>
      </c>
      <c r="B186" s="1" t="n">
        <v>45471</v>
      </c>
      <c r="C186" s="1" t="n">
        <v>45918</v>
      </c>
      <c r="D186" t="inlineStr">
        <is>
          <t>VÄSTMANLANDS LÄN</t>
        </is>
      </c>
      <c r="E186" t="inlineStr">
        <is>
          <t>SALA</t>
        </is>
      </c>
      <c r="G186" t="n">
        <v>0.8</v>
      </c>
      <c r="H186" t="n">
        <v>0</v>
      </c>
      <c r="I186" t="n">
        <v>0</v>
      </c>
      <c r="J186" t="n">
        <v>0</v>
      </c>
      <c r="K186" t="n">
        <v>0</v>
      </c>
      <c r="L186" t="n">
        <v>0</v>
      </c>
      <c r="M186" t="n">
        <v>0</v>
      </c>
      <c r="N186" t="n">
        <v>0</v>
      </c>
      <c r="O186" t="n">
        <v>0</v>
      </c>
      <c r="P186" t="n">
        <v>0</v>
      </c>
      <c r="Q186" t="n">
        <v>0</v>
      </c>
      <c r="R186" s="2" t="inlineStr"/>
    </row>
    <row r="187" ht="15" customHeight="1">
      <c r="A187" t="inlineStr">
        <is>
          <t>A 10913-2025</t>
        </is>
      </c>
      <c r="B187" s="1" t="n">
        <v>45722.73423611111</v>
      </c>
      <c r="C187" s="1" t="n">
        <v>45918</v>
      </c>
      <c r="D187" t="inlineStr">
        <is>
          <t>VÄSTMANLANDS LÄN</t>
        </is>
      </c>
      <c r="E187" t="inlineStr">
        <is>
          <t>SALA</t>
        </is>
      </c>
      <c r="G187" t="n">
        <v>7.6</v>
      </c>
      <c r="H187" t="n">
        <v>0</v>
      </c>
      <c r="I187" t="n">
        <v>0</v>
      </c>
      <c r="J187" t="n">
        <v>0</v>
      </c>
      <c r="K187" t="n">
        <v>0</v>
      </c>
      <c r="L187" t="n">
        <v>0</v>
      </c>
      <c r="M187" t="n">
        <v>0</v>
      </c>
      <c r="N187" t="n">
        <v>0</v>
      </c>
      <c r="O187" t="n">
        <v>0</v>
      </c>
      <c r="P187" t="n">
        <v>0</v>
      </c>
      <c r="Q187" t="n">
        <v>0</v>
      </c>
      <c r="R187" s="2" t="inlineStr"/>
    </row>
    <row r="188" ht="15" customHeight="1">
      <c r="A188" t="inlineStr">
        <is>
          <t>A 41292-2021</t>
        </is>
      </c>
      <c r="B188" s="1" t="n">
        <v>44424</v>
      </c>
      <c r="C188" s="1" t="n">
        <v>45918</v>
      </c>
      <c r="D188" t="inlineStr">
        <is>
          <t>VÄSTMANLANDS LÄN</t>
        </is>
      </c>
      <c r="E188" t="inlineStr">
        <is>
          <t>SALA</t>
        </is>
      </c>
      <c r="G188" t="n">
        <v>0.3</v>
      </c>
      <c r="H188" t="n">
        <v>0</v>
      </c>
      <c r="I188" t="n">
        <v>0</v>
      </c>
      <c r="J188" t="n">
        <v>0</v>
      </c>
      <c r="K188" t="n">
        <v>0</v>
      </c>
      <c r="L188" t="n">
        <v>0</v>
      </c>
      <c r="M188" t="n">
        <v>0</v>
      </c>
      <c r="N188" t="n">
        <v>0</v>
      </c>
      <c r="O188" t="n">
        <v>0</v>
      </c>
      <c r="P188" t="n">
        <v>0</v>
      </c>
      <c r="Q188" t="n">
        <v>0</v>
      </c>
      <c r="R188" s="2" t="inlineStr"/>
    </row>
    <row r="189" ht="15" customHeight="1">
      <c r="A189" t="inlineStr">
        <is>
          <t>A 26579-2021</t>
        </is>
      </c>
      <c r="B189" s="1" t="n">
        <v>44348</v>
      </c>
      <c r="C189" s="1" t="n">
        <v>45918</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35410-2022</t>
        </is>
      </c>
      <c r="B190" s="1" t="n">
        <v>44798.62576388889</v>
      </c>
      <c r="C190" s="1" t="n">
        <v>45918</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1118-2024</t>
        </is>
      </c>
      <c r="B191" s="1" t="n">
        <v>45302</v>
      </c>
      <c r="C191" s="1" t="n">
        <v>45918</v>
      </c>
      <c r="D191" t="inlineStr">
        <is>
          <t>VÄSTMANLANDS LÄN</t>
        </is>
      </c>
      <c r="E191" t="inlineStr">
        <is>
          <t>SALA</t>
        </is>
      </c>
      <c r="G191" t="n">
        <v>1.9</v>
      </c>
      <c r="H191" t="n">
        <v>0</v>
      </c>
      <c r="I191" t="n">
        <v>0</v>
      </c>
      <c r="J191" t="n">
        <v>0</v>
      </c>
      <c r="K191" t="n">
        <v>0</v>
      </c>
      <c r="L191" t="n">
        <v>0</v>
      </c>
      <c r="M191" t="n">
        <v>0</v>
      </c>
      <c r="N191" t="n">
        <v>0</v>
      </c>
      <c r="O191" t="n">
        <v>0</v>
      </c>
      <c r="P191" t="n">
        <v>0</v>
      </c>
      <c r="Q191" t="n">
        <v>0</v>
      </c>
      <c r="R191" s="2" t="inlineStr"/>
    </row>
    <row r="192" ht="15" customHeight="1">
      <c r="A192" t="inlineStr">
        <is>
          <t>A 51464-2024</t>
        </is>
      </c>
      <c r="B192" s="1" t="n">
        <v>45604.49768518518</v>
      </c>
      <c r="C192" s="1" t="n">
        <v>45918</v>
      </c>
      <c r="D192" t="inlineStr">
        <is>
          <t>VÄSTMANLANDS LÄN</t>
        </is>
      </c>
      <c r="E192" t="inlineStr">
        <is>
          <t>SALA</t>
        </is>
      </c>
      <c r="G192" t="n">
        <v>3.9</v>
      </c>
      <c r="H192" t="n">
        <v>0</v>
      </c>
      <c r="I192" t="n">
        <v>0</v>
      </c>
      <c r="J192" t="n">
        <v>0</v>
      </c>
      <c r="K192" t="n">
        <v>0</v>
      </c>
      <c r="L192" t="n">
        <v>0</v>
      </c>
      <c r="M192" t="n">
        <v>0</v>
      </c>
      <c r="N192" t="n">
        <v>0</v>
      </c>
      <c r="O192" t="n">
        <v>0</v>
      </c>
      <c r="P192" t="n">
        <v>0</v>
      </c>
      <c r="Q192" t="n">
        <v>0</v>
      </c>
      <c r="R192" s="2" t="inlineStr"/>
    </row>
    <row r="193" ht="15" customHeight="1">
      <c r="A193" t="inlineStr">
        <is>
          <t>A 54603-2024</t>
        </is>
      </c>
      <c r="B193" s="1" t="n">
        <v>45617.68224537037</v>
      </c>
      <c r="C193" s="1" t="n">
        <v>45918</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64932-2021</t>
        </is>
      </c>
      <c r="B194" s="1" t="n">
        <v>44512</v>
      </c>
      <c r="C194" s="1" t="n">
        <v>45918</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19033-2025</t>
        </is>
      </c>
      <c r="B195" s="1" t="n">
        <v>45764.65796296296</v>
      </c>
      <c r="C195" s="1" t="n">
        <v>45918</v>
      </c>
      <c r="D195" t="inlineStr">
        <is>
          <t>VÄSTMANLANDS LÄN</t>
        </is>
      </c>
      <c r="E195" t="inlineStr">
        <is>
          <t>SALA</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53864-2022</t>
        </is>
      </c>
      <c r="B196" s="1" t="n">
        <v>44880.64016203704</v>
      </c>
      <c r="C196" s="1" t="n">
        <v>45918</v>
      </c>
      <c r="D196" t="inlineStr">
        <is>
          <t>VÄSTMANLANDS LÄN</t>
        </is>
      </c>
      <c r="E196" t="inlineStr">
        <is>
          <t>SALA</t>
        </is>
      </c>
      <c r="G196" t="n">
        <v>5.9</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45918</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40085-2024</t>
        </is>
      </c>
      <c r="B198" s="1" t="n">
        <v>45554</v>
      </c>
      <c r="C198" s="1" t="n">
        <v>45918</v>
      </c>
      <c r="D198" t="inlineStr">
        <is>
          <t>VÄSTMANLANDS LÄN</t>
        </is>
      </c>
      <c r="E198" t="inlineStr">
        <is>
          <t>SALA</t>
        </is>
      </c>
      <c r="G198" t="n">
        <v>2.8</v>
      </c>
      <c r="H198" t="n">
        <v>0</v>
      </c>
      <c r="I198" t="n">
        <v>0</v>
      </c>
      <c r="J198" t="n">
        <v>0</v>
      </c>
      <c r="K198" t="n">
        <v>0</v>
      </c>
      <c r="L198" t="n">
        <v>0</v>
      </c>
      <c r="M198" t="n">
        <v>0</v>
      </c>
      <c r="N198" t="n">
        <v>0</v>
      </c>
      <c r="O198" t="n">
        <v>0</v>
      </c>
      <c r="P198" t="n">
        <v>0</v>
      </c>
      <c r="Q198" t="n">
        <v>0</v>
      </c>
      <c r="R198" s="2" t="inlineStr"/>
    </row>
    <row r="199" ht="15" customHeight="1">
      <c r="A199" t="inlineStr">
        <is>
          <t>A 3551-2024</t>
        </is>
      </c>
      <c r="B199" s="1" t="n">
        <v>45320.61099537037</v>
      </c>
      <c r="C199" s="1" t="n">
        <v>45918</v>
      </c>
      <c r="D199" t="inlineStr">
        <is>
          <t>VÄSTMANLANDS LÄN</t>
        </is>
      </c>
      <c r="E199" t="inlineStr">
        <is>
          <t>SALA</t>
        </is>
      </c>
      <c r="F199" t="inlineStr">
        <is>
          <t>Kommuner</t>
        </is>
      </c>
      <c r="G199" t="n">
        <v>6</v>
      </c>
      <c r="H199" t="n">
        <v>0</v>
      </c>
      <c r="I199" t="n">
        <v>0</v>
      </c>
      <c r="J199" t="n">
        <v>0</v>
      </c>
      <c r="K199" t="n">
        <v>0</v>
      </c>
      <c r="L199" t="n">
        <v>0</v>
      </c>
      <c r="M199" t="n">
        <v>0</v>
      </c>
      <c r="N199" t="n">
        <v>0</v>
      </c>
      <c r="O199" t="n">
        <v>0</v>
      </c>
      <c r="P199" t="n">
        <v>0</v>
      </c>
      <c r="Q199" t="n">
        <v>0</v>
      </c>
      <c r="R199" s="2" t="inlineStr"/>
    </row>
    <row r="200" ht="15" customHeight="1">
      <c r="A200" t="inlineStr">
        <is>
          <t>A 19398-2025</t>
        </is>
      </c>
      <c r="B200" s="1" t="n">
        <v>45769</v>
      </c>
      <c r="C200" s="1" t="n">
        <v>45918</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45918</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61517-2024</t>
        </is>
      </c>
      <c r="B202" s="1" t="n">
        <v>45645</v>
      </c>
      <c r="C202" s="1" t="n">
        <v>45918</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58107-2021</t>
        </is>
      </c>
      <c r="B203" s="1" t="n">
        <v>44487</v>
      </c>
      <c r="C203" s="1" t="n">
        <v>45918</v>
      </c>
      <c r="D203" t="inlineStr">
        <is>
          <t>VÄSTMANLANDS LÄN</t>
        </is>
      </c>
      <c r="E203" t="inlineStr">
        <is>
          <t>SALA</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1638-2023</t>
        </is>
      </c>
      <c r="B204" s="1" t="n">
        <v>44937</v>
      </c>
      <c r="C204" s="1" t="n">
        <v>45918</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22961-2023</t>
        </is>
      </c>
      <c r="B205" s="1" t="n">
        <v>45072</v>
      </c>
      <c r="C205" s="1" t="n">
        <v>45918</v>
      </c>
      <c r="D205" t="inlineStr">
        <is>
          <t>VÄSTMANLANDS LÄN</t>
        </is>
      </c>
      <c r="E205" t="inlineStr">
        <is>
          <t>SALA</t>
        </is>
      </c>
      <c r="G205" t="n">
        <v>2.7</v>
      </c>
      <c r="H205" t="n">
        <v>0</v>
      </c>
      <c r="I205" t="n">
        <v>0</v>
      </c>
      <c r="J205" t="n">
        <v>0</v>
      </c>
      <c r="K205" t="n">
        <v>0</v>
      </c>
      <c r="L205" t="n">
        <v>0</v>
      </c>
      <c r="M205" t="n">
        <v>0</v>
      </c>
      <c r="N205" t="n">
        <v>0</v>
      </c>
      <c r="O205" t="n">
        <v>0</v>
      </c>
      <c r="P205" t="n">
        <v>0</v>
      </c>
      <c r="Q205" t="n">
        <v>0</v>
      </c>
      <c r="R205" s="2" t="inlineStr"/>
    </row>
    <row r="206" ht="15" customHeight="1">
      <c r="A206" t="inlineStr">
        <is>
          <t>A 22963-2023</t>
        </is>
      </c>
      <c r="B206" s="1" t="n">
        <v>45072</v>
      </c>
      <c r="C206" s="1" t="n">
        <v>45918</v>
      </c>
      <c r="D206" t="inlineStr">
        <is>
          <t>VÄSTMANLANDS LÄN</t>
        </is>
      </c>
      <c r="E206" t="inlineStr">
        <is>
          <t>SALA</t>
        </is>
      </c>
      <c r="G206" t="n">
        <v>1.2</v>
      </c>
      <c r="H206" t="n">
        <v>0</v>
      </c>
      <c r="I206" t="n">
        <v>0</v>
      </c>
      <c r="J206" t="n">
        <v>0</v>
      </c>
      <c r="K206" t="n">
        <v>0</v>
      </c>
      <c r="L206" t="n">
        <v>0</v>
      </c>
      <c r="M206" t="n">
        <v>0</v>
      </c>
      <c r="N206" t="n">
        <v>0</v>
      </c>
      <c r="O206" t="n">
        <v>0</v>
      </c>
      <c r="P206" t="n">
        <v>0</v>
      </c>
      <c r="Q206" t="n">
        <v>0</v>
      </c>
      <c r="R206" s="2" t="inlineStr"/>
    </row>
    <row r="207" ht="15" customHeight="1">
      <c r="A207" t="inlineStr">
        <is>
          <t>A 63290-2021</t>
        </is>
      </c>
      <c r="B207" s="1" t="n">
        <v>44505</v>
      </c>
      <c r="C207" s="1" t="n">
        <v>45918</v>
      </c>
      <c r="D207" t="inlineStr">
        <is>
          <t>VÄSTMANLANDS LÄN</t>
        </is>
      </c>
      <c r="E207" t="inlineStr">
        <is>
          <t>SALA</t>
        </is>
      </c>
      <c r="G207" t="n">
        <v>0.9</v>
      </c>
      <c r="H207" t="n">
        <v>0</v>
      </c>
      <c r="I207" t="n">
        <v>0</v>
      </c>
      <c r="J207" t="n">
        <v>0</v>
      </c>
      <c r="K207" t="n">
        <v>0</v>
      </c>
      <c r="L207" t="n">
        <v>0</v>
      </c>
      <c r="M207" t="n">
        <v>0</v>
      </c>
      <c r="N207" t="n">
        <v>0</v>
      </c>
      <c r="O207" t="n">
        <v>0</v>
      </c>
      <c r="P207" t="n">
        <v>0</v>
      </c>
      <c r="Q207" t="n">
        <v>0</v>
      </c>
      <c r="R207" s="2" t="inlineStr"/>
    </row>
    <row r="208" ht="15" customHeight="1">
      <c r="A208" t="inlineStr">
        <is>
          <t>A 35462-2024</t>
        </is>
      </c>
      <c r="B208" s="1" t="n">
        <v>45531</v>
      </c>
      <c r="C208" s="1" t="n">
        <v>45918</v>
      </c>
      <c r="D208" t="inlineStr">
        <is>
          <t>VÄSTMANLANDS LÄN</t>
        </is>
      </c>
      <c r="E208" t="inlineStr">
        <is>
          <t>SALA</t>
        </is>
      </c>
      <c r="G208" t="n">
        <v>0.6</v>
      </c>
      <c r="H208" t="n">
        <v>0</v>
      </c>
      <c r="I208" t="n">
        <v>0</v>
      </c>
      <c r="J208" t="n">
        <v>0</v>
      </c>
      <c r="K208" t="n">
        <v>0</v>
      </c>
      <c r="L208" t="n">
        <v>0</v>
      </c>
      <c r="M208" t="n">
        <v>0</v>
      </c>
      <c r="N208" t="n">
        <v>0</v>
      </c>
      <c r="O208" t="n">
        <v>0</v>
      </c>
      <c r="P208" t="n">
        <v>0</v>
      </c>
      <c r="Q208" t="n">
        <v>0</v>
      </c>
      <c r="R208" s="2" t="inlineStr"/>
    </row>
    <row r="209" ht="15" customHeight="1">
      <c r="A209" t="inlineStr">
        <is>
          <t>A 14024-2025</t>
        </is>
      </c>
      <c r="B209" s="1" t="n">
        <v>45740.34650462963</v>
      </c>
      <c r="C209" s="1" t="n">
        <v>45918</v>
      </c>
      <c r="D209" t="inlineStr">
        <is>
          <t>VÄSTMANLANDS LÄN</t>
        </is>
      </c>
      <c r="E209" t="inlineStr">
        <is>
          <t>SALA</t>
        </is>
      </c>
      <c r="G209" t="n">
        <v>1.1</v>
      </c>
      <c r="H209" t="n">
        <v>0</v>
      </c>
      <c r="I209" t="n">
        <v>0</v>
      </c>
      <c r="J209" t="n">
        <v>0</v>
      </c>
      <c r="K209" t="n">
        <v>0</v>
      </c>
      <c r="L209" t="n">
        <v>0</v>
      </c>
      <c r="M209" t="n">
        <v>0</v>
      </c>
      <c r="N209" t="n">
        <v>0</v>
      </c>
      <c r="O209" t="n">
        <v>0</v>
      </c>
      <c r="P209" t="n">
        <v>0</v>
      </c>
      <c r="Q209" t="n">
        <v>0</v>
      </c>
      <c r="R209" s="2" t="inlineStr"/>
    </row>
    <row r="210" ht="15" customHeight="1">
      <c r="A210" t="inlineStr">
        <is>
          <t>A 26692-2023</t>
        </is>
      </c>
      <c r="B210" s="1" t="n">
        <v>45093.360625</v>
      </c>
      <c r="C210" s="1" t="n">
        <v>45918</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15972-2024</t>
        </is>
      </c>
      <c r="B211" s="1" t="n">
        <v>45405.56498842593</v>
      </c>
      <c r="C211" s="1" t="n">
        <v>45918</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54960-2024</t>
        </is>
      </c>
      <c r="B212" s="1" t="n">
        <v>45619.85208333333</v>
      </c>
      <c r="C212" s="1" t="n">
        <v>45918</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37958-2024</t>
        </is>
      </c>
      <c r="B213" s="1" t="n">
        <v>45544</v>
      </c>
      <c r="C213" s="1" t="n">
        <v>45918</v>
      </c>
      <c r="D213" t="inlineStr">
        <is>
          <t>VÄSTMANLANDS LÄN</t>
        </is>
      </c>
      <c r="E213" t="inlineStr">
        <is>
          <t>SALA</t>
        </is>
      </c>
      <c r="G213" t="n">
        <v>5.6</v>
      </c>
      <c r="H213" t="n">
        <v>0</v>
      </c>
      <c r="I213" t="n">
        <v>0</v>
      </c>
      <c r="J213" t="n">
        <v>0</v>
      </c>
      <c r="K213" t="n">
        <v>0</v>
      </c>
      <c r="L213" t="n">
        <v>0</v>
      </c>
      <c r="M213" t="n">
        <v>0</v>
      </c>
      <c r="N213" t="n">
        <v>0</v>
      </c>
      <c r="O213" t="n">
        <v>0</v>
      </c>
      <c r="P213" t="n">
        <v>0</v>
      </c>
      <c r="Q213" t="n">
        <v>0</v>
      </c>
      <c r="R213" s="2" t="inlineStr"/>
    </row>
    <row r="214" ht="15" customHeight="1">
      <c r="A214" t="inlineStr">
        <is>
          <t>A 54910-2023</t>
        </is>
      </c>
      <c r="B214" s="1" t="n">
        <v>45229</v>
      </c>
      <c r="C214" s="1" t="n">
        <v>45918</v>
      </c>
      <c r="D214" t="inlineStr">
        <is>
          <t>VÄSTMANLANDS LÄN</t>
        </is>
      </c>
      <c r="E214" t="inlineStr">
        <is>
          <t>SALA</t>
        </is>
      </c>
      <c r="G214" t="n">
        <v>2.4</v>
      </c>
      <c r="H214" t="n">
        <v>0</v>
      </c>
      <c r="I214" t="n">
        <v>0</v>
      </c>
      <c r="J214" t="n">
        <v>0</v>
      </c>
      <c r="K214" t="n">
        <v>0</v>
      </c>
      <c r="L214" t="n">
        <v>0</v>
      </c>
      <c r="M214" t="n">
        <v>0</v>
      </c>
      <c r="N214" t="n">
        <v>0</v>
      </c>
      <c r="O214" t="n">
        <v>0</v>
      </c>
      <c r="P214" t="n">
        <v>0</v>
      </c>
      <c r="Q214" t="n">
        <v>0</v>
      </c>
      <c r="R214" s="2" t="inlineStr"/>
    </row>
    <row r="215" ht="15" customHeight="1">
      <c r="A215" t="inlineStr">
        <is>
          <t>A 62449-2023</t>
        </is>
      </c>
      <c r="B215" s="1" t="n">
        <v>45268.49008101852</v>
      </c>
      <c r="C215" s="1" t="n">
        <v>45918</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17458-2024</t>
        </is>
      </c>
      <c r="B216" s="1" t="n">
        <v>45415</v>
      </c>
      <c r="C216" s="1" t="n">
        <v>45918</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1555-2024</t>
        </is>
      </c>
      <c r="B217" s="1" t="n">
        <v>45306</v>
      </c>
      <c r="C217" s="1" t="n">
        <v>45918</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27228-2023</t>
        </is>
      </c>
      <c r="B218" s="1" t="n">
        <v>45096.59189814814</v>
      </c>
      <c r="C218" s="1" t="n">
        <v>45918</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26507-2023</t>
        </is>
      </c>
      <c r="B219" s="1" t="n">
        <v>45092</v>
      </c>
      <c r="C219" s="1" t="n">
        <v>45918</v>
      </c>
      <c r="D219" t="inlineStr">
        <is>
          <t>VÄSTMANLANDS LÄN</t>
        </is>
      </c>
      <c r="E219" t="inlineStr">
        <is>
          <t>SALA</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56543-2024</t>
        </is>
      </c>
      <c r="B220" s="1" t="n">
        <v>45625</v>
      </c>
      <c r="C220" s="1" t="n">
        <v>45918</v>
      </c>
      <c r="D220" t="inlineStr">
        <is>
          <t>VÄSTMANLANDS LÄN</t>
        </is>
      </c>
      <c r="E220" t="inlineStr">
        <is>
          <t>SALA</t>
        </is>
      </c>
      <c r="G220" t="n">
        <v>0.7</v>
      </c>
      <c r="H220" t="n">
        <v>0</v>
      </c>
      <c r="I220" t="n">
        <v>0</v>
      </c>
      <c r="J220" t="n">
        <v>0</v>
      </c>
      <c r="K220" t="n">
        <v>0</v>
      </c>
      <c r="L220" t="n">
        <v>0</v>
      </c>
      <c r="M220" t="n">
        <v>0</v>
      </c>
      <c r="N220" t="n">
        <v>0</v>
      </c>
      <c r="O220" t="n">
        <v>0</v>
      </c>
      <c r="P220" t="n">
        <v>0</v>
      </c>
      <c r="Q220" t="n">
        <v>0</v>
      </c>
      <c r="R220" s="2" t="inlineStr"/>
    </row>
    <row r="221" ht="15" customHeight="1">
      <c r="A221" t="inlineStr">
        <is>
          <t>A 31950-2023</t>
        </is>
      </c>
      <c r="B221" s="1" t="n">
        <v>45107</v>
      </c>
      <c r="C221" s="1" t="n">
        <v>45918</v>
      </c>
      <c r="D221" t="inlineStr">
        <is>
          <t>VÄSTMANLANDS LÄN</t>
        </is>
      </c>
      <c r="E221" t="inlineStr">
        <is>
          <t>SALA</t>
        </is>
      </c>
      <c r="G221" t="n">
        <v>1.9</v>
      </c>
      <c r="H221" t="n">
        <v>0</v>
      </c>
      <c r="I221" t="n">
        <v>0</v>
      </c>
      <c r="J221" t="n">
        <v>0</v>
      </c>
      <c r="K221" t="n">
        <v>0</v>
      </c>
      <c r="L221" t="n">
        <v>0</v>
      </c>
      <c r="M221" t="n">
        <v>0</v>
      </c>
      <c r="N221" t="n">
        <v>0</v>
      </c>
      <c r="O221" t="n">
        <v>0</v>
      </c>
      <c r="P221" t="n">
        <v>0</v>
      </c>
      <c r="Q221" t="n">
        <v>0</v>
      </c>
      <c r="R221" s="2" t="inlineStr"/>
    </row>
    <row r="222" ht="15" customHeight="1">
      <c r="A222" t="inlineStr">
        <is>
          <t>A 6183-2025</t>
        </is>
      </c>
      <c r="B222" s="1" t="n">
        <v>45698</v>
      </c>
      <c r="C222" s="1" t="n">
        <v>45918</v>
      </c>
      <c r="D222" t="inlineStr">
        <is>
          <t>VÄSTMANLANDS LÄN</t>
        </is>
      </c>
      <c r="E222" t="inlineStr">
        <is>
          <t>SALA</t>
        </is>
      </c>
      <c r="F222" t="inlineStr">
        <is>
          <t>Bergvik skog öst AB</t>
        </is>
      </c>
      <c r="G222" t="n">
        <v>2.3</v>
      </c>
      <c r="H222" t="n">
        <v>0</v>
      </c>
      <c r="I222" t="n">
        <v>0</v>
      </c>
      <c r="J222" t="n">
        <v>0</v>
      </c>
      <c r="K222" t="n">
        <v>0</v>
      </c>
      <c r="L222" t="n">
        <v>0</v>
      </c>
      <c r="M222" t="n">
        <v>0</v>
      </c>
      <c r="N222" t="n">
        <v>0</v>
      </c>
      <c r="O222" t="n">
        <v>0</v>
      </c>
      <c r="P222" t="n">
        <v>0</v>
      </c>
      <c r="Q222" t="n">
        <v>0</v>
      </c>
      <c r="R222" s="2" t="inlineStr"/>
    </row>
    <row r="223" ht="15" customHeight="1">
      <c r="A223" t="inlineStr">
        <is>
          <t>A 16543-2023</t>
        </is>
      </c>
      <c r="B223" s="1" t="n">
        <v>45029</v>
      </c>
      <c r="C223" s="1" t="n">
        <v>45918</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50801-2020</t>
        </is>
      </c>
      <c r="B224" s="1" t="n">
        <v>44111</v>
      </c>
      <c r="C224" s="1" t="n">
        <v>45918</v>
      </c>
      <c r="D224" t="inlineStr">
        <is>
          <t>VÄSTMANLANDS LÄN</t>
        </is>
      </c>
      <c r="E224" t="inlineStr">
        <is>
          <t>SALA</t>
        </is>
      </c>
      <c r="G224" t="n">
        <v>1.1</v>
      </c>
      <c r="H224" t="n">
        <v>0</v>
      </c>
      <c r="I224" t="n">
        <v>0</v>
      </c>
      <c r="J224" t="n">
        <v>0</v>
      </c>
      <c r="K224" t="n">
        <v>0</v>
      </c>
      <c r="L224" t="n">
        <v>0</v>
      </c>
      <c r="M224" t="n">
        <v>0</v>
      </c>
      <c r="N224" t="n">
        <v>0</v>
      </c>
      <c r="O224" t="n">
        <v>0</v>
      </c>
      <c r="P224" t="n">
        <v>0</v>
      </c>
      <c r="Q224" t="n">
        <v>0</v>
      </c>
      <c r="R224" s="2" t="inlineStr"/>
    </row>
    <row r="225" ht="15" customHeight="1">
      <c r="A225" t="inlineStr">
        <is>
          <t>A 43176-2023</t>
        </is>
      </c>
      <c r="B225" s="1" t="n">
        <v>45183</v>
      </c>
      <c r="C225" s="1" t="n">
        <v>45918</v>
      </c>
      <c r="D225" t="inlineStr">
        <is>
          <t>VÄSTMANLANDS LÄN</t>
        </is>
      </c>
      <c r="E225" t="inlineStr">
        <is>
          <t>SALA</t>
        </is>
      </c>
      <c r="G225" t="n">
        <v>1.2</v>
      </c>
      <c r="H225" t="n">
        <v>0</v>
      </c>
      <c r="I225" t="n">
        <v>0</v>
      </c>
      <c r="J225" t="n">
        <v>0</v>
      </c>
      <c r="K225" t="n">
        <v>0</v>
      </c>
      <c r="L225" t="n">
        <v>0</v>
      </c>
      <c r="M225" t="n">
        <v>0</v>
      </c>
      <c r="N225" t="n">
        <v>0</v>
      </c>
      <c r="O225" t="n">
        <v>0</v>
      </c>
      <c r="P225" t="n">
        <v>0</v>
      </c>
      <c r="Q225" t="n">
        <v>0</v>
      </c>
      <c r="R225" s="2" t="inlineStr"/>
    </row>
    <row r="226" ht="15" customHeight="1">
      <c r="A226" t="inlineStr">
        <is>
          <t>A 37624-2024</t>
        </is>
      </c>
      <c r="B226" s="1" t="n">
        <v>45541</v>
      </c>
      <c r="C226" s="1" t="n">
        <v>45918</v>
      </c>
      <c r="D226" t="inlineStr">
        <is>
          <t>VÄSTMANLANDS LÄN</t>
        </is>
      </c>
      <c r="E226" t="inlineStr">
        <is>
          <t>SALA</t>
        </is>
      </c>
      <c r="G226" t="n">
        <v>0.7</v>
      </c>
      <c r="H226" t="n">
        <v>0</v>
      </c>
      <c r="I226" t="n">
        <v>0</v>
      </c>
      <c r="J226" t="n">
        <v>0</v>
      </c>
      <c r="K226" t="n">
        <v>0</v>
      </c>
      <c r="L226" t="n">
        <v>0</v>
      </c>
      <c r="M226" t="n">
        <v>0</v>
      </c>
      <c r="N226" t="n">
        <v>0</v>
      </c>
      <c r="O226" t="n">
        <v>0</v>
      </c>
      <c r="P226" t="n">
        <v>0</v>
      </c>
      <c r="Q226" t="n">
        <v>0</v>
      </c>
      <c r="R226" s="2" t="inlineStr"/>
    </row>
    <row r="227" ht="15" customHeight="1">
      <c r="A227" t="inlineStr">
        <is>
          <t>A 57895-2024</t>
        </is>
      </c>
      <c r="B227" s="1" t="n">
        <v>45631</v>
      </c>
      <c r="C227" s="1" t="n">
        <v>45918</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47086-2022</t>
        </is>
      </c>
      <c r="B228" s="1" t="n">
        <v>44852</v>
      </c>
      <c r="C228" s="1" t="n">
        <v>45918</v>
      </c>
      <c r="D228" t="inlineStr">
        <is>
          <t>VÄSTMANLANDS LÄN</t>
        </is>
      </c>
      <c r="E228" t="inlineStr">
        <is>
          <t>SALA</t>
        </is>
      </c>
      <c r="G228" t="n">
        <v>12.5</v>
      </c>
      <c r="H228" t="n">
        <v>0</v>
      </c>
      <c r="I228" t="n">
        <v>0</v>
      </c>
      <c r="J228" t="n">
        <v>0</v>
      </c>
      <c r="K228" t="n">
        <v>0</v>
      </c>
      <c r="L228" t="n">
        <v>0</v>
      </c>
      <c r="M228" t="n">
        <v>0</v>
      </c>
      <c r="N228" t="n">
        <v>0</v>
      </c>
      <c r="O228" t="n">
        <v>0</v>
      </c>
      <c r="P228" t="n">
        <v>0</v>
      </c>
      <c r="Q228" t="n">
        <v>0</v>
      </c>
      <c r="R228" s="2" t="inlineStr"/>
    </row>
    <row r="229" ht="15" customHeight="1">
      <c r="A229" t="inlineStr">
        <is>
          <t>A 14010-2021</t>
        </is>
      </c>
      <c r="B229" s="1" t="n">
        <v>44277.63396990741</v>
      </c>
      <c r="C229" s="1" t="n">
        <v>45918</v>
      </c>
      <c r="D229" t="inlineStr">
        <is>
          <t>VÄSTMANLANDS LÄN</t>
        </is>
      </c>
      <c r="E229" t="inlineStr">
        <is>
          <t>SALA</t>
        </is>
      </c>
      <c r="G229" t="n">
        <v>3.5</v>
      </c>
      <c r="H229" t="n">
        <v>0</v>
      </c>
      <c r="I229" t="n">
        <v>0</v>
      </c>
      <c r="J229" t="n">
        <v>0</v>
      </c>
      <c r="K229" t="n">
        <v>0</v>
      </c>
      <c r="L229" t="n">
        <v>0</v>
      </c>
      <c r="M229" t="n">
        <v>0</v>
      </c>
      <c r="N229" t="n">
        <v>0</v>
      </c>
      <c r="O229" t="n">
        <v>0</v>
      </c>
      <c r="P229" t="n">
        <v>0</v>
      </c>
      <c r="Q229" t="n">
        <v>0</v>
      </c>
      <c r="R229" s="2" t="inlineStr"/>
    </row>
    <row r="230" ht="15" customHeight="1">
      <c r="A230" t="inlineStr">
        <is>
          <t>A 54768-2024</t>
        </is>
      </c>
      <c r="B230" s="1" t="n">
        <v>45618</v>
      </c>
      <c r="C230" s="1" t="n">
        <v>45918</v>
      </c>
      <c r="D230" t="inlineStr">
        <is>
          <t>VÄSTMANLANDS LÄN</t>
        </is>
      </c>
      <c r="E230" t="inlineStr">
        <is>
          <t>SALA</t>
        </is>
      </c>
      <c r="G230" t="n">
        <v>2.4</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45918</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16767-2024</t>
        </is>
      </c>
      <c r="B232" s="1" t="n">
        <v>45411.38171296296</v>
      </c>
      <c r="C232" s="1" t="n">
        <v>45918</v>
      </c>
      <c r="D232" t="inlineStr">
        <is>
          <t>VÄSTMANLANDS LÄN</t>
        </is>
      </c>
      <c r="E232" t="inlineStr">
        <is>
          <t>SALA</t>
        </is>
      </c>
      <c r="G232" t="n">
        <v>2.5</v>
      </c>
      <c r="H232" t="n">
        <v>0</v>
      </c>
      <c r="I232" t="n">
        <v>0</v>
      </c>
      <c r="J232" t="n">
        <v>0</v>
      </c>
      <c r="K232" t="n">
        <v>0</v>
      </c>
      <c r="L232" t="n">
        <v>0</v>
      </c>
      <c r="M232" t="n">
        <v>0</v>
      </c>
      <c r="N232" t="n">
        <v>0</v>
      </c>
      <c r="O232" t="n">
        <v>0</v>
      </c>
      <c r="P232" t="n">
        <v>0</v>
      </c>
      <c r="Q232" t="n">
        <v>0</v>
      </c>
      <c r="R232" s="2" t="inlineStr"/>
    </row>
    <row r="233" ht="15" customHeight="1">
      <c r="A233" t="inlineStr">
        <is>
          <t>A 52498-2022</t>
        </is>
      </c>
      <c r="B233" s="1" t="n">
        <v>44874.50152777778</v>
      </c>
      <c r="C233" s="1" t="n">
        <v>45918</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6097-2022</t>
        </is>
      </c>
      <c r="B234" s="1" t="n">
        <v>44599</v>
      </c>
      <c r="C234" s="1" t="n">
        <v>45918</v>
      </c>
      <c r="D234" t="inlineStr">
        <is>
          <t>VÄSTMANLANDS LÄN</t>
        </is>
      </c>
      <c r="E234" t="inlineStr">
        <is>
          <t>SALA</t>
        </is>
      </c>
      <c r="G234" t="n">
        <v>0.6</v>
      </c>
      <c r="H234" t="n">
        <v>0</v>
      </c>
      <c r="I234" t="n">
        <v>0</v>
      </c>
      <c r="J234" t="n">
        <v>0</v>
      </c>
      <c r="K234" t="n">
        <v>0</v>
      </c>
      <c r="L234" t="n">
        <v>0</v>
      </c>
      <c r="M234" t="n">
        <v>0</v>
      </c>
      <c r="N234" t="n">
        <v>0</v>
      </c>
      <c r="O234" t="n">
        <v>0</v>
      </c>
      <c r="P234" t="n">
        <v>0</v>
      </c>
      <c r="Q234" t="n">
        <v>0</v>
      </c>
      <c r="R234" s="2" t="inlineStr"/>
    </row>
    <row r="235" ht="15" customHeight="1">
      <c r="A235" t="inlineStr">
        <is>
          <t>A 15756-2025</t>
        </is>
      </c>
      <c r="B235" s="1" t="n">
        <v>45748.56810185185</v>
      </c>
      <c r="C235" s="1" t="n">
        <v>45918</v>
      </c>
      <c r="D235" t="inlineStr">
        <is>
          <t>VÄSTMANLANDS LÄN</t>
        </is>
      </c>
      <c r="E235" t="inlineStr">
        <is>
          <t>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56687-2024</t>
        </is>
      </c>
      <c r="B236" s="1" t="n">
        <v>45627.63271990741</v>
      </c>
      <c r="C236" s="1" t="n">
        <v>45918</v>
      </c>
      <c r="D236" t="inlineStr">
        <is>
          <t>VÄSTMANLANDS LÄN</t>
        </is>
      </c>
      <c r="E236" t="inlineStr">
        <is>
          <t>SALA</t>
        </is>
      </c>
      <c r="G236" t="n">
        <v>1.2</v>
      </c>
      <c r="H236" t="n">
        <v>0</v>
      </c>
      <c r="I236" t="n">
        <v>0</v>
      </c>
      <c r="J236" t="n">
        <v>0</v>
      </c>
      <c r="K236" t="n">
        <v>0</v>
      </c>
      <c r="L236" t="n">
        <v>0</v>
      </c>
      <c r="M236" t="n">
        <v>0</v>
      </c>
      <c r="N236" t="n">
        <v>0</v>
      </c>
      <c r="O236" t="n">
        <v>0</v>
      </c>
      <c r="P236" t="n">
        <v>0</v>
      </c>
      <c r="Q236" t="n">
        <v>0</v>
      </c>
      <c r="R236" s="2" t="inlineStr"/>
    </row>
    <row r="237" ht="15" customHeight="1">
      <c r="A237" t="inlineStr">
        <is>
          <t>A 54347-2024</t>
        </is>
      </c>
      <c r="B237" s="1" t="n">
        <v>45617.39325231482</v>
      </c>
      <c r="C237" s="1" t="n">
        <v>45918</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31000-2022</t>
        </is>
      </c>
      <c r="B238" s="1" t="n">
        <v>44768</v>
      </c>
      <c r="C238" s="1" t="n">
        <v>45918</v>
      </c>
      <c r="D238" t="inlineStr">
        <is>
          <t>VÄSTMANLANDS LÄN</t>
        </is>
      </c>
      <c r="E238" t="inlineStr">
        <is>
          <t>SALA</t>
        </is>
      </c>
      <c r="G238" t="n">
        <v>5.7</v>
      </c>
      <c r="H238" t="n">
        <v>0</v>
      </c>
      <c r="I238" t="n">
        <v>0</v>
      </c>
      <c r="J238" t="n">
        <v>0</v>
      </c>
      <c r="K238" t="n">
        <v>0</v>
      </c>
      <c r="L238" t="n">
        <v>0</v>
      </c>
      <c r="M238" t="n">
        <v>0</v>
      </c>
      <c r="N238" t="n">
        <v>0</v>
      </c>
      <c r="O238" t="n">
        <v>0</v>
      </c>
      <c r="P238" t="n">
        <v>0</v>
      </c>
      <c r="Q238" t="n">
        <v>0</v>
      </c>
      <c r="R238" s="2" t="inlineStr"/>
    </row>
    <row r="239" ht="15" customHeight="1">
      <c r="A239" t="inlineStr">
        <is>
          <t>A 64693-2023</t>
        </is>
      </c>
      <c r="B239" s="1" t="n">
        <v>45281.63850694444</v>
      </c>
      <c r="C239" s="1" t="n">
        <v>45918</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64695-2023</t>
        </is>
      </c>
      <c r="B240" s="1" t="n">
        <v>45281.64099537037</v>
      </c>
      <c r="C240" s="1" t="n">
        <v>45918</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37183-2024</t>
        </is>
      </c>
      <c r="B241" s="1" t="n">
        <v>45539</v>
      </c>
      <c r="C241" s="1" t="n">
        <v>45918</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27486-2022</t>
        </is>
      </c>
      <c r="B242" s="1" t="n">
        <v>44742.60846064815</v>
      </c>
      <c r="C242" s="1" t="n">
        <v>45918</v>
      </c>
      <c r="D242" t="inlineStr">
        <is>
          <t>VÄSTMANLANDS LÄN</t>
        </is>
      </c>
      <c r="E242" t="inlineStr">
        <is>
          <t>SALA</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11927-2025</t>
        </is>
      </c>
      <c r="B243" s="1" t="n">
        <v>45728.5137962963</v>
      </c>
      <c r="C243" s="1" t="n">
        <v>45918</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27229-2022</t>
        </is>
      </c>
      <c r="B244" s="1" t="n">
        <v>44741</v>
      </c>
      <c r="C244" s="1" t="n">
        <v>45918</v>
      </c>
      <c r="D244" t="inlineStr">
        <is>
          <t>VÄSTMANLANDS LÄN</t>
        </is>
      </c>
      <c r="E244" t="inlineStr">
        <is>
          <t>SALA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35003-2024</t>
        </is>
      </c>
      <c r="B245" s="1" t="n">
        <v>45527.56790509259</v>
      </c>
      <c r="C245" s="1" t="n">
        <v>45918</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48688-2024</t>
        </is>
      </c>
      <c r="B246" s="1" t="n">
        <v>45593.50541666667</v>
      </c>
      <c r="C246" s="1" t="n">
        <v>45918</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1793-2023</t>
        </is>
      </c>
      <c r="B247" s="1" t="n">
        <v>44937</v>
      </c>
      <c r="C247" s="1" t="n">
        <v>45918</v>
      </c>
      <c r="D247" t="inlineStr">
        <is>
          <t>VÄSTMANLANDS LÄN</t>
        </is>
      </c>
      <c r="E247" t="inlineStr">
        <is>
          <t>SALA</t>
        </is>
      </c>
      <c r="G247" t="n">
        <v>2.6</v>
      </c>
      <c r="H247" t="n">
        <v>0</v>
      </c>
      <c r="I247" t="n">
        <v>0</v>
      </c>
      <c r="J247" t="n">
        <v>0</v>
      </c>
      <c r="K247" t="n">
        <v>0</v>
      </c>
      <c r="L247" t="n">
        <v>0</v>
      </c>
      <c r="M247" t="n">
        <v>0</v>
      </c>
      <c r="N247" t="n">
        <v>0</v>
      </c>
      <c r="O247" t="n">
        <v>0</v>
      </c>
      <c r="P247" t="n">
        <v>0</v>
      </c>
      <c r="Q247" t="n">
        <v>0</v>
      </c>
      <c r="R247" s="2" t="inlineStr"/>
    </row>
    <row r="248" ht="15" customHeight="1">
      <c r="A248" t="inlineStr">
        <is>
          <t>A 50876-2023</t>
        </is>
      </c>
      <c r="B248" s="1" t="n">
        <v>45211</v>
      </c>
      <c r="C248" s="1" t="n">
        <v>45918</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29248-2022</t>
        </is>
      </c>
      <c r="B249" s="1" t="n">
        <v>44750</v>
      </c>
      <c r="C249" s="1" t="n">
        <v>45918</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15354-2021</t>
        </is>
      </c>
      <c r="B250" s="1" t="n">
        <v>44284</v>
      </c>
      <c r="C250" s="1" t="n">
        <v>45918</v>
      </c>
      <c r="D250" t="inlineStr">
        <is>
          <t>VÄSTMANLANDS LÄN</t>
        </is>
      </c>
      <c r="E250" t="inlineStr">
        <is>
          <t>SALA</t>
        </is>
      </c>
      <c r="F250" t="inlineStr">
        <is>
          <t>Kyrkan</t>
        </is>
      </c>
      <c r="G250" t="n">
        <v>8.5</v>
      </c>
      <c r="H250" t="n">
        <v>0</v>
      </c>
      <c r="I250" t="n">
        <v>0</v>
      </c>
      <c r="J250" t="n">
        <v>0</v>
      </c>
      <c r="K250" t="n">
        <v>0</v>
      </c>
      <c r="L250" t="n">
        <v>0</v>
      </c>
      <c r="M250" t="n">
        <v>0</v>
      </c>
      <c r="N250" t="n">
        <v>0</v>
      </c>
      <c r="O250" t="n">
        <v>0</v>
      </c>
      <c r="P250" t="n">
        <v>0</v>
      </c>
      <c r="Q250" t="n">
        <v>0</v>
      </c>
      <c r="R250" s="2" t="inlineStr"/>
    </row>
    <row r="251" ht="15" customHeight="1">
      <c r="A251" t="inlineStr">
        <is>
          <t>A 10255-2024</t>
        </is>
      </c>
      <c r="B251" s="1" t="n">
        <v>45365</v>
      </c>
      <c r="C251" s="1" t="n">
        <v>45918</v>
      </c>
      <c r="D251" t="inlineStr">
        <is>
          <t>VÄSTMANLANDS LÄN</t>
        </is>
      </c>
      <c r="E251" t="inlineStr">
        <is>
          <t>SALA</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63933-2023</t>
        </is>
      </c>
      <c r="B252" s="1" t="n">
        <v>45278</v>
      </c>
      <c r="C252" s="1" t="n">
        <v>45918</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62648-2022</t>
        </is>
      </c>
      <c r="B253" s="1" t="n">
        <v>44917</v>
      </c>
      <c r="C253" s="1" t="n">
        <v>45918</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44746-2024</t>
        </is>
      </c>
      <c r="B254" s="1" t="n">
        <v>45574.59813657407</v>
      </c>
      <c r="C254" s="1" t="n">
        <v>45918</v>
      </c>
      <c r="D254" t="inlineStr">
        <is>
          <t>VÄSTMANLANDS LÄN</t>
        </is>
      </c>
      <c r="E254" t="inlineStr">
        <is>
          <t>SALA</t>
        </is>
      </c>
      <c r="G254" t="n">
        <v>6.7</v>
      </c>
      <c r="H254" t="n">
        <v>0</v>
      </c>
      <c r="I254" t="n">
        <v>0</v>
      </c>
      <c r="J254" t="n">
        <v>0</v>
      </c>
      <c r="K254" t="n">
        <v>0</v>
      </c>
      <c r="L254" t="n">
        <v>0</v>
      </c>
      <c r="M254" t="n">
        <v>0</v>
      </c>
      <c r="N254" t="n">
        <v>0</v>
      </c>
      <c r="O254" t="n">
        <v>0</v>
      </c>
      <c r="P254" t="n">
        <v>0</v>
      </c>
      <c r="Q254" t="n">
        <v>0</v>
      </c>
      <c r="R254" s="2" t="inlineStr"/>
    </row>
    <row r="255" ht="15" customHeight="1">
      <c r="A255" t="inlineStr">
        <is>
          <t>A 33273-2023</t>
        </is>
      </c>
      <c r="B255" s="1" t="n">
        <v>45127</v>
      </c>
      <c r="C255" s="1" t="n">
        <v>45918</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11696-2025</t>
        </is>
      </c>
      <c r="B256" s="1" t="n">
        <v>45727</v>
      </c>
      <c r="C256" s="1" t="n">
        <v>45918</v>
      </c>
      <c r="D256" t="inlineStr">
        <is>
          <t>VÄSTMANLANDS LÄN</t>
        </is>
      </c>
      <c r="E256" t="inlineStr">
        <is>
          <t>SALA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22397-2022</t>
        </is>
      </c>
      <c r="B257" s="1" t="n">
        <v>44713</v>
      </c>
      <c r="C257" s="1" t="n">
        <v>45918</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28863-2022</t>
        </is>
      </c>
      <c r="B258" s="1" t="n">
        <v>44749.50649305555</v>
      </c>
      <c r="C258" s="1" t="n">
        <v>45918</v>
      </c>
      <c r="D258" t="inlineStr">
        <is>
          <t>VÄSTMANLANDS LÄN</t>
        </is>
      </c>
      <c r="E258" t="inlineStr">
        <is>
          <t>SALA</t>
        </is>
      </c>
      <c r="G258" t="n">
        <v>1.6</v>
      </c>
      <c r="H258" t="n">
        <v>0</v>
      </c>
      <c r="I258" t="n">
        <v>0</v>
      </c>
      <c r="J258" t="n">
        <v>0</v>
      </c>
      <c r="K258" t="n">
        <v>0</v>
      </c>
      <c r="L258" t="n">
        <v>0</v>
      </c>
      <c r="M258" t="n">
        <v>0</v>
      </c>
      <c r="N258" t="n">
        <v>0</v>
      </c>
      <c r="O258" t="n">
        <v>0</v>
      </c>
      <c r="P258" t="n">
        <v>0</v>
      </c>
      <c r="Q258" t="n">
        <v>0</v>
      </c>
      <c r="R258" s="2" t="inlineStr"/>
    </row>
    <row r="259" ht="15" customHeight="1">
      <c r="A259" t="inlineStr">
        <is>
          <t>A 56548-2024</t>
        </is>
      </c>
      <c r="B259" s="1" t="n">
        <v>45625</v>
      </c>
      <c r="C259" s="1" t="n">
        <v>45918</v>
      </c>
      <c r="D259" t="inlineStr">
        <is>
          <t>VÄSTMANLANDS LÄN</t>
        </is>
      </c>
      <c r="E259" t="inlineStr">
        <is>
          <t>SALA</t>
        </is>
      </c>
      <c r="G259" t="n">
        <v>0.7</v>
      </c>
      <c r="H259" t="n">
        <v>0</v>
      </c>
      <c r="I259" t="n">
        <v>0</v>
      </c>
      <c r="J259" t="n">
        <v>0</v>
      </c>
      <c r="K259" t="n">
        <v>0</v>
      </c>
      <c r="L259" t="n">
        <v>0</v>
      </c>
      <c r="M259" t="n">
        <v>0</v>
      </c>
      <c r="N259" t="n">
        <v>0</v>
      </c>
      <c r="O259" t="n">
        <v>0</v>
      </c>
      <c r="P259" t="n">
        <v>0</v>
      </c>
      <c r="Q259" t="n">
        <v>0</v>
      </c>
      <c r="R259" s="2" t="inlineStr"/>
    </row>
    <row r="260" ht="15" customHeight="1">
      <c r="A260" t="inlineStr">
        <is>
          <t>A 47208-2020</t>
        </is>
      </c>
      <c r="B260" s="1" t="n">
        <v>44097.41038194444</v>
      </c>
      <c r="C260" s="1" t="n">
        <v>45918</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5477-2024</t>
        </is>
      </c>
      <c r="B261" s="1" t="n">
        <v>45333.67833333334</v>
      </c>
      <c r="C261" s="1" t="n">
        <v>45918</v>
      </c>
      <c r="D261" t="inlineStr">
        <is>
          <t>VÄSTMANLANDS LÄN</t>
        </is>
      </c>
      <c r="E261" t="inlineStr">
        <is>
          <t>SALA</t>
        </is>
      </c>
      <c r="G261" t="n">
        <v>2.3</v>
      </c>
      <c r="H261" t="n">
        <v>0</v>
      </c>
      <c r="I261" t="n">
        <v>0</v>
      </c>
      <c r="J261" t="n">
        <v>0</v>
      </c>
      <c r="K261" t="n">
        <v>0</v>
      </c>
      <c r="L261" t="n">
        <v>0</v>
      </c>
      <c r="M261" t="n">
        <v>0</v>
      </c>
      <c r="N261" t="n">
        <v>0</v>
      </c>
      <c r="O261" t="n">
        <v>0</v>
      </c>
      <c r="P261" t="n">
        <v>0</v>
      </c>
      <c r="Q261" t="n">
        <v>0</v>
      </c>
      <c r="R261" s="2" t="inlineStr"/>
    </row>
    <row r="262" ht="15" customHeight="1">
      <c r="A262" t="inlineStr">
        <is>
          <t>A 39451-2022</t>
        </is>
      </c>
      <c r="B262" s="1" t="n">
        <v>44818.36606481481</v>
      </c>
      <c r="C262" s="1" t="n">
        <v>45918</v>
      </c>
      <c r="D262" t="inlineStr">
        <is>
          <t>VÄSTMANLANDS LÄN</t>
        </is>
      </c>
      <c r="E262" t="inlineStr">
        <is>
          <t>SALA</t>
        </is>
      </c>
      <c r="G262" t="n">
        <v>9.4</v>
      </c>
      <c r="H262" t="n">
        <v>0</v>
      </c>
      <c r="I262" t="n">
        <v>0</v>
      </c>
      <c r="J262" t="n">
        <v>0</v>
      </c>
      <c r="K262" t="n">
        <v>0</v>
      </c>
      <c r="L262" t="n">
        <v>0</v>
      </c>
      <c r="M262" t="n">
        <v>0</v>
      </c>
      <c r="N262" t="n">
        <v>0</v>
      </c>
      <c r="O262" t="n">
        <v>0</v>
      </c>
      <c r="P262" t="n">
        <v>0</v>
      </c>
      <c r="Q262" t="n">
        <v>0</v>
      </c>
      <c r="R262" s="2" t="inlineStr"/>
    </row>
    <row r="263" ht="15" customHeight="1">
      <c r="A263" t="inlineStr">
        <is>
          <t>A 7681-2021</t>
        </is>
      </c>
      <c r="B263" s="1" t="n">
        <v>44242</v>
      </c>
      <c r="C263" s="1" t="n">
        <v>45918</v>
      </c>
      <c r="D263" t="inlineStr">
        <is>
          <t>VÄSTMANLANDS LÄN</t>
        </is>
      </c>
      <c r="E263" t="inlineStr">
        <is>
          <t>SALA</t>
        </is>
      </c>
      <c r="F263" t="inlineStr">
        <is>
          <t>Sveaskog</t>
        </is>
      </c>
      <c r="G263" t="n">
        <v>16.1</v>
      </c>
      <c r="H263" t="n">
        <v>0</v>
      </c>
      <c r="I263" t="n">
        <v>0</v>
      </c>
      <c r="J263" t="n">
        <v>0</v>
      </c>
      <c r="K263" t="n">
        <v>0</v>
      </c>
      <c r="L263" t="n">
        <v>0</v>
      </c>
      <c r="M263" t="n">
        <v>0</v>
      </c>
      <c r="N263" t="n">
        <v>0</v>
      </c>
      <c r="O263" t="n">
        <v>0</v>
      </c>
      <c r="P263" t="n">
        <v>0</v>
      </c>
      <c r="Q263" t="n">
        <v>0</v>
      </c>
      <c r="R263" s="2" t="inlineStr"/>
    </row>
    <row r="264" ht="15" customHeight="1">
      <c r="A264" t="inlineStr">
        <is>
          <t>A 14919-2025</t>
        </is>
      </c>
      <c r="B264" s="1" t="n">
        <v>45743.54256944444</v>
      </c>
      <c r="C264" s="1" t="n">
        <v>45918</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14920-2025</t>
        </is>
      </c>
      <c r="B265" s="1" t="n">
        <v>45743</v>
      </c>
      <c r="C265" s="1" t="n">
        <v>45918</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40398-2021</t>
        </is>
      </c>
      <c r="B266" s="1" t="n">
        <v>44419</v>
      </c>
      <c r="C266" s="1" t="n">
        <v>45918</v>
      </c>
      <c r="D266" t="inlineStr">
        <is>
          <t>VÄSTMANLANDS LÄN</t>
        </is>
      </c>
      <c r="E266" t="inlineStr">
        <is>
          <t>SALA</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56098-2020</t>
        </is>
      </c>
      <c r="B267" s="1" t="n">
        <v>44132</v>
      </c>
      <c r="C267" s="1" t="n">
        <v>45918</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43362-2023</t>
        </is>
      </c>
      <c r="B268" s="1" t="n">
        <v>45183</v>
      </c>
      <c r="C268" s="1" t="n">
        <v>45918</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2900-2023</t>
        </is>
      </c>
      <c r="B269" s="1" t="n">
        <v>44943</v>
      </c>
      <c r="C269" s="1" t="n">
        <v>45918</v>
      </c>
      <c r="D269" t="inlineStr">
        <is>
          <t>VÄSTMANLANDS LÄN</t>
        </is>
      </c>
      <c r="E269" t="inlineStr">
        <is>
          <t>SALA</t>
        </is>
      </c>
      <c r="G269" t="n">
        <v>0.5</v>
      </c>
      <c r="H269" t="n">
        <v>0</v>
      </c>
      <c r="I269" t="n">
        <v>0</v>
      </c>
      <c r="J269" t="n">
        <v>0</v>
      </c>
      <c r="K269" t="n">
        <v>0</v>
      </c>
      <c r="L269" t="n">
        <v>0</v>
      </c>
      <c r="M269" t="n">
        <v>0</v>
      </c>
      <c r="N269" t="n">
        <v>0</v>
      </c>
      <c r="O269" t="n">
        <v>0</v>
      </c>
      <c r="P269" t="n">
        <v>0</v>
      </c>
      <c r="Q269" t="n">
        <v>0</v>
      </c>
      <c r="R269" s="2" t="inlineStr"/>
    </row>
    <row r="270" ht="15" customHeight="1">
      <c r="A270" t="inlineStr">
        <is>
          <t>A 60545-2024</t>
        </is>
      </c>
      <c r="B270" s="1" t="n">
        <v>45643</v>
      </c>
      <c r="C270" s="1" t="n">
        <v>45918</v>
      </c>
      <c r="D270" t="inlineStr">
        <is>
          <t>VÄSTMANLANDS LÄN</t>
        </is>
      </c>
      <c r="E270" t="inlineStr">
        <is>
          <t>SALA</t>
        </is>
      </c>
      <c r="G270" t="n">
        <v>3.3</v>
      </c>
      <c r="H270" t="n">
        <v>0</v>
      </c>
      <c r="I270" t="n">
        <v>0</v>
      </c>
      <c r="J270" t="n">
        <v>0</v>
      </c>
      <c r="K270" t="n">
        <v>0</v>
      </c>
      <c r="L270" t="n">
        <v>0</v>
      </c>
      <c r="M270" t="n">
        <v>0</v>
      </c>
      <c r="N270" t="n">
        <v>0</v>
      </c>
      <c r="O270" t="n">
        <v>0</v>
      </c>
      <c r="P270" t="n">
        <v>0</v>
      </c>
      <c r="Q270" t="n">
        <v>0</v>
      </c>
      <c r="R270" s="2" t="inlineStr"/>
    </row>
    <row r="271" ht="15" customHeight="1">
      <c r="A271" t="inlineStr">
        <is>
          <t>A 60547-2024</t>
        </is>
      </c>
      <c r="B271" s="1" t="n">
        <v>45643</v>
      </c>
      <c r="C271" s="1" t="n">
        <v>45918</v>
      </c>
      <c r="D271" t="inlineStr">
        <is>
          <t>VÄSTMANLANDS LÄN</t>
        </is>
      </c>
      <c r="E271" t="inlineStr">
        <is>
          <t>SALA</t>
        </is>
      </c>
      <c r="G271" t="n">
        <v>0.6</v>
      </c>
      <c r="H271" t="n">
        <v>0</v>
      </c>
      <c r="I271" t="n">
        <v>0</v>
      </c>
      <c r="J271" t="n">
        <v>0</v>
      </c>
      <c r="K271" t="n">
        <v>0</v>
      </c>
      <c r="L271" t="n">
        <v>0</v>
      </c>
      <c r="M271" t="n">
        <v>0</v>
      </c>
      <c r="N271" t="n">
        <v>0</v>
      </c>
      <c r="O271" t="n">
        <v>0</v>
      </c>
      <c r="P271" t="n">
        <v>0</v>
      </c>
      <c r="Q271" t="n">
        <v>0</v>
      </c>
      <c r="R271" s="2" t="inlineStr"/>
    </row>
    <row r="272" ht="15" customHeight="1">
      <c r="A272" t="inlineStr">
        <is>
          <t>A 6030-2024</t>
        </is>
      </c>
      <c r="B272" s="1" t="n">
        <v>45336.62782407407</v>
      </c>
      <c r="C272" s="1" t="n">
        <v>45918</v>
      </c>
      <c r="D272" t="inlineStr">
        <is>
          <t>VÄSTMANLANDS LÄN</t>
        </is>
      </c>
      <c r="E272" t="inlineStr">
        <is>
          <t>SALA</t>
        </is>
      </c>
      <c r="G272" t="n">
        <v>3.9</v>
      </c>
      <c r="H272" t="n">
        <v>0</v>
      </c>
      <c r="I272" t="n">
        <v>0</v>
      </c>
      <c r="J272" t="n">
        <v>0</v>
      </c>
      <c r="K272" t="n">
        <v>0</v>
      </c>
      <c r="L272" t="n">
        <v>0</v>
      </c>
      <c r="M272" t="n">
        <v>0</v>
      </c>
      <c r="N272" t="n">
        <v>0</v>
      </c>
      <c r="O272" t="n">
        <v>0</v>
      </c>
      <c r="P272" t="n">
        <v>0</v>
      </c>
      <c r="Q272" t="n">
        <v>0</v>
      </c>
      <c r="R272" s="2" t="inlineStr"/>
    </row>
    <row r="273" ht="15" customHeight="1">
      <c r="A273" t="inlineStr">
        <is>
          <t>A 52630-2022</t>
        </is>
      </c>
      <c r="B273" s="1" t="n">
        <v>44874</v>
      </c>
      <c r="C273" s="1" t="n">
        <v>45918</v>
      </c>
      <c r="D273" t="inlineStr">
        <is>
          <t>VÄSTMANLANDS LÄN</t>
        </is>
      </c>
      <c r="E273" t="inlineStr">
        <is>
          <t>SALA</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1985-2022</t>
        </is>
      </c>
      <c r="B274" s="1" t="n">
        <v>44575</v>
      </c>
      <c r="C274" s="1" t="n">
        <v>45918</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7772-2023</t>
        </is>
      </c>
      <c r="B275" s="1" t="n">
        <v>44973.40076388889</v>
      </c>
      <c r="C275" s="1" t="n">
        <v>45918</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14690-2025</t>
        </is>
      </c>
      <c r="B276" s="1" t="n">
        <v>45742.58212962963</v>
      </c>
      <c r="C276" s="1" t="n">
        <v>45918</v>
      </c>
      <c r="D276" t="inlineStr">
        <is>
          <t>VÄSTMANLANDS LÄN</t>
        </is>
      </c>
      <c r="E276" t="inlineStr">
        <is>
          <t>SALA</t>
        </is>
      </c>
      <c r="G276" t="n">
        <v>3.4</v>
      </c>
      <c r="H276" t="n">
        <v>0</v>
      </c>
      <c r="I276" t="n">
        <v>0</v>
      </c>
      <c r="J276" t="n">
        <v>0</v>
      </c>
      <c r="K276" t="n">
        <v>0</v>
      </c>
      <c r="L276" t="n">
        <v>0</v>
      </c>
      <c r="M276" t="n">
        <v>0</v>
      </c>
      <c r="N276" t="n">
        <v>0</v>
      </c>
      <c r="O276" t="n">
        <v>0</v>
      </c>
      <c r="P276" t="n">
        <v>0</v>
      </c>
      <c r="Q276" t="n">
        <v>0</v>
      </c>
      <c r="R276" s="2" t="inlineStr"/>
    </row>
    <row r="277" ht="15" customHeight="1">
      <c r="A277" t="inlineStr">
        <is>
          <t>A 27261-2024</t>
        </is>
      </c>
      <c r="B277" s="1" t="n">
        <v>45471</v>
      </c>
      <c r="C277" s="1" t="n">
        <v>45918</v>
      </c>
      <c r="D277" t="inlineStr">
        <is>
          <t>VÄSTMANLANDS LÄN</t>
        </is>
      </c>
      <c r="E277" t="inlineStr">
        <is>
          <t>SALA</t>
        </is>
      </c>
      <c r="G277" t="n">
        <v>6.1</v>
      </c>
      <c r="H277" t="n">
        <v>0</v>
      </c>
      <c r="I277" t="n">
        <v>0</v>
      </c>
      <c r="J277" t="n">
        <v>0</v>
      </c>
      <c r="K277" t="n">
        <v>0</v>
      </c>
      <c r="L277" t="n">
        <v>0</v>
      </c>
      <c r="M277" t="n">
        <v>0</v>
      </c>
      <c r="N277" t="n">
        <v>0</v>
      </c>
      <c r="O277" t="n">
        <v>0</v>
      </c>
      <c r="P277" t="n">
        <v>0</v>
      </c>
      <c r="Q277" t="n">
        <v>0</v>
      </c>
      <c r="R277" s="2" t="inlineStr"/>
    </row>
    <row r="278" ht="15" customHeight="1">
      <c r="A278" t="inlineStr">
        <is>
          <t>A 73519-2021</t>
        </is>
      </c>
      <c r="B278" s="1" t="n">
        <v>44551</v>
      </c>
      <c r="C278" s="1" t="n">
        <v>45918</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2521-2025</t>
        </is>
      </c>
      <c r="B279" s="1" t="n">
        <v>45674</v>
      </c>
      <c r="C279" s="1" t="n">
        <v>45918</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39364-2024</t>
        </is>
      </c>
      <c r="B280" s="1" t="n">
        <v>45551.46748842593</v>
      </c>
      <c r="C280" s="1" t="n">
        <v>45918</v>
      </c>
      <c r="D280" t="inlineStr">
        <is>
          <t>VÄSTMANLANDS LÄN</t>
        </is>
      </c>
      <c r="E280" t="inlineStr">
        <is>
          <t>SALA</t>
        </is>
      </c>
      <c r="G280" t="n">
        <v>2.8</v>
      </c>
      <c r="H280" t="n">
        <v>0</v>
      </c>
      <c r="I280" t="n">
        <v>0</v>
      </c>
      <c r="J280" t="n">
        <v>0</v>
      </c>
      <c r="K280" t="n">
        <v>0</v>
      </c>
      <c r="L280" t="n">
        <v>0</v>
      </c>
      <c r="M280" t="n">
        <v>0</v>
      </c>
      <c r="N280" t="n">
        <v>0</v>
      </c>
      <c r="O280" t="n">
        <v>0</v>
      </c>
      <c r="P280" t="n">
        <v>0</v>
      </c>
      <c r="Q280" t="n">
        <v>0</v>
      </c>
      <c r="R280" s="2" t="inlineStr"/>
    </row>
    <row r="281" ht="15" customHeight="1">
      <c r="A281" t="inlineStr">
        <is>
          <t>A 37881-2021</t>
        </is>
      </c>
      <c r="B281" s="1" t="n">
        <v>44403</v>
      </c>
      <c r="C281" s="1" t="n">
        <v>45918</v>
      </c>
      <c r="D281" t="inlineStr">
        <is>
          <t>VÄSTMANLANDS LÄN</t>
        </is>
      </c>
      <c r="E281" t="inlineStr">
        <is>
          <t>SALA</t>
        </is>
      </c>
      <c r="G281" t="n">
        <v>4.6</v>
      </c>
      <c r="H281" t="n">
        <v>0</v>
      </c>
      <c r="I281" t="n">
        <v>0</v>
      </c>
      <c r="J281" t="n">
        <v>0</v>
      </c>
      <c r="K281" t="n">
        <v>0</v>
      </c>
      <c r="L281" t="n">
        <v>0</v>
      </c>
      <c r="M281" t="n">
        <v>0</v>
      </c>
      <c r="N281" t="n">
        <v>0</v>
      </c>
      <c r="O281" t="n">
        <v>0</v>
      </c>
      <c r="P281" t="n">
        <v>0</v>
      </c>
      <c r="Q281" t="n">
        <v>0</v>
      </c>
      <c r="R281" s="2" t="inlineStr"/>
    </row>
    <row r="282" ht="15" customHeight="1">
      <c r="A282" t="inlineStr">
        <is>
          <t>A 54771-2024</t>
        </is>
      </c>
      <c r="B282" s="1" t="n">
        <v>45618</v>
      </c>
      <c r="C282" s="1" t="n">
        <v>45918</v>
      </c>
      <c r="D282" t="inlineStr">
        <is>
          <t>VÄSTMANLANDS LÄN</t>
        </is>
      </c>
      <c r="E282" t="inlineStr">
        <is>
          <t>SALA</t>
        </is>
      </c>
      <c r="G282" t="n">
        <v>2.8</v>
      </c>
      <c r="H282" t="n">
        <v>0</v>
      </c>
      <c r="I282" t="n">
        <v>0</v>
      </c>
      <c r="J282" t="n">
        <v>0</v>
      </c>
      <c r="K282" t="n">
        <v>0</v>
      </c>
      <c r="L282" t="n">
        <v>0</v>
      </c>
      <c r="M282" t="n">
        <v>0</v>
      </c>
      <c r="N282" t="n">
        <v>0</v>
      </c>
      <c r="O282" t="n">
        <v>0</v>
      </c>
      <c r="P282" t="n">
        <v>0</v>
      </c>
      <c r="Q282" t="n">
        <v>0</v>
      </c>
      <c r="R282" s="2" t="inlineStr"/>
    </row>
    <row r="283" ht="15" customHeight="1">
      <c r="A283" t="inlineStr">
        <is>
          <t>A 35976-2024</t>
        </is>
      </c>
      <c r="B283" s="1" t="n">
        <v>45533.49555555556</v>
      </c>
      <c r="C283" s="1" t="n">
        <v>45918</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45918</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19751-2022</t>
        </is>
      </c>
      <c r="B285" s="1" t="n">
        <v>44694</v>
      </c>
      <c r="C285" s="1" t="n">
        <v>45918</v>
      </c>
      <c r="D285" t="inlineStr">
        <is>
          <t>VÄSTMANLANDS LÄN</t>
        </is>
      </c>
      <c r="E285" t="inlineStr">
        <is>
          <t>SALA</t>
        </is>
      </c>
      <c r="G285" t="n">
        <v>2.7</v>
      </c>
      <c r="H285" t="n">
        <v>0</v>
      </c>
      <c r="I285" t="n">
        <v>0</v>
      </c>
      <c r="J285" t="n">
        <v>0</v>
      </c>
      <c r="K285" t="n">
        <v>0</v>
      </c>
      <c r="L285" t="n">
        <v>0</v>
      </c>
      <c r="M285" t="n">
        <v>0</v>
      </c>
      <c r="N285" t="n">
        <v>0</v>
      </c>
      <c r="O285" t="n">
        <v>0</v>
      </c>
      <c r="P285" t="n">
        <v>0</v>
      </c>
      <c r="Q285" t="n">
        <v>0</v>
      </c>
      <c r="R285" s="2" t="inlineStr"/>
    </row>
    <row r="286" ht="15" customHeight="1">
      <c r="A286" t="inlineStr">
        <is>
          <t>A 55556-2023</t>
        </is>
      </c>
      <c r="B286" s="1" t="n">
        <v>45232</v>
      </c>
      <c r="C286" s="1" t="n">
        <v>45918</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57650-2024</t>
        </is>
      </c>
      <c r="B287" s="1" t="n">
        <v>45630</v>
      </c>
      <c r="C287" s="1" t="n">
        <v>45918</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44713-2023</t>
        </is>
      </c>
      <c r="B288" s="1" t="n">
        <v>45184</v>
      </c>
      <c r="C288" s="1" t="n">
        <v>45918</v>
      </c>
      <c r="D288" t="inlineStr">
        <is>
          <t>VÄSTMANLANDS LÄN</t>
        </is>
      </c>
      <c r="E288" t="inlineStr">
        <is>
          <t>SALA</t>
        </is>
      </c>
      <c r="F288" t="inlineStr">
        <is>
          <t>Kyrkan</t>
        </is>
      </c>
      <c r="G288" t="n">
        <v>7.6</v>
      </c>
      <c r="H288" t="n">
        <v>0</v>
      </c>
      <c r="I288" t="n">
        <v>0</v>
      </c>
      <c r="J288" t="n">
        <v>0</v>
      </c>
      <c r="K288" t="n">
        <v>0</v>
      </c>
      <c r="L288" t="n">
        <v>0</v>
      </c>
      <c r="M288" t="n">
        <v>0</v>
      </c>
      <c r="N288" t="n">
        <v>0</v>
      </c>
      <c r="O288" t="n">
        <v>0</v>
      </c>
      <c r="P288" t="n">
        <v>0</v>
      </c>
      <c r="Q288" t="n">
        <v>0</v>
      </c>
      <c r="R288" s="2" t="inlineStr"/>
    </row>
    <row r="289" ht="15" customHeight="1">
      <c r="A289" t="inlineStr">
        <is>
          <t>A 50479-2022</t>
        </is>
      </c>
      <c r="B289" s="1" t="n">
        <v>44861</v>
      </c>
      <c r="C289" s="1" t="n">
        <v>45918</v>
      </c>
      <c r="D289" t="inlineStr">
        <is>
          <t>VÄSTMANLANDS LÄN</t>
        </is>
      </c>
      <c r="E289" t="inlineStr">
        <is>
          <t>SALA</t>
        </is>
      </c>
      <c r="G289" t="n">
        <v>0.9</v>
      </c>
      <c r="H289" t="n">
        <v>0</v>
      </c>
      <c r="I289" t="n">
        <v>0</v>
      </c>
      <c r="J289" t="n">
        <v>0</v>
      </c>
      <c r="K289" t="n">
        <v>0</v>
      </c>
      <c r="L289" t="n">
        <v>0</v>
      </c>
      <c r="M289" t="n">
        <v>0</v>
      </c>
      <c r="N289" t="n">
        <v>0</v>
      </c>
      <c r="O289" t="n">
        <v>0</v>
      </c>
      <c r="P289" t="n">
        <v>0</v>
      </c>
      <c r="Q289" t="n">
        <v>0</v>
      </c>
      <c r="R289" s="2" t="inlineStr"/>
    </row>
    <row r="290" ht="15" customHeight="1">
      <c r="A290" t="inlineStr">
        <is>
          <t>A 60548-2024</t>
        </is>
      </c>
      <c r="B290" s="1" t="n">
        <v>45643.80978009259</v>
      </c>
      <c r="C290" s="1" t="n">
        <v>45918</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18713-2025</t>
        </is>
      </c>
      <c r="B291" s="1" t="n">
        <v>45763</v>
      </c>
      <c r="C291" s="1" t="n">
        <v>45918</v>
      </c>
      <c r="D291" t="inlineStr">
        <is>
          <t>VÄSTMANLANDS LÄN</t>
        </is>
      </c>
      <c r="E291" t="inlineStr">
        <is>
          <t>SALA</t>
        </is>
      </c>
      <c r="F291" t="inlineStr">
        <is>
          <t>Bergvik skog öst AB</t>
        </is>
      </c>
      <c r="G291" t="n">
        <v>11.6</v>
      </c>
      <c r="H291" t="n">
        <v>0</v>
      </c>
      <c r="I291" t="n">
        <v>0</v>
      </c>
      <c r="J291" t="n">
        <v>0</v>
      </c>
      <c r="K291" t="n">
        <v>0</v>
      </c>
      <c r="L291" t="n">
        <v>0</v>
      </c>
      <c r="M291" t="n">
        <v>0</v>
      </c>
      <c r="N291" t="n">
        <v>0</v>
      </c>
      <c r="O291" t="n">
        <v>0</v>
      </c>
      <c r="P291" t="n">
        <v>0</v>
      </c>
      <c r="Q291" t="n">
        <v>0</v>
      </c>
      <c r="R291" s="2" t="inlineStr"/>
    </row>
    <row r="292" ht="15" customHeight="1">
      <c r="A292" t="inlineStr">
        <is>
          <t>A 45790-2023</t>
        </is>
      </c>
      <c r="B292" s="1" t="n">
        <v>45195.45958333334</v>
      </c>
      <c r="C292" s="1" t="n">
        <v>45918</v>
      </c>
      <c r="D292" t="inlineStr">
        <is>
          <t>VÄSTMANLANDS LÄN</t>
        </is>
      </c>
      <c r="E292" t="inlineStr">
        <is>
          <t>SALA</t>
        </is>
      </c>
      <c r="G292" t="n">
        <v>5.7</v>
      </c>
      <c r="H292" t="n">
        <v>0</v>
      </c>
      <c r="I292" t="n">
        <v>0</v>
      </c>
      <c r="J292" t="n">
        <v>0</v>
      </c>
      <c r="K292" t="n">
        <v>0</v>
      </c>
      <c r="L292" t="n">
        <v>0</v>
      </c>
      <c r="M292" t="n">
        <v>0</v>
      </c>
      <c r="N292" t="n">
        <v>0</v>
      </c>
      <c r="O292" t="n">
        <v>0</v>
      </c>
      <c r="P292" t="n">
        <v>0</v>
      </c>
      <c r="Q292" t="n">
        <v>0</v>
      </c>
      <c r="R292" s="2" t="inlineStr"/>
    </row>
    <row r="293" ht="15" customHeight="1">
      <c r="A293" t="inlineStr">
        <is>
          <t>A 47479-2024</t>
        </is>
      </c>
      <c r="B293" s="1" t="n">
        <v>45587</v>
      </c>
      <c r="C293" s="1" t="n">
        <v>45918</v>
      </c>
      <c r="D293" t="inlineStr">
        <is>
          <t>VÄSTMANLANDS LÄN</t>
        </is>
      </c>
      <c r="E293" t="inlineStr">
        <is>
          <t>SALA</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69236-2021</t>
        </is>
      </c>
      <c r="B294" s="1" t="n">
        <v>44531.4047337963</v>
      </c>
      <c r="C294" s="1" t="n">
        <v>45918</v>
      </c>
      <c r="D294" t="inlineStr">
        <is>
          <t>VÄSTMANLANDS LÄN</t>
        </is>
      </c>
      <c r="E294" t="inlineStr">
        <is>
          <t>SALA</t>
        </is>
      </c>
      <c r="G294" t="n">
        <v>2.8</v>
      </c>
      <c r="H294" t="n">
        <v>0</v>
      </c>
      <c r="I294" t="n">
        <v>0</v>
      </c>
      <c r="J294" t="n">
        <v>0</v>
      </c>
      <c r="K294" t="n">
        <v>0</v>
      </c>
      <c r="L294" t="n">
        <v>0</v>
      </c>
      <c r="M294" t="n">
        <v>0</v>
      </c>
      <c r="N294" t="n">
        <v>0</v>
      </c>
      <c r="O294" t="n">
        <v>0</v>
      </c>
      <c r="P294" t="n">
        <v>0</v>
      </c>
      <c r="Q294" t="n">
        <v>0</v>
      </c>
      <c r="R294" s="2" t="inlineStr"/>
    </row>
    <row r="295" ht="15" customHeight="1">
      <c r="A295" t="inlineStr">
        <is>
          <t>A 25541-2024</t>
        </is>
      </c>
      <c r="B295" s="1" t="n">
        <v>45463.56337962963</v>
      </c>
      <c r="C295" s="1" t="n">
        <v>45918</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26761-2023</t>
        </is>
      </c>
      <c r="B296" s="1" t="n">
        <v>45093</v>
      </c>
      <c r="C296" s="1" t="n">
        <v>45918</v>
      </c>
      <c r="D296" t="inlineStr">
        <is>
          <t>VÄSTMANLANDS LÄN</t>
        </is>
      </c>
      <c r="E296" t="inlineStr">
        <is>
          <t>SALA</t>
        </is>
      </c>
      <c r="G296" t="n">
        <v>4.3</v>
      </c>
      <c r="H296" t="n">
        <v>0</v>
      </c>
      <c r="I296" t="n">
        <v>0</v>
      </c>
      <c r="J296" t="n">
        <v>0</v>
      </c>
      <c r="K296" t="n">
        <v>0</v>
      </c>
      <c r="L296" t="n">
        <v>0</v>
      </c>
      <c r="M296" t="n">
        <v>0</v>
      </c>
      <c r="N296" t="n">
        <v>0</v>
      </c>
      <c r="O296" t="n">
        <v>0</v>
      </c>
      <c r="P296" t="n">
        <v>0</v>
      </c>
      <c r="Q296" t="n">
        <v>0</v>
      </c>
      <c r="R296" s="2" t="inlineStr"/>
    </row>
    <row r="297" ht="15" customHeight="1">
      <c r="A297" t="inlineStr">
        <is>
          <t>A 55035-2023</t>
        </is>
      </c>
      <c r="B297" s="1" t="n">
        <v>45229</v>
      </c>
      <c r="C297" s="1" t="n">
        <v>45918</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72805-2021</t>
        </is>
      </c>
      <c r="B298" s="1" t="n">
        <v>44546</v>
      </c>
      <c r="C298" s="1" t="n">
        <v>45918</v>
      </c>
      <c r="D298" t="inlineStr">
        <is>
          <t>VÄSTMANLANDS LÄN</t>
        </is>
      </c>
      <c r="E298" t="inlineStr">
        <is>
          <t>SALA</t>
        </is>
      </c>
      <c r="G298" t="n">
        <v>7.8</v>
      </c>
      <c r="H298" t="n">
        <v>0</v>
      </c>
      <c r="I298" t="n">
        <v>0</v>
      </c>
      <c r="J298" t="n">
        <v>0</v>
      </c>
      <c r="K298" t="n">
        <v>0</v>
      </c>
      <c r="L298" t="n">
        <v>0</v>
      </c>
      <c r="M298" t="n">
        <v>0</v>
      </c>
      <c r="N298" t="n">
        <v>0</v>
      </c>
      <c r="O298" t="n">
        <v>0</v>
      </c>
      <c r="P298" t="n">
        <v>0</v>
      </c>
      <c r="Q298" t="n">
        <v>0</v>
      </c>
      <c r="R298" s="2" t="inlineStr"/>
    </row>
    <row r="299" ht="15" customHeight="1">
      <c r="A299" t="inlineStr">
        <is>
          <t>A 72808-2021</t>
        </is>
      </c>
      <c r="B299" s="1" t="n">
        <v>44546</v>
      </c>
      <c r="C299" s="1" t="n">
        <v>45918</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2928-2024</t>
        </is>
      </c>
      <c r="B300" s="1" t="n">
        <v>45315.59041666667</v>
      </c>
      <c r="C300" s="1" t="n">
        <v>45918</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73673-2021</t>
        </is>
      </c>
      <c r="B301" s="1" t="n">
        <v>44552.46501157407</v>
      </c>
      <c r="C301" s="1" t="n">
        <v>45918</v>
      </c>
      <c r="D301" t="inlineStr">
        <is>
          <t>VÄSTMANLANDS LÄN</t>
        </is>
      </c>
      <c r="E301" t="inlineStr">
        <is>
          <t>SALA</t>
        </is>
      </c>
      <c r="G301" t="n">
        <v>11.4</v>
      </c>
      <c r="H301" t="n">
        <v>0</v>
      </c>
      <c r="I301" t="n">
        <v>0</v>
      </c>
      <c r="J301" t="n">
        <v>0</v>
      </c>
      <c r="K301" t="n">
        <v>0</v>
      </c>
      <c r="L301" t="n">
        <v>0</v>
      </c>
      <c r="M301" t="n">
        <v>0</v>
      </c>
      <c r="N301" t="n">
        <v>0</v>
      </c>
      <c r="O301" t="n">
        <v>0</v>
      </c>
      <c r="P301" t="n">
        <v>0</v>
      </c>
      <c r="Q301" t="n">
        <v>0</v>
      </c>
      <c r="R301" s="2" t="inlineStr"/>
    </row>
    <row r="302" ht="15" customHeight="1">
      <c r="A302" t="inlineStr">
        <is>
          <t>A 60249-2023</t>
        </is>
      </c>
      <c r="B302" s="1" t="n">
        <v>45258</v>
      </c>
      <c r="C302" s="1" t="n">
        <v>45918</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25868-2024</t>
        </is>
      </c>
      <c r="B303" s="1" t="n">
        <v>45467.47506944444</v>
      </c>
      <c r="C303" s="1" t="n">
        <v>45918</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40871-2021</t>
        </is>
      </c>
      <c r="B304" s="1" t="n">
        <v>44421</v>
      </c>
      <c r="C304" s="1" t="n">
        <v>45918</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5728-2022</t>
        </is>
      </c>
      <c r="B305" s="1" t="n">
        <v>44596.42082175926</v>
      </c>
      <c r="C305" s="1" t="n">
        <v>45918</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14271-2025</t>
        </is>
      </c>
      <c r="B306" s="1" t="n">
        <v>45740.64129629629</v>
      </c>
      <c r="C306" s="1" t="n">
        <v>45918</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10250-2025</t>
        </is>
      </c>
      <c r="B307" s="1" t="n">
        <v>45720.36165509259</v>
      </c>
      <c r="C307" s="1" t="n">
        <v>45918</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31597-2024</t>
        </is>
      </c>
      <c r="B308" s="1" t="n">
        <v>45506</v>
      </c>
      <c r="C308" s="1" t="n">
        <v>45918</v>
      </c>
      <c r="D308" t="inlineStr">
        <is>
          <t>VÄSTMANLANDS LÄN</t>
        </is>
      </c>
      <c r="E308" t="inlineStr">
        <is>
          <t>SALA</t>
        </is>
      </c>
      <c r="G308" t="n">
        <v>2.4</v>
      </c>
      <c r="H308" t="n">
        <v>0</v>
      </c>
      <c r="I308" t="n">
        <v>0</v>
      </c>
      <c r="J308" t="n">
        <v>0</v>
      </c>
      <c r="K308" t="n">
        <v>0</v>
      </c>
      <c r="L308" t="n">
        <v>0</v>
      </c>
      <c r="M308" t="n">
        <v>0</v>
      </c>
      <c r="N308" t="n">
        <v>0</v>
      </c>
      <c r="O308" t="n">
        <v>0</v>
      </c>
      <c r="P308" t="n">
        <v>0</v>
      </c>
      <c r="Q308" t="n">
        <v>0</v>
      </c>
      <c r="R308" s="2" t="inlineStr"/>
    </row>
    <row r="309" ht="15" customHeight="1">
      <c r="A309" t="inlineStr">
        <is>
          <t>A 31599-2024</t>
        </is>
      </c>
      <c r="B309" s="1" t="n">
        <v>45506</v>
      </c>
      <c r="C309" s="1" t="n">
        <v>45918</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31601-2024</t>
        </is>
      </c>
      <c r="B310" s="1" t="n">
        <v>45506</v>
      </c>
      <c r="C310" s="1" t="n">
        <v>45918</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31608-2024</t>
        </is>
      </c>
      <c r="B311" s="1" t="n">
        <v>45506</v>
      </c>
      <c r="C311" s="1" t="n">
        <v>45918</v>
      </c>
      <c r="D311" t="inlineStr">
        <is>
          <t>VÄSTMANLANDS LÄN</t>
        </is>
      </c>
      <c r="E311" t="inlineStr">
        <is>
          <t>SALA</t>
        </is>
      </c>
      <c r="G311" t="n">
        <v>1.7</v>
      </c>
      <c r="H311" t="n">
        <v>0</v>
      </c>
      <c r="I311" t="n">
        <v>0</v>
      </c>
      <c r="J311" t="n">
        <v>0</v>
      </c>
      <c r="K311" t="n">
        <v>0</v>
      </c>
      <c r="L311" t="n">
        <v>0</v>
      </c>
      <c r="M311" t="n">
        <v>0</v>
      </c>
      <c r="N311" t="n">
        <v>0</v>
      </c>
      <c r="O311" t="n">
        <v>0</v>
      </c>
      <c r="P311" t="n">
        <v>0</v>
      </c>
      <c r="Q311" t="n">
        <v>0</v>
      </c>
      <c r="R311" s="2" t="inlineStr"/>
    </row>
    <row r="312" ht="15" customHeight="1">
      <c r="A312" t="inlineStr">
        <is>
          <t>A 31612-2024</t>
        </is>
      </c>
      <c r="B312" s="1" t="n">
        <v>45506</v>
      </c>
      <c r="C312" s="1" t="n">
        <v>45918</v>
      </c>
      <c r="D312" t="inlineStr">
        <is>
          <t>VÄSTMANLANDS LÄN</t>
        </is>
      </c>
      <c r="E312" t="inlineStr">
        <is>
          <t>SALA</t>
        </is>
      </c>
      <c r="G312" t="n">
        <v>3.2</v>
      </c>
      <c r="H312" t="n">
        <v>0</v>
      </c>
      <c r="I312" t="n">
        <v>0</v>
      </c>
      <c r="J312" t="n">
        <v>0</v>
      </c>
      <c r="K312" t="n">
        <v>0</v>
      </c>
      <c r="L312" t="n">
        <v>0</v>
      </c>
      <c r="M312" t="n">
        <v>0</v>
      </c>
      <c r="N312" t="n">
        <v>0</v>
      </c>
      <c r="O312" t="n">
        <v>0</v>
      </c>
      <c r="P312" t="n">
        <v>0</v>
      </c>
      <c r="Q312" t="n">
        <v>0</v>
      </c>
      <c r="R312" s="2" t="inlineStr"/>
    </row>
    <row r="313" ht="15" customHeight="1">
      <c r="A313" t="inlineStr">
        <is>
          <t>A 54199-2024</t>
        </is>
      </c>
      <c r="B313" s="1" t="n">
        <v>45616.64703703704</v>
      </c>
      <c r="C313" s="1" t="n">
        <v>45918</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49512-2024</t>
        </is>
      </c>
      <c r="B314" s="1" t="n">
        <v>45591</v>
      </c>
      <c r="C314" s="1" t="n">
        <v>45918</v>
      </c>
      <c r="D314" t="inlineStr">
        <is>
          <t>VÄSTMANLANDS LÄN</t>
        </is>
      </c>
      <c r="E314" t="inlineStr">
        <is>
          <t>SALA</t>
        </is>
      </c>
      <c r="G314" t="n">
        <v>8.1</v>
      </c>
      <c r="H314" t="n">
        <v>0</v>
      </c>
      <c r="I314" t="n">
        <v>0</v>
      </c>
      <c r="J314" t="n">
        <v>0</v>
      </c>
      <c r="K314" t="n">
        <v>0</v>
      </c>
      <c r="L314" t="n">
        <v>0</v>
      </c>
      <c r="M314" t="n">
        <v>0</v>
      </c>
      <c r="N314" t="n">
        <v>0</v>
      </c>
      <c r="O314" t="n">
        <v>0</v>
      </c>
      <c r="P314" t="n">
        <v>0</v>
      </c>
      <c r="Q314" t="n">
        <v>0</v>
      </c>
      <c r="R314" s="2" t="inlineStr"/>
    </row>
    <row r="315" ht="15" customHeight="1">
      <c r="A315" t="inlineStr">
        <is>
          <t>A 52500-2024</t>
        </is>
      </c>
      <c r="B315" s="1" t="n">
        <v>45609</v>
      </c>
      <c r="C315" s="1" t="n">
        <v>45918</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42416-2022</t>
        </is>
      </c>
      <c r="B316" s="1" t="n">
        <v>44831</v>
      </c>
      <c r="C316" s="1" t="n">
        <v>45918</v>
      </c>
      <c r="D316" t="inlineStr">
        <is>
          <t>VÄSTMANLANDS LÄN</t>
        </is>
      </c>
      <c r="E316" t="inlineStr">
        <is>
          <t>SALA</t>
        </is>
      </c>
      <c r="G316" t="n">
        <v>2.2</v>
      </c>
      <c r="H316" t="n">
        <v>0</v>
      </c>
      <c r="I316" t="n">
        <v>0</v>
      </c>
      <c r="J316" t="n">
        <v>0</v>
      </c>
      <c r="K316" t="n">
        <v>0</v>
      </c>
      <c r="L316" t="n">
        <v>0</v>
      </c>
      <c r="M316" t="n">
        <v>0</v>
      </c>
      <c r="N316" t="n">
        <v>0</v>
      </c>
      <c r="O316" t="n">
        <v>0</v>
      </c>
      <c r="P316" t="n">
        <v>0</v>
      </c>
      <c r="Q316" t="n">
        <v>0</v>
      </c>
      <c r="R316" s="2" t="inlineStr"/>
    </row>
    <row r="317" ht="15" customHeight="1">
      <c r="A317" t="inlineStr">
        <is>
          <t>A 6312-2025</t>
        </is>
      </c>
      <c r="B317" s="1" t="n">
        <v>45698</v>
      </c>
      <c r="C317" s="1" t="n">
        <v>45918</v>
      </c>
      <c r="D317" t="inlineStr">
        <is>
          <t>VÄSTMANLANDS LÄN</t>
        </is>
      </c>
      <c r="E317" t="inlineStr">
        <is>
          <t>SALA</t>
        </is>
      </c>
      <c r="G317" t="n">
        <v>1.2</v>
      </c>
      <c r="H317" t="n">
        <v>0</v>
      </c>
      <c r="I317" t="n">
        <v>0</v>
      </c>
      <c r="J317" t="n">
        <v>0</v>
      </c>
      <c r="K317" t="n">
        <v>0</v>
      </c>
      <c r="L317" t="n">
        <v>0</v>
      </c>
      <c r="M317" t="n">
        <v>0</v>
      </c>
      <c r="N317" t="n">
        <v>0</v>
      </c>
      <c r="O317" t="n">
        <v>0</v>
      </c>
      <c r="P317" t="n">
        <v>0</v>
      </c>
      <c r="Q317" t="n">
        <v>0</v>
      </c>
      <c r="R317" s="2" t="inlineStr"/>
    </row>
    <row r="318" ht="15" customHeight="1">
      <c r="A318" t="inlineStr">
        <is>
          <t>A 6135-2023</t>
        </is>
      </c>
      <c r="B318" s="1" t="n">
        <v>44964.62628472222</v>
      </c>
      <c r="C318" s="1" t="n">
        <v>45918</v>
      </c>
      <c r="D318" t="inlineStr">
        <is>
          <t>VÄSTMANLANDS LÄN</t>
        </is>
      </c>
      <c r="E318" t="inlineStr">
        <is>
          <t>SALA</t>
        </is>
      </c>
      <c r="G318" t="n">
        <v>0.5</v>
      </c>
      <c r="H318" t="n">
        <v>0</v>
      </c>
      <c r="I318" t="n">
        <v>0</v>
      </c>
      <c r="J318" t="n">
        <v>0</v>
      </c>
      <c r="K318" t="n">
        <v>0</v>
      </c>
      <c r="L318" t="n">
        <v>0</v>
      </c>
      <c r="M318" t="n">
        <v>0</v>
      </c>
      <c r="N318" t="n">
        <v>0</v>
      </c>
      <c r="O318" t="n">
        <v>0</v>
      </c>
      <c r="P318" t="n">
        <v>0</v>
      </c>
      <c r="Q318" t="n">
        <v>0</v>
      </c>
      <c r="R318" s="2" t="inlineStr"/>
    </row>
    <row r="319" ht="15" customHeight="1">
      <c r="A319" t="inlineStr">
        <is>
          <t>A 16693-2023</t>
        </is>
      </c>
      <c r="B319" s="1" t="n">
        <v>45028</v>
      </c>
      <c r="C319" s="1" t="n">
        <v>45918</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8285-2025</t>
        </is>
      </c>
      <c r="B320" s="1" t="n">
        <v>45708</v>
      </c>
      <c r="C320" s="1" t="n">
        <v>45918</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44857-2023</t>
        </is>
      </c>
      <c r="B321" s="1" t="n">
        <v>45190.58479166667</v>
      </c>
      <c r="C321" s="1" t="n">
        <v>45918</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56949-2023</t>
        </is>
      </c>
      <c r="B322" s="1" t="n">
        <v>45244.61589120371</v>
      </c>
      <c r="C322" s="1" t="n">
        <v>45918</v>
      </c>
      <c r="D322" t="inlineStr">
        <is>
          <t>VÄSTMANLANDS LÄN</t>
        </is>
      </c>
      <c r="E322" t="inlineStr">
        <is>
          <t>SALA</t>
        </is>
      </c>
      <c r="G322" t="n">
        <v>4.7</v>
      </c>
      <c r="H322" t="n">
        <v>0</v>
      </c>
      <c r="I322" t="n">
        <v>0</v>
      </c>
      <c r="J322" t="n">
        <v>0</v>
      </c>
      <c r="K322" t="n">
        <v>0</v>
      </c>
      <c r="L322" t="n">
        <v>0</v>
      </c>
      <c r="M322" t="n">
        <v>0</v>
      </c>
      <c r="N322" t="n">
        <v>0</v>
      </c>
      <c r="O322" t="n">
        <v>0</v>
      </c>
      <c r="P322" t="n">
        <v>0</v>
      </c>
      <c r="Q322" t="n">
        <v>0</v>
      </c>
      <c r="R322" s="2" t="inlineStr"/>
    </row>
    <row r="323" ht="15" customHeight="1">
      <c r="A323" t="inlineStr">
        <is>
          <t>A 53164-2024</t>
        </is>
      </c>
      <c r="B323" s="1" t="n">
        <v>45611.64887731482</v>
      </c>
      <c r="C323" s="1" t="n">
        <v>45918</v>
      </c>
      <c r="D323" t="inlineStr">
        <is>
          <t>VÄSTMANLANDS LÄN</t>
        </is>
      </c>
      <c r="E323" t="inlineStr">
        <is>
          <t>SALA</t>
        </is>
      </c>
      <c r="G323" t="n">
        <v>2.6</v>
      </c>
      <c r="H323" t="n">
        <v>0</v>
      </c>
      <c r="I323" t="n">
        <v>0</v>
      </c>
      <c r="J323" t="n">
        <v>0</v>
      </c>
      <c r="K323" t="n">
        <v>0</v>
      </c>
      <c r="L323" t="n">
        <v>0</v>
      </c>
      <c r="M323" t="n">
        <v>0</v>
      </c>
      <c r="N323" t="n">
        <v>0</v>
      </c>
      <c r="O323" t="n">
        <v>0</v>
      </c>
      <c r="P323" t="n">
        <v>0</v>
      </c>
      <c r="Q323" t="n">
        <v>0</v>
      </c>
      <c r="R323" s="2" t="inlineStr"/>
    </row>
    <row r="324" ht="15" customHeight="1">
      <c r="A324" t="inlineStr">
        <is>
          <t>A 62654-2022</t>
        </is>
      </c>
      <c r="B324" s="1" t="n">
        <v>44917</v>
      </c>
      <c r="C324" s="1" t="n">
        <v>45918</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43188-2023</t>
        </is>
      </c>
      <c r="B325" s="1" t="n">
        <v>45183</v>
      </c>
      <c r="C325" s="1" t="n">
        <v>45918</v>
      </c>
      <c r="D325" t="inlineStr">
        <is>
          <t>VÄSTMANLANDS LÄN</t>
        </is>
      </c>
      <c r="E325" t="inlineStr">
        <is>
          <t>SALA</t>
        </is>
      </c>
      <c r="G325" t="n">
        <v>1.2</v>
      </c>
      <c r="H325" t="n">
        <v>0</v>
      </c>
      <c r="I325" t="n">
        <v>0</v>
      </c>
      <c r="J325" t="n">
        <v>0</v>
      </c>
      <c r="K325" t="n">
        <v>0</v>
      </c>
      <c r="L325" t="n">
        <v>0</v>
      </c>
      <c r="M325" t="n">
        <v>0</v>
      </c>
      <c r="N325" t="n">
        <v>0</v>
      </c>
      <c r="O325" t="n">
        <v>0</v>
      </c>
      <c r="P325" t="n">
        <v>0</v>
      </c>
      <c r="Q325" t="n">
        <v>0</v>
      </c>
      <c r="R325" s="2" t="inlineStr"/>
    </row>
    <row r="326" ht="15" customHeight="1">
      <c r="A326" t="inlineStr">
        <is>
          <t>A 43205-2023</t>
        </is>
      </c>
      <c r="B326" s="1" t="n">
        <v>45183</v>
      </c>
      <c r="C326" s="1" t="n">
        <v>45918</v>
      </c>
      <c r="D326" t="inlineStr">
        <is>
          <t>VÄSTMANLANDS LÄN</t>
        </is>
      </c>
      <c r="E326" t="inlineStr">
        <is>
          <t>SALA</t>
        </is>
      </c>
      <c r="G326" t="n">
        <v>2.1</v>
      </c>
      <c r="H326" t="n">
        <v>0</v>
      </c>
      <c r="I326" t="n">
        <v>0</v>
      </c>
      <c r="J326" t="n">
        <v>0</v>
      </c>
      <c r="K326" t="n">
        <v>0</v>
      </c>
      <c r="L326" t="n">
        <v>0</v>
      </c>
      <c r="M326" t="n">
        <v>0</v>
      </c>
      <c r="N326" t="n">
        <v>0</v>
      </c>
      <c r="O326" t="n">
        <v>0</v>
      </c>
      <c r="P326" t="n">
        <v>0</v>
      </c>
      <c r="Q326" t="n">
        <v>0</v>
      </c>
      <c r="R326" s="2" t="inlineStr"/>
    </row>
    <row r="327" ht="15" customHeight="1">
      <c r="A327" t="inlineStr">
        <is>
          <t>A 61892-2021</t>
        </is>
      </c>
      <c r="B327" s="1" t="n">
        <v>44502</v>
      </c>
      <c r="C327" s="1" t="n">
        <v>45918</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15584-2021</t>
        </is>
      </c>
      <c r="B328" s="1" t="n">
        <v>44285</v>
      </c>
      <c r="C328" s="1" t="n">
        <v>45918</v>
      </c>
      <c r="D328" t="inlineStr">
        <is>
          <t>VÄSTMANLANDS LÄN</t>
        </is>
      </c>
      <c r="E328" t="inlineStr">
        <is>
          <t>SALA</t>
        </is>
      </c>
      <c r="G328" t="n">
        <v>3.4</v>
      </c>
      <c r="H328" t="n">
        <v>0</v>
      </c>
      <c r="I328" t="n">
        <v>0</v>
      </c>
      <c r="J328" t="n">
        <v>0</v>
      </c>
      <c r="K328" t="n">
        <v>0</v>
      </c>
      <c r="L328" t="n">
        <v>0</v>
      </c>
      <c r="M328" t="n">
        <v>0</v>
      </c>
      <c r="N328" t="n">
        <v>0</v>
      </c>
      <c r="O328" t="n">
        <v>0</v>
      </c>
      <c r="P328" t="n">
        <v>0</v>
      </c>
      <c r="Q328" t="n">
        <v>0</v>
      </c>
      <c r="R328" s="2" t="inlineStr"/>
    </row>
    <row r="329" ht="15" customHeight="1">
      <c r="A329" t="inlineStr">
        <is>
          <t>A 29213-2022</t>
        </is>
      </c>
      <c r="B329" s="1" t="n">
        <v>44750.57474537037</v>
      </c>
      <c r="C329" s="1" t="n">
        <v>45918</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96-2024</t>
        </is>
      </c>
      <c r="B330" s="1" t="n">
        <v>45293.85872685185</v>
      </c>
      <c r="C330" s="1" t="n">
        <v>45918</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59483-2022</t>
        </is>
      </c>
      <c r="B331" s="1" t="n">
        <v>44907.45679398148</v>
      </c>
      <c r="C331" s="1" t="n">
        <v>45918</v>
      </c>
      <c r="D331" t="inlineStr">
        <is>
          <t>VÄSTMANLANDS LÄN</t>
        </is>
      </c>
      <c r="E331" t="inlineStr">
        <is>
          <t>SALA</t>
        </is>
      </c>
      <c r="G331" t="n">
        <v>5.2</v>
      </c>
      <c r="H331" t="n">
        <v>0</v>
      </c>
      <c r="I331" t="n">
        <v>0</v>
      </c>
      <c r="J331" t="n">
        <v>0</v>
      </c>
      <c r="K331" t="n">
        <v>0</v>
      </c>
      <c r="L331" t="n">
        <v>0</v>
      </c>
      <c r="M331" t="n">
        <v>0</v>
      </c>
      <c r="N331" t="n">
        <v>0</v>
      </c>
      <c r="O331" t="n">
        <v>0</v>
      </c>
      <c r="P331" t="n">
        <v>0</v>
      </c>
      <c r="Q331" t="n">
        <v>0</v>
      </c>
      <c r="R331" s="2" t="inlineStr"/>
    </row>
    <row r="332" ht="15" customHeight="1">
      <c r="A332" t="inlineStr">
        <is>
          <t>A 54118-2023</t>
        </is>
      </c>
      <c r="B332" s="1" t="n">
        <v>45232</v>
      </c>
      <c r="C332" s="1" t="n">
        <v>45918</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15650-2025</t>
        </is>
      </c>
      <c r="B333" s="1" t="n">
        <v>45748.40172453703</v>
      </c>
      <c r="C333" s="1" t="n">
        <v>45918</v>
      </c>
      <c r="D333" t="inlineStr">
        <is>
          <t>VÄSTMANLANDS LÄN</t>
        </is>
      </c>
      <c r="E333" t="inlineStr">
        <is>
          <t>SALA</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16160-2024</t>
        </is>
      </c>
      <c r="B334" s="1" t="n">
        <v>45406</v>
      </c>
      <c r="C334" s="1" t="n">
        <v>45918</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34814-2021</t>
        </is>
      </c>
      <c r="B335" s="1" t="n">
        <v>44383</v>
      </c>
      <c r="C335" s="1" t="n">
        <v>45918</v>
      </c>
      <c r="D335" t="inlineStr">
        <is>
          <t>VÄSTMANLANDS LÄN</t>
        </is>
      </c>
      <c r="E335" t="inlineStr">
        <is>
          <t>SALA</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25748-2022</t>
        </is>
      </c>
      <c r="B336" s="1" t="n">
        <v>44732</v>
      </c>
      <c r="C336" s="1" t="n">
        <v>45918</v>
      </c>
      <c r="D336" t="inlineStr">
        <is>
          <t>VÄSTMANLANDS LÄN</t>
        </is>
      </c>
      <c r="E336" t="inlineStr">
        <is>
          <t>SALA</t>
        </is>
      </c>
      <c r="G336" t="n">
        <v>7.7</v>
      </c>
      <c r="H336" t="n">
        <v>0</v>
      </c>
      <c r="I336" t="n">
        <v>0</v>
      </c>
      <c r="J336" t="n">
        <v>0</v>
      </c>
      <c r="K336" t="n">
        <v>0</v>
      </c>
      <c r="L336" t="n">
        <v>0</v>
      </c>
      <c r="M336" t="n">
        <v>0</v>
      </c>
      <c r="N336" t="n">
        <v>0</v>
      </c>
      <c r="O336" t="n">
        <v>0</v>
      </c>
      <c r="P336" t="n">
        <v>0</v>
      </c>
      <c r="Q336" t="n">
        <v>0</v>
      </c>
      <c r="R336" s="2" t="inlineStr"/>
    </row>
    <row r="337" ht="15" customHeight="1">
      <c r="A337" t="inlineStr">
        <is>
          <t>A 21968-2024</t>
        </is>
      </c>
      <c r="B337" s="1" t="n">
        <v>45443</v>
      </c>
      <c r="C337" s="1" t="n">
        <v>45918</v>
      </c>
      <c r="D337" t="inlineStr">
        <is>
          <t>VÄSTMANLANDS LÄN</t>
        </is>
      </c>
      <c r="E337" t="inlineStr">
        <is>
          <t>SALA</t>
        </is>
      </c>
      <c r="G337" t="n">
        <v>1.9</v>
      </c>
      <c r="H337" t="n">
        <v>0</v>
      </c>
      <c r="I337" t="n">
        <v>0</v>
      </c>
      <c r="J337" t="n">
        <v>0</v>
      </c>
      <c r="K337" t="n">
        <v>0</v>
      </c>
      <c r="L337" t="n">
        <v>0</v>
      </c>
      <c r="M337" t="n">
        <v>0</v>
      </c>
      <c r="N337" t="n">
        <v>0</v>
      </c>
      <c r="O337" t="n">
        <v>0</v>
      </c>
      <c r="P337" t="n">
        <v>0</v>
      </c>
      <c r="Q337" t="n">
        <v>0</v>
      </c>
      <c r="R337" s="2" t="inlineStr"/>
    </row>
    <row r="338" ht="15" customHeight="1">
      <c r="A338" t="inlineStr">
        <is>
          <t>A 3733-2023</t>
        </is>
      </c>
      <c r="B338" s="1" t="n">
        <v>44951.42501157407</v>
      </c>
      <c r="C338" s="1" t="n">
        <v>45918</v>
      </c>
      <c r="D338" t="inlineStr">
        <is>
          <t>VÄSTMANLANDS LÄN</t>
        </is>
      </c>
      <c r="E338" t="inlineStr">
        <is>
          <t>SALA</t>
        </is>
      </c>
      <c r="G338" t="n">
        <v>3.1</v>
      </c>
      <c r="H338" t="n">
        <v>0</v>
      </c>
      <c r="I338" t="n">
        <v>0</v>
      </c>
      <c r="J338" t="n">
        <v>0</v>
      </c>
      <c r="K338" t="n">
        <v>0</v>
      </c>
      <c r="L338" t="n">
        <v>0</v>
      </c>
      <c r="M338" t="n">
        <v>0</v>
      </c>
      <c r="N338" t="n">
        <v>0</v>
      </c>
      <c r="O338" t="n">
        <v>0</v>
      </c>
      <c r="P338" t="n">
        <v>0</v>
      </c>
      <c r="Q338" t="n">
        <v>0</v>
      </c>
      <c r="R338" s="2" t="inlineStr"/>
    </row>
    <row r="339" ht="15" customHeight="1">
      <c r="A339" t="inlineStr">
        <is>
          <t>A 6136-2025</t>
        </is>
      </c>
      <c r="B339" s="1" t="n">
        <v>45698.37601851852</v>
      </c>
      <c r="C339" s="1" t="n">
        <v>45918</v>
      </c>
      <c r="D339" t="inlineStr">
        <is>
          <t>VÄSTMANLANDS LÄN</t>
        </is>
      </c>
      <c r="E339" t="inlineStr">
        <is>
          <t>SALA</t>
        </is>
      </c>
      <c r="F339" t="inlineStr">
        <is>
          <t>Bergvik skog öst AB</t>
        </is>
      </c>
      <c r="G339" t="n">
        <v>2.2</v>
      </c>
      <c r="H339" t="n">
        <v>0</v>
      </c>
      <c r="I339" t="n">
        <v>0</v>
      </c>
      <c r="J339" t="n">
        <v>0</v>
      </c>
      <c r="K339" t="n">
        <v>0</v>
      </c>
      <c r="L339" t="n">
        <v>0</v>
      </c>
      <c r="M339" t="n">
        <v>0</v>
      </c>
      <c r="N339" t="n">
        <v>0</v>
      </c>
      <c r="O339" t="n">
        <v>0</v>
      </c>
      <c r="P339" t="n">
        <v>0</v>
      </c>
      <c r="Q339" t="n">
        <v>0</v>
      </c>
      <c r="R339" s="2" t="inlineStr"/>
    </row>
    <row r="340" ht="15" customHeight="1">
      <c r="A340" t="inlineStr">
        <is>
          <t>A 6190-2025</t>
        </is>
      </c>
      <c r="B340" s="1" t="n">
        <v>45698</v>
      </c>
      <c r="C340" s="1" t="n">
        <v>45918</v>
      </c>
      <c r="D340" t="inlineStr">
        <is>
          <t>VÄSTMANLANDS LÄN</t>
        </is>
      </c>
      <c r="E340" t="inlineStr">
        <is>
          <t>SALA</t>
        </is>
      </c>
      <c r="F340" t="inlineStr">
        <is>
          <t>Bergvik skog öst AB</t>
        </is>
      </c>
      <c r="G340" t="n">
        <v>4.6</v>
      </c>
      <c r="H340" t="n">
        <v>0</v>
      </c>
      <c r="I340" t="n">
        <v>0</v>
      </c>
      <c r="J340" t="n">
        <v>0</v>
      </c>
      <c r="K340" t="n">
        <v>0</v>
      </c>
      <c r="L340" t="n">
        <v>0</v>
      </c>
      <c r="M340" t="n">
        <v>0</v>
      </c>
      <c r="N340" t="n">
        <v>0</v>
      </c>
      <c r="O340" t="n">
        <v>0</v>
      </c>
      <c r="P340" t="n">
        <v>0</v>
      </c>
      <c r="Q340" t="n">
        <v>0</v>
      </c>
      <c r="R340" s="2" t="inlineStr"/>
    </row>
    <row r="341" ht="15" customHeight="1">
      <c r="A341" t="inlineStr">
        <is>
          <t>A 18340-2025</t>
        </is>
      </c>
      <c r="B341" s="1" t="n">
        <v>45762</v>
      </c>
      <c r="C341" s="1" t="n">
        <v>45918</v>
      </c>
      <c r="D341" t="inlineStr">
        <is>
          <t>VÄSTMANLANDS LÄN</t>
        </is>
      </c>
      <c r="E341" t="inlineStr">
        <is>
          <t>SALA</t>
        </is>
      </c>
      <c r="G341" t="n">
        <v>2.1</v>
      </c>
      <c r="H341" t="n">
        <v>0</v>
      </c>
      <c r="I341" t="n">
        <v>0</v>
      </c>
      <c r="J341" t="n">
        <v>0</v>
      </c>
      <c r="K341" t="n">
        <v>0</v>
      </c>
      <c r="L341" t="n">
        <v>0</v>
      </c>
      <c r="M341" t="n">
        <v>0</v>
      </c>
      <c r="N341" t="n">
        <v>0</v>
      </c>
      <c r="O341" t="n">
        <v>0</v>
      </c>
      <c r="P341" t="n">
        <v>0</v>
      </c>
      <c r="Q341" t="n">
        <v>0</v>
      </c>
      <c r="R341" s="2" t="inlineStr"/>
    </row>
    <row r="342" ht="15" customHeight="1">
      <c r="A342" t="inlineStr">
        <is>
          <t>A 39597-2022</t>
        </is>
      </c>
      <c r="B342" s="1" t="n">
        <v>44818</v>
      </c>
      <c r="C342" s="1" t="n">
        <v>45918</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56706-2022</t>
        </is>
      </c>
      <c r="B343" s="1" t="n">
        <v>44893.78893518518</v>
      </c>
      <c r="C343" s="1" t="n">
        <v>45918</v>
      </c>
      <c r="D343" t="inlineStr">
        <is>
          <t>VÄSTMANLANDS LÄN</t>
        </is>
      </c>
      <c r="E343" t="inlineStr">
        <is>
          <t>SALA</t>
        </is>
      </c>
      <c r="G343" t="n">
        <v>4.5</v>
      </c>
      <c r="H343" t="n">
        <v>0</v>
      </c>
      <c r="I343" t="n">
        <v>0</v>
      </c>
      <c r="J343" t="n">
        <v>0</v>
      </c>
      <c r="K343" t="n">
        <v>0</v>
      </c>
      <c r="L343" t="n">
        <v>0</v>
      </c>
      <c r="M343" t="n">
        <v>0</v>
      </c>
      <c r="N343" t="n">
        <v>0</v>
      </c>
      <c r="O343" t="n">
        <v>0</v>
      </c>
      <c r="P343" t="n">
        <v>0</v>
      </c>
      <c r="Q343" t="n">
        <v>0</v>
      </c>
      <c r="R343" s="2" t="inlineStr"/>
    </row>
    <row r="344" ht="15" customHeight="1">
      <c r="A344" t="inlineStr">
        <is>
          <t>A 56707-2022</t>
        </is>
      </c>
      <c r="B344" s="1" t="n">
        <v>44893.79412037037</v>
      </c>
      <c r="C344" s="1" t="n">
        <v>45918</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22921-2023</t>
        </is>
      </c>
      <c r="B345" s="1" t="n">
        <v>45070</v>
      </c>
      <c r="C345" s="1" t="n">
        <v>45918</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16760-2024</t>
        </is>
      </c>
      <c r="B346" s="1" t="n">
        <v>45411</v>
      </c>
      <c r="C346" s="1" t="n">
        <v>45918</v>
      </c>
      <c r="D346" t="inlineStr">
        <is>
          <t>VÄSTMANLANDS LÄN</t>
        </is>
      </c>
      <c r="E346" t="inlineStr">
        <is>
          <t>SALA</t>
        </is>
      </c>
      <c r="G346" t="n">
        <v>2.6</v>
      </c>
      <c r="H346" t="n">
        <v>0</v>
      </c>
      <c r="I346" t="n">
        <v>0</v>
      </c>
      <c r="J346" t="n">
        <v>0</v>
      </c>
      <c r="K346" t="n">
        <v>0</v>
      </c>
      <c r="L346" t="n">
        <v>0</v>
      </c>
      <c r="M346" t="n">
        <v>0</v>
      </c>
      <c r="N346" t="n">
        <v>0</v>
      </c>
      <c r="O346" t="n">
        <v>0</v>
      </c>
      <c r="P346" t="n">
        <v>0</v>
      </c>
      <c r="Q346" t="n">
        <v>0</v>
      </c>
      <c r="R346" s="2" t="inlineStr"/>
    </row>
    <row r="347" ht="15" customHeight="1">
      <c r="A347" t="inlineStr">
        <is>
          <t>A 36858-2023</t>
        </is>
      </c>
      <c r="B347" s="1" t="n">
        <v>45154.55184027777</v>
      </c>
      <c r="C347" s="1" t="n">
        <v>45918</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40113-2022</t>
        </is>
      </c>
      <c r="B348" s="1" t="n">
        <v>44819</v>
      </c>
      <c r="C348" s="1" t="n">
        <v>45918</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55024-2023</t>
        </is>
      </c>
      <c r="B349" s="1" t="n">
        <v>45229</v>
      </c>
      <c r="C349" s="1" t="n">
        <v>45918</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55032-2023</t>
        </is>
      </c>
      <c r="B350" s="1" t="n">
        <v>45229</v>
      </c>
      <c r="C350" s="1" t="n">
        <v>45918</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20352-2022</t>
        </is>
      </c>
      <c r="B351" s="1" t="n">
        <v>44699.37318287037</v>
      </c>
      <c r="C351" s="1" t="n">
        <v>45918</v>
      </c>
      <c r="D351" t="inlineStr">
        <is>
          <t>VÄSTMANLANDS LÄN</t>
        </is>
      </c>
      <c r="E351" t="inlineStr">
        <is>
          <t>SALA</t>
        </is>
      </c>
      <c r="G351" t="n">
        <v>1.3</v>
      </c>
      <c r="H351" t="n">
        <v>0</v>
      </c>
      <c r="I351" t="n">
        <v>0</v>
      </c>
      <c r="J351" t="n">
        <v>0</v>
      </c>
      <c r="K351" t="n">
        <v>0</v>
      </c>
      <c r="L351" t="n">
        <v>0</v>
      </c>
      <c r="M351" t="n">
        <v>0</v>
      </c>
      <c r="N351" t="n">
        <v>0</v>
      </c>
      <c r="O351" t="n">
        <v>0</v>
      </c>
      <c r="P351" t="n">
        <v>0</v>
      </c>
      <c r="Q351" t="n">
        <v>0</v>
      </c>
      <c r="R351" s="2" t="inlineStr"/>
    </row>
    <row r="352" ht="15" customHeight="1">
      <c r="A352" t="inlineStr">
        <is>
          <t>A 5032-2025</t>
        </is>
      </c>
      <c r="B352" s="1" t="n">
        <v>45691</v>
      </c>
      <c r="C352" s="1" t="n">
        <v>45918</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17117-2023</t>
        </is>
      </c>
      <c r="B353" s="1" t="n">
        <v>45034</v>
      </c>
      <c r="C353" s="1" t="n">
        <v>45918</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48571-2024</t>
        </is>
      </c>
      <c r="B354" s="1" t="n">
        <v>45591</v>
      </c>
      <c r="C354" s="1" t="n">
        <v>45918</v>
      </c>
      <c r="D354" t="inlineStr">
        <is>
          <t>VÄSTMANLANDS LÄN</t>
        </is>
      </c>
      <c r="E354" t="inlineStr">
        <is>
          <t>SALA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6127-2025</t>
        </is>
      </c>
      <c r="B355" s="1" t="n">
        <v>45698</v>
      </c>
      <c r="C355" s="1" t="n">
        <v>45918</v>
      </c>
      <c r="D355" t="inlineStr">
        <is>
          <t>VÄSTMANLANDS LÄN</t>
        </is>
      </c>
      <c r="E355" t="inlineStr">
        <is>
          <t>SALA</t>
        </is>
      </c>
      <c r="F355" t="inlineStr">
        <is>
          <t>Bergvik skog öst AB</t>
        </is>
      </c>
      <c r="G355" t="n">
        <v>4.3</v>
      </c>
      <c r="H355" t="n">
        <v>0</v>
      </c>
      <c r="I355" t="n">
        <v>0</v>
      </c>
      <c r="J355" t="n">
        <v>0</v>
      </c>
      <c r="K355" t="n">
        <v>0</v>
      </c>
      <c r="L355" t="n">
        <v>0</v>
      </c>
      <c r="M355" t="n">
        <v>0</v>
      </c>
      <c r="N355" t="n">
        <v>0</v>
      </c>
      <c r="O355" t="n">
        <v>0</v>
      </c>
      <c r="P355" t="n">
        <v>0</v>
      </c>
      <c r="Q355" t="n">
        <v>0</v>
      </c>
      <c r="R355" s="2" t="inlineStr"/>
    </row>
    <row r="356" ht="15" customHeight="1">
      <c r="A356" t="inlineStr">
        <is>
          <t>A 13188-2025</t>
        </is>
      </c>
      <c r="B356" s="1" t="n">
        <v>45735.39246527778</v>
      </c>
      <c r="C356" s="1" t="n">
        <v>45918</v>
      </c>
      <c r="D356" t="inlineStr">
        <is>
          <t>VÄSTMANLANDS LÄN</t>
        </is>
      </c>
      <c r="E356" t="inlineStr">
        <is>
          <t>SALA</t>
        </is>
      </c>
      <c r="F356" t="inlineStr">
        <is>
          <t>Naturvårdsverket</t>
        </is>
      </c>
      <c r="G356" t="n">
        <v>18.4</v>
      </c>
      <c r="H356" t="n">
        <v>0</v>
      </c>
      <c r="I356" t="n">
        <v>0</v>
      </c>
      <c r="J356" t="n">
        <v>0</v>
      </c>
      <c r="K356" t="n">
        <v>0</v>
      </c>
      <c r="L356" t="n">
        <v>0</v>
      </c>
      <c r="M356" t="n">
        <v>0</v>
      </c>
      <c r="N356" t="n">
        <v>0</v>
      </c>
      <c r="O356" t="n">
        <v>0</v>
      </c>
      <c r="P356" t="n">
        <v>0</v>
      </c>
      <c r="Q356" t="n">
        <v>0</v>
      </c>
      <c r="R356" s="2" t="inlineStr"/>
    </row>
    <row r="357" ht="15" customHeight="1">
      <c r="A357" t="inlineStr">
        <is>
          <t>A 988-2025</t>
        </is>
      </c>
      <c r="B357" s="1" t="n">
        <v>45666.44038194444</v>
      </c>
      <c r="C357" s="1" t="n">
        <v>45918</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19243-2025</t>
        </is>
      </c>
      <c r="B358" s="1" t="n">
        <v>45769</v>
      </c>
      <c r="C358" s="1" t="n">
        <v>45918</v>
      </c>
      <c r="D358" t="inlineStr">
        <is>
          <t>VÄSTMANLANDS LÄN</t>
        </is>
      </c>
      <c r="E358" t="inlineStr">
        <is>
          <t>SALA</t>
        </is>
      </c>
      <c r="F358" t="inlineStr">
        <is>
          <t>Bergvik skog öst AB</t>
        </is>
      </c>
      <c r="G358" t="n">
        <v>1.5</v>
      </c>
      <c r="H358" t="n">
        <v>0</v>
      </c>
      <c r="I358" t="n">
        <v>0</v>
      </c>
      <c r="J358" t="n">
        <v>0</v>
      </c>
      <c r="K358" t="n">
        <v>0</v>
      </c>
      <c r="L358" t="n">
        <v>0</v>
      </c>
      <c r="M358" t="n">
        <v>0</v>
      </c>
      <c r="N358" t="n">
        <v>0</v>
      </c>
      <c r="O358" t="n">
        <v>0</v>
      </c>
      <c r="P358" t="n">
        <v>0</v>
      </c>
      <c r="Q358" t="n">
        <v>0</v>
      </c>
      <c r="R358" s="2" t="inlineStr"/>
    </row>
    <row r="359" ht="15" customHeight="1">
      <c r="A359" t="inlineStr">
        <is>
          <t>A 60328-2024</t>
        </is>
      </c>
      <c r="B359" s="1" t="n">
        <v>45643.38416666666</v>
      </c>
      <c r="C359" s="1" t="n">
        <v>45918</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35016-2024</t>
        </is>
      </c>
      <c r="B360" s="1" t="n">
        <v>45527.59115740741</v>
      </c>
      <c r="C360" s="1" t="n">
        <v>45918</v>
      </c>
      <c r="D360" t="inlineStr">
        <is>
          <t>VÄSTMANLANDS LÄN</t>
        </is>
      </c>
      <c r="E360" t="inlineStr">
        <is>
          <t>SALA</t>
        </is>
      </c>
      <c r="G360" t="n">
        <v>0.4</v>
      </c>
      <c r="H360" t="n">
        <v>0</v>
      </c>
      <c r="I360" t="n">
        <v>0</v>
      </c>
      <c r="J360" t="n">
        <v>0</v>
      </c>
      <c r="K360" t="n">
        <v>0</v>
      </c>
      <c r="L360" t="n">
        <v>0</v>
      </c>
      <c r="M360" t="n">
        <v>0</v>
      </c>
      <c r="N360" t="n">
        <v>0</v>
      </c>
      <c r="O360" t="n">
        <v>0</v>
      </c>
      <c r="P360" t="n">
        <v>0</v>
      </c>
      <c r="Q360" t="n">
        <v>0</v>
      </c>
      <c r="R360" s="2" t="inlineStr"/>
    </row>
    <row r="361" ht="15" customHeight="1">
      <c r="A361" t="inlineStr">
        <is>
          <t>A 25897-2024</t>
        </is>
      </c>
      <c r="B361" s="1" t="n">
        <v>45467.54435185185</v>
      </c>
      <c r="C361" s="1" t="n">
        <v>45918</v>
      </c>
      <c r="D361" t="inlineStr">
        <is>
          <t>VÄSTMANLANDS LÄN</t>
        </is>
      </c>
      <c r="E361" t="inlineStr">
        <is>
          <t>SALA</t>
        </is>
      </c>
      <c r="G361" t="n">
        <v>9.9</v>
      </c>
      <c r="H361" t="n">
        <v>0</v>
      </c>
      <c r="I361" t="n">
        <v>0</v>
      </c>
      <c r="J361" t="n">
        <v>0</v>
      </c>
      <c r="K361" t="n">
        <v>0</v>
      </c>
      <c r="L361" t="n">
        <v>0</v>
      </c>
      <c r="M361" t="n">
        <v>0</v>
      </c>
      <c r="N361" t="n">
        <v>0</v>
      </c>
      <c r="O361" t="n">
        <v>0</v>
      </c>
      <c r="P361" t="n">
        <v>0</v>
      </c>
      <c r="Q361" t="n">
        <v>0</v>
      </c>
      <c r="R361" s="2" t="inlineStr"/>
    </row>
    <row r="362" ht="15" customHeight="1">
      <c r="A362" t="inlineStr">
        <is>
          <t>A 31072-2021</t>
        </is>
      </c>
      <c r="B362" s="1" t="n">
        <v>44368</v>
      </c>
      <c r="C362" s="1" t="n">
        <v>45918</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7166-2025</t>
        </is>
      </c>
      <c r="B363" s="1" t="n">
        <v>45702</v>
      </c>
      <c r="C363" s="1" t="n">
        <v>45918</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36393-2023</t>
        </is>
      </c>
      <c r="B364" s="1" t="n">
        <v>45152</v>
      </c>
      <c r="C364" s="1" t="n">
        <v>45918</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57371-2022</t>
        </is>
      </c>
      <c r="B365" s="1" t="n">
        <v>44896.43832175926</v>
      </c>
      <c r="C365" s="1" t="n">
        <v>45918</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23431-2024</t>
        </is>
      </c>
      <c r="B366" s="1" t="n">
        <v>45453</v>
      </c>
      <c r="C366" s="1" t="n">
        <v>45918</v>
      </c>
      <c r="D366" t="inlineStr">
        <is>
          <t>VÄSTMANLANDS LÄN</t>
        </is>
      </c>
      <c r="E366" t="inlineStr">
        <is>
          <t>SALA</t>
        </is>
      </c>
      <c r="G366" t="n">
        <v>1.6</v>
      </c>
      <c r="H366" t="n">
        <v>0</v>
      </c>
      <c r="I366" t="n">
        <v>0</v>
      </c>
      <c r="J366" t="n">
        <v>0</v>
      </c>
      <c r="K366" t="n">
        <v>0</v>
      </c>
      <c r="L366" t="n">
        <v>0</v>
      </c>
      <c r="M366" t="n">
        <v>0</v>
      </c>
      <c r="N366" t="n">
        <v>0</v>
      </c>
      <c r="O366" t="n">
        <v>0</v>
      </c>
      <c r="P366" t="n">
        <v>0</v>
      </c>
      <c r="Q366" t="n">
        <v>0</v>
      </c>
      <c r="R366" s="2" t="inlineStr"/>
    </row>
    <row r="367" ht="15" customHeight="1">
      <c r="A367" t="inlineStr">
        <is>
          <t>A 26416-2023</t>
        </is>
      </c>
      <c r="B367" s="1" t="n">
        <v>45092.38087962963</v>
      </c>
      <c r="C367" s="1" t="n">
        <v>45918</v>
      </c>
      <c r="D367" t="inlineStr">
        <is>
          <t>VÄSTMANLANDS LÄN</t>
        </is>
      </c>
      <c r="E367" t="inlineStr">
        <is>
          <t>SALA</t>
        </is>
      </c>
      <c r="G367" t="n">
        <v>2.9</v>
      </c>
      <c r="H367" t="n">
        <v>0</v>
      </c>
      <c r="I367" t="n">
        <v>0</v>
      </c>
      <c r="J367" t="n">
        <v>0</v>
      </c>
      <c r="K367" t="n">
        <v>0</v>
      </c>
      <c r="L367" t="n">
        <v>0</v>
      </c>
      <c r="M367" t="n">
        <v>0</v>
      </c>
      <c r="N367" t="n">
        <v>0</v>
      </c>
      <c r="O367" t="n">
        <v>0</v>
      </c>
      <c r="P367" t="n">
        <v>0</v>
      </c>
      <c r="Q367" t="n">
        <v>0</v>
      </c>
      <c r="R367" s="2" t="inlineStr"/>
    </row>
    <row r="368" ht="15" customHeight="1">
      <c r="A368" t="inlineStr">
        <is>
          <t>A 22019-2021</t>
        </is>
      </c>
      <c r="B368" s="1" t="n">
        <v>44323</v>
      </c>
      <c r="C368" s="1" t="n">
        <v>45918</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21168-2025</t>
        </is>
      </c>
      <c r="B369" s="1" t="n">
        <v>45777</v>
      </c>
      <c r="C369" s="1" t="n">
        <v>45918</v>
      </c>
      <c r="D369" t="inlineStr">
        <is>
          <t>VÄSTMANLANDS LÄN</t>
        </is>
      </c>
      <c r="E369" t="inlineStr">
        <is>
          <t>SALA</t>
        </is>
      </c>
      <c r="G369" t="n">
        <v>4.5</v>
      </c>
      <c r="H369" t="n">
        <v>0</v>
      </c>
      <c r="I369" t="n">
        <v>0</v>
      </c>
      <c r="J369" t="n">
        <v>0</v>
      </c>
      <c r="K369" t="n">
        <v>0</v>
      </c>
      <c r="L369" t="n">
        <v>0</v>
      </c>
      <c r="M369" t="n">
        <v>0</v>
      </c>
      <c r="N369" t="n">
        <v>0</v>
      </c>
      <c r="O369" t="n">
        <v>0</v>
      </c>
      <c r="P369" t="n">
        <v>0</v>
      </c>
      <c r="Q369" t="n">
        <v>0</v>
      </c>
      <c r="R369" s="2" t="inlineStr"/>
    </row>
    <row r="370" ht="15" customHeight="1">
      <c r="A370" t="inlineStr">
        <is>
          <t>A 55784-2024</t>
        </is>
      </c>
      <c r="B370" s="1" t="n">
        <v>45623</v>
      </c>
      <c r="C370" s="1" t="n">
        <v>45918</v>
      </c>
      <c r="D370" t="inlineStr">
        <is>
          <t>VÄSTMANLANDS LÄN</t>
        </is>
      </c>
      <c r="E370" t="inlineStr">
        <is>
          <t>SALA</t>
        </is>
      </c>
      <c r="F370" t="inlineStr">
        <is>
          <t>Bergvik skog öst AB</t>
        </is>
      </c>
      <c r="G370" t="n">
        <v>28.4</v>
      </c>
      <c r="H370" t="n">
        <v>0</v>
      </c>
      <c r="I370" t="n">
        <v>0</v>
      </c>
      <c r="J370" t="n">
        <v>0</v>
      </c>
      <c r="K370" t="n">
        <v>0</v>
      </c>
      <c r="L370" t="n">
        <v>0</v>
      </c>
      <c r="M370" t="n">
        <v>0</v>
      </c>
      <c r="N370" t="n">
        <v>0</v>
      </c>
      <c r="O370" t="n">
        <v>0</v>
      </c>
      <c r="P370" t="n">
        <v>0</v>
      </c>
      <c r="Q370" t="n">
        <v>0</v>
      </c>
      <c r="R370" s="2" t="inlineStr"/>
    </row>
    <row r="371" ht="15" customHeight="1">
      <c r="A371" t="inlineStr">
        <is>
          <t>A 16651-2021</t>
        </is>
      </c>
      <c r="B371" s="1" t="n">
        <v>44294.50096064815</v>
      </c>
      <c r="C371" s="1" t="n">
        <v>45918</v>
      </c>
      <c r="D371" t="inlineStr">
        <is>
          <t>VÄSTMANLANDS LÄN</t>
        </is>
      </c>
      <c r="E371" t="inlineStr">
        <is>
          <t>SALA</t>
        </is>
      </c>
      <c r="G371" t="n">
        <v>7.7</v>
      </c>
      <c r="H371" t="n">
        <v>0</v>
      </c>
      <c r="I371" t="n">
        <v>0</v>
      </c>
      <c r="J371" t="n">
        <v>0</v>
      </c>
      <c r="K371" t="n">
        <v>0</v>
      </c>
      <c r="L371" t="n">
        <v>0</v>
      </c>
      <c r="M371" t="n">
        <v>0</v>
      </c>
      <c r="N371" t="n">
        <v>0</v>
      </c>
      <c r="O371" t="n">
        <v>0</v>
      </c>
      <c r="P371" t="n">
        <v>0</v>
      </c>
      <c r="Q371" t="n">
        <v>0</v>
      </c>
      <c r="R371" s="2" t="inlineStr"/>
    </row>
    <row r="372" ht="15" customHeight="1">
      <c r="A372" t="inlineStr">
        <is>
          <t>A 66821-2020</t>
        </is>
      </c>
      <c r="B372" s="1" t="n">
        <v>44179.88008101852</v>
      </c>
      <c r="C372" s="1" t="n">
        <v>45918</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19803-2024</t>
        </is>
      </c>
      <c r="B373" s="1" t="n">
        <v>45432</v>
      </c>
      <c r="C373" s="1" t="n">
        <v>45918</v>
      </c>
      <c r="D373" t="inlineStr">
        <is>
          <t>VÄSTMANLANDS LÄN</t>
        </is>
      </c>
      <c r="E373" t="inlineStr">
        <is>
          <t>SALA</t>
        </is>
      </c>
      <c r="G373" t="n">
        <v>3.1</v>
      </c>
      <c r="H373" t="n">
        <v>0</v>
      </c>
      <c r="I373" t="n">
        <v>0</v>
      </c>
      <c r="J373" t="n">
        <v>0</v>
      </c>
      <c r="K373" t="n">
        <v>0</v>
      </c>
      <c r="L373" t="n">
        <v>0</v>
      </c>
      <c r="M373" t="n">
        <v>0</v>
      </c>
      <c r="N373" t="n">
        <v>0</v>
      </c>
      <c r="O373" t="n">
        <v>0</v>
      </c>
      <c r="P373" t="n">
        <v>0</v>
      </c>
      <c r="Q373" t="n">
        <v>0</v>
      </c>
      <c r="R373" s="2" t="inlineStr"/>
    </row>
    <row r="374" ht="15" customHeight="1">
      <c r="A374" t="inlineStr">
        <is>
          <t>A 28661-2024</t>
        </is>
      </c>
      <c r="B374" s="1" t="n">
        <v>45478</v>
      </c>
      <c r="C374" s="1" t="n">
        <v>45918</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27255-2023</t>
        </is>
      </c>
      <c r="B375" s="1" t="n">
        <v>45096</v>
      </c>
      <c r="C375" s="1" t="n">
        <v>45918</v>
      </c>
      <c r="D375" t="inlineStr">
        <is>
          <t>VÄSTMANLANDS LÄN</t>
        </is>
      </c>
      <c r="E375" t="inlineStr">
        <is>
          <t>SALA</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21738-2025</t>
        </is>
      </c>
      <c r="B376" s="1" t="n">
        <v>45783.59173611111</v>
      </c>
      <c r="C376" s="1" t="n">
        <v>45918</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21721-2025</t>
        </is>
      </c>
      <c r="B377" s="1" t="n">
        <v>45783</v>
      </c>
      <c r="C377" s="1" t="n">
        <v>45918</v>
      </c>
      <c r="D377" t="inlineStr">
        <is>
          <t>VÄSTMANLANDS LÄN</t>
        </is>
      </c>
      <c r="E377" t="inlineStr">
        <is>
          <t>SALA</t>
        </is>
      </c>
      <c r="G377" t="n">
        <v>6.1</v>
      </c>
      <c r="H377" t="n">
        <v>0</v>
      </c>
      <c r="I377" t="n">
        <v>0</v>
      </c>
      <c r="J377" t="n">
        <v>0</v>
      </c>
      <c r="K377" t="n">
        <v>0</v>
      </c>
      <c r="L377" t="n">
        <v>0</v>
      </c>
      <c r="M377" t="n">
        <v>0</v>
      </c>
      <c r="N377" t="n">
        <v>0</v>
      </c>
      <c r="O377" t="n">
        <v>0</v>
      </c>
      <c r="P377" t="n">
        <v>0</v>
      </c>
      <c r="Q377" t="n">
        <v>0</v>
      </c>
      <c r="R377" s="2" t="inlineStr"/>
    </row>
    <row r="378" ht="15" customHeight="1">
      <c r="A378" t="inlineStr">
        <is>
          <t>A 7196-2025</t>
        </is>
      </c>
      <c r="B378" s="1" t="n">
        <v>45702</v>
      </c>
      <c r="C378" s="1" t="n">
        <v>45918</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21754-2025</t>
        </is>
      </c>
      <c r="B379" s="1" t="n">
        <v>45783.61837962963</v>
      </c>
      <c r="C379" s="1" t="n">
        <v>45918</v>
      </c>
      <c r="D379" t="inlineStr">
        <is>
          <t>VÄSTMANLANDS LÄN</t>
        </is>
      </c>
      <c r="E379" t="inlineStr">
        <is>
          <t>SALA</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21751-2025</t>
        </is>
      </c>
      <c r="B380" s="1" t="n">
        <v>45783.61372685185</v>
      </c>
      <c r="C380" s="1" t="n">
        <v>45918</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40597-2022</t>
        </is>
      </c>
      <c r="B381" s="1" t="n">
        <v>44823.84862268518</v>
      </c>
      <c r="C381" s="1" t="n">
        <v>45918</v>
      </c>
      <c r="D381" t="inlineStr">
        <is>
          <t>VÄSTMANLANDS LÄN</t>
        </is>
      </c>
      <c r="E381" t="inlineStr">
        <is>
          <t>SALA</t>
        </is>
      </c>
      <c r="G381" t="n">
        <v>3.5</v>
      </c>
      <c r="H381" t="n">
        <v>0</v>
      </c>
      <c r="I381" t="n">
        <v>0</v>
      </c>
      <c r="J381" t="n">
        <v>0</v>
      </c>
      <c r="K381" t="n">
        <v>0</v>
      </c>
      <c r="L381" t="n">
        <v>0</v>
      </c>
      <c r="M381" t="n">
        <v>0</v>
      </c>
      <c r="N381" t="n">
        <v>0</v>
      </c>
      <c r="O381" t="n">
        <v>0</v>
      </c>
      <c r="P381" t="n">
        <v>0</v>
      </c>
      <c r="Q381" t="n">
        <v>0</v>
      </c>
      <c r="R381" s="2" t="inlineStr"/>
    </row>
    <row r="382" ht="15" customHeight="1">
      <c r="A382" t="inlineStr">
        <is>
          <t>A 7197-2025</t>
        </is>
      </c>
      <c r="B382" s="1" t="n">
        <v>45702</v>
      </c>
      <c r="C382" s="1" t="n">
        <v>45918</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12921-2025</t>
        </is>
      </c>
      <c r="B383" s="1" t="n">
        <v>45734.28016203704</v>
      </c>
      <c r="C383" s="1" t="n">
        <v>45918</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37587-2024</t>
        </is>
      </c>
      <c r="B384" s="1" t="n">
        <v>45541</v>
      </c>
      <c r="C384" s="1" t="n">
        <v>45918</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64925-2023</t>
        </is>
      </c>
      <c r="B385" s="1" t="n">
        <v>45282</v>
      </c>
      <c r="C385" s="1" t="n">
        <v>45918</v>
      </c>
      <c r="D385" t="inlineStr">
        <is>
          <t>VÄSTMANLANDS LÄN</t>
        </is>
      </c>
      <c r="E385" t="inlineStr">
        <is>
          <t>SALA</t>
        </is>
      </c>
      <c r="G385" t="n">
        <v>2.5</v>
      </c>
      <c r="H385" t="n">
        <v>0</v>
      </c>
      <c r="I385" t="n">
        <v>0</v>
      </c>
      <c r="J385" t="n">
        <v>0</v>
      </c>
      <c r="K385" t="n">
        <v>0</v>
      </c>
      <c r="L385" t="n">
        <v>0</v>
      </c>
      <c r="M385" t="n">
        <v>0</v>
      </c>
      <c r="N385" t="n">
        <v>0</v>
      </c>
      <c r="O385" t="n">
        <v>0</v>
      </c>
      <c r="P385" t="n">
        <v>0</v>
      </c>
      <c r="Q385" t="n">
        <v>0</v>
      </c>
      <c r="R385" s="2" t="inlineStr"/>
    </row>
    <row r="386" ht="15" customHeight="1">
      <c r="A386" t="inlineStr">
        <is>
          <t>A 23406-2024</t>
        </is>
      </c>
      <c r="B386" s="1" t="n">
        <v>45453.58296296297</v>
      </c>
      <c r="C386" s="1" t="n">
        <v>45918</v>
      </c>
      <c r="D386" t="inlineStr">
        <is>
          <t>VÄSTMANLANDS LÄN</t>
        </is>
      </c>
      <c r="E386" t="inlineStr">
        <is>
          <t>SALA</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13752-2025</t>
        </is>
      </c>
      <c r="B387" s="1" t="n">
        <v>45737.41416666667</v>
      </c>
      <c r="C387" s="1" t="n">
        <v>45918</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64724-2023</t>
        </is>
      </c>
      <c r="B388" s="1" t="n">
        <v>45281.7602662037</v>
      </c>
      <c r="C388" s="1" t="n">
        <v>45918</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16133-2025</t>
        </is>
      </c>
      <c r="B389" s="1" t="n">
        <v>45750</v>
      </c>
      <c r="C389" s="1" t="n">
        <v>45918</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15099-2025</t>
        </is>
      </c>
      <c r="B390" s="1" t="n">
        <v>45744.3434837963</v>
      </c>
      <c r="C390" s="1" t="n">
        <v>45918</v>
      </c>
      <c r="D390" t="inlineStr">
        <is>
          <t>VÄSTMANLANDS LÄN</t>
        </is>
      </c>
      <c r="E390" t="inlineStr">
        <is>
          <t>SALA</t>
        </is>
      </c>
      <c r="F390" t="inlineStr">
        <is>
          <t>Sveaskog</t>
        </is>
      </c>
      <c r="G390" t="n">
        <v>14.4</v>
      </c>
      <c r="H390" t="n">
        <v>0</v>
      </c>
      <c r="I390" t="n">
        <v>0</v>
      </c>
      <c r="J390" t="n">
        <v>0</v>
      </c>
      <c r="K390" t="n">
        <v>0</v>
      </c>
      <c r="L390" t="n">
        <v>0</v>
      </c>
      <c r="M390" t="n">
        <v>0</v>
      </c>
      <c r="N390" t="n">
        <v>0</v>
      </c>
      <c r="O390" t="n">
        <v>0</v>
      </c>
      <c r="P390" t="n">
        <v>0</v>
      </c>
      <c r="Q390" t="n">
        <v>0</v>
      </c>
      <c r="R390" s="2" t="inlineStr"/>
    </row>
    <row r="391" ht="15" customHeight="1">
      <c r="A391" t="inlineStr">
        <is>
          <t>A 2927-2024</t>
        </is>
      </c>
      <c r="B391" s="1" t="n">
        <v>45315.58989583333</v>
      </c>
      <c r="C391" s="1" t="n">
        <v>45918</v>
      </c>
      <c r="D391" t="inlineStr">
        <is>
          <t>VÄSTMANLANDS LÄN</t>
        </is>
      </c>
      <c r="E391" t="inlineStr">
        <is>
          <t>SALA</t>
        </is>
      </c>
      <c r="G391" t="n">
        <v>2.5</v>
      </c>
      <c r="H391" t="n">
        <v>0</v>
      </c>
      <c r="I391" t="n">
        <v>0</v>
      </c>
      <c r="J391" t="n">
        <v>0</v>
      </c>
      <c r="K391" t="n">
        <v>0</v>
      </c>
      <c r="L391" t="n">
        <v>0</v>
      </c>
      <c r="M391" t="n">
        <v>0</v>
      </c>
      <c r="N391" t="n">
        <v>0</v>
      </c>
      <c r="O391" t="n">
        <v>0</v>
      </c>
      <c r="P391" t="n">
        <v>0</v>
      </c>
      <c r="Q391" t="n">
        <v>0</v>
      </c>
      <c r="R391" s="2" t="inlineStr"/>
    </row>
    <row r="392" ht="15" customHeight="1">
      <c r="A392" t="inlineStr">
        <is>
          <t>A 26854-2024</t>
        </is>
      </c>
      <c r="B392" s="1" t="n">
        <v>45470</v>
      </c>
      <c r="C392" s="1" t="n">
        <v>45918</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row>
    <row r="393" ht="15" customHeight="1">
      <c r="A393" t="inlineStr">
        <is>
          <t>A 60036-2024</t>
        </is>
      </c>
      <c r="B393" s="1" t="n">
        <v>45642.46434027778</v>
      </c>
      <c r="C393" s="1" t="n">
        <v>45918</v>
      </c>
      <c r="D393" t="inlineStr">
        <is>
          <t>VÄSTMANLANDS LÄN</t>
        </is>
      </c>
      <c r="E393" t="inlineStr">
        <is>
          <t>SALA</t>
        </is>
      </c>
      <c r="G393" t="n">
        <v>2.5</v>
      </c>
      <c r="H393" t="n">
        <v>0</v>
      </c>
      <c r="I393" t="n">
        <v>0</v>
      </c>
      <c r="J393" t="n">
        <v>0</v>
      </c>
      <c r="K393" t="n">
        <v>0</v>
      </c>
      <c r="L393" t="n">
        <v>0</v>
      </c>
      <c r="M393" t="n">
        <v>0</v>
      </c>
      <c r="N393" t="n">
        <v>0</v>
      </c>
      <c r="O393" t="n">
        <v>0</v>
      </c>
      <c r="P393" t="n">
        <v>0</v>
      </c>
      <c r="Q393" t="n">
        <v>0</v>
      </c>
      <c r="R393" s="2" t="inlineStr"/>
    </row>
    <row r="394" ht="15" customHeight="1">
      <c r="A394" t="inlineStr">
        <is>
          <t>A 52827-2024</t>
        </is>
      </c>
      <c r="B394" s="1" t="n">
        <v>45610</v>
      </c>
      <c r="C394" s="1" t="n">
        <v>45918</v>
      </c>
      <c r="D394" t="inlineStr">
        <is>
          <t>VÄSTMANLANDS LÄN</t>
        </is>
      </c>
      <c r="E394" t="inlineStr">
        <is>
          <t>SALA</t>
        </is>
      </c>
      <c r="G394" t="n">
        <v>0.2</v>
      </c>
      <c r="H394" t="n">
        <v>0</v>
      </c>
      <c r="I394" t="n">
        <v>0</v>
      </c>
      <c r="J394" t="n">
        <v>0</v>
      </c>
      <c r="K394" t="n">
        <v>0</v>
      </c>
      <c r="L394" t="n">
        <v>0</v>
      </c>
      <c r="M394" t="n">
        <v>0</v>
      </c>
      <c r="N394" t="n">
        <v>0</v>
      </c>
      <c r="O394" t="n">
        <v>0</v>
      </c>
      <c r="P394" t="n">
        <v>0</v>
      </c>
      <c r="Q394" t="n">
        <v>0</v>
      </c>
      <c r="R394" s="2" t="inlineStr"/>
    </row>
    <row r="395" ht="15" customHeight="1">
      <c r="A395" t="inlineStr">
        <is>
          <t>A 7176-2023</t>
        </is>
      </c>
      <c r="B395" s="1" t="n">
        <v>44970</v>
      </c>
      <c r="C395" s="1" t="n">
        <v>45918</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6154-2025</t>
        </is>
      </c>
      <c r="B396" s="1" t="n">
        <v>45698.40719907408</v>
      </c>
      <c r="C396" s="1" t="n">
        <v>45918</v>
      </c>
      <c r="D396" t="inlineStr">
        <is>
          <t>VÄSTMANLANDS LÄN</t>
        </is>
      </c>
      <c r="E396" t="inlineStr">
        <is>
          <t>SALA</t>
        </is>
      </c>
      <c r="F396" t="inlineStr">
        <is>
          <t>Bergvik skog öst AB</t>
        </is>
      </c>
      <c r="G396" t="n">
        <v>3.9</v>
      </c>
      <c r="H396" t="n">
        <v>0</v>
      </c>
      <c r="I396" t="n">
        <v>0</v>
      </c>
      <c r="J396" t="n">
        <v>0</v>
      </c>
      <c r="K396" t="n">
        <v>0</v>
      </c>
      <c r="L396" t="n">
        <v>0</v>
      </c>
      <c r="M396" t="n">
        <v>0</v>
      </c>
      <c r="N396" t="n">
        <v>0</v>
      </c>
      <c r="O396" t="n">
        <v>0</v>
      </c>
      <c r="P396" t="n">
        <v>0</v>
      </c>
      <c r="Q396" t="n">
        <v>0</v>
      </c>
      <c r="R396" s="2" t="inlineStr"/>
    </row>
    <row r="397" ht="15" customHeight="1">
      <c r="A397" t="inlineStr">
        <is>
          <t>A 43600-2024</t>
        </is>
      </c>
      <c r="B397" s="1" t="n">
        <v>45569</v>
      </c>
      <c r="C397" s="1" t="n">
        <v>45918</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31405-2024</t>
        </is>
      </c>
      <c r="B398" s="1" t="n">
        <v>45505.5490625</v>
      </c>
      <c r="C398" s="1" t="n">
        <v>45918</v>
      </c>
      <c r="D398" t="inlineStr">
        <is>
          <t>VÄSTMANLANDS LÄN</t>
        </is>
      </c>
      <c r="E398" t="inlineStr">
        <is>
          <t>SALA</t>
        </is>
      </c>
      <c r="G398" t="n">
        <v>5.2</v>
      </c>
      <c r="H398" t="n">
        <v>0</v>
      </c>
      <c r="I398" t="n">
        <v>0</v>
      </c>
      <c r="J398" t="n">
        <v>0</v>
      </c>
      <c r="K398" t="n">
        <v>0</v>
      </c>
      <c r="L398" t="n">
        <v>0</v>
      </c>
      <c r="M398" t="n">
        <v>0</v>
      </c>
      <c r="N398" t="n">
        <v>0</v>
      </c>
      <c r="O398" t="n">
        <v>0</v>
      </c>
      <c r="P398" t="n">
        <v>0</v>
      </c>
      <c r="Q398" t="n">
        <v>0</v>
      </c>
      <c r="R398" s="2" t="inlineStr"/>
    </row>
    <row r="399" ht="15" customHeight="1">
      <c r="A399" t="inlineStr">
        <is>
          <t>A 16328-2025</t>
        </is>
      </c>
      <c r="B399" s="1" t="n">
        <v>45751</v>
      </c>
      <c r="C399" s="1" t="n">
        <v>45918</v>
      </c>
      <c r="D399" t="inlineStr">
        <is>
          <t>VÄSTMANLANDS LÄN</t>
        </is>
      </c>
      <c r="E399" t="inlineStr">
        <is>
          <t>SALA</t>
        </is>
      </c>
      <c r="G399" t="n">
        <v>2.9</v>
      </c>
      <c r="H399" t="n">
        <v>0</v>
      </c>
      <c r="I399" t="n">
        <v>0</v>
      </c>
      <c r="J399" t="n">
        <v>0</v>
      </c>
      <c r="K399" t="n">
        <v>0</v>
      </c>
      <c r="L399" t="n">
        <v>0</v>
      </c>
      <c r="M399" t="n">
        <v>0</v>
      </c>
      <c r="N399" t="n">
        <v>0</v>
      </c>
      <c r="O399" t="n">
        <v>0</v>
      </c>
      <c r="P399" t="n">
        <v>0</v>
      </c>
      <c r="Q399" t="n">
        <v>0</v>
      </c>
      <c r="R399" s="2" t="inlineStr"/>
    </row>
    <row r="400" ht="15" customHeight="1">
      <c r="A400" t="inlineStr">
        <is>
          <t>A 48570-2024</t>
        </is>
      </c>
      <c r="B400" s="1" t="n">
        <v>45591</v>
      </c>
      <c r="C400" s="1" t="n">
        <v>45918</v>
      </c>
      <c r="D400" t="inlineStr">
        <is>
          <t>VÄSTMANLANDS LÄN</t>
        </is>
      </c>
      <c r="E400" t="inlineStr">
        <is>
          <t>SALA</t>
        </is>
      </c>
      <c r="G400" t="n">
        <v>3</v>
      </c>
      <c r="H400" t="n">
        <v>0</v>
      </c>
      <c r="I400" t="n">
        <v>0</v>
      </c>
      <c r="J400" t="n">
        <v>0</v>
      </c>
      <c r="K400" t="n">
        <v>0</v>
      </c>
      <c r="L400" t="n">
        <v>0</v>
      </c>
      <c r="M400" t="n">
        <v>0</v>
      </c>
      <c r="N400" t="n">
        <v>0</v>
      </c>
      <c r="O400" t="n">
        <v>0</v>
      </c>
      <c r="P400" t="n">
        <v>0</v>
      </c>
      <c r="Q400" t="n">
        <v>0</v>
      </c>
      <c r="R400" s="2" t="inlineStr"/>
    </row>
    <row r="401" ht="15" customHeight="1">
      <c r="A401" t="inlineStr">
        <is>
          <t>A 10812-2021</t>
        </is>
      </c>
      <c r="B401" s="1" t="n">
        <v>44259</v>
      </c>
      <c r="C401" s="1" t="n">
        <v>45918</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22616-2025</t>
        </is>
      </c>
      <c r="B402" s="1" t="n">
        <v>45789.42752314815</v>
      </c>
      <c r="C402" s="1" t="n">
        <v>45918</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22353-2025</t>
        </is>
      </c>
      <c r="B403" s="1" t="n">
        <v>45786</v>
      </c>
      <c r="C403" s="1" t="n">
        <v>45918</v>
      </c>
      <c r="D403" t="inlineStr">
        <is>
          <t>VÄSTMANLANDS LÄN</t>
        </is>
      </c>
      <c r="E403" t="inlineStr">
        <is>
          <t>SALA</t>
        </is>
      </c>
      <c r="G403" t="n">
        <v>2.5</v>
      </c>
      <c r="H403" t="n">
        <v>0</v>
      </c>
      <c r="I403" t="n">
        <v>0</v>
      </c>
      <c r="J403" t="n">
        <v>0</v>
      </c>
      <c r="K403" t="n">
        <v>0</v>
      </c>
      <c r="L403" t="n">
        <v>0</v>
      </c>
      <c r="M403" t="n">
        <v>0</v>
      </c>
      <c r="N403" t="n">
        <v>0</v>
      </c>
      <c r="O403" t="n">
        <v>0</v>
      </c>
      <c r="P403" t="n">
        <v>0</v>
      </c>
      <c r="Q403" t="n">
        <v>0</v>
      </c>
      <c r="R403" s="2" t="inlineStr"/>
    </row>
    <row r="404" ht="15" customHeight="1">
      <c r="A404" t="inlineStr">
        <is>
          <t>A 57883-2024</t>
        </is>
      </c>
      <c r="B404" s="1" t="n">
        <v>45630</v>
      </c>
      <c r="C404" s="1" t="n">
        <v>45918</v>
      </c>
      <c r="D404" t="inlineStr">
        <is>
          <t>VÄSTMANLANDS LÄN</t>
        </is>
      </c>
      <c r="E404" t="inlineStr">
        <is>
          <t>SALA</t>
        </is>
      </c>
      <c r="G404" t="n">
        <v>5.4</v>
      </c>
      <c r="H404" t="n">
        <v>0</v>
      </c>
      <c r="I404" t="n">
        <v>0</v>
      </c>
      <c r="J404" t="n">
        <v>0</v>
      </c>
      <c r="K404" t="n">
        <v>0</v>
      </c>
      <c r="L404" t="n">
        <v>0</v>
      </c>
      <c r="M404" t="n">
        <v>0</v>
      </c>
      <c r="N404" t="n">
        <v>0</v>
      </c>
      <c r="O404" t="n">
        <v>0</v>
      </c>
      <c r="P404" t="n">
        <v>0</v>
      </c>
      <c r="Q404" t="n">
        <v>0</v>
      </c>
      <c r="R404" s="2" t="inlineStr"/>
    </row>
    <row r="405" ht="15" customHeight="1">
      <c r="A405" t="inlineStr">
        <is>
          <t>A 16769-2024</t>
        </is>
      </c>
      <c r="B405" s="1" t="n">
        <v>45411.38738425926</v>
      </c>
      <c r="C405" s="1" t="n">
        <v>45918</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18877-2023</t>
        </is>
      </c>
      <c r="B406" s="1" t="n">
        <v>45044</v>
      </c>
      <c r="C406" s="1" t="n">
        <v>45918</v>
      </c>
      <c r="D406" t="inlineStr">
        <is>
          <t>VÄSTMANLANDS LÄN</t>
        </is>
      </c>
      <c r="E406" t="inlineStr">
        <is>
          <t>SALA</t>
        </is>
      </c>
      <c r="F406" t="inlineStr">
        <is>
          <t>Kommuner</t>
        </is>
      </c>
      <c r="G406" t="n">
        <v>4.4</v>
      </c>
      <c r="H406" t="n">
        <v>0</v>
      </c>
      <c r="I406" t="n">
        <v>0</v>
      </c>
      <c r="J406" t="n">
        <v>0</v>
      </c>
      <c r="K406" t="n">
        <v>0</v>
      </c>
      <c r="L406" t="n">
        <v>0</v>
      </c>
      <c r="M406" t="n">
        <v>0</v>
      </c>
      <c r="N406" t="n">
        <v>0</v>
      </c>
      <c r="O406" t="n">
        <v>0</v>
      </c>
      <c r="P406" t="n">
        <v>0</v>
      </c>
      <c r="Q406" t="n">
        <v>0</v>
      </c>
      <c r="R406" s="2" t="inlineStr"/>
    </row>
    <row r="407" ht="15" customHeight="1">
      <c r="A407" t="inlineStr">
        <is>
          <t>A 22383-2025</t>
        </is>
      </c>
      <c r="B407" s="1" t="n">
        <v>45786</v>
      </c>
      <c r="C407" s="1" t="n">
        <v>45918</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66908-2021</t>
        </is>
      </c>
      <c r="B408" s="1" t="n">
        <v>44522</v>
      </c>
      <c r="C408" s="1" t="n">
        <v>45918</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73835-2021</t>
        </is>
      </c>
      <c r="B409" s="1" t="n">
        <v>44552.92112268518</v>
      </c>
      <c r="C409" s="1" t="n">
        <v>45918</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46279-2021</t>
        </is>
      </c>
      <c r="B410" s="1" t="n">
        <v>44442.57797453704</v>
      </c>
      <c r="C410" s="1" t="n">
        <v>45918</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3810-2023</t>
        </is>
      </c>
      <c r="B411" s="1" t="n">
        <v>44951.60454861111</v>
      </c>
      <c r="C411" s="1" t="n">
        <v>45918</v>
      </c>
      <c r="D411" t="inlineStr">
        <is>
          <t>VÄSTMANLANDS LÄN</t>
        </is>
      </c>
      <c r="E411" t="inlineStr">
        <is>
          <t>SALA</t>
        </is>
      </c>
      <c r="G411" t="n">
        <v>4.2</v>
      </c>
      <c r="H411" t="n">
        <v>0</v>
      </c>
      <c r="I411" t="n">
        <v>0</v>
      </c>
      <c r="J411" t="n">
        <v>0</v>
      </c>
      <c r="K411" t="n">
        <v>0</v>
      </c>
      <c r="L411" t="n">
        <v>0</v>
      </c>
      <c r="M411" t="n">
        <v>0</v>
      </c>
      <c r="N411" t="n">
        <v>0</v>
      </c>
      <c r="O411" t="n">
        <v>0</v>
      </c>
      <c r="P411" t="n">
        <v>0</v>
      </c>
      <c r="Q411" t="n">
        <v>0</v>
      </c>
      <c r="R411" s="2" t="inlineStr"/>
    </row>
    <row r="412" ht="15" customHeight="1">
      <c r="A412" t="inlineStr">
        <is>
          <t>A 44544-2024</t>
        </is>
      </c>
      <c r="B412" s="1" t="n">
        <v>45574.46119212963</v>
      </c>
      <c r="C412" s="1" t="n">
        <v>45918</v>
      </c>
      <c r="D412" t="inlineStr">
        <is>
          <t>VÄSTMANLANDS LÄN</t>
        </is>
      </c>
      <c r="E412" t="inlineStr">
        <is>
          <t>SALA</t>
        </is>
      </c>
      <c r="G412" t="n">
        <v>3.3</v>
      </c>
      <c r="H412" t="n">
        <v>0</v>
      </c>
      <c r="I412" t="n">
        <v>0</v>
      </c>
      <c r="J412" t="n">
        <v>0</v>
      </c>
      <c r="K412" t="n">
        <v>0</v>
      </c>
      <c r="L412" t="n">
        <v>0</v>
      </c>
      <c r="M412" t="n">
        <v>0</v>
      </c>
      <c r="N412" t="n">
        <v>0</v>
      </c>
      <c r="O412" t="n">
        <v>0</v>
      </c>
      <c r="P412" t="n">
        <v>0</v>
      </c>
      <c r="Q412" t="n">
        <v>0</v>
      </c>
      <c r="R412" s="2" t="inlineStr"/>
    </row>
    <row r="413" ht="15" customHeight="1">
      <c r="A413" t="inlineStr">
        <is>
          <t>A 60379-2022</t>
        </is>
      </c>
      <c r="B413" s="1" t="n">
        <v>44910</v>
      </c>
      <c r="C413" s="1" t="n">
        <v>45918</v>
      </c>
      <c r="D413" t="inlineStr">
        <is>
          <t>VÄSTMANLANDS LÄN</t>
        </is>
      </c>
      <c r="E413" t="inlineStr">
        <is>
          <t>SALA</t>
        </is>
      </c>
      <c r="F413" t="inlineStr">
        <is>
          <t>Kyrkan</t>
        </is>
      </c>
      <c r="G413" t="n">
        <v>2.5</v>
      </c>
      <c r="H413" t="n">
        <v>0</v>
      </c>
      <c r="I413" t="n">
        <v>0</v>
      </c>
      <c r="J413" t="n">
        <v>0</v>
      </c>
      <c r="K413" t="n">
        <v>0</v>
      </c>
      <c r="L413" t="n">
        <v>0</v>
      </c>
      <c r="M413" t="n">
        <v>0</v>
      </c>
      <c r="N413" t="n">
        <v>0</v>
      </c>
      <c r="O413" t="n">
        <v>0</v>
      </c>
      <c r="P413" t="n">
        <v>0</v>
      </c>
      <c r="Q413" t="n">
        <v>0</v>
      </c>
      <c r="R413" s="2" t="inlineStr"/>
    </row>
    <row r="414" ht="15" customHeight="1">
      <c r="A414" t="inlineStr">
        <is>
          <t>A 56547-2022</t>
        </is>
      </c>
      <c r="B414" s="1" t="n">
        <v>44893.48284722222</v>
      </c>
      <c r="C414" s="1" t="n">
        <v>45918</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29542-2023</t>
        </is>
      </c>
      <c r="B415" s="1" t="n">
        <v>45098</v>
      </c>
      <c r="C415" s="1" t="n">
        <v>45918</v>
      </c>
      <c r="D415" t="inlineStr">
        <is>
          <t>VÄSTMANLANDS LÄN</t>
        </is>
      </c>
      <c r="E415" t="inlineStr">
        <is>
          <t>SALA</t>
        </is>
      </c>
      <c r="G415" t="n">
        <v>4.8</v>
      </c>
      <c r="H415" t="n">
        <v>0</v>
      </c>
      <c r="I415" t="n">
        <v>0</v>
      </c>
      <c r="J415" t="n">
        <v>0</v>
      </c>
      <c r="K415" t="n">
        <v>0</v>
      </c>
      <c r="L415" t="n">
        <v>0</v>
      </c>
      <c r="M415" t="n">
        <v>0</v>
      </c>
      <c r="N415" t="n">
        <v>0</v>
      </c>
      <c r="O415" t="n">
        <v>0</v>
      </c>
      <c r="P415" t="n">
        <v>0</v>
      </c>
      <c r="Q415" t="n">
        <v>0</v>
      </c>
      <c r="R415" s="2" t="inlineStr"/>
    </row>
    <row r="416" ht="15" customHeight="1">
      <c r="A416" t="inlineStr">
        <is>
          <t>A 22624-2025</t>
        </is>
      </c>
      <c r="B416" s="1" t="n">
        <v>45789.43327546296</v>
      </c>
      <c r="C416" s="1" t="n">
        <v>45918</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29233-2022</t>
        </is>
      </c>
      <c r="B417" s="1" t="n">
        <v>44750</v>
      </c>
      <c r="C417" s="1" t="n">
        <v>45918</v>
      </c>
      <c r="D417" t="inlineStr">
        <is>
          <t>VÄSTMANLANDS LÄN</t>
        </is>
      </c>
      <c r="E417" t="inlineStr">
        <is>
          <t>SALA</t>
        </is>
      </c>
      <c r="G417" t="n">
        <v>2.4</v>
      </c>
      <c r="H417" t="n">
        <v>0</v>
      </c>
      <c r="I417" t="n">
        <v>0</v>
      </c>
      <c r="J417" t="n">
        <v>0</v>
      </c>
      <c r="K417" t="n">
        <v>0</v>
      </c>
      <c r="L417" t="n">
        <v>0</v>
      </c>
      <c r="M417" t="n">
        <v>0</v>
      </c>
      <c r="N417" t="n">
        <v>0</v>
      </c>
      <c r="O417" t="n">
        <v>0</v>
      </c>
      <c r="P417" t="n">
        <v>0</v>
      </c>
      <c r="Q417" t="n">
        <v>0</v>
      </c>
      <c r="R417" s="2" t="inlineStr"/>
    </row>
    <row r="418" ht="15" customHeight="1">
      <c r="A418" t="inlineStr">
        <is>
          <t>A 16638-2023</t>
        </is>
      </c>
      <c r="B418" s="1" t="n">
        <v>45027</v>
      </c>
      <c r="C418" s="1" t="n">
        <v>45918</v>
      </c>
      <c r="D418" t="inlineStr">
        <is>
          <t>VÄSTMANLANDS LÄN</t>
        </is>
      </c>
      <c r="E418" t="inlineStr">
        <is>
          <t>SALA</t>
        </is>
      </c>
      <c r="G418" t="n">
        <v>14.8</v>
      </c>
      <c r="H418" t="n">
        <v>0</v>
      </c>
      <c r="I418" t="n">
        <v>0</v>
      </c>
      <c r="J418" t="n">
        <v>0</v>
      </c>
      <c r="K418" t="n">
        <v>0</v>
      </c>
      <c r="L418" t="n">
        <v>0</v>
      </c>
      <c r="M418" t="n">
        <v>0</v>
      </c>
      <c r="N418" t="n">
        <v>0</v>
      </c>
      <c r="O418" t="n">
        <v>0</v>
      </c>
      <c r="P418" t="n">
        <v>0</v>
      </c>
      <c r="Q418" t="n">
        <v>0</v>
      </c>
      <c r="R418" s="2" t="inlineStr"/>
    </row>
    <row r="419" ht="15" customHeight="1">
      <c r="A419" t="inlineStr">
        <is>
          <t>A 22370-2025</t>
        </is>
      </c>
      <c r="B419" s="1" t="n">
        <v>45786</v>
      </c>
      <c r="C419" s="1" t="n">
        <v>45918</v>
      </c>
      <c r="D419" t="inlineStr">
        <is>
          <t>VÄSTMANLANDS LÄN</t>
        </is>
      </c>
      <c r="E419" t="inlineStr">
        <is>
          <t>SALA</t>
        </is>
      </c>
      <c r="G419" t="n">
        <v>3.2</v>
      </c>
      <c r="H419" t="n">
        <v>0</v>
      </c>
      <c r="I419" t="n">
        <v>0</v>
      </c>
      <c r="J419" t="n">
        <v>0</v>
      </c>
      <c r="K419" t="n">
        <v>0</v>
      </c>
      <c r="L419" t="n">
        <v>0</v>
      </c>
      <c r="M419" t="n">
        <v>0</v>
      </c>
      <c r="N419" t="n">
        <v>0</v>
      </c>
      <c r="O419" t="n">
        <v>0</v>
      </c>
      <c r="P419" t="n">
        <v>0</v>
      </c>
      <c r="Q419" t="n">
        <v>0</v>
      </c>
      <c r="R419" s="2" t="inlineStr"/>
    </row>
    <row r="420" ht="15" customHeight="1">
      <c r="A420" t="inlineStr">
        <is>
          <t>A 37190-2024</t>
        </is>
      </c>
      <c r="B420" s="1" t="n">
        <v>45539</v>
      </c>
      <c r="C420" s="1" t="n">
        <v>45918</v>
      </c>
      <c r="D420" t="inlineStr">
        <is>
          <t>VÄSTMANLANDS LÄN</t>
        </is>
      </c>
      <c r="E420" t="inlineStr">
        <is>
          <t>SALA</t>
        </is>
      </c>
      <c r="G420" t="n">
        <v>0.9</v>
      </c>
      <c r="H420" t="n">
        <v>0</v>
      </c>
      <c r="I420" t="n">
        <v>0</v>
      </c>
      <c r="J420" t="n">
        <v>0</v>
      </c>
      <c r="K420" t="n">
        <v>0</v>
      </c>
      <c r="L420" t="n">
        <v>0</v>
      </c>
      <c r="M420" t="n">
        <v>0</v>
      </c>
      <c r="N420" t="n">
        <v>0</v>
      </c>
      <c r="O420" t="n">
        <v>0</v>
      </c>
      <c r="P420" t="n">
        <v>0</v>
      </c>
      <c r="Q420" t="n">
        <v>0</v>
      </c>
      <c r="R420" s="2" t="inlineStr"/>
    </row>
    <row r="421" ht="15" customHeight="1">
      <c r="A421" t="inlineStr">
        <is>
          <t>A 12252-2023</t>
        </is>
      </c>
      <c r="B421" s="1" t="n">
        <v>44995</v>
      </c>
      <c r="C421" s="1" t="n">
        <v>45918</v>
      </c>
      <c r="D421" t="inlineStr">
        <is>
          <t>VÄSTMANLANDS LÄN</t>
        </is>
      </c>
      <c r="E421" t="inlineStr">
        <is>
          <t>SALA</t>
        </is>
      </c>
      <c r="G421" t="n">
        <v>2.6</v>
      </c>
      <c r="H421" t="n">
        <v>0</v>
      </c>
      <c r="I421" t="n">
        <v>0</v>
      </c>
      <c r="J421" t="n">
        <v>0</v>
      </c>
      <c r="K421" t="n">
        <v>0</v>
      </c>
      <c r="L421" t="n">
        <v>0</v>
      </c>
      <c r="M421" t="n">
        <v>0</v>
      </c>
      <c r="N421" t="n">
        <v>0</v>
      </c>
      <c r="O421" t="n">
        <v>0</v>
      </c>
      <c r="P421" t="n">
        <v>0</v>
      </c>
      <c r="Q421" t="n">
        <v>0</v>
      </c>
      <c r="R421" s="2" t="inlineStr"/>
    </row>
    <row r="422" ht="15" customHeight="1">
      <c r="A422" t="inlineStr">
        <is>
          <t>A 23222-2023</t>
        </is>
      </c>
      <c r="B422" s="1" t="n">
        <v>45075</v>
      </c>
      <c r="C422" s="1" t="n">
        <v>45918</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23224-2023</t>
        </is>
      </c>
      <c r="B423" s="1" t="n">
        <v>45075.65040509259</v>
      </c>
      <c r="C423" s="1" t="n">
        <v>45918</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13130-2025</t>
        </is>
      </c>
      <c r="B424" s="1" t="n">
        <v>45734</v>
      </c>
      <c r="C424" s="1" t="n">
        <v>45918</v>
      </c>
      <c r="D424" t="inlineStr">
        <is>
          <t>VÄSTMANLANDS LÄN</t>
        </is>
      </c>
      <c r="E424" t="inlineStr">
        <is>
          <t>SALA</t>
        </is>
      </c>
      <c r="G424" t="n">
        <v>1.5</v>
      </c>
      <c r="H424" t="n">
        <v>0</v>
      </c>
      <c r="I424" t="n">
        <v>0</v>
      </c>
      <c r="J424" t="n">
        <v>0</v>
      </c>
      <c r="K424" t="n">
        <v>0</v>
      </c>
      <c r="L424" t="n">
        <v>0</v>
      </c>
      <c r="M424" t="n">
        <v>0</v>
      </c>
      <c r="N424" t="n">
        <v>0</v>
      </c>
      <c r="O424" t="n">
        <v>0</v>
      </c>
      <c r="P424" t="n">
        <v>0</v>
      </c>
      <c r="Q424" t="n">
        <v>0</v>
      </c>
      <c r="R424" s="2" t="inlineStr"/>
    </row>
    <row r="425" ht="15" customHeight="1">
      <c r="A425" t="inlineStr">
        <is>
          <t>A 25260-2023</t>
        </is>
      </c>
      <c r="B425" s="1" t="n">
        <v>45086</v>
      </c>
      <c r="C425" s="1" t="n">
        <v>45918</v>
      </c>
      <c r="D425" t="inlineStr">
        <is>
          <t>VÄSTMANLANDS LÄN</t>
        </is>
      </c>
      <c r="E425" t="inlineStr">
        <is>
          <t>SALA</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57404-2024</t>
        </is>
      </c>
      <c r="B426" s="1" t="n">
        <v>45629.71967592592</v>
      </c>
      <c r="C426" s="1" t="n">
        <v>45918</v>
      </c>
      <c r="D426" t="inlineStr">
        <is>
          <t>VÄSTMANLANDS LÄN</t>
        </is>
      </c>
      <c r="E426" t="inlineStr">
        <is>
          <t>SALA</t>
        </is>
      </c>
      <c r="G426" t="n">
        <v>0.3</v>
      </c>
      <c r="H426" t="n">
        <v>0</v>
      </c>
      <c r="I426" t="n">
        <v>0</v>
      </c>
      <c r="J426" t="n">
        <v>0</v>
      </c>
      <c r="K426" t="n">
        <v>0</v>
      </c>
      <c r="L426" t="n">
        <v>0</v>
      </c>
      <c r="M426" t="n">
        <v>0</v>
      </c>
      <c r="N426" t="n">
        <v>0</v>
      </c>
      <c r="O426" t="n">
        <v>0</v>
      </c>
      <c r="P426" t="n">
        <v>0</v>
      </c>
      <c r="Q426" t="n">
        <v>0</v>
      </c>
      <c r="R426" s="2" t="inlineStr"/>
    </row>
    <row r="427" ht="15" customHeight="1">
      <c r="A427" t="inlineStr">
        <is>
          <t>A 22026-2021</t>
        </is>
      </c>
      <c r="B427" s="1" t="n">
        <v>44323</v>
      </c>
      <c r="C427" s="1" t="n">
        <v>45918</v>
      </c>
      <c r="D427" t="inlineStr">
        <is>
          <t>VÄSTMANLANDS LÄN</t>
        </is>
      </c>
      <c r="E427" t="inlineStr">
        <is>
          <t>SALA</t>
        </is>
      </c>
      <c r="G427" t="n">
        <v>2.9</v>
      </c>
      <c r="H427" t="n">
        <v>0</v>
      </c>
      <c r="I427" t="n">
        <v>0</v>
      </c>
      <c r="J427" t="n">
        <v>0</v>
      </c>
      <c r="K427" t="n">
        <v>0</v>
      </c>
      <c r="L427" t="n">
        <v>0</v>
      </c>
      <c r="M427" t="n">
        <v>0</v>
      </c>
      <c r="N427" t="n">
        <v>0</v>
      </c>
      <c r="O427" t="n">
        <v>0</v>
      </c>
      <c r="P427" t="n">
        <v>0</v>
      </c>
      <c r="Q427" t="n">
        <v>0</v>
      </c>
      <c r="R427" s="2" t="inlineStr"/>
    </row>
    <row r="428" ht="15" customHeight="1">
      <c r="A428" t="inlineStr">
        <is>
          <t>A 68864-2021</t>
        </is>
      </c>
      <c r="B428" s="1" t="n">
        <v>44530</v>
      </c>
      <c r="C428" s="1" t="n">
        <v>45918</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13128-2023</t>
        </is>
      </c>
      <c r="B429" s="1" t="n">
        <v>45002</v>
      </c>
      <c r="C429" s="1" t="n">
        <v>45918</v>
      </c>
      <c r="D429" t="inlineStr">
        <is>
          <t>VÄSTMANLANDS LÄN</t>
        </is>
      </c>
      <c r="E429" t="inlineStr">
        <is>
          <t>SALA</t>
        </is>
      </c>
      <c r="G429" t="n">
        <v>7.9</v>
      </c>
      <c r="H429" t="n">
        <v>0</v>
      </c>
      <c r="I429" t="n">
        <v>0</v>
      </c>
      <c r="J429" t="n">
        <v>0</v>
      </c>
      <c r="K429" t="n">
        <v>0</v>
      </c>
      <c r="L429" t="n">
        <v>0</v>
      </c>
      <c r="M429" t="n">
        <v>0</v>
      </c>
      <c r="N429" t="n">
        <v>0</v>
      </c>
      <c r="O429" t="n">
        <v>0</v>
      </c>
      <c r="P429" t="n">
        <v>0</v>
      </c>
      <c r="Q429" t="n">
        <v>0</v>
      </c>
      <c r="R429" s="2" t="inlineStr"/>
    </row>
    <row r="430" ht="15" customHeight="1">
      <c r="A430" t="inlineStr">
        <is>
          <t>A 43359-2024</t>
        </is>
      </c>
      <c r="B430" s="1" t="n">
        <v>45568.57724537037</v>
      </c>
      <c r="C430" s="1" t="n">
        <v>45918</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23804-2025</t>
        </is>
      </c>
      <c r="B431" s="1" t="n">
        <v>45793.55995370371</v>
      </c>
      <c r="C431" s="1" t="n">
        <v>45918</v>
      </c>
      <c r="D431" t="inlineStr">
        <is>
          <t>VÄSTMANLANDS LÄN</t>
        </is>
      </c>
      <c r="E431" t="inlineStr">
        <is>
          <t>SALA</t>
        </is>
      </c>
      <c r="G431" t="n">
        <v>1.9</v>
      </c>
      <c r="H431" t="n">
        <v>0</v>
      </c>
      <c r="I431" t="n">
        <v>0</v>
      </c>
      <c r="J431" t="n">
        <v>0</v>
      </c>
      <c r="K431" t="n">
        <v>0</v>
      </c>
      <c r="L431" t="n">
        <v>0</v>
      </c>
      <c r="M431" t="n">
        <v>0</v>
      </c>
      <c r="N431" t="n">
        <v>0</v>
      </c>
      <c r="O431" t="n">
        <v>0</v>
      </c>
      <c r="P431" t="n">
        <v>0</v>
      </c>
      <c r="Q431" t="n">
        <v>0</v>
      </c>
      <c r="R431" s="2" t="inlineStr"/>
    </row>
    <row r="432" ht="15" customHeight="1">
      <c r="A432" t="inlineStr">
        <is>
          <t>A 22126-2025</t>
        </is>
      </c>
      <c r="B432" s="1" t="n">
        <v>45785</v>
      </c>
      <c r="C432" s="1" t="n">
        <v>45918</v>
      </c>
      <c r="D432" t="inlineStr">
        <is>
          <t>VÄSTMANLANDS LÄN</t>
        </is>
      </c>
      <c r="E432" t="inlineStr">
        <is>
          <t>SALA</t>
        </is>
      </c>
      <c r="G432" t="n">
        <v>10.6</v>
      </c>
      <c r="H432" t="n">
        <v>0</v>
      </c>
      <c r="I432" t="n">
        <v>0</v>
      </c>
      <c r="J432" t="n">
        <v>0</v>
      </c>
      <c r="K432" t="n">
        <v>0</v>
      </c>
      <c r="L432" t="n">
        <v>0</v>
      </c>
      <c r="M432" t="n">
        <v>0</v>
      </c>
      <c r="N432" t="n">
        <v>0</v>
      </c>
      <c r="O432" t="n">
        <v>0</v>
      </c>
      <c r="P432" t="n">
        <v>0</v>
      </c>
      <c r="Q432" t="n">
        <v>0</v>
      </c>
      <c r="R432" s="2" t="inlineStr"/>
    </row>
    <row r="433" ht="15" customHeight="1">
      <c r="A433" t="inlineStr">
        <is>
          <t>A 19297-2025</t>
        </is>
      </c>
      <c r="B433" s="1" t="n">
        <v>45769.56261574074</v>
      </c>
      <c r="C433" s="1" t="n">
        <v>45918</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23810-2025</t>
        </is>
      </c>
      <c r="B434" s="1" t="n">
        <v>45793.56989583333</v>
      </c>
      <c r="C434" s="1" t="n">
        <v>45918</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19065-2022</t>
        </is>
      </c>
      <c r="B435" s="1" t="n">
        <v>44691.44309027777</v>
      </c>
      <c r="C435" s="1" t="n">
        <v>45918</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37612-2024</t>
        </is>
      </c>
      <c r="B436" s="1" t="n">
        <v>45541</v>
      </c>
      <c r="C436" s="1" t="n">
        <v>45918</v>
      </c>
      <c r="D436" t="inlineStr">
        <is>
          <t>VÄSTMANLANDS LÄN</t>
        </is>
      </c>
      <c r="E436" t="inlineStr">
        <is>
          <t>SALA</t>
        </is>
      </c>
      <c r="G436" t="n">
        <v>2.2</v>
      </c>
      <c r="H436" t="n">
        <v>0</v>
      </c>
      <c r="I436" t="n">
        <v>0</v>
      </c>
      <c r="J436" t="n">
        <v>0</v>
      </c>
      <c r="K436" t="n">
        <v>0</v>
      </c>
      <c r="L436" t="n">
        <v>0</v>
      </c>
      <c r="M436" t="n">
        <v>0</v>
      </c>
      <c r="N436" t="n">
        <v>0</v>
      </c>
      <c r="O436" t="n">
        <v>0</v>
      </c>
      <c r="P436" t="n">
        <v>0</v>
      </c>
      <c r="Q436" t="n">
        <v>0</v>
      </c>
      <c r="R436" s="2" t="inlineStr"/>
    </row>
    <row r="437" ht="15" customHeight="1">
      <c r="A437" t="inlineStr">
        <is>
          <t>A 37615-2024</t>
        </is>
      </c>
      <c r="B437" s="1" t="n">
        <v>45541.50673611111</v>
      </c>
      <c r="C437" s="1" t="n">
        <v>45918</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18158-2025</t>
        </is>
      </c>
      <c r="B438" s="1" t="n">
        <v>45761</v>
      </c>
      <c r="C438" s="1" t="n">
        <v>45918</v>
      </c>
      <c r="D438" t="inlineStr">
        <is>
          <t>VÄSTMANLANDS LÄN</t>
        </is>
      </c>
      <c r="E438" t="inlineStr">
        <is>
          <t>SALA</t>
        </is>
      </c>
      <c r="F438" t="inlineStr">
        <is>
          <t>Bergvik skog öst AB</t>
        </is>
      </c>
      <c r="G438" t="n">
        <v>1.6</v>
      </c>
      <c r="H438" t="n">
        <v>0</v>
      </c>
      <c r="I438" t="n">
        <v>0</v>
      </c>
      <c r="J438" t="n">
        <v>0</v>
      </c>
      <c r="K438" t="n">
        <v>0</v>
      </c>
      <c r="L438" t="n">
        <v>0</v>
      </c>
      <c r="M438" t="n">
        <v>0</v>
      </c>
      <c r="N438" t="n">
        <v>0</v>
      </c>
      <c r="O438" t="n">
        <v>0</v>
      </c>
      <c r="P438" t="n">
        <v>0</v>
      </c>
      <c r="Q438" t="n">
        <v>0</v>
      </c>
      <c r="R438" s="2" t="inlineStr"/>
    </row>
    <row r="439" ht="15" customHeight="1">
      <c r="A439" t="inlineStr">
        <is>
          <t>A 9962-2025</t>
        </is>
      </c>
      <c r="B439" s="1" t="n">
        <v>45719.37072916667</v>
      </c>
      <c r="C439" s="1" t="n">
        <v>45918</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24864-2024</t>
        </is>
      </c>
      <c r="B440" s="1" t="n">
        <v>45461.48888888889</v>
      </c>
      <c r="C440" s="1" t="n">
        <v>45918</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24169-2025</t>
        </is>
      </c>
      <c r="B441" s="1" t="n">
        <v>45796</v>
      </c>
      <c r="C441" s="1" t="n">
        <v>45918</v>
      </c>
      <c r="D441" t="inlineStr">
        <is>
          <t>VÄSTMANLANDS LÄN</t>
        </is>
      </c>
      <c r="E441" t="inlineStr">
        <is>
          <t>SALA</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11210-2025</t>
        </is>
      </c>
      <c r="B442" s="1" t="n">
        <v>45726</v>
      </c>
      <c r="C442" s="1" t="n">
        <v>45918</v>
      </c>
      <c r="D442" t="inlineStr">
        <is>
          <t>VÄSTMANLANDS LÄN</t>
        </is>
      </c>
      <c r="E442" t="inlineStr">
        <is>
          <t>SALA</t>
        </is>
      </c>
      <c r="G442" t="n">
        <v>4.1</v>
      </c>
      <c r="H442" t="n">
        <v>0</v>
      </c>
      <c r="I442" t="n">
        <v>0</v>
      </c>
      <c r="J442" t="n">
        <v>0</v>
      </c>
      <c r="K442" t="n">
        <v>0</v>
      </c>
      <c r="L442" t="n">
        <v>0</v>
      </c>
      <c r="M442" t="n">
        <v>0</v>
      </c>
      <c r="N442" t="n">
        <v>0</v>
      </c>
      <c r="O442" t="n">
        <v>0</v>
      </c>
      <c r="P442" t="n">
        <v>0</v>
      </c>
      <c r="Q442" t="n">
        <v>0</v>
      </c>
      <c r="R442" s="2" t="inlineStr"/>
    </row>
    <row r="443" ht="15" customHeight="1">
      <c r="A443" t="inlineStr">
        <is>
          <t>A 37602-2024</t>
        </is>
      </c>
      <c r="B443" s="1" t="n">
        <v>45541</v>
      </c>
      <c r="C443" s="1" t="n">
        <v>45918</v>
      </c>
      <c r="D443" t="inlineStr">
        <is>
          <t>VÄSTMANLANDS LÄN</t>
        </is>
      </c>
      <c r="E443" t="inlineStr">
        <is>
          <t>SALA</t>
        </is>
      </c>
      <c r="G443" t="n">
        <v>1.5</v>
      </c>
      <c r="H443" t="n">
        <v>0</v>
      </c>
      <c r="I443" t="n">
        <v>0</v>
      </c>
      <c r="J443" t="n">
        <v>0</v>
      </c>
      <c r="K443" t="n">
        <v>0</v>
      </c>
      <c r="L443" t="n">
        <v>0</v>
      </c>
      <c r="M443" t="n">
        <v>0</v>
      </c>
      <c r="N443" t="n">
        <v>0</v>
      </c>
      <c r="O443" t="n">
        <v>0</v>
      </c>
      <c r="P443" t="n">
        <v>0</v>
      </c>
      <c r="Q443" t="n">
        <v>0</v>
      </c>
      <c r="R443" s="2" t="inlineStr"/>
    </row>
    <row r="444" ht="15" customHeight="1">
      <c r="A444" t="inlineStr">
        <is>
          <t>A 18762-2024</t>
        </is>
      </c>
      <c r="B444" s="1" t="n">
        <v>45426.55240740741</v>
      </c>
      <c r="C444" s="1" t="n">
        <v>45918</v>
      </c>
      <c r="D444" t="inlineStr">
        <is>
          <t>VÄSTMANLANDS LÄN</t>
        </is>
      </c>
      <c r="E444" t="inlineStr">
        <is>
          <t>SALA</t>
        </is>
      </c>
      <c r="G444" t="n">
        <v>6.2</v>
      </c>
      <c r="H444" t="n">
        <v>0</v>
      </c>
      <c r="I444" t="n">
        <v>0</v>
      </c>
      <c r="J444" t="n">
        <v>0</v>
      </c>
      <c r="K444" t="n">
        <v>0</v>
      </c>
      <c r="L444" t="n">
        <v>0</v>
      </c>
      <c r="M444" t="n">
        <v>0</v>
      </c>
      <c r="N444" t="n">
        <v>0</v>
      </c>
      <c r="O444" t="n">
        <v>0</v>
      </c>
      <c r="P444" t="n">
        <v>0</v>
      </c>
      <c r="Q444" t="n">
        <v>0</v>
      </c>
      <c r="R444" s="2" t="inlineStr"/>
    </row>
    <row r="445" ht="15" customHeight="1">
      <c r="A445" t="inlineStr">
        <is>
          <t>A 24944-2023</t>
        </is>
      </c>
      <c r="B445" s="1" t="n">
        <v>45085</v>
      </c>
      <c r="C445" s="1" t="n">
        <v>45918</v>
      </c>
      <c r="D445" t="inlineStr">
        <is>
          <t>VÄSTMANLANDS LÄN</t>
        </is>
      </c>
      <c r="E445" t="inlineStr">
        <is>
          <t>SALA</t>
        </is>
      </c>
      <c r="G445" t="n">
        <v>3.8</v>
      </c>
      <c r="H445" t="n">
        <v>0</v>
      </c>
      <c r="I445" t="n">
        <v>0</v>
      </c>
      <c r="J445" t="n">
        <v>0</v>
      </c>
      <c r="K445" t="n">
        <v>0</v>
      </c>
      <c r="L445" t="n">
        <v>0</v>
      </c>
      <c r="M445" t="n">
        <v>0</v>
      </c>
      <c r="N445" t="n">
        <v>0</v>
      </c>
      <c r="O445" t="n">
        <v>0</v>
      </c>
      <c r="P445" t="n">
        <v>0</v>
      </c>
      <c r="Q445" t="n">
        <v>0</v>
      </c>
      <c r="R445" s="2" t="inlineStr"/>
    </row>
    <row r="446" ht="15" customHeight="1">
      <c r="A446" t="inlineStr">
        <is>
          <t>A 39011-2023</t>
        </is>
      </c>
      <c r="B446" s="1" t="n">
        <v>45162</v>
      </c>
      <c r="C446" s="1" t="n">
        <v>45918</v>
      </c>
      <c r="D446" t="inlineStr">
        <is>
          <t>VÄSTMANLANDS LÄN</t>
        </is>
      </c>
      <c r="E446" t="inlineStr">
        <is>
          <t>SALA</t>
        </is>
      </c>
      <c r="G446" t="n">
        <v>1.6</v>
      </c>
      <c r="H446" t="n">
        <v>0</v>
      </c>
      <c r="I446" t="n">
        <v>0</v>
      </c>
      <c r="J446" t="n">
        <v>0</v>
      </c>
      <c r="K446" t="n">
        <v>0</v>
      </c>
      <c r="L446" t="n">
        <v>0</v>
      </c>
      <c r="M446" t="n">
        <v>0</v>
      </c>
      <c r="N446" t="n">
        <v>0</v>
      </c>
      <c r="O446" t="n">
        <v>0</v>
      </c>
      <c r="P446" t="n">
        <v>0</v>
      </c>
      <c r="Q446" t="n">
        <v>0</v>
      </c>
      <c r="R446" s="2" t="inlineStr"/>
    </row>
    <row r="447" ht="15" customHeight="1">
      <c r="A447" t="inlineStr">
        <is>
          <t>A 24755-2021</t>
        </is>
      </c>
      <c r="B447" s="1" t="n">
        <v>44340</v>
      </c>
      <c r="C447" s="1" t="n">
        <v>45918</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46352-2023</t>
        </is>
      </c>
      <c r="B448" s="1" t="n">
        <v>45192</v>
      </c>
      <c r="C448" s="1" t="n">
        <v>45918</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43751-2021</t>
        </is>
      </c>
      <c r="B449" s="1" t="n">
        <v>44433</v>
      </c>
      <c r="C449" s="1" t="n">
        <v>45918</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1128-2025</t>
        </is>
      </c>
      <c r="B450" s="1" t="n">
        <v>45666.68469907407</v>
      </c>
      <c r="C450" s="1" t="n">
        <v>45918</v>
      </c>
      <c r="D450" t="inlineStr">
        <is>
          <t>VÄSTMANLANDS LÄN</t>
        </is>
      </c>
      <c r="E450" t="inlineStr">
        <is>
          <t>SALA</t>
        </is>
      </c>
      <c r="G450" t="n">
        <v>2.5</v>
      </c>
      <c r="H450" t="n">
        <v>0</v>
      </c>
      <c r="I450" t="n">
        <v>0</v>
      </c>
      <c r="J450" t="n">
        <v>0</v>
      </c>
      <c r="K450" t="n">
        <v>0</v>
      </c>
      <c r="L450" t="n">
        <v>0</v>
      </c>
      <c r="M450" t="n">
        <v>0</v>
      </c>
      <c r="N450" t="n">
        <v>0</v>
      </c>
      <c r="O450" t="n">
        <v>0</v>
      </c>
      <c r="P450" t="n">
        <v>0</v>
      </c>
      <c r="Q450" t="n">
        <v>0</v>
      </c>
      <c r="R450" s="2" t="inlineStr"/>
    </row>
    <row r="451" ht="15" customHeight="1">
      <c r="A451" t="inlineStr">
        <is>
          <t>A 61717-2024</t>
        </is>
      </c>
      <c r="B451" s="1" t="n">
        <v>45648</v>
      </c>
      <c r="C451" s="1" t="n">
        <v>45918</v>
      </c>
      <c r="D451" t="inlineStr">
        <is>
          <t>VÄSTMANLANDS LÄN</t>
        </is>
      </c>
      <c r="E451" t="inlineStr">
        <is>
          <t>SALA</t>
        </is>
      </c>
      <c r="G451" t="n">
        <v>3.7</v>
      </c>
      <c r="H451" t="n">
        <v>0</v>
      </c>
      <c r="I451" t="n">
        <v>0</v>
      </c>
      <c r="J451" t="n">
        <v>0</v>
      </c>
      <c r="K451" t="n">
        <v>0</v>
      </c>
      <c r="L451" t="n">
        <v>0</v>
      </c>
      <c r="M451" t="n">
        <v>0</v>
      </c>
      <c r="N451" t="n">
        <v>0</v>
      </c>
      <c r="O451" t="n">
        <v>0</v>
      </c>
      <c r="P451" t="n">
        <v>0</v>
      </c>
      <c r="Q451" t="n">
        <v>0</v>
      </c>
      <c r="R451" s="2" t="inlineStr"/>
    </row>
    <row r="452" ht="15" customHeight="1">
      <c r="A452" t="inlineStr">
        <is>
          <t>A 24460-2025</t>
        </is>
      </c>
      <c r="B452" s="1" t="n">
        <v>45798</v>
      </c>
      <c r="C452" s="1" t="n">
        <v>45918</v>
      </c>
      <c r="D452" t="inlineStr">
        <is>
          <t>VÄSTMANLANDS LÄN</t>
        </is>
      </c>
      <c r="E452" t="inlineStr">
        <is>
          <t>SALA</t>
        </is>
      </c>
      <c r="F452" t="inlineStr">
        <is>
          <t>Bergvik skog öst AB</t>
        </is>
      </c>
      <c r="G452" t="n">
        <v>2.6</v>
      </c>
      <c r="H452" t="n">
        <v>0</v>
      </c>
      <c r="I452" t="n">
        <v>0</v>
      </c>
      <c r="J452" t="n">
        <v>0</v>
      </c>
      <c r="K452" t="n">
        <v>0</v>
      </c>
      <c r="L452" t="n">
        <v>0</v>
      </c>
      <c r="M452" t="n">
        <v>0</v>
      </c>
      <c r="N452" t="n">
        <v>0</v>
      </c>
      <c r="O452" t="n">
        <v>0</v>
      </c>
      <c r="P452" t="n">
        <v>0</v>
      </c>
      <c r="Q452" t="n">
        <v>0</v>
      </c>
      <c r="R452" s="2" t="inlineStr"/>
    </row>
    <row r="453" ht="15" customHeight="1">
      <c r="A453" t="inlineStr">
        <is>
          <t>A 24463-2025</t>
        </is>
      </c>
      <c r="B453" s="1" t="n">
        <v>45798</v>
      </c>
      <c r="C453" s="1" t="n">
        <v>45918</v>
      </c>
      <c r="D453" t="inlineStr">
        <is>
          <t>VÄSTMANLANDS LÄN</t>
        </is>
      </c>
      <c r="E453" t="inlineStr">
        <is>
          <t>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55065-2024</t>
        </is>
      </c>
      <c r="B454" s="1" t="n">
        <v>45618</v>
      </c>
      <c r="C454" s="1" t="n">
        <v>45918</v>
      </c>
      <c r="D454" t="inlineStr">
        <is>
          <t>VÄSTMANLANDS LÄN</t>
        </is>
      </c>
      <c r="E454" t="inlineStr">
        <is>
          <t>SALA</t>
        </is>
      </c>
      <c r="G454" t="n">
        <v>3.5</v>
      </c>
      <c r="H454" t="n">
        <v>0</v>
      </c>
      <c r="I454" t="n">
        <v>0</v>
      </c>
      <c r="J454" t="n">
        <v>0</v>
      </c>
      <c r="K454" t="n">
        <v>0</v>
      </c>
      <c r="L454" t="n">
        <v>0</v>
      </c>
      <c r="M454" t="n">
        <v>0</v>
      </c>
      <c r="N454" t="n">
        <v>0</v>
      </c>
      <c r="O454" t="n">
        <v>0</v>
      </c>
      <c r="P454" t="n">
        <v>0</v>
      </c>
      <c r="Q454" t="n">
        <v>0</v>
      </c>
      <c r="R454" s="2" t="inlineStr"/>
    </row>
    <row r="455" ht="15" customHeight="1">
      <c r="A455" t="inlineStr">
        <is>
          <t>A 17495-2024</t>
        </is>
      </c>
      <c r="B455" s="1" t="n">
        <v>45415</v>
      </c>
      <c r="C455" s="1" t="n">
        <v>45918</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24907-2025</t>
        </is>
      </c>
      <c r="B456" s="1" t="n">
        <v>45799</v>
      </c>
      <c r="C456" s="1" t="n">
        <v>45918</v>
      </c>
      <c r="D456" t="inlineStr">
        <is>
          <t>VÄSTMANLANDS LÄN</t>
        </is>
      </c>
      <c r="E456" t="inlineStr">
        <is>
          <t>SALA</t>
        </is>
      </c>
      <c r="G456" t="n">
        <v>3.5</v>
      </c>
      <c r="H456" t="n">
        <v>0</v>
      </c>
      <c r="I456" t="n">
        <v>0</v>
      </c>
      <c r="J456" t="n">
        <v>0</v>
      </c>
      <c r="K456" t="n">
        <v>0</v>
      </c>
      <c r="L456" t="n">
        <v>0</v>
      </c>
      <c r="M456" t="n">
        <v>0</v>
      </c>
      <c r="N456" t="n">
        <v>0</v>
      </c>
      <c r="O456" t="n">
        <v>0</v>
      </c>
      <c r="P456" t="n">
        <v>0</v>
      </c>
      <c r="Q456" t="n">
        <v>0</v>
      </c>
      <c r="R456" s="2" t="inlineStr"/>
    </row>
    <row r="457" ht="15" customHeight="1">
      <c r="A457" t="inlineStr">
        <is>
          <t>A 24910-2025</t>
        </is>
      </c>
      <c r="B457" s="1" t="n">
        <v>45799.53775462963</v>
      </c>
      <c r="C457" s="1" t="n">
        <v>45918</v>
      </c>
      <c r="D457" t="inlineStr">
        <is>
          <t>VÄSTMANLANDS LÄN</t>
        </is>
      </c>
      <c r="E457" t="inlineStr">
        <is>
          <t>SALA</t>
        </is>
      </c>
      <c r="G457" t="n">
        <v>3.5</v>
      </c>
      <c r="H457" t="n">
        <v>0</v>
      </c>
      <c r="I457" t="n">
        <v>0</v>
      </c>
      <c r="J457" t="n">
        <v>0</v>
      </c>
      <c r="K457" t="n">
        <v>0</v>
      </c>
      <c r="L457" t="n">
        <v>0</v>
      </c>
      <c r="M457" t="n">
        <v>0</v>
      </c>
      <c r="N457" t="n">
        <v>0</v>
      </c>
      <c r="O457" t="n">
        <v>0</v>
      </c>
      <c r="P457" t="n">
        <v>0</v>
      </c>
      <c r="Q457" t="n">
        <v>0</v>
      </c>
      <c r="R457" s="2" t="inlineStr"/>
    </row>
    <row r="458" ht="15" customHeight="1">
      <c r="A458" t="inlineStr">
        <is>
          <t>A 10909-2024</t>
        </is>
      </c>
      <c r="B458" s="1" t="n">
        <v>45370</v>
      </c>
      <c r="C458" s="1" t="n">
        <v>45918</v>
      </c>
      <c r="D458" t="inlineStr">
        <is>
          <t>VÄSTMANLANDS LÄN</t>
        </is>
      </c>
      <c r="E458" t="inlineStr">
        <is>
          <t>SALA</t>
        </is>
      </c>
      <c r="G458" t="n">
        <v>3.3</v>
      </c>
      <c r="H458" t="n">
        <v>0</v>
      </c>
      <c r="I458" t="n">
        <v>0</v>
      </c>
      <c r="J458" t="n">
        <v>0</v>
      </c>
      <c r="K458" t="n">
        <v>0</v>
      </c>
      <c r="L458" t="n">
        <v>0</v>
      </c>
      <c r="M458" t="n">
        <v>0</v>
      </c>
      <c r="N458" t="n">
        <v>0</v>
      </c>
      <c r="O458" t="n">
        <v>0</v>
      </c>
      <c r="P458" t="n">
        <v>0</v>
      </c>
      <c r="Q458" t="n">
        <v>0</v>
      </c>
      <c r="R458" s="2" t="inlineStr"/>
    </row>
    <row r="459" ht="15" customHeight="1">
      <c r="A459" t="inlineStr">
        <is>
          <t>A 31950-2023</t>
        </is>
      </c>
      <c r="B459" s="1" t="n">
        <v>45107</v>
      </c>
      <c r="C459" s="1" t="n">
        <v>45918</v>
      </c>
      <c r="D459" t="inlineStr">
        <is>
          <t>VÄSTMANLANDS LÄN</t>
        </is>
      </c>
      <c r="E459" t="inlineStr">
        <is>
          <t>SALA</t>
        </is>
      </c>
      <c r="G459" t="n">
        <v>0.1</v>
      </c>
      <c r="H459" t="n">
        <v>0</v>
      </c>
      <c r="I459" t="n">
        <v>0</v>
      </c>
      <c r="J459" t="n">
        <v>0</v>
      </c>
      <c r="K459" t="n">
        <v>0</v>
      </c>
      <c r="L459" t="n">
        <v>0</v>
      </c>
      <c r="M459" t="n">
        <v>0</v>
      </c>
      <c r="N459" t="n">
        <v>0</v>
      </c>
      <c r="O459" t="n">
        <v>0</v>
      </c>
      <c r="P459" t="n">
        <v>0</v>
      </c>
      <c r="Q459" t="n">
        <v>0</v>
      </c>
      <c r="R459" s="2" t="inlineStr"/>
    </row>
    <row r="460" ht="15" customHeight="1">
      <c r="A460" t="inlineStr">
        <is>
          <t>A 17722-2025</t>
        </is>
      </c>
      <c r="B460" s="1" t="n">
        <v>45758</v>
      </c>
      <c r="C460" s="1" t="n">
        <v>45918</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28696-2023</t>
        </is>
      </c>
      <c r="B461" s="1" t="n">
        <v>45103.71759259259</v>
      </c>
      <c r="C461" s="1" t="n">
        <v>45918</v>
      </c>
      <c r="D461" t="inlineStr">
        <is>
          <t>VÄSTMANLANDS LÄN</t>
        </is>
      </c>
      <c r="E461" t="inlineStr">
        <is>
          <t>SALA</t>
        </is>
      </c>
      <c r="F461" t="inlineStr">
        <is>
          <t>Kommuner</t>
        </is>
      </c>
      <c r="G461" t="n">
        <v>5.9</v>
      </c>
      <c r="H461" t="n">
        <v>0</v>
      </c>
      <c r="I461" t="n">
        <v>0</v>
      </c>
      <c r="J461" t="n">
        <v>0</v>
      </c>
      <c r="K461" t="n">
        <v>0</v>
      </c>
      <c r="L461" t="n">
        <v>0</v>
      </c>
      <c r="M461" t="n">
        <v>0</v>
      </c>
      <c r="N461" t="n">
        <v>0</v>
      </c>
      <c r="O461" t="n">
        <v>0</v>
      </c>
      <c r="P461" t="n">
        <v>0</v>
      </c>
      <c r="Q461" t="n">
        <v>0</v>
      </c>
      <c r="R461" s="2" t="inlineStr"/>
    </row>
    <row r="462" ht="15" customHeight="1">
      <c r="A462" t="inlineStr">
        <is>
          <t>A 56540-2024</t>
        </is>
      </c>
      <c r="B462" s="1" t="n">
        <v>45625</v>
      </c>
      <c r="C462" s="1" t="n">
        <v>45918</v>
      </c>
      <c r="D462" t="inlineStr">
        <is>
          <t>VÄSTMANLANDS LÄN</t>
        </is>
      </c>
      <c r="E462" t="inlineStr">
        <is>
          <t>SALA</t>
        </is>
      </c>
      <c r="G462" t="n">
        <v>1.8</v>
      </c>
      <c r="H462" t="n">
        <v>0</v>
      </c>
      <c r="I462" t="n">
        <v>0</v>
      </c>
      <c r="J462" t="n">
        <v>0</v>
      </c>
      <c r="K462" t="n">
        <v>0</v>
      </c>
      <c r="L462" t="n">
        <v>0</v>
      </c>
      <c r="M462" t="n">
        <v>0</v>
      </c>
      <c r="N462" t="n">
        <v>0</v>
      </c>
      <c r="O462" t="n">
        <v>0</v>
      </c>
      <c r="P462" t="n">
        <v>0</v>
      </c>
      <c r="Q462" t="n">
        <v>0</v>
      </c>
      <c r="R462" s="2" t="inlineStr"/>
    </row>
    <row r="463" ht="15" customHeight="1">
      <c r="A463" t="inlineStr">
        <is>
          <t>A 6116-2023</t>
        </is>
      </c>
      <c r="B463" s="1" t="n">
        <v>44964</v>
      </c>
      <c r="C463" s="1" t="n">
        <v>45918</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25860-2024</t>
        </is>
      </c>
      <c r="B464" s="1" t="n">
        <v>45467.46278935186</v>
      </c>
      <c r="C464" s="1" t="n">
        <v>45918</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6691-2025</t>
        </is>
      </c>
      <c r="B465" s="1" t="n">
        <v>45700.50625</v>
      </c>
      <c r="C465" s="1" t="n">
        <v>45918</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26661-2025</t>
        </is>
      </c>
      <c r="B466" s="1" t="n">
        <v>45810</v>
      </c>
      <c r="C466" s="1" t="n">
        <v>45918</v>
      </c>
      <c r="D466" t="inlineStr">
        <is>
          <t>VÄSTMANLANDS LÄN</t>
        </is>
      </c>
      <c r="E466" t="inlineStr">
        <is>
          <t>SALA</t>
        </is>
      </c>
      <c r="G466" t="n">
        <v>3.5</v>
      </c>
      <c r="H466" t="n">
        <v>0</v>
      </c>
      <c r="I466" t="n">
        <v>0</v>
      </c>
      <c r="J466" t="n">
        <v>0</v>
      </c>
      <c r="K466" t="n">
        <v>0</v>
      </c>
      <c r="L466" t="n">
        <v>0</v>
      </c>
      <c r="M466" t="n">
        <v>0</v>
      </c>
      <c r="N466" t="n">
        <v>0</v>
      </c>
      <c r="O466" t="n">
        <v>0</v>
      </c>
      <c r="P466" t="n">
        <v>0</v>
      </c>
      <c r="Q466" t="n">
        <v>0</v>
      </c>
      <c r="R466" s="2" t="inlineStr"/>
    </row>
    <row r="467" ht="15" customHeight="1">
      <c r="A467" t="inlineStr">
        <is>
          <t>A 1934-2023</t>
        </is>
      </c>
      <c r="B467" s="1" t="n">
        <v>44939.43024305555</v>
      </c>
      <c r="C467" s="1" t="n">
        <v>45918</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10154-2021</t>
        </is>
      </c>
      <c r="B468" s="1" t="n">
        <v>44256</v>
      </c>
      <c r="C468" s="1" t="n">
        <v>45918</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35519-2024</t>
        </is>
      </c>
      <c r="B469" s="1" t="n">
        <v>45531</v>
      </c>
      <c r="C469" s="1" t="n">
        <v>45918</v>
      </c>
      <c r="D469" t="inlineStr">
        <is>
          <t>VÄSTMANLANDS LÄN</t>
        </is>
      </c>
      <c r="E469" t="inlineStr">
        <is>
          <t>SALA</t>
        </is>
      </c>
      <c r="G469" t="n">
        <v>1.8</v>
      </c>
      <c r="H469" t="n">
        <v>0</v>
      </c>
      <c r="I469" t="n">
        <v>0</v>
      </c>
      <c r="J469" t="n">
        <v>0</v>
      </c>
      <c r="K469" t="n">
        <v>0</v>
      </c>
      <c r="L469" t="n">
        <v>0</v>
      </c>
      <c r="M469" t="n">
        <v>0</v>
      </c>
      <c r="N469" t="n">
        <v>0</v>
      </c>
      <c r="O469" t="n">
        <v>0</v>
      </c>
      <c r="P469" t="n">
        <v>0</v>
      </c>
      <c r="Q469" t="n">
        <v>0</v>
      </c>
      <c r="R469" s="2" t="inlineStr"/>
    </row>
    <row r="470" ht="15" customHeight="1">
      <c r="A470" t="inlineStr">
        <is>
          <t>A 56916-2022</t>
        </is>
      </c>
      <c r="B470" s="1" t="n">
        <v>44888</v>
      </c>
      <c r="C470" s="1" t="n">
        <v>45918</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50241-2023</t>
        </is>
      </c>
      <c r="B471" s="1" t="n">
        <v>45216</v>
      </c>
      <c r="C471" s="1" t="n">
        <v>45918</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30971-2022</t>
        </is>
      </c>
      <c r="B472" s="1" t="n">
        <v>44768.46725694444</v>
      </c>
      <c r="C472" s="1" t="n">
        <v>45918</v>
      </c>
      <c r="D472" t="inlineStr">
        <is>
          <t>VÄSTMANLANDS LÄN</t>
        </is>
      </c>
      <c r="E472" t="inlineStr">
        <is>
          <t>SALA</t>
        </is>
      </c>
      <c r="G472" t="n">
        <v>2.4</v>
      </c>
      <c r="H472" t="n">
        <v>0</v>
      </c>
      <c r="I472" t="n">
        <v>0</v>
      </c>
      <c r="J472" t="n">
        <v>0</v>
      </c>
      <c r="K472" t="n">
        <v>0</v>
      </c>
      <c r="L472" t="n">
        <v>0</v>
      </c>
      <c r="M472" t="n">
        <v>0</v>
      </c>
      <c r="N472" t="n">
        <v>0</v>
      </c>
      <c r="O472" t="n">
        <v>0</v>
      </c>
      <c r="P472" t="n">
        <v>0</v>
      </c>
      <c r="Q472" t="n">
        <v>0</v>
      </c>
      <c r="R472" s="2" t="inlineStr"/>
    </row>
    <row r="473" ht="15" customHeight="1">
      <c r="A473" t="inlineStr">
        <is>
          <t>A 35637-2022</t>
        </is>
      </c>
      <c r="B473" s="1" t="n">
        <v>44799.55194444444</v>
      </c>
      <c r="C473" s="1" t="n">
        <v>45918</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19304-2025</t>
        </is>
      </c>
      <c r="B474" s="1" t="n">
        <v>45769</v>
      </c>
      <c r="C474" s="1" t="n">
        <v>45918</v>
      </c>
      <c r="D474" t="inlineStr">
        <is>
          <t>VÄSTMANLANDS LÄN</t>
        </is>
      </c>
      <c r="E474" t="inlineStr">
        <is>
          <t>SALA</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27038-2023</t>
        </is>
      </c>
      <c r="B475" s="1" t="n">
        <v>45095</v>
      </c>
      <c r="C475" s="1" t="n">
        <v>45918</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71471-2021</t>
        </is>
      </c>
      <c r="B476" s="1" t="n">
        <v>44540.53421296296</v>
      </c>
      <c r="C476" s="1" t="n">
        <v>45918</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23182-2022</t>
        </is>
      </c>
      <c r="B477" s="1" t="n">
        <v>44719.79707175926</v>
      </c>
      <c r="C477" s="1" t="n">
        <v>45918</v>
      </c>
      <c r="D477" t="inlineStr">
        <is>
          <t>VÄSTMANLANDS LÄN</t>
        </is>
      </c>
      <c r="E477" t="inlineStr">
        <is>
          <t>SALA</t>
        </is>
      </c>
      <c r="G477" t="n">
        <v>1.2</v>
      </c>
      <c r="H477" t="n">
        <v>0</v>
      </c>
      <c r="I477" t="n">
        <v>0</v>
      </c>
      <c r="J477" t="n">
        <v>0</v>
      </c>
      <c r="K477" t="n">
        <v>0</v>
      </c>
      <c r="L477" t="n">
        <v>0</v>
      </c>
      <c r="M477" t="n">
        <v>0</v>
      </c>
      <c r="N477" t="n">
        <v>0</v>
      </c>
      <c r="O477" t="n">
        <v>0</v>
      </c>
      <c r="P477" t="n">
        <v>0</v>
      </c>
      <c r="Q477" t="n">
        <v>0</v>
      </c>
      <c r="R477" s="2" t="inlineStr"/>
    </row>
    <row r="478" ht="15" customHeight="1">
      <c r="A478" t="inlineStr">
        <is>
          <t>A 13987-2023</t>
        </is>
      </c>
      <c r="B478" s="1" t="n">
        <v>45007</v>
      </c>
      <c r="C478" s="1" t="n">
        <v>45918</v>
      </c>
      <c r="D478" t="inlineStr">
        <is>
          <t>VÄSTMANLANDS LÄN</t>
        </is>
      </c>
      <c r="E478" t="inlineStr">
        <is>
          <t>SALA</t>
        </is>
      </c>
      <c r="G478" t="n">
        <v>3.2</v>
      </c>
      <c r="H478" t="n">
        <v>0</v>
      </c>
      <c r="I478" t="n">
        <v>0</v>
      </c>
      <c r="J478" t="n">
        <v>0</v>
      </c>
      <c r="K478" t="n">
        <v>0</v>
      </c>
      <c r="L478" t="n">
        <v>0</v>
      </c>
      <c r="M478" t="n">
        <v>0</v>
      </c>
      <c r="N478" t="n">
        <v>0</v>
      </c>
      <c r="O478" t="n">
        <v>0</v>
      </c>
      <c r="P478" t="n">
        <v>0</v>
      </c>
      <c r="Q478" t="n">
        <v>0</v>
      </c>
      <c r="R478" s="2" t="inlineStr"/>
    </row>
    <row r="479" ht="15" customHeight="1">
      <c r="A479" t="inlineStr">
        <is>
          <t>A 13990-2023</t>
        </is>
      </c>
      <c r="B479" s="1" t="n">
        <v>45007</v>
      </c>
      <c r="C479" s="1" t="n">
        <v>45918</v>
      </c>
      <c r="D479" t="inlineStr">
        <is>
          <t>VÄSTMANLANDS LÄN</t>
        </is>
      </c>
      <c r="E479" t="inlineStr">
        <is>
          <t>SALA</t>
        </is>
      </c>
      <c r="G479" t="n">
        <v>2.6</v>
      </c>
      <c r="H479" t="n">
        <v>0</v>
      </c>
      <c r="I479" t="n">
        <v>0</v>
      </c>
      <c r="J479" t="n">
        <v>0</v>
      </c>
      <c r="K479" t="n">
        <v>0</v>
      </c>
      <c r="L479" t="n">
        <v>0</v>
      </c>
      <c r="M479" t="n">
        <v>0</v>
      </c>
      <c r="N479" t="n">
        <v>0</v>
      </c>
      <c r="O479" t="n">
        <v>0</v>
      </c>
      <c r="P479" t="n">
        <v>0</v>
      </c>
      <c r="Q479" t="n">
        <v>0</v>
      </c>
      <c r="R479" s="2" t="inlineStr"/>
    </row>
    <row r="480" ht="15" customHeight="1">
      <c r="A480" t="inlineStr">
        <is>
          <t>A 31859-2023</t>
        </is>
      </c>
      <c r="B480" s="1" t="n">
        <v>45118</v>
      </c>
      <c r="C480" s="1" t="n">
        <v>45918</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c r="U480">
        <f>HYPERLINK("https://klasma.github.io/Logging_1981/knärot/A 31859-2023 karta knärot.png", "A 31859-2023")</f>
        <v/>
      </c>
      <c r="V480">
        <f>HYPERLINK("https://klasma.github.io/Logging_1981/klagomål/A 31859-2023 FSC-klagomål.docx", "A 31859-2023")</f>
        <v/>
      </c>
      <c r="W480">
        <f>HYPERLINK("https://klasma.github.io/Logging_1981/klagomålsmail/A 31859-2023 FSC-klagomål mail.docx", "A 31859-2023")</f>
        <v/>
      </c>
      <c r="X480">
        <f>HYPERLINK("https://klasma.github.io/Logging_1981/tillsyn/A 31859-2023 tillsynsbegäran.docx", "A 31859-2023")</f>
        <v/>
      </c>
      <c r="Y480">
        <f>HYPERLINK("https://klasma.github.io/Logging_1981/tillsynsmail/A 31859-2023 tillsynsbegäran mail.docx", "A 31859-2023")</f>
        <v/>
      </c>
    </row>
    <row r="481" ht="15" customHeight="1">
      <c r="A481" t="inlineStr">
        <is>
          <t>A 7469-2025</t>
        </is>
      </c>
      <c r="B481" s="1" t="n">
        <v>45705</v>
      </c>
      <c r="C481" s="1" t="n">
        <v>45918</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1993-2022</t>
        </is>
      </c>
      <c r="B482" s="1" t="n">
        <v>44575</v>
      </c>
      <c r="C482" s="1" t="n">
        <v>45918</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17051-2025</t>
        </is>
      </c>
      <c r="B483" s="1" t="n">
        <v>45755</v>
      </c>
      <c r="C483" s="1" t="n">
        <v>45918</v>
      </c>
      <c r="D483" t="inlineStr">
        <is>
          <t>VÄSTMANLANDS LÄN</t>
        </is>
      </c>
      <c r="E483" t="inlineStr">
        <is>
          <t>SALA</t>
        </is>
      </c>
      <c r="G483" t="n">
        <v>2.9</v>
      </c>
      <c r="H483" t="n">
        <v>0</v>
      </c>
      <c r="I483" t="n">
        <v>0</v>
      </c>
      <c r="J483" t="n">
        <v>0</v>
      </c>
      <c r="K483" t="n">
        <v>0</v>
      </c>
      <c r="L483" t="n">
        <v>0</v>
      </c>
      <c r="M483" t="n">
        <v>0</v>
      </c>
      <c r="N483" t="n">
        <v>0</v>
      </c>
      <c r="O483" t="n">
        <v>0</v>
      </c>
      <c r="P483" t="n">
        <v>0</v>
      </c>
      <c r="Q483" t="n">
        <v>0</v>
      </c>
      <c r="R483" s="2" t="inlineStr"/>
    </row>
    <row r="484" ht="15" customHeight="1">
      <c r="A484" t="inlineStr">
        <is>
          <t>A 43509-2021</t>
        </is>
      </c>
      <c r="B484" s="1" t="n">
        <v>44433</v>
      </c>
      <c r="C484" s="1" t="n">
        <v>45918</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60034-2024</t>
        </is>
      </c>
      <c r="B485" s="1" t="n">
        <v>45642.46261574074</v>
      </c>
      <c r="C485" s="1" t="n">
        <v>45918</v>
      </c>
      <c r="D485" t="inlineStr">
        <is>
          <t>VÄSTMANLANDS LÄN</t>
        </is>
      </c>
      <c r="E485" t="inlineStr">
        <is>
          <t>SALA</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54959-2024</t>
        </is>
      </c>
      <c r="B486" s="1" t="n">
        <v>45619</v>
      </c>
      <c r="C486" s="1" t="n">
        <v>45918</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56964-2023</t>
        </is>
      </c>
      <c r="B487" s="1" t="n">
        <v>45244.63140046296</v>
      </c>
      <c r="C487" s="1" t="n">
        <v>45918</v>
      </c>
      <c r="D487" t="inlineStr">
        <is>
          <t>VÄSTMANLANDS LÄN</t>
        </is>
      </c>
      <c r="E487" t="inlineStr">
        <is>
          <t>SALA</t>
        </is>
      </c>
      <c r="G487" t="n">
        <v>4.6</v>
      </c>
      <c r="H487" t="n">
        <v>0</v>
      </c>
      <c r="I487" t="n">
        <v>0</v>
      </c>
      <c r="J487" t="n">
        <v>0</v>
      </c>
      <c r="K487" t="n">
        <v>0</v>
      </c>
      <c r="L487" t="n">
        <v>0</v>
      </c>
      <c r="M487" t="n">
        <v>0</v>
      </c>
      <c r="N487" t="n">
        <v>0</v>
      </c>
      <c r="O487" t="n">
        <v>0</v>
      </c>
      <c r="P487" t="n">
        <v>0</v>
      </c>
      <c r="Q487" t="n">
        <v>0</v>
      </c>
      <c r="R487" s="2" t="inlineStr"/>
    </row>
    <row r="488" ht="15" customHeight="1">
      <c r="A488" t="inlineStr">
        <is>
          <t>A 37337-2024</t>
        </is>
      </c>
      <c r="B488" s="1" t="n">
        <v>45540</v>
      </c>
      <c r="C488" s="1" t="n">
        <v>45918</v>
      </c>
      <c r="D488" t="inlineStr">
        <is>
          <t>VÄSTMANLANDS LÄN</t>
        </is>
      </c>
      <c r="E488" t="inlineStr">
        <is>
          <t>SALA</t>
        </is>
      </c>
      <c r="G488" t="n">
        <v>6.5</v>
      </c>
      <c r="H488" t="n">
        <v>0</v>
      </c>
      <c r="I488" t="n">
        <v>0</v>
      </c>
      <c r="J488" t="n">
        <v>0</v>
      </c>
      <c r="K488" t="n">
        <v>0</v>
      </c>
      <c r="L488" t="n">
        <v>0</v>
      </c>
      <c r="M488" t="n">
        <v>0</v>
      </c>
      <c r="N488" t="n">
        <v>0</v>
      </c>
      <c r="O488" t="n">
        <v>0</v>
      </c>
      <c r="P488" t="n">
        <v>0</v>
      </c>
      <c r="Q488" t="n">
        <v>0</v>
      </c>
      <c r="R488" s="2" t="inlineStr"/>
    </row>
    <row r="489" ht="15" customHeight="1">
      <c r="A489" t="inlineStr">
        <is>
          <t>A 17120-2023</t>
        </is>
      </c>
      <c r="B489" s="1" t="n">
        <v>45034</v>
      </c>
      <c r="C489" s="1" t="n">
        <v>45918</v>
      </c>
      <c r="D489" t="inlineStr">
        <is>
          <t>VÄSTMANLANDS LÄN</t>
        </is>
      </c>
      <c r="E489" t="inlineStr">
        <is>
          <t>SALA</t>
        </is>
      </c>
      <c r="G489" t="n">
        <v>0.1</v>
      </c>
      <c r="H489" t="n">
        <v>0</v>
      </c>
      <c r="I489" t="n">
        <v>0</v>
      </c>
      <c r="J489" t="n">
        <v>0</v>
      </c>
      <c r="K489" t="n">
        <v>0</v>
      </c>
      <c r="L489" t="n">
        <v>0</v>
      </c>
      <c r="M489" t="n">
        <v>0</v>
      </c>
      <c r="N489" t="n">
        <v>0</v>
      </c>
      <c r="O489" t="n">
        <v>0</v>
      </c>
      <c r="P489" t="n">
        <v>0</v>
      </c>
      <c r="Q489" t="n">
        <v>0</v>
      </c>
      <c r="R489" s="2" t="inlineStr"/>
    </row>
    <row r="490" ht="15" customHeight="1">
      <c r="A490" t="inlineStr">
        <is>
          <t>A 34494-2023</t>
        </is>
      </c>
      <c r="B490" s="1" t="n">
        <v>45133</v>
      </c>
      <c r="C490" s="1" t="n">
        <v>45918</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34867-2023</t>
        </is>
      </c>
      <c r="B491" s="1" t="n">
        <v>45142.33481481481</v>
      </c>
      <c r="C491" s="1" t="n">
        <v>45918</v>
      </c>
      <c r="D491" t="inlineStr">
        <is>
          <t>VÄSTMANLANDS LÄN</t>
        </is>
      </c>
      <c r="E491" t="inlineStr">
        <is>
          <t>SALA</t>
        </is>
      </c>
      <c r="G491" t="n">
        <v>1.1</v>
      </c>
      <c r="H491" t="n">
        <v>0</v>
      </c>
      <c r="I491" t="n">
        <v>0</v>
      </c>
      <c r="J491" t="n">
        <v>0</v>
      </c>
      <c r="K491" t="n">
        <v>0</v>
      </c>
      <c r="L491" t="n">
        <v>0</v>
      </c>
      <c r="M491" t="n">
        <v>0</v>
      </c>
      <c r="N491" t="n">
        <v>0</v>
      </c>
      <c r="O491" t="n">
        <v>0</v>
      </c>
      <c r="P491" t="n">
        <v>0</v>
      </c>
      <c r="Q491" t="n">
        <v>0</v>
      </c>
      <c r="R491" s="2" t="inlineStr"/>
    </row>
    <row r="492" ht="15" customHeight="1">
      <c r="A492" t="inlineStr">
        <is>
          <t>A 27989-2025</t>
        </is>
      </c>
      <c r="B492" s="1" t="n">
        <v>45817.58716435185</v>
      </c>
      <c r="C492" s="1" t="n">
        <v>45918</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11631-2023</t>
        </is>
      </c>
      <c r="B493" s="1" t="n">
        <v>44994.44001157407</v>
      </c>
      <c r="C493" s="1" t="n">
        <v>45918</v>
      </c>
      <c r="D493" t="inlineStr">
        <is>
          <t>VÄSTMANLANDS LÄN</t>
        </is>
      </c>
      <c r="E493" t="inlineStr">
        <is>
          <t>SALA</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27981-2025</t>
        </is>
      </c>
      <c r="B494" s="1" t="n">
        <v>45817.57471064815</v>
      </c>
      <c r="C494" s="1" t="n">
        <v>45918</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10579-2022</t>
        </is>
      </c>
      <c r="B495" s="1" t="n">
        <v>44624</v>
      </c>
      <c r="C495" s="1" t="n">
        <v>45918</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28193-2025</t>
        </is>
      </c>
      <c r="B496" s="1" t="n">
        <v>45818.425625</v>
      </c>
      <c r="C496" s="1" t="n">
        <v>45918</v>
      </c>
      <c r="D496" t="inlineStr">
        <is>
          <t>VÄSTMANLANDS LÄN</t>
        </is>
      </c>
      <c r="E496" t="inlineStr">
        <is>
          <t>SALA</t>
        </is>
      </c>
      <c r="G496" t="n">
        <v>1.8</v>
      </c>
      <c r="H496" t="n">
        <v>0</v>
      </c>
      <c r="I496" t="n">
        <v>0</v>
      </c>
      <c r="J496" t="n">
        <v>0</v>
      </c>
      <c r="K496" t="n">
        <v>0</v>
      </c>
      <c r="L496" t="n">
        <v>0</v>
      </c>
      <c r="M496" t="n">
        <v>0</v>
      </c>
      <c r="N496" t="n">
        <v>0</v>
      </c>
      <c r="O496" t="n">
        <v>0</v>
      </c>
      <c r="P496" t="n">
        <v>0</v>
      </c>
      <c r="Q496" t="n">
        <v>0</v>
      </c>
      <c r="R496" s="2" t="inlineStr"/>
    </row>
    <row r="497" ht="15" customHeight="1">
      <c r="A497" t="inlineStr">
        <is>
          <t>A 9335-2022</t>
        </is>
      </c>
      <c r="B497" s="1" t="n">
        <v>44616.56579861111</v>
      </c>
      <c r="C497" s="1" t="n">
        <v>45918</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28284-2025</t>
        </is>
      </c>
      <c r="B498" s="1" t="n">
        <v>45818.58893518519</v>
      </c>
      <c r="C498" s="1" t="n">
        <v>45918</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45313-2024</t>
        </is>
      </c>
      <c r="B499" s="1" t="n">
        <v>45576</v>
      </c>
      <c r="C499" s="1" t="n">
        <v>45918</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8775-2024</t>
        </is>
      </c>
      <c r="B500" s="1" t="n">
        <v>45356</v>
      </c>
      <c r="C500" s="1" t="n">
        <v>45918</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48710-2024</t>
        </is>
      </c>
      <c r="B501" s="1" t="n">
        <v>45593.53636574074</v>
      </c>
      <c r="C501" s="1" t="n">
        <v>45918</v>
      </c>
      <c r="D501" t="inlineStr">
        <is>
          <t>VÄSTMANLANDS LÄN</t>
        </is>
      </c>
      <c r="E501" t="inlineStr">
        <is>
          <t>SALA</t>
        </is>
      </c>
      <c r="G501" t="n">
        <v>6.5</v>
      </c>
      <c r="H501" t="n">
        <v>0</v>
      </c>
      <c r="I501" t="n">
        <v>0</v>
      </c>
      <c r="J501" t="n">
        <v>0</v>
      </c>
      <c r="K501" t="n">
        <v>0</v>
      </c>
      <c r="L501" t="n">
        <v>0</v>
      </c>
      <c r="M501" t="n">
        <v>0</v>
      </c>
      <c r="N501" t="n">
        <v>0</v>
      </c>
      <c r="O501" t="n">
        <v>0</v>
      </c>
      <c r="P501" t="n">
        <v>0</v>
      </c>
      <c r="Q501" t="n">
        <v>0</v>
      </c>
      <c r="R501" s="2" t="inlineStr"/>
    </row>
    <row r="502" ht="15" customHeight="1">
      <c r="A502" t="inlineStr">
        <is>
          <t>A 28278-2025</t>
        </is>
      </c>
      <c r="B502" s="1" t="n">
        <v>45818.58454861111</v>
      </c>
      <c r="C502" s="1" t="n">
        <v>45918</v>
      </c>
      <c r="D502" t="inlineStr">
        <is>
          <t>VÄSTMANLANDS LÄN</t>
        </is>
      </c>
      <c r="E502" t="inlineStr">
        <is>
          <t>SALA</t>
        </is>
      </c>
      <c r="G502" t="n">
        <v>7.6</v>
      </c>
      <c r="H502" t="n">
        <v>0</v>
      </c>
      <c r="I502" t="n">
        <v>0</v>
      </c>
      <c r="J502" t="n">
        <v>0</v>
      </c>
      <c r="K502" t="n">
        <v>0</v>
      </c>
      <c r="L502" t="n">
        <v>0</v>
      </c>
      <c r="M502" t="n">
        <v>0</v>
      </c>
      <c r="N502" t="n">
        <v>0</v>
      </c>
      <c r="O502" t="n">
        <v>0</v>
      </c>
      <c r="P502" t="n">
        <v>0</v>
      </c>
      <c r="Q502" t="n">
        <v>0</v>
      </c>
      <c r="R502" s="2" t="inlineStr"/>
    </row>
    <row r="503" ht="15" customHeight="1">
      <c r="A503" t="inlineStr">
        <is>
          <t>A 16404-2022</t>
        </is>
      </c>
      <c r="B503" s="1" t="n">
        <v>44671</v>
      </c>
      <c r="C503" s="1" t="n">
        <v>45918</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23119-2022</t>
        </is>
      </c>
      <c r="B504" s="1" t="n">
        <v>44719.56697916667</v>
      </c>
      <c r="C504" s="1" t="n">
        <v>45918</v>
      </c>
      <c r="D504" t="inlineStr">
        <is>
          <t>VÄSTMANLANDS LÄN</t>
        </is>
      </c>
      <c r="E504" t="inlineStr">
        <is>
          <t>SALA</t>
        </is>
      </c>
      <c r="G504" t="n">
        <v>7</v>
      </c>
      <c r="H504" t="n">
        <v>0</v>
      </c>
      <c r="I504" t="n">
        <v>0</v>
      </c>
      <c r="J504" t="n">
        <v>0</v>
      </c>
      <c r="K504" t="n">
        <v>0</v>
      </c>
      <c r="L504" t="n">
        <v>0</v>
      </c>
      <c r="M504" t="n">
        <v>0</v>
      </c>
      <c r="N504" t="n">
        <v>0</v>
      </c>
      <c r="O504" t="n">
        <v>0</v>
      </c>
      <c r="P504" t="n">
        <v>0</v>
      </c>
      <c r="Q504" t="n">
        <v>0</v>
      </c>
      <c r="R504" s="2" t="inlineStr"/>
    </row>
    <row r="505" ht="15" customHeight="1">
      <c r="A505" t="inlineStr">
        <is>
          <t>A 28628-2025</t>
        </is>
      </c>
      <c r="B505" s="1" t="n">
        <v>45819.62158564815</v>
      </c>
      <c r="C505" s="1" t="n">
        <v>45918</v>
      </c>
      <c r="D505" t="inlineStr">
        <is>
          <t>VÄSTMANLANDS LÄN</t>
        </is>
      </c>
      <c r="E505" t="inlineStr">
        <is>
          <t>SALA</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28632-2025</t>
        </is>
      </c>
      <c r="B506" s="1" t="n">
        <v>45819.62344907408</v>
      </c>
      <c r="C506" s="1" t="n">
        <v>45918</v>
      </c>
      <c r="D506" t="inlineStr">
        <is>
          <t>VÄSTMANLANDS LÄN</t>
        </is>
      </c>
      <c r="E506" t="inlineStr">
        <is>
          <t>SALA</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28630-2025</t>
        </is>
      </c>
      <c r="B507" s="1" t="n">
        <v>45819.62274305556</v>
      </c>
      <c r="C507" s="1" t="n">
        <v>45918</v>
      </c>
      <c r="D507" t="inlineStr">
        <is>
          <t>VÄSTMANLANDS LÄN</t>
        </is>
      </c>
      <c r="E507" t="inlineStr">
        <is>
          <t>SALA</t>
        </is>
      </c>
      <c r="F507" t="inlineStr">
        <is>
          <t>Sveaskog</t>
        </is>
      </c>
      <c r="G507" t="n">
        <v>9</v>
      </c>
      <c r="H507" t="n">
        <v>0</v>
      </c>
      <c r="I507" t="n">
        <v>0</v>
      </c>
      <c r="J507" t="n">
        <v>0</v>
      </c>
      <c r="K507" t="n">
        <v>0</v>
      </c>
      <c r="L507" t="n">
        <v>0</v>
      </c>
      <c r="M507" t="n">
        <v>0</v>
      </c>
      <c r="N507" t="n">
        <v>0</v>
      </c>
      <c r="O507" t="n">
        <v>0</v>
      </c>
      <c r="P507" t="n">
        <v>0</v>
      </c>
      <c r="Q507" t="n">
        <v>0</v>
      </c>
      <c r="R507" s="2" t="inlineStr"/>
    </row>
    <row r="508" ht="15" customHeight="1">
      <c r="A508" t="inlineStr">
        <is>
          <t>A 1196-2023</t>
        </is>
      </c>
      <c r="B508" s="1" t="n">
        <v>44935.82290509259</v>
      </c>
      <c r="C508" s="1" t="n">
        <v>45918</v>
      </c>
      <c r="D508" t="inlineStr">
        <is>
          <t>VÄSTMANLANDS LÄN</t>
        </is>
      </c>
      <c r="E508" t="inlineStr">
        <is>
          <t>SALA</t>
        </is>
      </c>
      <c r="G508" t="n">
        <v>4.1</v>
      </c>
      <c r="H508" t="n">
        <v>0</v>
      </c>
      <c r="I508" t="n">
        <v>0</v>
      </c>
      <c r="J508" t="n">
        <v>0</v>
      </c>
      <c r="K508" t="n">
        <v>0</v>
      </c>
      <c r="L508" t="n">
        <v>0</v>
      </c>
      <c r="M508" t="n">
        <v>0</v>
      </c>
      <c r="N508" t="n">
        <v>0</v>
      </c>
      <c r="O508" t="n">
        <v>0</v>
      </c>
      <c r="P508" t="n">
        <v>0</v>
      </c>
      <c r="Q508" t="n">
        <v>0</v>
      </c>
      <c r="R508" s="2" t="inlineStr"/>
    </row>
    <row r="509" ht="15" customHeight="1">
      <c r="A509" t="inlineStr">
        <is>
          <t>A 50818-2020</t>
        </is>
      </c>
      <c r="B509" s="1" t="n">
        <v>44111</v>
      </c>
      <c r="C509" s="1" t="n">
        <v>45918</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24248-2023</t>
        </is>
      </c>
      <c r="B510" s="1" t="n">
        <v>45079</v>
      </c>
      <c r="C510" s="1" t="n">
        <v>45918</v>
      </c>
      <c r="D510" t="inlineStr">
        <is>
          <t>VÄSTMANLANDS LÄN</t>
        </is>
      </c>
      <c r="E510" t="inlineStr">
        <is>
          <t>SALA</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28837-2025</t>
        </is>
      </c>
      <c r="B511" s="1" t="n">
        <v>45820.56243055555</v>
      </c>
      <c r="C511" s="1" t="n">
        <v>45918</v>
      </c>
      <c r="D511" t="inlineStr">
        <is>
          <t>VÄSTMANLANDS LÄN</t>
        </is>
      </c>
      <c r="E511" t="inlineStr">
        <is>
          <t>SALA</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28849-2025</t>
        </is>
      </c>
      <c r="B512" s="1" t="n">
        <v>45820</v>
      </c>
      <c r="C512" s="1" t="n">
        <v>45918</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52503-2024</t>
        </is>
      </c>
      <c r="B513" s="1" t="n">
        <v>45609.58806712963</v>
      </c>
      <c r="C513" s="1" t="n">
        <v>45918</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29085-2025</t>
        </is>
      </c>
      <c r="B514" s="1" t="n">
        <v>45821</v>
      </c>
      <c r="C514" s="1" t="n">
        <v>45918</v>
      </c>
      <c r="D514" t="inlineStr">
        <is>
          <t>VÄSTMANLANDS LÄN</t>
        </is>
      </c>
      <c r="E514" t="inlineStr">
        <is>
          <t>SALA</t>
        </is>
      </c>
      <c r="G514" t="n">
        <v>3.5</v>
      </c>
      <c r="H514" t="n">
        <v>0</v>
      </c>
      <c r="I514" t="n">
        <v>0</v>
      </c>
      <c r="J514" t="n">
        <v>0</v>
      </c>
      <c r="K514" t="n">
        <v>0</v>
      </c>
      <c r="L514" t="n">
        <v>0</v>
      </c>
      <c r="M514" t="n">
        <v>0</v>
      </c>
      <c r="N514" t="n">
        <v>0</v>
      </c>
      <c r="O514" t="n">
        <v>0</v>
      </c>
      <c r="P514" t="n">
        <v>0</v>
      </c>
      <c r="Q514" t="n">
        <v>0</v>
      </c>
      <c r="R514" s="2" t="inlineStr"/>
    </row>
    <row r="515" ht="15" customHeight="1">
      <c r="A515" t="inlineStr">
        <is>
          <t>A 10559-2024</t>
        </is>
      </c>
      <c r="B515" s="1" t="n">
        <v>45366</v>
      </c>
      <c r="C515" s="1" t="n">
        <v>45918</v>
      </c>
      <c r="D515" t="inlineStr">
        <is>
          <t>VÄSTMANLANDS LÄN</t>
        </is>
      </c>
      <c r="E515" t="inlineStr">
        <is>
          <t>SALA</t>
        </is>
      </c>
      <c r="G515" t="n">
        <v>0.3</v>
      </c>
      <c r="H515" t="n">
        <v>0</v>
      </c>
      <c r="I515" t="n">
        <v>0</v>
      </c>
      <c r="J515" t="n">
        <v>0</v>
      </c>
      <c r="K515" t="n">
        <v>0</v>
      </c>
      <c r="L515" t="n">
        <v>0</v>
      </c>
      <c r="M515" t="n">
        <v>0</v>
      </c>
      <c r="N515" t="n">
        <v>0</v>
      </c>
      <c r="O515" t="n">
        <v>0</v>
      </c>
      <c r="P515" t="n">
        <v>0</v>
      </c>
      <c r="Q515" t="n">
        <v>0</v>
      </c>
      <c r="R515" s="2" t="inlineStr"/>
    </row>
    <row r="516" ht="15" customHeight="1">
      <c r="A516" t="inlineStr">
        <is>
          <t>A 40214-2023</t>
        </is>
      </c>
      <c r="B516" s="1" t="n">
        <v>45169.45173611111</v>
      </c>
      <c r="C516" s="1" t="n">
        <v>45918</v>
      </c>
      <c r="D516" t="inlineStr">
        <is>
          <t>VÄSTMANLANDS LÄN</t>
        </is>
      </c>
      <c r="E516" t="inlineStr">
        <is>
          <t>SALA</t>
        </is>
      </c>
      <c r="G516" t="n">
        <v>5.5</v>
      </c>
      <c r="H516" t="n">
        <v>0</v>
      </c>
      <c r="I516" t="n">
        <v>0</v>
      </c>
      <c r="J516" t="n">
        <v>0</v>
      </c>
      <c r="K516" t="n">
        <v>0</v>
      </c>
      <c r="L516" t="n">
        <v>0</v>
      </c>
      <c r="M516" t="n">
        <v>0</v>
      </c>
      <c r="N516" t="n">
        <v>0</v>
      </c>
      <c r="O516" t="n">
        <v>0</v>
      </c>
      <c r="P516" t="n">
        <v>0</v>
      </c>
      <c r="Q516" t="n">
        <v>0</v>
      </c>
      <c r="R516" s="2" t="inlineStr"/>
    </row>
    <row r="517" ht="15" customHeight="1">
      <c r="A517" t="inlineStr">
        <is>
          <t>A 9856-2022</t>
        </is>
      </c>
      <c r="B517" s="1" t="n">
        <v>44620</v>
      </c>
      <c r="C517" s="1" t="n">
        <v>45918</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18100-2023</t>
        </is>
      </c>
      <c r="B518" s="1" t="n">
        <v>45040</v>
      </c>
      <c r="C518" s="1" t="n">
        <v>45918</v>
      </c>
      <c r="D518" t="inlineStr">
        <is>
          <t>VÄSTMANLANDS LÄN</t>
        </is>
      </c>
      <c r="E518" t="inlineStr">
        <is>
          <t>SALA</t>
        </is>
      </c>
      <c r="G518" t="n">
        <v>1.8</v>
      </c>
      <c r="H518" t="n">
        <v>0</v>
      </c>
      <c r="I518" t="n">
        <v>0</v>
      </c>
      <c r="J518" t="n">
        <v>0</v>
      </c>
      <c r="K518" t="n">
        <v>0</v>
      </c>
      <c r="L518" t="n">
        <v>0</v>
      </c>
      <c r="M518" t="n">
        <v>0</v>
      </c>
      <c r="N518" t="n">
        <v>0</v>
      </c>
      <c r="O518" t="n">
        <v>0</v>
      </c>
      <c r="P518" t="n">
        <v>0</v>
      </c>
      <c r="Q518" t="n">
        <v>0</v>
      </c>
      <c r="R518" s="2" t="inlineStr"/>
    </row>
    <row r="519" ht="15" customHeight="1">
      <c r="A519" t="inlineStr">
        <is>
          <t>A 29691-2025</t>
        </is>
      </c>
      <c r="B519" s="1" t="n">
        <v>45825.53645833334</v>
      </c>
      <c r="C519" s="1" t="n">
        <v>45918</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60541-2024</t>
        </is>
      </c>
      <c r="B520" s="1" t="n">
        <v>45643</v>
      </c>
      <c r="C520" s="1" t="n">
        <v>45918</v>
      </c>
      <c r="D520" t="inlineStr">
        <is>
          <t>VÄSTMANLANDS LÄN</t>
        </is>
      </c>
      <c r="E520" t="inlineStr">
        <is>
          <t>SALA</t>
        </is>
      </c>
      <c r="G520" t="n">
        <v>10.6</v>
      </c>
      <c r="H520" t="n">
        <v>0</v>
      </c>
      <c r="I520" t="n">
        <v>0</v>
      </c>
      <c r="J520" t="n">
        <v>0</v>
      </c>
      <c r="K520" t="n">
        <v>0</v>
      </c>
      <c r="L520" t="n">
        <v>0</v>
      </c>
      <c r="M520" t="n">
        <v>0</v>
      </c>
      <c r="N520" t="n">
        <v>0</v>
      </c>
      <c r="O520" t="n">
        <v>0</v>
      </c>
      <c r="P520" t="n">
        <v>0</v>
      </c>
      <c r="Q520" t="n">
        <v>0</v>
      </c>
      <c r="R520" s="2" t="inlineStr"/>
    </row>
    <row r="521" ht="15" customHeight="1">
      <c r="A521" t="inlineStr">
        <is>
          <t>A 7953-2024</t>
        </is>
      </c>
      <c r="B521" s="1" t="n">
        <v>45350</v>
      </c>
      <c r="C521" s="1" t="n">
        <v>45918</v>
      </c>
      <c r="D521" t="inlineStr">
        <is>
          <t>VÄSTMANLANDS LÄN</t>
        </is>
      </c>
      <c r="E521" t="inlineStr">
        <is>
          <t>SALA</t>
        </is>
      </c>
      <c r="G521" t="n">
        <v>2.6</v>
      </c>
      <c r="H521" t="n">
        <v>0</v>
      </c>
      <c r="I521" t="n">
        <v>0</v>
      </c>
      <c r="J521" t="n">
        <v>0</v>
      </c>
      <c r="K521" t="n">
        <v>0</v>
      </c>
      <c r="L521" t="n">
        <v>0</v>
      </c>
      <c r="M521" t="n">
        <v>0</v>
      </c>
      <c r="N521" t="n">
        <v>0</v>
      </c>
      <c r="O521" t="n">
        <v>0</v>
      </c>
      <c r="P521" t="n">
        <v>0</v>
      </c>
      <c r="Q521" t="n">
        <v>0</v>
      </c>
      <c r="R521" s="2" t="inlineStr"/>
    </row>
    <row r="522" ht="15" customHeight="1">
      <c r="A522" t="inlineStr">
        <is>
          <t>A 30028-2024</t>
        </is>
      </c>
      <c r="B522" s="1" t="n">
        <v>45485</v>
      </c>
      <c r="C522" s="1" t="n">
        <v>45918</v>
      </c>
      <c r="D522" t="inlineStr">
        <is>
          <t>VÄSTMANLANDS LÄN</t>
        </is>
      </c>
      <c r="E522" t="inlineStr">
        <is>
          <t>SALA</t>
        </is>
      </c>
      <c r="G522" t="n">
        <v>2.6</v>
      </c>
      <c r="H522" t="n">
        <v>0</v>
      </c>
      <c r="I522" t="n">
        <v>0</v>
      </c>
      <c r="J522" t="n">
        <v>0</v>
      </c>
      <c r="K522" t="n">
        <v>0</v>
      </c>
      <c r="L522" t="n">
        <v>0</v>
      </c>
      <c r="M522" t="n">
        <v>0</v>
      </c>
      <c r="N522" t="n">
        <v>0</v>
      </c>
      <c r="O522" t="n">
        <v>0</v>
      </c>
      <c r="P522" t="n">
        <v>0</v>
      </c>
      <c r="Q522" t="n">
        <v>0</v>
      </c>
      <c r="R522" s="2" t="inlineStr"/>
    </row>
    <row r="523" ht="15" customHeight="1">
      <c r="A523" t="inlineStr">
        <is>
          <t>A 7950-2025</t>
        </is>
      </c>
      <c r="B523" s="1" t="n">
        <v>45707.41799768519</v>
      </c>
      <c r="C523" s="1" t="n">
        <v>45918</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23374-2023</t>
        </is>
      </c>
      <c r="B524" s="1" t="n">
        <v>45076.4399537037</v>
      </c>
      <c r="C524" s="1" t="n">
        <v>45918</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27657-2023</t>
        </is>
      </c>
      <c r="B525" s="1" t="n">
        <v>45097.76631944445</v>
      </c>
      <c r="C525" s="1" t="n">
        <v>45918</v>
      </c>
      <c r="D525" t="inlineStr">
        <is>
          <t>VÄSTMANLANDS LÄN</t>
        </is>
      </c>
      <c r="E525" t="inlineStr">
        <is>
          <t>SALA</t>
        </is>
      </c>
      <c r="G525" t="n">
        <v>0.1</v>
      </c>
      <c r="H525" t="n">
        <v>0</v>
      </c>
      <c r="I525" t="n">
        <v>0</v>
      </c>
      <c r="J525" t="n">
        <v>0</v>
      </c>
      <c r="K525" t="n">
        <v>0</v>
      </c>
      <c r="L525" t="n">
        <v>0</v>
      </c>
      <c r="M525" t="n">
        <v>0</v>
      </c>
      <c r="N525" t="n">
        <v>0</v>
      </c>
      <c r="O525" t="n">
        <v>0</v>
      </c>
      <c r="P525" t="n">
        <v>0</v>
      </c>
      <c r="Q525" t="n">
        <v>0</v>
      </c>
      <c r="R525" s="2" t="inlineStr"/>
    </row>
    <row r="526" ht="15" customHeight="1">
      <c r="A526" t="inlineStr">
        <is>
          <t>A 6134-2024</t>
        </is>
      </c>
      <c r="B526" s="1" t="n">
        <v>45337</v>
      </c>
      <c r="C526" s="1" t="n">
        <v>45918</v>
      </c>
      <c r="D526" t="inlineStr">
        <is>
          <t>VÄSTMANLANDS LÄN</t>
        </is>
      </c>
      <c r="E526" t="inlineStr">
        <is>
          <t>SALA</t>
        </is>
      </c>
      <c r="G526" t="n">
        <v>1.8</v>
      </c>
      <c r="H526" t="n">
        <v>0</v>
      </c>
      <c r="I526" t="n">
        <v>0</v>
      </c>
      <c r="J526" t="n">
        <v>0</v>
      </c>
      <c r="K526" t="n">
        <v>0</v>
      </c>
      <c r="L526" t="n">
        <v>0</v>
      </c>
      <c r="M526" t="n">
        <v>0</v>
      </c>
      <c r="N526" t="n">
        <v>0</v>
      </c>
      <c r="O526" t="n">
        <v>0</v>
      </c>
      <c r="P526" t="n">
        <v>0</v>
      </c>
      <c r="Q526" t="n">
        <v>0</v>
      </c>
      <c r="R526" s="2" t="inlineStr"/>
    </row>
    <row r="527" ht="15" customHeight="1">
      <c r="A527" t="inlineStr">
        <is>
          <t>A 48117-2024</t>
        </is>
      </c>
      <c r="B527" s="1" t="n">
        <v>45589</v>
      </c>
      <c r="C527" s="1" t="n">
        <v>45918</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29826-2025</t>
        </is>
      </c>
      <c r="B528" s="1" t="n">
        <v>45825.85761574074</v>
      </c>
      <c r="C528" s="1" t="n">
        <v>45918</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13855-2023</t>
        </is>
      </c>
      <c r="B529" s="1" t="n">
        <v>45007</v>
      </c>
      <c r="C529" s="1" t="n">
        <v>45918</v>
      </c>
      <c r="D529" t="inlineStr">
        <is>
          <t>VÄSTMANLANDS LÄN</t>
        </is>
      </c>
      <c r="E529" t="inlineStr">
        <is>
          <t>SALA</t>
        </is>
      </c>
      <c r="G529" t="n">
        <v>2.9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44788.40986111111</v>
      </c>
      <c r="C530" s="1" t="n">
        <v>45918</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47909-2022</t>
        </is>
      </c>
      <c r="B531" s="1" t="n">
        <v>44855</v>
      </c>
      <c r="C531" s="1" t="n">
        <v>45918</v>
      </c>
      <c r="D531" t="inlineStr">
        <is>
          <t>VÄSTMANLANDS LÄN</t>
        </is>
      </c>
      <c r="E531" t="inlineStr">
        <is>
          <t>SALA</t>
        </is>
      </c>
      <c r="F531" t="inlineStr">
        <is>
          <t>Bergvik skog öst AB</t>
        </is>
      </c>
      <c r="G531" t="n">
        <v>2</v>
      </c>
      <c r="H531" t="n">
        <v>0</v>
      </c>
      <c r="I531" t="n">
        <v>0</v>
      </c>
      <c r="J531" t="n">
        <v>0</v>
      </c>
      <c r="K531" t="n">
        <v>0</v>
      </c>
      <c r="L531" t="n">
        <v>0</v>
      </c>
      <c r="M531" t="n">
        <v>0</v>
      </c>
      <c r="N531" t="n">
        <v>0</v>
      </c>
      <c r="O531" t="n">
        <v>0</v>
      </c>
      <c r="P531" t="n">
        <v>0</v>
      </c>
      <c r="Q531" t="n">
        <v>0</v>
      </c>
      <c r="R531" s="2" t="inlineStr"/>
    </row>
    <row r="532" ht="15" customHeight="1">
      <c r="A532" t="inlineStr">
        <is>
          <t>A 31082-2021</t>
        </is>
      </c>
      <c r="B532" s="1" t="n">
        <v>44368</v>
      </c>
      <c r="C532" s="1" t="n">
        <v>45918</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29972-2025</t>
        </is>
      </c>
      <c r="B533" s="1" t="n">
        <v>45826</v>
      </c>
      <c r="C533" s="1" t="n">
        <v>45918</v>
      </c>
      <c r="D533" t="inlineStr">
        <is>
          <t>VÄSTMANLANDS LÄN</t>
        </is>
      </c>
      <c r="E533" t="inlineStr">
        <is>
          <t>SALA</t>
        </is>
      </c>
      <c r="G533" t="n">
        <v>2.7</v>
      </c>
      <c r="H533" t="n">
        <v>0</v>
      </c>
      <c r="I533" t="n">
        <v>0</v>
      </c>
      <c r="J533" t="n">
        <v>0</v>
      </c>
      <c r="K533" t="n">
        <v>0</v>
      </c>
      <c r="L533" t="n">
        <v>0</v>
      </c>
      <c r="M533" t="n">
        <v>0</v>
      </c>
      <c r="N533" t="n">
        <v>0</v>
      </c>
      <c r="O533" t="n">
        <v>0</v>
      </c>
      <c r="P533" t="n">
        <v>0</v>
      </c>
      <c r="Q533" t="n">
        <v>0</v>
      </c>
      <c r="R533" s="2" t="inlineStr"/>
    </row>
    <row r="534" ht="15" customHeight="1">
      <c r="A534" t="inlineStr">
        <is>
          <t>A 31470-2021</t>
        </is>
      </c>
      <c r="B534" s="1" t="n">
        <v>44369</v>
      </c>
      <c r="C534" s="1" t="n">
        <v>45918</v>
      </c>
      <c r="D534" t="inlineStr">
        <is>
          <t>VÄSTMANLANDS LÄN</t>
        </is>
      </c>
      <c r="E534" t="inlineStr">
        <is>
          <t>SALA</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24175-2024</t>
        </is>
      </c>
      <c r="B535" s="1" t="n">
        <v>45456</v>
      </c>
      <c r="C535" s="1" t="n">
        <v>45918</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28328-2023</t>
        </is>
      </c>
      <c r="B536" s="1" t="n">
        <v>45099.71063657408</v>
      </c>
      <c r="C536" s="1" t="n">
        <v>45918</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15272-2025</t>
        </is>
      </c>
      <c r="B537" s="1" t="n">
        <v>45744</v>
      </c>
      <c r="C537" s="1" t="n">
        <v>45918</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11183-2023</t>
        </is>
      </c>
      <c r="B538" s="1" t="n">
        <v>44992.57782407408</v>
      </c>
      <c r="C538" s="1" t="n">
        <v>45918</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11190-2023</t>
        </is>
      </c>
      <c r="B539" s="1" t="n">
        <v>44992</v>
      </c>
      <c r="C539" s="1" t="n">
        <v>45918</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922-2025</t>
        </is>
      </c>
      <c r="B540" s="1" t="n">
        <v>45665.80069444444</v>
      </c>
      <c r="C540" s="1" t="n">
        <v>45918</v>
      </c>
      <c r="D540" t="inlineStr">
        <is>
          <t>VÄSTMANLANDS LÄN</t>
        </is>
      </c>
      <c r="E540" t="inlineStr">
        <is>
          <t>SALA</t>
        </is>
      </c>
      <c r="G540" t="n">
        <v>6.2</v>
      </c>
      <c r="H540" t="n">
        <v>0</v>
      </c>
      <c r="I540" t="n">
        <v>0</v>
      </c>
      <c r="J540" t="n">
        <v>0</v>
      </c>
      <c r="K540" t="n">
        <v>0</v>
      </c>
      <c r="L540" t="n">
        <v>0</v>
      </c>
      <c r="M540" t="n">
        <v>0</v>
      </c>
      <c r="N540" t="n">
        <v>0</v>
      </c>
      <c r="O540" t="n">
        <v>0</v>
      </c>
      <c r="P540" t="n">
        <v>0</v>
      </c>
      <c r="Q540" t="n">
        <v>0</v>
      </c>
      <c r="R540" s="2" t="inlineStr"/>
    </row>
    <row r="541" ht="15" customHeight="1">
      <c r="A541" t="inlineStr">
        <is>
          <t>A 61715-2024</t>
        </is>
      </c>
      <c r="B541" s="1" t="n">
        <v>45648.89519675926</v>
      </c>
      <c r="C541" s="1" t="n">
        <v>45918</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53838-2022</t>
        </is>
      </c>
      <c r="B542" s="1" t="n">
        <v>44880.59363425926</v>
      </c>
      <c r="C542" s="1" t="n">
        <v>45918</v>
      </c>
      <c r="D542" t="inlineStr">
        <is>
          <t>VÄSTMANLANDS LÄN</t>
        </is>
      </c>
      <c r="E542" t="inlineStr">
        <is>
          <t>SALA</t>
        </is>
      </c>
      <c r="G542" t="n">
        <v>3.9</v>
      </c>
      <c r="H542" t="n">
        <v>0</v>
      </c>
      <c r="I542" t="n">
        <v>0</v>
      </c>
      <c r="J542" t="n">
        <v>0</v>
      </c>
      <c r="K542" t="n">
        <v>0</v>
      </c>
      <c r="L542" t="n">
        <v>0</v>
      </c>
      <c r="M542" t="n">
        <v>0</v>
      </c>
      <c r="N542" t="n">
        <v>0</v>
      </c>
      <c r="O542" t="n">
        <v>0</v>
      </c>
      <c r="P542" t="n">
        <v>0</v>
      </c>
      <c r="Q542" t="n">
        <v>0</v>
      </c>
      <c r="R542" s="2" t="inlineStr"/>
    </row>
    <row r="543" ht="15" customHeight="1">
      <c r="A543" t="inlineStr">
        <is>
          <t>A 6088-2021</t>
        </is>
      </c>
      <c r="B543" s="1" t="n">
        <v>44232</v>
      </c>
      <c r="C543" s="1" t="n">
        <v>45918</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38195-2021</t>
        </is>
      </c>
      <c r="B544" s="1" t="n">
        <v>44405</v>
      </c>
      <c r="C544" s="1" t="n">
        <v>45918</v>
      </c>
      <c r="D544" t="inlineStr">
        <is>
          <t>VÄSTMANLANDS LÄN</t>
        </is>
      </c>
      <c r="E544" t="inlineStr">
        <is>
          <t>SALA</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31608-2025</t>
        </is>
      </c>
      <c r="B545" s="1" t="n">
        <v>45833</v>
      </c>
      <c r="C545" s="1" t="n">
        <v>45918</v>
      </c>
      <c r="D545" t="inlineStr">
        <is>
          <t>VÄSTMANLANDS LÄN</t>
        </is>
      </c>
      <c r="E545" t="inlineStr">
        <is>
          <t>SALA</t>
        </is>
      </c>
      <c r="G545" t="n">
        <v>6.1</v>
      </c>
      <c r="H545" t="n">
        <v>0</v>
      </c>
      <c r="I545" t="n">
        <v>0</v>
      </c>
      <c r="J545" t="n">
        <v>0</v>
      </c>
      <c r="K545" t="n">
        <v>0</v>
      </c>
      <c r="L545" t="n">
        <v>0</v>
      </c>
      <c r="M545" t="n">
        <v>0</v>
      </c>
      <c r="N545" t="n">
        <v>0</v>
      </c>
      <c r="O545" t="n">
        <v>0</v>
      </c>
      <c r="P545" t="n">
        <v>0</v>
      </c>
      <c r="Q545" t="n">
        <v>0</v>
      </c>
      <c r="R545" s="2" t="inlineStr"/>
    </row>
    <row r="546" ht="15" customHeight="1">
      <c r="A546" t="inlineStr">
        <is>
          <t>A 30866-2025</t>
        </is>
      </c>
      <c r="B546" s="1" t="n">
        <v>45832.3246875</v>
      </c>
      <c r="C546" s="1" t="n">
        <v>45918</v>
      </c>
      <c r="D546" t="inlineStr">
        <is>
          <t>VÄSTMANLANDS LÄN</t>
        </is>
      </c>
      <c r="E546" t="inlineStr">
        <is>
          <t>SALA</t>
        </is>
      </c>
      <c r="G546" t="n">
        <v>14.3</v>
      </c>
      <c r="H546" t="n">
        <v>0</v>
      </c>
      <c r="I546" t="n">
        <v>0</v>
      </c>
      <c r="J546" t="n">
        <v>0</v>
      </c>
      <c r="K546" t="n">
        <v>0</v>
      </c>
      <c r="L546" t="n">
        <v>0</v>
      </c>
      <c r="M546" t="n">
        <v>0</v>
      </c>
      <c r="N546" t="n">
        <v>0</v>
      </c>
      <c r="O546" t="n">
        <v>0</v>
      </c>
      <c r="P546" t="n">
        <v>0</v>
      </c>
      <c r="Q546" t="n">
        <v>0</v>
      </c>
      <c r="R546" s="2" t="inlineStr"/>
    </row>
    <row r="547" ht="15" customHeight="1">
      <c r="A547" t="inlineStr">
        <is>
          <t>A 30874-2025</t>
        </is>
      </c>
      <c r="B547" s="1" t="n">
        <v>45832.34430555555</v>
      </c>
      <c r="C547" s="1" t="n">
        <v>45918</v>
      </c>
      <c r="D547" t="inlineStr">
        <is>
          <t>VÄSTMANLANDS LÄN</t>
        </is>
      </c>
      <c r="E547" t="inlineStr">
        <is>
          <t>SALA</t>
        </is>
      </c>
      <c r="G547" t="n">
        <v>8.4</v>
      </c>
      <c r="H547" t="n">
        <v>0</v>
      </c>
      <c r="I547" t="n">
        <v>0</v>
      </c>
      <c r="J547" t="n">
        <v>0</v>
      </c>
      <c r="K547" t="n">
        <v>0</v>
      </c>
      <c r="L547" t="n">
        <v>0</v>
      </c>
      <c r="M547" t="n">
        <v>0</v>
      </c>
      <c r="N547" t="n">
        <v>0</v>
      </c>
      <c r="O547" t="n">
        <v>0</v>
      </c>
      <c r="P547" t="n">
        <v>0</v>
      </c>
      <c r="Q547" t="n">
        <v>0</v>
      </c>
      <c r="R547" s="2" t="inlineStr"/>
    </row>
    <row r="548" ht="15" customHeight="1">
      <c r="A548" t="inlineStr">
        <is>
          <t>A 53166-2024</t>
        </is>
      </c>
      <c r="B548" s="1" t="n">
        <v>45611</v>
      </c>
      <c r="C548" s="1" t="n">
        <v>45918</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31573-2025</t>
        </is>
      </c>
      <c r="B549" s="1" t="n">
        <v>45833</v>
      </c>
      <c r="C549" s="1" t="n">
        <v>45918</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28827-2022</t>
        </is>
      </c>
      <c r="B550" s="1" t="n">
        <v>44749.45561342593</v>
      </c>
      <c r="C550" s="1" t="n">
        <v>45918</v>
      </c>
      <c r="D550" t="inlineStr">
        <is>
          <t>VÄSTMANLANDS LÄN</t>
        </is>
      </c>
      <c r="E550" t="inlineStr">
        <is>
          <t>SALA</t>
        </is>
      </c>
      <c r="F550" t="inlineStr">
        <is>
          <t>Kommuner</t>
        </is>
      </c>
      <c r="G550" t="n">
        <v>11.9</v>
      </c>
      <c r="H550" t="n">
        <v>0</v>
      </c>
      <c r="I550" t="n">
        <v>0</v>
      </c>
      <c r="J550" t="n">
        <v>0</v>
      </c>
      <c r="K550" t="n">
        <v>0</v>
      </c>
      <c r="L550" t="n">
        <v>0</v>
      </c>
      <c r="M550" t="n">
        <v>0</v>
      </c>
      <c r="N550" t="n">
        <v>0</v>
      </c>
      <c r="O550" t="n">
        <v>0</v>
      </c>
      <c r="P550" t="n">
        <v>0</v>
      </c>
      <c r="Q550" t="n">
        <v>0</v>
      </c>
      <c r="R550" s="2" t="inlineStr"/>
    </row>
    <row r="551" ht="15" customHeight="1">
      <c r="A551" t="inlineStr">
        <is>
          <t>A 17866-2025</t>
        </is>
      </c>
      <c r="B551" s="1" t="n">
        <v>45758</v>
      </c>
      <c r="C551" s="1" t="n">
        <v>45918</v>
      </c>
      <c r="D551" t="inlineStr">
        <is>
          <t>VÄSTMANLANDS LÄN</t>
        </is>
      </c>
      <c r="E551" t="inlineStr">
        <is>
          <t>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31288-2025</t>
        </is>
      </c>
      <c r="B552" s="1" t="n">
        <v>45833</v>
      </c>
      <c r="C552" s="1" t="n">
        <v>45918</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31554-2025</t>
        </is>
      </c>
      <c r="B553" s="1" t="n">
        <v>45833</v>
      </c>
      <c r="C553" s="1" t="n">
        <v>45918</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6132-2025</t>
        </is>
      </c>
      <c r="B554" s="1" t="n">
        <v>45698</v>
      </c>
      <c r="C554" s="1" t="n">
        <v>45918</v>
      </c>
      <c r="D554" t="inlineStr">
        <is>
          <t>VÄSTMANLANDS LÄN</t>
        </is>
      </c>
      <c r="E554" t="inlineStr">
        <is>
          <t>SALA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30899-2025</t>
        </is>
      </c>
      <c r="B555" s="1" t="n">
        <v>45832.35767361111</v>
      </c>
      <c r="C555" s="1" t="n">
        <v>45918</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54836-2024</t>
        </is>
      </c>
      <c r="B556" s="1" t="n">
        <v>45618</v>
      </c>
      <c r="C556" s="1" t="n">
        <v>45918</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21777-2022</t>
        </is>
      </c>
      <c r="B557" s="1" t="n">
        <v>44708.48194444444</v>
      </c>
      <c r="C557" s="1" t="n">
        <v>45918</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64729-2023</t>
        </is>
      </c>
      <c r="B558" s="1" t="n">
        <v>45281</v>
      </c>
      <c r="C558" s="1" t="n">
        <v>45918</v>
      </c>
      <c r="D558" t="inlineStr">
        <is>
          <t>VÄSTMANLANDS LÄN</t>
        </is>
      </c>
      <c r="E558" t="inlineStr">
        <is>
          <t>SALA</t>
        </is>
      </c>
      <c r="G558" t="n">
        <v>1.8</v>
      </c>
      <c r="H558" t="n">
        <v>0</v>
      </c>
      <c r="I558" t="n">
        <v>0</v>
      </c>
      <c r="J558" t="n">
        <v>0</v>
      </c>
      <c r="K558" t="n">
        <v>0</v>
      </c>
      <c r="L558" t="n">
        <v>0</v>
      </c>
      <c r="M558" t="n">
        <v>0</v>
      </c>
      <c r="N558" t="n">
        <v>0</v>
      </c>
      <c r="O558" t="n">
        <v>0</v>
      </c>
      <c r="P558" t="n">
        <v>0</v>
      </c>
      <c r="Q558" t="n">
        <v>0</v>
      </c>
      <c r="R558" s="2" t="inlineStr"/>
    </row>
    <row r="559" ht="15" customHeight="1">
      <c r="A559" t="inlineStr">
        <is>
          <t>A 31065-2025</t>
        </is>
      </c>
      <c r="B559" s="1" t="n">
        <v>45832.57571759259</v>
      </c>
      <c r="C559" s="1" t="n">
        <v>45918</v>
      </c>
      <c r="D559" t="inlineStr">
        <is>
          <t>VÄSTMANLANDS LÄN</t>
        </is>
      </c>
      <c r="E559" t="inlineStr">
        <is>
          <t>SALA</t>
        </is>
      </c>
      <c r="G559" t="n">
        <v>1.1</v>
      </c>
      <c r="H559" t="n">
        <v>0</v>
      </c>
      <c r="I559" t="n">
        <v>0</v>
      </c>
      <c r="J559" t="n">
        <v>0</v>
      </c>
      <c r="K559" t="n">
        <v>0</v>
      </c>
      <c r="L559" t="n">
        <v>0</v>
      </c>
      <c r="M559" t="n">
        <v>0</v>
      </c>
      <c r="N559" t="n">
        <v>0</v>
      </c>
      <c r="O559" t="n">
        <v>0</v>
      </c>
      <c r="P559" t="n">
        <v>0</v>
      </c>
      <c r="Q559" t="n">
        <v>0</v>
      </c>
      <c r="R559" s="2" t="inlineStr"/>
    </row>
    <row r="560" ht="15" customHeight="1">
      <c r="A560" t="inlineStr">
        <is>
          <t>A 10585-2022</t>
        </is>
      </c>
      <c r="B560" s="1" t="n">
        <v>44624</v>
      </c>
      <c r="C560" s="1" t="n">
        <v>45918</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11389-2024</t>
        </is>
      </c>
      <c r="B561" s="1" t="n">
        <v>45372.45016203704</v>
      </c>
      <c r="C561" s="1" t="n">
        <v>45918</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22523-2023</t>
        </is>
      </c>
      <c r="B562" s="1" t="n">
        <v>45069</v>
      </c>
      <c r="C562" s="1" t="n">
        <v>45918</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31296-2025</t>
        </is>
      </c>
      <c r="B563" s="1" t="n">
        <v>45833.36765046296</v>
      </c>
      <c r="C563" s="1" t="n">
        <v>45918</v>
      </c>
      <c r="D563" t="inlineStr">
        <is>
          <t>VÄSTMANLANDS LÄN</t>
        </is>
      </c>
      <c r="E563" t="inlineStr">
        <is>
          <t>SALA</t>
        </is>
      </c>
      <c r="G563" t="n">
        <v>3.7</v>
      </c>
      <c r="H563" t="n">
        <v>0</v>
      </c>
      <c r="I563" t="n">
        <v>0</v>
      </c>
      <c r="J563" t="n">
        <v>0</v>
      </c>
      <c r="K563" t="n">
        <v>0</v>
      </c>
      <c r="L563" t="n">
        <v>0</v>
      </c>
      <c r="M563" t="n">
        <v>0</v>
      </c>
      <c r="N563" t="n">
        <v>0</v>
      </c>
      <c r="O563" t="n">
        <v>0</v>
      </c>
      <c r="P563" t="n">
        <v>0</v>
      </c>
      <c r="Q563" t="n">
        <v>0</v>
      </c>
      <c r="R563" s="2" t="inlineStr"/>
    </row>
    <row r="564" ht="15" customHeight="1">
      <c r="A564" t="inlineStr">
        <is>
          <t>A 31609-2024</t>
        </is>
      </c>
      <c r="B564" s="1" t="n">
        <v>45506</v>
      </c>
      <c r="C564" s="1" t="n">
        <v>45918</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54923-2020</t>
        </is>
      </c>
      <c r="B565" s="1" t="n">
        <v>44127</v>
      </c>
      <c r="C565" s="1" t="n">
        <v>45918</v>
      </c>
      <c r="D565" t="inlineStr">
        <is>
          <t>VÄSTMANLANDS LÄN</t>
        </is>
      </c>
      <c r="E565" t="inlineStr">
        <is>
          <t>SALA</t>
        </is>
      </c>
      <c r="G565" t="n">
        <v>4.9</v>
      </c>
      <c r="H565" t="n">
        <v>0</v>
      </c>
      <c r="I565" t="n">
        <v>0</v>
      </c>
      <c r="J565" t="n">
        <v>0</v>
      </c>
      <c r="K565" t="n">
        <v>0</v>
      </c>
      <c r="L565" t="n">
        <v>0</v>
      </c>
      <c r="M565" t="n">
        <v>0</v>
      </c>
      <c r="N565" t="n">
        <v>0</v>
      </c>
      <c r="O565" t="n">
        <v>0</v>
      </c>
      <c r="P565" t="n">
        <v>0</v>
      </c>
      <c r="Q565" t="n">
        <v>0</v>
      </c>
      <c r="R565" s="2" t="inlineStr"/>
    </row>
    <row r="566" ht="15" customHeight="1">
      <c r="A566" t="inlineStr">
        <is>
          <t>A 56057-2023</t>
        </is>
      </c>
      <c r="B566" s="1" t="n">
        <v>45233</v>
      </c>
      <c r="C566" s="1" t="n">
        <v>45918</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31748-2025</t>
        </is>
      </c>
      <c r="B567" s="1" t="n">
        <v>45834</v>
      </c>
      <c r="C567" s="1" t="n">
        <v>45918</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2925-2024</t>
        </is>
      </c>
      <c r="B568" s="1" t="n">
        <v>45315.58909722222</v>
      </c>
      <c r="C568" s="1" t="n">
        <v>45918</v>
      </c>
      <c r="D568" t="inlineStr">
        <is>
          <t>VÄSTMANLANDS LÄN</t>
        </is>
      </c>
      <c r="E568" t="inlineStr">
        <is>
          <t>SALA</t>
        </is>
      </c>
      <c r="G568" t="n">
        <v>1.3</v>
      </c>
      <c r="H568" t="n">
        <v>0</v>
      </c>
      <c r="I568" t="n">
        <v>0</v>
      </c>
      <c r="J568" t="n">
        <v>0</v>
      </c>
      <c r="K568" t="n">
        <v>0</v>
      </c>
      <c r="L568" t="n">
        <v>0</v>
      </c>
      <c r="M568" t="n">
        <v>0</v>
      </c>
      <c r="N568" t="n">
        <v>0</v>
      </c>
      <c r="O568" t="n">
        <v>0</v>
      </c>
      <c r="P568" t="n">
        <v>0</v>
      </c>
      <c r="Q568" t="n">
        <v>0</v>
      </c>
      <c r="R568" s="2" t="inlineStr"/>
    </row>
    <row r="569" ht="15" customHeight="1">
      <c r="A569" t="inlineStr">
        <is>
          <t>A 37253-2025</t>
        </is>
      </c>
      <c r="B569" s="1" t="n">
        <v>45876.42290509259</v>
      </c>
      <c r="C569" s="1" t="n">
        <v>45918</v>
      </c>
      <c r="D569" t="inlineStr">
        <is>
          <t>VÄSTMANLANDS LÄN</t>
        </is>
      </c>
      <c r="E569" t="inlineStr">
        <is>
          <t>SALA</t>
        </is>
      </c>
      <c r="G569" t="n">
        <v>2.6</v>
      </c>
      <c r="H569" t="n">
        <v>0</v>
      </c>
      <c r="I569" t="n">
        <v>0</v>
      </c>
      <c r="J569" t="n">
        <v>0</v>
      </c>
      <c r="K569" t="n">
        <v>0</v>
      </c>
      <c r="L569" t="n">
        <v>0</v>
      </c>
      <c r="M569" t="n">
        <v>0</v>
      </c>
      <c r="N569" t="n">
        <v>0</v>
      </c>
      <c r="O569" t="n">
        <v>0</v>
      </c>
      <c r="P569" t="n">
        <v>0</v>
      </c>
      <c r="Q569" t="n">
        <v>0</v>
      </c>
      <c r="R569" s="2" t="inlineStr"/>
    </row>
    <row r="570" ht="15" customHeight="1">
      <c r="A570" t="inlineStr">
        <is>
          <t>A 32210-2025</t>
        </is>
      </c>
      <c r="B570" s="1" t="n">
        <v>45835</v>
      </c>
      <c r="C570" s="1" t="n">
        <v>45918</v>
      </c>
      <c r="D570" t="inlineStr">
        <is>
          <t>VÄSTMANLANDS LÄN</t>
        </is>
      </c>
      <c r="E570" t="inlineStr">
        <is>
          <t>SALA</t>
        </is>
      </c>
      <c r="F570" t="inlineStr">
        <is>
          <t>Bergvik skog öst AB</t>
        </is>
      </c>
      <c r="G570" t="n">
        <v>1.5</v>
      </c>
      <c r="H570" t="n">
        <v>0</v>
      </c>
      <c r="I570" t="n">
        <v>0</v>
      </c>
      <c r="J570" t="n">
        <v>0</v>
      </c>
      <c r="K570" t="n">
        <v>0</v>
      </c>
      <c r="L570" t="n">
        <v>0</v>
      </c>
      <c r="M570" t="n">
        <v>0</v>
      </c>
      <c r="N570" t="n">
        <v>0</v>
      </c>
      <c r="O570" t="n">
        <v>0</v>
      </c>
      <c r="P570" t="n">
        <v>0</v>
      </c>
      <c r="Q570" t="n">
        <v>0</v>
      </c>
      <c r="R570" s="2" t="inlineStr"/>
    </row>
    <row r="571" ht="15" customHeight="1">
      <c r="A571" t="inlineStr">
        <is>
          <t>A 31610-2025</t>
        </is>
      </c>
      <c r="B571" s="1" t="n">
        <v>45833.78650462963</v>
      </c>
      <c r="C571" s="1" t="n">
        <v>45918</v>
      </c>
      <c r="D571" t="inlineStr">
        <is>
          <t>VÄSTMANLANDS LÄN</t>
        </is>
      </c>
      <c r="E571" t="inlineStr">
        <is>
          <t>SALA</t>
        </is>
      </c>
      <c r="G571" t="n">
        <v>8</v>
      </c>
      <c r="H571" t="n">
        <v>0</v>
      </c>
      <c r="I571" t="n">
        <v>0</v>
      </c>
      <c r="J571" t="n">
        <v>0</v>
      </c>
      <c r="K571" t="n">
        <v>0</v>
      </c>
      <c r="L571" t="n">
        <v>0</v>
      </c>
      <c r="M571" t="n">
        <v>0</v>
      </c>
      <c r="N571" t="n">
        <v>0</v>
      </c>
      <c r="O571" t="n">
        <v>0</v>
      </c>
      <c r="P571" t="n">
        <v>0</v>
      </c>
      <c r="Q571" t="n">
        <v>0</v>
      </c>
      <c r="R571" s="2" t="inlineStr"/>
    </row>
    <row r="572" ht="15" customHeight="1">
      <c r="A572" t="inlineStr">
        <is>
          <t>A 32201-2025</t>
        </is>
      </c>
      <c r="B572" s="1" t="n">
        <v>45835</v>
      </c>
      <c r="C572" s="1" t="n">
        <v>45918</v>
      </c>
      <c r="D572" t="inlineStr">
        <is>
          <t>VÄSTMANLANDS LÄN</t>
        </is>
      </c>
      <c r="E572" t="inlineStr">
        <is>
          <t>SALA</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31612-2025</t>
        </is>
      </c>
      <c r="B573" s="1" t="n">
        <v>45833.80056712963</v>
      </c>
      <c r="C573" s="1" t="n">
        <v>45918</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31860-2025</t>
        </is>
      </c>
      <c r="B574" s="1" t="n">
        <v>45834</v>
      </c>
      <c r="C574" s="1" t="n">
        <v>45918</v>
      </c>
      <c r="D574" t="inlineStr">
        <is>
          <t>VÄSTMANLANDS LÄN</t>
        </is>
      </c>
      <c r="E574" t="inlineStr">
        <is>
          <t>SALA</t>
        </is>
      </c>
      <c r="G574" t="n">
        <v>7.4</v>
      </c>
      <c r="H574" t="n">
        <v>0</v>
      </c>
      <c r="I574" t="n">
        <v>0</v>
      </c>
      <c r="J574" t="n">
        <v>0</v>
      </c>
      <c r="K574" t="n">
        <v>0</v>
      </c>
      <c r="L574" t="n">
        <v>0</v>
      </c>
      <c r="M574" t="n">
        <v>0</v>
      </c>
      <c r="N574" t="n">
        <v>0</v>
      </c>
      <c r="O574" t="n">
        <v>0</v>
      </c>
      <c r="P574" t="n">
        <v>0</v>
      </c>
      <c r="Q574" t="n">
        <v>0</v>
      </c>
      <c r="R574" s="2" t="inlineStr"/>
    </row>
    <row r="575" ht="15" customHeight="1">
      <c r="A575" t="inlineStr">
        <is>
          <t>A 31864-2025</t>
        </is>
      </c>
      <c r="B575" s="1" t="n">
        <v>45834.63819444444</v>
      </c>
      <c r="C575" s="1" t="n">
        <v>45918</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39439-2021</t>
        </is>
      </c>
      <c r="B576" s="1" t="n">
        <v>44414</v>
      </c>
      <c r="C576" s="1" t="n">
        <v>45918</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32207-2025</t>
        </is>
      </c>
      <c r="B577" s="1" t="n">
        <v>45835</v>
      </c>
      <c r="C577" s="1" t="n">
        <v>45918</v>
      </c>
      <c r="D577" t="inlineStr">
        <is>
          <t>VÄSTMANLANDS LÄN</t>
        </is>
      </c>
      <c r="E577" t="inlineStr">
        <is>
          <t>SALA</t>
        </is>
      </c>
      <c r="F577" t="inlineStr">
        <is>
          <t>Bergvik skog öst AB</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31762-2025</t>
        </is>
      </c>
      <c r="B578" s="1" t="n">
        <v>45834.49288194445</v>
      </c>
      <c r="C578" s="1" t="n">
        <v>45918</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31771-2025</t>
        </is>
      </c>
      <c r="B579" s="1" t="n">
        <v>45834.50910879629</v>
      </c>
      <c r="C579" s="1" t="n">
        <v>45918</v>
      </c>
      <c r="D579" t="inlineStr">
        <is>
          <t>VÄSTMANLANDS LÄN</t>
        </is>
      </c>
      <c r="E579" t="inlineStr">
        <is>
          <t>SALA</t>
        </is>
      </c>
      <c r="G579" t="n">
        <v>5.1</v>
      </c>
      <c r="H579" t="n">
        <v>0</v>
      </c>
      <c r="I579" t="n">
        <v>0</v>
      </c>
      <c r="J579" t="n">
        <v>0</v>
      </c>
      <c r="K579" t="n">
        <v>0</v>
      </c>
      <c r="L579" t="n">
        <v>0</v>
      </c>
      <c r="M579" t="n">
        <v>0</v>
      </c>
      <c r="N579" t="n">
        <v>0</v>
      </c>
      <c r="O579" t="n">
        <v>0</v>
      </c>
      <c r="P579" t="n">
        <v>0</v>
      </c>
      <c r="Q579" t="n">
        <v>0</v>
      </c>
      <c r="R579" s="2" t="inlineStr"/>
    </row>
    <row r="580" ht="15" customHeight="1">
      <c r="A580" t="inlineStr">
        <is>
          <t>A 37263-2025</t>
        </is>
      </c>
      <c r="B580" s="1" t="n">
        <v>45876.4584837963</v>
      </c>
      <c r="C580" s="1" t="n">
        <v>45918</v>
      </c>
      <c r="D580" t="inlineStr">
        <is>
          <t>VÄSTMANLANDS LÄN</t>
        </is>
      </c>
      <c r="E580" t="inlineStr">
        <is>
          <t>SALA</t>
        </is>
      </c>
      <c r="G580" t="n">
        <v>2.3</v>
      </c>
      <c r="H580" t="n">
        <v>0</v>
      </c>
      <c r="I580" t="n">
        <v>0</v>
      </c>
      <c r="J580" t="n">
        <v>0</v>
      </c>
      <c r="K580" t="n">
        <v>0</v>
      </c>
      <c r="L580" t="n">
        <v>0</v>
      </c>
      <c r="M580" t="n">
        <v>0</v>
      </c>
      <c r="N580" t="n">
        <v>0</v>
      </c>
      <c r="O580" t="n">
        <v>0</v>
      </c>
      <c r="P580" t="n">
        <v>0</v>
      </c>
      <c r="Q580" t="n">
        <v>0</v>
      </c>
      <c r="R580" s="2" t="inlineStr"/>
    </row>
    <row r="581" ht="15" customHeight="1">
      <c r="A581" t="inlineStr">
        <is>
          <t>A 32205-2025</t>
        </is>
      </c>
      <c r="B581" s="1" t="n">
        <v>45835</v>
      </c>
      <c r="C581" s="1" t="n">
        <v>45918</v>
      </c>
      <c r="D581" t="inlineStr">
        <is>
          <t>VÄSTMANLANDS LÄN</t>
        </is>
      </c>
      <c r="E581" t="inlineStr">
        <is>
          <t>SALA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37246-2025</t>
        </is>
      </c>
      <c r="B582" s="1" t="n">
        <v>45876.39435185185</v>
      </c>
      <c r="C582" s="1" t="n">
        <v>45918</v>
      </c>
      <c r="D582" t="inlineStr">
        <is>
          <t>VÄSTMANLANDS LÄN</t>
        </is>
      </c>
      <c r="E582" t="inlineStr">
        <is>
          <t>SALA</t>
        </is>
      </c>
      <c r="G582" t="n">
        <v>2.3</v>
      </c>
      <c r="H582" t="n">
        <v>0</v>
      </c>
      <c r="I582" t="n">
        <v>0</v>
      </c>
      <c r="J582" t="n">
        <v>0</v>
      </c>
      <c r="K582" t="n">
        <v>0</v>
      </c>
      <c r="L582" t="n">
        <v>0</v>
      </c>
      <c r="M582" t="n">
        <v>0</v>
      </c>
      <c r="N582" t="n">
        <v>0</v>
      </c>
      <c r="O582" t="n">
        <v>0</v>
      </c>
      <c r="P582" t="n">
        <v>0</v>
      </c>
      <c r="Q582" t="n">
        <v>0</v>
      </c>
      <c r="R582" s="2" t="inlineStr"/>
    </row>
    <row r="583" ht="15" customHeight="1">
      <c r="A583" t="inlineStr">
        <is>
          <t>A 31887-2025</t>
        </is>
      </c>
      <c r="B583" s="1" t="n">
        <v>45834.6608449074</v>
      </c>
      <c r="C583" s="1" t="n">
        <v>45918</v>
      </c>
      <c r="D583" t="inlineStr">
        <is>
          <t>VÄSTMANLANDS LÄN</t>
        </is>
      </c>
      <c r="E583" t="inlineStr">
        <is>
          <t>SALA</t>
        </is>
      </c>
      <c r="G583" t="n">
        <v>7</v>
      </c>
      <c r="H583" t="n">
        <v>0</v>
      </c>
      <c r="I583" t="n">
        <v>0</v>
      </c>
      <c r="J583" t="n">
        <v>0</v>
      </c>
      <c r="K583" t="n">
        <v>0</v>
      </c>
      <c r="L583" t="n">
        <v>0</v>
      </c>
      <c r="M583" t="n">
        <v>0</v>
      </c>
      <c r="N583" t="n">
        <v>0</v>
      </c>
      <c r="O583" t="n">
        <v>0</v>
      </c>
      <c r="P583" t="n">
        <v>0</v>
      </c>
      <c r="Q583" t="n">
        <v>0</v>
      </c>
      <c r="R583" s="2" t="inlineStr"/>
    </row>
    <row r="584" ht="15" customHeight="1">
      <c r="A584" t="inlineStr">
        <is>
          <t>A 32286-2025</t>
        </is>
      </c>
      <c r="B584" s="1" t="n">
        <v>45835</v>
      </c>
      <c r="C584" s="1" t="n">
        <v>45918</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62635-2022</t>
        </is>
      </c>
      <c r="B585" s="1" t="n">
        <v>44917</v>
      </c>
      <c r="C585" s="1" t="n">
        <v>45918</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4852-2023</t>
        </is>
      </c>
      <c r="B586" s="1" t="n">
        <v>44957.72496527778</v>
      </c>
      <c r="C586" s="1" t="n">
        <v>45918</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39714-2023</t>
        </is>
      </c>
      <c r="B587" s="1" t="n">
        <v>45167.62133101852</v>
      </c>
      <c r="C587" s="1" t="n">
        <v>45918</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3332-2024</t>
        </is>
      </c>
      <c r="B588" s="1" t="n">
        <v>45317</v>
      </c>
      <c r="C588" s="1" t="n">
        <v>45918</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42984-2023</t>
        </is>
      </c>
      <c r="B589" s="1" t="n">
        <v>45179</v>
      </c>
      <c r="C589" s="1" t="n">
        <v>45918</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2529-2022</t>
        </is>
      </c>
      <c r="B590" s="1" t="n">
        <v>44579.86452546297</v>
      </c>
      <c r="C590" s="1" t="n">
        <v>45918</v>
      </c>
      <c r="D590" t="inlineStr">
        <is>
          <t>VÄSTMANLANDS LÄN</t>
        </is>
      </c>
      <c r="E590" t="inlineStr">
        <is>
          <t>SALA</t>
        </is>
      </c>
      <c r="G590" t="n">
        <v>1.7</v>
      </c>
      <c r="H590" t="n">
        <v>0</v>
      </c>
      <c r="I590" t="n">
        <v>0</v>
      </c>
      <c r="J590" t="n">
        <v>0</v>
      </c>
      <c r="K590" t="n">
        <v>0</v>
      </c>
      <c r="L590" t="n">
        <v>0</v>
      </c>
      <c r="M590" t="n">
        <v>0</v>
      </c>
      <c r="N590" t="n">
        <v>0</v>
      </c>
      <c r="O590" t="n">
        <v>0</v>
      </c>
      <c r="P590" t="n">
        <v>0</v>
      </c>
      <c r="Q590" t="n">
        <v>0</v>
      </c>
      <c r="R590" s="2" t="inlineStr"/>
    </row>
    <row r="591" ht="15" customHeight="1">
      <c r="A591" t="inlineStr">
        <is>
          <t>A 38636-2024</t>
        </is>
      </c>
      <c r="B591" s="1" t="n">
        <v>45546</v>
      </c>
      <c r="C591" s="1" t="n">
        <v>45918</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37590-2025</t>
        </is>
      </c>
      <c r="B592" s="1" t="n">
        <v>45880.41138888889</v>
      </c>
      <c r="C592" s="1" t="n">
        <v>45918</v>
      </c>
      <c r="D592" t="inlineStr">
        <is>
          <t>VÄSTMANLANDS LÄN</t>
        </is>
      </c>
      <c r="E592" t="inlineStr">
        <is>
          <t>SALA</t>
        </is>
      </c>
      <c r="G592" t="n">
        <v>2.2</v>
      </c>
      <c r="H592" t="n">
        <v>0</v>
      </c>
      <c r="I592" t="n">
        <v>0</v>
      </c>
      <c r="J592" t="n">
        <v>0</v>
      </c>
      <c r="K592" t="n">
        <v>0</v>
      </c>
      <c r="L592" t="n">
        <v>0</v>
      </c>
      <c r="M592" t="n">
        <v>0</v>
      </c>
      <c r="N592" t="n">
        <v>0</v>
      </c>
      <c r="O592" t="n">
        <v>0</v>
      </c>
      <c r="P592" t="n">
        <v>0</v>
      </c>
      <c r="Q592" t="n">
        <v>0</v>
      </c>
      <c r="R592" s="2" t="inlineStr"/>
    </row>
    <row r="593" ht="15" customHeight="1">
      <c r="A593" t="inlineStr">
        <is>
          <t>A 37593-2025</t>
        </is>
      </c>
      <c r="B593" s="1" t="n">
        <v>45880.41325231481</v>
      </c>
      <c r="C593" s="1" t="n">
        <v>45918</v>
      </c>
      <c r="D593" t="inlineStr">
        <is>
          <t>VÄSTMANLANDS LÄN</t>
        </is>
      </c>
      <c r="E593" t="inlineStr">
        <is>
          <t>SALA</t>
        </is>
      </c>
      <c r="G593" t="n">
        <v>1.4</v>
      </c>
      <c r="H593" t="n">
        <v>0</v>
      </c>
      <c r="I593" t="n">
        <v>0</v>
      </c>
      <c r="J593" t="n">
        <v>0</v>
      </c>
      <c r="K593" t="n">
        <v>0</v>
      </c>
      <c r="L593" t="n">
        <v>0</v>
      </c>
      <c r="M593" t="n">
        <v>0</v>
      </c>
      <c r="N593" t="n">
        <v>0</v>
      </c>
      <c r="O593" t="n">
        <v>0</v>
      </c>
      <c r="P593" t="n">
        <v>0</v>
      </c>
      <c r="Q593" t="n">
        <v>0</v>
      </c>
      <c r="R593" s="2" t="inlineStr"/>
    </row>
    <row r="594" ht="15" customHeight="1">
      <c r="A594" t="inlineStr">
        <is>
          <t>A 13471-2025</t>
        </is>
      </c>
      <c r="B594" s="1" t="n">
        <v>45736.40579861111</v>
      </c>
      <c r="C594" s="1" t="n">
        <v>45918</v>
      </c>
      <c r="D594" t="inlineStr">
        <is>
          <t>VÄSTMANLANDS LÄN</t>
        </is>
      </c>
      <c r="E594" t="inlineStr">
        <is>
          <t>SALA</t>
        </is>
      </c>
      <c r="G594" t="n">
        <v>1.1</v>
      </c>
      <c r="H594" t="n">
        <v>0</v>
      </c>
      <c r="I594" t="n">
        <v>0</v>
      </c>
      <c r="J594" t="n">
        <v>0</v>
      </c>
      <c r="K594" t="n">
        <v>0</v>
      </c>
      <c r="L594" t="n">
        <v>0</v>
      </c>
      <c r="M594" t="n">
        <v>0</v>
      </c>
      <c r="N594" t="n">
        <v>0</v>
      </c>
      <c r="O594" t="n">
        <v>0</v>
      </c>
      <c r="P594" t="n">
        <v>0</v>
      </c>
      <c r="Q594" t="n">
        <v>0</v>
      </c>
      <c r="R594" s="2" t="inlineStr"/>
    </row>
    <row r="595" ht="15" customHeight="1">
      <c r="A595" t="inlineStr">
        <is>
          <t>A 15681-2025</t>
        </is>
      </c>
      <c r="B595" s="1" t="n">
        <v>45748.45454861111</v>
      </c>
      <c r="C595" s="1" t="n">
        <v>45918</v>
      </c>
      <c r="D595" t="inlineStr">
        <is>
          <t>VÄSTMANLANDS LÄN</t>
        </is>
      </c>
      <c r="E595" t="inlineStr">
        <is>
          <t>SALA</t>
        </is>
      </c>
      <c r="F595" t="inlineStr">
        <is>
          <t>Bergvik skog öst AB</t>
        </is>
      </c>
      <c r="G595" t="n">
        <v>4.3</v>
      </c>
      <c r="H595" t="n">
        <v>0</v>
      </c>
      <c r="I595" t="n">
        <v>0</v>
      </c>
      <c r="J595" t="n">
        <v>0</v>
      </c>
      <c r="K595" t="n">
        <v>0</v>
      </c>
      <c r="L595" t="n">
        <v>0</v>
      </c>
      <c r="M595" t="n">
        <v>0</v>
      </c>
      <c r="N595" t="n">
        <v>0</v>
      </c>
      <c r="O595" t="n">
        <v>0</v>
      </c>
      <c r="P595" t="n">
        <v>0</v>
      </c>
      <c r="Q595" t="n">
        <v>0</v>
      </c>
      <c r="R595" s="2" t="inlineStr"/>
    </row>
    <row r="596" ht="15" customHeight="1">
      <c r="A596" t="inlineStr">
        <is>
          <t>A 18431-2023</t>
        </is>
      </c>
      <c r="B596" s="1" t="n">
        <v>45042</v>
      </c>
      <c r="C596" s="1" t="n">
        <v>45918</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27424-2023</t>
        </is>
      </c>
      <c r="B597" s="1" t="n">
        <v>45097.37690972222</v>
      </c>
      <c r="C597" s="1" t="n">
        <v>45918</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32902-2025</t>
        </is>
      </c>
      <c r="B598" s="1" t="n">
        <v>45839</v>
      </c>
      <c r="C598" s="1" t="n">
        <v>45918</v>
      </c>
      <c r="D598" t="inlineStr">
        <is>
          <t>VÄSTMANLANDS LÄN</t>
        </is>
      </c>
      <c r="E598" t="inlineStr">
        <is>
          <t>SALA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58701-2021</t>
        </is>
      </c>
      <c r="B599" s="1" t="n">
        <v>44489.46454861111</v>
      </c>
      <c r="C599" s="1" t="n">
        <v>45918</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56535-2022</t>
        </is>
      </c>
      <c r="B600" s="1" t="n">
        <v>44893.47173611111</v>
      </c>
      <c r="C600" s="1" t="n">
        <v>45918</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11244-2024</t>
        </is>
      </c>
      <c r="B601" s="1" t="n">
        <v>45371</v>
      </c>
      <c r="C601" s="1" t="n">
        <v>45918</v>
      </c>
      <c r="D601" t="inlineStr">
        <is>
          <t>VÄSTMANLANDS LÄN</t>
        </is>
      </c>
      <c r="E601" t="inlineStr">
        <is>
          <t>SALA</t>
        </is>
      </c>
      <c r="G601" t="n">
        <v>1.2</v>
      </c>
      <c r="H601" t="n">
        <v>0</v>
      </c>
      <c r="I601" t="n">
        <v>0</v>
      </c>
      <c r="J601" t="n">
        <v>0</v>
      </c>
      <c r="K601" t="n">
        <v>0</v>
      </c>
      <c r="L601" t="n">
        <v>0</v>
      </c>
      <c r="M601" t="n">
        <v>0</v>
      </c>
      <c r="N601" t="n">
        <v>0</v>
      </c>
      <c r="O601" t="n">
        <v>0</v>
      </c>
      <c r="P601" t="n">
        <v>0</v>
      </c>
      <c r="Q601" t="n">
        <v>0</v>
      </c>
      <c r="R601" s="2" t="inlineStr"/>
    </row>
    <row r="602" ht="15" customHeight="1">
      <c r="A602" t="inlineStr">
        <is>
          <t>A 12225-2023</t>
        </is>
      </c>
      <c r="B602" s="1" t="n">
        <v>44995</v>
      </c>
      <c r="C602" s="1" t="n">
        <v>45918</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60550-2024</t>
        </is>
      </c>
      <c r="B603" s="1" t="n">
        <v>45643</v>
      </c>
      <c r="C603" s="1" t="n">
        <v>45918</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61874-2021</t>
        </is>
      </c>
      <c r="B604" s="1" t="n">
        <v>44502</v>
      </c>
      <c r="C604" s="1" t="n">
        <v>45918</v>
      </c>
      <c r="D604" t="inlineStr">
        <is>
          <t>VÄSTMANLANDS LÄN</t>
        </is>
      </c>
      <c r="E604" t="inlineStr">
        <is>
          <t>SALA</t>
        </is>
      </c>
      <c r="F604" t="inlineStr">
        <is>
          <t>Kyrkan</t>
        </is>
      </c>
      <c r="G604" t="n">
        <v>1.3</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45918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13746-2025</t>
        </is>
      </c>
      <c r="B606" s="1" t="n">
        <v>45737.40944444444</v>
      </c>
      <c r="C606" s="1" t="n">
        <v>45918</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29230-2022</t>
        </is>
      </c>
      <c r="B607" s="1" t="n">
        <v>44750</v>
      </c>
      <c r="C607" s="1" t="n">
        <v>45918</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44904.48502314815</v>
      </c>
      <c r="C608" s="1" t="n">
        <v>45918</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15968-2024</t>
        </is>
      </c>
      <c r="B609" s="1" t="n">
        <v>45405.56021990741</v>
      </c>
      <c r="C609" s="1" t="n">
        <v>45918</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19381-2025</t>
        </is>
      </c>
      <c r="B610" s="1" t="n">
        <v>45769</v>
      </c>
      <c r="C610" s="1" t="n">
        <v>45918</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60730-2023</t>
        </is>
      </c>
      <c r="B611" s="1" t="n">
        <v>45260</v>
      </c>
      <c r="C611" s="1" t="n">
        <v>45918</v>
      </c>
      <c r="D611" t="inlineStr">
        <is>
          <t>VÄSTMANLANDS LÄN</t>
        </is>
      </c>
      <c r="E611" t="inlineStr">
        <is>
          <t>SALA</t>
        </is>
      </c>
      <c r="G611" t="n">
        <v>1.3</v>
      </c>
      <c r="H611" t="n">
        <v>0</v>
      </c>
      <c r="I611" t="n">
        <v>0</v>
      </c>
      <c r="J611" t="n">
        <v>0</v>
      </c>
      <c r="K611" t="n">
        <v>0</v>
      </c>
      <c r="L611" t="n">
        <v>0</v>
      </c>
      <c r="M611" t="n">
        <v>0</v>
      </c>
      <c r="N611" t="n">
        <v>0</v>
      </c>
      <c r="O611" t="n">
        <v>0</v>
      </c>
      <c r="P611" t="n">
        <v>0</v>
      </c>
      <c r="Q611" t="n">
        <v>0</v>
      </c>
      <c r="R611" s="2" t="inlineStr"/>
    </row>
    <row r="612" ht="15" customHeight="1">
      <c r="A612" t="inlineStr">
        <is>
          <t>A 60731-2023</t>
        </is>
      </c>
      <c r="B612" s="1" t="n">
        <v>45260</v>
      </c>
      <c r="C612" s="1" t="n">
        <v>45918</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42938-2023</t>
        </is>
      </c>
      <c r="B613" s="1" t="n">
        <v>45179</v>
      </c>
      <c r="C613" s="1" t="n">
        <v>45918</v>
      </c>
      <c r="D613" t="inlineStr">
        <is>
          <t>VÄSTMANLANDS LÄN</t>
        </is>
      </c>
      <c r="E613" t="inlineStr">
        <is>
          <t>SALA</t>
        </is>
      </c>
      <c r="G613" t="n">
        <v>10.9</v>
      </c>
      <c r="H613" t="n">
        <v>0</v>
      </c>
      <c r="I613" t="n">
        <v>0</v>
      </c>
      <c r="J613" t="n">
        <v>0</v>
      </c>
      <c r="K613" t="n">
        <v>0</v>
      </c>
      <c r="L613" t="n">
        <v>0</v>
      </c>
      <c r="M613" t="n">
        <v>0</v>
      </c>
      <c r="N613" t="n">
        <v>0</v>
      </c>
      <c r="O613" t="n">
        <v>0</v>
      </c>
      <c r="P613" t="n">
        <v>0</v>
      </c>
      <c r="Q613" t="n">
        <v>0</v>
      </c>
      <c r="R613" s="2" t="inlineStr"/>
    </row>
    <row r="614" ht="15" customHeight="1">
      <c r="A614" t="inlineStr">
        <is>
          <t>A 19222-2025</t>
        </is>
      </c>
      <c r="B614" s="1" t="n">
        <v>45769</v>
      </c>
      <c r="C614" s="1" t="n">
        <v>45918</v>
      </c>
      <c r="D614" t="inlineStr">
        <is>
          <t>VÄSTMANLANDS LÄN</t>
        </is>
      </c>
      <c r="E614" t="inlineStr">
        <is>
          <t>SALA</t>
        </is>
      </c>
      <c r="G614" t="n">
        <v>1.8</v>
      </c>
      <c r="H614" t="n">
        <v>0</v>
      </c>
      <c r="I614" t="n">
        <v>0</v>
      </c>
      <c r="J614" t="n">
        <v>0</v>
      </c>
      <c r="K614" t="n">
        <v>0</v>
      </c>
      <c r="L614" t="n">
        <v>0</v>
      </c>
      <c r="M614" t="n">
        <v>0</v>
      </c>
      <c r="N614" t="n">
        <v>0</v>
      </c>
      <c r="O614" t="n">
        <v>0</v>
      </c>
      <c r="P614" t="n">
        <v>0</v>
      </c>
      <c r="Q614" t="n">
        <v>0</v>
      </c>
      <c r="R614" s="2" t="inlineStr"/>
    </row>
    <row r="615" ht="15" customHeight="1">
      <c r="A615" t="inlineStr">
        <is>
          <t>A 19241-2025</t>
        </is>
      </c>
      <c r="B615" s="1" t="n">
        <v>45769</v>
      </c>
      <c r="C615" s="1" t="n">
        <v>45918</v>
      </c>
      <c r="D615" t="inlineStr">
        <is>
          <t>VÄSTMANLANDS LÄN</t>
        </is>
      </c>
      <c r="E615" t="inlineStr">
        <is>
          <t>SALA</t>
        </is>
      </c>
      <c r="G615" t="n">
        <v>3.6</v>
      </c>
      <c r="H615" t="n">
        <v>0</v>
      </c>
      <c r="I615" t="n">
        <v>0</v>
      </c>
      <c r="J615" t="n">
        <v>0</v>
      </c>
      <c r="K615" t="n">
        <v>0</v>
      </c>
      <c r="L615" t="n">
        <v>0</v>
      </c>
      <c r="M615" t="n">
        <v>0</v>
      </c>
      <c r="N615" t="n">
        <v>0</v>
      </c>
      <c r="O615" t="n">
        <v>0</v>
      </c>
      <c r="P615" t="n">
        <v>0</v>
      </c>
      <c r="Q615" t="n">
        <v>0</v>
      </c>
      <c r="R615" s="2" t="inlineStr"/>
    </row>
    <row r="616" ht="15" customHeight="1">
      <c r="A616" t="inlineStr">
        <is>
          <t>A 60823-2024</t>
        </is>
      </c>
      <c r="B616" s="1" t="n">
        <v>45644</v>
      </c>
      <c r="C616" s="1" t="n">
        <v>45918</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18461-2024</t>
        </is>
      </c>
      <c r="B617" s="1" t="n">
        <v>45425.47435185185</v>
      </c>
      <c r="C617" s="1" t="n">
        <v>45918</v>
      </c>
      <c r="D617" t="inlineStr">
        <is>
          <t>VÄSTMANLANDS LÄN</t>
        </is>
      </c>
      <c r="E617" t="inlineStr">
        <is>
          <t>SALA</t>
        </is>
      </c>
      <c r="G617" t="n">
        <v>1.7</v>
      </c>
      <c r="H617" t="n">
        <v>0</v>
      </c>
      <c r="I617" t="n">
        <v>0</v>
      </c>
      <c r="J617" t="n">
        <v>0</v>
      </c>
      <c r="K617" t="n">
        <v>0</v>
      </c>
      <c r="L617" t="n">
        <v>0</v>
      </c>
      <c r="M617" t="n">
        <v>0</v>
      </c>
      <c r="N617" t="n">
        <v>0</v>
      </c>
      <c r="O617" t="n">
        <v>0</v>
      </c>
      <c r="P617" t="n">
        <v>0</v>
      </c>
      <c r="Q617" t="n">
        <v>0</v>
      </c>
      <c r="R617" s="2" t="inlineStr"/>
    </row>
    <row r="618" ht="15" customHeight="1">
      <c r="A618" t="inlineStr">
        <is>
          <t>A 4663-2022</t>
        </is>
      </c>
      <c r="B618" s="1" t="n">
        <v>44592.45429398148</v>
      </c>
      <c r="C618" s="1" t="n">
        <v>45918</v>
      </c>
      <c r="D618" t="inlineStr">
        <is>
          <t>VÄSTMANLANDS LÄN</t>
        </is>
      </c>
      <c r="E618" t="inlineStr">
        <is>
          <t>SALA</t>
        </is>
      </c>
      <c r="G618" t="n">
        <v>2.5</v>
      </c>
      <c r="H618" t="n">
        <v>0</v>
      </c>
      <c r="I618" t="n">
        <v>0</v>
      </c>
      <c r="J618" t="n">
        <v>0</v>
      </c>
      <c r="K618" t="n">
        <v>0</v>
      </c>
      <c r="L618" t="n">
        <v>0</v>
      </c>
      <c r="M618" t="n">
        <v>0</v>
      </c>
      <c r="N618" t="n">
        <v>0</v>
      </c>
      <c r="O618" t="n">
        <v>0</v>
      </c>
      <c r="P618" t="n">
        <v>0</v>
      </c>
      <c r="Q618" t="n">
        <v>0</v>
      </c>
      <c r="R618" s="2" t="inlineStr"/>
    </row>
    <row r="619" ht="15" customHeight="1">
      <c r="A619" t="inlineStr">
        <is>
          <t>A 6032-2025</t>
        </is>
      </c>
      <c r="B619" s="1" t="n">
        <v>45695.6371875</v>
      </c>
      <c r="C619" s="1" t="n">
        <v>45918</v>
      </c>
      <c r="D619" t="inlineStr">
        <is>
          <t>VÄSTMANLANDS LÄN</t>
        </is>
      </c>
      <c r="E619" t="inlineStr">
        <is>
          <t>SALA</t>
        </is>
      </c>
      <c r="F619" t="inlineStr">
        <is>
          <t>Bergvik skog öst AB</t>
        </is>
      </c>
      <c r="G619" t="n">
        <v>8.1</v>
      </c>
      <c r="H619" t="n">
        <v>0</v>
      </c>
      <c r="I619" t="n">
        <v>0</v>
      </c>
      <c r="J619" t="n">
        <v>0</v>
      </c>
      <c r="K619" t="n">
        <v>0</v>
      </c>
      <c r="L619" t="n">
        <v>0</v>
      </c>
      <c r="M619" t="n">
        <v>0</v>
      </c>
      <c r="N619" t="n">
        <v>0</v>
      </c>
      <c r="O619" t="n">
        <v>0</v>
      </c>
      <c r="P619" t="n">
        <v>0</v>
      </c>
      <c r="Q619" t="n">
        <v>0</v>
      </c>
      <c r="R619" s="2" t="inlineStr"/>
    </row>
    <row r="620" ht="15" customHeight="1">
      <c r="A620" t="inlineStr">
        <is>
          <t>A 61681-2024</t>
        </is>
      </c>
      <c r="B620" s="1" t="n">
        <v>45647</v>
      </c>
      <c r="C620" s="1" t="n">
        <v>45918</v>
      </c>
      <c r="D620" t="inlineStr">
        <is>
          <t>VÄSTMANLANDS LÄN</t>
        </is>
      </c>
      <c r="E620" t="inlineStr">
        <is>
          <t>SALA</t>
        </is>
      </c>
      <c r="F620" t="inlineStr">
        <is>
          <t>Kommuner</t>
        </is>
      </c>
      <c r="G620" t="n">
        <v>1</v>
      </c>
      <c r="H620" t="n">
        <v>0</v>
      </c>
      <c r="I620" t="n">
        <v>0</v>
      </c>
      <c r="J620" t="n">
        <v>0</v>
      </c>
      <c r="K620" t="n">
        <v>0</v>
      </c>
      <c r="L620" t="n">
        <v>0</v>
      </c>
      <c r="M620" t="n">
        <v>0</v>
      </c>
      <c r="N620" t="n">
        <v>0</v>
      </c>
      <c r="O620" t="n">
        <v>0</v>
      </c>
      <c r="P620" t="n">
        <v>0</v>
      </c>
      <c r="Q620" t="n">
        <v>0</v>
      </c>
      <c r="R620" s="2" t="inlineStr"/>
    </row>
    <row r="621" ht="15" customHeight="1">
      <c r="A621" t="inlineStr">
        <is>
          <t>A 38294-2025</t>
        </is>
      </c>
      <c r="B621" s="1" t="n">
        <v>45883.44854166666</v>
      </c>
      <c r="C621" s="1" t="n">
        <v>45918</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2766-2024</t>
        </is>
      </c>
      <c r="B622" s="1" t="n">
        <v>45314.60950231482</v>
      </c>
      <c r="C622" s="1" t="n">
        <v>45918</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6351-2023</t>
        </is>
      </c>
      <c r="B623" s="1" t="n">
        <v>44965</v>
      </c>
      <c r="C623" s="1" t="n">
        <v>45918</v>
      </c>
      <c r="D623" t="inlineStr">
        <is>
          <t>VÄSTMANLANDS LÄN</t>
        </is>
      </c>
      <c r="E623" t="inlineStr">
        <is>
          <t>SALA</t>
        </is>
      </c>
      <c r="F623" t="inlineStr">
        <is>
          <t>Kommuner</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45187-2024</t>
        </is>
      </c>
      <c r="B624" s="1" t="n">
        <v>45575</v>
      </c>
      <c r="C624" s="1" t="n">
        <v>45918</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38574-2025</t>
        </is>
      </c>
      <c r="B625" s="1" t="n">
        <v>45884.46390046296</v>
      </c>
      <c r="C625" s="1" t="n">
        <v>45918</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49661-2024</t>
        </is>
      </c>
      <c r="B626" s="1" t="n">
        <v>45596</v>
      </c>
      <c r="C626" s="1" t="n">
        <v>45918</v>
      </c>
      <c r="D626" t="inlineStr">
        <is>
          <t>VÄSTMANLANDS LÄN</t>
        </is>
      </c>
      <c r="E626" t="inlineStr">
        <is>
          <t>SALA</t>
        </is>
      </c>
      <c r="G626" t="n">
        <v>6.7</v>
      </c>
      <c r="H626" t="n">
        <v>0</v>
      </c>
      <c r="I626" t="n">
        <v>0</v>
      </c>
      <c r="J626" t="n">
        <v>0</v>
      </c>
      <c r="K626" t="n">
        <v>0</v>
      </c>
      <c r="L626" t="n">
        <v>0</v>
      </c>
      <c r="M626" t="n">
        <v>0</v>
      </c>
      <c r="N626" t="n">
        <v>0</v>
      </c>
      <c r="O626" t="n">
        <v>0</v>
      </c>
      <c r="P626" t="n">
        <v>0</v>
      </c>
      <c r="Q626" t="n">
        <v>0</v>
      </c>
      <c r="R626" s="2" t="inlineStr"/>
    </row>
    <row r="627" ht="15" customHeight="1">
      <c r="A627" t="inlineStr">
        <is>
          <t>A 59297-2023</t>
        </is>
      </c>
      <c r="B627" s="1" t="n">
        <v>45253</v>
      </c>
      <c r="C627" s="1" t="n">
        <v>45918</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33527-2023</t>
        </is>
      </c>
      <c r="B628" s="1" t="n">
        <v>45131</v>
      </c>
      <c r="C628" s="1" t="n">
        <v>45918</v>
      </c>
      <c r="D628" t="inlineStr">
        <is>
          <t>VÄSTMANLANDS LÄN</t>
        </is>
      </c>
      <c r="E628" t="inlineStr">
        <is>
          <t>SALA</t>
        </is>
      </c>
      <c r="G628" t="n">
        <v>1</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45918</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6308-2021</t>
        </is>
      </c>
      <c r="B630" s="1" t="n">
        <v>44235</v>
      </c>
      <c r="C630" s="1" t="n">
        <v>45918</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15965-2024</t>
        </is>
      </c>
      <c r="B631" s="1" t="n">
        <v>45405.55740740741</v>
      </c>
      <c r="C631" s="1" t="n">
        <v>45918</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21159-2022</t>
        </is>
      </c>
      <c r="B632" s="1" t="n">
        <v>44704</v>
      </c>
      <c r="C632" s="1" t="n">
        <v>45918</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23180-2022</t>
        </is>
      </c>
      <c r="B633" s="1" t="n">
        <v>44719.79344907407</v>
      </c>
      <c r="C633" s="1" t="n">
        <v>45918</v>
      </c>
      <c r="D633" t="inlineStr">
        <is>
          <t>VÄSTMANLANDS LÄN</t>
        </is>
      </c>
      <c r="E633" t="inlineStr">
        <is>
          <t>SALA</t>
        </is>
      </c>
      <c r="G633" t="n">
        <v>1.2</v>
      </c>
      <c r="H633" t="n">
        <v>0</v>
      </c>
      <c r="I633" t="n">
        <v>0</v>
      </c>
      <c r="J633" t="n">
        <v>0</v>
      </c>
      <c r="K633" t="n">
        <v>0</v>
      </c>
      <c r="L633" t="n">
        <v>0</v>
      </c>
      <c r="M633" t="n">
        <v>0</v>
      </c>
      <c r="N633" t="n">
        <v>0</v>
      </c>
      <c r="O633" t="n">
        <v>0</v>
      </c>
      <c r="P633" t="n">
        <v>0</v>
      </c>
      <c r="Q633" t="n">
        <v>0</v>
      </c>
      <c r="R633" s="2" t="inlineStr"/>
    </row>
    <row r="634" ht="15" customHeight="1">
      <c r="A634" t="inlineStr">
        <is>
          <t>A 21455-2023</t>
        </is>
      </c>
      <c r="B634" s="1" t="n">
        <v>45058</v>
      </c>
      <c r="C634" s="1" t="n">
        <v>45918</v>
      </c>
      <c r="D634" t="inlineStr">
        <is>
          <t>VÄSTMANLANDS LÄN</t>
        </is>
      </c>
      <c r="E634" t="inlineStr">
        <is>
          <t>SALA</t>
        </is>
      </c>
      <c r="G634" t="n">
        <v>6.4</v>
      </c>
      <c r="H634" t="n">
        <v>0</v>
      </c>
      <c r="I634" t="n">
        <v>0</v>
      </c>
      <c r="J634" t="n">
        <v>0</v>
      </c>
      <c r="K634" t="n">
        <v>0</v>
      </c>
      <c r="L634" t="n">
        <v>0</v>
      </c>
      <c r="M634" t="n">
        <v>0</v>
      </c>
      <c r="N634" t="n">
        <v>0</v>
      </c>
      <c r="O634" t="n">
        <v>0</v>
      </c>
      <c r="P634" t="n">
        <v>0</v>
      </c>
      <c r="Q634" t="n">
        <v>0</v>
      </c>
      <c r="R634" s="2" t="inlineStr"/>
    </row>
    <row r="635" ht="15" customHeight="1">
      <c r="A635" t="inlineStr">
        <is>
          <t>A 34069-2025</t>
        </is>
      </c>
      <c r="B635" s="1" t="n">
        <v>45845.43560185185</v>
      </c>
      <c r="C635" s="1" t="n">
        <v>45918</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c r="U635">
        <f>HYPERLINK("https://klasma.github.io/Logging_1981/knärot/A 34069-2025 karta knärot.png", "A 34069-2025")</f>
        <v/>
      </c>
      <c r="V635">
        <f>HYPERLINK("https://klasma.github.io/Logging_1981/klagomål/A 34069-2025 FSC-klagomål.docx", "A 34069-2025")</f>
        <v/>
      </c>
      <c r="W635">
        <f>HYPERLINK("https://klasma.github.io/Logging_1981/klagomålsmail/A 34069-2025 FSC-klagomål mail.docx", "A 34069-2025")</f>
        <v/>
      </c>
      <c r="X635">
        <f>HYPERLINK("https://klasma.github.io/Logging_1981/tillsyn/A 34069-2025 tillsynsbegäran.docx", "A 34069-2025")</f>
        <v/>
      </c>
      <c r="Y635">
        <f>HYPERLINK("https://klasma.github.io/Logging_1981/tillsynsmail/A 34069-2025 tillsynsbegäran mail.docx", "A 34069-2025")</f>
        <v/>
      </c>
    </row>
    <row r="636" ht="15" customHeight="1">
      <c r="A636" t="inlineStr">
        <is>
          <t>A 56688-2024</t>
        </is>
      </c>
      <c r="B636" s="1" t="n">
        <v>45627.66478009259</v>
      </c>
      <c r="C636" s="1" t="n">
        <v>45918</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15744-2025</t>
        </is>
      </c>
      <c r="B637" s="1" t="n">
        <v>45748</v>
      </c>
      <c r="C637" s="1" t="n">
        <v>45918</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16159-2024</t>
        </is>
      </c>
      <c r="B638" s="1" t="n">
        <v>45406</v>
      </c>
      <c r="C638" s="1" t="n">
        <v>45918</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21053-2022</t>
        </is>
      </c>
      <c r="B639" s="1" t="n">
        <v>44704</v>
      </c>
      <c r="C639" s="1" t="n">
        <v>45918</v>
      </c>
      <c r="D639" t="inlineStr">
        <is>
          <t>VÄSTMANLANDS LÄN</t>
        </is>
      </c>
      <c r="E639" t="inlineStr">
        <is>
          <t>SALA</t>
        </is>
      </c>
      <c r="G639" t="n">
        <v>2</v>
      </c>
      <c r="H639" t="n">
        <v>0</v>
      </c>
      <c r="I639" t="n">
        <v>0</v>
      </c>
      <c r="J639" t="n">
        <v>0</v>
      </c>
      <c r="K639" t="n">
        <v>0</v>
      </c>
      <c r="L639" t="n">
        <v>0</v>
      </c>
      <c r="M639" t="n">
        <v>0</v>
      </c>
      <c r="N639" t="n">
        <v>0</v>
      </c>
      <c r="O639" t="n">
        <v>0</v>
      </c>
      <c r="P639" t="n">
        <v>0</v>
      </c>
      <c r="Q639" t="n">
        <v>0</v>
      </c>
      <c r="R639" s="2" t="inlineStr"/>
    </row>
    <row r="640" ht="15" customHeight="1">
      <c r="A640" t="inlineStr">
        <is>
          <t>A 39167-2025</t>
        </is>
      </c>
      <c r="B640" s="1" t="n">
        <v>45888</v>
      </c>
      <c r="C640" s="1" t="n">
        <v>45918</v>
      </c>
      <c r="D640" t="inlineStr">
        <is>
          <t>VÄSTMANLANDS LÄN</t>
        </is>
      </c>
      <c r="E640" t="inlineStr">
        <is>
          <t>SALA</t>
        </is>
      </c>
      <c r="G640" t="n">
        <v>5.5</v>
      </c>
      <c r="H640" t="n">
        <v>0</v>
      </c>
      <c r="I640" t="n">
        <v>0</v>
      </c>
      <c r="J640" t="n">
        <v>0</v>
      </c>
      <c r="K640" t="n">
        <v>0</v>
      </c>
      <c r="L640" t="n">
        <v>0</v>
      </c>
      <c r="M640" t="n">
        <v>0</v>
      </c>
      <c r="N640" t="n">
        <v>0</v>
      </c>
      <c r="O640" t="n">
        <v>0</v>
      </c>
      <c r="P640" t="n">
        <v>0</v>
      </c>
      <c r="Q640" t="n">
        <v>0</v>
      </c>
      <c r="R640" s="2" t="inlineStr"/>
    </row>
    <row r="641" ht="15" customHeight="1">
      <c r="A641" t="inlineStr">
        <is>
          <t>A 39182-2025</t>
        </is>
      </c>
      <c r="B641" s="1" t="n">
        <v>45888.66204861111</v>
      </c>
      <c r="C641" s="1" t="n">
        <v>45918</v>
      </c>
      <c r="D641" t="inlineStr">
        <is>
          <t>VÄSTMANLANDS LÄN</t>
        </is>
      </c>
      <c r="E641" t="inlineStr">
        <is>
          <t>SALA</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40554-2025</t>
        </is>
      </c>
      <c r="B642" s="1" t="n">
        <v>45896.44506944445</v>
      </c>
      <c r="C642" s="1" t="n">
        <v>45918</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40620-2025</t>
        </is>
      </c>
      <c r="B643" s="1" t="n">
        <v>45896.58609953704</v>
      </c>
      <c r="C643" s="1" t="n">
        <v>45918</v>
      </c>
      <c r="D643" t="inlineStr">
        <is>
          <t>VÄSTMANLANDS LÄN</t>
        </is>
      </c>
      <c r="E643" t="inlineStr">
        <is>
          <t>SALA</t>
        </is>
      </c>
      <c r="G643" t="n">
        <v>6.7</v>
      </c>
      <c r="H643" t="n">
        <v>0</v>
      </c>
      <c r="I643" t="n">
        <v>0</v>
      </c>
      <c r="J643" t="n">
        <v>0</v>
      </c>
      <c r="K643" t="n">
        <v>0</v>
      </c>
      <c r="L643" t="n">
        <v>0</v>
      </c>
      <c r="M643" t="n">
        <v>0</v>
      </c>
      <c r="N643" t="n">
        <v>0</v>
      </c>
      <c r="O643" t="n">
        <v>0</v>
      </c>
      <c r="P643" t="n">
        <v>0</v>
      </c>
      <c r="Q643" t="n">
        <v>0</v>
      </c>
      <c r="R643" s="2" t="inlineStr"/>
    </row>
    <row r="644" ht="15" customHeight="1">
      <c r="A644" t="inlineStr">
        <is>
          <t>A 40559-2025</t>
        </is>
      </c>
      <c r="B644" s="1" t="n">
        <v>45896.45037037037</v>
      </c>
      <c r="C644" s="1" t="n">
        <v>45918</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40556-2025</t>
        </is>
      </c>
      <c r="B645" s="1" t="n">
        <v>45896.44944444444</v>
      </c>
      <c r="C645" s="1" t="n">
        <v>45918</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41414-2025</t>
        </is>
      </c>
      <c r="B646" s="1" t="n">
        <v>45901.360625</v>
      </c>
      <c r="C646" s="1" t="n">
        <v>45918</v>
      </c>
      <c r="D646" t="inlineStr">
        <is>
          <t>VÄSTMANLANDS LÄN</t>
        </is>
      </c>
      <c r="E646" t="inlineStr">
        <is>
          <t>SALA</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41431-2025</t>
        </is>
      </c>
      <c r="B647" s="1" t="n">
        <v>45901.39347222223</v>
      </c>
      <c r="C647" s="1" t="n">
        <v>45918</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41230-2025</t>
        </is>
      </c>
      <c r="B648" s="1" t="n">
        <v>45898</v>
      </c>
      <c r="C648" s="1" t="n">
        <v>45918</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35775-2025</t>
        </is>
      </c>
      <c r="B649" s="1" t="n">
        <v>45860</v>
      </c>
      <c r="C649" s="1" t="n">
        <v>45918</v>
      </c>
      <c r="D649" t="inlineStr">
        <is>
          <t>VÄSTMANLANDS LÄN</t>
        </is>
      </c>
      <c r="E649" t="inlineStr">
        <is>
          <t>SALA</t>
        </is>
      </c>
      <c r="G649" t="n">
        <v>2.6</v>
      </c>
      <c r="H649" t="n">
        <v>0</v>
      </c>
      <c r="I649" t="n">
        <v>0</v>
      </c>
      <c r="J649" t="n">
        <v>0</v>
      </c>
      <c r="K649" t="n">
        <v>0</v>
      </c>
      <c r="L649" t="n">
        <v>0</v>
      </c>
      <c r="M649" t="n">
        <v>0</v>
      </c>
      <c r="N649" t="n">
        <v>0</v>
      </c>
      <c r="O649" t="n">
        <v>0</v>
      </c>
      <c r="P649" t="n">
        <v>0</v>
      </c>
      <c r="Q649" t="n">
        <v>0</v>
      </c>
      <c r="R649" s="2" t="inlineStr"/>
    </row>
    <row r="650" ht="15" customHeight="1">
      <c r="A650" t="inlineStr">
        <is>
          <t>A 35779-2025</t>
        </is>
      </c>
      <c r="B650" s="1" t="n">
        <v>45860.69495370371</v>
      </c>
      <c r="C650" s="1" t="n">
        <v>45918</v>
      </c>
      <c r="D650" t="inlineStr">
        <is>
          <t>VÄSTMANLANDS LÄN</t>
        </is>
      </c>
      <c r="E650" t="inlineStr">
        <is>
          <t>SALA</t>
        </is>
      </c>
      <c r="G650" t="n">
        <v>2.4</v>
      </c>
      <c r="H650" t="n">
        <v>0</v>
      </c>
      <c r="I650" t="n">
        <v>0</v>
      </c>
      <c r="J650" t="n">
        <v>0</v>
      </c>
      <c r="K650" t="n">
        <v>0</v>
      </c>
      <c r="L650" t="n">
        <v>0</v>
      </c>
      <c r="M650" t="n">
        <v>0</v>
      </c>
      <c r="N650" t="n">
        <v>0</v>
      </c>
      <c r="O650" t="n">
        <v>0</v>
      </c>
      <c r="P650" t="n">
        <v>0</v>
      </c>
      <c r="Q650" t="n">
        <v>0</v>
      </c>
      <c r="R650" s="2" t="inlineStr"/>
    </row>
    <row r="651" ht="15" customHeight="1">
      <c r="A651" t="inlineStr">
        <is>
          <t>A 35776-2025</t>
        </is>
      </c>
      <c r="B651" s="1" t="n">
        <v>45860.69211805556</v>
      </c>
      <c r="C651" s="1" t="n">
        <v>45918</v>
      </c>
      <c r="D651" t="inlineStr">
        <is>
          <t>VÄSTMANLANDS LÄN</t>
        </is>
      </c>
      <c r="E651" t="inlineStr">
        <is>
          <t>SALA</t>
        </is>
      </c>
      <c r="G651" t="n">
        <v>14.2</v>
      </c>
      <c r="H651" t="n">
        <v>0</v>
      </c>
      <c r="I651" t="n">
        <v>0</v>
      </c>
      <c r="J651" t="n">
        <v>0</v>
      </c>
      <c r="K651" t="n">
        <v>0</v>
      </c>
      <c r="L651" t="n">
        <v>0</v>
      </c>
      <c r="M651" t="n">
        <v>0</v>
      </c>
      <c r="N651" t="n">
        <v>0</v>
      </c>
      <c r="O651" t="n">
        <v>0</v>
      </c>
      <c r="P651" t="n">
        <v>0</v>
      </c>
      <c r="Q651" t="n">
        <v>0</v>
      </c>
      <c r="R651" s="2" t="inlineStr"/>
    </row>
    <row r="652" ht="15" customHeight="1">
      <c r="A652" t="inlineStr">
        <is>
          <t>A 35715-2025</t>
        </is>
      </c>
      <c r="B652" s="1" t="n">
        <v>45860.42148148148</v>
      </c>
      <c r="C652" s="1" t="n">
        <v>45918</v>
      </c>
      <c r="D652" t="inlineStr">
        <is>
          <t>VÄSTMANLANDS LÄN</t>
        </is>
      </c>
      <c r="E652" t="inlineStr">
        <is>
          <t>SALA</t>
        </is>
      </c>
      <c r="G652" t="n">
        <v>3.8</v>
      </c>
      <c r="H652" t="n">
        <v>0</v>
      </c>
      <c r="I652" t="n">
        <v>0</v>
      </c>
      <c r="J652" t="n">
        <v>0</v>
      </c>
      <c r="K652" t="n">
        <v>0</v>
      </c>
      <c r="L652" t="n">
        <v>0</v>
      </c>
      <c r="M652" t="n">
        <v>0</v>
      </c>
      <c r="N652" t="n">
        <v>0</v>
      </c>
      <c r="O652" t="n">
        <v>0</v>
      </c>
      <c r="P652" t="n">
        <v>0</v>
      </c>
      <c r="Q652" t="n">
        <v>0</v>
      </c>
      <c r="R652" s="2" t="inlineStr"/>
    </row>
    <row r="653" ht="15" customHeight="1">
      <c r="A653" t="inlineStr">
        <is>
          <t>A 35651-2025</t>
        </is>
      </c>
      <c r="B653" s="1" t="n">
        <v>45859.52435185185</v>
      </c>
      <c r="C653" s="1" t="n">
        <v>45918</v>
      </c>
      <c r="D653" t="inlineStr">
        <is>
          <t>VÄSTMANLANDS LÄN</t>
        </is>
      </c>
      <c r="E653" t="inlineStr">
        <is>
          <t>SALA</t>
        </is>
      </c>
      <c r="G653" t="n">
        <v>6.3</v>
      </c>
      <c r="H653" t="n">
        <v>0</v>
      </c>
      <c r="I653" t="n">
        <v>0</v>
      </c>
      <c r="J653" t="n">
        <v>0</v>
      </c>
      <c r="K653" t="n">
        <v>0</v>
      </c>
      <c r="L653" t="n">
        <v>0</v>
      </c>
      <c r="M653" t="n">
        <v>0</v>
      </c>
      <c r="N653" t="n">
        <v>0</v>
      </c>
      <c r="O653" t="n">
        <v>0</v>
      </c>
      <c r="P653" t="n">
        <v>0</v>
      </c>
      <c r="Q653" t="n">
        <v>0</v>
      </c>
      <c r="R653" s="2" t="inlineStr"/>
    </row>
    <row r="654" ht="15" customHeight="1">
      <c r="A654" t="inlineStr">
        <is>
          <t>A 35774-2025</t>
        </is>
      </c>
      <c r="B654" s="1" t="n">
        <v>45860.68780092592</v>
      </c>
      <c r="C654" s="1" t="n">
        <v>45918</v>
      </c>
      <c r="D654" t="inlineStr">
        <is>
          <t>VÄSTMANLANDS LÄN</t>
        </is>
      </c>
      <c r="E654" t="inlineStr">
        <is>
          <t>SALA</t>
        </is>
      </c>
      <c r="G654" t="n">
        <v>6.5</v>
      </c>
      <c r="H654" t="n">
        <v>0</v>
      </c>
      <c r="I654" t="n">
        <v>0</v>
      </c>
      <c r="J654" t="n">
        <v>0</v>
      </c>
      <c r="K654" t="n">
        <v>0</v>
      </c>
      <c r="L654" t="n">
        <v>0</v>
      </c>
      <c r="M654" t="n">
        <v>0</v>
      </c>
      <c r="N654" t="n">
        <v>0</v>
      </c>
      <c r="O654" t="n">
        <v>0</v>
      </c>
      <c r="P654" t="n">
        <v>0</v>
      </c>
      <c r="Q654" t="n">
        <v>0</v>
      </c>
      <c r="R654" s="2" t="inlineStr"/>
    </row>
    <row r="655" ht="15" customHeight="1">
      <c r="A655" t="inlineStr">
        <is>
          <t>A 42421-2025</t>
        </is>
      </c>
      <c r="B655" s="1" t="n">
        <v>45905.40067129629</v>
      </c>
      <c r="C655" s="1" t="n">
        <v>45918</v>
      </c>
      <c r="D655" t="inlineStr">
        <is>
          <t>VÄSTMANLANDS LÄN</t>
        </is>
      </c>
      <c r="E655" t="inlineStr">
        <is>
          <t>SALA</t>
        </is>
      </c>
      <c r="G655" t="n">
        <v>1.3</v>
      </c>
      <c r="H655" t="n">
        <v>0</v>
      </c>
      <c r="I655" t="n">
        <v>0</v>
      </c>
      <c r="J655" t="n">
        <v>0</v>
      </c>
      <c r="K655" t="n">
        <v>0</v>
      </c>
      <c r="L655" t="n">
        <v>0</v>
      </c>
      <c r="M655" t="n">
        <v>0</v>
      </c>
      <c r="N655" t="n">
        <v>0</v>
      </c>
      <c r="O655" t="n">
        <v>0</v>
      </c>
      <c r="P655" t="n">
        <v>0</v>
      </c>
      <c r="Q655" t="n">
        <v>0</v>
      </c>
      <c r="R655" s="2" t="inlineStr"/>
    </row>
    <row r="656" ht="15" customHeight="1">
      <c r="A656" t="inlineStr">
        <is>
          <t>A 36060-2025</t>
        </is>
      </c>
      <c r="B656" s="1" t="n">
        <v>45866.39469907407</v>
      </c>
      <c r="C656" s="1" t="n">
        <v>45918</v>
      </c>
      <c r="D656" t="inlineStr">
        <is>
          <t>VÄSTMANLANDS LÄN</t>
        </is>
      </c>
      <c r="E656" t="inlineStr">
        <is>
          <t>SALA</t>
        </is>
      </c>
      <c r="F656" t="inlineStr">
        <is>
          <t>Kommuner</t>
        </is>
      </c>
      <c r="G656" t="n">
        <v>4.3</v>
      </c>
      <c r="H656" t="n">
        <v>0</v>
      </c>
      <c r="I656" t="n">
        <v>0</v>
      </c>
      <c r="J656" t="n">
        <v>0</v>
      </c>
      <c r="K656" t="n">
        <v>0</v>
      </c>
      <c r="L656" t="n">
        <v>0</v>
      </c>
      <c r="M656" t="n">
        <v>0</v>
      </c>
      <c r="N656" t="n">
        <v>0</v>
      </c>
      <c r="O656" t="n">
        <v>0</v>
      </c>
      <c r="P656" t="n">
        <v>0</v>
      </c>
      <c r="Q656" t="n">
        <v>0</v>
      </c>
      <c r="R656" s="2" t="inlineStr"/>
    </row>
    <row r="657" ht="15" customHeight="1">
      <c r="A657" t="inlineStr">
        <is>
          <t>A 43031-2025</t>
        </is>
      </c>
      <c r="B657" s="1" t="n">
        <v>45909.53856481481</v>
      </c>
      <c r="C657" s="1" t="n">
        <v>45918</v>
      </c>
      <c r="D657" t="inlineStr">
        <is>
          <t>VÄSTMANLANDS LÄN</t>
        </is>
      </c>
      <c r="E657" t="inlineStr">
        <is>
          <t>SALA</t>
        </is>
      </c>
      <c r="G657" t="n">
        <v>0.2</v>
      </c>
      <c r="H657" t="n">
        <v>0</v>
      </c>
      <c r="I657" t="n">
        <v>0</v>
      </c>
      <c r="J657" t="n">
        <v>0</v>
      </c>
      <c r="K657" t="n">
        <v>0</v>
      </c>
      <c r="L657" t="n">
        <v>0</v>
      </c>
      <c r="M657" t="n">
        <v>0</v>
      </c>
      <c r="N657" t="n">
        <v>0</v>
      </c>
      <c r="O657" t="n">
        <v>0</v>
      </c>
      <c r="P657" t="n">
        <v>0</v>
      </c>
      <c r="Q657" t="n">
        <v>0</v>
      </c>
      <c r="R657" s="2" t="inlineStr"/>
    </row>
    <row r="658" ht="15" customHeight="1">
      <c r="A658" t="inlineStr">
        <is>
          <t>A 36031-2025</t>
        </is>
      </c>
      <c r="B658" s="1" t="n">
        <v>45865.46111111111</v>
      </c>
      <c r="C658" s="1" t="n">
        <v>45918</v>
      </c>
      <c r="D658" t="inlineStr">
        <is>
          <t>VÄSTMANLANDS LÄN</t>
        </is>
      </c>
      <c r="E658" t="inlineStr">
        <is>
          <t>SALA</t>
        </is>
      </c>
      <c r="G658" t="n">
        <v>7.2</v>
      </c>
      <c r="H658" t="n">
        <v>0</v>
      </c>
      <c r="I658" t="n">
        <v>0</v>
      </c>
      <c r="J658" t="n">
        <v>0</v>
      </c>
      <c r="K658" t="n">
        <v>0</v>
      </c>
      <c r="L658" t="n">
        <v>0</v>
      </c>
      <c r="M658" t="n">
        <v>0</v>
      </c>
      <c r="N658" t="n">
        <v>0</v>
      </c>
      <c r="O658" t="n">
        <v>0</v>
      </c>
      <c r="P658" t="n">
        <v>0</v>
      </c>
      <c r="Q658" t="n">
        <v>0</v>
      </c>
      <c r="R658" s="2" t="inlineStr"/>
    </row>
    <row r="659" ht="15" customHeight="1">
      <c r="A659" t="inlineStr">
        <is>
          <t>A 36043-2025</t>
        </is>
      </c>
      <c r="B659" s="1" t="n">
        <v>45866.35333333333</v>
      </c>
      <c r="C659" s="1" t="n">
        <v>45918</v>
      </c>
      <c r="D659" t="inlineStr">
        <is>
          <t>VÄSTMANLANDS LÄN</t>
        </is>
      </c>
      <c r="E659" t="inlineStr">
        <is>
          <t>SALA</t>
        </is>
      </c>
      <c r="F659" t="inlineStr">
        <is>
          <t>Kommuner</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36032-2025</t>
        </is>
      </c>
      <c r="B660" s="1" t="n">
        <v>45865.48740740741</v>
      </c>
      <c r="C660" s="1" t="n">
        <v>45918</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36049-2025</t>
        </is>
      </c>
      <c r="B661" s="1" t="n">
        <v>45866.37065972222</v>
      </c>
      <c r="C661" s="1" t="n">
        <v>45918</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43028-2025</t>
        </is>
      </c>
      <c r="B662" s="1" t="n">
        <v>45909.53472222222</v>
      </c>
      <c r="C662" s="1" t="n">
        <v>45918</v>
      </c>
      <c r="D662" t="inlineStr">
        <is>
          <t>VÄSTMANLANDS LÄN</t>
        </is>
      </c>
      <c r="E662" t="inlineStr">
        <is>
          <t>SALA</t>
        </is>
      </c>
      <c r="G662" t="n">
        <v>3.8</v>
      </c>
      <c r="H662" t="n">
        <v>0</v>
      </c>
      <c r="I662" t="n">
        <v>0</v>
      </c>
      <c r="J662" t="n">
        <v>0</v>
      </c>
      <c r="K662" t="n">
        <v>0</v>
      </c>
      <c r="L662" t="n">
        <v>0</v>
      </c>
      <c r="M662" t="n">
        <v>0</v>
      </c>
      <c r="N662" t="n">
        <v>0</v>
      </c>
      <c r="O662" t="n">
        <v>0</v>
      </c>
      <c r="P662" t="n">
        <v>0</v>
      </c>
      <c r="Q662" t="n">
        <v>0</v>
      </c>
      <c r="R662" s="2" t="inlineStr"/>
    </row>
    <row r="663" ht="15" customHeight="1">
      <c r="A663" t="inlineStr">
        <is>
          <t>A 36045-2025</t>
        </is>
      </c>
      <c r="B663" s="1" t="n">
        <v>45866.36200231482</v>
      </c>
      <c r="C663" s="1" t="n">
        <v>45918</v>
      </c>
      <c r="D663" t="inlineStr">
        <is>
          <t>VÄSTMANLANDS LÄN</t>
        </is>
      </c>
      <c r="E663" t="inlineStr">
        <is>
          <t>SALA</t>
        </is>
      </c>
      <c r="F663" t="inlineStr">
        <is>
          <t>Kommuner</t>
        </is>
      </c>
      <c r="G663" t="n">
        <v>1.7</v>
      </c>
      <c r="H663" t="n">
        <v>0</v>
      </c>
      <c r="I663" t="n">
        <v>0</v>
      </c>
      <c r="J663" t="n">
        <v>0</v>
      </c>
      <c r="K663" t="n">
        <v>0</v>
      </c>
      <c r="L663" t="n">
        <v>0</v>
      </c>
      <c r="M663" t="n">
        <v>0</v>
      </c>
      <c r="N663" t="n">
        <v>0</v>
      </c>
      <c r="O663" t="n">
        <v>0</v>
      </c>
      <c r="P663" t="n">
        <v>0</v>
      </c>
      <c r="Q663" t="n">
        <v>0</v>
      </c>
      <c r="R663" s="2" t="inlineStr"/>
    </row>
    <row r="664" ht="15" customHeight="1">
      <c r="A664" t="inlineStr">
        <is>
          <t>A 43328-2025</t>
        </is>
      </c>
      <c r="B664" s="1" t="n">
        <v>45910</v>
      </c>
      <c r="C664" s="1" t="n">
        <v>45918</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17766-2025</t>
        </is>
      </c>
      <c r="B665" s="1" t="n">
        <v>45758</v>
      </c>
      <c r="C665" s="1" t="n">
        <v>45918</v>
      </c>
      <c r="D665" t="inlineStr">
        <is>
          <t>VÄSTMANLANDS LÄN</t>
        </is>
      </c>
      <c r="E665" t="inlineStr">
        <is>
          <t>SALA</t>
        </is>
      </c>
      <c r="G665" t="n">
        <v>16.5</v>
      </c>
      <c r="H665" t="n">
        <v>0</v>
      </c>
      <c r="I665" t="n">
        <v>0</v>
      </c>
      <c r="J665" t="n">
        <v>0</v>
      </c>
      <c r="K665" t="n">
        <v>0</v>
      </c>
      <c r="L665" t="n">
        <v>0</v>
      </c>
      <c r="M665" t="n">
        <v>0</v>
      </c>
      <c r="N665" t="n">
        <v>0</v>
      </c>
      <c r="O665" t="n">
        <v>0</v>
      </c>
      <c r="P665" t="n">
        <v>0</v>
      </c>
      <c r="Q665" t="n">
        <v>0</v>
      </c>
      <c r="R665" s="2" t="inlineStr"/>
    </row>
    <row r="666" ht="15" customHeight="1">
      <c r="A666" t="inlineStr">
        <is>
          <t>A 31863-2025</t>
        </is>
      </c>
      <c r="B666" s="1" t="n">
        <v>45834.63303240741</v>
      </c>
      <c r="C666" s="1" t="n">
        <v>45918</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3546-2025</t>
        </is>
      </c>
      <c r="B667" s="1" t="n">
        <v>45680</v>
      </c>
      <c r="C667" s="1" t="n">
        <v>45918</v>
      </c>
      <c r="D667" t="inlineStr">
        <is>
          <t>VÄSTMANLANDS LÄN</t>
        </is>
      </c>
      <c r="E667" t="inlineStr">
        <is>
          <t>SALA</t>
        </is>
      </c>
      <c r="G667" t="n">
        <v>0.4</v>
      </c>
      <c r="H667" t="n">
        <v>0</v>
      </c>
      <c r="I667" t="n">
        <v>0</v>
      </c>
      <c r="J667" t="n">
        <v>0</v>
      </c>
      <c r="K667" t="n">
        <v>0</v>
      </c>
      <c r="L667" t="n">
        <v>0</v>
      </c>
      <c r="M667" t="n">
        <v>0</v>
      </c>
      <c r="N667" t="n">
        <v>0</v>
      </c>
      <c r="O667" t="n">
        <v>0</v>
      </c>
      <c r="P667" t="n">
        <v>0</v>
      </c>
      <c r="Q667" t="n">
        <v>0</v>
      </c>
      <c r="R667" s="2" t="inlineStr"/>
    </row>
    <row r="668" ht="15" customHeight="1">
      <c r="A668" t="inlineStr">
        <is>
          <t>A 31869-2025</t>
        </is>
      </c>
      <c r="B668" s="1" t="n">
        <v>45834.64555555556</v>
      </c>
      <c r="C668" s="1" t="n">
        <v>45918</v>
      </c>
      <c r="D668" t="inlineStr">
        <is>
          <t>VÄSTMANLANDS LÄN</t>
        </is>
      </c>
      <c r="E668" t="inlineStr">
        <is>
          <t>SALA</t>
        </is>
      </c>
      <c r="G668" t="n">
        <v>17.5</v>
      </c>
      <c r="H668" t="n">
        <v>0</v>
      </c>
      <c r="I668" t="n">
        <v>0</v>
      </c>
      <c r="J668" t="n">
        <v>0</v>
      </c>
      <c r="K668" t="n">
        <v>0</v>
      </c>
      <c r="L668" t="n">
        <v>0</v>
      </c>
      <c r="M668" t="n">
        <v>0</v>
      </c>
      <c r="N668" t="n">
        <v>0</v>
      </c>
      <c r="O668" t="n">
        <v>0</v>
      </c>
      <c r="P668" t="n">
        <v>0</v>
      </c>
      <c r="Q668" t="n">
        <v>0</v>
      </c>
      <c r="R668" s="2" t="inlineStr"/>
    </row>
    <row r="669" ht="15" customHeight="1">
      <c r="A669" t="inlineStr">
        <is>
          <t>A 44100-2025</t>
        </is>
      </c>
      <c r="B669" s="1" t="n">
        <v>45915.56707175926</v>
      </c>
      <c r="C669" s="1" t="n">
        <v>45918</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7664-2023</t>
        </is>
      </c>
      <c r="B670" s="1" t="n">
        <v>44972</v>
      </c>
      <c r="C670" s="1" t="n">
        <v>45918</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17985-2025</t>
        </is>
      </c>
      <c r="B671" s="1" t="n">
        <v>45761</v>
      </c>
      <c r="C671" s="1" t="n">
        <v>45918</v>
      </c>
      <c r="D671" t="inlineStr">
        <is>
          <t>VÄSTMANLANDS LÄN</t>
        </is>
      </c>
      <c r="E671" t="inlineStr">
        <is>
          <t>SALA</t>
        </is>
      </c>
      <c r="G671" t="n">
        <v>12.5</v>
      </c>
      <c r="H671" t="n">
        <v>0</v>
      </c>
      <c r="I671" t="n">
        <v>0</v>
      </c>
      <c r="J671" t="n">
        <v>0</v>
      </c>
      <c r="K671" t="n">
        <v>0</v>
      </c>
      <c r="L671" t="n">
        <v>0</v>
      </c>
      <c r="M671" t="n">
        <v>0</v>
      </c>
      <c r="N671" t="n">
        <v>0</v>
      </c>
      <c r="O671" t="n">
        <v>0</v>
      </c>
      <c r="P671" t="n">
        <v>0</v>
      </c>
      <c r="Q671" t="n">
        <v>0</v>
      </c>
      <c r="R671" s="2" t="inlineStr"/>
    </row>
    <row r="672" ht="15" customHeight="1">
      <c r="A672" t="inlineStr">
        <is>
          <t>A 44524-2025</t>
        </is>
      </c>
      <c r="B672" s="1" t="n">
        <v>45916.72920138889</v>
      </c>
      <c r="C672" s="1" t="n">
        <v>45918</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37103-2025</t>
        </is>
      </c>
      <c r="B673" s="1" t="n">
        <v>45875.47743055555</v>
      </c>
      <c r="C673" s="1" t="n">
        <v>45918</v>
      </c>
      <c r="D673" t="inlineStr">
        <is>
          <t>VÄSTMANLANDS LÄN</t>
        </is>
      </c>
      <c r="E673" t="inlineStr">
        <is>
          <t>SALA</t>
        </is>
      </c>
      <c r="G673" t="n">
        <v>1.9</v>
      </c>
      <c r="H673" t="n">
        <v>0</v>
      </c>
      <c r="I673" t="n">
        <v>0</v>
      </c>
      <c r="J673" t="n">
        <v>0</v>
      </c>
      <c r="K673" t="n">
        <v>0</v>
      </c>
      <c r="L673" t="n">
        <v>0</v>
      </c>
      <c r="M673" t="n">
        <v>0</v>
      </c>
      <c r="N673" t="n">
        <v>0</v>
      </c>
      <c r="O673" t="n">
        <v>0</v>
      </c>
      <c r="P673" t="n">
        <v>0</v>
      </c>
      <c r="Q673" t="n">
        <v>0</v>
      </c>
      <c r="R673" s="2" t="inlineStr"/>
    </row>
    <row r="674" ht="15" customHeight="1">
      <c r="A674" t="inlineStr">
        <is>
          <t>A 44486-2025</t>
        </is>
      </c>
      <c r="B674" s="1" t="n">
        <v>45916.65517361111</v>
      </c>
      <c r="C674" s="1" t="n">
        <v>45918</v>
      </c>
      <c r="D674" t="inlineStr">
        <is>
          <t>VÄSTMANLANDS LÄN</t>
        </is>
      </c>
      <c r="E674" t="inlineStr">
        <is>
          <t>SALA</t>
        </is>
      </c>
      <c r="G674" t="n">
        <v>1.7</v>
      </c>
      <c r="H674" t="n">
        <v>0</v>
      </c>
      <c r="I674" t="n">
        <v>0</v>
      </c>
      <c r="J674" t="n">
        <v>0</v>
      </c>
      <c r="K674" t="n">
        <v>0</v>
      </c>
      <c r="L674" t="n">
        <v>0</v>
      </c>
      <c r="M674" t="n">
        <v>0</v>
      </c>
      <c r="N674" t="n">
        <v>0</v>
      </c>
      <c r="O674" t="n">
        <v>0</v>
      </c>
      <c r="P674" t="n">
        <v>0</v>
      </c>
      <c r="Q674" t="n">
        <v>0</v>
      </c>
      <c r="R674" s="2" t="inlineStr"/>
    </row>
    <row r="675">
      <c r="A675" t="inlineStr">
        <is>
          <t>A 37017-2025</t>
        </is>
      </c>
      <c r="B675" s="1" t="n">
        <v>45874</v>
      </c>
      <c r="C675" s="1" t="n">
        <v>45918</v>
      </c>
      <c r="D675" t="inlineStr">
        <is>
          <t>VÄSTMANLANDS LÄN</t>
        </is>
      </c>
      <c r="E675" t="inlineStr">
        <is>
          <t>SALA</t>
        </is>
      </c>
      <c r="G675" t="n">
        <v>11.1</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2025-09-18T09:01:06Z</dcterms:created>
  <dcterms:modified xmlns:dcterms="http://purl.org/dc/terms/" xmlns:xsi="http://www.w3.org/2001/XMLSchema-instance" xsi:type="dcterms:W3CDTF">2025-09-18T09:01:07Z</dcterms:modified>
</cp:coreProperties>
</file>