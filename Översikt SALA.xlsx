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12276-2023</t>
        </is>
      </c>
      <c r="B2" t="inlineStr">
        <is>
          <t>avverkningsanmälan</t>
        </is>
      </c>
      <c r="C2" t="inlineStr">
        <is>
          <t>Föryngringsavverkning</t>
        </is>
      </c>
      <c r="D2" s="1" t="n">
        <v>44995</v>
      </c>
      <c r="E2" s="1" t="n">
        <v>46216</v>
      </c>
      <c r="F2" t="inlineStr">
        <is>
          <t>VÄSTMANLANDS LÄN</t>
        </is>
      </c>
      <c r="G2" t="inlineStr">
        <is>
          <t>SALA</t>
        </is>
      </c>
      <c r="I2" t="n">
        <v>28.6</v>
      </c>
      <c r="J2" t="n">
        <v>7</v>
      </c>
      <c r="K2" t="n">
        <v>15</v>
      </c>
      <c r="L2" t="n">
        <v>16</v>
      </c>
      <c r="M2" t="n">
        <v>7</v>
      </c>
      <c r="N2" t="n">
        <v>0</v>
      </c>
      <c r="O2" t="n">
        <v>0</v>
      </c>
      <c r="P2" t="n">
        <v>0</v>
      </c>
      <c r="Q2" t="n">
        <v>23</v>
      </c>
      <c r="R2" t="n">
        <v>7</v>
      </c>
      <c r="S2" t="n">
        <v>42</v>
      </c>
      <c r="T2" t="n">
        <v>185</v>
      </c>
      <c r="U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V2">
        <f>HYPERLINK("https://klasma.github.io/Logging_1981/artfynd/A 12276-2023 artfynd.xlsx", "A 12276-2023")</f>
        <v/>
      </c>
      <c r="W2">
        <f>HYPERLINK("https://klasma.github.io/Logging_1981/kartor/A 12276-2023 karta.png", "A 12276-2023")</f>
        <v/>
      </c>
      <c r="X2">
        <f>HYPERLINK("https://klasma.github.io/Logging_1981/knärot/A 12276-2023 karta knärot.png", "A 12276-2023")</f>
        <v/>
      </c>
      <c r="Y2">
        <f>HYPERLINK("https://klasma.github.io/Logging_1981/klagomål/A 12276-2023 FSC-klagomål.docx", "A 12276-2023")</f>
        <v/>
      </c>
      <c r="Z2">
        <f>HYPERLINK("https://klasma.github.io/Logging_1981/klagomålsmail/A 12276-2023 FSC-klagomål mail.docx", "A 12276-2023")</f>
        <v/>
      </c>
      <c r="AA2">
        <f>HYPERLINK("https://klasma.github.io/Logging_1981/tillsyn/A 12276-2023 tillsynsbegäran.docx", "A 12276-2023")</f>
        <v/>
      </c>
      <c r="AB2">
        <f>HYPERLINK("https://klasma.github.io/Logging_1981/tillsynsmail/A 12276-2023 tillsynsbegäran mail.docx", "A 12276-2023")</f>
        <v/>
      </c>
      <c r="AC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46216</v>
      </c>
      <c r="F3" t="inlineStr">
        <is>
          <t>VÄSTMANLANDS LÄN</t>
        </is>
      </c>
      <c r="G3" t="inlineStr">
        <is>
          <t>SALA</t>
        </is>
      </c>
      <c r="I3" t="n">
        <v>11.7</v>
      </c>
      <c r="J3" t="n">
        <v>4</v>
      </c>
      <c r="K3" t="n">
        <v>9</v>
      </c>
      <c r="L3" t="n">
        <v>8</v>
      </c>
      <c r="M3" t="n">
        <v>5</v>
      </c>
      <c r="N3" t="n">
        <v>1</v>
      </c>
      <c r="O3" t="n">
        <v>0</v>
      </c>
      <c r="P3" t="n">
        <v>0</v>
      </c>
      <c r="Q3" t="n">
        <v>14</v>
      </c>
      <c r="R3" t="n">
        <v>6</v>
      </c>
      <c r="S3" t="n">
        <v>28</v>
      </c>
      <c r="T3" t="n">
        <v>51</v>
      </c>
      <c r="U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V3">
        <f>HYPERLINK("https://klasma.github.io/Logging_1981/artfynd/A 13033-2026 artfynd.xlsx", "A 13033-2026")</f>
        <v/>
      </c>
      <c r="W3">
        <f>HYPERLINK("https://klasma.github.io/Logging_1981/kartor/A 13033-2026 karta.png", "A 13033-2026")</f>
        <v/>
      </c>
      <c r="X3">
        <f>HYPERLINK("https://klasma.github.io/Logging_1981/knärot/A 13033-2026 karta knärot.png", "A 13033-2026")</f>
        <v/>
      </c>
      <c r="Y3">
        <f>HYPERLINK("https://klasma.github.io/Logging_1981/klagomål/A 13033-2026 FSC-klagomål.docx", "A 13033-2026")</f>
        <v/>
      </c>
      <c r="Z3">
        <f>HYPERLINK("https://klasma.github.io/Logging_1981/klagomålsmail/A 13033-2026 FSC-klagomål mail.docx", "A 13033-2026")</f>
        <v/>
      </c>
      <c r="AA3">
        <f>HYPERLINK("https://klasma.github.io/Logging_1981/tillsyn/A 13033-2026 tillsynsbegäran.docx", "A 13033-2026")</f>
        <v/>
      </c>
      <c r="AB3">
        <f>HYPERLINK("https://klasma.github.io/Logging_1981/tillsynsmail/A 13033-2026 tillsynsbegäran mail.docx", "A 13033-2026")</f>
        <v/>
      </c>
      <c r="AC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46216</v>
      </c>
      <c r="F4" t="inlineStr">
        <is>
          <t>VÄSTMANLANDS LÄN</t>
        </is>
      </c>
      <c r="G4" t="inlineStr">
        <is>
          <t>SALA</t>
        </is>
      </c>
      <c r="I4" t="n">
        <v>9.5</v>
      </c>
      <c r="J4" t="n">
        <v>3</v>
      </c>
      <c r="K4" t="n">
        <v>5</v>
      </c>
      <c r="L4" t="n">
        <v>7</v>
      </c>
      <c r="M4" t="n">
        <v>2</v>
      </c>
      <c r="N4" t="n">
        <v>0</v>
      </c>
      <c r="O4" t="n">
        <v>0</v>
      </c>
      <c r="P4" t="n">
        <v>0</v>
      </c>
      <c r="Q4" t="n">
        <v>9</v>
      </c>
      <c r="R4" t="n">
        <v>2</v>
      </c>
      <c r="S4" t="n">
        <v>15</v>
      </c>
      <c r="T4" t="n">
        <v>28</v>
      </c>
      <c r="U4" s="2" t="inlineStr">
        <is>
          <t>Knärot
Laxporing
Brunpudrad nållav
Dofttaggsvamp
Skogstrappmossa
Svartvit taggsvamp
Ullticka
Vedskivlav
Vedtrappmossa
Flagellkvastmossa
Gulnål
Plattlummer
Rödgul trumpetsvamp
Vedticka
Blåsippa</t>
        </is>
      </c>
      <c r="V4">
        <f>HYPERLINK("https://klasma.github.io/Logging_1981/artfynd/A 22353-2024 artfynd.xlsx", "A 22353-2024")</f>
        <v/>
      </c>
      <c r="W4">
        <f>HYPERLINK("https://klasma.github.io/Logging_1981/kartor/A 22353-2024 karta.png", "A 22353-2024")</f>
        <v/>
      </c>
      <c r="X4">
        <f>HYPERLINK("https://klasma.github.io/Logging_1981/knärot/A 22353-2024 karta knärot.png", "A 22353-2024")</f>
        <v/>
      </c>
      <c r="Y4">
        <f>HYPERLINK("https://klasma.github.io/Logging_1981/klagomål/A 22353-2024 FSC-klagomål.docx", "A 22353-2024")</f>
        <v/>
      </c>
      <c r="Z4">
        <f>HYPERLINK("https://klasma.github.io/Logging_1981/klagomålsmail/A 22353-2024 FSC-klagomål mail.docx", "A 22353-2024")</f>
        <v/>
      </c>
      <c r="AA4">
        <f>HYPERLINK("https://klasma.github.io/Logging_1981/tillsyn/A 22353-2024 tillsynsbegäran.docx", "A 22353-2024")</f>
        <v/>
      </c>
      <c r="AB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46216</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s="2" t="inlineStr">
        <is>
          <t>Garnlav
Raggbock
Apelsinticka
Kolflarnlav
Kortskaftad ärgspik
Motaggsvamp
Rosenticka
Ullticka
Vedskivlav
Vedtrappmossa
Flagellkvastmossa
Grönpyrola
Sotlav
Vedticka</t>
        </is>
      </c>
      <c r="V5">
        <f>HYPERLINK("https://klasma.github.io/Logging_1981/artfynd/A 47850-2022 artfynd.xlsx", "A 47850-2022")</f>
        <v/>
      </c>
      <c r="W5">
        <f>HYPERLINK("https://klasma.github.io/Logging_1981/kartor/A 47850-2022 karta.png", "A 47850-2022")</f>
        <v/>
      </c>
      <c r="Y5">
        <f>HYPERLINK("https://klasma.github.io/Logging_1981/klagomål/A 47850-2022 FSC-klagomål.docx", "A 47850-2022")</f>
        <v/>
      </c>
      <c r="Z5">
        <f>HYPERLINK("https://klasma.github.io/Logging_1981/klagomålsmail/A 47850-2022 FSC-klagomål mail.docx", "A 47850-2022")</f>
        <v/>
      </c>
      <c r="AA5">
        <f>HYPERLINK("https://klasma.github.io/Logging_1981/tillsyn/A 47850-2022 tillsynsbegäran.docx", "A 47850-2022")</f>
        <v/>
      </c>
      <c r="AB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46216</v>
      </c>
      <c r="F6" t="inlineStr">
        <is>
          <t>VÄSTMANLANDS LÄN</t>
        </is>
      </c>
      <c r="G6" t="inlineStr">
        <is>
          <t>SALA</t>
        </is>
      </c>
      <c r="I6" t="n">
        <v>1.7</v>
      </c>
      <c r="J6" t="n">
        <v>1</v>
      </c>
      <c r="K6" t="n">
        <v>2</v>
      </c>
      <c r="L6" t="n">
        <v>4</v>
      </c>
      <c r="M6" t="n">
        <v>3</v>
      </c>
      <c r="N6" t="n">
        <v>0</v>
      </c>
      <c r="O6" t="n">
        <v>0</v>
      </c>
      <c r="P6" t="n">
        <v>0</v>
      </c>
      <c r="Q6" t="n">
        <v>7</v>
      </c>
      <c r="R6" t="n">
        <v>3</v>
      </c>
      <c r="S6" t="n">
        <v>10</v>
      </c>
      <c r="T6" t="n">
        <v>11</v>
      </c>
      <c r="U6" s="2" t="inlineStr">
        <is>
          <t>Garnlav
Gul taggsvamp
Porslinsblå spindling
Dropptaggsvamp
Gultoppig fingersvamp
Orange taggsvamp
Skarp dropptaggsvamp
Flagellkvastmossa
Olivspindling
Blåsippa</t>
        </is>
      </c>
      <c r="V6">
        <f>HYPERLINK("https://klasma.github.io/Logging_1981/artfynd/A 26370-2026 artfynd.xlsx", "A 26370-2026")</f>
        <v/>
      </c>
      <c r="W6">
        <f>HYPERLINK("https://klasma.github.io/Logging_1981/kartor/A 26370-2026 karta.png", "A 26370-2026")</f>
        <v/>
      </c>
      <c r="Y6">
        <f>HYPERLINK("https://klasma.github.io/Logging_1981/klagomål/A 26370-2026 FSC-klagomål.docx", "A 26370-2026")</f>
        <v/>
      </c>
      <c r="Z6">
        <f>HYPERLINK("https://klasma.github.io/Logging_1981/klagomålsmail/A 26370-2026 FSC-klagomål mail.docx", "A 26370-2026")</f>
        <v/>
      </c>
      <c r="AA6">
        <f>HYPERLINK("https://klasma.github.io/Logging_1981/tillsyn/A 26370-2026 tillsynsbegäran.docx", "A 26370-2026")</f>
        <v/>
      </c>
      <c r="AB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46216</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s="2" t="inlineStr">
        <is>
          <t>Väddnätfjäril
Gullpudra
Bågpraktmossa
Guldlockmossa
Klippfrullania
Platt fjädermossa
Vanlig rörsvepemossa
Blåsippa
Fläcknycklar
Revlummer</t>
        </is>
      </c>
      <c r="V7">
        <f>HYPERLINK("https://klasma.github.io/Logging_1981/artfynd/S 3631-2024 artfynd.xlsx", "S 3631-2024")</f>
        <v/>
      </c>
      <c r="W7">
        <f>HYPERLINK("https://klasma.github.io/Logging_1981/kartor/S 3631-2024 karta.png", "S 3631-2024")</f>
        <v/>
      </c>
      <c r="Y7">
        <f>HYPERLINK("https://klasma.github.io/Logging_1981/klagomål/S 3631-2024 FSC-klagomål.docx", "S 3631-2024")</f>
        <v/>
      </c>
      <c r="Z7">
        <f>HYPERLINK("https://klasma.github.io/Logging_1981/klagomålsmail/S 3631-2024 FSC-klagomål mail.docx", "S 3631-2024")</f>
        <v/>
      </c>
      <c r="AA7">
        <f>HYPERLINK("https://klasma.github.io/Logging_1981/tillsyn/S 3631-2024 tillsynsbegäran.docx", "S 3631-2024")</f>
        <v/>
      </c>
      <c r="AB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46216</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s="2" t="inlineStr">
        <is>
          <t>Grönfink
Ävjepilört
Pilblad
Rödlånke
Talltita
Spillkråka
Gröngöling
Kråka</t>
        </is>
      </c>
      <c r="V8">
        <f>HYPERLINK("https://klasma.github.io/Logging_1981/artfynd/A 7919-2022 artfynd.xlsx", "A 7919-2022")</f>
        <v/>
      </c>
      <c r="W8">
        <f>HYPERLINK("https://klasma.github.io/Logging_1981/kartor/A 7919-2022 karta.png", "A 7919-2022")</f>
        <v/>
      </c>
      <c r="Y8">
        <f>HYPERLINK("https://klasma.github.io/Logging_1981/klagomål/A 7919-2022 FSC-klagomål.docx", "A 7919-2022")</f>
        <v/>
      </c>
      <c r="Z8">
        <f>HYPERLINK("https://klasma.github.io/Logging_1981/klagomålsmail/A 7919-2022 FSC-klagomål mail.docx", "A 7919-2022")</f>
        <v/>
      </c>
      <c r="AA8">
        <f>HYPERLINK("https://klasma.github.io/Logging_1981/tillsyn/A 7919-2022 tillsynsbegäran.docx", "A 7919-2022")</f>
        <v/>
      </c>
      <c r="AB8">
        <f>HYPERLINK("https://klasma.github.io/Logging_1981/tillsynsmail/A 7919-2022 tillsynsbegäran mail.docx", "A 7919-2022")</f>
        <v/>
      </c>
      <c r="AC8">
        <f>HYPERLINK("https://klasma.github.io/Logging_1981/fåglar/A 7919-2022 prioriterade fågelarter.docx", "A 7919-2022")</f>
        <v/>
      </c>
    </row>
    <row r="9" ht="15" customHeight="1">
      <c r="A9" t="inlineStr">
        <is>
          <t>A 40493-2024</t>
        </is>
      </c>
      <c r="B9" t="inlineStr">
        <is>
          <t>avverkningsanmälan</t>
        </is>
      </c>
      <c r="C9" t="inlineStr">
        <is>
          <t>Föryngringsavverkning</t>
        </is>
      </c>
      <c r="D9" s="1" t="n">
        <v>45555</v>
      </c>
      <c r="E9" s="1" t="n">
        <v>46216</v>
      </c>
      <c r="F9" t="inlineStr">
        <is>
          <t>VÄSTMANLANDS LÄN</t>
        </is>
      </c>
      <c r="G9" t="inlineStr">
        <is>
          <t>SALA</t>
        </is>
      </c>
      <c r="I9" t="n">
        <v>3.8</v>
      </c>
      <c r="J9" t="n">
        <v>1</v>
      </c>
      <c r="K9" t="n">
        <v>1</v>
      </c>
      <c r="L9" t="n">
        <v>5</v>
      </c>
      <c r="M9" t="n">
        <v>1</v>
      </c>
      <c r="N9" t="n">
        <v>0</v>
      </c>
      <c r="O9" t="n">
        <v>0</v>
      </c>
      <c r="P9" t="n">
        <v>0</v>
      </c>
      <c r="Q9" t="n">
        <v>6</v>
      </c>
      <c r="R9" t="n">
        <v>1</v>
      </c>
      <c r="S9" t="n">
        <v>7</v>
      </c>
      <c r="T9" t="n">
        <v>9</v>
      </c>
      <c r="U9" s="2" t="inlineStr">
        <is>
          <t>Knärot
Dropptaggsvamp
Gransotdyna
Ullticka
Vedskivlav
Äggvaxskivling
Rostfläck</t>
        </is>
      </c>
      <c r="V9">
        <f>HYPERLINK("https://klasma.github.io/Logging_1981/artfynd/A 40493-2024 artfynd.xlsx", "A 40493-2024")</f>
        <v/>
      </c>
      <c r="W9">
        <f>HYPERLINK("https://klasma.github.io/Logging_1981/kartor/A 40493-2024 karta.png", "A 40493-2024")</f>
        <v/>
      </c>
      <c r="X9">
        <f>HYPERLINK("https://klasma.github.io/Logging_1981/knärot/A 40493-2024 karta knärot.png", "A 40493-2024")</f>
        <v/>
      </c>
      <c r="Y9">
        <f>HYPERLINK("https://klasma.github.io/Logging_1981/klagomål/A 40493-2024 FSC-klagomål.docx", "A 40493-2024")</f>
        <v/>
      </c>
      <c r="Z9">
        <f>HYPERLINK("https://klasma.github.io/Logging_1981/klagomålsmail/A 40493-2024 FSC-klagomål mail.docx", "A 40493-2024")</f>
        <v/>
      </c>
      <c r="AA9">
        <f>HYPERLINK("https://klasma.github.io/Logging_1981/tillsyn/A 40493-2024 tillsynsbegäran.docx", "A 40493-2024")</f>
        <v/>
      </c>
      <c r="AB9">
        <f>HYPERLINK("https://klasma.github.io/Logging_1981/tillsynsmail/A 40493-2024 tillsynsbegäran mail.docx", "A 40493-2024")</f>
        <v/>
      </c>
    </row>
    <row r="10" ht="15" customHeight="1">
      <c r="A10" t="inlineStr">
        <is>
          <t>A 40495-2024</t>
        </is>
      </c>
      <c r="B10" t="inlineStr">
        <is>
          <t>avverkningsanmälan</t>
        </is>
      </c>
      <c r="C10" t="inlineStr">
        <is>
          <t>Föryngringsavverkning</t>
        </is>
      </c>
      <c r="D10" s="1" t="n">
        <v>45555</v>
      </c>
      <c r="E10" s="1" t="n">
        <v>46216</v>
      </c>
      <c r="F10" t="inlineStr">
        <is>
          <t>VÄSTMANLANDS LÄN</t>
        </is>
      </c>
      <c r="G10" t="inlineStr">
        <is>
          <t>SALA</t>
        </is>
      </c>
      <c r="I10" t="n">
        <v>3.1</v>
      </c>
      <c r="J10" t="n">
        <v>1</v>
      </c>
      <c r="K10" t="n">
        <v>2</v>
      </c>
      <c r="L10" t="n">
        <v>4</v>
      </c>
      <c r="M10" t="n">
        <v>1</v>
      </c>
      <c r="N10" t="n">
        <v>0</v>
      </c>
      <c r="O10" t="n">
        <v>0</v>
      </c>
      <c r="P10" t="n">
        <v>0</v>
      </c>
      <c r="Q10" t="n">
        <v>5</v>
      </c>
      <c r="R10" t="n">
        <v>1</v>
      </c>
      <c r="S10" t="n">
        <v>7</v>
      </c>
      <c r="T10" t="n">
        <v>10</v>
      </c>
      <c r="U10" s="2" t="inlineStr">
        <is>
          <t>Knärot
Dropptaggsvamp
Skorpgelélav
Veckticka
Vedskivlav
Blåmossa
Bronshjon</t>
        </is>
      </c>
      <c r="V10">
        <f>HYPERLINK("https://klasma.github.io/Logging_1981/artfynd/A 40495-2024 artfynd.xlsx", "A 40495-2024")</f>
        <v/>
      </c>
      <c r="W10">
        <f>HYPERLINK("https://klasma.github.io/Logging_1981/kartor/A 40495-2024 karta.png", "A 40495-2024")</f>
        <v/>
      </c>
      <c r="X10">
        <f>HYPERLINK("https://klasma.github.io/Logging_1981/knärot/A 40495-2024 karta knärot.png", "A 40495-2024")</f>
        <v/>
      </c>
      <c r="Y10">
        <f>HYPERLINK("https://klasma.github.io/Logging_1981/klagomål/A 40495-2024 FSC-klagomål.docx", "A 40495-2024")</f>
        <v/>
      </c>
      <c r="Z10">
        <f>HYPERLINK("https://klasma.github.io/Logging_1981/klagomålsmail/A 40495-2024 FSC-klagomål mail.docx", "A 40495-2024")</f>
        <v/>
      </c>
      <c r="AA10">
        <f>HYPERLINK("https://klasma.github.io/Logging_1981/tillsyn/A 40495-2024 tillsynsbegäran.docx", "A 40495-2024")</f>
        <v/>
      </c>
      <c r="AB10">
        <f>HYPERLINK("https://klasma.github.io/Logging_1981/tillsynsmail/A 40495-2024 tillsynsbegäran mail.docx", "A 40495-2024")</f>
        <v/>
      </c>
    </row>
    <row r="11" ht="15" customHeight="1">
      <c r="A11" t="inlineStr">
        <is>
          <t>A 47475-2024</t>
        </is>
      </c>
      <c r="B11" t="inlineStr">
        <is>
          <t>avverkningsanmälan</t>
        </is>
      </c>
      <c r="C11" t="inlineStr">
        <is>
          <t>Föryngringsavverkning</t>
        </is>
      </c>
      <c r="D11" s="1" t="n">
        <v>45587</v>
      </c>
      <c r="E11" s="1" t="n">
        <v>46216</v>
      </c>
      <c r="F11" t="inlineStr">
        <is>
          <t>VÄSTMANLANDS LÄN</t>
        </is>
      </c>
      <c r="G11" t="inlineStr">
        <is>
          <t>SALA</t>
        </is>
      </c>
      <c r="I11" t="n">
        <v>1.4</v>
      </c>
      <c r="J11" t="n">
        <v>3</v>
      </c>
      <c r="K11" t="n">
        <v>1</v>
      </c>
      <c r="L11" t="n">
        <v>2</v>
      </c>
      <c r="M11" t="n">
        <v>2</v>
      </c>
      <c r="N11" t="n">
        <v>0</v>
      </c>
      <c r="O11" t="n">
        <v>0</v>
      </c>
      <c r="P11" t="n">
        <v>0</v>
      </c>
      <c r="Q11" t="n">
        <v>4</v>
      </c>
      <c r="R11" t="n">
        <v>2</v>
      </c>
      <c r="S11" t="n">
        <v>7</v>
      </c>
      <c r="T11" t="n">
        <v>11</v>
      </c>
      <c r="U11" s="2" t="inlineStr">
        <is>
          <t>Knärot
Luddig stiftdynlav
Rynkskinn
Ullticka
Svavelriska
Fläcknycklar
Revlummer</t>
        </is>
      </c>
      <c r="V11">
        <f>HYPERLINK("https://klasma.github.io/Logging_1981/artfynd/A 47475-2024 artfynd.xlsx", "A 47475-2024")</f>
        <v/>
      </c>
      <c r="W11">
        <f>HYPERLINK("https://klasma.github.io/Logging_1981/kartor/A 47475-2024 karta.png", "A 47475-2024")</f>
        <v/>
      </c>
      <c r="X11">
        <f>HYPERLINK("https://klasma.github.io/Logging_1981/knärot/A 47475-2024 karta knärot.png", "A 47475-2024")</f>
        <v/>
      </c>
      <c r="Y11">
        <f>HYPERLINK("https://klasma.github.io/Logging_1981/klagomål/A 47475-2024 FSC-klagomål.docx", "A 47475-2024")</f>
        <v/>
      </c>
      <c r="Z11">
        <f>HYPERLINK("https://klasma.github.io/Logging_1981/klagomålsmail/A 47475-2024 FSC-klagomål mail.docx", "A 47475-2024")</f>
        <v/>
      </c>
      <c r="AA11">
        <f>HYPERLINK("https://klasma.github.io/Logging_1981/tillsyn/A 47475-2024 tillsynsbegäran.docx", "A 47475-2024")</f>
        <v/>
      </c>
      <c r="AB11">
        <f>HYPERLINK("https://klasma.github.io/Logging_1981/tillsynsmail/A 47475-2024 tillsynsbegäran mail.docx", "A 47475-2024")</f>
        <v/>
      </c>
    </row>
    <row r="12" ht="15" customHeight="1">
      <c r="A12" t="inlineStr">
        <is>
          <t>A 53627-2025</t>
        </is>
      </c>
      <c r="B12" t="inlineStr">
        <is>
          <t>avverkningsanmälan</t>
        </is>
      </c>
      <c r="C12" t="inlineStr">
        <is>
          <t>Föryngringsavverkning</t>
        </is>
      </c>
      <c r="D12" s="1" t="n">
        <v>45960</v>
      </c>
      <c r="E12" s="1" t="n">
        <v>46216</v>
      </c>
      <c r="F12" t="inlineStr">
        <is>
          <t>VÄSTMANLANDS LÄN</t>
        </is>
      </c>
      <c r="G12" t="inlineStr">
        <is>
          <t>SALA</t>
        </is>
      </c>
      <c r="I12" t="n">
        <v>10.5</v>
      </c>
      <c r="J12" t="n">
        <v>3</v>
      </c>
      <c r="K12" t="n">
        <v>2</v>
      </c>
      <c r="L12" t="n">
        <v>2</v>
      </c>
      <c r="M12" t="n">
        <v>1</v>
      </c>
      <c r="N12" t="n">
        <v>0</v>
      </c>
      <c r="O12" t="n">
        <v>0</v>
      </c>
      <c r="P12" t="n">
        <v>0</v>
      </c>
      <c r="Q12" t="n">
        <v>3</v>
      </c>
      <c r="R12" t="n">
        <v>1</v>
      </c>
      <c r="S12" t="n">
        <v>7</v>
      </c>
      <c r="T12" t="n">
        <v>26</v>
      </c>
      <c r="U12" s="2" t="inlineStr">
        <is>
          <t>Knärot
Brunklöver
Ullticka
Grönpyrola
Vedticka
Mattlummer
Revlummer</t>
        </is>
      </c>
      <c r="V12">
        <f>HYPERLINK("https://klasma.github.io/Logging_1981/artfynd/A 53627-2025 artfynd.xlsx", "A 53627-2025")</f>
        <v/>
      </c>
      <c r="W12">
        <f>HYPERLINK("https://klasma.github.io/Logging_1981/kartor/A 53627-2025 karta.png", "A 53627-2025")</f>
        <v/>
      </c>
      <c r="X12">
        <f>HYPERLINK("https://klasma.github.io/Logging_1981/knärot/A 53627-2025 karta knärot.png", "A 53627-2025")</f>
        <v/>
      </c>
      <c r="Y12">
        <f>HYPERLINK("https://klasma.github.io/Logging_1981/klagomål/A 53627-2025 FSC-klagomål.docx", "A 53627-2025")</f>
        <v/>
      </c>
      <c r="Z12">
        <f>HYPERLINK("https://klasma.github.io/Logging_1981/klagomålsmail/A 53627-2025 FSC-klagomål mail.docx", "A 53627-2025")</f>
        <v/>
      </c>
      <c r="AA12">
        <f>HYPERLINK("https://klasma.github.io/Logging_1981/tillsyn/A 53627-2025 tillsynsbegäran.docx", "A 53627-2025")</f>
        <v/>
      </c>
      <c r="AB12">
        <f>HYPERLINK("https://klasma.github.io/Logging_1981/tillsynsmail/A 53627-2025 tillsynsbegäran mail.docx", "A 53627-2025")</f>
        <v/>
      </c>
    </row>
    <row r="13" ht="15" customHeight="1">
      <c r="A13" t="inlineStr">
        <is>
          <t>A 9092-2025</t>
        </is>
      </c>
      <c r="B13" t="inlineStr">
        <is>
          <t>avverkningsanmälan</t>
        </is>
      </c>
      <c r="C13" t="inlineStr">
        <is>
          <t>Föryngringsavverkning</t>
        </is>
      </c>
      <c r="D13" s="1" t="n">
        <v>45713</v>
      </c>
      <c r="E13" s="1" t="n">
        <v>46216</v>
      </c>
      <c r="F13" t="inlineStr">
        <is>
          <t>VÄSTMANLANDS LÄN</t>
        </is>
      </c>
      <c r="G13" t="inlineStr">
        <is>
          <t>SALA</t>
        </is>
      </c>
      <c r="I13" t="n">
        <v>11</v>
      </c>
      <c r="J13" t="n">
        <v>0</v>
      </c>
      <c r="K13" t="n">
        <v>1</v>
      </c>
      <c r="L13" t="n">
        <v>3</v>
      </c>
      <c r="M13" t="n">
        <v>2</v>
      </c>
      <c r="N13" t="n">
        <v>1</v>
      </c>
      <c r="O13" t="n">
        <v>0</v>
      </c>
      <c r="P13" t="n">
        <v>0</v>
      </c>
      <c r="Q13" t="n">
        <v>6</v>
      </c>
      <c r="R13" t="n">
        <v>3</v>
      </c>
      <c r="S13" t="n">
        <v>7</v>
      </c>
      <c r="T13" t="n">
        <v>12</v>
      </c>
      <c r="U13" s="2" t="inlineStr">
        <is>
          <t>Ask
Grangråticka
Gyllenspindling
Dofttaggsvamp
Fjällig taggsvamp s.str.
Orange taggsvamp
Anisspindling</t>
        </is>
      </c>
      <c r="V13">
        <f>HYPERLINK("https://klasma.github.io/Logging_1981/artfynd/A 9092-2025 artfynd.xlsx", "A 9092-2025")</f>
        <v/>
      </c>
      <c r="W13">
        <f>HYPERLINK("https://klasma.github.io/Logging_1981/kartor/A 9092-2025 karta.png", "A 9092-2025")</f>
        <v/>
      </c>
      <c r="Y13">
        <f>HYPERLINK("https://klasma.github.io/Logging_1981/klagomål/A 9092-2025 FSC-klagomål.docx", "A 9092-2025")</f>
        <v/>
      </c>
      <c r="Z13">
        <f>HYPERLINK("https://klasma.github.io/Logging_1981/klagomålsmail/A 9092-2025 FSC-klagomål mail.docx", "A 9092-2025")</f>
        <v/>
      </c>
      <c r="AA13">
        <f>HYPERLINK("https://klasma.github.io/Logging_1981/tillsyn/A 9092-2025 tillsynsbegäran.docx", "A 9092-2025")</f>
        <v/>
      </c>
      <c r="AB13">
        <f>HYPERLINK("https://klasma.github.io/Logging_1981/tillsynsmail/A 9092-2025 tillsynsbegäran mail.docx", "A 9092-2025")</f>
        <v/>
      </c>
    </row>
    <row r="14" ht="15" customHeight="1">
      <c r="A14" t="inlineStr">
        <is>
          <t>A 27488-2023</t>
        </is>
      </c>
      <c r="B14" t="inlineStr">
        <is>
          <t>avverkningsanmälan</t>
        </is>
      </c>
      <c r="C14" t="inlineStr">
        <is>
          <t>Föryngringsavverkning</t>
        </is>
      </c>
      <c r="D14" s="1" t="n">
        <v>45097</v>
      </c>
      <c r="E14" s="1" t="n">
        <v>46216</v>
      </c>
      <c r="F14" t="inlineStr">
        <is>
          <t>VÄSTMANLANDS LÄN</t>
        </is>
      </c>
      <c r="G14" t="inlineStr">
        <is>
          <t>SALA</t>
        </is>
      </c>
      <c r="I14" t="n">
        <v>9.300000000000001</v>
      </c>
      <c r="J14" t="n">
        <v>2</v>
      </c>
      <c r="K14" t="n">
        <v>2</v>
      </c>
      <c r="L14" t="n">
        <v>3</v>
      </c>
      <c r="M14" t="n">
        <v>0</v>
      </c>
      <c r="N14" t="n">
        <v>0</v>
      </c>
      <c r="O14" t="n">
        <v>0</v>
      </c>
      <c r="P14" t="n">
        <v>0</v>
      </c>
      <c r="Q14" t="n">
        <v>3</v>
      </c>
      <c r="R14" t="n">
        <v>0</v>
      </c>
      <c r="S14" t="n">
        <v>6</v>
      </c>
      <c r="T14" t="n">
        <v>16</v>
      </c>
      <c r="U14" s="2" t="inlineStr">
        <is>
          <t>Dropptaggsvamp
Motaggsvamp
Tallfingersvamp
Blomkålssvamp
Plattlummer
Revlummer</t>
        </is>
      </c>
      <c r="V14">
        <f>HYPERLINK("https://klasma.github.io/Logging_1981/artfynd/A 27488-2023 artfynd.xlsx", "A 27488-2023")</f>
        <v/>
      </c>
      <c r="W14">
        <f>HYPERLINK("https://klasma.github.io/Logging_1981/kartor/A 27488-2023 karta.png", "A 27488-2023")</f>
        <v/>
      </c>
      <c r="Y14">
        <f>HYPERLINK("https://klasma.github.io/Logging_1981/klagomål/A 27488-2023 FSC-klagomål.docx", "A 27488-2023")</f>
        <v/>
      </c>
      <c r="Z14">
        <f>HYPERLINK("https://klasma.github.io/Logging_1981/klagomålsmail/A 27488-2023 FSC-klagomål mail.docx", "A 27488-2023")</f>
        <v/>
      </c>
      <c r="AA14">
        <f>HYPERLINK("https://klasma.github.io/Logging_1981/tillsyn/A 27488-2023 tillsynsbegäran.docx", "A 27488-2023")</f>
        <v/>
      </c>
      <c r="AB14">
        <f>HYPERLINK("https://klasma.github.io/Logging_1981/tillsynsmail/A 27488-2023 tillsynsbegäran mail.docx", "A 27488-2023")</f>
        <v/>
      </c>
    </row>
    <row r="15" ht="15" customHeight="1">
      <c r="A15" t="inlineStr">
        <is>
          <t>A 45441-2024</t>
        </is>
      </c>
      <c r="B15" t="inlineStr">
        <is>
          <t>avverkningsanmälan</t>
        </is>
      </c>
      <c r="C15" t="inlineStr">
        <is>
          <t>Föryngringsavverkning</t>
        </is>
      </c>
      <c r="D15" s="1" t="n">
        <v>45576</v>
      </c>
      <c r="E15" s="1" t="n">
        <v>46216</v>
      </c>
      <c r="F15" t="inlineStr">
        <is>
          <t>VÄSTMANLANDS LÄN</t>
        </is>
      </c>
      <c r="G15" t="inlineStr">
        <is>
          <t>SALA</t>
        </is>
      </c>
      <c r="I15" t="n">
        <v>3.4</v>
      </c>
      <c r="J15" t="n">
        <v>0</v>
      </c>
      <c r="K15" t="n">
        <v>2</v>
      </c>
      <c r="L15" t="n">
        <v>3</v>
      </c>
      <c r="M15" t="n">
        <v>1</v>
      </c>
      <c r="N15" t="n">
        <v>0</v>
      </c>
      <c r="O15" t="n">
        <v>0</v>
      </c>
      <c r="P15" t="n">
        <v>0</v>
      </c>
      <c r="Q15" t="n">
        <v>4</v>
      </c>
      <c r="R15" t="n">
        <v>1</v>
      </c>
      <c r="S15" t="n">
        <v>6</v>
      </c>
      <c r="T15" t="n">
        <v>11</v>
      </c>
      <c r="U15" s="2" t="inlineStr">
        <is>
          <t>Garnlav
Kötticka
Tallticka
Ullticka
Bronshjon
Vedticka</t>
        </is>
      </c>
      <c r="V15">
        <f>HYPERLINK("https://klasma.github.io/Logging_1981/artfynd/A 45441-2024 artfynd.xlsx", "A 45441-2024")</f>
        <v/>
      </c>
      <c r="W15">
        <f>HYPERLINK("https://klasma.github.io/Logging_1981/kartor/A 45441-2024 karta.png", "A 45441-2024")</f>
        <v/>
      </c>
      <c r="Y15">
        <f>HYPERLINK("https://klasma.github.io/Logging_1981/klagomål/A 45441-2024 FSC-klagomål.docx", "A 45441-2024")</f>
        <v/>
      </c>
      <c r="Z15">
        <f>HYPERLINK("https://klasma.github.io/Logging_1981/klagomålsmail/A 45441-2024 FSC-klagomål mail.docx", "A 45441-2024")</f>
        <v/>
      </c>
      <c r="AA15">
        <f>HYPERLINK("https://klasma.github.io/Logging_1981/tillsyn/A 45441-2024 tillsynsbegäran.docx", "A 45441-2024")</f>
        <v/>
      </c>
      <c r="AB15">
        <f>HYPERLINK("https://klasma.github.io/Logging_1981/tillsynsmail/A 45441-2024 tillsynsbegäran mail.docx", "A 45441-2024")</f>
        <v/>
      </c>
    </row>
    <row r="16" ht="15" customHeight="1">
      <c r="A16" t="inlineStr">
        <is>
          <t>A 73598-2021</t>
        </is>
      </c>
      <c r="B16" t="inlineStr">
        <is>
          <t>avverkningsanmälan</t>
        </is>
      </c>
      <c r="C16" t="inlineStr">
        <is>
          <t>Föryngringsavverkning</t>
        </is>
      </c>
      <c r="D16" s="1" t="n">
        <v>44552</v>
      </c>
      <c r="E16" s="1" t="n">
        <v>46216</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s="2" t="inlineStr">
        <is>
          <t>Violgubbe
Gul taggsvamp
Kryddspindling
Ögonpyrola
Blåsippa</t>
        </is>
      </c>
      <c r="V16">
        <f>HYPERLINK("https://klasma.github.io/Logging_1981/artfynd/A 73598-2021 artfynd.xlsx", "A 73598-2021")</f>
        <v/>
      </c>
      <c r="W16">
        <f>HYPERLINK("https://klasma.github.io/Logging_1981/kartor/A 73598-2021 karta.png", "A 73598-2021")</f>
        <v/>
      </c>
      <c r="Y16">
        <f>HYPERLINK("https://klasma.github.io/Logging_1981/klagomål/A 73598-2021 FSC-klagomål.docx", "A 73598-2021")</f>
        <v/>
      </c>
      <c r="Z16">
        <f>HYPERLINK("https://klasma.github.io/Logging_1981/klagomålsmail/A 73598-2021 FSC-klagomål mail.docx", "A 73598-2021")</f>
        <v/>
      </c>
      <c r="AA16">
        <f>HYPERLINK("https://klasma.github.io/Logging_1981/tillsyn/A 73598-2021 tillsynsbegäran.docx", "A 73598-2021")</f>
        <v/>
      </c>
      <c r="AB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46216</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s="2" t="inlineStr">
        <is>
          <t>Bronshjon
Vågbandad barkbock
Grönsiska
Orre
Revlummer</t>
        </is>
      </c>
      <c r="V17">
        <f>HYPERLINK("https://klasma.github.io/Logging_1981/artfynd/A 15099-2025 artfynd.xlsx", "A 15099-2025")</f>
        <v/>
      </c>
      <c r="W17">
        <f>HYPERLINK("https://klasma.github.io/Logging_1981/kartor/A 15099-2025 karta.png", "A 15099-2025")</f>
        <v/>
      </c>
      <c r="Y17">
        <f>HYPERLINK("https://klasma.github.io/Logging_1981/klagomål/A 15099-2025 FSC-klagomål.docx", "A 15099-2025")</f>
        <v/>
      </c>
      <c r="Z17">
        <f>HYPERLINK("https://klasma.github.io/Logging_1981/klagomålsmail/A 15099-2025 FSC-klagomål mail.docx", "A 15099-2025")</f>
        <v/>
      </c>
      <c r="AA17">
        <f>HYPERLINK("https://klasma.github.io/Logging_1981/tillsyn/A 15099-2025 tillsynsbegäran.docx", "A 15099-2025")</f>
        <v/>
      </c>
      <c r="AB17">
        <f>HYPERLINK("https://klasma.github.io/Logging_1981/tillsynsmail/A 15099-2025 tillsynsbegäran mail.docx", "A 15099-2025")</f>
        <v/>
      </c>
      <c r="AC17">
        <f>HYPERLINK("https://klasma.github.io/Logging_1981/fåglar/A 15099-2025 prioriterade fågelarter.docx", "A 15099-2025")</f>
        <v/>
      </c>
    </row>
    <row r="18" ht="15" customHeight="1">
      <c r="A18" t="inlineStr">
        <is>
          <t>A 34065-2025</t>
        </is>
      </c>
      <c r="B18" t="inlineStr">
        <is>
          <t>avverkningsanmälan</t>
        </is>
      </c>
      <c r="C18" t="inlineStr">
        <is>
          <t>Föryngringsavverkning</t>
        </is>
      </c>
      <c r="D18" s="1" t="n">
        <v>45845</v>
      </c>
      <c r="E18" s="1" t="n">
        <v>46216</v>
      </c>
      <c r="F18" t="inlineStr">
        <is>
          <t>VÄSTMANLANDS LÄN</t>
        </is>
      </c>
      <c r="G18" t="inlineStr">
        <is>
          <t>SALA</t>
        </is>
      </c>
      <c r="I18" t="n">
        <v>3</v>
      </c>
      <c r="J18" t="n">
        <v>0</v>
      </c>
      <c r="K18" t="n">
        <v>3</v>
      </c>
      <c r="L18" t="n">
        <v>2</v>
      </c>
      <c r="M18" t="n">
        <v>0</v>
      </c>
      <c r="N18" t="n">
        <v>0</v>
      </c>
      <c r="O18" t="n">
        <v>0</v>
      </c>
      <c r="P18" t="n">
        <v>0</v>
      </c>
      <c r="Q18" t="n">
        <v>2</v>
      </c>
      <c r="R18" t="n">
        <v>0</v>
      </c>
      <c r="S18" t="n">
        <v>5</v>
      </c>
      <c r="T18" t="n">
        <v>7</v>
      </c>
      <c r="U18" s="2" t="inlineStr">
        <is>
          <t>Kötticka
Skorpgelélav
Grönpyrola
Skinnlav
Vedticka</t>
        </is>
      </c>
      <c r="V18">
        <f>HYPERLINK("https://klasma.github.io/Logging_1981/artfynd/A 34065-2025 artfynd.xlsx", "A 34065-2025")</f>
        <v/>
      </c>
      <c r="W18">
        <f>HYPERLINK("https://klasma.github.io/Logging_1981/kartor/A 34065-2025 karta.png", "A 34065-2025")</f>
        <v/>
      </c>
      <c r="Y18">
        <f>HYPERLINK("https://klasma.github.io/Logging_1981/klagomål/A 34065-2025 FSC-klagomål.docx", "A 34065-2025")</f>
        <v/>
      </c>
      <c r="Z18">
        <f>HYPERLINK("https://klasma.github.io/Logging_1981/klagomålsmail/A 34065-2025 FSC-klagomål mail.docx", "A 34065-2025")</f>
        <v/>
      </c>
      <c r="AA18">
        <f>HYPERLINK("https://klasma.github.io/Logging_1981/tillsyn/A 34065-2025 tillsynsbegäran.docx", "A 34065-2025")</f>
        <v/>
      </c>
      <c r="AB18">
        <f>HYPERLINK("https://klasma.github.io/Logging_1981/tillsynsmail/A 34065-2025 tillsynsbegäran mail.docx", "A 34065-2025")</f>
        <v/>
      </c>
    </row>
    <row r="19" ht="15" customHeight="1">
      <c r="A19" t="inlineStr">
        <is>
          <t>A 10344-2025</t>
        </is>
      </c>
      <c r="B19" t="inlineStr">
        <is>
          <t>avverkningsanmälan</t>
        </is>
      </c>
      <c r="C19" t="inlineStr">
        <is>
          <t>Föryngringsavverkning</t>
        </is>
      </c>
      <c r="D19" s="1" t="n">
        <v>45720</v>
      </c>
      <c r="E19" s="1" t="n">
        <v>46216</v>
      </c>
      <c r="F19" t="inlineStr">
        <is>
          <t>VÄSTMANLANDS LÄN</t>
        </is>
      </c>
      <c r="G19" t="inlineStr">
        <is>
          <t>SALA</t>
        </is>
      </c>
      <c r="I19" t="n">
        <v>4.2</v>
      </c>
      <c r="J19" t="n">
        <v>2</v>
      </c>
      <c r="K19" t="n">
        <v>1</v>
      </c>
      <c r="L19" t="n">
        <v>1</v>
      </c>
      <c r="M19" t="n">
        <v>2</v>
      </c>
      <c r="N19" t="n">
        <v>0</v>
      </c>
      <c r="O19" t="n">
        <v>0</v>
      </c>
      <c r="P19" t="n">
        <v>0</v>
      </c>
      <c r="Q19" t="n">
        <v>3</v>
      </c>
      <c r="R19" t="n">
        <v>2</v>
      </c>
      <c r="S19" t="n">
        <v>5</v>
      </c>
      <c r="T19" t="n">
        <v>46</v>
      </c>
      <c r="U19" s="2" t="inlineStr">
        <is>
          <t>Knärot
Sprickporing
Svinrot
Grönpyrola
Spillkråka</t>
        </is>
      </c>
      <c r="V19">
        <f>HYPERLINK("https://klasma.github.io/Logging_1981/artfynd/A 10344-2025 artfynd.xlsx", "A 10344-2025")</f>
        <v/>
      </c>
      <c r="W19">
        <f>HYPERLINK("https://klasma.github.io/Logging_1981/kartor/A 10344-2025 karta.png", "A 10344-2025")</f>
        <v/>
      </c>
      <c r="X19">
        <f>HYPERLINK("https://klasma.github.io/Logging_1981/knärot/A 10344-2025 karta knärot.png", "A 10344-2025")</f>
        <v/>
      </c>
      <c r="Y19">
        <f>HYPERLINK("https://klasma.github.io/Logging_1981/klagomål/A 10344-2025 FSC-klagomål.docx", "A 10344-2025")</f>
        <v/>
      </c>
      <c r="Z19">
        <f>HYPERLINK("https://klasma.github.io/Logging_1981/klagomålsmail/A 10344-2025 FSC-klagomål mail.docx", "A 10344-2025")</f>
        <v/>
      </c>
      <c r="AA19">
        <f>HYPERLINK("https://klasma.github.io/Logging_1981/tillsyn/A 10344-2025 tillsynsbegäran.docx", "A 10344-2025")</f>
        <v/>
      </c>
      <c r="AB19">
        <f>HYPERLINK("https://klasma.github.io/Logging_1981/tillsynsmail/A 10344-2025 tillsynsbegäran mail.docx", "A 10344-2025")</f>
        <v/>
      </c>
      <c r="AC19">
        <f>HYPERLINK("https://klasma.github.io/Logging_1981/fåglar/A 10344-2025 prioriterade fågelarter.docx", "A 10344-2025")</f>
        <v/>
      </c>
    </row>
    <row r="20" ht="15" customHeight="1">
      <c r="A20" t="inlineStr">
        <is>
          <t>A 7643-2026</t>
        </is>
      </c>
      <c r="B20" t="inlineStr">
        <is>
          <t>avverkningsanmälan</t>
        </is>
      </c>
      <c r="C20" t="inlineStr">
        <is>
          <t>Föryngringsavverkning</t>
        </is>
      </c>
      <c r="D20" s="1" t="n">
        <v>46062</v>
      </c>
      <c r="E20" s="1" t="n">
        <v>46216</v>
      </c>
      <c r="F20" t="inlineStr">
        <is>
          <t>VÄSTMANLANDS LÄN</t>
        </is>
      </c>
      <c r="G20" t="inlineStr">
        <is>
          <t>SALA</t>
        </is>
      </c>
      <c r="I20" t="n">
        <v>7.7</v>
      </c>
      <c r="J20" t="n">
        <v>0</v>
      </c>
      <c r="K20" t="n">
        <v>3</v>
      </c>
      <c r="L20" t="n">
        <v>2</v>
      </c>
      <c r="M20" t="n">
        <v>0</v>
      </c>
      <c r="N20" t="n">
        <v>0</v>
      </c>
      <c r="O20" t="n">
        <v>0</v>
      </c>
      <c r="P20" t="n">
        <v>0</v>
      </c>
      <c r="Q20" t="n">
        <v>2</v>
      </c>
      <c r="R20" t="n">
        <v>0</v>
      </c>
      <c r="S20" t="n">
        <v>5</v>
      </c>
      <c r="T20" t="n">
        <v>5</v>
      </c>
      <c r="U20" s="2" t="inlineStr">
        <is>
          <t>Kandelabersvamp
Veckticka
Barkticka
Rävticka
Skinnlav</t>
        </is>
      </c>
      <c r="V20">
        <f>HYPERLINK("https://klasma.github.io/Logging_1981/artfynd/A 7643-2026 artfynd.xlsx", "A 7643-2026")</f>
        <v/>
      </c>
      <c r="W20">
        <f>HYPERLINK("https://klasma.github.io/Logging_1981/kartor/A 7643-2026 karta.png", "A 7643-2026")</f>
        <v/>
      </c>
      <c r="Y20">
        <f>HYPERLINK("https://klasma.github.io/Logging_1981/klagomål/A 7643-2026 FSC-klagomål.docx", "A 7643-2026")</f>
        <v/>
      </c>
      <c r="Z20">
        <f>HYPERLINK("https://klasma.github.io/Logging_1981/klagomålsmail/A 7643-2026 FSC-klagomål mail.docx", "A 7643-2026")</f>
        <v/>
      </c>
      <c r="AA20">
        <f>HYPERLINK("https://klasma.github.io/Logging_1981/tillsyn/A 7643-2026 tillsynsbegäran.docx", "A 7643-2026")</f>
        <v/>
      </c>
      <c r="AB20">
        <f>HYPERLINK("https://klasma.github.io/Logging_1981/tillsynsmail/A 7643-2026 tillsynsbegäran mail.docx", "A 7643-2026")</f>
        <v/>
      </c>
    </row>
    <row r="21" ht="15" customHeight="1">
      <c r="A21" t="inlineStr">
        <is>
          <t>A 1182-2022</t>
        </is>
      </c>
      <c r="B21" t="inlineStr">
        <is>
          <t>avverkningsanmälan</t>
        </is>
      </c>
      <c r="C21" t="inlineStr">
        <is>
          <t>Föryngringsavverkning</t>
        </is>
      </c>
      <c r="D21" s="1" t="n">
        <v>44572</v>
      </c>
      <c r="E21" s="1" t="n">
        <v>46216</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s="2" t="inlineStr">
        <is>
          <t>Knärot
Ullticka
Vedtrappmossa
Dvärghäxört
Grön sköldmossa</t>
        </is>
      </c>
      <c r="V21">
        <f>HYPERLINK("https://klasma.github.io/Logging_1981/artfynd/A 1182-2022 artfynd.xlsx", "A 1182-2022")</f>
        <v/>
      </c>
      <c r="W21">
        <f>HYPERLINK("https://klasma.github.io/Logging_1981/kartor/A 1182-2022 karta.png", "A 1182-2022")</f>
        <v/>
      </c>
      <c r="X21">
        <f>HYPERLINK("https://klasma.github.io/Logging_1981/knärot/A 1182-2022 karta knärot.png", "A 1182-2022")</f>
        <v/>
      </c>
      <c r="Y21">
        <f>HYPERLINK("https://klasma.github.io/Logging_1981/klagomål/A 1182-2022 FSC-klagomål.docx", "A 1182-2022")</f>
        <v/>
      </c>
      <c r="Z21">
        <f>HYPERLINK("https://klasma.github.io/Logging_1981/klagomålsmail/A 1182-2022 FSC-klagomål mail.docx", "A 1182-2022")</f>
        <v/>
      </c>
      <c r="AA21">
        <f>HYPERLINK("https://klasma.github.io/Logging_1981/tillsyn/A 1182-2022 tillsynsbegäran.docx", "A 1182-2022")</f>
        <v/>
      </c>
      <c r="AB21">
        <f>HYPERLINK("https://klasma.github.io/Logging_1981/tillsynsmail/A 1182-2022 tillsynsbegäran mail.docx", "A 1182-2022")</f>
        <v/>
      </c>
    </row>
    <row r="22" ht="15" customHeight="1">
      <c r="A22" t="inlineStr">
        <is>
          <t>A 3566-2024</t>
        </is>
      </c>
      <c r="B22" t="inlineStr">
        <is>
          <t>avverkningsanmälan</t>
        </is>
      </c>
      <c r="C22" t="inlineStr">
        <is>
          <t>Föryngringsavverkning</t>
        </is>
      </c>
      <c r="D22" s="1" t="n">
        <v>45320</v>
      </c>
      <c r="E22" s="1" t="n">
        <v>46216</v>
      </c>
      <c r="F22" t="inlineStr">
        <is>
          <t>VÄSTMANLANDS LÄN</t>
        </is>
      </c>
      <c r="G22" t="inlineStr">
        <is>
          <t>SALA</t>
        </is>
      </c>
      <c r="H22" t="inlineStr">
        <is>
          <t>Kommuner</t>
        </is>
      </c>
      <c r="I22" t="n">
        <v>4.3</v>
      </c>
      <c r="J22" t="n">
        <v>3</v>
      </c>
      <c r="K22" t="n">
        <v>1</v>
      </c>
      <c r="L22" t="n">
        <v>1</v>
      </c>
      <c r="M22" t="n">
        <v>1</v>
      </c>
      <c r="N22" t="n">
        <v>0</v>
      </c>
      <c r="O22" t="n">
        <v>0</v>
      </c>
      <c r="P22" t="n">
        <v>0</v>
      </c>
      <c r="Q22" t="n">
        <v>2</v>
      </c>
      <c r="R22" t="n">
        <v>1</v>
      </c>
      <c r="S22" t="n">
        <v>5</v>
      </c>
      <c r="T22" t="n">
        <v>9</v>
      </c>
      <c r="U22" s="2" t="inlineStr">
        <is>
          <t>Knärot
Vågticka
Vedticka
Mattlummer
Fläcknycklar</t>
        </is>
      </c>
      <c r="V22">
        <f>HYPERLINK("https://klasma.github.io/Logging_1981/artfynd/A 3566-2024 artfynd.xlsx", "A 3566-2024")</f>
        <v/>
      </c>
      <c r="W22">
        <f>HYPERLINK("https://klasma.github.io/Logging_1981/kartor/A 3566-2024 karta.png", "A 3566-2024")</f>
        <v/>
      </c>
      <c r="X22">
        <f>HYPERLINK("https://klasma.github.io/Logging_1981/knärot/A 3566-2024 karta knärot.png", "A 3566-2024")</f>
        <v/>
      </c>
      <c r="Y22">
        <f>HYPERLINK("https://klasma.github.io/Logging_1981/klagomål/A 3566-2024 FSC-klagomål.docx", "A 3566-2024")</f>
        <v/>
      </c>
      <c r="Z22">
        <f>HYPERLINK("https://klasma.github.io/Logging_1981/klagomålsmail/A 3566-2024 FSC-klagomål mail.docx", "A 3566-2024")</f>
        <v/>
      </c>
      <c r="AA22">
        <f>HYPERLINK("https://klasma.github.io/Logging_1981/tillsyn/A 3566-2024 tillsynsbegäran.docx", "A 3566-2024")</f>
        <v/>
      </c>
      <c r="AB22">
        <f>HYPERLINK("https://klasma.github.io/Logging_1981/tillsynsmail/A 3566-2024 tillsynsbegäran mail.docx", "A 3566-2024")</f>
        <v/>
      </c>
    </row>
    <row r="23" ht="15" customHeight="1">
      <c r="A23" t="inlineStr">
        <is>
          <t>A 34752-2023</t>
        </is>
      </c>
      <c r="B23" t="inlineStr">
        <is>
          <t>avverkningsanmälan</t>
        </is>
      </c>
      <c r="C23" t="inlineStr">
        <is>
          <t>Föryngringsavverkning</t>
        </is>
      </c>
      <c r="D23" s="1" t="n">
        <v>45141</v>
      </c>
      <c r="E23" s="1" t="n">
        <v>46216</v>
      </c>
      <c r="F23" t="inlineStr">
        <is>
          <t>VÄSTMANLANDS LÄN</t>
        </is>
      </c>
      <c r="G23" t="inlineStr">
        <is>
          <t>SALA</t>
        </is>
      </c>
      <c r="I23" t="n">
        <v>4.9</v>
      </c>
      <c r="J23" t="n">
        <v>2</v>
      </c>
      <c r="K23" t="n">
        <v>1</v>
      </c>
      <c r="L23" t="n">
        <v>1</v>
      </c>
      <c r="M23" t="n">
        <v>2</v>
      </c>
      <c r="N23" t="n">
        <v>0</v>
      </c>
      <c r="O23" t="n">
        <v>0</v>
      </c>
      <c r="P23" t="n">
        <v>0</v>
      </c>
      <c r="Q23" t="n">
        <v>3</v>
      </c>
      <c r="R23" t="n">
        <v>2</v>
      </c>
      <c r="S23" t="n">
        <v>5</v>
      </c>
      <c r="T23" t="n">
        <v>46</v>
      </c>
      <c r="U23" s="2" t="inlineStr">
        <is>
          <t>Knärot
Sprickporing
Svinrot
Grönpyrola
Spillkråka</t>
        </is>
      </c>
      <c r="V23">
        <f>HYPERLINK("https://klasma.github.io/Logging_1981/artfynd/A 34752-2023 artfynd.xlsx", "A 34752-2023")</f>
        <v/>
      </c>
      <c r="W23">
        <f>HYPERLINK("https://klasma.github.io/Logging_1981/kartor/A 34752-2023 karta.png", "A 34752-2023")</f>
        <v/>
      </c>
      <c r="X23">
        <f>HYPERLINK("https://klasma.github.io/Logging_1981/knärot/A 34752-2023 karta knärot.png", "A 34752-2023")</f>
        <v/>
      </c>
      <c r="Y23">
        <f>HYPERLINK("https://klasma.github.io/Logging_1981/klagomål/A 34752-2023 FSC-klagomål.docx", "A 34752-2023")</f>
        <v/>
      </c>
      <c r="Z23">
        <f>HYPERLINK("https://klasma.github.io/Logging_1981/klagomålsmail/A 34752-2023 FSC-klagomål mail.docx", "A 34752-2023")</f>
        <v/>
      </c>
      <c r="AA23">
        <f>HYPERLINK("https://klasma.github.io/Logging_1981/tillsyn/A 34752-2023 tillsynsbegäran.docx", "A 34752-2023")</f>
        <v/>
      </c>
      <c r="AB23">
        <f>HYPERLINK("https://klasma.github.io/Logging_1981/tillsynsmail/A 34752-2023 tillsynsbegäran mail.docx", "A 34752-2023")</f>
        <v/>
      </c>
      <c r="AC23">
        <f>HYPERLINK("https://klasma.github.io/Logging_1981/fåglar/A 34752-2023 prioriterade fågelarter.docx", "A 34752-2023")</f>
        <v/>
      </c>
    </row>
    <row r="24" ht="15" customHeight="1">
      <c r="A24" t="inlineStr">
        <is>
          <t>S 2493-2020</t>
        </is>
      </c>
      <c r="B24" t="inlineStr">
        <is>
          <t>samrådsanmälan</t>
        </is>
      </c>
      <c r="C24" t="inlineStr">
        <is>
          <t>Åtgärd i nyckelbiotop</t>
        </is>
      </c>
      <c r="D24" s="1" t="n">
        <v>44154</v>
      </c>
      <c r="E24" s="1" t="n">
        <v>46216</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s="2" t="inlineStr">
        <is>
          <t>Kandelabersvamp
Ullticka
Vedtrappmossa
Rävticka
Stuplav</t>
        </is>
      </c>
      <c r="V24">
        <f>HYPERLINK("https://klasma.github.io/Logging_1981/artfynd/S 2493-2020 artfynd.xlsx", "S 2493-2020")</f>
        <v/>
      </c>
      <c r="W24">
        <f>HYPERLINK("https://klasma.github.io/Logging_1981/kartor/S 2493-2020 karta.png", "S 2493-2020")</f>
        <v/>
      </c>
      <c r="Y24">
        <f>HYPERLINK("https://klasma.github.io/Logging_1981/klagomål/S 2493-2020 FSC-klagomål.docx", "S 2493-2020")</f>
        <v/>
      </c>
      <c r="Z24">
        <f>HYPERLINK("https://klasma.github.io/Logging_1981/klagomålsmail/S 2493-2020 FSC-klagomål mail.docx", "S 2493-2020")</f>
        <v/>
      </c>
      <c r="AA24">
        <f>HYPERLINK("https://klasma.github.io/Logging_1981/tillsyn/S 2493-2020 tillsynsbegäran.docx", "S 2493-2020")</f>
        <v/>
      </c>
      <c r="AB24">
        <f>HYPERLINK("https://klasma.github.io/Logging_1981/tillsynsmail/S 2493-2020 tillsynsbegäran mail.docx", "S 2493-2020")</f>
        <v/>
      </c>
    </row>
    <row r="25" ht="15" customHeight="1">
      <c r="A25" t="inlineStr">
        <is>
          <t>A 37166-2024</t>
        </is>
      </c>
      <c r="B25" t="inlineStr">
        <is>
          <t>avverkningsanmälan</t>
        </is>
      </c>
      <c r="C25" t="inlineStr">
        <is>
          <t>Föryngringsavverkning</t>
        </is>
      </c>
      <c r="D25" s="1" t="n">
        <v>45539</v>
      </c>
      <c r="E25" s="1" t="n">
        <v>46216</v>
      </c>
      <c r="F25" t="inlineStr">
        <is>
          <t>VÄSTMANLANDS LÄN</t>
        </is>
      </c>
      <c r="G25" t="inlineStr">
        <is>
          <t>SALA</t>
        </is>
      </c>
      <c r="I25" t="n">
        <v>1.3</v>
      </c>
      <c r="J25" t="n">
        <v>1</v>
      </c>
      <c r="K25" t="n">
        <v>3</v>
      </c>
      <c r="L25" t="n">
        <v>0</v>
      </c>
      <c r="M25" t="n">
        <v>1</v>
      </c>
      <c r="N25" t="n">
        <v>0</v>
      </c>
      <c r="O25" t="n">
        <v>0</v>
      </c>
      <c r="P25" t="n">
        <v>0</v>
      </c>
      <c r="Q25" t="n">
        <v>1</v>
      </c>
      <c r="R25" t="n">
        <v>1</v>
      </c>
      <c r="S25" t="n">
        <v>4</v>
      </c>
      <c r="T25" t="n">
        <v>8</v>
      </c>
      <c r="U25" s="2" t="inlineStr">
        <is>
          <t>Knärot
Bronshjon
Vedticka
Vågbandad barkbock</t>
        </is>
      </c>
      <c r="V25">
        <f>HYPERLINK("https://klasma.github.io/Logging_1981/artfynd/A 37166-2024 artfynd.xlsx", "A 37166-2024")</f>
        <v/>
      </c>
      <c r="W25">
        <f>HYPERLINK("https://klasma.github.io/Logging_1981/kartor/A 37166-2024 karta.png", "A 37166-2024")</f>
        <v/>
      </c>
      <c r="X25">
        <f>HYPERLINK("https://klasma.github.io/Logging_1981/knärot/A 37166-2024 karta knärot.png", "A 37166-2024")</f>
        <v/>
      </c>
      <c r="Y25">
        <f>HYPERLINK("https://klasma.github.io/Logging_1981/klagomål/A 37166-2024 FSC-klagomål.docx", "A 37166-2024")</f>
        <v/>
      </c>
      <c r="Z25">
        <f>HYPERLINK("https://klasma.github.io/Logging_1981/klagomålsmail/A 37166-2024 FSC-klagomål mail.docx", "A 37166-2024")</f>
        <v/>
      </c>
      <c r="AA25">
        <f>HYPERLINK("https://klasma.github.io/Logging_1981/tillsyn/A 37166-2024 tillsynsbegäran.docx", "A 37166-2024")</f>
        <v/>
      </c>
      <c r="AB25">
        <f>HYPERLINK("https://klasma.github.io/Logging_1981/tillsynsmail/A 37166-2024 tillsynsbegäran mail.docx", "A 37166-2024")</f>
        <v/>
      </c>
    </row>
    <row r="26" ht="15" customHeight="1">
      <c r="A26" t="inlineStr">
        <is>
          <t>A 50128-2025</t>
        </is>
      </c>
      <c r="B26" t="inlineStr">
        <is>
          <t>avverkningsanmälan</t>
        </is>
      </c>
      <c r="C26" t="inlineStr">
        <is>
          <t>Föryngringsavverkning</t>
        </is>
      </c>
      <c r="D26" s="1" t="n">
        <v>45943</v>
      </c>
      <c r="E26" s="1" t="n">
        <v>46216</v>
      </c>
      <c r="F26" t="inlineStr">
        <is>
          <t>VÄSTMANLANDS LÄN</t>
        </is>
      </c>
      <c r="G26" t="inlineStr">
        <is>
          <t>SALA</t>
        </is>
      </c>
      <c r="I26" t="n">
        <v>1</v>
      </c>
      <c r="J26" t="n">
        <v>4</v>
      </c>
      <c r="K26" t="n">
        <v>0</v>
      </c>
      <c r="L26" t="n">
        <v>2</v>
      </c>
      <c r="M26" t="n">
        <v>0</v>
      </c>
      <c r="N26" t="n">
        <v>0</v>
      </c>
      <c r="O26" t="n">
        <v>0</v>
      </c>
      <c r="P26" t="n">
        <v>0</v>
      </c>
      <c r="Q26" t="n">
        <v>2</v>
      </c>
      <c r="R26" t="n">
        <v>0</v>
      </c>
      <c r="S26" t="n">
        <v>4</v>
      </c>
      <c r="T26" t="n">
        <v>4</v>
      </c>
      <c r="U26" s="2" t="inlineStr">
        <is>
          <t>Entita
Järnsparv
Spillkråka
Tofsmes</t>
        </is>
      </c>
      <c r="V26">
        <f>HYPERLINK("https://klasma.github.io/Logging_1981/artfynd/A 50128-2025 artfynd.xlsx", "A 50128-2025")</f>
        <v/>
      </c>
      <c r="W26">
        <f>HYPERLINK("https://klasma.github.io/Logging_1981/kartor/A 50128-2025 karta.png", "A 50128-2025")</f>
        <v/>
      </c>
      <c r="Y26">
        <f>HYPERLINK("https://klasma.github.io/Logging_1981/klagomål/A 50128-2025 FSC-klagomål.docx", "A 50128-2025")</f>
        <v/>
      </c>
      <c r="Z26">
        <f>HYPERLINK("https://klasma.github.io/Logging_1981/klagomålsmail/A 50128-2025 FSC-klagomål mail.docx", "A 50128-2025")</f>
        <v/>
      </c>
      <c r="AA26">
        <f>HYPERLINK("https://klasma.github.io/Logging_1981/tillsyn/A 50128-2025 tillsynsbegäran.docx", "A 50128-2025")</f>
        <v/>
      </c>
      <c r="AB26">
        <f>HYPERLINK("https://klasma.github.io/Logging_1981/tillsynsmail/A 50128-2025 tillsynsbegäran mail.docx", "A 50128-2025")</f>
        <v/>
      </c>
      <c r="AC26">
        <f>HYPERLINK("https://klasma.github.io/Logging_1981/fåglar/A 50128-2025 prioriterade fågelarter.docx", "A 50128-2025")</f>
        <v/>
      </c>
    </row>
    <row r="27" ht="15" customHeight="1">
      <c r="A27" t="inlineStr">
        <is>
          <t>A 14485-2026</t>
        </is>
      </c>
      <c r="B27" t="inlineStr">
        <is>
          <t>avverkningsanmälan</t>
        </is>
      </c>
      <c r="C27" t="inlineStr">
        <is>
          <t>Föryngringsavverkning</t>
        </is>
      </c>
      <c r="D27" s="1" t="n">
        <v>46100</v>
      </c>
      <c r="E27" s="1" t="n">
        <v>46216</v>
      </c>
      <c r="F27" t="inlineStr">
        <is>
          <t>VÄSTMANLANDS LÄN</t>
        </is>
      </c>
      <c r="G27" t="inlineStr">
        <is>
          <t>SALA</t>
        </is>
      </c>
      <c r="H27" t="inlineStr">
        <is>
          <t>Sveaskog</t>
        </is>
      </c>
      <c r="I27" t="n">
        <v>13.6</v>
      </c>
      <c r="J27" t="n">
        <v>2</v>
      </c>
      <c r="K27" t="n">
        <v>0</v>
      </c>
      <c r="L27" t="n">
        <v>3</v>
      </c>
      <c r="M27" t="n">
        <v>0</v>
      </c>
      <c r="N27" t="n">
        <v>0</v>
      </c>
      <c r="O27" t="n">
        <v>0</v>
      </c>
      <c r="P27" t="n">
        <v>0</v>
      </c>
      <c r="Q27" t="n">
        <v>3</v>
      </c>
      <c r="R27" t="n">
        <v>0</v>
      </c>
      <c r="S27" t="n">
        <v>4</v>
      </c>
      <c r="T27" t="n">
        <v>4</v>
      </c>
      <c r="U27" s="2" t="inlineStr">
        <is>
          <t>Dvärgbägarlav
Motaggsvamp
Talltita
Tjäder</t>
        </is>
      </c>
      <c r="V27">
        <f>HYPERLINK("https://klasma.github.io/Logging_1981/artfynd/A 14485-2026 artfynd.xlsx", "A 14485-2026")</f>
        <v/>
      </c>
      <c r="W27">
        <f>HYPERLINK("https://klasma.github.io/Logging_1981/kartor/A 14485-2026 karta.png", "A 14485-2026")</f>
        <v/>
      </c>
      <c r="Y27">
        <f>HYPERLINK("https://klasma.github.io/Logging_1981/klagomål/A 14485-2026 FSC-klagomål.docx", "A 14485-2026")</f>
        <v/>
      </c>
      <c r="Z27">
        <f>HYPERLINK("https://klasma.github.io/Logging_1981/klagomålsmail/A 14485-2026 FSC-klagomål mail.docx", "A 14485-2026")</f>
        <v/>
      </c>
      <c r="AA27">
        <f>HYPERLINK("https://klasma.github.io/Logging_1981/tillsyn/A 14485-2026 tillsynsbegäran.docx", "A 14485-2026")</f>
        <v/>
      </c>
      <c r="AB27">
        <f>HYPERLINK("https://klasma.github.io/Logging_1981/tillsynsmail/A 14485-2026 tillsynsbegäran mail.docx", "A 14485-2026")</f>
        <v/>
      </c>
      <c r="AC27">
        <f>HYPERLINK("https://klasma.github.io/Logging_1981/fåglar/A 14485-2026 prioriterade fågelarter.docx", "A 14485-2026")</f>
        <v/>
      </c>
    </row>
    <row r="28" ht="15" customHeight="1">
      <c r="A28" t="inlineStr">
        <is>
          <t>A 21044-2026</t>
        </is>
      </c>
      <c r="B28" t="inlineStr">
        <is>
          <t>avverkningsanmälan</t>
        </is>
      </c>
      <c r="C28" t="inlineStr">
        <is>
          <t>Föryngringsavverkning</t>
        </is>
      </c>
      <c r="D28" s="1" t="n">
        <v>46146</v>
      </c>
      <c r="E28" s="1" t="n">
        <v>46216</v>
      </c>
      <c r="F28" t="inlineStr">
        <is>
          <t>VÄSTMANLANDS LÄN</t>
        </is>
      </c>
      <c r="G28" t="inlineStr">
        <is>
          <t>SALA</t>
        </is>
      </c>
      <c r="I28" t="n">
        <v>41.2</v>
      </c>
      <c r="J28" t="n">
        <v>1</v>
      </c>
      <c r="K28" t="n">
        <v>0</v>
      </c>
      <c r="L28" t="n">
        <v>2</v>
      </c>
      <c r="M28" t="n">
        <v>2</v>
      </c>
      <c r="N28" t="n">
        <v>0</v>
      </c>
      <c r="O28" t="n">
        <v>0</v>
      </c>
      <c r="P28" t="n">
        <v>0</v>
      </c>
      <c r="Q28" t="n">
        <v>4</v>
      </c>
      <c r="R28" t="n">
        <v>2</v>
      </c>
      <c r="S28" t="n">
        <v>4</v>
      </c>
      <c r="T28" t="n">
        <v>4</v>
      </c>
      <c r="U28" s="2" t="inlineStr">
        <is>
          <t>Garnlav
Knärot
Motaggsvamp
Tallticka</t>
        </is>
      </c>
      <c r="V28">
        <f>HYPERLINK("https://klasma.github.io/Logging_1981/artfynd/A 21044-2026 artfynd.xlsx", "A 21044-2026")</f>
        <v/>
      </c>
      <c r="W28">
        <f>HYPERLINK("https://klasma.github.io/Logging_1981/kartor/A 21044-2026 karta.png", "A 21044-2026")</f>
        <v/>
      </c>
      <c r="X28">
        <f>HYPERLINK("https://klasma.github.io/Logging_1981/knärot/A 21044-2026 karta knärot.png", "A 21044-2026")</f>
        <v/>
      </c>
      <c r="Y28">
        <f>HYPERLINK("https://klasma.github.io/Logging_1981/klagomål/A 21044-2026 FSC-klagomål.docx", "A 21044-2026")</f>
        <v/>
      </c>
      <c r="Z28">
        <f>HYPERLINK("https://klasma.github.io/Logging_1981/klagomålsmail/A 21044-2026 FSC-klagomål mail.docx", "A 21044-2026")</f>
        <v/>
      </c>
      <c r="AA28">
        <f>HYPERLINK("https://klasma.github.io/Logging_1981/tillsyn/A 21044-2026 tillsynsbegäran.docx", "A 21044-2026")</f>
        <v/>
      </c>
      <c r="AB28">
        <f>HYPERLINK("https://klasma.github.io/Logging_1981/tillsynsmail/A 21044-2026 tillsynsbegäran mail.docx", "A 21044-2026")</f>
        <v/>
      </c>
    </row>
    <row r="29" ht="15" customHeight="1">
      <c r="A29" t="inlineStr">
        <is>
          <t>S 2788-2023</t>
        </is>
      </c>
      <c r="B29" t="inlineStr">
        <is>
          <t>samrådsanmälan</t>
        </is>
      </c>
      <c r="C29" t="inlineStr">
        <is>
          <t>Annan skogsbruksåtgärd</t>
        </is>
      </c>
      <c r="D29" s="1" t="n">
        <v>45161</v>
      </c>
      <c r="E29" s="1" t="n">
        <v>46216</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s="2" t="inlineStr">
        <is>
          <t>Lunglav
Bårdlav
Gulnål
Platt fjädermossa</t>
        </is>
      </c>
      <c r="V29">
        <f>HYPERLINK("https://klasma.github.io/Logging_1981/artfynd/S 2788-2023 artfynd.xlsx", "S 2788-2023")</f>
        <v/>
      </c>
      <c r="W29">
        <f>HYPERLINK("https://klasma.github.io/Logging_1981/kartor/S 2788-2023 karta.png", "S 2788-2023")</f>
        <v/>
      </c>
      <c r="Y29">
        <f>HYPERLINK("https://klasma.github.io/Logging_1981/klagomål/S 2788-2023 FSC-klagomål.docx", "S 2788-2023")</f>
        <v/>
      </c>
      <c r="Z29">
        <f>HYPERLINK("https://klasma.github.io/Logging_1981/klagomålsmail/S 2788-2023 FSC-klagomål mail.docx", "S 2788-2023")</f>
        <v/>
      </c>
      <c r="AA29">
        <f>HYPERLINK("https://klasma.github.io/Logging_1981/tillsyn/S 2788-2023 tillsynsbegäran.docx", "S 2788-2023")</f>
        <v/>
      </c>
      <c r="AB29">
        <f>HYPERLINK("https://klasma.github.io/Logging_1981/tillsynsmail/S 2788-2023 tillsynsbegäran mail.docx", "S 2788-2023")</f>
        <v/>
      </c>
    </row>
    <row r="30" ht="15" customHeight="1">
      <c r="A30" t="inlineStr">
        <is>
          <t>A 29727-2023</t>
        </is>
      </c>
      <c r="B30" t="inlineStr">
        <is>
          <t>avverkningsanmälan</t>
        </is>
      </c>
      <c r="C30" t="inlineStr">
        <is>
          <t>Föryngringsavverkning</t>
        </is>
      </c>
      <c r="D30" s="1" t="n">
        <v>45107</v>
      </c>
      <c r="E30" s="1" t="n">
        <v>46216</v>
      </c>
      <c r="F30" t="inlineStr">
        <is>
          <t>VÄSTMANLANDS LÄN</t>
        </is>
      </c>
      <c r="G30" t="inlineStr">
        <is>
          <t>SALA</t>
        </is>
      </c>
      <c r="I30" t="n">
        <v>1.9</v>
      </c>
      <c r="J30" t="n">
        <v>0</v>
      </c>
      <c r="K30" t="n">
        <v>2</v>
      </c>
      <c r="L30" t="n">
        <v>1</v>
      </c>
      <c r="M30" t="n">
        <v>0</v>
      </c>
      <c r="N30" t="n">
        <v>0</v>
      </c>
      <c r="O30" t="n">
        <v>0</v>
      </c>
      <c r="P30" t="n">
        <v>0</v>
      </c>
      <c r="Q30" t="n">
        <v>1</v>
      </c>
      <c r="R30" t="n">
        <v>0</v>
      </c>
      <c r="S30" t="n">
        <v>3</v>
      </c>
      <c r="T30" t="n">
        <v>4</v>
      </c>
      <c r="U30" s="2" t="inlineStr">
        <is>
          <t>Vedtrappmossa
Stubbspretmossa
Vedticka</t>
        </is>
      </c>
      <c r="V30">
        <f>HYPERLINK("https://klasma.github.io/Logging_1981/artfynd/A 29727-2023 artfynd.xlsx", "A 29727-2023")</f>
        <v/>
      </c>
      <c r="W30">
        <f>HYPERLINK("https://klasma.github.io/Logging_1981/kartor/A 29727-2023 karta.png", "A 29727-2023")</f>
        <v/>
      </c>
      <c r="Y30">
        <f>HYPERLINK("https://klasma.github.io/Logging_1981/klagomål/A 29727-2023 FSC-klagomål.docx", "A 29727-2023")</f>
        <v/>
      </c>
      <c r="Z30">
        <f>HYPERLINK("https://klasma.github.io/Logging_1981/klagomålsmail/A 29727-2023 FSC-klagomål mail.docx", "A 29727-2023")</f>
        <v/>
      </c>
      <c r="AA30">
        <f>HYPERLINK("https://klasma.github.io/Logging_1981/tillsyn/A 29727-2023 tillsynsbegäran.docx", "A 29727-2023")</f>
        <v/>
      </c>
      <c r="AB30">
        <f>HYPERLINK("https://klasma.github.io/Logging_1981/tillsynsmail/A 29727-2023 tillsynsbegäran mail.docx", "A 29727-2023")</f>
        <v/>
      </c>
    </row>
    <row r="31" ht="15" customHeight="1">
      <c r="A31" t="inlineStr">
        <is>
          <t>A 22350-2024</t>
        </is>
      </c>
      <c r="B31" t="inlineStr">
        <is>
          <t>avverkningsanmälan</t>
        </is>
      </c>
      <c r="C31" t="inlineStr">
        <is>
          <t>Avverkning för annat ändamål</t>
        </is>
      </c>
      <c r="D31" s="1" t="n">
        <v>45446</v>
      </c>
      <c r="E31" s="1" t="n">
        <v>46216</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s="2" t="inlineStr">
        <is>
          <t>Laxporing
Rödgul trumpetsvamp
Blåsippa</t>
        </is>
      </c>
      <c r="V31">
        <f>HYPERLINK("https://klasma.github.io/Logging_1981/artfynd/A 22350-2024 artfynd.xlsx", "A 22350-2024")</f>
        <v/>
      </c>
      <c r="W31">
        <f>HYPERLINK("https://klasma.github.io/Logging_1981/kartor/A 22350-2024 karta.png", "A 22350-2024")</f>
        <v/>
      </c>
      <c r="Y31">
        <f>HYPERLINK("https://klasma.github.io/Logging_1981/klagomål/A 22350-2024 FSC-klagomål.docx", "A 22350-2024")</f>
        <v/>
      </c>
      <c r="Z31">
        <f>HYPERLINK("https://klasma.github.io/Logging_1981/klagomålsmail/A 22350-2024 FSC-klagomål mail.docx", "A 22350-2024")</f>
        <v/>
      </c>
      <c r="AA31">
        <f>HYPERLINK("https://klasma.github.io/Logging_1981/tillsyn/A 22350-2024 tillsynsbegäran.docx", "A 22350-2024")</f>
        <v/>
      </c>
      <c r="AB31">
        <f>HYPERLINK("https://klasma.github.io/Logging_1981/tillsynsmail/A 22350-2024 tillsynsbegäran mail.docx", "A 22350-2024")</f>
        <v/>
      </c>
    </row>
    <row r="32" ht="15" customHeight="1">
      <c r="A32" t="inlineStr">
        <is>
          <t>A 63584-2025</t>
        </is>
      </c>
      <c r="B32" t="inlineStr">
        <is>
          <t>avverkningsanmälan</t>
        </is>
      </c>
      <c r="C32" t="inlineStr">
        <is>
          <t>Föryngringsavverkning</t>
        </is>
      </c>
      <c r="D32" s="1" t="n">
        <v>46013</v>
      </c>
      <c r="E32" s="1" t="n">
        <v>46216</v>
      </c>
      <c r="F32" t="inlineStr">
        <is>
          <t>VÄSTMANLANDS LÄN</t>
        </is>
      </c>
      <c r="G32" t="inlineStr">
        <is>
          <t>SALA</t>
        </is>
      </c>
      <c r="I32" t="n">
        <v>7.3</v>
      </c>
      <c r="J32" t="n">
        <v>1</v>
      </c>
      <c r="K32" t="n">
        <v>0</v>
      </c>
      <c r="L32" t="n">
        <v>2</v>
      </c>
      <c r="M32" t="n">
        <v>1</v>
      </c>
      <c r="N32" t="n">
        <v>0</v>
      </c>
      <c r="O32" t="n">
        <v>0</v>
      </c>
      <c r="P32" t="n">
        <v>0</v>
      </c>
      <c r="Q32" t="n">
        <v>3</v>
      </c>
      <c r="R32" t="n">
        <v>1</v>
      </c>
      <c r="S32" t="n">
        <v>3</v>
      </c>
      <c r="T32" t="n">
        <v>12</v>
      </c>
      <c r="U32" s="2" t="inlineStr">
        <is>
          <t>Knärot
Ullticka
Vedtrappmossa</t>
        </is>
      </c>
      <c r="V32">
        <f>HYPERLINK("https://klasma.github.io/Logging_1981/artfynd/A 63584-2025 artfynd.xlsx", "A 63584-2025")</f>
        <v/>
      </c>
      <c r="W32">
        <f>HYPERLINK("https://klasma.github.io/Logging_1981/kartor/A 63584-2025 karta.png", "A 63584-2025")</f>
        <v/>
      </c>
      <c r="X32">
        <f>HYPERLINK("https://klasma.github.io/Logging_1981/knärot/A 63584-2025 karta knärot.png", "A 63584-2025")</f>
        <v/>
      </c>
      <c r="Y32">
        <f>HYPERLINK("https://klasma.github.io/Logging_1981/klagomål/A 63584-2025 FSC-klagomål.docx", "A 63584-2025")</f>
        <v/>
      </c>
      <c r="Z32">
        <f>HYPERLINK("https://klasma.github.io/Logging_1981/klagomålsmail/A 63584-2025 FSC-klagomål mail.docx", "A 63584-2025")</f>
        <v/>
      </c>
      <c r="AA32">
        <f>HYPERLINK("https://klasma.github.io/Logging_1981/tillsyn/A 63584-2025 tillsynsbegäran.docx", "A 63584-2025")</f>
        <v/>
      </c>
      <c r="AB32">
        <f>HYPERLINK("https://klasma.github.io/Logging_1981/tillsynsmail/A 63584-2025 tillsynsbegäran mail.docx", "A 63584-2025")</f>
        <v/>
      </c>
    </row>
    <row r="33" ht="15" customHeight="1">
      <c r="A33" t="inlineStr">
        <is>
          <t>A 15630-2026</t>
        </is>
      </c>
      <c r="B33" t="inlineStr">
        <is>
          <t>avverkningsanmälan</t>
        </is>
      </c>
      <c r="C33" t="inlineStr">
        <is>
          <t>Föryngringsavverkning</t>
        </is>
      </c>
      <c r="D33" s="1" t="n">
        <v>46106</v>
      </c>
      <c r="E33" s="1" t="n">
        <v>46216</v>
      </c>
      <c r="F33" t="inlineStr">
        <is>
          <t>VÄSTMANLANDS LÄN</t>
        </is>
      </c>
      <c r="G33" t="inlineStr">
        <is>
          <t>SALA</t>
        </is>
      </c>
      <c r="I33" t="n">
        <v>1.1</v>
      </c>
      <c r="J33" t="n">
        <v>0</v>
      </c>
      <c r="K33" t="n">
        <v>1</v>
      </c>
      <c r="L33" t="n">
        <v>1</v>
      </c>
      <c r="M33" t="n">
        <v>0</v>
      </c>
      <c r="N33" t="n">
        <v>0</v>
      </c>
      <c r="O33" t="n">
        <v>0</v>
      </c>
      <c r="P33" t="n">
        <v>0</v>
      </c>
      <c r="Q33" t="n">
        <v>1</v>
      </c>
      <c r="R33" t="n">
        <v>0</v>
      </c>
      <c r="S33" t="n">
        <v>3</v>
      </c>
      <c r="T33" t="n">
        <v>3</v>
      </c>
      <c r="U33" s="2" t="inlineStr">
        <is>
          <t>Kortskaftad ärgspik
Thomsons trägnagare
Krushättemossa</t>
        </is>
      </c>
      <c r="V33">
        <f>HYPERLINK("https://klasma.github.io/Logging_1981/artfynd/A 15630-2026 artfynd.xlsx", "A 15630-2026")</f>
        <v/>
      </c>
      <c r="W33">
        <f>HYPERLINK("https://klasma.github.io/Logging_1981/kartor/A 15630-2026 karta.png", "A 15630-2026")</f>
        <v/>
      </c>
      <c r="Y33">
        <f>HYPERLINK("https://klasma.github.io/Logging_1981/klagomål/A 15630-2026 FSC-klagomål.docx", "A 15630-2026")</f>
        <v/>
      </c>
      <c r="Z33">
        <f>HYPERLINK("https://klasma.github.io/Logging_1981/klagomålsmail/A 15630-2026 FSC-klagomål mail.docx", "A 15630-2026")</f>
        <v/>
      </c>
      <c r="AA33">
        <f>HYPERLINK("https://klasma.github.io/Logging_1981/tillsyn/A 15630-2026 tillsynsbegäran.docx", "A 15630-2026")</f>
        <v/>
      </c>
      <c r="AB33">
        <f>HYPERLINK("https://klasma.github.io/Logging_1981/tillsynsmail/A 15630-2026 tillsynsbegäran mail.docx", "A 15630-2026")</f>
        <v/>
      </c>
    </row>
    <row r="34" ht="15" customHeight="1">
      <c r="A34" t="inlineStr">
        <is>
          <t>A 3567-2024</t>
        </is>
      </c>
      <c r="B34" t="inlineStr">
        <is>
          <t>avverkningsanmälan</t>
        </is>
      </c>
      <c r="C34" t="inlineStr">
        <is>
          <t>Föryngringsavverkning</t>
        </is>
      </c>
      <c r="D34" s="1" t="n">
        <v>45320</v>
      </c>
      <c r="E34" s="1" t="n">
        <v>46216</v>
      </c>
      <c r="F34" t="inlineStr">
        <is>
          <t>VÄSTMANLANDS LÄN</t>
        </is>
      </c>
      <c r="G34" t="inlineStr">
        <is>
          <t>SALA</t>
        </is>
      </c>
      <c r="H34" t="inlineStr">
        <is>
          <t>Kommuner</t>
        </is>
      </c>
      <c r="I34" t="n">
        <v>4.1</v>
      </c>
      <c r="J34" t="n">
        <v>1</v>
      </c>
      <c r="K34" t="n">
        <v>2</v>
      </c>
      <c r="L34" t="n">
        <v>0</v>
      </c>
      <c r="M34" t="n">
        <v>1</v>
      </c>
      <c r="N34" t="n">
        <v>0</v>
      </c>
      <c r="O34" t="n">
        <v>0</v>
      </c>
      <c r="P34" t="n">
        <v>0</v>
      </c>
      <c r="Q34" t="n">
        <v>1</v>
      </c>
      <c r="R34" t="n">
        <v>1</v>
      </c>
      <c r="S34" t="n">
        <v>3</v>
      </c>
      <c r="T34" t="n">
        <v>5</v>
      </c>
      <c r="U34" s="2" t="inlineStr">
        <is>
          <t>Knärot
Guldlockmossa
Vedticka</t>
        </is>
      </c>
      <c r="V34">
        <f>HYPERLINK("https://klasma.github.io/Logging_1981/artfynd/A 3567-2024 artfynd.xlsx", "A 3567-2024")</f>
        <v/>
      </c>
      <c r="W34">
        <f>HYPERLINK("https://klasma.github.io/Logging_1981/kartor/A 3567-2024 karta.png", "A 3567-2024")</f>
        <v/>
      </c>
      <c r="X34">
        <f>HYPERLINK("https://klasma.github.io/Logging_1981/knärot/A 3567-2024 karta knärot.png", "A 3567-2024")</f>
        <v/>
      </c>
      <c r="Y34">
        <f>HYPERLINK("https://klasma.github.io/Logging_1981/klagomål/A 3567-2024 FSC-klagomål.docx", "A 3567-2024")</f>
        <v/>
      </c>
      <c r="Z34">
        <f>HYPERLINK("https://klasma.github.io/Logging_1981/klagomålsmail/A 3567-2024 FSC-klagomål mail.docx", "A 3567-2024")</f>
        <v/>
      </c>
      <c r="AA34">
        <f>HYPERLINK("https://klasma.github.io/Logging_1981/tillsyn/A 3567-2024 tillsynsbegäran.docx", "A 3567-2024")</f>
        <v/>
      </c>
      <c r="AB34">
        <f>HYPERLINK("https://klasma.github.io/Logging_1981/tillsynsmail/A 3567-2024 tillsynsbegäran mail.docx", "A 3567-2024")</f>
        <v/>
      </c>
    </row>
    <row r="35" ht="15" customHeight="1">
      <c r="A35" t="inlineStr">
        <is>
          <t>A 18896-2026</t>
        </is>
      </c>
      <c r="B35" t="inlineStr">
        <is>
          <t>avverkningsanmälan</t>
        </is>
      </c>
      <c r="C35" t="inlineStr">
        <is>
          <t>Avverkning för annat ändamål</t>
        </is>
      </c>
      <c r="D35" s="1" t="n">
        <v>46129</v>
      </c>
      <c r="E35" s="1" t="n">
        <v>46216</v>
      </c>
      <c r="F35" t="inlineStr">
        <is>
          <t>VÄSTMANLANDS LÄN</t>
        </is>
      </c>
      <c r="G35" t="inlineStr">
        <is>
          <t>SALA</t>
        </is>
      </c>
      <c r="H35" t="inlineStr">
        <is>
          <t>Kommuner</t>
        </is>
      </c>
      <c r="I35" t="n">
        <v>1.1</v>
      </c>
      <c r="J35" t="n">
        <v>0</v>
      </c>
      <c r="K35" t="n">
        <v>2</v>
      </c>
      <c r="L35" t="n">
        <v>1</v>
      </c>
      <c r="M35" t="n">
        <v>0</v>
      </c>
      <c r="N35" t="n">
        <v>0</v>
      </c>
      <c r="O35" t="n">
        <v>0</v>
      </c>
      <c r="P35" t="n">
        <v>0</v>
      </c>
      <c r="Q35" t="n">
        <v>1</v>
      </c>
      <c r="R35" t="n">
        <v>0</v>
      </c>
      <c r="S35" t="n">
        <v>3</v>
      </c>
      <c r="T35" t="n">
        <v>3</v>
      </c>
      <c r="U35" s="2" t="inlineStr">
        <is>
          <t>Ullticka
Bronshjon
Dvärgtufs</t>
        </is>
      </c>
      <c r="V35">
        <f>HYPERLINK("https://klasma.github.io/Logging_1981/artfynd/A 18896-2026 artfynd.xlsx", "A 18896-2026")</f>
        <v/>
      </c>
      <c r="W35">
        <f>HYPERLINK("https://klasma.github.io/Logging_1981/kartor/A 18896-2026 karta.png", "A 18896-2026")</f>
        <v/>
      </c>
      <c r="Y35">
        <f>HYPERLINK("https://klasma.github.io/Logging_1981/klagomål/A 18896-2026 FSC-klagomål.docx", "A 18896-2026")</f>
        <v/>
      </c>
      <c r="Z35">
        <f>HYPERLINK("https://klasma.github.io/Logging_1981/klagomålsmail/A 18896-2026 FSC-klagomål mail.docx", "A 18896-2026")</f>
        <v/>
      </c>
      <c r="AA35">
        <f>HYPERLINK("https://klasma.github.io/Logging_1981/tillsyn/A 18896-2026 tillsynsbegäran.docx", "A 18896-2026")</f>
        <v/>
      </c>
      <c r="AB35">
        <f>HYPERLINK("https://klasma.github.io/Logging_1981/tillsynsmail/A 18896-2026 tillsynsbegäran mail.docx", "A 18896-2026")</f>
        <v/>
      </c>
    </row>
    <row r="36" ht="15" customHeight="1">
      <c r="A36" t="inlineStr">
        <is>
          <t>A 3930-2026</t>
        </is>
      </c>
      <c r="B36" t="inlineStr">
        <is>
          <t>avverkningsanmälan</t>
        </is>
      </c>
      <c r="C36" t="inlineStr">
        <is>
          <t>Föryngringsavverkning</t>
        </is>
      </c>
      <c r="D36" s="1" t="n">
        <v>46043</v>
      </c>
      <c r="E36" s="1" t="n">
        <v>46216</v>
      </c>
      <c r="F36" t="inlineStr">
        <is>
          <t>VÄSTMANLANDS LÄN</t>
        </is>
      </c>
      <c r="G36" t="inlineStr">
        <is>
          <t>SALA</t>
        </is>
      </c>
      <c r="I36" t="n">
        <v>17.4</v>
      </c>
      <c r="J36" t="n">
        <v>1</v>
      </c>
      <c r="K36" t="n">
        <v>0</v>
      </c>
      <c r="L36" t="n">
        <v>1</v>
      </c>
      <c r="M36" t="n">
        <v>2</v>
      </c>
      <c r="N36" t="n">
        <v>0</v>
      </c>
      <c r="O36" t="n">
        <v>0</v>
      </c>
      <c r="P36" t="n">
        <v>0</v>
      </c>
      <c r="Q36" t="n">
        <v>3</v>
      </c>
      <c r="R36" t="n">
        <v>2</v>
      </c>
      <c r="S36" t="n">
        <v>3</v>
      </c>
      <c r="T36" t="n">
        <v>9</v>
      </c>
      <c r="U36" s="2" t="inlineStr">
        <is>
          <t>Gränsticka
Knärot
Ullticka</t>
        </is>
      </c>
      <c r="V36">
        <f>HYPERLINK("https://klasma.github.io/Logging_1981/artfynd/A 3930-2026 artfynd.xlsx", "A 3930-2026")</f>
        <v/>
      </c>
      <c r="W36">
        <f>HYPERLINK("https://klasma.github.io/Logging_1981/kartor/A 3930-2026 karta.png", "A 3930-2026")</f>
        <v/>
      </c>
      <c r="X36">
        <f>HYPERLINK("https://klasma.github.io/Logging_1981/knärot/A 3930-2026 karta knärot.png", "A 3930-2026")</f>
        <v/>
      </c>
      <c r="Y36">
        <f>HYPERLINK("https://klasma.github.io/Logging_1981/klagomål/A 3930-2026 FSC-klagomål.docx", "A 3930-2026")</f>
        <v/>
      </c>
      <c r="Z36">
        <f>HYPERLINK("https://klasma.github.io/Logging_1981/klagomålsmail/A 3930-2026 FSC-klagomål mail.docx", "A 3930-2026")</f>
        <v/>
      </c>
      <c r="AA36">
        <f>HYPERLINK("https://klasma.github.io/Logging_1981/tillsyn/A 3930-2026 tillsynsbegäran.docx", "A 3930-2026")</f>
        <v/>
      </c>
      <c r="AB36">
        <f>HYPERLINK("https://klasma.github.io/Logging_1981/tillsynsmail/A 3930-2026 tillsynsbegäran mail.docx", "A 3930-2026")</f>
        <v/>
      </c>
    </row>
    <row r="37" ht="15" customHeight="1">
      <c r="A37" t="inlineStr">
        <is>
          <t>A 4264-2024</t>
        </is>
      </c>
      <c r="B37" t="inlineStr">
        <is>
          <t>avverkningsanmälan</t>
        </is>
      </c>
      <c r="C37" t="inlineStr">
        <is>
          <t>Föryngringsavverkning</t>
        </is>
      </c>
      <c r="D37" s="1" t="n">
        <v>45324</v>
      </c>
      <c r="E37" s="1" t="n">
        <v>46216</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s="2" t="inlineStr">
        <is>
          <t>Brunpudrad nållav
Vedtrappmossa
Dvärghäxört</t>
        </is>
      </c>
      <c r="V37">
        <f>HYPERLINK("https://klasma.github.io/Logging_1981/artfynd/A 4264-2024 artfynd.xlsx", "A 4264-2024")</f>
        <v/>
      </c>
      <c r="W37">
        <f>HYPERLINK("https://klasma.github.io/Logging_1981/kartor/A 4264-2024 karta.png", "A 4264-2024")</f>
        <v/>
      </c>
      <c r="Y37">
        <f>HYPERLINK("https://klasma.github.io/Logging_1981/klagomål/A 4264-2024 FSC-klagomål.docx", "A 4264-2024")</f>
        <v/>
      </c>
      <c r="Z37">
        <f>HYPERLINK("https://klasma.github.io/Logging_1981/klagomålsmail/A 4264-2024 FSC-klagomål mail.docx", "A 4264-2024")</f>
        <v/>
      </c>
      <c r="AA37">
        <f>HYPERLINK("https://klasma.github.io/Logging_1981/tillsyn/A 4264-2024 tillsynsbegäran.docx", "A 4264-2024")</f>
        <v/>
      </c>
      <c r="AB37">
        <f>HYPERLINK("https://klasma.github.io/Logging_1981/tillsynsmail/A 4264-2024 tillsynsbegäran mail.docx", "A 4264-2024")</f>
        <v/>
      </c>
    </row>
    <row r="38" ht="15" customHeight="1">
      <c r="A38" t="inlineStr">
        <is>
          <t>A 12444-2024</t>
        </is>
      </c>
      <c r="B38" t="inlineStr">
        <is>
          <t>avverkningsanmälan</t>
        </is>
      </c>
      <c r="C38" t="inlineStr">
        <is>
          <t>Föryngringsavverkning</t>
        </is>
      </c>
      <c r="D38" s="1" t="n">
        <v>45379</v>
      </c>
      <c r="E38" s="1" t="n">
        <v>46216</v>
      </c>
      <c r="F38" t="inlineStr">
        <is>
          <t>VÄSTMANLANDS LÄN</t>
        </is>
      </c>
      <c r="G38" t="inlineStr">
        <is>
          <t>SALA</t>
        </is>
      </c>
      <c r="I38" t="n">
        <v>5.5</v>
      </c>
      <c r="J38" t="n">
        <v>1</v>
      </c>
      <c r="K38" t="n">
        <v>1</v>
      </c>
      <c r="L38" t="n">
        <v>1</v>
      </c>
      <c r="M38" t="n">
        <v>1</v>
      </c>
      <c r="N38" t="n">
        <v>0</v>
      </c>
      <c r="O38" t="n">
        <v>0</v>
      </c>
      <c r="P38" t="n">
        <v>0</v>
      </c>
      <c r="Q38" t="n">
        <v>2</v>
      </c>
      <c r="R38" t="n">
        <v>1</v>
      </c>
      <c r="S38" t="n">
        <v>3</v>
      </c>
      <c r="T38" t="n">
        <v>3</v>
      </c>
      <c r="U38" s="2" t="inlineStr">
        <is>
          <t>Knärot
Ullticka
Stuplav</t>
        </is>
      </c>
      <c r="V38">
        <f>HYPERLINK("https://klasma.github.io/Logging_1981/artfynd/A 12444-2024 artfynd.xlsx", "A 12444-2024")</f>
        <v/>
      </c>
      <c r="W38">
        <f>HYPERLINK("https://klasma.github.io/Logging_1981/kartor/A 12444-2024 karta.png", "A 12444-2024")</f>
        <v/>
      </c>
      <c r="X38">
        <f>HYPERLINK("https://klasma.github.io/Logging_1981/knärot/A 12444-2024 karta knärot.png", "A 12444-2024")</f>
        <v/>
      </c>
      <c r="Y38">
        <f>HYPERLINK("https://klasma.github.io/Logging_1981/klagomål/A 12444-2024 FSC-klagomål.docx", "A 12444-2024")</f>
        <v/>
      </c>
      <c r="Z38">
        <f>HYPERLINK("https://klasma.github.io/Logging_1981/klagomålsmail/A 12444-2024 FSC-klagomål mail.docx", "A 12444-2024")</f>
        <v/>
      </c>
      <c r="AA38">
        <f>HYPERLINK("https://klasma.github.io/Logging_1981/tillsyn/A 12444-2024 tillsynsbegäran.docx", "A 12444-2024")</f>
        <v/>
      </c>
      <c r="AB38">
        <f>HYPERLINK("https://klasma.github.io/Logging_1981/tillsynsmail/A 12444-2024 tillsynsbegäran mail.docx", "A 12444-2024")</f>
        <v/>
      </c>
    </row>
    <row r="39" ht="15" customHeight="1">
      <c r="A39" t="inlineStr">
        <is>
          <t>A 62768-2021</t>
        </is>
      </c>
      <c r="B39" t="inlineStr">
        <is>
          <t>avverkningsanmälan</t>
        </is>
      </c>
      <c r="C39" t="inlineStr">
        <is>
          <t>Föryngringsavverkning</t>
        </is>
      </c>
      <c r="D39" s="1" t="n">
        <v>44504</v>
      </c>
      <c r="E39" s="1" t="n">
        <v>46216</v>
      </c>
      <c r="F39" t="inlineStr">
        <is>
          <t>VÄSTMANLANDS LÄN</t>
        </is>
      </c>
      <c r="G39" t="inlineStr">
        <is>
          <t>SALA</t>
        </is>
      </c>
      <c r="I39" t="n">
        <v>12.9</v>
      </c>
      <c r="J39" t="n">
        <v>1</v>
      </c>
      <c r="K39" t="n">
        <v>1</v>
      </c>
      <c r="L39" t="n">
        <v>1</v>
      </c>
      <c r="M39" t="n">
        <v>1</v>
      </c>
      <c r="N39" t="n">
        <v>0</v>
      </c>
      <c r="O39" t="n">
        <v>0</v>
      </c>
      <c r="P39" t="n">
        <v>0</v>
      </c>
      <c r="Q39" t="n">
        <v>2</v>
      </c>
      <c r="R39" t="n">
        <v>1</v>
      </c>
      <c r="S39" t="n">
        <v>3</v>
      </c>
      <c r="T39" t="n">
        <v>7</v>
      </c>
      <c r="U39" s="2" t="inlineStr">
        <is>
          <t>Knärot
Vedtrappmossa
Grönpyrola</t>
        </is>
      </c>
      <c r="V39">
        <f>HYPERLINK("https://klasma.github.io/Logging_1981/artfynd/A 62768-2021 artfynd.xlsx", "A 62768-2021")</f>
        <v/>
      </c>
      <c r="W39">
        <f>HYPERLINK("https://klasma.github.io/Logging_1981/kartor/A 62768-2021 karta.png", "A 62768-2021")</f>
        <v/>
      </c>
      <c r="X39">
        <f>HYPERLINK("https://klasma.github.io/Logging_1981/knärot/A 62768-2021 karta knärot.png", "A 62768-2021")</f>
        <v/>
      </c>
      <c r="Y39">
        <f>HYPERLINK("https://klasma.github.io/Logging_1981/klagomål/A 62768-2021 FSC-klagomål.docx", "A 62768-2021")</f>
        <v/>
      </c>
      <c r="Z39">
        <f>HYPERLINK("https://klasma.github.io/Logging_1981/klagomålsmail/A 62768-2021 FSC-klagomål mail.docx", "A 62768-2021")</f>
        <v/>
      </c>
      <c r="AA39">
        <f>HYPERLINK("https://klasma.github.io/Logging_1981/tillsyn/A 62768-2021 tillsynsbegäran.docx", "A 62768-2021")</f>
        <v/>
      </c>
      <c r="AB39">
        <f>HYPERLINK("https://klasma.github.io/Logging_1981/tillsynsmail/A 62768-2021 tillsynsbegäran mail.docx", "A 62768-2021")</f>
        <v/>
      </c>
    </row>
    <row r="40" ht="15" customHeight="1">
      <c r="A40" t="inlineStr">
        <is>
          <t>A 52909-2022</t>
        </is>
      </c>
      <c r="B40" t="inlineStr">
        <is>
          <t>avverkningsanmälan</t>
        </is>
      </c>
      <c r="C40" t="inlineStr">
        <is>
          <t>Föryngringsavverkning</t>
        </is>
      </c>
      <c r="D40" s="1" t="n">
        <v>44875</v>
      </c>
      <c r="E40" s="1" t="n">
        <v>46216</v>
      </c>
      <c r="F40" t="inlineStr">
        <is>
          <t>VÄSTMANLANDS LÄN</t>
        </is>
      </c>
      <c r="G40" t="inlineStr">
        <is>
          <t>SALA</t>
        </is>
      </c>
      <c r="I40" t="n">
        <v>0.5</v>
      </c>
      <c r="J40" t="n">
        <v>1</v>
      </c>
      <c r="K40" t="n">
        <v>0</v>
      </c>
      <c r="L40" t="n">
        <v>1</v>
      </c>
      <c r="M40" t="n">
        <v>0</v>
      </c>
      <c r="N40" t="n">
        <v>0</v>
      </c>
      <c r="O40" t="n">
        <v>0</v>
      </c>
      <c r="P40" t="n">
        <v>0</v>
      </c>
      <c r="Q40" t="n">
        <v>1</v>
      </c>
      <c r="R40" t="n">
        <v>0</v>
      </c>
      <c r="S40" t="n">
        <v>2</v>
      </c>
      <c r="T40" t="n">
        <v>2</v>
      </c>
      <c r="U40" s="2" t="inlineStr">
        <is>
          <t>Svinrot
Nattviol</t>
        </is>
      </c>
      <c r="V40">
        <f>HYPERLINK("https://klasma.github.io/Logging_1981/artfynd/A 52909-2022 artfynd.xlsx", "A 52909-2022")</f>
        <v/>
      </c>
      <c r="W40">
        <f>HYPERLINK("https://klasma.github.io/Logging_1981/kartor/A 52909-2022 karta.png", "A 52909-2022")</f>
        <v/>
      </c>
      <c r="Y40">
        <f>HYPERLINK("https://klasma.github.io/Logging_1981/klagomål/A 52909-2022 FSC-klagomål.docx", "A 52909-2022")</f>
        <v/>
      </c>
      <c r="Z40">
        <f>HYPERLINK("https://klasma.github.io/Logging_1981/klagomålsmail/A 52909-2022 FSC-klagomål mail.docx", "A 52909-2022")</f>
        <v/>
      </c>
      <c r="AA40">
        <f>HYPERLINK("https://klasma.github.io/Logging_1981/tillsyn/A 52909-2022 tillsynsbegäran.docx", "A 52909-2022")</f>
        <v/>
      </c>
      <c r="AB40">
        <f>HYPERLINK("https://klasma.github.io/Logging_1981/tillsynsmail/A 52909-2022 tillsynsbegäran mail.docx", "A 52909-2022")</f>
        <v/>
      </c>
    </row>
    <row r="41" ht="15" customHeight="1">
      <c r="A41" t="inlineStr">
        <is>
          <t>A 72805-2021</t>
        </is>
      </c>
      <c r="B41" t="inlineStr">
        <is>
          <t>avverkningsanmälan</t>
        </is>
      </c>
      <c r="C41" t="inlineStr">
        <is>
          <t>Föryngringsavverkning</t>
        </is>
      </c>
      <c r="D41" s="1" t="n">
        <v>44546</v>
      </c>
      <c r="E41" s="1" t="n">
        <v>46216</v>
      </c>
      <c r="F41" t="inlineStr">
        <is>
          <t>VÄSTMANLANDS LÄN</t>
        </is>
      </c>
      <c r="G41" t="inlineStr">
        <is>
          <t>SALA</t>
        </is>
      </c>
      <c r="I41" t="n">
        <v>7.8</v>
      </c>
      <c r="J41" t="n">
        <v>0</v>
      </c>
      <c r="K41" t="n">
        <v>1</v>
      </c>
      <c r="L41" t="n">
        <v>0</v>
      </c>
      <c r="M41" t="n">
        <v>1</v>
      </c>
      <c r="N41" t="n">
        <v>0</v>
      </c>
      <c r="O41" t="n">
        <v>0</v>
      </c>
      <c r="P41" t="n">
        <v>0</v>
      </c>
      <c r="Q41" t="n">
        <v>1</v>
      </c>
      <c r="R41" t="n">
        <v>1</v>
      </c>
      <c r="S41" t="n">
        <v>2</v>
      </c>
      <c r="T41" t="n">
        <v>2</v>
      </c>
      <c r="U41" s="2" t="inlineStr">
        <is>
          <t>Aspgelélav
Skinnlav</t>
        </is>
      </c>
      <c r="V41">
        <f>HYPERLINK("https://klasma.github.io/Logging_1981/artfynd/A 72805-2021 artfynd.xlsx", "A 72805-2021")</f>
        <v/>
      </c>
      <c r="W41">
        <f>HYPERLINK("https://klasma.github.io/Logging_1981/kartor/A 72805-2021 karta.png", "A 72805-2021")</f>
        <v/>
      </c>
      <c r="Y41">
        <f>HYPERLINK("https://klasma.github.io/Logging_1981/klagomål/A 72805-2021 FSC-klagomål.docx", "A 72805-2021")</f>
        <v/>
      </c>
      <c r="Z41">
        <f>HYPERLINK("https://klasma.github.io/Logging_1981/klagomålsmail/A 72805-2021 FSC-klagomål mail.docx", "A 72805-2021")</f>
        <v/>
      </c>
      <c r="AA41">
        <f>HYPERLINK("https://klasma.github.io/Logging_1981/tillsyn/A 72805-2021 tillsynsbegäran.docx", "A 72805-2021")</f>
        <v/>
      </c>
      <c r="AB41">
        <f>HYPERLINK("https://klasma.github.io/Logging_1981/tillsynsmail/A 72805-2021 tillsynsbegäran mail.docx", "A 72805-2021")</f>
        <v/>
      </c>
    </row>
    <row r="42" ht="15" customHeight="1">
      <c r="A42" t="inlineStr">
        <is>
          <t>A 24872-2025</t>
        </is>
      </c>
      <c r="B42" t="inlineStr">
        <is>
          <t>avverkningsanmälan</t>
        </is>
      </c>
      <c r="C42" t="inlineStr">
        <is>
          <t>Föryngringsavverkning</t>
        </is>
      </c>
      <c r="D42" s="1" t="n">
        <v>45799</v>
      </c>
      <c r="E42" s="1" t="n">
        <v>46216</v>
      </c>
      <c r="F42" t="inlineStr">
        <is>
          <t>VÄSTMANLANDS LÄN</t>
        </is>
      </c>
      <c r="G42" t="inlineStr">
        <is>
          <t>SALA</t>
        </is>
      </c>
      <c r="I42" t="n">
        <v>13.9</v>
      </c>
      <c r="J42" t="n">
        <v>1</v>
      </c>
      <c r="K42" t="n">
        <v>0</v>
      </c>
      <c r="L42" t="n">
        <v>1</v>
      </c>
      <c r="M42" t="n">
        <v>1</v>
      </c>
      <c r="N42" t="n">
        <v>0</v>
      </c>
      <c r="O42" t="n">
        <v>0</v>
      </c>
      <c r="P42" t="n">
        <v>0</v>
      </c>
      <c r="Q42" t="n">
        <v>2</v>
      </c>
      <c r="R42" t="n">
        <v>1</v>
      </c>
      <c r="S42" t="n">
        <v>2</v>
      </c>
      <c r="T42" t="n">
        <v>2</v>
      </c>
      <c r="U42" s="2" t="inlineStr">
        <is>
          <t>Knärot
Motaggsvamp</t>
        </is>
      </c>
      <c r="V42">
        <f>HYPERLINK("https://klasma.github.io/Logging_1981/artfynd/A 24872-2025 artfynd.xlsx", "A 24872-2025")</f>
        <v/>
      </c>
      <c r="W42">
        <f>HYPERLINK("https://klasma.github.io/Logging_1981/kartor/A 24872-2025 karta.png", "A 24872-2025")</f>
        <v/>
      </c>
      <c r="X42">
        <f>HYPERLINK("https://klasma.github.io/Logging_1981/knärot/A 24872-2025 karta knärot.png", "A 24872-2025")</f>
        <v/>
      </c>
      <c r="Y42">
        <f>HYPERLINK("https://klasma.github.io/Logging_1981/klagomål/A 24872-2025 FSC-klagomål.docx", "A 24872-2025")</f>
        <v/>
      </c>
      <c r="Z42">
        <f>HYPERLINK("https://klasma.github.io/Logging_1981/klagomålsmail/A 24872-2025 FSC-klagomål mail.docx", "A 24872-2025")</f>
        <v/>
      </c>
      <c r="AA42">
        <f>HYPERLINK("https://klasma.github.io/Logging_1981/tillsyn/A 24872-2025 tillsynsbegäran.docx", "A 24872-2025")</f>
        <v/>
      </c>
      <c r="AB42">
        <f>HYPERLINK("https://klasma.github.io/Logging_1981/tillsynsmail/A 24872-2025 tillsynsbegäran mail.docx", "A 24872-2025")</f>
        <v/>
      </c>
    </row>
    <row r="43" ht="15" customHeight="1">
      <c r="A43" t="inlineStr">
        <is>
          <t>A 38574-2025</t>
        </is>
      </c>
      <c r="B43" t="inlineStr">
        <is>
          <t>avverkningsanmälan</t>
        </is>
      </c>
      <c r="C43" t="inlineStr">
        <is>
          <t>Föryngringsavverkning</t>
        </is>
      </c>
      <c r="D43" s="1" t="n">
        <v>45884</v>
      </c>
      <c r="E43" s="1" t="n">
        <v>46216</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s="2" t="inlineStr">
        <is>
          <t>Aspgelélav
Vedskivlav</t>
        </is>
      </c>
      <c r="V43">
        <f>HYPERLINK("https://klasma.github.io/Logging_1981/artfynd/A 38574-2025 artfynd.xlsx", "A 38574-2025")</f>
        <v/>
      </c>
      <c r="W43">
        <f>HYPERLINK("https://klasma.github.io/Logging_1981/kartor/A 38574-2025 karta.png", "A 38574-2025")</f>
        <v/>
      </c>
      <c r="Y43">
        <f>HYPERLINK("https://klasma.github.io/Logging_1981/klagomål/A 38574-2025 FSC-klagomål.docx", "A 38574-2025")</f>
        <v/>
      </c>
      <c r="Z43">
        <f>HYPERLINK("https://klasma.github.io/Logging_1981/klagomålsmail/A 38574-2025 FSC-klagomål mail.docx", "A 38574-2025")</f>
        <v/>
      </c>
      <c r="AA43">
        <f>HYPERLINK("https://klasma.github.io/Logging_1981/tillsyn/A 38574-2025 tillsynsbegäran.docx", "A 38574-2025")</f>
        <v/>
      </c>
      <c r="AB43">
        <f>HYPERLINK("https://klasma.github.io/Logging_1981/tillsynsmail/A 38574-2025 tillsynsbegäran mail.docx", "A 38574-2025")</f>
        <v/>
      </c>
    </row>
    <row r="44" ht="15" customHeight="1">
      <c r="A44" t="inlineStr">
        <is>
          <t>A 13029-2023</t>
        </is>
      </c>
      <c r="B44" t="inlineStr">
        <is>
          <t>avverkningsanmälan</t>
        </is>
      </c>
      <c r="C44" t="inlineStr">
        <is>
          <t>Föryngringsavverkning</t>
        </is>
      </c>
      <c r="D44" s="1" t="n">
        <v>45001</v>
      </c>
      <c r="E44" s="1" t="n">
        <v>46216</v>
      </c>
      <c r="F44" t="inlineStr">
        <is>
          <t>VÄSTMANLANDS LÄN</t>
        </is>
      </c>
      <c r="G44" t="inlineStr">
        <is>
          <t>SALA</t>
        </is>
      </c>
      <c r="I44" t="n">
        <v>2</v>
      </c>
      <c r="J44" t="n">
        <v>0</v>
      </c>
      <c r="K44" t="n">
        <v>0</v>
      </c>
      <c r="L44" t="n">
        <v>2</v>
      </c>
      <c r="M44" t="n">
        <v>0</v>
      </c>
      <c r="N44" t="n">
        <v>0</v>
      </c>
      <c r="O44" t="n">
        <v>0</v>
      </c>
      <c r="P44" t="n">
        <v>0</v>
      </c>
      <c r="Q44" t="n">
        <v>2</v>
      </c>
      <c r="R44" t="n">
        <v>0</v>
      </c>
      <c r="S44" t="n">
        <v>2</v>
      </c>
      <c r="T44" t="n">
        <v>3</v>
      </c>
      <c r="U44" s="2" t="inlineStr">
        <is>
          <t>Krusfrö
Linmåra/småsnärjmåra</t>
        </is>
      </c>
      <c r="V44">
        <f>HYPERLINK("https://klasma.github.io/Logging_1981/artfynd/A 13029-2023 artfynd.xlsx", "A 13029-2023")</f>
        <v/>
      </c>
      <c r="W44">
        <f>HYPERLINK("https://klasma.github.io/Logging_1981/kartor/A 13029-2023 karta.png", "A 13029-2023")</f>
        <v/>
      </c>
      <c r="Y44">
        <f>HYPERLINK("https://klasma.github.io/Logging_1981/klagomål/A 13029-2023 FSC-klagomål.docx", "A 13029-2023")</f>
        <v/>
      </c>
      <c r="Z44">
        <f>HYPERLINK("https://klasma.github.io/Logging_1981/klagomålsmail/A 13029-2023 FSC-klagomål mail.docx", "A 13029-2023")</f>
        <v/>
      </c>
      <c r="AA44">
        <f>HYPERLINK("https://klasma.github.io/Logging_1981/tillsyn/A 13029-2023 tillsynsbegäran.docx", "A 13029-2023")</f>
        <v/>
      </c>
      <c r="AB44">
        <f>HYPERLINK("https://klasma.github.io/Logging_1981/tillsynsmail/A 13029-2023 tillsynsbegäran mail.docx", "A 13029-2023")</f>
        <v/>
      </c>
    </row>
    <row r="45" ht="15" customHeight="1">
      <c r="A45" t="inlineStr">
        <is>
          <t>A 48705-2025</t>
        </is>
      </c>
      <c r="B45" t="inlineStr">
        <is>
          <t>avverkningsanmälan</t>
        </is>
      </c>
      <c r="C45" t="inlineStr">
        <is>
          <t>Föryngringsavverkning</t>
        </is>
      </c>
      <c r="D45" s="1" t="n">
        <v>45936</v>
      </c>
      <c r="E45" s="1" t="n">
        <v>46216</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s="2" t="inlineStr">
        <is>
          <t>Plattlummer
Revlummer</t>
        </is>
      </c>
      <c r="V45">
        <f>HYPERLINK("https://klasma.github.io/Logging_1981/artfynd/A 48705-2025 artfynd.xlsx", "A 48705-2025")</f>
        <v/>
      </c>
      <c r="W45">
        <f>HYPERLINK("https://klasma.github.io/Logging_1981/kartor/A 48705-2025 karta.png", "A 48705-2025")</f>
        <v/>
      </c>
      <c r="Y45">
        <f>HYPERLINK("https://klasma.github.io/Logging_1981/klagomål/A 48705-2025 FSC-klagomål.docx", "A 48705-2025")</f>
        <v/>
      </c>
      <c r="Z45">
        <f>HYPERLINK("https://klasma.github.io/Logging_1981/klagomålsmail/A 48705-2025 FSC-klagomål mail.docx", "A 48705-2025")</f>
        <v/>
      </c>
      <c r="AA45">
        <f>HYPERLINK("https://klasma.github.io/Logging_1981/tillsyn/A 48705-2025 tillsynsbegäran.docx", "A 48705-2025")</f>
        <v/>
      </c>
      <c r="AB45">
        <f>HYPERLINK("https://klasma.github.io/Logging_1981/tillsynsmail/A 48705-2025 tillsynsbegäran mail.docx", "A 48705-2025")</f>
        <v/>
      </c>
    </row>
    <row r="46" ht="15" customHeight="1">
      <c r="A46" t="inlineStr">
        <is>
          <t>A 1500-2022</t>
        </is>
      </c>
      <c r="B46" t="inlineStr">
        <is>
          <t>avverkningsanmälan</t>
        </is>
      </c>
      <c r="C46" t="inlineStr">
        <is>
          <t>Föryngringsavverkning</t>
        </is>
      </c>
      <c r="D46" s="1" t="n">
        <v>44573</v>
      </c>
      <c r="E46" s="1" t="n">
        <v>46216</v>
      </c>
      <c r="F46" t="inlineStr">
        <is>
          <t>VÄSTMANLANDS LÄN</t>
        </is>
      </c>
      <c r="G46" t="inlineStr">
        <is>
          <t>SALA</t>
        </is>
      </c>
      <c r="I46" t="n">
        <v>5.8</v>
      </c>
      <c r="J46" t="n">
        <v>2</v>
      </c>
      <c r="K46" t="n">
        <v>0</v>
      </c>
      <c r="L46" t="n">
        <v>0</v>
      </c>
      <c r="M46" t="n">
        <v>1</v>
      </c>
      <c r="N46" t="n">
        <v>0</v>
      </c>
      <c r="O46" t="n">
        <v>0</v>
      </c>
      <c r="P46" t="n">
        <v>0</v>
      </c>
      <c r="Q46" t="n">
        <v>1</v>
      </c>
      <c r="R46" t="n">
        <v>1</v>
      </c>
      <c r="S46" t="n">
        <v>2</v>
      </c>
      <c r="T46" t="n">
        <v>4</v>
      </c>
      <c r="U46" s="2" t="inlineStr">
        <is>
          <t>Knärot
Revlummer</t>
        </is>
      </c>
      <c r="V46">
        <f>HYPERLINK("https://klasma.github.io/Logging_1981/artfynd/A 1500-2022 artfynd.xlsx", "A 1500-2022")</f>
        <v/>
      </c>
      <c r="W46">
        <f>HYPERLINK("https://klasma.github.io/Logging_1981/kartor/A 1500-2022 karta.png", "A 1500-2022")</f>
        <v/>
      </c>
      <c r="X46">
        <f>HYPERLINK("https://klasma.github.io/Logging_1981/knärot/A 1500-2022 karta knärot.png", "A 1500-2022")</f>
        <v/>
      </c>
      <c r="Y46">
        <f>HYPERLINK("https://klasma.github.io/Logging_1981/klagomål/A 1500-2022 FSC-klagomål.docx", "A 1500-2022")</f>
        <v/>
      </c>
      <c r="Z46">
        <f>HYPERLINK("https://klasma.github.io/Logging_1981/klagomålsmail/A 1500-2022 FSC-klagomål mail.docx", "A 1500-2022")</f>
        <v/>
      </c>
      <c r="AA46">
        <f>HYPERLINK("https://klasma.github.io/Logging_1981/tillsyn/A 1500-2022 tillsynsbegäran.docx", "A 1500-2022")</f>
        <v/>
      </c>
      <c r="AB46">
        <f>HYPERLINK("https://klasma.github.io/Logging_1981/tillsynsmail/A 1500-2022 tillsynsbegäran mail.docx", "A 1500-2022")</f>
        <v/>
      </c>
    </row>
    <row r="47" ht="15" customHeight="1">
      <c r="A47" t="inlineStr">
        <is>
          <t>A 53048-2025</t>
        </is>
      </c>
      <c r="B47" t="inlineStr">
        <is>
          <t>avverkningsanmälan</t>
        </is>
      </c>
      <c r="C47" t="inlineStr">
        <is>
          <t>Föryngringsavverkning</t>
        </is>
      </c>
      <c r="D47" s="1" t="n">
        <v>45958</v>
      </c>
      <c r="E47" s="1" t="n">
        <v>46216</v>
      </c>
      <c r="F47" t="inlineStr">
        <is>
          <t>VÄSTMANLANDS LÄN</t>
        </is>
      </c>
      <c r="G47" t="inlineStr">
        <is>
          <t>SALA</t>
        </is>
      </c>
      <c r="H47" t="inlineStr">
        <is>
          <t>Sveaskog</t>
        </is>
      </c>
      <c r="I47" t="n">
        <v>7.5</v>
      </c>
      <c r="J47" t="n">
        <v>1</v>
      </c>
      <c r="K47" t="n">
        <v>1</v>
      </c>
      <c r="L47" t="n">
        <v>1</v>
      </c>
      <c r="M47" t="n">
        <v>0</v>
      </c>
      <c r="N47" t="n">
        <v>0</v>
      </c>
      <c r="O47" t="n">
        <v>0</v>
      </c>
      <c r="P47" t="n">
        <v>0</v>
      </c>
      <c r="Q47" t="n">
        <v>1</v>
      </c>
      <c r="R47" t="n">
        <v>0</v>
      </c>
      <c r="S47" t="n">
        <v>2</v>
      </c>
      <c r="T47" t="n">
        <v>6</v>
      </c>
      <c r="U47" s="2" t="inlineStr">
        <is>
          <t>Motaggsvamp
Plattlummer</t>
        </is>
      </c>
      <c r="V47">
        <f>HYPERLINK("https://klasma.github.io/Logging_1981/artfynd/A 53048-2025 artfynd.xlsx", "A 53048-2025")</f>
        <v/>
      </c>
      <c r="W47">
        <f>HYPERLINK("https://klasma.github.io/Logging_1981/kartor/A 53048-2025 karta.png", "A 53048-2025")</f>
        <v/>
      </c>
      <c r="Y47">
        <f>HYPERLINK("https://klasma.github.io/Logging_1981/klagomål/A 53048-2025 FSC-klagomål.docx", "A 53048-2025")</f>
        <v/>
      </c>
      <c r="Z47">
        <f>HYPERLINK("https://klasma.github.io/Logging_1981/klagomålsmail/A 53048-2025 FSC-klagomål mail.docx", "A 53048-2025")</f>
        <v/>
      </c>
      <c r="AA47">
        <f>HYPERLINK("https://klasma.github.io/Logging_1981/tillsyn/A 53048-2025 tillsynsbegäran.docx", "A 53048-2025")</f>
        <v/>
      </c>
      <c r="AB47">
        <f>HYPERLINK("https://klasma.github.io/Logging_1981/tillsynsmail/A 53048-2025 tillsynsbegäran mail.docx", "A 53048-2025")</f>
        <v/>
      </c>
    </row>
    <row r="48" ht="15" customHeight="1">
      <c r="A48" t="inlineStr">
        <is>
          <t>A 15102-2025</t>
        </is>
      </c>
      <c r="B48" t="inlineStr">
        <is>
          <t>avverkningsanmälan</t>
        </is>
      </c>
      <c r="C48" t="inlineStr">
        <is>
          <t>Föryngringsavverkning</t>
        </is>
      </c>
      <c r="D48" s="1" t="n">
        <v>45744</v>
      </c>
      <c r="E48" s="1" t="n">
        <v>46216</v>
      </c>
      <c r="F48" t="inlineStr">
        <is>
          <t>VÄSTMANLANDS LÄN</t>
        </is>
      </c>
      <c r="G48" t="inlineStr">
        <is>
          <t>SALA</t>
        </is>
      </c>
      <c r="H48" t="inlineStr">
        <is>
          <t>Sveaskog</t>
        </is>
      </c>
      <c r="I48" t="n">
        <v>4.2</v>
      </c>
      <c r="J48" t="n">
        <v>2</v>
      </c>
      <c r="K48" t="n">
        <v>0</v>
      </c>
      <c r="L48" t="n">
        <v>0</v>
      </c>
      <c r="M48" t="n">
        <v>0</v>
      </c>
      <c r="N48" t="n">
        <v>0</v>
      </c>
      <c r="O48" t="n">
        <v>0</v>
      </c>
      <c r="P48" t="n">
        <v>0</v>
      </c>
      <c r="Q48" t="n">
        <v>0</v>
      </c>
      <c r="R48" t="n">
        <v>0</v>
      </c>
      <c r="S48" t="n">
        <v>2</v>
      </c>
      <c r="T48" t="n">
        <v>4</v>
      </c>
      <c r="U48" s="2" t="inlineStr">
        <is>
          <t>Spillkråka
Grönsiska</t>
        </is>
      </c>
      <c r="V48">
        <f>HYPERLINK("https://klasma.github.io/Logging_1981/artfynd/A 15102-2025 artfynd.xlsx", "A 15102-2025")</f>
        <v/>
      </c>
      <c r="W48">
        <f>HYPERLINK("https://klasma.github.io/Logging_1981/kartor/A 15102-2025 karta.png", "A 15102-2025")</f>
        <v/>
      </c>
      <c r="Y48">
        <f>HYPERLINK("https://klasma.github.io/Logging_1981/klagomål/A 15102-2025 FSC-klagomål.docx", "A 15102-2025")</f>
        <v/>
      </c>
      <c r="Z48">
        <f>HYPERLINK("https://klasma.github.io/Logging_1981/klagomålsmail/A 15102-2025 FSC-klagomål mail.docx", "A 15102-2025")</f>
        <v/>
      </c>
      <c r="AA48">
        <f>HYPERLINK("https://klasma.github.io/Logging_1981/tillsyn/A 15102-2025 tillsynsbegäran.docx", "A 15102-2025")</f>
        <v/>
      </c>
      <c r="AB48">
        <f>HYPERLINK("https://klasma.github.io/Logging_1981/tillsynsmail/A 15102-2025 tillsynsbegäran mail.docx", "A 15102-2025")</f>
        <v/>
      </c>
      <c r="AC48">
        <f>HYPERLINK("https://klasma.github.io/Logging_1981/fåglar/A 15102-2025 prioriterade fågelarter.docx", "A 15102-2025")</f>
        <v/>
      </c>
    </row>
    <row r="49" ht="15" customHeight="1">
      <c r="A49" t="inlineStr">
        <is>
          <t>A 41570-2021</t>
        </is>
      </c>
      <c r="B49" t="inlineStr">
        <is>
          <t>avverkningsanmälan</t>
        </is>
      </c>
      <c r="C49" t="inlineStr">
        <is>
          <t>Föryngringsavverkning</t>
        </is>
      </c>
      <c r="D49" s="1" t="n">
        <v>44425</v>
      </c>
      <c r="E49" s="1" t="n">
        <v>46216</v>
      </c>
      <c r="F49" t="inlineStr">
        <is>
          <t>VÄSTMANLANDS LÄN</t>
        </is>
      </c>
      <c r="G49" t="inlineStr">
        <is>
          <t>SALA</t>
        </is>
      </c>
      <c r="I49" t="n">
        <v>1.4</v>
      </c>
      <c r="J49" t="n">
        <v>0</v>
      </c>
      <c r="K49" t="n">
        <v>1</v>
      </c>
      <c r="L49" t="n">
        <v>1</v>
      </c>
      <c r="M49" t="n">
        <v>0</v>
      </c>
      <c r="N49" t="n">
        <v>0</v>
      </c>
      <c r="O49" t="n">
        <v>0</v>
      </c>
      <c r="P49" t="n">
        <v>0</v>
      </c>
      <c r="Q49" t="n">
        <v>1</v>
      </c>
      <c r="R49" t="n">
        <v>0</v>
      </c>
      <c r="S49" t="n">
        <v>2</v>
      </c>
      <c r="T49" t="n">
        <v>4</v>
      </c>
      <c r="U49" s="2" t="inlineStr">
        <is>
          <t>Vedtrappmossa
Dvärghäxört</t>
        </is>
      </c>
      <c r="V49">
        <f>HYPERLINK("https://klasma.github.io/Logging_1981/artfynd/A 41570-2021 artfynd.xlsx", "A 41570-2021")</f>
        <v/>
      </c>
      <c r="W49">
        <f>HYPERLINK("https://klasma.github.io/Logging_1981/kartor/A 41570-2021 karta.png", "A 41570-2021")</f>
        <v/>
      </c>
      <c r="Y49">
        <f>HYPERLINK("https://klasma.github.io/Logging_1981/klagomål/A 41570-2021 FSC-klagomål.docx", "A 41570-2021")</f>
        <v/>
      </c>
      <c r="Z49">
        <f>HYPERLINK("https://klasma.github.io/Logging_1981/klagomålsmail/A 41570-2021 FSC-klagomål mail.docx", "A 41570-2021")</f>
        <v/>
      </c>
      <c r="AA49">
        <f>HYPERLINK("https://klasma.github.io/Logging_1981/tillsyn/A 41570-2021 tillsynsbegäran.docx", "A 41570-2021")</f>
        <v/>
      </c>
      <c r="AB49">
        <f>HYPERLINK("https://klasma.github.io/Logging_1981/tillsynsmail/A 41570-2021 tillsynsbegäran mail.docx", "A 41570-2021")</f>
        <v/>
      </c>
    </row>
    <row r="50" ht="15" customHeight="1">
      <c r="A50" t="inlineStr">
        <is>
          <t>A 59826-2025</t>
        </is>
      </c>
      <c r="B50" t="inlineStr">
        <is>
          <t>avverkningsanmälan</t>
        </is>
      </c>
      <c r="C50" t="inlineStr">
        <is>
          <t>Föryngringsavverkning</t>
        </is>
      </c>
      <c r="D50" s="1" t="n">
        <v>45992</v>
      </c>
      <c r="E50" s="1" t="n">
        <v>46216</v>
      </c>
      <c r="F50" t="inlineStr">
        <is>
          <t>VÄSTMANLANDS LÄN</t>
        </is>
      </c>
      <c r="G50" t="inlineStr">
        <is>
          <t>SALA</t>
        </is>
      </c>
      <c r="I50" t="n">
        <v>2.7</v>
      </c>
      <c r="J50" t="n">
        <v>0</v>
      </c>
      <c r="K50" t="n">
        <v>1</v>
      </c>
      <c r="L50" t="n">
        <v>1</v>
      </c>
      <c r="M50" t="n">
        <v>0</v>
      </c>
      <c r="N50" t="n">
        <v>0</v>
      </c>
      <c r="O50" t="n">
        <v>0</v>
      </c>
      <c r="P50" t="n">
        <v>0</v>
      </c>
      <c r="Q50" t="n">
        <v>1</v>
      </c>
      <c r="R50" t="n">
        <v>0</v>
      </c>
      <c r="S50" t="n">
        <v>2</v>
      </c>
      <c r="T50" t="n">
        <v>2</v>
      </c>
      <c r="U50" s="2" t="inlineStr">
        <is>
          <t>Motaggsvamp
Gullgröppa</t>
        </is>
      </c>
      <c r="V50">
        <f>HYPERLINK("https://klasma.github.io/Logging_1981/artfynd/A 59826-2025 artfynd.xlsx", "A 59826-2025")</f>
        <v/>
      </c>
      <c r="W50">
        <f>HYPERLINK("https://klasma.github.io/Logging_1981/kartor/A 59826-2025 karta.png", "A 59826-2025")</f>
        <v/>
      </c>
      <c r="Y50">
        <f>HYPERLINK("https://klasma.github.io/Logging_1981/klagomål/A 59826-2025 FSC-klagomål.docx", "A 59826-2025")</f>
        <v/>
      </c>
      <c r="Z50">
        <f>HYPERLINK("https://klasma.github.io/Logging_1981/klagomålsmail/A 59826-2025 FSC-klagomål mail.docx", "A 59826-2025")</f>
        <v/>
      </c>
      <c r="AA50">
        <f>HYPERLINK("https://klasma.github.io/Logging_1981/tillsyn/A 59826-2025 tillsynsbegäran.docx", "A 59826-2025")</f>
        <v/>
      </c>
      <c r="AB50">
        <f>HYPERLINK("https://klasma.github.io/Logging_1981/tillsynsmail/A 59826-2025 tillsynsbegäran mail.docx", "A 59826-2025")</f>
        <v/>
      </c>
    </row>
    <row r="51" ht="15" customHeight="1">
      <c r="A51" t="inlineStr">
        <is>
          <t>A 18431-2023</t>
        </is>
      </c>
      <c r="B51" t="inlineStr">
        <is>
          <t>avverkningsanmälan</t>
        </is>
      </c>
      <c r="C51" t="inlineStr">
        <is>
          <t>Avverkning för annat ändamål</t>
        </is>
      </c>
      <c r="D51" s="1" t="n">
        <v>45042</v>
      </c>
      <c r="E51" s="1" t="n">
        <v>46216</v>
      </c>
      <c r="F51" t="inlineStr">
        <is>
          <t>VÄSTMANLANDS LÄN</t>
        </is>
      </c>
      <c r="G51" t="inlineStr">
        <is>
          <t>SALA</t>
        </is>
      </c>
      <c r="I51" t="n">
        <v>1.9</v>
      </c>
      <c r="J51" t="n">
        <v>0</v>
      </c>
      <c r="K51" t="n">
        <v>1</v>
      </c>
      <c r="L51" t="n">
        <v>1</v>
      </c>
      <c r="M51" t="n">
        <v>0</v>
      </c>
      <c r="N51" t="n">
        <v>0</v>
      </c>
      <c r="O51" t="n">
        <v>0</v>
      </c>
      <c r="P51" t="n">
        <v>0</v>
      </c>
      <c r="Q51" t="n">
        <v>1</v>
      </c>
      <c r="R51" t="n">
        <v>0</v>
      </c>
      <c r="S51" t="n">
        <v>2</v>
      </c>
      <c r="T51" t="n">
        <v>5</v>
      </c>
      <c r="U51" s="2" t="inlineStr">
        <is>
          <t>Scharlakansvaxing
Blodvaxing</t>
        </is>
      </c>
      <c r="V51">
        <f>HYPERLINK("https://klasma.github.io/Logging_1981/artfynd/A 18431-2023 artfynd.xlsx", "A 18431-2023")</f>
        <v/>
      </c>
      <c r="W51">
        <f>HYPERLINK("https://klasma.github.io/Logging_1981/kartor/A 18431-2023 karta.png", "A 18431-2023")</f>
        <v/>
      </c>
      <c r="Y51">
        <f>HYPERLINK("https://klasma.github.io/Logging_1981/klagomål/A 18431-2023 FSC-klagomål.docx", "A 18431-2023")</f>
        <v/>
      </c>
      <c r="Z51">
        <f>HYPERLINK("https://klasma.github.io/Logging_1981/klagomålsmail/A 18431-2023 FSC-klagomål mail.docx", "A 18431-2023")</f>
        <v/>
      </c>
      <c r="AA51">
        <f>HYPERLINK("https://klasma.github.io/Logging_1981/tillsyn/A 18431-2023 tillsynsbegäran.docx", "A 18431-2023")</f>
        <v/>
      </c>
      <c r="AB51">
        <f>HYPERLINK("https://klasma.github.io/Logging_1981/tillsynsmail/A 18431-2023 tillsynsbegäran mail.docx", "A 18431-2023")</f>
        <v/>
      </c>
    </row>
    <row r="52" ht="15" customHeight="1">
      <c r="A52" t="inlineStr">
        <is>
          <t>A 6351-2023</t>
        </is>
      </c>
      <c r="B52" t="inlineStr">
        <is>
          <t>avverkningsanmälan</t>
        </is>
      </c>
      <c r="C52" t="inlineStr">
        <is>
          <t>Föryngringsavverkning</t>
        </is>
      </c>
      <c r="D52" s="1" t="n">
        <v>44965</v>
      </c>
      <c r="E52" s="1" t="n">
        <v>46216</v>
      </c>
      <c r="F52" t="inlineStr">
        <is>
          <t>VÄSTMANLANDS LÄN</t>
        </is>
      </c>
      <c r="G52" t="inlineStr">
        <is>
          <t>SALA</t>
        </is>
      </c>
      <c r="H52" t="inlineStr">
        <is>
          <t>Kommuner</t>
        </is>
      </c>
      <c r="I52" t="n">
        <v>8.800000000000001</v>
      </c>
      <c r="J52" t="n">
        <v>2</v>
      </c>
      <c r="K52" t="n">
        <v>0</v>
      </c>
      <c r="L52" t="n">
        <v>0</v>
      </c>
      <c r="M52" t="n">
        <v>0</v>
      </c>
      <c r="N52" t="n">
        <v>0</v>
      </c>
      <c r="O52" t="n">
        <v>0</v>
      </c>
      <c r="P52" t="n">
        <v>0</v>
      </c>
      <c r="Q52" t="n">
        <v>0</v>
      </c>
      <c r="R52" t="n">
        <v>0</v>
      </c>
      <c r="S52" t="n">
        <v>2</v>
      </c>
      <c r="T52" t="n">
        <v>2</v>
      </c>
      <c r="U52" s="2" t="inlineStr">
        <is>
          <t>Havsörn
Skogsödla</t>
        </is>
      </c>
      <c r="V52">
        <f>HYPERLINK("https://klasma.github.io/Logging_1981/artfynd/A 6351-2023 artfynd.xlsx", "A 6351-2023")</f>
        <v/>
      </c>
      <c r="W52">
        <f>HYPERLINK("https://klasma.github.io/Logging_1981/kartor/A 6351-2023 karta.png", "A 6351-2023")</f>
        <v/>
      </c>
      <c r="Y52">
        <f>HYPERLINK("https://klasma.github.io/Logging_1981/klagomål/A 6351-2023 FSC-klagomål.docx", "A 6351-2023")</f>
        <v/>
      </c>
      <c r="Z52">
        <f>HYPERLINK("https://klasma.github.io/Logging_1981/klagomålsmail/A 6351-2023 FSC-klagomål mail.docx", "A 6351-2023")</f>
        <v/>
      </c>
      <c r="AA52">
        <f>HYPERLINK("https://klasma.github.io/Logging_1981/tillsyn/A 6351-2023 tillsynsbegäran.docx", "A 6351-2023")</f>
        <v/>
      </c>
      <c r="AB52">
        <f>HYPERLINK("https://klasma.github.io/Logging_1981/tillsynsmail/A 6351-2023 tillsynsbegäran mail.docx", "A 6351-2023")</f>
        <v/>
      </c>
      <c r="AC52">
        <f>HYPERLINK("https://klasma.github.io/Logging_1981/fåglar/A 6351-2023 prioriterade fågelarter.docx", "A 6351-2023")</f>
        <v/>
      </c>
    </row>
    <row r="53" ht="15" customHeight="1">
      <c r="A53" t="inlineStr">
        <is>
          <t>A 37624-2024</t>
        </is>
      </c>
      <c r="B53" t="inlineStr">
        <is>
          <t>avverkningsanmälan</t>
        </is>
      </c>
      <c r="C53" t="inlineStr">
        <is>
          <t>Föryngringsavverkning</t>
        </is>
      </c>
      <c r="D53" s="1" t="n">
        <v>45541</v>
      </c>
      <c r="E53" s="1" t="n">
        <v>46216</v>
      </c>
      <c r="F53" t="inlineStr">
        <is>
          <t>VÄSTMANLANDS LÄN</t>
        </is>
      </c>
      <c r="G53" t="inlineStr">
        <is>
          <t>SALA</t>
        </is>
      </c>
      <c r="I53" t="n">
        <v>0.7</v>
      </c>
      <c r="J53" t="n">
        <v>0</v>
      </c>
      <c r="K53" t="n">
        <v>2</v>
      </c>
      <c r="L53" t="n">
        <v>0</v>
      </c>
      <c r="M53" t="n">
        <v>0</v>
      </c>
      <c r="N53" t="n">
        <v>0</v>
      </c>
      <c r="O53" t="n">
        <v>0</v>
      </c>
      <c r="P53" t="n">
        <v>0</v>
      </c>
      <c r="Q53" t="n">
        <v>0</v>
      </c>
      <c r="R53" t="n">
        <v>0</v>
      </c>
      <c r="S53" t="n">
        <v>2</v>
      </c>
      <c r="T53" t="n">
        <v>2</v>
      </c>
      <c r="U53" s="2" t="inlineStr">
        <is>
          <t>Barkticka
Vedticka</t>
        </is>
      </c>
      <c r="V53">
        <f>HYPERLINK("https://klasma.github.io/Logging_1981/artfynd/A 37624-2024 artfynd.xlsx", "A 37624-2024")</f>
        <v/>
      </c>
      <c r="W53">
        <f>HYPERLINK("https://klasma.github.io/Logging_1981/kartor/A 37624-2024 karta.png", "A 37624-2024")</f>
        <v/>
      </c>
      <c r="Y53">
        <f>HYPERLINK("https://klasma.github.io/Logging_1981/klagomål/A 37624-2024 FSC-klagomål.docx", "A 37624-2024")</f>
        <v/>
      </c>
      <c r="Z53">
        <f>HYPERLINK("https://klasma.github.io/Logging_1981/klagomålsmail/A 37624-2024 FSC-klagomål mail.docx", "A 37624-2024")</f>
        <v/>
      </c>
      <c r="AA53">
        <f>HYPERLINK("https://klasma.github.io/Logging_1981/tillsyn/A 37624-2024 tillsynsbegäran.docx", "A 37624-2024")</f>
        <v/>
      </c>
      <c r="AB53">
        <f>HYPERLINK("https://klasma.github.io/Logging_1981/tillsynsmail/A 37624-2024 tillsynsbegäran mail.docx", "A 37624-2024")</f>
        <v/>
      </c>
    </row>
    <row r="54" ht="15" customHeight="1">
      <c r="A54" t="inlineStr">
        <is>
          <t>A 11846-2024</t>
        </is>
      </c>
      <c r="B54" t="inlineStr">
        <is>
          <t>avverkningsanmälan</t>
        </is>
      </c>
      <c r="C54" t="inlineStr">
        <is>
          <t>Föryngringsavverkning</t>
        </is>
      </c>
      <c r="D54" s="1" t="n">
        <v>45376</v>
      </c>
      <c r="E54" s="1" t="n">
        <v>46216</v>
      </c>
      <c r="F54" t="inlineStr">
        <is>
          <t>VÄSTMANLANDS LÄN</t>
        </is>
      </c>
      <c r="G54" t="inlineStr">
        <is>
          <t>SALA</t>
        </is>
      </c>
      <c r="I54" t="n">
        <v>8</v>
      </c>
      <c r="J54" t="n">
        <v>0</v>
      </c>
      <c r="K54" t="n">
        <v>2</v>
      </c>
      <c r="L54" t="n">
        <v>0</v>
      </c>
      <c r="M54" t="n">
        <v>0</v>
      </c>
      <c r="N54" t="n">
        <v>0</v>
      </c>
      <c r="O54" t="n">
        <v>0</v>
      </c>
      <c r="P54" t="n">
        <v>0</v>
      </c>
      <c r="Q54" t="n">
        <v>0</v>
      </c>
      <c r="R54" t="n">
        <v>0</v>
      </c>
      <c r="S54" t="n">
        <v>2</v>
      </c>
      <c r="T54" t="n">
        <v>2</v>
      </c>
      <c r="U54" s="2" t="inlineStr">
        <is>
          <t>Bronshjon
Vågbandad barkbock</t>
        </is>
      </c>
      <c r="V54">
        <f>HYPERLINK("https://klasma.github.io/Logging_1981/artfynd/A 11846-2024 artfynd.xlsx", "A 11846-2024")</f>
        <v/>
      </c>
      <c r="W54">
        <f>HYPERLINK("https://klasma.github.io/Logging_1981/kartor/A 11846-2024 karta.png", "A 11846-2024")</f>
        <v/>
      </c>
      <c r="Y54">
        <f>HYPERLINK("https://klasma.github.io/Logging_1981/klagomål/A 11846-2024 FSC-klagomål.docx", "A 11846-2024")</f>
        <v/>
      </c>
      <c r="Z54">
        <f>HYPERLINK("https://klasma.github.io/Logging_1981/klagomålsmail/A 11846-2024 FSC-klagomål mail.docx", "A 11846-2024")</f>
        <v/>
      </c>
      <c r="AA54">
        <f>HYPERLINK("https://klasma.github.io/Logging_1981/tillsyn/A 11846-2024 tillsynsbegäran.docx", "A 11846-2024")</f>
        <v/>
      </c>
      <c r="AB54">
        <f>HYPERLINK("https://klasma.github.io/Logging_1981/tillsynsmail/A 11846-2024 tillsynsbegäran mail.docx", "A 11846-2024")</f>
        <v/>
      </c>
    </row>
    <row r="55" ht="15" customHeight="1">
      <c r="A55" t="inlineStr">
        <is>
          <t>A 34494-2023</t>
        </is>
      </c>
      <c r="B55" t="inlineStr">
        <is>
          <t>avverkningsanmälan</t>
        </is>
      </c>
      <c r="C55" t="inlineStr">
        <is>
          <t>Avverkning för annat ändamål</t>
        </is>
      </c>
      <c r="D55" s="1" t="n">
        <v>45133</v>
      </c>
      <c r="E55" s="1" t="n">
        <v>46216</v>
      </c>
      <c r="F55" t="inlineStr">
        <is>
          <t>VÄSTMANLANDS LÄN</t>
        </is>
      </c>
      <c r="G55" t="inlineStr">
        <is>
          <t>SALA</t>
        </is>
      </c>
      <c r="I55" t="n">
        <v>0.8</v>
      </c>
      <c r="J55" t="n">
        <v>0</v>
      </c>
      <c r="K55" t="n">
        <v>2</v>
      </c>
      <c r="L55" t="n">
        <v>0</v>
      </c>
      <c r="M55" t="n">
        <v>0</v>
      </c>
      <c r="N55" t="n">
        <v>0</v>
      </c>
      <c r="O55" t="n">
        <v>0</v>
      </c>
      <c r="P55" t="n">
        <v>0</v>
      </c>
      <c r="Q55" t="n">
        <v>0</v>
      </c>
      <c r="R55" t="n">
        <v>0</v>
      </c>
      <c r="S55" t="n">
        <v>2</v>
      </c>
      <c r="T55" t="n">
        <v>2</v>
      </c>
      <c r="U55" s="2" t="inlineStr">
        <is>
          <t>Bronshjon
Thomsons trägnagare</t>
        </is>
      </c>
      <c r="V55">
        <f>HYPERLINK("https://klasma.github.io/Logging_1981/artfynd/A 34494-2023 artfynd.xlsx", "A 34494-2023")</f>
        <v/>
      </c>
      <c r="W55">
        <f>HYPERLINK("https://klasma.github.io/Logging_1981/kartor/A 34494-2023 karta.png", "A 34494-2023")</f>
        <v/>
      </c>
      <c r="Y55">
        <f>HYPERLINK("https://klasma.github.io/Logging_1981/klagomål/A 34494-2023 FSC-klagomål.docx", "A 34494-2023")</f>
        <v/>
      </c>
      <c r="Z55">
        <f>HYPERLINK("https://klasma.github.io/Logging_1981/klagomålsmail/A 34494-2023 FSC-klagomål mail.docx", "A 34494-2023")</f>
        <v/>
      </c>
      <c r="AA55">
        <f>HYPERLINK("https://klasma.github.io/Logging_1981/tillsyn/A 34494-2023 tillsynsbegäran.docx", "A 34494-2023")</f>
        <v/>
      </c>
      <c r="AB55">
        <f>HYPERLINK("https://klasma.github.io/Logging_1981/tillsynsmail/A 34494-2023 tillsynsbegäran mail.docx", "A 34494-2023")</f>
        <v/>
      </c>
    </row>
    <row r="56" ht="15" customHeight="1">
      <c r="A56" t="inlineStr">
        <is>
          <t>A 29017-2026</t>
        </is>
      </c>
      <c r="B56" t="inlineStr">
        <is>
          <t>avverkningsanmälan</t>
        </is>
      </c>
      <c r="C56" t="inlineStr">
        <is>
          <t>Föryngringsavverkning</t>
        </is>
      </c>
      <c r="D56" s="1" t="n">
        <v>46199</v>
      </c>
      <c r="E56" s="1" t="n">
        <v>46216</v>
      </c>
      <c r="F56" t="inlineStr">
        <is>
          <t>VÄSTMANLANDS LÄN</t>
        </is>
      </c>
      <c r="G56" t="inlineStr">
        <is>
          <t>SALA</t>
        </is>
      </c>
      <c r="I56" t="n">
        <v>3.2</v>
      </c>
      <c r="J56" t="n">
        <v>2</v>
      </c>
      <c r="K56" t="n">
        <v>0</v>
      </c>
      <c r="L56" t="n">
        <v>0</v>
      </c>
      <c r="M56" t="n">
        <v>0</v>
      </c>
      <c r="N56" t="n">
        <v>0</v>
      </c>
      <c r="O56" t="n">
        <v>0</v>
      </c>
      <c r="P56" t="n">
        <v>0</v>
      </c>
      <c r="Q56" t="n">
        <v>0</v>
      </c>
      <c r="R56" t="n">
        <v>0</v>
      </c>
      <c r="S56" t="n">
        <v>2</v>
      </c>
      <c r="T56" t="n">
        <v>3</v>
      </c>
      <c r="U56" s="2" t="inlineStr">
        <is>
          <t>Gröngöling
Svartvit flugsnappare</t>
        </is>
      </c>
      <c r="V56">
        <f>HYPERLINK("https://klasma.github.io/Logging_1981/artfynd/A 29017-2026 artfynd.xlsx", "A 29017-2026")</f>
        <v/>
      </c>
      <c r="W56">
        <f>HYPERLINK("https://klasma.github.io/Logging_1981/kartor/A 29017-2026 karta.png", "A 29017-2026")</f>
        <v/>
      </c>
      <c r="Y56">
        <f>HYPERLINK("https://klasma.github.io/Logging_1981/klagomål/A 29017-2026 FSC-klagomål.docx", "A 29017-2026")</f>
        <v/>
      </c>
      <c r="Z56">
        <f>HYPERLINK("https://klasma.github.io/Logging_1981/klagomålsmail/A 29017-2026 FSC-klagomål mail.docx", "A 29017-2026")</f>
        <v/>
      </c>
      <c r="AA56">
        <f>HYPERLINK("https://klasma.github.io/Logging_1981/tillsyn/A 29017-2026 tillsynsbegäran.docx", "A 29017-2026")</f>
        <v/>
      </c>
      <c r="AB56">
        <f>HYPERLINK("https://klasma.github.io/Logging_1981/tillsynsmail/A 29017-2026 tillsynsbegäran mail.docx", "A 29017-2026")</f>
        <v/>
      </c>
    </row>
    <row r="57" ht="15" customHeight="1">
      <c r="A57" t="inlineStr">
        <is>
          <t>A 43068-2024</t>
        </is>
      </c>
      <c r="B57" t="inlineStr">
        <is>
          <t>avverkningsanmälan</t>
        </is>
      </c>
      <c r="C57" t="inlineStr">
        <is>
          <t>Föryngringsavverkning</t>
        </is>
      </c>
      <c r="D57" s="1" t="n">
        <v>45567</v>
      </c>
      <c r="E57" s="1" t="n">
        <v>46216</v>
      </c>
      <c r="F57" t="inlineStr">
        <is>
          <t>VÄSTMANLANDS LÄN</t>
        </is>
      </c>
      <c r="G57" t="inlineStr">
        <is>
          <t>SALA</t>
        </is>
      </c>
      <c r="I57" t="n">
        <v>1.1</v>
      </c>
      <c r="J57" t="n">
        <v>0</v>
      </c>
      <c r="K57" t="n">
        <v>1</v>
      </c>
      <c r="L57" t="n">
        <v>1</v>
      </c>
      <c r="M57" t="n">
        <v>0</v>
      </c>
      <c r="N57" t="n">
        <v>0</v>
      </c>
      <c r="O57" t="n">
        <v>0</v>
      </c>
      <c r="P57" t="n">
        <v>0</v>
      </c>
      <c r="Q57" t="n">
        <v>1</v>
      </c>
      <c r="R57" t="n">
        <v>0</v>
      </c>
      <c r="S57" t="n">
        <v>2</v>
      </c>
      <c r="T57" t="n">
        <v>2</v>
      </c>
      <c r="U57" s="2" t="inlineStr">
        <is>
          <t>Skorpgelélav
Vedticka</t>
        </is>
      </c>
      <c r="V57">
        <f>HYPERLINK("https://klasma.github.io/Logging_1981/artfynd/A 43068-2024 artfynd.xlsx", "A 43068-2024")</f>
        <v/>
      </c>
      <c r="W57">
        <f>HYPERLINK("https://klasma.github.io/Logging_1981/kartor/A 43068-2024 karta.png", "A 43068-2024")</f>
        <v/>
      </c>
      <c r="Y57">
        <f>HYPERLINK("https://klasma.github.io/Logging_1981/klagomål/A 43068-2024 FSC-klagomål.docx", "A 43068-2024")</f>
        <v/>
      </c>
      <c r="Z57">
        <f>HYPERLINK("https://klasma.github.io/Logging_1981/klagomålsmail/A 43068-2024 FSC-klagomål mail.docx", "A 43068-2024")</f>
        <v/>
      </c>
      <c r="AA57">
        <f>HYPERLINK("https://klasma.github.io/Logging_1981/tillsyn/A 43068-2024 tillsynsbegäran.docx", "A 43068-2024")</f>
        <v/>
      </c>
      <c r="AB57">
        <f>HYPERLINK("https://klasma.github.io/Logging_1981/tillsynsmail/A 43068-2024 tillsynsbegäran mail.docx", "A 43068-2024")</f>
        <v/>
      </c>
    </row>
    <row r="58" ht="15" customHeight="1">
      <c r="A58" t="inlineStr">
        <is>
          <t>A 56704-2022</t>
        </is>
      </c>
      <c r="B58" t="inlineStr">
        <is>
          <t>avverkningsanmälan</t>
        </is>
      </c>
      <c r="C58" t="inlineStr">
        <is>
          <t>Föryngringsavverkning</t>
        </is>
      </c>
      <c r="D58" s="1" t="n">
        <v>44893</v>
      </c>
      <c r="E58" s="1" t="n">
        <v>46216</v>
      </c>
      <c r="F58" t="inlineStr">
        <is>
          <t>VÄSTMANLANDS LÄN</t>
        </is>
      </c>
      <c r="G58" t="inlineStr">
        <is>
          <t>SALA</t>
        </is>
      </c>
      <c r="I58" t="n">
        <v>3.2</v>
      </c>
      <c r="J58" t="n">
        <v>2</v>
      </c>
      <c r="K58" t="n">
        <v>0</v>
      </c>
      <c r="L58" t="n">
        <v>0</v>
      </c>
      <c r="M58" t="n">
        <v>1</v>
      </c>
      <c r="N58" t="n">
        <v>0</v>
      </c>
      <c r="O58" t="n">
        <v>0</v>
      </c>
      <c r="P58" t="n">
        <v>0</v>
      </c>
      <c r="Q58" t="n">
        <v>1</v>
      </c>
      <c r="R58" t="n">
        <v>1</v>
      </c>
      <c r="S58" t="n">
        <v>2</v>
      </c>
      <c r="T58" t="n">
        <v>2</v>
      </c>
      <c r="U58" s="2" t="inlineStr">
        <is>
          <t>Knärot
Fläcknycklar</t>
        </is>
      </c>
      <c r="V58">
        <f>HYPERLINK("https://klasma.github.io/Logging_1981/artfynd/A 56704-2022 artfynd.xlsx", "A 56704-2022")</f>
        <v/>
      </c>
      <c r="W58">
        <f>HYPERLINK("https://klasma.github.io/Logging_1981/kartor/A 56704-2022 karta.png", "A 56704-2022")</f>
        <v/>
      </c>
      <c r="X58">
        <f>HYPERLINK("https://klasma.github.io/Logging_1981/knärot/A 56704-2022 karta knärot.png", "A 56704-2022")</f>
        <v/>
      </c>
      <c r="Y58">
        <f>HYPERLINK("https://klasma.github.io/Logging_1981/klagomål/A 56704-2022 FSC-klagomål.docx", "A 56704-2022")</f>
        <v/>
      </c>
      <c r="Z58">
        <f>HYPERLINK("https://klasma.github.io/Logging_1981/klagomålsmail/A 56704-2022 FSC-klagomål mail.docx", "A 56704-2022")</f>
        <v/>
      </c>
      <c r="AA58">
        <f>HYPERLINK("https://klasma.github.io/Logging_1981/tillsyn/A 56704-2022 tillsynsbegäran.docx", "A 56704-2022")</f>
        <v/>
      </c>
      <c r="AB58">
        <f>HYPERLINK("https://klasma.github.io/Logging_1981/tillsynsmail/A 56704-2022 tillsynsbegäran mail.docx", "A 56704-2022")</f>
        <v/>
      </c>
    </row>
    <row r="59" ht="15" customHeight="1">
      <c r="A59" t="inlineStr">
        <is>
          <t>A 53432-2022</t>
        </is>
      </c>
      <c r="B59" t="inlineStr">
        <is>
          <t>avverkningsanmälan</t>
        </is>
      </c>
      <c r="C59" t="inlineStr">
        <is>
          <t>Föryngringsavverkning</t>
        </is>
      </c>
      <c r="D59" s="1" t="n">
        <v>44879</v>
      </c>
      <c r="E59" s="1" t="n">
        <v>46216</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s="2" t="inlineStr">
        <is>
          <t>Hässleklocka</t>
        </is>
      </c>
      <c r="V59">
        <f>HYPERLINK("https://klasma.github.io/Logging_1981/artfynd/A 53432-2022 artfynd.xlsx", "A 53432-2022")</f>
        <v/>
      </c>
      <c r="W59">
        <f>HYPERLINK("https://klasma.github.io/Logging_1981/kartor/A 53432-2022 karta.png", "A 53432-2022")</f>
        <v/>
      </c>
      <c r="Y59">
        <f>HYPERLINK("https://klasma.github.io/Logging_1981/klagomål/A 53432-2022 FSC-klagomål.docx", "A 53432-2022")</f>
        <v/>
      </c>
      <c r="Z59">
        <f>HYPERLINK("https://klasma.github.io/Logging_1981/klagomålsmail/A 53432-2022 FSC-klagomål mail.docx", "A 53432-2022")</f>
        <v/>
      </c>
      <c r="AA59">
        <f>HYPERLINK("https://klasma.github.io/Logging_1981/tillsyn/A 53432-2022 tillsynsbegäran.docx", "A 53432-2022")</f>
        <v/>
      </c>
      <c r="AB59">
        <f>HYPERLINK("https://klasma.github.io/Logging_1981/tillsynsmail/A 53432-2022 tillsynsbegäran mail.docx", "A 53432-2022")</f>
        <v/>
      </c>
    </row>
    <row r="60" ht="15" customHeight="1">
      <c r="A60" t="inlineStr">
        <is>
          <t>A 44970-2021</t>
        </is>
      </c>
      <c r="B60" t="inlineStr">
        <is>
          <t>avverkningsanmälan</t>
        </is>
      </c>
      <c r="C60" t="inlineStr">
        <is>
          <t>Föryngringsavverkning</t>
        </is>
      </c>
      <c r="D60" s="1" t="n">
        <v>44438</v>
      </c>
      <c r="E60" s="1" t="n">
        <v>46216</v>
      </c>
      <c r="F60" t="inlineStr">
        <is>
          <t>VÄSTMANLANDS LÄN</t>
        </is>
      </c>
      <c r="G60" t="inlineStr">
        <is>
          <t>SALA</t>
        </is>
      </c>
      <c r="I60" t="n">
        <v>1.2</v>
      </c>
      <c r="J60" t="n">
        <v>1</v>
      </c>
      <c r="K60" t="n">
        <v>0</v>
      </c>
      <c r="L60" t="n">
        <v>0</v>
      </c>
      <c r="M60" t="n">
        <v>0</v>
      </c>
      <c r="N60" t="n">
        <v>0</v>
      </c>
      <c r="O60" t="n">
        <v>0</v>
      </c>
      <c r="P60" t="n">
        <v>0</v>
      </c>
      <c r="Q60" t="n">
        <v>0</v>
      </c>
      <c r="R60" t="n">
        <v>0</v>
      </c>
      <c r="S60" t="n">
        <v>1</v>
      </c>
      <c r="T60" t="n">
        <v>3</v>
      </c>
      <c r="U60" s="2" t="inlineStr">
        <is>
          <t>Revlummer</t>
        </is>
      </c>
      <c r="V60">
        <f>HYPERLINK("https://klasma.github.io/Logging_1981/artfynd/A 44970-2021 artfynd.xlsx", "A 44970-2021")</f>
        <v/>
      </c>
      <c r="W60">
        <f>HYPERLINK("https://klasma.github.io/Logging_1981/kartor/A 44970-2021 karta.png", "A 44970-2021")</f>
        <v/>
      </c>
      <c r="Y60">
        <f>HYPERLINK("https://klasma.github.io/Logging_1981/klagomål/A 44970-2021 FSC-klagomål.docx", "A 44970-2021")</f>
        <v/>
      </c>
      <c r="Z60">
        <f>HYPERLINK("https://klasma.github.io/Logging_1981/klagomålsmail/A 44970-2021 FSC-klagomål mail.docx", "A 44970-2021")</f>
        <v/>
      </c>
      <c r="AA60">
        <f>HYPERLINK("https://klasma.github.io/Logging_1981/tillsyn/A 44970-2021 tillsynsbegäran.docx", "A 44970-2021")</f>
        <v/>
      </c>
      <c r="AB60">
        <f>HYPERLINK("https://klasma.github.io/Logging_1981/tillsynsmail/A 44970-2021 tillsynsbegäran mail.docx", "A 44970-2021")</f>
        <v/>
      </c>
    </row>
    <row r="61" ht="15" customHeight="1">
      <c r="A61" t="inlineStr">
        <is>
          <t>A 47701-2021</t>
        </is>
      </c>
      <c r="B61" t="inlineStr">
        <is>
          <t>avverkningsanmälan</t>
        </is>
      </c>
      <c r="C61" t="inlineStr">
        <is>
          <t>Föryngringsavverkning</t>
        </is>
      </c>
      <c r="D61" s="1" t="n">
        <v>44448</v>
      </c>
      <c r="E61" s="1" t="n">
        <v>46216</v>
      </c>
      <c r="F61" t="inlineStr">
        <is>
          <t>VÄSTMANLANDS LÄN</t>
        </is>
      </c>
      <c r="G61" t="inlineStr">
        <is>
          <t>SALA</t>
        </is>
      </c>
      <c r="I61" t="n">
        <v>2.3</v>
      </c>
      <c r="J61" t="n">
        <v>1</v>
      </c>
      <c r="K61" t="n">
        <v>0</v>
      </c>
      <c r="L61" t="n">
        <v>0</v>
      </c>
      <c r="M61" t="n">
        <v>0</v>
      </c>
      <c r="N61" t="n">
        <v>0</v>
      </c>
      <c r="O61" t="n">
        <v>0</v>
      </c>
      <c r="P61" t="n">
        <v>0</v>
      </c>
      <c r="Q61" t="n">
        <v>0</v>
      </c>
      <c r="R61" t="n">
        <v>0</v>
      </c>
      <c r="S61" t="n">
        <v>1</v>
      </c>
      <c r="T61" t="n">
        <v>1</v>
      </c>
      <c r="U61" s="2" t="inlineStr">
        <is>
          <t>Spillkråka</t>
        </is>
      </c>
      <c r="V61">
        <f>HYPERLINK("https://klasma.github.io/Logging_1981/artfynd/A 47701-2021 artfynd.xlsx", "A 47701-2021")</f>
        <v/>
      </c>
      <c r="W61">
        <f>HYPERLINK("https://klasma.github.io/Logging_1981/kartor/A 47701-2021 karta.png", "A 47701-2021")</f>
        <v/>
      </c>
      <c r="Y61">
        <f>HYPERLINK("https://klasma.github.io/Logging_1981/klagomål/A 47701-2021 FSC-klagomål.docx", "A 47701-2021")</f>
        <v/>
      </c>
      <c r="Z61">
        <f>HYPERLINK("https://klasma.github.io/Logging_1981/klagomålsmail/A 47701-2021 FSC-klagomål mail.docx", "A 47701-2021")</f>
        <v/>
      </c>
      <c r="AA61">
        <f>HYPERLINK("https://klasma.github.io/Logging_1981/tillsyn/A 47701-2021 tillsynsbegäran.docx", "A 47701-2021")</f>
        <v/>
      </c>
      <c r="AB61">
        <f>HYPERLINK("https://klasma.github.io/Logging_1981/tillsynsmail/A 47701-2021 tillsynsbegäran mail.docx", "A 47701-2021")</f>
        <v/>
      </c>
      <c r="AC61">
        <f>HYPERLINK("https://klasma.github.io/Logging_1981/fåglar/A 47701-2021 prioriterade fågelarter.docx", "A 47701-2021")</f>
        <v/>
      </c>
    </row>
    <row r="62" ht="15" customHeight="1">
      <c r="A62" t="inlineStr">
        <is>
          <t>A 8130-2022</t>
        </is>
      </c>
      <c r="B62" t="inlineStr">
        <is>
          <t>avverkningsanmälan</t>
        </is>
      </c>
      <c r="C62" t="inlineStr">
        <is>
          <t>Föryngringsavverkning</t>
        </is>
      </c>
      <c r="D62" s="1" t="n">
        <v>44609</v>
      </c>
      <c r="E62" s="1" t="n">
        <v>46216</v>
      </c>
      <c r="F62" t="inlineStr">
        <is>
          <t>VÄSTMANLANDS LÄN</t>
        </is>
      </c>
      <c r="G62" t="inlineStr">
        <is>
          <t>SALA</t>
        </is>
      </c>
      <c r="I62" t="n">
        <v>3.5</v>
      </c>
      <c r="J62" t="n">
        <v>0</v>
      </c>
      <c r="K62" t="n">
        <v>0</v>
      </c>
      <c r="L62" t="n">
        <v>1</v>
      </c>
      <c r="M62" t="n">
        <v>0</v>
      </c>
      <c r="N62" t="n">
        <v>0</v>
      </c>
      <c r="O62" t="n">
        <v>0</v>
      </c>
      <c r="P62" t="n">
        <v>0</v>
      </c>
      <c r="Q62" t="n">
        <v>1</v>
      </c>
      <c r="R62" t="n">
        <v>0</v>
      </c>
      <c r="S62" t="n">
        <v>1</v>
      </c>
      <c r="T62" t="n">
        <v>1</v>
      </c>
      <c r="U62" s="2" t="inlineStr">
        <is>
          <t>Ullticka</t>
        </is>
      </c>
      <c r="V62">
        <f>HYPERLINK("https://klasma.github.io/Logging_1981/artfynd/A 8130-2022 artfynd.xlsx", "A 8130-2022")</f>
        <v/>
      </c>
      <c r="W62">
        <f>HYPERLINK("https://klasma.github.io/Logging_1981/kartor/A 8130-2022 karta.png", "A 8130-2022")</f>
        <v/>
      </c>
      <c r="Y62">
        <f>HYPERLINK("https://klasma.github.io/Logging_1981/klagomål/A 8130-2022 FSC-klagomål.docx", "A 8130-2022")</f>
        <v/>
      </c>
      <c r="Z62">
        <f>HYPERLINK("https://klasma.github.io/Logging_1981/klagomålsmail/A 8130-2022 FSC-klagomål mail.docx", "A 8130-2022")</f>
        <v/>
      </c>
      <c r="AA62">
        <f>HYPERLINK("https://klasma.github.io/Logging_1981/tillsyn/A 8130-2022 tillsynsbegäran.docx", "A 8130-2022")</f>
        <v/>
      </c>
      <c r="AB62">
        <f>HYPERLINK("https://klasma.github.io/Logging_1981/tillsynsmail/A 8130-2022 tillsynsbegäran mail.docx", "A 8130-2022")</f>
        <v/>
      </c>
    </row>
    <row r="63" ht="15" customHeight="1">
      <c r="A63" t="inlineStr">
        <is>
          <t>A 43705-2022</t>
        </is>
      </c>
      <c r="B63" t="inlineStr">
        <is>
          <t>avverkningsanmälan</t>
        </is>
      </c>
      <c r="C63" t="inlineStr">
        <is>
          <t>Föryngringsavverkning</t>
        </is>
      </c>
      <c r="D63" s="1" t="n">
        <v>44837</v>
      </c>
      <c r="E63" s="1" t="n">
        <v>46216</v>
      </c>
      <c r="F63" t="inlineStr">
        <is>
          <t>VÄSTMANLANDS LÄN</t>
        </is>
      </c>
      <c r="G63" t="inlineStr">
        <is>
          <t>SALA</t>
        </is>
      </c>
      <c r="I63" t="n">
        <v>2.9</v>
      </c>
      <c r="J63" t="n">
        <v>1</v>
      </c>
      <c r="K63" t="n">
        <v>0</v>
      </c>
      <c r="L63" t="n">
        <v>0</v>
      </c>
      <c r="M63" t="n">
        <v>1</v>
      </c>
      <c r="N63" t="n">
        <v>0</v>
      </c>
      <c r="O63" t="n">
        <v>0</v>
      </c>
      <c r="P63" t="n">
        <v>0</v>
      </c>
      <c r="Q63" t="n">
        <v>1</v>
      </c>
      <c r="R63" t="n">
        <v>1</v>
      </c>
      <c r="S63" t="n">
        <v>1</v>
      </c>
      <c r="T63" t="n">
        <v>7</v>
      </c>
      <c r="U63" s="2" t="inlineStr">
        <is>
          <t>Knärot</t>
        </is>
      </c>
      <c r="V63">
        <f>HYPERLINK("https://klasma.github.io/Logging_1981/artfynd/A 43705-2022 artfynd.xlsx", "A 43705-2022")</f>
        <v/>
      </c>
      <c r="W63">
        <f>HYPERLINK("https://klasma.github.io/Logging_1981/kartor/A 43705-2022 karta.png", "A 43705-2022")</f>
        <v/>
      </c>
      <c r="X63">
        <f>HYPERLINK("https://klasma.github.io/Logging_1981/knärot/A 43705-2022 karta knärot.png", "A 43705-2022")</f>
        <v/>
      </c>
      <c r="Y63">
        <f>HYPERLINK("https://klasma.github.io/Logging_1981/klagomål/A 43705-2022 FSC-klagomål.docx", "A 43705-2022")</f>
        <v/>
      </c>
      <c r="Z63">
        <f>HYPERLINK("https://klasma.github.io/Logging_1981/klagomålsmail/A 43705-2022 FSC-klagomål mail.docx", "A 43705-2022")</f>
        <v/>
      </c>
      <c r="AA63">
        <f>HYPERLINK("https://klasma.github.io/Logging_1981/tillsyn/A 43705-2022 tillsynsbegäran.docx", "A 43705-2022")</f>
        <v/>
      </c>
      <c r="AB63">
        <f>HYPERLINK("https://klasma.github.io/Logging_1981/tillsynsmail/A 43705-2022 tillsynsbegäran mail.docx", "A 43705-2022")</f>
        <v/>
      </c>
    </row>
    <row r="64" ht="15" customHeight="1">
      <c r="A64" t="inlineStr">
        <is>
          <t>A 11370-2022</t>
        </is>
      </c>
      <c r="B64" t="inlineStr">
        <is>
          <t>avverkningsanmälan</t>
        </is>
      </c>
      <c r="C64" t="inlineStr">
        <is>
          <t>Föryngringsavverkning</t>
        </is>
      </c>
      <c r="D64" s="1" t="n">
        <v>44630</v>
      </c>
      <c r="E64" s="1" t="n">
        <v>46216</v>
      </c>
      <c r="F64" t="inlineStr">
        <is>
          <t>VÄSTMANLANDS LÄN</t>
        </is>
      </c>
      <c r="G64" t="inlineStr">
        <is>
          <t>SALA</t>
        </is>
      </c>
      <c r="I64" t="n">
        <v>4.3</v>
      </c>
      <c r="J64" t="n">
        <v>0</v>
      </c>
      <c r="K64" t="n">
        <v>0</v>
      </c>
      <c r="L64" t="n">
        <v>0</v>
      </c>
      <c r="M64" t="n">
        <v>0</v>
      </c>
      <c r="N64" t="n">
        <v>1</v>
      </c>
      <c r="O64" t="n">
        <v>0</v>
      </c>
      <c r="P64" t="n">
        <v>0</v>
      </c>
      <c r="Q64" t="n">
        <v>1</v>
      </c>
      <c r="R64" t="n">
        <v>1</v>
      </c>
      <c r="S64" t="n">
        <v>1</v>
      </c>
      <c r="T64" t="n">
        <v>1</v>
      </c>
      <c r="U64" s="2" t="inlineStr">
        <is>
          <t>Skogsalm</t>
        </is>
      </c>
      <c r="V64">
        <f>HYPERLINK("https://klasma.github.io/Logging_1981/artfynd/A 11370-2022 artfynd.xlsx", "A 11370-2022")</f>
        <v/>
      </c>
      <c r="W64">
        <f>HYPERLINK("https://klasma.github.io/Logging_1981/kartor/A 11370-2022 karta.png", "A 11370-2022")</f>
        <v/>
      </c>
      <c r="Y64">
        <f>HYPERLINK("https://klasma.github.io/Logging_1981/klagomål/A 11370-2022 FSC-klagomål.docx", "A 11370-2022")</f>
        <v/>
      </c>
      <c r="Z64">
        <f>HYPERLINK("https://klasma.github.io/Logging_1981/klagomålsmail/A 11370-2022 FSC-klagomål mail.docx", "A 11370-2022")</f>
        <v/>
      </c>
      <c r="AA64">
        <f>HYPERLINK("https://klasma.github.io/Logging_1981/tillsyn/A 11370-2022 tillsynsbegäran.docx", "A 11370-2022")</f>
        <v/>
      </c>
      <c r="AB64">
        <f>HYPERLINK("https://klasma.github.io/Logging_1981/tillsynsmail/A 11370-2022 tillsynsbegäran mail.docx", "A 11370-2022")</f>
        <v/>
      </c>
    </row>
    <row r="65" ht="15" customHeight="1">
      <c r="A65" t="inlineStr">
        <is>
          <t>A 40113-2022</t>
        </is>
      </c>
      <c r="B65" t="inlineStr">
        <is>
          <t>avverkningsanmälan</t>
        </is>
      </c>
      <c r="C65" t="inlineStr">
        <is>
          <t>Föryngringsavverkning</t>
        </is>
      </c>
      <c r="D65" s="1" t="n">
        <v>44819</v>
      </c>
      <c r="E65" s="1" t="n">
        <v>46216</v>
      </c>
      <c r="F65" t="inlineStr">
        <is>
          <t>VÄSTMANLANDS LÄN</t>
        </is>
      </c>
      <c r="G65" t="inlineStr">
        <is>
          <t>SALA</t>
        </is>
      </c>
      <c r="I65" t="n">
        <v>0.9</v>
      </c>
      <c r="J65" t="n">
        <v>1</v>
      </c>
      <c r="K65" t="n">
        <v>0</v>
      </c>
      <c r="L65" t="n">
        <v>0</v>
      </c>
      <c r="M65" t="n">
        <v>0</v>
      </c>
      <c r="N65" t="n">
        <v>0</v>
      </c>
      <c r="O65" t="n">
        <v>0</v>
      </c>
      <c r="P65" t="n">
        <v>0</v>
      </c>
      <c r="Q65" t="n">
        <v>0</v>
      </c>
      <c r="R65" t="n">
        <v>0</v>
      </c>
      <c r="S65" t="n">
        <v>1</v>
      </c>
      <c r="T65" t="n">
        <v>1</v>
      </c>
      <c r="U65" s="2" t="inlineStr">
        <is>
          <t>Revlummer</t>
        </is>
      </c>
      <c r="V65">
        <f>HYPERLINK("https://klasma.github.io/Logging_1981/artfynd/A 40113-2022 artfynd.xlsx", "A 40113-2022")</f>
        <v/>
      </c>
      <c r="W65">
        <f>HYPERLINK("https://klasma.github.io/Logging_1981/kartor/A 40113-2022 karta.png", "A 40113-2022")</f>
        <v/>
      </c>
      <c r="Y65">
        <f>HYPERLINK("https://klasma.github.io/Logging_1981/klagomål/A 40113-2022 FSC-klagomål.docx", "A 40113-2022")</f>
        <v/>
      </c>
      <c r="Z65">
        <f>HYPERLINK("https://klasma.github.io/Logging_1981/klagomålsmail/A 40113-2022 FSC-klagomål mail.docx", "A 40113-2022")</f>
        <v/>
      </c>
      <c r="AA65">
        <f>HYPERLINK("https://klasma.github.io/Logging_1981/tillsyn/A 40113-2022 tillsynsbegäran.docx", "A 40113-2022")</f>
        <v/>
      </c>
      <c r="AB65">
        <f>HYPERLINK("https://klasma.github.io/Logging_1981/tillsynsmail/A 40113-2022 tillsynsbegäran mail.docx", "A 40113-2022")</f>
        <v/>
      </c>
    </row>
    <row r="66" ht="15" customHeight="1">
      <c r="A66" t="inlineStr">
        <is>
          <t>A 12246-2023</t>
        </is>
      </c>
      <c r="B66" t="inlineStr">
        <is>
          <t>avverkningsanmälan</t>
        </is>
      </c>
      <c r="C66" t="inlineStr">
        <is>
          <t>Föryngringsavverkning</t>
        </is>
      </c>
      <c r="D66" s="1" t="n">
        <v>44995</v>
      </c>
      <c r="E66" s="1" t="n">
        <v>46216</v>
      </c>
      <c r="F66" t="inlineStr">
        <is>
          <t>VÄSTMANLANDS LÄN</t>
        </is>
      </c>
      <c r="G66" t="inlineStr">
        <is>
          <t>SALA</t>
        </is>
      </c>
      <c r="I66" t="n">
        <v>2.4</v>
      </c>
      <c r="J66" t="n">
        <v>1</v>
      </c>
      <c r="K66" t="n">
        <v>0</v>
      </c>
      <c r="L66" t="n">
        <v>0</v>
      </c>
      <c r="M66" t="n">
        <v>0</v>
      </c>
      <c r="N66" t="n">
        <v>0</v>
      </c>
      <c r="O66" t="n">
        <v>0</v>
      </c>
      <c r="P66" t="n">
        <v>0</v>
      </c>
      <c r="Q66" t="n">
        <v>0</v>
      </c>
      <c r="R66" t="n">
        <v>0</v>
      </c>
      <c r="S66" t="n">
        <v>1</v>
      </c>
      <c r="T66" t="n">
        <v>1</v>
      </c>
      <c r="U66" s="2" t="inlineStr">
        <is>
          <t>Trana</t>
        </is>
      </c>
      <c r="V66">
        <f>HYPERLINK("https://klasma.github.io/Logging_1981/artfynd/A 12246-2023 artfynd.xlsx", "A 12246-2023")</f>
        <v/>
      </c>
      <c r="W66">
        <f>HYPERLINK("https://klasma.github.io/Logging_1981/kartor/A 12246-2023 karta.png", "A 12246-2023")</f>
        <v/>
      </c>
      <c r="Y66">
        <f>HYPERLINK("https://klasma.github.io/Logging_1981/klagomål/A 12246-2023 FSC-klagomål.docx", "A 12246-2023")</f>
        <v/>
      </c>
      <c r="Z66">
        <f>HYPERLINK("https://klasma.github.io/Logging_1981/klagomålsmail/A 12246-2023 FSC-klagomål mail.docx", "A 12246-2023")</f>
        <v/>
      </c>
      <c r="AA66">
        <f>HYPERLINK("https://klasma.github.io/Logging_1981/tillsyn/A 12246-2023 tillsynsbegäran.docx", "A 12246-2023")</f>
        <v/>
      </c>
      <c r="AB66">
        <f>HYPERLINK("https://klasma.github.io/Logging_1981/tillsynsmail/A 12246-2023 tillsynsbegäran mail.docx", "A 12246-2023")</f>
        <v/>
      </c>
      <c r="AC66">
        <f>HYPERLINK("https://klasma.github.io/Logging_1981/fåglar/A 12246-2023 prioriterade fågelarter.docx", "A 12246-2023")</f>
        <v/>
      </c>
    </row>
    <row r="67" ht="15" customHeight="1">
      <c r="A67" t="inlineStr">
        <is>
          <t>A 24910-2025</t>
        </is>
      </c>
      <c r="B67" t="inlineStr">
        <is>
          <t>avverkningsanmälan</t>
        </is>
      </c>
      <c r="C67" t="inlineStr">
        <is>
          <t>Föryngringsavverkning</t>
        </is>
      </c>
      <c r="D67" s="1" t="n">
        <v>45799</v>
      </c>
      <c r="E67" s="1" t="n">
        <v>46216</v>
      </c>
      <c r="F67" t="inlineStr">
        <is>
          <t>VÄSTMANLANDS LÄN</t>
        </is>
      </c>
      <c r="G67" t="inlineStr">
        <is>
          <t>SALA</t>
        </is>
      </c>
      <c r="I67" t="n">
        <v>3.5</v>
      </c>
      <c r="J67" t="n">
        <v>0</v>
      </c>
      <c r="K67" t="n">
        <v>0</v>
      </c>
      <c r="L67" t="n">
        <v>1</v>
      </c>
      <c r="M67" t="n">
        <v>0</v>
      </c>
      <c r="N67" t="n">
        <v>0</v>
      </c>
      <c r="O67" t="n">
        <v>0</v>
      </c>
      <c r="P67" t="n">
        <v>0</v>
      </c>
      <c r="Q67" t="n">
        <v>1</v>
      </c>
      <c r="R67" t="n">
        <v>0</v>
      </c>
      <c r="S67" t="n">
        <v>1</v>
      </c>
      <c r="T67" t="n">
        <v>1</v>
      </c>
      <c r="U67" s="2" t="inlineStr">
        <is>
          <t>Motaggsvamp</t>
        </is>
      </c>
      <c r="V67">
        <f>HYPERLINK("https://klasma.github.io/Logging_1981/artfynd/A 24910-2025 artfynd.xlsx", "A 24910-2025")</f>
        <v/>
      </c>
      <c r="W67">
        <f>HYPERLINK("https://klasma.github.io/Logging_1981/kartor/A 24910-2025 karta.png", "A 24910-2025")</f>
        <v/>
      </c>
      <c r="Y67">
        <f>HYPERLINK("https://klasma.github.io/Logging_1981/klagomål/A 24910-2025 FSC-klagomål.docx", "A 24910-2025")</f>
        <v/>
      </c>
      <c r="Z67">
        <f>HYPERLINK("https://klasma.github.io/Logging_1981/klagomålsmail/A 24910-2025 FSC-klagomål mail.docx", "A 24910-2025")</f>
        <v/>
      </c>
      <c r="AA67">
        <f>HYPERLINK("https://klasma.github.io/Logging_1981/tillsyn/A 24910-2025 tillsynsbegäran.docx", "A 24910-2025")</f>
        <v/>
      </c>
      <c r="AB67">
        <f>HYPERLINK("https://klasma.github.io/Logging_1981/tillsynsmail/A 24910-2025 tillsynsbegäran mail.docx", "A 24910-2025")</f>
        <v/>
      </c>
    </row>
    <row r="68" ht="15" customHeight="1">
      <c r="A68" t="inlineStr">
        <is>
          <t>A 10909-2024</t>
        </is>
      </c>
      <c r="B68" t="inlineStr">
        <is>
          <t>avverkningsanmälan</t>
        </is>
      </c>
      <c r="C68" t="inlineStr">
        <is>
          <t>Föryngringsavverkning</t>
        </is>
      </c>
      <c r="D68" s="1" t="n">
        <v>45370</v>
      </c>
      <c r="E68" s="1" t="n">
        <v>46216</v>
      </c>
      <c r="F68" t="inlineStr">
        <is>
          <t>VÄSTMANLANDS LÄN</t>
        </is>
      </c>
      <c r="G68" t="inlineStr">
        <is>
          <t>SALA</t>
        </is>
      </c>
      <c r="I68" t="n">
        <v>3.3</v>
      </c>
      <c r="J68" t="n">
        <v>1</v>
      </c>
      <c r="K68" t="n">
        <v>0</v>
      </c>
      <c r="L68" t="n">
        <v>0</v>
      </c>
      <c r="M68" t="n">
        <v>0</v>
      </c>
      <c r="N68" t="n">
        <v>1</v>
      </c>
      <c r="O68" t="n">
        <v>0</v>
      </c>
      <c r="P68" t="n">
        <v>0</v>
      </c>
      <c r="Q68" t="n">
        <v>1</v>
      </c>
      <c r="R68" t="n">
        <v>1</v>
      </c>
      <c r="S68" t="n">
        <v>1</v>
      </c>
      <c r="T68" t="n">
        <v>2</v>
      </c>
      <c r="U68" s="2" t="inlineStr">
        <is>
          <t>Mosippa</t>
        </is>
      </c>
      <c r="V68">
        <f>HYPERLINK("https://klasma.github.io/Logging_1981/artfynd/A 10909-2024 artfynd.xlsx", "A 10909-2024")</f>
        <v/>
      </c>
      <c r="W68">
        <f>HYPERLINK("https://klasma.github.io/Logging_1981/kartor/A 10909-2024 karta.png", "A 10909-2024")</f>
        <v/>
      </c>
      <c r="Y68">
        <f>HYPERLINK("https://klasma.github.io/Logging_1981/klagomål/A 10909-2024 FSC-klagomål.docx", "A 10909-2024")</f>
        <v/>
      </c>
      <c r="Z68">
        <f>HYPERLINK("https://klasma.github.io/Logging_1981/klagomålsmail/A 10909-2024 FSC-klagomål mail.docx", "A 10909-2024")</f>
        <v/>
      </c>
      <c r="AA68">
        <f>HYPERLINK("https://klasma.github.io/Logging_1981/tillsyn/A 10909-2024 tillsynsbegäran.docx", "A 10909-2024")</f>
        <v/>
      </c>
      <c r="AB68">
        <f>HYPERLINK("https://klasma.github.io/Logging_1981/tillsynsmail/A 10909-2024 tillsynsbegäran mail.docx", "A 10909-2024")</f>
        <v/>
      </c>
    </row>
    <row r="69" ht="15" customHeight="1">
      <c r="A69" t="inlineStr">
        <is>
          <t>A 25748-2022</t>
        </is>
      </c>
      <c r="B69" t="inlineStr">
        <is>
          <t>avverkningsanmälan</t>
        </is>
      </c>
      <c r="C69" t="inlineStr">
        <is>
          <t>Föryngringsavverkning</t>
        </is>
      </c>
      <c r="D69" s="1" t="n">
        <v>44732</v>
      </c>
      <c r="E69" s="1" t="n">
        <v>46216</v>
      </c>
      <c r="F69" t="inlineStr">
        <is>
          <t>VÄSTMANLANDS LÄN</t>
        </is>
      </c>
      <c r="G69" t="inlineStr">
        <is>
          <t>SALA</t>
        </is>
      </c>
      <c r="I69" t="n">
        <v>7.7</v>
      </c>
      <c r="J69" t="n">
        <v>1</v>
      </c>
      <c r="K69" t="n">
        <v>0</v>
      </c>
      <c r="L69" t="n">
        <v>0</v>
      </c>
      <c r="M69" t="n">
        <v>0</v>
      </c>
      <c r="N69" t="n">
        <v>0</v>
      </c>
      <c r="O69" t="n">
        <v>0</v>
      </c>
      <c r="P69" t="n">
        <v>0</v>
      </c>
      <c r="Q69" t="n">
        <v>0</v>
      </c>
      <c r="R69" t="n">
        <v>0</v>
      </c>
      <c r="S69" t="n">
        <v>1</v>
      </c>
      <c r="T69" t="n">
        <v>1</v>
      </c>
      <c r="U69" s="2" t="inlineStr">
        <is>
          <t>Kungsfågel</t>
        </is>
      </c>
      <c r="V69">
        <f>HYPERLINK("https://klasma.github.io/Logging_1981/artfynd/A 25748-2022 artfynd.xlsx", "A 25748-2022")</f>
        <v/>
      </c>
      <c r="W69">
        <f>HYPERLINK("https://klasma.github.io/Logging_1981/kartor/A 25748-2022 karta.png", "A 25748-2022")</f>
        <v/>
      </c>
      <c r="Y69">
        <f>HYPERLINK("https://klasma.github.io/Logging_1981/klagomål/A 25748-2022 FSC-klagomål.docx", "A 25748-2022")</f>
        <v/>
      </c>
      <c r="Z69">
        <f>HYPERLINK("https://klasma.github.io/Logging_1981/klagomålsmail/A 25748-2022 FSC-klagomål mail.docx", "A 25748-2022")</f>
        <v/>
      </c>
      <c r="AA69">
        <f>HYPERLINK("https://klasma.github.io/Logging_1981/tillsyn/A 25748-2022 tillsynsbegäran.docx", "A 25748-2022")</f>
        <v/>
      </c>
      <c r="AB69">
        <f>HYPERLINK("https://klasma.github.io/Logging_1981/tillsynsmail/A 25748-2022 tillsynsbegäran mail.docx", "A 25748-2022")</f>
        <v/>
      </c>
    </row>
    <row r="70" ht="15" customHeight="1">
      <c r="A70" t="inlineStr">
        <is>
          <t>A 3810-2023</t>
        </is>
      </c>
      <c r="B70" t="inlineStr">
        <is>
          <t>avverkningsanmälan</t>
        </is>
      </c>
      <c r="C70" t="inlineStr">
        <is>
          <t>Föryngringsavverkning</t>
        </is>
      </c>
      <c r="D70" s="1" t="n">
        <v>44951</v>
      </c>
      <c r="E70" s="1" t="n">
        <v>46216</v>
      </c>
      <c r="F70" t="inlineStr">
        <is>
          <t>VÄSTMANLANDS LÄN</t>
        </is>
      </c>
      <c r="G70" t="inlineStr">
        <is>
          <t>SALA</t>
        </is>
      </c>
      <c r="I70" t="n">
        <v>4.2</v>
      </c>
      <c r="J70" t="n">
        <v>0</v>
      </c>
      <c r="K70" t="n">
        <v>0</v>
      </c>
      <c r="L70" t="n">
        <v>0</v>
      </c>
      <c r="M70" t="n">
        <v>0</v>
      </c>
      <c r="N70" t="n">
        <v>0</v>
      </c>
      <c r="O70" t="n">
        <v>0</v>
      </c>
      <c r="P70" t="n">
        <v>0</v>
      </c>
      <c r="Q70" t="n">
        <v>0</v>
      </c>
      <c r="R70" t="n">
        <v>0</v>
      </c>
      <c r="S70" t="n">
        <v>1</v>
      </c>
      <c r="T70" t="n">
        <v>1</v>
      </c>
      <c r="U70" s="2" t="inlineStr">
        <is>
          <t>Kärrviol</t>
        </is>
      </c>
      <c r="V70">
        <f>HYPERLINK("https://klasma.github.io/Logging_1981/artfynd/A 3810-2023 artfynd.xlsx", "A 3810-2023")</f>
        <v/>
      </c>
      <c r="W70">
        <f>HYPERLINK("https://klasma.github.io/Logging_1981/kartor/A 3810-2023 karta.png", "A 3810-2023")</f>
        <v/>
      </c>
      <c r="Y70">
        <f>HYPERLINK("https://klasma.github.io/Logging_1981/klagomål/A 3810-2023 FSC-klagomål.docx", "A 3810-2023")</f>
        <v/>
      </c>
      <c r="Z70">
        <f>HYPERLINK("https://klasma.github.io/Logging_1981/klagomålsmail/A 3810-2023 FSC-klagomål mail.docx", "A 3810-2023")</f>
        <v/>
      </c>
      <c r="AA70">
        <f>HYPERLINK("https://klasma.github.io/Logging_1981/tillsyn/A 3810-2023 tillsynsbegäran.docx", "A 3810-2023")</f>
        <v/>
      </c>
      <c r="AB70">
        <f>HYPERLINK("https://klasma.github.io/Logging_1981/tillsynsmail/A 3810-2023 tillsynsbegäran mail.docx", "A 3810-2023")</f>
        <v/>
      </c>
    </row>
    <row r="71" ht="15" customHeight="1">
      <c r="A71" t="inlineStr">
        <is>
          <t>A 14775-2023</t>
        </is>
      </c>
      <c r="B71" t="inlineStr">
        <is>
          <t>avverkningsanmälan</t>
        </is>
      </c>
      <c r="C71" t="inlineStr">
        <is>
          <t>Föryngringsavverkning</t>
        </is>
      </c>
      <c r="D71" s="1" t="n">
        <v>45014</v>
      </c>
      <c r="E71" s="1" t="n">
        <v>46216</v>
      </c>
      <c r="F71" t="inlineStr">
        <is>
          <t>VÄSTMANLANDS LÄN</t>
        </is>
      </c>
      <c r="G71" t="inlineStr">
        <is>
          <t>SALA</t>
        </is>
      </c>
      <c r="I71" t="n">
        <v>1.3</v>
      </c>
      <c r="J71" t="n">
        <v>1</v>
      </c>
      <c r="K71" t="n">
        <v>0</v>
      </c>
      <c r="L71" t="n">
        <v>0</v>
      </c>
      <c r="M71" t="n">
        <v>1</v>
      </c>
      <c r="N71" t="n">
        <v>0</v>
      </c>
      <c r="O71" t="n">
        <v>0</v>
      </c>
      <c r="P71" t="n">
        <v>0</v>
      </c>
      <c r="Q71" t="n">
        <v>1</v>
      </c>
      <c r="R71" t="n">
        <v>1</v>
      </c>
      <c r="S71" t="n">
        <v>1</v>
      </c>
      <c r="T71" t="n">
        <v>1</v>
      </c>
      <c r="U71" s="2" t="inlineStr">
        <is>
          <t>Knärot</t>
        </is>
      </c>
      <c r="V71">
        <f>HYPERLINK("https://klasma.github.io/Logging_1981/artfynd/A 14775-2023 artfynd.xlsx", "A 14775-2023")</f>
        <v/>
      </c>
      <c r="W71">
        <f>HYPERLINK("https://klasma.github.io/Logging_1981/kartor/A 14775-2023 karta.png", "A 14775-2023")</f>
        <v/>
      </c>
      <c r="X71">
        <f>HYPERLINK("https://klasma.github.io/Logging_1981/knärot/A 14775-2023 karta knärot.png", "A 14775-2023")</f>
        <v/>
      </c>
      <c r="Y71">
        <f>HYPERLINK("https://klasma.github.io/Logging_1981/klagomål/A 14775-2023 FSC-klagomål.docx", "A 14775-2023")</f>
        <v/>
      </c>
      <c r="Z71">
        <f>HYPERLINK("https://klasma.github.io/Logging_1981/klagomålsmail/A 14775-2023 FSC-klagomål mail.docx", "A 14775-2023")</f>
        <v/>
      </c>
      <c r="AA71">
        <f>HYPERLINK("https://klasma.github.io/Logging_1981/tillsyn/A 14775-2023 tillsynsbegäran.docx", "A 14775-2023")</f>
        <v/>
      </c>
      <c r="AB71">
        <f>HYPERLINK("https://klasma.github.io/Logging_1981/tillsynsmail/A 14775-2023 tillsynsbegäran mail.docx", "A 14775-2023")</f>
        <v/>
      </c>
    </row>
    <row r="72" ht="15" customHeight="1">
      <c r="A72" t="inlineStr">
        <is>
          <t>A 37593-2025</t>
        </is>
      </c>
      <c r="B72" t="inlineStr">
        <is>
          <t>avverkningsanmälan</t>
        </is>
      </c>
      <c r="C72" t="inlineStr">
        <is>
          <t>Föryngringsavverkning</t>
        </is>
      </c>
      <c r="D72" s="1" t="n">
        <v>45880</v>
      </c>
      <c r="E72" s="1" t="n">
        <v>46216</v>
      </c>
      <c r="F72" t="inlineStr">
        <is>
          <t>VÄSTMANLANDS LÄN</t>
        </is>
      </c>
      <c r="G72" t="inlineStr">
        <is>
          <t>SALA</t>
        </is>
      </c>
      <c r="I72" t="n">
        <v>1.4</v>
      </c>
      <c r="J72" t="n">
        <v>1</v>
      </c>
      <c r="K72" t="n">
        <v>0</v>
      </c>
      <c r="L72" t="n">
        <v>0</v>
      </c>
      <c r="M72" t="n">
        <v>0</v>
      </c>
      <c r="N72" t="n">
        <v>0</v>
      </c>
      <c r="O72" t="n">
        <v>0</v>
      </c>
      <c r="P72" t="n">
        <v>0</v>
      </c>
      <c r="Q72" t="n">
        <v>0</v>
      </c>
      <c r="R72" t="n">
        <v>0</v>
      </c>
      <c r="S72" t="n">
        <v>1</v>
      </c>
      <c r="T72" t="n">
        <v>1</v>
      </c>
      <c r="U72" s="2" t="inlineStr">
        <is>
          <t>Fläcknycklar</t>
        </is>
      </c>
      <c r="V72">
        <f>HYPERLINK("https://klasma.github.io/Logging_1981/artfynd/A 37593-2025 artfynd.xlsx", "A 37593-2025")</f>
        <v/>
      </c>
      <c r="W72">
        <f>HYPERLINK("https://klasma.github.io/Logging_1981/kartor/A 37593-2025 karta.png", "A 37593-2025")</f>
        <v/>
      </c>
      <c r="Y72">
        <f>HYPERLINK("https://klasma.github.io/Logging_1981/klagomål/A 37593-2025 FSC-klagomål.docx", "A 37593-2025")</f>
        <v/>
      </c>
      <c r="Z72">
        <f>HYPERLINK("https://klasma.github.io/Logging_1981/klagomålsmail/A 37593-2025 FSC-klagomål mail.docx", "A 37593-2025")</f>
        <v/>
      </c>
      <c r="AA72">
        <f>HYPERLINK("https://klasma.github.io/Logging_1981/tillsyn/A 37593-2025 tillsynsbegäran.docx", "A 37593-2025")</f>
        <v/>
      </c>
      <c r="AB72">
        <f>HYPERLINK("https://klasma.github.io/Logging_1981/tillsynsmail/A 37593-2025 tillsynsbegäran mail.docx", "A 37593-2025")</f>
        <v/>
      </c>
    </row>
    <row r="73" ht="15" customHeight="1">
      <c r="A73" t="inlineStr">
        <is>
          <t>A 50249-2025</t>
        </is>
      </c>
      <c r="B73" t="inlineStr">
        <is>
          <t>avverkningsanmälan</t>
        </is>
      </c>
      <c r="C73" t="inlineStr">
        <is>
          <t>Föryngringsavverkning</t>
        </is>
      </c>
      <c r="D73" s="1" t="n">
        <v>45944</v>
      </c>
      <c r="E73" s="1" t="n">
        <v>46216</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s="2" t="inlineStr">
        <is>
          <t>Revlummer</t>
        </is>
      </c>
      <c r="V73">
        <f>HYPERLINK("https://klasma.github.io/Logging_1981/artfynd/A 50249-2025 artfynd.xlsx", "A 50249-2025")</f>
        <v/>
      </c>
      <c r="W73">
        <f>HYPERLINK("https://klasma.github.io/Logging_1981/kartor/A 50249-2025 karta.png", "A 50249-2025")</f>
        <v/>
      </c>
      <c r="Y73">
        <f>HYPERLINK("https://klasma.github.io/Logging_1981/klagomål/A 50249-2025 FSC-klagomål.docx", "A 50249-2025")</f>
        <v/>
      </c>
      <c r="Z73">
        <f>HYPERLINK("https://klasma.github.io/Logging_1981/klagomålsmail/A 50249-2025 FSC-klagomål mail.docx", "A 50249-2025")</f>
        <v/>
      </c>
      <c r="AA73">
        <f>HYPERLINK("https://klasma.github.io/Logging_1981/tillsyn/A 50249-2025 tillsynsbegäran.docx", "A 50249-2025")</f>
        <v/>
      </c>
      <c r="AB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46216</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s="2" t="inlineStr">
        <is>
          <t>Fläcknycklar</t>
        </is>
      </c>
      <c r="V74">
        <f>HYPERLINK("https://klasma.github.io/Logging_1981/artfynd/A 50268-2025 artfynd.xlsx", "A 50268-2025")</f>
        <v/>
      </c>
      <c r="W74">
        <f>HYPERLINK("https://klasma.github.io/Logging_1981/kartor/A 50268-2025 karta.png", "A 50268-2025")</f>
        <v/>
      </c>
      <c r="Y74">
        <f>HYPERLINK("https://klasma.github.io/Logging_1981/klagomål/A 50268-2025 FSC-klagomål.docx", "A 50268-2025")</f>
        <v/>
      </c>
      <c r="Z74">
        <f>HYPERLINK("https://klasma.github.io/Logging_1981/klagomålsmail/A 50268-2025 FSC-klagomål mail.docx", "A 50268-2025")</f>
        <v/>
      </c>
      <c r="AA74">
        <f>HYPERLINK("https://klasma.github.io/Logging_1981/tillsyn/A 50268-2025 tillsynsbegäran.docx", "A 50268-2025")</f>
        <v/>
      </c>
      <c r="AB74">
        <f>HYPERLINK("https://klasma.github.io/Logging_1981/tillsynsmail/A 50268-2025 tillsynsbegäran mail.docx", "A 50268-2025")</f>
        <v/>
      </c>
    </row>
    <row r="75" ht="15" customHeight="1">
      <c r="A75" t="inlineStr">
        <is>
          <t>A 38255-2025</t>
        </is>
      </c>
      <c r="B75" t="inlineStr">
        <is>
          <t>avverkningsanmälan</t>
        </is>
      </c>
      <c r="C75" t="inlineStr">
        <is>
          <t>Föryngringsavverkning</t>
        </is>
      </c>
      <c r="D75" s="1" t="n">
        <v>45883</v>
      </c>
      <c r="E75" s="1" t="n">
        <v>46216</v>
      </c>
      <c r="F75" t="inlineStr">
        <is>
          <t>VÄSTMANLANDS LÄN</t>
        </is>
      </c>
      <c r="G75" t="inlineStr">
        <is>
          <t>SALA</t>
        </is>
      </c>
      <c r="I75" t="n">
        <v>0.9</v>
      </c>
      <c r="J75" t="n">
        <v>1</v>
      </c>
      <c r="K75" t="n">
        <v>0</v>
      </c>
      <c r="L75" t="n">
        <v>0</v>
      </c>
      <c r="M75" t="n">
        <v>1</v>
      </c>
      <c r="N75" t="n">
        <v>0</v>
      </c>
      <c r="O75" t="n">
        <v>0</v>
      </c>
      <c r="P75" t="n">
        <v>0</v>
      </c>
      <c r="Q75" t="n">
        <v>1</v>
      </c>
      <c r="R75" t="n">
        <v>1</v>
      </c>
      <c r="S75" t="n">
        <v>1</v>
      </c>
      <c r="T75" t="n">
        <v>1</v>
      </c>
      <c r="U75" s="2" t="inlineStr">
        <is>
          <t>Knärot</t>
        </is>
      </c>
      <c r="V75">
        <f>HYPERLINK("https://klasma.github.io/Logging_1981/artfynd/A 38255-2025 artfynd.xlsx", "A 38255-2025")</f>
        <v/>
      </c>
      <c r="W75">
        <f>HYPERLINK("https://klasma.github.io/Logging_1981/kartor/A 38255-2025 karta.png", "A 38255-2025")</f>
        <v/>
      </c>
      <c r="X75">
        <f>HYPERLINK("https://klasma.github.io/Logging_1981/knärot/A 38255-2025 karta knärot.png", "A 38255-2025")</f>
        <v/>
      </c>
      <c r="Y75">
        <f>HYPERLINK("https://klasma.github.io/Logging_1981/klagomål/A 38255-2025 FSC-klagomål.docx", "A 38255-2025")</f>
        <v/>
      </c>
      <c r="Z75">
        <f>HYPERLINK("https://klasma.github.io/Logging_1981/klagomålsmail/A 38255-2025 FSC-klagomål mail.docx", "A 38255-2025")</f>
        <v/>
      </c>
      <c r="AA75">
        <f>HYPERLINK("https://klasma.github.io/Logging_1981/tillsyn/A 38255-2025 tillsynsbegäran.docx", "A 38255-2025")</f>
        <v/>
      </c>
      <c r="AB75">
        <f>HYPERLINK("https://klasma.github.io/Logging_1981/tillsynsmail/A 38255-2025 tillsynsbegäran mail.docx", "A 38255-2025")</f>
        <v/>
      </c>
    </row>
    <row r="76" ht="15" customHeight="1">
      <c r="A76" t="inlineStr">
        <is>
          <t>A 31859-2023</t>
        </is>
      </c>
      <c r="B76" t="inlineStr">
        <is>
          <t>avverkningsanmälan</t>
        </is>
      </c>
      <c r="C76" t="inlineStr">
        <is>
          <t>Föryngringsavverkning</t>
        </is>
      </c>
      <c r="D76" s="1" t="n">
        <v>45118</v>
      </c>
      <c r="E76" s="1" t="n">
        <v>46216</v>
      </c>
      <c r="F76" t="inlineStr">
        <is>
          <t>VÄSTMANLANDS LÄN</t>
        </is>
      </c>
      <c r="G76" t="inlineStr">
        <is>
          <t>SALA</t>
        </is>
      </c>
      <c r="I76" t="n">
        <v>0.5</v>
      </c>
      <c r="J76" t="n">
        <v>1</v>
      </c>
      <c r="K76" t="n">
        <v>0</v>
      </c>
      <c r="L76" t="n">
        <v>0</v>
      </c>
      <c r="M76" t="n">
        <v>1</v>
      </c>
      <c r="N76" t="n">
        <v>0</v>
      </c>
      <c r="O76" t="n">
        <v>0</v>
      </c>
      <c r="P76" t="n">
        <v>0</v>
      </c>
      <c r="Q76" t="n">
        <v>1</v>
      </c>
      <c r="R76" t="n">
        <v>1</v>
      </c>
      <c r="S76" t="n">
        <v>1</v>
      </c>
      <c r="T76" t="n">
        <v>1</v>
      </c>
      <c r="U76" s="2" t="inlineStr">
        <is>
          <t>Knärot</t>
        </is>
      </c>
      <c r="V76">
        <f>HYPERLINK("https://klasma.github.io/Logging_1981/artfynd/A 31859-2023 artfynd.xlsx", "A 31859-2023")</f>
        <v/>
      </c>
      <c r="W76">
        <f>HYPERLINK("https://klasma.github.io/Logging_1981/kartor/A 31859-2023 karta.png", "A 31859-2023")</f>
        <v/>
      </c>
      <c r="X76">
        <f>HYPERLINK("https://klasma.github.io/Logging_1981/knärot/A 31859-2023 karta knärot.png", "A 31859-2023")</f>
        <v/>
      </c>
      <c r="Y76">
        <f>HYPERLINK("https://klasma.github.io/Logging_1981/klagomål/A 31859-2023 FSC-klagomål.docx", "A 31859-2023")</f>
        <v/>
      </c>
      <c r="Z76">
        <f>HYPERLINK("https://klasma.github.io/Logging_1981/klagomålsmail/A 31859-2023 FSC-klagomål mail.docx", "A 31859-2023")</f>
        <v/>
      </c>
      <c r="AA76">
        <f>HYPERLINK("https://klasma.github.io/Logging_1981/tillsyn/A 31859-2023 tillsynsbegäran.docx", "A 31859-2023")</f>
        <v/>
      </c>
      <c r="AB76">
        <f>HYPERLINK("https://klasma.github.io/Logging_1981/tillsynsmail/A 31859-2023 tillsynsbegäran mail.docx", "A 31859-2023")</f>
        <v/>
      </c>
    </row>
    <row r="77" ht="15" customHeight="1">
      <c r="A77" t="inlineStr">
        <is>
          <t>A 53052-2025</t>
        </is>
      </c>
      <c r="B77" t="inlineStr">
        <is>
          <t>avverkningsanmälan</t>
        </is>
      </c>
      <c r="C77" t="inlineStr">
        <is>
          <t>Föryngringsavverkning</t>
        </is>
      </c>
      <c r="D77" s="1" t="n">
        <v>45958</v>
      </c>
      <c r="E77" s="1" t="n">
        <v>46216</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s="2" t="inlineStr">
        <is>
          <t>Motaggsvamp</t>
        </is>
      </c>
      <c r="V77">
        <f>HYPERLINK("https://klasma.github.io/Logging_1981/artfynd/A 53052-2025 artfynd.xlsx", "A 53052-2025")</f>
        <v/>
      </c>
      <c r="W77">
        <f>HYPERLINK("https://klasma.github.io/Logging_1981/kartor/A 53052-2025 karta.png", "A 53052-2025")</f>
        <v/>
      </c>
      <c r="Y77">
        <f>HYPERLINK("https://klasma.github.io/Logging_1981/klagomål/A 53052-2025 FSC-klagomål.docx", "A 53052-2025")</f>
        <v/>
      </c>
      <c r="Z77">
        <f>HYPERLINK("https://klasma.github.io/Logging_1981/klagomålsmail/A 53052-2025 FSC-klagomål mail.docx", "A 53052-2025")</f>
        <v/>
      </c>
      <c r="AA77">
        <f>HYPERLINK("https://klasma.github.io/Logging_1981/tillsyn/A 53052-2025 tillsynsbegäran.docx", "A 53052-2025")</f>
        <v/>
      </c>
      <c r="AB77">
        <f>HYPERLINK("https://klasma.github.io/Logging_1981/tillsynsmail/A 53052-2025 tillsynsbegäran mail.docx", "A 53052-2025")</f>
        <v/>
      </c>
    </row>
    <row r="78" ht="15" customHeight="1">
      <c r="A78" t="inlineStr">
        <is>
          <t>A 7672-2026</t>
        </is>
      </c>
      <c r="B78" t="inlineStr">
        <is>
          <t>avverkningsanmälan</t>
        </is>
      </c>
      <c r="C78" t="inlineStr">
        <is>
          <t>Föryngringsavverkning</t>
        </is>
      </c>
      <c r="D78" s="1" t="n">
        <v>46062</v>
      </c>
      <c r="E78" s="1" t="n">
        <v>46216</v>
      </c>
      <c r="F78" t="inlineStr">
        <is>
          <t>VÄSTMANLANDS LÄN</t>
        </is>
      </c>
      <c r="G78" t="inlineStr">
        <is>
          <t>SALA</t>
        </is>
      </c>
      <c r="I78" t="n">
        <v>2.9</v>
      </c>
      <c r="J78" t="n">
        <v>1</v>
      </c>
      <c r="K78" t="n">
        <v>0</v>
      </c>
      <c r="L78" t="n">
        <v>0</v>
      </c>
      <c r="M78" t="n">
        <v>0</v>
      </c>
      <c r="N78" t="n">
        <v>0</v>
      </c>
      <c r="O78" t="n">
        <v>0</v>
      </c>
      <c r="P78" t="n">
        <v>0</v>
      </c>
      <c r="Q78" t="n">
        <v>0</v>
      </c>
      <c r="R78" t="n">
        <v>0</v>
      </c>
      <c r="S78" t="n">
        <v>1</v>
      </c>
      <c r="T78" t="n">
        <v>1</v>
      </c>
      <c r="U78" s="2" t="inlineStr">
        <is>
          <t>Nattviol</t>
        </is>
      </c>
      <c r="V78">
        <f>HYPERLINK("https://klasma.github.io/Logging_1981/artfynd/A 7672-2026 artfynd.xlsx", "A 7672-2026")</f>
        <v/>
      </c>
      <c r="W78">
        <f>HYPERLINK("https://klasma.github.io/Logging_1981/kartor/A 7672-2026 karta.png", "A 7672-2026")</f>
        <v/>
      </c>
      <c r="Y78">
        <f>HYPERLINK("https://klasma.github.io/Logging_1981/klagomål/A 7672-2026 FSC-klagomål.docx", "A 7672-2026")</f>
        <v/>
      </c>
      <c r="Z78">
        <f>HYPERLINK("https://klasma.github.io/Logging_1981/klagomålsmail/A 7672-2026 FSC-klagomål mail.docx", "A 7672-2026")</f>
        <v/>
      </c>
      <c r="AA78">
        <f>HYPERLINK("https://klasma.github.io/Logging_1981/tillsyn/A 7672-2026 tillsynsbegäran.docx", "A 7672-2026")</f>
        <v/>
      </c>
      <c r="AB78">
        <f>HYPERLINK("https://klasma.github.io/Logging_1981/tillsynsmail/A 7672-2026 tillsynsbegäran mail.docx", "A 7672-2026")</f>
        <v/>
      </c>
    </row>
    <row r="79" ht="15" customHeight="1">
      <c r="A79" t="inlineStr">
        <is>
          <t>A 7661-2026</t>
        </is>
      </c>
      <c r="B79" t="inlineStr">
        <is>
          <t>avverkningsanmälan</t>
        </is>
      </c>
      <c r="C79" t="inlineStr">
        <is>
          <t>Föryngringsavverkning</t>
        </is>
      </c>
      <c r="D79" s="1" t="n">
        <v>46062</v>
      </c>
      <c r="E79" s="1" t="n">
        <v>46216</v>
      </c>
      <c r="F79" t="inlineStr">
        <is>
          <t>VÄSTMANLANDS LÄN</t>
        </is>
      </c>
      <c r="G79" t="inlineStr">
        <is>
          <t>SALA</t>
        </is>
      </c>
      <c r="I79" t="n">
        <v>1.3</v>
      </c>
      <c r="J79" t="n">
        <v>0</v>
      </c>
      <c r="K79" t="n">
        <v>0</v>
      </c>
      <c r="L79" t="n">
        <v>1</v>
      </c>
      <c r="M79" t="n">
        <v>0</v>
      </c>
      <c r="N79" t="n">
        <v>0</v>
      </c>
      <c r="O79" t="n">
        <v>0</v>
      </c>
      <c r="P79" t="n">
        <v>0</v>
      </c>
      <c r="Q79" t="n">
        <v>1</v>
      </c>
      <c r="R79" t="n">
        <v>0</v>
      </c>
      <c r="S79" t="n">
        <v>1</v>
      </c>
      <c r="T79" t="n">
        <v>1</v>
      </c>
      <c r="U79" s="2" t="inlineStr">
        <is>
          <t>Vedtrappmossa</t>
        </is>
      </c>
      <c r="V79">
        <f>HYPERLINK("https://klasma.github.io/Logging_1981/artfynd/A 7661-2026 artfynd.xlsx", "A 7661-2026")</f>
        <v/>
      </c>
      <c r="W79">
        <f>HYPERLINK("https://klasma.github.io/Logging_1981/kartor/A 7661-2026 karta.png", "A 7661-2026")</f>
        <v/>
      </c>
      <c r="Y79">
        <f>HYPERLINK("https://klasma.github.io/Logging_1981/klagomål/A 7661-2026 FSC-klagomål.docx", "A 7661-2026")</f>
        <v/>
      </c>
      <c r="Z79">
        <f>HYPERLINK("https://klasma.github.io/Logging_1981/klagomålsmail/A 7661-2026 FSC-klagomål mail.docx", "A 7661-2026")</f>
        <v/>
      </c>
      <c r="AA79">
        <f>HYPERLINK("https://klasma.github.io/Logging_1981/tillsyn/A 7661-2026 tillsynsbegäran.docx", "A 7661-2026")</f>
        <v/>
      </c>
      <c r="AB79">
        <f>HYPERLINK("https://klasma.github.io/Logging_1981/tillsynsmail/A 7661-2026 tillsynsbegäran mail.docx", "A 7661-2026")</f>
        <v/>
      </c>
    </row>
    <row r="80" ht="15" customHeight="1">
      <c r="A80" t="inlineStr">
        <is>
          <t>A 43175-2023</t>
        </is>
      </c>
      <c r="B80" t="inlineStr">
        <is>
          <t>avverkningsanmälan</t>
        </is>
      </c>
      <c r="C80" t="inlineStr">
        <is>
          <t>Föryngringsavverkning</t>
        </is>
      </c>
      <c r="D80" s="1" t="n">
        <v>45183</v>
      </c>
      <c r="E80" s="1" t="n">
        <v>46216</v>
      </c>
      <c r="F80" t="inlineStr">
        <is>
          <t>VÄSTMANLANDS LÄN</t>
        </is>
      </c>
      <c r="G80" t="inlineStr">
        <is>
          <t>SALA</t>
        </is>
      </c>
      <c r="I80" t="n">
        <v>5.6</v>
      </c>
      <c r="J80" t="n">
        <v>0</v>
      </c>
      <c r="K80" t="n">
        <v>1</v>
      </c>
      <c r="L80" t="n">
        <v>0</v>
      </c>
      <c r="M80" t="n">
        <v>0</v>
      </c>
      <c r="N80" t="n">
        <v>0</v>
      </c>
      <c r="O80" t="n">
        <v>0</v>
      </c>
      <c r="P80" t="n">
        <v>0</v>
      </c>
      <c r="Q80" t="n">
        <v>0</v>
      </c>
      <c r="R80" t="n">
        <v>0</v>
      </c>
      <c r="S80" t="n">
        <v>1</v>
      </c>
      <c r="T80" t="n">
        <v>1</v>
      </c>
      <c r="U80" s="2" t="inlineStr">
        <is>
          <t>Grönpyrola</t>
        </is>
      </c>
      <c r="V80">
        <f>HYPERLINK("https://klasma.github.io/Logging_1981/artfynd/A 43175-2023 artfynd.xlsx", "A 43175-2023")</f>
        <v/>
      </c>
      <c r="W80">
        <f>HYPERLINK("https://klasma.github.io/Logging_1981/kartor/A 43175-2023 karta.png", "A 43175-2023")</f>
        <v/>
      </c>
      <c r="Y80">
        <f>HYPERLINK("https://klasma.github.io/Logging_1981/klagomål/A 43175-2023 FSC-klagomål.docx", "A 43175-2023")</f>
        <v/>
      </c>
      <c r="Z80">
        <f>HYPERLINK("https://klasma.github.io/Logging_1981/klagomålsmail/A 43175-2023 FSC-klagomål mail.docx", "A 43175-2023")</f>
        <v/>
      </c>
      <c r="AA80">
        <f>HYPERLINK("https://klasma.github.io/Logging_1981/tillsyn/A 43175-2023 tillsynsbegäran.docx", "A 43175-2023")</f>
        <v/>
      </c>
      <c r="AB80">
        <f>HYPERLINK("https://klasma.github.io/Logging_1981/tillsynsmail/A 43175-2023 tillsynsbegäran mail.docx", "A 43175-2023")</f>
        <v/>
      </c>
    </row>
    <row r="81" ht="15" customHeight="1">
      <c r="A81" t="inlineStr">
        <is>
          <t>A 3332-2024</t>
        </is>
      </c>
      <c r="B81" t="inlineStr">
        <is>
          <t>avverkningsanmälan</t>
        </is>
      </c>
      <c r="C81" t="inlineStr">
        <is>
          <t>Föryngringsavverkning</t>
        </is>
      </c>
      <c r="D81" s="1" t="n">
        <v>45317</v>
      </c>
      <c r="E81" s="1" t="n">
        <v>46216</v>
      </c>
      <c r="F81" t="inlineStr">
        <is>
          <t>VÄSTMANLANDS LÄN</t>
        </is>
      </c>
      <c r="G81" t="inlineStr">
        <is>
          <t>SALA</t>
        </is>
      </c>
      <c r="I81" t="n">
        <v>2</v>
      </c>
      <c r="J81" t="n">
        <v>0</v>
      </c>
      <c r="K81" t="n">
        <v>0</v>
      </c>
      <c r="L81" t="n">
        <v>1</v>
      </c>
      <c r="M81" t="n">
        <v>0</v>
      </c>
      <c r="N81" t="n">
        <v>0</v>
      </c>
      <c r="O81" t="n">
        <v>0</v>
      </c>
      <c r="P81" t="n">
        <v>0</v>
      </c>
      <c r="Q81" t="n">
        <v>1</v>
      </c>
      <c r="R81" t="n">
        <v>0</v>
      </c>
      <c r="S81" t="n">
        <v>1</v>
      </c>
      <c r="T81" t="n">
        <v>2</v>
      </c>
      <c r="U81" s="2" t="inlineStr">
        <is>
          <t>Rödlånke</t>
        </is>
      </c>
      <c r="V81">
        <f>HYPERLINK("https://klasma.github.io/Logging_1981/artfynd/A 3332-2024 artfynd.xlsx", "A 3332-2024")</f>
        <v/>
      </c>
      <c r="W81">
        <f>HYPERLINK("https://klasma.github.io/Logging_1981/kartor/A 3332-2024 karta.png", "A 3332-2024")</f>
        <v/>
      </c>
      <c r="Y81">
        <f>HYPERLINK("https://klasma.github.io/Logging_1981/klagomål/A 3332-2024 FSC-klagomål.docx", "A 3332-2024")</f>
        <v/>
      </c>
      <c r="Z81">
        <f>HYPERLINK("https://klasma.github.io/Logging_1981/klagomålsmail/A 3332-2024 FSC-klagomål mail.docx", "A 3332-2024")</f>
        <v/>
      </c>
      <c r="AA81">
        <f>HYPERLINK("https://klasma.github.io/Logging_1981/tillsyn/A 3332-2024 tillsynsbegäran.docx", "A 3332-2024")</f>
        <v/>
      </c>
      <c r="AB81">
        <f>HYPERLINK("https://klasma.github.io/Logging_1981/tillsynsmail/A 3332-2024 tillsynsbegäran mail.docx", "A 3332-2024")</f>
        <v/>
      </c>
    </row>
    <row r="82" ht="15" customHeight="1">
      <c r="A82" t="inlineStr">
        <is>
          <t>A 55550-2023</t>
        </is>
      </c>
      <c r="B82" t="inlineStr">
        <is>
          <t>avverkningsanmälan</t>
        </is>
      </c>
      <c r="C82" t="inlineStr">
        <is>
          <t>Föryngringsavverkning</t>
        </is>
      </c>
      <c r="D82" s="1" t="n">
        <v>45232</v>
      </c>
      <c r="E82" s="1" t="n">
        <v>46216</v>
      </c>
      <c r="F82" t="inlineStr">
        <is>
          <t>VÄSTMANLANDS LÄN</t>
        </is>
      </c>
      <c r="G82" t="inlineStr">
        <is>
          <t>SALA</t>
        </is>
      </c>
      <c r="I82" t="n">
        <v>9.9</v>
      </c>
      <c r="J82" t="n">
        <v>1</v>
      </c>
      <c r="K82" t="n">
        <v>0</v>
      </c>
      <c r="L82" t="n">
        <v>0</v>
      </c>
      <c r="M82" t="n">
        <v>1</v>
      </c>
      <c r="N82" t="n">
        <v>0</v>
      </c>
      <c r="O82" t="n">
        <v>0</v>
      </c>
      <c r="P82" t="n">
        <v>0</v>
      </c>
      <c r="Q82" t="n">
        <v>1</v>
      </c>
      <c r="R82" t="n">
        <v>1</v>
      </c>
      <c r="S82" t="n">
        <v>1</v>
      </c>
      <c r="T82" t="n">
        <v>6</v>
      </c>
      <c r="U82" s="2" t="inlineStr">
        <is>
          <t>Knärot</t>
        </is>
      </c>
      <c r="V82">
        <f>HYPERLINK("https://klasma.github.io/Logging_1981/artfynd/A 55550-2023 artfynd.xlsx", "A 55550-2023")</f>
        <v/>
      </c>
      <c r="W82">
        <f>HYPERLINK("https://klasma.github.io/Logging_1981/kartor/A 55550-2023 karta.png", "A 55550-2023")</f>
        <v/>
      </c>
      <c r="X82">
        <f>HYPERLINK("https://klasma.github.io/Logging_1981/knärot/A 55550-2023 karta knärot.png", "A 55550-2023")</f>
        <v/>
      </c>
      <c r="Y82">
        <f>HYPERLINK("https://klasma.github.io/Logging_1981/klagomål/A 55550-2023 FSC-klagomål.docx", "A 55550-2023")</f>
        <v/>
      </c>
      <c r="Z82">
        <f>HYPERLINK("https://klasma.github.io/Logging_1981/klagomålsmail/A 55550-2023 FSC-klagomål mail.docx", "A 55550-2023")</f>
        <v/>
      </c>
      <c r="AA82">
        <f>HYPERLINK("https://klasma.github.io/Logging_1981/tillsyn/A 55550-2023 tillsynsbegäran.docx", "A 55550-2023")</f>
        <v/>
      </c>
      <c r="AB82">
        <f>HYPERLINK("https://klasma.github.io/Logging_1981/tillsynsmail/A 55550-2023 tillsynsbegäran mail.docx", "A 55550-2023")</f>
        <v/>
      </c>
    </row>
    <row r="83" ht="15" customHeight="1">
      <c r="A83" t="inlineStr">
        <is>
          <t>A 14481-2026</t>
        </is>
      </c>
      <c r="B83" t="inlineStr">
        <is>
          <t>avverkningsanmälan</t>
        </is>
      </c>
      <c r="C83" t="inlineStr">
        <is>
          <t>Avverkning för att bevara och utveckla /försöksver</t>
        </is>
      </c>
      <c r="D83" s="1" t="n">
        <v>46100</v>
      </c>
      <c r="E83" s="1" t="n">
        <v>46216</v>
      </c>
      <c r="F83" t="inlineStr">
        <is>
          <t>VÄSTMANLANDS LÄN</t>
        </is>
      </c>
      <c r="G83" t="inlineStr">
        <is>
          <t>SALA</t>
        </is>
      </c>
      <c r="H83" t="inlineStr">
        <is>
          <t>Sveaskog</t>
        </is>
      </c>
      <c r="I83" t="n">
        <v>0.9</v>
      </c>
      <c r="J83" t="n">
        <v>1</v>
      </c>
      <c r="K83" t="n">
        <v>0</v>
      </c>
      <c r="L83" t="n">
        <v>0</v>
      </c>
      <c r="M83" t="n">
        <v>0</v>
      </c>
      <c r="N83" t="n">
        <v>0</v>
      </c>
      <c r="O83" t="n">
        <v>0</v>
      </c>
      <c r="P83" t="n">
        <v>0</v>
      </c>
      <c r="Q83" t="n">
        <v>0</v>
      </c>
      <c r="R83" t="n">
        <v>0</v>
      </c>
      <c r="S83" t="n">
        <v>1</v>
      </c>
      <c r="T83" t="n">
        <v>1</v>
      </c>
      <c r="U83" s="2" t="inlineStr">
        <is>
          <t>Tjäder</t>
        </is>
      </c>
      <c r="V83">
        <f>HYPERLINK("https://klasma.github.io/Logging_1981/artfynd/A 14481-2026 artfynd.xlsx", "A 14481-2026")</f>
        <v/>
      </c>
      <c r="W83">
        <f>HYPERLINK("https://klasma.github.io/Logging_1981/kartor/A 14481-2026 karta.png", "A 14481-2026")</f>
        <v/>
      </c>
      <c r="Y83">
        <f>HYPERLINK("https://klasma.github.io/Logging_1981/klagomål/A 14481-2026 FSC-klagomål.docx", "A 14481-2026")</f>
        <v/>
      </c>
      <c r="Z83">
        <f>HYPERLINK("https://klasma.github.io/Logging_1981/klagomålsmail/A 14481-2026 FSC-klagomål mail.docx", "A 14481-2026")</f>
        <v/>
      </c>
      <c r="AA83">
        <f>HYPERLINK("https://klasma.github.io/Logging_1981/tillsyn/A 14481-2026 tillsynsbegäran.docx", "A 14481-2026")</f>
        <v/>
      </c>
      <c r="AB83">
        <f>HYPERLINK("https://klasma.github.io/Logging_1981/tillsynsmail/A 14481-2026 tillsynsbegäran mail.docx", "A 14481-2026")</f>
        <v/>
      </c>
      <c r="AC83">
        <f>HYPERLINK("https://klasma.github.io/Logging_1981/fåglar/A 14481-2026 prioriterade fågelarter.docx", "A 14481-2026")</f>
        <v/>
      </c>
    </row>
    <row r="84" ht="15" customHeight="1">
      <c r="A84" t="inlineStr">
        <is>
          <t>A 14488-2026</t>
        </is>
      </c>
      <c r="B84" t="inlineStr">
        <is>
          <t>avverkningsanmälan</t>
        </is>
      </c>
      <c r="C84" t="inlineStr">
        <is>
          <t>Föryngringsavverkning</t>
        </is>
      </c>
      <c r="D84" s="1" t="n">
        <v>46100</v>
      </c>
      <c r="E84" s="1" t="n">
        <v>46216</v>
      </c>
      <c r="F84" t="inlineStr">
        <is>
          <t>VÄSTMANLANDS LÄN</t>
        </is>
      </c>
      <c r="G84" t="inlineStr">
        <is>
          <t>SALA</t>
        </is>
      </c>
      <c r="H84" t="inlineStr">
        <is>
          <t>Sveaskog</t>
        </is>
      </c>
      <c r="I84" t="n">
        <v>1.5</v>
      </c>
      <c r="J84" t="n">
        <v>1</v>
      </c>
      <c r="K84" t="n">
        <v>0</v>
      </c>
      <c r="L84" t="n">
        <v>0</v>
      </c>
      <c r="M84" t="n">
        <v>0</v>
      </c>
      <c r="N84" t="n">
        <v>0</v>
      </c>
      <c r="O84" t="n">
        <v>0</v>
      </c>
      <c r="P84" t="n">
        <v>0</v>
      </c>
      <c r="Q84" t="n">
        <v>0</v>
      </c>
      <c r="R84" t="n">
        <v>0</v>
      </c>
      <c r="S84" t="n">
        <v>1</v>
      </c>
      <c r="T84" t="n">
        <v>1</v>
      </c>
      <c r="U84" s="2" t="inlineStr">
        <is>
          <t>Mattlummer</t>
        </is>
      </c>
      <c r="V84">
        <f>HYPERLINK("https://klasma.github.io/Logging_1981/artfynd/A 14488-2026 artfynd.xlsx", "A 14488-2026")</f>
        <v/>
      </c>
      <c r="W84">
        <f>HYPERLINK("https://klasma.github.io/Logging_1981/kartor/A 14488-2026 karta.png", "A 14488-2026")</f>
        <v/>
      </c>
      <c r="Y84">
        <f>HYPERLINK("https://klasma.github.io/Logging_1981/klagomål/A 14488-2026 FSC-klagomål.docx", "A 14488-2026")</f>
        <v/>
      </c>
      <c r="Z84">
        <f>HYPERLINK("https://klasma.github.io/Logging_1981/klagomålsmail/A 14488-2026 FSC-klagomål mail.docx", "A 14488-2026")</f>
        <v/>
      </c>
      <c r="AA84">
        <f>HYPERLINK("https://klasma.github.io/Logging_1981/tillsyn/A 14488-2026 tillsynsbegäran.docx", "A 14488-2026")</f>
        <v/>
      </c>
      <c r="AB84">
        <f>HYPERLINK("https://klasma.github.io/Logging_1981/tillsynsmail/A 14488-2026 tillsynsbegäran mail.docx", "A 14488-2026")</f>
        <v/>
      </c>
    </row>
    <row r="85" ht="15" customHeight="1">
      <c r="A85" t="inlineStr">
        <is>
          <t>A 14487-2026</t>
        </is>
      </c>
      <c r="B85" t="inlineStr">
        <is>
          <t>avverkningsanmälan</t>
        </is>
      </c>
      <c r="C85" t="inlineStr">
        <is>
          <t>Föryngringsavverkning</t>
        </is>
      </c>
      <c r="D85" s="1" t="n">
        <v>46100</v>
      </c>
      <c r="E85" s="1" t="n">
        <v>46216</v>
      </c>
      <c r="F85" t="inlineStr">
        <is>
          <t>VÄSTMANLANDS LÄN</t>
        </is>
      </c>
      <c r="G85" t="inlineStr">
        <is>
          <t>SALA</t>
        </is>
      </c>
      <c r="H85" t="inlineStr">
        <is>
          <t>Sveaskog</t>
        </is>
      </c>
      <c r="I85" t="n">
        <v>6.7</v>
      </c>
      <c r="J85" t="n">
        <v>0</v>
      </c>
      <c r="K85" t="n">
        <v>0</v>
      </c>
      <c r="L85" t="n">
        <v>1</v>
      </c>
      <c r="M85" t="n">
        <v>0</v>
      </c>
      <c r="N85" t="n">
        <v>0</v>
      </c>
      <c r="O85" t="n">
        <v>0</v>
      </c>
      <c r="P85" t="n">
        <v>0</v>
      </c>
      <c r="Q85" t="n">
        <v>1</v>
      </c>
      <c r="R85" t="n">
        <v>0</v>
      </c>
      <c r="S85" t="n">
        <v>1</v>
      </c>
      <c r="T85" t="n">
        <v>1</v>
      </c>
      <c r="U85" s="2" t="inlineStr">
        <is>
          <t>Motaggsvamp</t>
        </is>
      </c>
      <c r="V85">
        <f>HYPERLINK("https://klasma.github.io/Logging_1981/artfynd/A 14487-2026 artfynd.xlsx", "A 14487-2026")</f>
        <v/>
      </c>
      <c r="W85">
        <f>HYPERLINK("https://klasma.github.io/Logging_1981/kartor/A 14487-2026 karta.png", "A 14487-2026")</f>
        <v/>
      </c>
      <c r="Y85">
        <f>HYPERLINK("https://klasma.github.io/Logging_1981/klagomål/A 14487-2026 FSC-klagomål.docx", "A 14487-2026")</f>
        <v/>
      </c>
      <c r="Z85">
        <f>HYPERLINK("https://klasma.github.io/Logging_1981/klagomålsmail/A 14487-2026 FSC-klagomål mail.docx", "A 14487-2026")</f>
        <v/>
      </c>
      <c r="AA85">
        <f>HYPERLINK("https://klasma.github.io/Logging_1981/tillsyn/A 14487-2026 tillsynsbegäran.docx", "A 14487-2026")</f>
        <v/>
      </c>
      <c r="AB85">
        <f>HYPERLINK("https://klasma.github.io/Logging_1981/tillsynsmail/A 14487-2026 tillsynsbegäran mail.docx", "A 14487-2026")</f>
        <v/>
      </c>
    </row>
    <row r="86" ht="15" customHeight="1">
      <c r="A86" t="inlineStr">
        <is>
          <t>A 43176-2023</t>
        </is>
      </c>
      <c r="B86" t="inlineStr">
        <is>
          <t>avverkningsanmälan</t>
        </is>
      </c>
      <c r="C86" t="inlineStr">
        <is>
          <t>Föryngringsavverkning</t>
        </is>
      </c>
      <c r="D86" s="1" t="n">
        <v>45183</v>
      </c>
      <c r="E86" s="1" t="n">
        <v>46216</v>
      </c>
      <c r="F86" t="inlineStr">
        <is>
          <t>VÄSTMANLANDS LÄN</t>
        </is>
      </c>
      <c r="G86" t="inlineStr">
        <is>
          <t>SALA</t>
        </is>
      </c>
      <c r="I86" t="n">
        <v>1.2</v>
      </c>
      <c r="J86" t="n">
        <v>1</v>
      </c>
      <c r="K86" t="n">
        <v>0</v>
      </c>
      <c r="L86" t="n">
        <v>0</v>
      </c>
      <c r="M86" t="n">
        <v>0</v>
      </c>
      <c r="N86" t="n">
        <v>0</v>
      </c>
      <c r="O86" t="n">
        <v>0</v>
      </c>
      <c r="P86" t="n">
        <v>0</v>
      </c>
      <c r="Q86" t="n">
        <v>0</v>
      </c>
      <c r="R86" t="n">
        <v>0</v>
      </c>
      <c r="S86" t="n">
        <v>1</v>
      </c>
      <c r="T86" t="n">
        <v>1</v>
      </c>
      <c r="U86" s="2" t="inlineStr">
        <is>
          <t>Mattlummer</t>
        </is>
      </c>
      <c r="V86">
        <f>HYPERLINK("https://klasma.github.io/Logging_1981/artfynd/A 43176-2023 artfynd.xlsx", "A 43176-2023")</f>
        <v/>
      </c>
      <c r="W86">
        <f>HYPERLINK("https://klasma.github.io/Logging_1981/kartor/A 43176-2023 karta.png", "A 43176-2023")</f>
        <v/>
      </c>
      <c r="Y86">
        <f>HYPERLINK("https://klasma.github.io/Logging_1981/klagomål/A 43176-2023 FSC-klagomål.docx", "A 43176-2023")</f>
        <v/>
      </c>
      <c r="Z86">
        <f>HYPERLINK("https://klasma.github.io/Logging_1981/klagomålsmail/A 43176-2023 FSC-klagomål mail.docx", "A 43176-2023")</f>
        <v/>
      </c>
      <c r="AA86">
        <f>HYPERLINK("https://klasma.github.io/Logging_1981/tillsyn/A 43176-2023 tillsynsbegäran.docx", "A 43176-2023")</f>
        <v/>
      </c>
      <c r="AB86">
        <f>HYPERLINK("https://klasma.github.io/Logging_1981/tillsynsmail/A 43176-2023 tillsynsbegäran mail.docx", "A 43176-2023")</f>
        <v/>
      </c>
    </row>
    <row r="87" ht="15" customHeight="1">
      <c r="A87" t="inlineStr">
        <is>
          <t>A 28661-2024</t>
        </is>
      </c>
      <c r="B87" t="inlineStr">
        <is>
          <t>avverkningsanmälan</t>
        </is>
      </c>
      <c r="C87" t="inlineStr">
        <is>
          <t>Föryngringsavverkning</t>
        </is>
      </c>
      <c r="D87" s="1" t="n">
        <v>45478</v>
      </c>
      <c r="E87" s="1" t="n">
        <v>46216</v>
      </c>
      <c r="F87" t="inlineStr">
        <is>
          <t>VÄSTMANLANDS LÄN</t>
        </is>
      </c>
      <c r="G87" t="inlineStr">
        <is>
          <t>SALA</t>
        </is>
      </c>
      <c r="I87" t="n">
        <v>0.6</v>
      </c>
      <c r="J87" t="n">
        <v>0</v>
      </c>
      <c r="K87" t="n">
        <v>0</v>
      </c>
      <c r="L87" t="n">
        <v>1</v>
      </c>
      <c r="M87" t="n">
        <v>0</v>
      </c>
      <c r="N87" t="n">
        <v>0</v>
      </c>
      <c r="O87" t="n">
        <v>0</v>
      </c>
      <c r="P87" t="n">
        <v>0</v>
      </c>
      <c r="Q87" t="n">
        <v>1</v>
      </c>
      <c r="R87" t="n">
        <v>0</v>
      </c>
      <c r="S87" t="n">
        <v>1</v>
      </c>
      <c r="T87" t="n">
        <v>1</v>
      </c>
      <c r="U87" s="2" t="inlineStr">
        <is>
          <t>Vedtrappmossa</t>
        </is>
      </c>
      <c r="V87">
        <f>HYPERLINK("https://klasma.github.io/Logging_1981/artfynd/A 28661-2024 artfynd.xlsx", "A 28661-2024")</f>
        <v/>
      </c>
      <c r="W87">
        <f>HYPERLINK("https://klasma.github.io/Logging_1981/kartor/A 28661-2024 karta.png", "A 28661-2024")</f>
        <v/>
      </c>
      <c r="Y87">
        <f>HYPERLINK("https://klasma.github.io/Logging_1981/klagomål/A 28661-2024 FSC-klagomål.docx", "A 28661-2024")</f>
        <v/>
      </c>
      <c r="Z87">
        <f>HYPERLINK("https://klasma.github.io/Logging_1981/klagomålsmail/A 28661-2024 FSC-klagomål mail.docx", "A 28661-2024")</f>
        <v/>
      </c>
      <c r="AA87">
        <f>HYPERLINK("https://klasma.github.io/Logging_1981/tillsyn/A 28661-2024 tillsynsbegäran.docx", "A 28661-2024")</f>
        <v/>
      </c>
      <c r="AB87">
        <f>HYPERLINK("https://klasma.github.io/Logging_1981/tillsynsmail/A 28661-2024 tillsynsbegäran mail.docx", "A 28661-2024")</f>
        <v/>
      </c>
    </row>
    <row r="88" ht="15" customHeight="1">
      <c r="A88" t="inlineStr">
        <is>
          <t>A 23224-2023</t>
        </is>
      </c>
      <c r="B88" t="inlineStr">
        <is>
          <t>avverkningsanmälan</t>
        </is>
      </c>
      <c r="C88" t="inlineStr">
        <is>
          <t>Föryngringsavverkning</t>
        </is>
      </c>
      <c r="D88" s="1" t="n">
        <v>45075</v>
      </c>
      <c r="E88" s="1" t="n">
        <v>46216</v>
      </c>
      <c r="F88" t="inlineStr">
        <is>
          <t>VÄSTMANLANDS LÄN</t>
        </is>
      </c>
      <c r="G88" t="inlineStr">
        <is>
          <t>SALA</t>
        </is>
      </c>
      <c r="I88" t="n">
        <v>0.8</v>
      </c>
      <c r="J88" t="n">
        <v>1</v>
      </c>
      <c r="K88" t="n">
        <v>0</v>
      </c>
      <c r="L88" t="n">
        <v>0</v>
      </c>
      <c r="M88" t="n">
        <v>0</v>
      </c>
      <c r="N88" t="n">
        <v>0</v>
      </c>
      <c r="O88" t="n">
        <v>0</v>
      </c>
      <c r="P88" t="n">
        <v>0</v>
      </c>
      <c r="Q88" t="n">
        <v>0</v>
      </c>
      <c r="R88" t="n">
        <v>0</v>
      </c>
      <c r="S88" t="n">
        <v>1</v>
      </c>
      <c r="T88" t="n">
        <v>1</v>
      </c>
      <c r="U88" s="2" t="inlineStr">
        <is>
          <t>Mindre vattensalamander</t>
        </is>
      </c>
      <c r="V88">
        <f>HYPERLINK("https://klasma.github.io/Logging_1981/artfynd/A 23224-2023 artfynd.xlsx", "A 23224-2023")</f>
        <v/>
      </c>
      <c r="W88">
        <f>HYPERLINK("https://klasma.github.io/Logging_1981/kartor/A 23224-2023 karta.png", "A 23224-2023")</f>
        <v/>
      </c>
      <c r="Y88">
        <f>HYPERLINK("https://klasma.github.io/Logging_1981/klagomål/A 23224-2023 FSC-klagomål.docx", "A 23224-2023")</f>
        <v/>
      </c>
      <c r="Z88">
        <f>HYPERLINK("https://klasma.github.io/Logging_1981/klagomålsmail/A 23224-2023 FSC-klagomål mail.docx", "A 23224-2023")</f>
        <v/>
      </c>
      <c r="AA88">
        <f>HYPERLINK("https://klasma.github.io/Logging_1981/tillsyn/A 23224-2023 tillsynsbegäran.docx", "A 23224-2023")</f>
        <v/>
      </c>
      <c r="AB88">
        <f>HYPERLINK("https://klasma.github.io/Logging_1981/tillsynsmail/A 23224-2023 tillsynsbegäran mail.docx", "A 23224-2023")</f>
        <v/>
      </c>
    </row>
    <row r="89" ht="15" customHeight="1">
      <c r="A89" t="inlineStr">
        <is>
          <t>A 17120-2023</t>
        </is>
      </c>
      <c r="B89" t="inlineStr">
        <is>
          <t>avverkningsanmälan</t>
        </is>
      </c>
      <c r="C89" t="inlineStr">
        <is>
          <t>Föryngringsavverkning</t>
        </is>
      </c>
      <c r="D89" s="1" t="n">
        <v>45034</v>
      </c>
      <c r="E89" s="1" t="n">
        <v>46216</v>
      </c>
      <c r="F89" t="inlineStr">
        <is>
          <t>VÄSTMANLANDS LÄN</t>
        </is>
      </c>
      <c r="G89" t="inlineStr">
        <is>
          <t>SALA</t>
        </is>
      </c>
      <c r="I89" t="n">
        <v>0.1</v>
      </c>
      <c r="J89" t="n">
        <v>0</v>
      </c>
      <c r="K89" t="n">
        <v>0</v>
      </c>
      <c r="L89" t="n">
        <v>1</v>
      </c>
      <c r="M89" t="n">
        <v>0</v>
      </c>
      <c r="N89" t="n">
        <v>0</v>
      </c>
      <c r="O89" t="n">
        <v>0</v>
      </c>
      <c r="P89" t="n">
        <v>0</v>
      </c>
      <c r="Q89" t="n">
        <v>1</v>
      </c>
      <c r="R89" t="n">
        <v>0</v>
      </c>
      <c r="S89" t="n">
        <v>1</v>
      </c>
      <c r="T89" t="n">
        <v>1</v>
      </c>
      <c r="U89" s="2" t="inlineStr">
        <is>
          <t>Backtimjan</t>
        </is>
      </c>
      <c r="V89">
        <f>HYPERLINK("https://klasma.github.io/Logging_1981/artfynd/A 17120-2023 artfynd.xlsx", "A 17120-2023")</f>
        <v/>
      </c>
      <c r="W89">
        <f>HYPERLINK("https://klasma.github.io/Logging_1981/kartor/A 17120-2023 karta.png", "A 17120-2023")</f>
        <v/>
      </c>
      <c r="Y89">
        <f>HYPERLINK("https://klasma.github.io/Logging_1981/klagomål/A 17120-2023 FSC-klagomål.docx", "A 17120-2023")</f>
        <v/>
      </c>
      <c r="Z89">
        <f>HYPERLINK("https://klasma.github.io/Logging_1981/klagomålsmail/A 17120-2023 FSC-klagomål mail.docx", "A 17120-2023")</f>
        <v/>
      </c>
      <c r="AA89">
        <f>HYPERLINK("https://klasma.github.io/Logging_1981/tillsyn/A 17120-2023 tillsynsbegäran.docx", "A 17120-2023")</f>
        <v/>
      </c>
      <c r="AB89">
        <f>HYPERLINK("https://klasma.github.io/Logging_1981/tillsynsmail/A 17120-2023 tillsynsbegäran mail.docx", "A 17120-2023")</f>
        <v/>
      </c>
    </row>
    <row r="90" ht="15" customHeight="1">
      <c r="A90" t="inlineStr">
        <is>
          <t>A 1196-2023</t>
        </is>
      </c>
      <c r="B90" t="inlineStr">
        <is>
          <t>avverkningsanmälan</t>
        </is>
      </c>
      <c r="C90" t="inlineStr">
        <is>
          <t>Föryngringsavverkning</t>
        </is>
      </c>
      <c r="D90" s="1" t="n">
        <v>44935</v>
      </c>
      <c r="E90" s="1" t="n">
        <v>46216</v>
      </c>
      <c r="F90" t="inlineStr">
        <is>
          <t>VÄSTMANLANDS LÄN</t>
        </is>
      </c>
      <c r="G90" t="inlineStr">
        <is>
          <t>SALA</t>
        </is>
      </c>
      <c r="I90" t="n">
        <v>4.1</v>
      </c>
      <c r="J90" t="n">
        <v>0</v>
      </c>
      <c r="K90" t="n">
        <v>1</v>
      </c>
      <c r="L90" t="n">
        <v>0</v>
      </c>
      <c r="M90" t="n">
        <v>0</v>
      </c>
      <c r="N90" t="n">
        <v>0</v>
      </c>
      <c r="O90" t="n">
        <v>0</v>
      </c>
      <c r="P90" t="n">
        <v>0</v>
      </c>
      <c r="Q90" t="n">
        <v>0</v>
      </c>
      <c r="R90" t="n">
        <v>0</v>
      </c>
      <c r="S90" t="n">
        <v>1</v>
      </c>
      <c r="T90" t="n">
        <v>1</v>
      </c>
      <c r="U90" s="2" t="inlineStr">
        <is>
          <t>Guldlockmossa</t>
        </is>
      </c>
      <c r="V90">
        <f>HYPERLINK("https://klasma.github.io/Logging_1981/artfynd/A 1196-2023 artfynd.xlsx", "A 1196-2023")</f>
        <v/>
      </c>
      <c r="W90">
        <f>HYPERLINK("https://klasma.github.io/Logging_1981/kartor/A 1196-2023 karta.png", "A 1196-2023")</f>
        <v/>
      </c>
      <c r="Y90">
        <f>HYPERLINK("https://klasma.github.io/Logging_1981/klagomål/A 1196-2023 FSC-klagomål.docx", "A 1196-2023")</f>
        <v/>
      </c>
      <c r="Z90">
        <f>HYPERLINK("https://klasma.github.io/Logging_1981/klagomålsmail/A 1196-2023 FSC-klagomål mail.docx", "A 1196-2023")</f>
        <v/>
      </c>
      <c r="AA90">
        <f>HYPERLINK("https://klasma.github.io/Logging_1981/tillsyn/A 1196-2023 tillsynsbegäran.docx", "A 1196-2023")</f>
        <v/>
      </c>
      <c r="AB90">
        <f>HYPERLINK("https://klasma.github.io/Logging_1981/tillsynsmail/A 1196-2023 tillsynsbegäran mail.docx", "A 1196-2023")</f>
        <v/>
      </c>
    </row>
    <row r="91" ht="15" customHeight="1">
      <c r="A91" t="inlineStr">
        <is>
          <t>A 26369-2026</t>
        </is>
      </c>
      <c r="B91" t="inlineStr">
        <is>
          <t>avverkningsanmälan</t>
        </is>
      </c>
      <c r="C91" t="inlineStr">
        <is>
          <t>Föryngringsavverkning</t>
        </is>
      </c>
      <c r="D91" s="1" t="n">
        <v>46182</v>
      </c>
      <c r="E91" s="1" t="n">
        <v>46216</v>
      </c>
      <c r="F91" t="inlineStr">
        <is>
          <t>VÄSTMANLANDS LÄN</t>
        </is>
      </c>
      <c r="G91" t="inlineStr">
        <is>
          <t>SALA</t>
        </is>
      </c>
      <c r="I91" t="n">
        <v>5.7</v>
      </c>
      <c r="J91" t="n">
        <v>1</v>
      </c>
      <c r="K91" t="n">
        <v>0</v>
      </c>
      <c r="L91" t="n">
        <v>0</v>
      </c>
      <c r="M91" t="n">
        <v>0</v>
      </c>
      <c r="N91" t="n">
        <v>0</v>
      </c>
      <c r="O91" t="n">
        <v>0</v>
      </c>
      <c r="P91" t="n">
        <v>0</v>
      </c>
      <c r="Q91" t="n">
        <v>0</v>
      </c>
      <c r="R91" t="n">
        <v>0</v>
      </c>
      <c r="S91" t="n">
        <v>1</v>
      </c>
      <c r="T91" t="n">
        <v>1</v>
      </c>
      <c r="U91" s="2" t="inlineStr">
        <is>
          <t>Fläcknycklar</t>
        </is>
      </c>
      <c r="V91">
        <f>HYPERLINK("https://klasma.github.io/Logging_1981/artfynd/A 26369-2026 artfynd.xlsx", "A 26369-2026")</f>
        <v/>
      </c>
      <c r="W91">
        <f>HYPERLINK("https://klasma.github.io/Logging_1981/kartor/A 26369-2026 karta.png", "A 26369-2026")</f>
        <v/>
      </c>
      <c r="Y91">
        <f>HYPERLINK("https://klasma.github.io/Logging_1981/klagomål/A 26369-2026 FSC-klagomål.docx", "A 26369-2026")</f>
        <v/>
      </c>
      <c r="Z91">
        <f>HYPERLINK("https://klasma.github.io/Logging_1981/klagomålsmail/A 26369-2026 FSC-klagomål mail.docx", "A 26369-2026")</f>
        <v/>
      </c>
      <c r="AA91">
        <f>HYPERLINK("https://klasma.github.io/Logging_1981/tillsyn/A 26369-2026 tillsynsbegäran.docx", "A 26369-2026")</f>
        <v/>
      </c>
      <c r="AB91">
        <f>HYPERLINK("https://klasma.github.io/Logging_1981/tillsynsmail/A 26369-2026 tillsynsbegäran mail.docx", "A 26369-2026")</f>
        <v/>
      </c>
    </row>
    <row r="92" ht="15" customHeight="1">
      <c r="A92" t="inlineStr">
        <is>
          <t>A 28328-2026</t>
        </is>
      </c>
      <c r="B92" t="inlineStr">
        <is>
          <t>avverkningsanmälan</t>
        </is>
      </c>
      <c r="C92" t="inlineStr">
        <is>
          <t>Föryngringsavverkning</t>
        </is>
      </c>
      <c r="D92" s="1" t="n">
        <v>46196</v>
      </c>
      <c r="E92" s="1" t="n">
        <v>46216</v>
      </c>
      <c r="F92" t="inlineStr">
        <is>
          <t>VÄSTMANLANDS LÄN</t>
        </is>
      </c>
      <c r="G92" t="inlineStr">
        <is>
          <t>SALA</t>
        </is>
      </c>
      <c r="H92" t="inlineStr">
        <is>
          <t>Kommuner</t>
        </is>
      </c>
      <c r="I92" t="n">
        <v>5.2</v>
      </c>
      <c r="J92" t="n">
        <v>0</v>
      </c>
      <c r="K92" t="n">
        <v>1</v>
      </c>
      <c r="L92" t="n">
        <v>0</v>
      </c>
      <c r="M92" t="n">
        <v>0</v>
      </c>
      <c r="N92" t="n">
        <v>0</v>
      </c>
      <c r="O92" t="n">
        <v>0</v>
      </c>
      <c r="P92" t="n">
        <v>0</v>
      </c>
      <c r="Q92" t="n">
        <v>0</v>
      </c>
      <c r="R92" t="n">
        <v>0</v>
      </c>
      <c r="S92" t="n">
        <v>1</v>
      </c>
      <c r="T92" t="n">
        <v>1</v>
      </c>
      <c r="U92" s="2" t="inlineStr">
        <is>
          <t>Guldlockmossa</t>
        </is>
      </c>
      <c r="V92">
        <f>HYPERLINK("https://klasma.github.io/Logging_1981/artfynd/A 28328-2026 artfynd.xlsx", "A 28328-2026")</f>
        <v/>
      </c>
      <c r="W92">
        <f>HYPERLINK("https://klasma.github.io/Logging_1981/kartor/A 28328-2026 karta.png", "A 28328-2026")</f>
        <v/>
      </c>
      <c r="Y92">
        <f>HYPERLINK("https://klasma.github.io/Logging_1981/klagomål/A 28328-2026 FSC-klagomål.docx", "A 28328-2026")</f>
        <v/>
      </c>
      <c r="Z92">
        <f>HYPERLINK("https://klasma.github.io/Logging_1981/klagomålsmail/A 28328-2026 FSC-klagomål mail.docx", "A 28328-2026")</f>
        <v/>
      </c>
      <c r="AA92">
        <f>HYPERLINK("https://klasma.github.io/Logging_1981/tillsyn/A 28328-2026 tillsynsbegäran.docx", "A 28328-2026")</f>
        <v/>
      </c>
      <c r="AB92">
        <f>HYPERLINK("https://klasma.github.io/Logging_1981/tillsynsmail/A 28328-2026 tillsynsbegäran mail.docx", "A 28328-2026")</f>
        <v/>
      </c>
    </row>
    <row r="93" ht="15" customHeight="1">
      <c r="A93" t="inlineStr">
        <is>
          <t>A 41270-2024</t>
        </is>
      </c>
      <c r="B93" t="inlineStr">
        <is>
          <t>avverkningsanmälan</t>
        </is>
      </c>
      <c r="C93" t="inlineStr">
        <is>
          <t>Föryngringsavverkning</t>
        </is>
      </c>
      <c r="D93" s="1" t="n">
        <v>45559</v>
      </c>
      <c r="E93" s="1" t="n">
        <v>46216</v>
      </c>
      <c r="F93" t="inlineStr">
        <is>
          <t>VÄSTMANLANDS LÄN</t>
        </is>
      </c>
      <c r="G93" t="inlineStr">
        <is>
          <t>SALA</t>
        </is>
      </c>
      <c r="I93" t="n">
        <v>15.2</v>
      </c>
      <c r="J93" t="n">
        <v>1</v>
      </c>
      <c r="K93" t="n">
        <v>0</v>
      </c>
      <c r="L93" t="n">
        <v>0</v>
      </c>
      <c r="M93" t="n">
        <v>0</v>
      </c>
      <c r="N93" t="n">
        <v>0</v>
      </c>
      <c r="O93" t="n">
        <v>0</v>
      </c>
      <c r="P93" t="n">
        <v>0</v>
      </c>
      <c r="Q93" t="n">
        <v>0</v>
      </c>
      <c r="R93" t="n">
        <v>0</v>
      </c>
      <c r="S93" t="n">
        <v>1</v>
      </c>
      <c r="T93" t="n">
        <v>1</v>
      </c>
      <c r="U93" s="2" t="inlineStr">
        <is>
          <t>Havsörn</t>
        </is>
      </c>
      <c r="V93">
        <f>HYPERLINK("https://klasma.github.io/Logging_1981/artfynd/A 41270-2024 artfynd.xlsx", "A 41270-2024")</f>
        <v/>
      </c>
      <c r="W93">
        <f>HYPERLINK("https://klasma.github.io/Logging_1981/kartor/A 41270-2024 karta.png", "A 41270-2024")</f>
        <v/>
      </c>
      <c r="Y93">
        <f>HYPERLINK("https://klasma.github.io/Logging_1981/klagomål/A 41270-2024 FSC-klagomål.docx", "A 41270-2024")</f>
        <v/>
      </c>
      <c r="Z93">
        <f>HYPERLINK("https://klasma.github.io/Logging_1981/klagomålsmail/A 41270-2024 FSC-klagomål mail.docx", "A 41270-2024")</f>
        <v/>
      </c>
      <c r="AA93">
        <f>HYPERLINK("https://klasma.github.io/Logging_1981/tillsyn/A 41270-2024 tillsynsbegäran.docx", "A 41270-2024")</f>
        <v/>
      </c>
      <c r="AB93">
        <f>HYPERLINK("https://klasma.github.io/Logging_1981/tillsynsmail/A 41270-2024 tillsynsbegäran mail.docx", "A 41270-2024")</f>
        <v/>
      </c>
      <c r="AC93">
        <f>HYPERLINK("https://klasma.github.io/Logging_1981/fåglar/A 41270-2024 prioriterade fågelarter.docx", "A 41270-2024")</f>
        <v/>
      </c>
    </row>
    <row r="94" ht="15" customHeight="1">
      <c r="A94" t="inlineStr">
        <is>
          <t>A 29985-2022</t>
        </is>
      </c>
      <c r="B94" t="inlineStr">
        <is>
          <t>avverkningsanmälan</t>
        </is>
      </c>
      <c r="C94" t="inlineStr">
        <is>
          <t>Föryngringsavverkning</t>
        </is>
      </c>
      <c r="D94" s="1" t="n">
        <v>44756</v>
      </c>
      <c r="E94" s="1" t="n">
        <v>46216</v>
      </c>
      <c r="F94" t="inlineStr">
        <is>
          <t>VÄSTMANLANDS LÄN</t>
        </is>
      </c>
      <c r="G94" t="inlineStr">
        <is>
          <t>SALA</t>
        </is>
      </c>
      <c r="H94" t="inlineStr">
        <is>
          <t>Kommuner</t>
        </is>
      </c>
      <c r="I94" t="n">
        <v>1</v>
      </c>
      <c r="J94" t="n">
        <v>1</v>
      </c>
      <c r="K94" t="n">
        <v>1</v>
      </c>
      <c r="L94" t="n">
        <v>0</v>
      </c>
      <c r="M94" t="n">
        <v>0</v>
      </c>
      <c r="N94" t="n">
        <v>0</v>
      </c>
      <c r="O94" t="n">
        <v>0</v>
      </c>
      <c r="P94" t="n">
        <v>0</v>
      </c>
      <c r="Q94" t="n">
        <v>0</v>
      </c>
      <c r="R94" t="n">
        <v>0</v>
      </c>
      <c r="S94" t="n">
        <v>1</v>
      </c>
      <c r="T94" t="n">
        <v>1</v>
      </c>
      <c r="U94" s="2" t="inlineStr">
        <is>
          <t>Skogsknipprot</t>
        </is>
      </c>
      <c r="V94">
        <f>HYPERLINK("https://klasma.github.io/Logging_1981/artfynd/A 29985-2022 artfynd.xlsx", "A 29985-2022")</f>
        <v/>
      </c>
      <c r="W94">
        <f>HYPERLINK("https://klasma.github.io/Logging_1981/kartor/A 29985-2022 karta.png", "A 29985-2022")</f>
        <v/>
      </c>
      <c r="Y94">
        <f>HYPERLINK("https://klasma.github.io/Logging_1981/klagomål/A 29985-2022 FSC-klagomål.docx", "A 29985-2022")</f>
        <v/>
      </c>
      <c r="Z94">
        <f>HYPERLINK("https://klasma.github.io/Logging_1981/klagomålsmail/A 29985-2022 FSC-klagomål mail.docx", "A 29985-2022")</f>
        <v/>
      </c>
      <c r="AA94">
        <f>HYPERLINK("https://klasma.github.io/Logging_1981/tillsyn/A 29985-2022 tillsynsbegäran.docx", "A 29985-2022")</f>
        <v/>
      </c>
      <c r="AB94">
        <f>HYPERLINK("https://klasma.github.io/Logging_1981/tillsynsmail/A 29985-2022 tillsynsbegäran mail.docx", "A 29985-2022")</f>
        <v/>
      </c>
    </row>
    <row r="95" ht="15" customHeight="1">
      <c r="A95" t="inlineStr">
        <is>
          <t>A 16693-2023</t>
        </is>
      </c>
      <c r="B95" t="inlineStr">
        <is>
          <t>avverkningsanmälan</t>
        </is>
      </c>
      <c r="C95" t="inlineStr">
        <is>
          <t>Föryngringsavverkning</t>
        </is>
      </c>
      <c r="D95" s="1" t="n">
        <v>45028</v>
      </c>
      <c r="E95" s="1" t="n">
        <v>46216</v>
      </c>
      <c r="F95" t="inlineStr">
        <is>
          <t>VÄSTMANLANDS LÄN</t>
        </is>
      </c>
      <c r="G95" t="inlineStr">
        <is>
          <t>SALA</t>
        </is>
      </c>
      <c r="I95" t="n">
        <v>1.5</v>
      </c>
      <c r="J95" t="n">
        <v>0</v>
      </c>
      <c r="K95" t="n">
        <v>1</v>
      </c>
      <c r="L95" t="n">
        <v>0</v>
      </c>
      <c r="M95" t="n">
        <v>0</v>
      </c>
      <c r="N95" t="n">
        <v>0</v>
      </c>
      <c r="O95" t="n">
        <v>0</v>
      </c>
      <c r="P95" t="n">
        <v>0</v>
      </c>
      <c r="Q95" t="n">
        <v>0</v>
      </c>
      <c r="R95" t="n">
        <v>0</v>
      </c>
      <c r="S95" t="n">
        <v>1</v>
      </c>
      <c r="T95" t="n">
        <v>1</v>
      </c>
      <c r="U95" s="2" t="inlineStr">
        <is>
          <t>Skinnlav</t>
        </is>
      </c>
      <c r="V95">
        <f>HYPERLINK("https://klasma.github.io/Logging_1981/artfynd/A 16693-2023 artfynd.xlsx", "A 16693-2023")</f>
        <v/>
      </c>
      <c r="W95">
        <f>HYPERLINK("https://klasma.github.io/Logging_1981/kartor/A 16693-2023 karta.png", "A 16693-2023")</f>
        <v/>
      </c>
      <c r="Y95">
        <f>HYPERLINK("https://klasma.github.io/Logging_1981/klagomål/A 16693-2023 FSC-klagomål.docx", "A 16693-2023")</f>
        <v/>
      </c>
      <c r="Z95">
        <f>HYPERLINK("https://klasma.github.io/Logging_1981/klagomålsmail/A 16693-2023 FSC-klagomål mail.docx", "A 16693-2023")</f>
        <v/>
      </c>
      <c r="AA95">
        <f>HYPERLINK("https://klasma.github.io/Logging_1981/tillsyn/A 16693-2023 tillsynsbegäran.docx", "A 16693-2023")</f>
        <v/>
      </c>
      <c r="AB95">
        <f>HYPERLINK("https://klasma.github.io/Logging_1981/tillsynsmail/A 16693-2023 tillsynsbegäran mail.docx", "A 16693-2023")</f>
        <v/>
      </c>
    </row>
    <row r="96" ht="15" customHeight="1">
      <c r="A96" t="inlineStr">
        <is>
          <t>S 802-2026</t>
        </is>
      </c>
      <c r="B96" t="inlineStr">
        <is>
          <t>samrådsanmälan</t>
        </is>
      </c>
      <c r="C96" t="inlineStr">
        <is>
          <t>Annan skogsbruksåtgärd</t>
        </is>
      </c>
      <c r="D96" s="1" t="n">
        <v>46100</v>
      </c>
      <c r="E96" s="1" t="n">
        <v>46216</v>
      </c>
      <c r="F96" t="inlineStr">
        <is>
          <t>VÄSTMANLANDS LÄN</t>
        </is>
      </c>
      <c r="G96" t="inlineStr">
        <is>
          <t>SALA</t>
        </is>
      </c>
      <c r="H96" t="inlineStr">
        <is>
          <t>Sveaskog</t>
        </is>
      </c>
      <c r="I96" t="n">
        <v>0.9</v>
      </c>
      <c r="J96" t="n">
        <v>1</v>
      </c>
      <c r="K96" t="n">
        <v>0</v>
      </c>
      <c r="L96" t="n">
        <v>0</v>
      </c>
      <c r="M96" t="n">
        <v>0</v>
      </c>
      <c r="N96" t="n">
        <v>0</v>
      </c>
      <c r="O96" t="n">
        <v>0</v>
      </c>
      <c r="P96" t="n">
        <v>0</v>
      </c>
      <c r="Q96" t="n">
        <v>0</v>
      </c>
      <c r="R96" t="n">
        <v>0</v>
      </c>
      <c r="S96" t="n">
        <v>1</v>
      </c>
      <c r="T96" t="n">
        <v>1</v>
      </c>
      <c r="U96" s="2" t="inlineStr">
        <is>
          <t>Tjäder</t>
        </is>
      </c>
      <c r="V96">
        <f>HYPERLINK("https://klasma.github.io/Logging_1981/artfynd/S 802-2026 artfynd.xlsx", "S 802-2026")</f>
        <v/>
      </c>
      <c r="W96">
        <f>HYPERLINK("https://klasma.github.io/Logging_1981/kartor/S 802-2026 karta.png", "S 802-2026")</f>
        <v/>
      </c>
      <c r="Y96">
        <f>HYPERLINK("https://klasma.github.io/Logging_1981/klagomål/S 802-2026 FSC-klagomål.docx", "S 802-2026")</f>
        <v/>
      </c>
      <c r="Z96">
        <f>HYPERLINK("https://klasma.github.io/Logging_1981/klagomålsmail/S 802-2026 FSC-klagomål mail.docx", "S 802-2026")</f>
        <v/>
      </c>
      <c r="AA96">
        <f>HYPERLINK("https://klasma.github.io/Logging_1981/tillsyn/S 802-2026 tillsynsbegäran.docx", "S 802-2026")</f>
        <v/>
      </c>
      <c r="AB96">
        <f>HYPERLINK("https://klasma.github.io/Logging_1981/tillsynsmail/S 802-2026 tillsynsbegäran mail.docx", "S 802-2026")</f>
        <v/>
      </c>
      <c r="AC96">
        <f>HYPERLINK("https://klasma.github.io/Logging_1981/fåglar/S 802-2026 prioriterade fågelarter.docx", "S 802-2026")</f>
        <v/>
      </c>
    </row>
    <row r="97" ht="15" customHeight="1">
      <c r="A97" t="inlineStr">
        <is>
          <t>A 73124-2021</t>
        </is>
      </c>
      <c r="B97" t="inlineStr">
        <is>
          <t>avverkningsanmälan</t>
        </is>
      </c>
      <c r="C97" t="inlineStr">
        <is>
          <t>Föryngringsavverkning</t>
        </is>
      </c>
      <c r="D97" s="1" t="n">
        <v>44550</v>
      </c>
      <c r="E97" s="1" t="n">
        <v>46216</v>
      </c>
      <c r="F97" t="inlineStr">
        <is>
          <t>VÄSTMANLANDS LÄN</t>
        </is>
      </c>
      <c r="G97" t="inlineStr">
        <is>
          <t>SALA</t>
        </is>
      </c>
      <c r="I97" t="n">
        <v>2.8</v>
      </c>
      <c r="J97" t="n">
        <v>0</v>
      </c>
      <c r="K97" t="n">
        <v>0</v>
      </c>
      <c r="L97" t="n">
        <v>0</v>
      </c>
      <c r="M97" t="n">
        <v>0</v>
      </c>
      <c r="N97" t="n">
        <v>0</v>
      </c>
      <c r="O97" t="n">
        <v>0</v>
      </c>
      <c r="P97" t="n">
        <v>0</v>
      </c>
      <c r="Q97" t="n">
        <v>0</v>
      </c>
      <c r="R97" t="n">
        <v>0</v>
      </c>
      <c r="S97" t="n">
        <v>0</v>
      </c>
      <c r="T97" t="n">
        <v>0</v>
      </c>
      <c r="U97" s="2" t="inlineStr"/>
    </row>
    <row r="98" ht="15" customHeight="1">
      <c r="A98" t="inlineStr">
        <is>
          <t>A 66561-2021</t>
        </is>
      </c>
      <c r="B98" t="inlineStr">
        <is>
          <t>avverkningsanmälan</t>
        </is>
      </c>
      <c r="C98" t="inlineStr">
        <is>
          <t>Föryngringsavverkning</t>
        </is>
      </c>
      <c r="D98" s="1" t="n">
        <v>44519</v>
      </c>
      <c r="E98" s="1" t="n">
        <v>46216</v>
      </c>
      <c r="F98" t="inlineStr">
        <is>
          <t>VÄSTMANLANDS LÄN</t>
        </is>
      </c>
      <c r="G98" t="inlineStr">
        <is>
          <t>SALA</t>
        </is>
      </c>
      <c r="I98" t="n">
        <v>0.3</v>
      </c>
      <c r="J98" t="n">
        <v>0</v>
      </c>
      <c r="K98" t="n">
        <v>0</v>
      </c>
      <c r="L98" t="n">
        <v>0</v>
      </c>
      <c r="M98" t="n">
        <v>0</v>
      </c>
      <c r="N98" t="n">
        <v>0</v>
      </c>
      <c r="O98" t="n">
        <v>0</v>
      </c>
      <c r="P98" t="n">
        <v>0</v>
      </c>
      <c r="Q98" t="n">
        <v>0</v>
      </c>
      <c r="R98" t="n">
        <v>0</v>
      </c>
      <c r="S98" t="n">
        <v>0</v>
      </c>
      <c r="T98" t="n">
        <v>0</v>
      </c>
      <c r="U98" s="2" t="inlineStr"/>
    </row>
    <row r="99" ht="15" customHeight="1">
      <c r="A99" t="inlineStr">
        <is>
          <t>A 73788-2021</t>
        </is>
      </c>
      <c r="B99" t="inlineStr">
        <is>
          <t>avverkningsanmälan</t>
        </is>
      </c>
      <c r="C99" t="inlineStr">
        <is>
          <t>Föryngringsavverkning</t>
        </is>
      </c>
      <c r="D99" s="1" t="n">
        <v>44552</v>
      </c>
      <c r="E99" s="1" t="n">
        <v>46216</v>
      </c>
      <c r="F99" t="inlineStr">
        <is>
          <t>VÄSTMANLANDS LÄN</t>
        </is>
      </c>
      <c r="G99" t="inlineStr">
        <is>
          <t>SALA</t>
        </is>
      </c>
      <c r="I99" t="n">
        <v>0.8</v>
      </c>
      <c r="J99" t="n">
        <v>0</v>
      </c>
      <c r="K99" t="n">
        <v>0</v>
      </c>
      <c r="L99" t="n">
        <v>0</v>
      </c>
      <c r="M99" t="n">
        <v>0</v>
      </c>
      <c r="N99" t="n">
        <v>0</v>
      </c>
      <c r="O99" t="n">
        <v>0</v>
      </c>
      <c r="P99" t="n">
        <v>0</v>
      </c>
      <c r="Q99" t="n">
        <v>0</v>
      </c>
      <c r="R99" t="n">
        <v>0</v>
      </c>
      <c r="S99" t="n">
        <v>0</v>
      </c>
      <c r="T99" t="n">
        <v>0</v>
      </c>
      <c r="U99" s="2" t="inlineStr"/>
    </row>
    <row r="100" ht="15" customHeight="1">
      <c r="A100" t="inlineStr">
        <is>
          <t>A 34110-2022</t>
        </is>
      </c>
      <c r="B100" t="inlineStr">
        <is>
          <t>avverkningsanmälan</t>
        </is>
      </c>
      <c r="C100" t="inlineStr">
        <is>
          <t>Föryngringsavverkning</t>
        </is>
      </c>
      <c r="D100" s="1" t="n">
        <v>44791</v>
      </c>
      <c r="E100" s="1" t="n">
        <v>46216</v>
      </c>
      <c r="F100" t="inlineStr">
        <is>
          <t>VÄSTMANLANDS LÄN</t>
        </is>
      </c>
      <c r="G100" t="inlineStr">
        <is>
          <t>SALA</t>
        </is>
      </c>
      <c r="I100" t="n">
        <v>0.2</v>
      </c>
      <c r="J100" t="n">
        <v>0</v>
      </c>
      <c r="K100" t="n">
        <v>0</v>
      </c>
      <c r="L100" t="n">
        <v>0</v>
      </c>
      <c r="M100" t="n">
        <v>0</v>
      </c>
      <c r="N100" t="n">
        <v>0</v>
      </c>
      <c r="O100" t="n">
        <v>0</v>
      </c>
      <c r="P100" t="n">
        <v>0</v>
      </c>
      <c r="Q100" t="n">
        <v>0</v>
      </c>
      <c r="R100" t="n">
        <v>0</v>
      </c>
      <c r="S100" t="n">
        <v>0</v>
      </c>
      <c r="T100" t="n">
        <v>0</v>
      </c>
      <c r="U100" s="2" t="inlineStr"/>
    </row>
    <row r="101" ht="15" customHeight="1">
      <c r="A101" t="inlineStr">
        <is>
          <t>A 47683-2021</t>
        </is>
      </c>
      <c r="B101" t="inlineStr">
        <is>
          <t>avverkningsanmälan</t>
        </is>
      </c>
      <c r="C101" t="inlineStr">
        <is>
          <t>Föryngringsavverkning</t>
        </is>
      </c>
      <c r="D101" s="1" t="n">
        <v>44448</v>
      </c>
      <c r="E101" s="1" t="n">
        <v>46216</v>
      </c>
      <c r="F101" t="inlineStr">
        <is>
          <t>VÄSTMANLANDS LÄN</t>
        </is>
      </c>
      <c r="G101" t="inlineStr">
        <is>
          <t>SALA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10083-2022</t>
        </is>
      </c>
      <c r="B102" t="inlineStr">
        <is>
          <t>avverkningsanmälan</t>
        </is>
      </c>
      <c r="C102" t="inlineStr">
        <is>
          <t>Föryngringsavverkning</t>
        </is>
      </c>
      <c r="D102" s="1" t="n">
        <v>44621</v>
      </c>
      <c r="E102" s="1" t="n">
        <v>46216</v>
      </c>
      <c r="F102" t="inlineStr">
        <is>
          <t>VÄSTMANLANDS LÄN</t>
        </is>
      </c>
      <c r="G102" t="inlineStr">
        <is>
          <t>SALA</t>
        </is>
      </c>
      <c r="I102" t="n">
        <v>7.8</v>
      </c>
      <c r="J102" t="n">
        <v>0</v>
      </c>
      <c r="K102" t="n">
        <v>0</v>
      </c>
      <c r="L102" t="n">
        <v>0</v>
      </c>
      <c r="M102" t="n">
        <v>0</v>
      </c>
      <c r="N102" t="n">
        <v>0</v>
      </c>
      <c r="O102" t="n">
        <v>0</v>
      </c>
      <c r="P102" t="n">
        <v>0</v>
      </c>
      <c r="Q102" t="n">
        <v>0</v>
      </c>
      <c r="R102" t="n">
        <v>0</v>
      </c>
      <c r="S102" t="n">
        <v>0</v>
      </c>
      <c r="T102" t="n">
        <v>0</v>
      </c>
      <c r="U102" s="2" t="inlineStr"/>
    </row>
    <row r="103" ht="15" customHeight="1">
      <c r="A103" t="inlineStr">
        <is>
          <t>A 3050-2022</t>
        </is>
      </c>
      <c r="B103" t="inlineStr">
        <is>
          <t>avverkningsanmälan</t>
        </is>
      </c>
      <c r="C103" t="inlineStr">
        <is>
          <t>Avverkning för annat ändamål</t>
        </is>
      </c>
      <c r="D103" s="1" t="n">
        <v>44582</v>
      </c>
      <c r="E103" s="1" t="n">
        <v>46216</v>
      </c>
      <c r="F103" t="inlineStr">
        <is>
          <t>VÄSTMANLANDS LÄN</t>
        </is>
      </c>
      <c r="G103" t="inlineStr">
        <is>
          <t>SALA</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73683-2021</t>
        </is>
      </c>
      <c r="B104" t="inlineStr">
        <is>
          <t>avverkningsanmälan</t>
        </is>
      </c>
      <c r="C104" t="inlineStr">
        <is>
          <t>Föryngringsavverkning</t>
        </is>
      </c>
      <c r="D104" s="1" t="n">
        <v>44552</v>
      </c>
      <c r="E104" s="1" t="n">
        <v>46216</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74277-2021</t>
        </is>
      </c>
      <c r="B105" t="inlineStr">
        <is>
          <t>avverkningsanmälan</t>
        </is>
      </c>
      <c r="C105" t="inlineStr">
        <is>
          <t>Föryngringsavverkning</t>
        </is>
      </c>
      <c r="D105" s="1" t="n">
        <v>44558</v>
      </c>
      <c r="E105" s="1" t="n">
        <v>46216</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s="2" t="inlineStr"/>
    </row>
    <row r="106" ht="15" customHeight="1">
      <c r="A106" t="inlineStr">
        <is>
          <t>A 62850-2021</t>
        </is>
      </c>
      <c r="B106" t="inlineStr">
        <is>
          <t>avverkningsanmälan</t>
        </is>
      </c>
      <c r="C106" t="inlineStr">
        <is>
          <t>Föryngringsavverkning</t>
        </is>
      </c>
      <c r="D106" s="1" t="n">
        <v>44504</v>
      </c>
      <c r="E106" s="1" t="n">
        <v>46216</v>
      </c>
      <c r="F106" t="inlineStr">
        <is>
          <t>VÄSTMANLANDS LÄN</t>
        </is>
      </c>
      <c r="G106" t="inlineStr">
        <is>
          <t>SALA</t>
        </is>
      </c>
      <c r="I106" t="n">
        <v>5.2</v>
      </c>
      <c r="J106" t="n">
        <v>0</v>
      </c>
      <c r="K106" t="n">
        <v>0</v>
      </c>
      <c r="L106" t="n">
        <v>0</v>
      </c>
      <c r="M106" t="n">
        <v>0</v>
      </c>
      <c r="N106" t="n">
        <v>0</v>
      </c>
      <c r="O106" t="n">
        <v>0</v>
      </c>
      <c r="P106" t="n">
        <v>0</v>
      </c>
      <c r="Q106" t="n">
        <v>0</v>
      </c>
      <c r="R106" t="n">
        <v>0</v>
      </c>
      <c r="S106" t="n">
        <v>0</v>
      </c>
      <c r="T106" t="n">
        <v>0</v>
      </c>
      <c r="U106" s="2" t="inlineStr"/>
    </row>
    <row r="107" ht="15" customHeight="1">
      <c r="A107" t="inlineStr">
        <is>
          <t>A 31387-2022</t>
        </is>
      </c>
      <c r="B107" t="inlineStr">
        <is>
          <t>avverkningsanmälan</t>
        </is>
      </c>
      <c r="C107" t="inlineStr">
        <is>
          <t>Föryngringsavverkning</t>
        </is>
      </c>
      <c r="D107" s="1" t="n">
        <v>44774</v>
      </c>
      <c r="E107" s="1" t="n">
        <v>46216</v>
      </c>
      <c r="F107" t="inlineStr">
        <is>
          <t>VÄSTMANLANDS LÄN</t>
        </is>
      </c>
      <c r="G107" t="inlineStr">
        <is>
          <t>SALA</t>
        </is>
      </c>
      <c r="I107" t="n">
        <v>5.8</v>
      </c>
      <c r="J107" t="n">
        <v>0</v>
      </c>
      <c r="K107" t="n">
        <v>0</v>
      </c>
      <c r="L107" t="n">
        <v>0</v>
      </c>
      <c r="M107" t="n">
        <v>0</v>
      </c>
      <c r="N107" t="n">
        <v>0</v>
      </c>
      <c r="O107" t="n">
        <v>0</v>
      </c>
      <c r="P107" t="n">
        <v>0</v>
      </c>
      <c r="Q107" t="n">
        <v>0</v>
      </c>
      <c r="R107" t="n">
        <v>0</v>
      </c>
      <c r="S107" t="n">
        <v>0</v>
      </c>
      <c r="T107" t="n">
        <v>0</v>
      </c>
      <c r="U107" s="2" t="inlineStr"/>
    </row>
    <row r="108" ht="15" customHeight="1">
      <c r="A108" t="inlineStr">
        <is>
          <t>A 49086-2022</t>
        </is>
      </c>
      <c r="B108" t="inlineStr">
        <is>
          <t>avverkningsanmälan</t>
        </is>
      </c>
      <c r="C108" t="inlineStr">
        <is>
          <t>Föryngringsavverkning</t>
        </is>
      </c>
      <c r="D108" s="1" t="n">
        <v>44860</v>
      </c>
      <c r="E108" s="1" t="n">
        <v>46216</v>
      </c>
      <c r="F108" t="inlineStr">
        <is>
          <t>VÄSTMANLANDS LÄN</t>
        </is>
      </c>
      <c r="G108" t="inlineStr">
        <is>
          <t>SALA</t>
        </is>
      </c>
      <c r="I108" t="n">
        <v>0.9</v>
      </c>
      <c r="J108" t="n">
        <v>0</v>
      </c>
      <c r="K108" t="n">
        <v>0</v>
      </c>
      <c r="L108" t="n">
        <v>0</v>
      </c>
      <c r="M108" t="n">
        <v>0</v>
      </c>
      <c r="N108" t="n">
        <v>0</v>
      </c>
      <c r="O108" t="n">
        <v>0</v>
      </c>
      <c r="P108" t="n">
        <v>0</v>
      </c>
      <c r="Q108" t="n">
        <v>0</v>
      </c>
      <c r="R108" t="n">
        <v>0</v>
      </c>
      <c r="S108" t="n">
        <v>0</v>
      </c>
      <c r="T108" t="n">
        <v>0</v>
      </c>
      <c r="U108" s="2" t="inlineStr"/>
    </row>
    <row r="109" ht="15" customHeight="1">
      <c r="A109" t="inlineStr">
        <is>
          <t>A 73668-2021</t>
        </is>
      </c>
      <c r="B109" t="inlineStr">
        <is>
          <t>avverkningsanmälan</t>
        </is>
      </c>
      <c r="C109" t="inlineStr">
        <is>
          <t>Föryngringsavverkning</t>
        </is>
      </c>
      <c r="D109" s="1" t="n">
        <v>44552</v>
      </c>
      <c r="E109" s="1" t="n">
        <v>46216</v>
      </c>
      <c r="F109" t="inlineStr">
        <is>
          <t>VÄSTMANLANDS LÄN</t>
        </is>
      </c>
      <c r="G109" t="inlineStr">
        <is>
          <t>SALA</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17897-2022</t>
        </is>
      </c>
      <c r="B110" t="inlineStr">
        <is>
          <t>avverkningsanmälan</t>
        </is>
      </c>
      <c r="C110" t="inlineStr">
        <is>
          <t>Avverkning för annat ändamål</t>
        </is>
      </c>
      <c r="D110" s="1" t="n">
        <v>44683</v>
      </c>
      <c r="E110" s="1" t="n">
        <v>46216</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43103-2022</t>
        </is>
      </c>
      <c r="B111" t="inlineStr">
        <is>
          <t>avverkningsanmälan</t>
        </is>
      </c>
      <c r="C111" t="inlineStr">
        <is>
          <t>Föryngringsavverkning</t>
        </is>
      </c>
      <c r="D111" s="1" t="n">
        <v>44833</v>
      </c>
      <c r="E111" s="1" t="n">
        <v>46216</v>
      </c>
      <c r="F111" t="inlineStr">
        <is>
          <t>VÄSTMANLANDS LÄN</t>
        </is>
      </c>
      <c r="G111" t="inlineStr">
        <is>
          <t>SALA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4281-2022</t>
        </is>
      </c>
      <c r="B112" t="inlineStr">
        <is>
          <t>avverkningsanmälan</t>
        </is>
      </c>
      <c r="C112" t="inlineStr">
        <is>
          <t>Föryngringsavverkning</t>
        </is>
      </c>
      <c r="D112" s="1" t="n">
        <v>44588</v>
      </c>
      <c r="E112" s="1" t="n">
        <v>46216</v>
      </c>
      <c r="F112" t="inlineStr">
        <is>
          <t>VÄSTMANLANDS LÄN</t>
        </is>
      </c>
      <c r="G112" t="inlineStr">
        <is>
          <t>SALA</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73687-2021</t>
        </is>
      </c>
      <c r="B113" t="inlineStr">
        <is>
          <t>avverkningsanmälan</t>
        </is>
      </c>
      <c r="C113" t="inlineStr">
        <is>
          <t>Föryngringsavverkning</t>
        </is>
      </c>
      <c r="D113" s="1" t="n">
        <v>44552</v>
      </c>
      <c r="E113" s="1" t="n">
        <v>46216</v>
      </c>
      <c r="F113" t="inlineStr">
        <is>
          <t>VÄSTMANLANDS LÄN</t>
        </is>
      </c>
      <c r="G113" t="inlineStr">
        <is>
          <t>SALA</t>
        </is>
      </c>
      <c r="I113" t="n">
        <v>5.6</v>
      </c>
      <c r="J113" t="n">
        <v>0</v>
      </c>
      <c r="K113" t="n">
        <v>0</v>
      </c>
      <c r="L113" t="n">
        <v>0</v>
      </c>
      <c r="M113" t="n">
        <v>0</v>
      </c>
      <c r="N113" t="n">
        <v>0</v>
      </c>
      <c r="O113" t="n">
        <v>0</v>
      </c>
      <c r="P113" t="n">
        <v>0</v>
      </c>
      <c r="Q113" t="n">
        <v>0</v>
      </c>
      <c r="R113" t="n">
        <v>0</v>
      </c>
      <c r="S113" t="n">
        <v>0</v>
      </c>
      <c r="T113" t="n">
        <v>0</v>
      </c>
      <c r="U113" s="2" t="inlineStr"/>
    </row>
    <row r="114" ht="15" customHeight="1">
      <c r="A114" t="inlineStr">
        <is>
          <t>A 55733-2022</t>
        </is>
      </c>
      <c r="B114" t="inlineStr">
        <is>
          <t>avverkningsanmälan</t>
        </is>
      </c>
      <c r="C114" t="inlineStr">
        <is>
          <t>Föryngringsavverkning</t>
        </is>
      </c>
      <c r="D114" s="1" t="n">
        <v>44888</v>
      </c>
      <c r="E114" s="1" t="n">
        <v>46216</v>
      </c>
      <c r="F114" t="inlineStr">
        <is>
          <t>VÄSTMANLANDS LÄN</t>
        </is>
      </c>
      <c r="G114" t="inlineStr">
        <is>
          <t>SALA</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19058-2022</t>
        </is>
      </c>
      <c r="B115" t="inlineStr">
        <is>
          <t>avverkningsanmälan</t>
        </is>
      </c>
      <c r="C115" t="inlineStr">
        <is>
          <t>Föryngringsavverkning</t>
        </is>
      </c>
      <c r="D115" s="1" t="n">
        <v>44691</v>
      </c>
      <c r="E115" s="1" t="n">
        <v>46216</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s="2" t="inlineStr"/>
    </row>
    <row r="116" ht="15" customHeight="1">
      <c r="A116" t="inlineStr">
        <is>
          <t>A 73663-2021</t>
        </is>
      </c>
      <c r="B116" t="inlineStr">
        <is>
          <t>avverkningsanmälan</t>
        </is>
      </c>
      <c r="C116" t="inlineStr">
        <is>
          <t>Föryngringsavverkning</t>
        </is>
      </c>
      <c r="D116" s="1" t="n">
        <v>44552</v>
      </c>
      <c r="E116" s="1" t="n">
        <v>46216</v>
      </c>
      <c r="F116" t="inlineStr">
        <is>
          <t>VÄSTMANLANDS LÄN</t>
        </is>
      </c>
      <c r="G116" t="inlineStr">
        <is>
          <t>SALA</t>
        </is>
      </c>
      <c r="I116" t="n">
        <v>1</v>
      </c>
      <c r="J116" t="n">
        <v>0</v>
      </c>
      <c r="K116" t="n">
        <v>0</v>
      </c>
      <c r="L116" t="n">
        <v>0</v>
      </c>
      <c r="M116" t="n">
        <v>0</v>
      </c>
      <c r="N116" t="n">
        <v>0</v>
      </c>
      <c r="O116" t="n">
        <v>0</v>
      </c>
      <c r="P116" t="n">
        <v>0</v>
      </c>
      <c r="Q116" t="n">
        <v>0</v>
      </c>
      <c r="R116" t="n">
        <v>0</v>
      </c>
      <c r="S116" t="n">
        <v>0</v>
      </c>
      <c r="T116" t="n">
        <v>0</v>
      </c>
      <c r="U116" s="2" t="inlineStr"/>
    </row>
    <row r="117" ht="15" customHeight="1">
      <c r="A117" t="inlineStr">
        <is>
          <t>A 939-2022</t>
        </is>
      </c>
      <c r="B117" t="inlineStr">
        <is>
          <t>avverkningsanmälan</t>
        </is>
      </c>
      <c r="C117" t="inlineStr">
        <is>
          <t>Föryngringsavverkning</t>
        </is>
      </c>
      <c r="D117" s="1" t="n">
        <v>44571</v>
      </c>
      <c r="E117" s="1" t="n">
        <v>46216</v>
      </c>
      <c r="F117" t="inlineStr">
        <is>
          <t>VÄSTMANLANDS LÄN</t>
        </is>
      </c>
      <c r="G117" t="inlineStr">
        <is>
          <t>SALA</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6667-2022</t>
        </is>
      </c>
      <c r="B118" t="inlineStr">
        <is>
          <t>avverkningsanmälan</t>
        </is>
      </c>
      <c r="C118" t="inlineStr">
        <is>
          <t>Föryngringsavverkning</t>
        </is>
      </c>
      <c r="D118" s="1" t="n">
        <v>44602</v>
      </c>
      <c r="E118" s="1" t="n">
        <v>46216</v>
      </c>
      <c r="F118" t="inlineStr">
        <is>
          <t>VÄSTMANLANDS LÄN</t>
        </is>
      </c>
      <c r="G118" t="inlineStr">
        <is>
          <t>SALA</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29228-2022</t>
        </is>
      </c>
      <c r="B119" t="inlineStr">
        <is>
          <t>avverkningsanmälan</t>
        </is>
      </c>
      <c r="C119" t="inlineStr">
        <is>
          <t>Föryngringsavverkning</t>
        </is>
      </c>
      <c r="D119" s="1" t="n">
        <v>44750</v>
      </c>
      <c r="E119" s="1" t="n">
        <v>46216</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19760-2022</t>
        </is>
      </c>
      <c r="B120" t="inlineStr">
        <is>
          <t>avverkningsanmälan</t>
        </is>
      </c>
      <c r="C120" t="inlineStr">
        <is>
          <t>Föryngringsavverkning</t>
        </is>
      </c>
      <c r="D120" s="1" t="n">
        <v>44694</v>
      </c>
      <c r="E120" s="1" t="n">
        <v>46216</v>
      </c>
      <c r="F120" t="inlineStr">
        <is>
          <t>VÄSTMANLANDS LÄN</t>
        </is>
      </c>
      <c r="G120" t="inlineStr">
        <is>
          <t>SALA</t>
        </is>
      </c>
      <c r="I120" t="n">
        <v>0.9</v>
      </c>
      <c r="J120" t="n">
        <v>0</v>
      </c>
      <c r="K120" t="n">
        <v>0</v>
      </c>
      <c r="L120" t="n">
        <v>0</v>
      </c>
      <c r="M120" t="n">
        <v>0</v>
      </c>
      <c r="N120" t="n">
        <v>0</v>
      </c>
      <c r="O120" t="n">
        <v>0</v>
      </c>
      <c r="P120" t="n">
        <v>0</v>
      </c>
      <c r="Q120" t="n">
        <v>0</v>
      </c>
      <c r="R120" t="n">
        <v>0</v>
      </c>
      <c r="S120" t="n">
        <v>0</v>
      </c>
      <c r="T120" t="n">
        <v>0</v>
      </c>
      <c r="U120" s="2" t="inlineStr"/>
    </row>
    <row r="121" ht="15" customHeight="1">
      <c r="A121" t="inlineStr">
        <is>
          <t>A 42976-2021</t>
        </is>
      </c>
      <c r="B121" t="inlineStr">
        <is>
          <t>avverkningsanmälan</t>
        </is>
      </c>
      <c r="C121" t="inlineStr">
        <is>
          <t>Föryngringsavverkning</t>
        </is>
      </c>
      <c r="D121" s="1" t="n">
        <v>44431</v>
      </c>
      <c r="E121" s="1" t="n">
        <v>46216</v>
      </c>
      <c r="F121" t="inlineStr">
        <is>
          <t>VÄSTMANLANDS LÄN</t>
        </is>
      </c>
      <c r="G121" t="inlineStr">
        <is>
          <t>SALA</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4237-2022</t>
        </is>
      </c>
      <c r="B122" t="inlineStr">
        <is>
          <t>avverkningsanmälan</t>
        </is>
      </c>
      <c r="C122" t="inlineStr">
        <is>
          <t>Föryngringsavverkning</t>
        </is>
      </c>
      <c r="D122" s="1" t="n">
        <v>44588</v>
      </c>
      <c r="E122" s="1" t="n">
        <v>46216</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51377-2022</t>
        </is>
      </c>
      <c r="B123" t="inlineStr">
        <is>
          <t>avverkningsanmälan</t>
        </is>
      </c>
      <c r="C123" t="inlineStr">
        <is>
          <t>Föryngringsavverkning</t>
        </is>
      </c>
      <c r="D123" s="1" t="n">
        <v>44866</v>
      </c>
      <c r="E123" s="1" t="n">
        <v>46216</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s="2" t="inlineStr"/>
    </row>
    <row r="124" ht="15" customHeight="1">
      <c r="A124" t="inlineStr">
        <is>
          <t>A 68355-2021</t>
        </is>
      </c>
      <c r="B124" t="inlineStr">
        <is>
          <t>avverkningsanmälan</t>
        </is>
      </c>
      <c r="C124" t="inlineStr">
        <is>
          <t>Föryngringsavverkning</t>
        </is>
      </c>
      <c r="D124" s="1" t="n">
        <v>44528</v>
      </c>
      <c r="E124" s="1" t="n">
        <v>46216</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s="2" t="inlineStr"/>
    </row>
    <row r="125" ht="15" customHeight="1">
      <c r="A125" t="inlineStr">
        <is>
          <t>A 44318-2022</t>
        </is>
      </c>
      <c r="B125" t="inlineStr">
        <is>
          <t>avverkningsanmälan</t>
        </is>
      </c>
      <c r="C125" t="inlineStr">
        <is>
          <t>Föryngringsavverkning</t>
        </is>
      </c>
      <c r="D125" s="1" t="n">
        <v>44839</v>
      </c>
      <c r="E125" s="1" t="n">
        <v>46216</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15850-2022</t>
        </is>
      </c>
      <c r="B126" t="inlineStr">
        <is>
          <t>avverkningsanmälan</t>
        </is>
      </c>
      <c r="C126" t="inlineStr">
        <is>
          <t>Föryngringsavverkning</t>
        </is>
      </c>
      <c r="D126" s="1" t="n">
        <v>44664</v>
      </c>
      <c r="E126" s="1" t="n">
        <v>46216</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1043-2022</t>
        </is>
      </c>
      <c r="B127" t="inlineStr">
        <is>
          <t>avverkningsanmälan</t>
        </is>
      </c>
      <c r="C127" t="inlineStr">
        <is>
          <t>Föryngringsavverkning</t>
        </is>
      </c>
      <c r="D127" s="1" t="n">
        <v>44571</v>
      </c>
      <c r="E127" s="1" t="n">
        <v>46216</v>
      </c>
      <c r="F127" t="inlineStr">
        <is>
          <t>VÄSTMANLANDS LÄN</t>
        </is>
      </c>
      <c r="G127" t="inlineStr">
        <is>
          <t>SALA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35921-2021</t>
        </is>
      </c>
      <c r="B128" t="inlineStr">
        <is>
          <t>avverkningsanmälan</t>
        </is>
      </c>
      <c r="C128" t="inlineStr">
        <is>
          <t>Föryngringsavverkning</t>
        </is>
      </c>
      <c r="D128" s="1" t="n">
        <v>44388</v>
      </c>
      <c r="E128" s="1" t="n">
        <v>46216</v>
      </c>
      <c r="F128" t="inlineStr">
        <is>
          <t>VÄSTMANLANDS LÄN</t>
        </is>
      </c>
      <c r="G128" t="inlineStr">
        <is>
          <t>SALA</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37856-2021</t>
        </is>
      </c>
      <c r="B129" t="inlineStr">
        <is>
          <t>avverkningsanmälan</t>
        </is>
      </c>
      <c r="C129" t="inlineStr">
        <is>
          <t>Föryngringsavverkning</t>
        </is>
      </c>
      <c r="D129" s="1" t="n">
        <v>44403</v>
      </c>
      <c r="E129" s="1" t="n">
        <v>46216</v>
      </c>
      <c r="F129" t="inlineStr">
        <is>
          <t>VÄSTMANLANDS LÄN</t>
        </is>
      </c>
      <c r="G129" t="inlineStr">
        <is>
          <t>SALA</t>
        </is>
      </c>
      <c r="I129" t="n">
        <v>3.1</v>
      </c>
      <c r="J129" t="n">
        <v>0</v>
      </c>
      <c r="K129" t="n">
        <v>0</v>
      </c>
      <c r="L129" t="n">
        <v>0</v>
      </c>
      <c r="M129" t="n">
        <v>0</v>
      </c>
      <c r="N129" t="n">
        <v>0</v>
      </c>
      <c r="O129" t="n">
        <v>0</v>
      </c>
      <c r="P129" t="n">
        <v>0</v>
      </c>
      <c r="Q129" t="n">
        <v>0</v>
      </c>
      <c r="R129" t="n">
        <v>0</v>
      </c>
      <c r="S129" t="n">
        <v>0</v>
      </c>
      <c r="T129" t="n">
        <v>0</v>
      </c>
      <c r="U129" s="2" t="inlineStr"/>
    </row>
    <row r="130" ht="15" customHeight="1">
      <c r="A130" t="inlineStr">
        <is>
          <t>A 37872-2021</t>
        </is>
      </c>
      <c r="B130" t="inlineStr">
        <is>
          <t>avverkningsanmälan</t>
        </is>
      </c>
      <c r="C130" t="inlineStr">
        <is>
          <t>Föryngringsavverkning</t>
        </is>
      </c>
      <c r="D130" s="1" t="n">
        <v>44403</v>
      </c>
      <c r="E130" s="1" t="n">
        <v>46216</v>
      </c>
      <c r="F130" t="inlineStr">
        <is>
          <t>VÄSTMANLANDS LÄN</t>
        </is>
      </c>
      <c r="G130" t="inlineStr">
        <is>
          <t>SALA</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65835-2021</t>
        </is>
      </c>
      <c r="B131" t="inlineStr">
        <is>
          <t>avverkningsanmälan</t>
        </is>
      </c>
      <c r="C131" t="inlineStr">
        <is>
          <t>Föryngringsavverkning</t>
        </is>
      </c>
      <c r="D131" s="1" t="n">
        <v>44517</v>
      </c>
      <c r="E131" s="1" t="n">
        <v>46216</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s="2" t="inlineStr"/>
    </row>
    <row r="132" ht="15" customHeight="1">
      <c r="A132" t="inlineStr">
        <is>
          <t>A 44217-2022</t>
        </is>
      </c>
      <c r="B132" t="inlineStr">
        <is>
          <t>avverkningsanmälan</t>
        </is>
      </c>
      <c r="C132" t="inlineStr">
        <is>
          <t>Föryngringsavverkning</t>
        </is>
      </c>
      <c r="D132" s="1" t="n">
        <v>44839</v>
      </c>
      <c r="E132" s="1" t="n">
        <v>46216</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61897-2021</t>
        </is>
      </c>
      <c r="B133" t="inlineStr">
        <is>
          <t>avverkningsanmälan</t>
        </is>
      </c>
      <c r="C133" t="inlineStr">
        <is>
          <t>Föryngringsavverkning</t>
        </is>
      </c>
      <c r="D133" s="1" t="n">
        <v>44502</v>
      </c>
      <c r="E133" s="1" t="n">
        <v>46216</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29235-2022</t>
        </is>
      </c>
      <c r="B134" t="inlineStr">
        <is>
          <t>avverkningsanmälan</t>
        </is>
      </c>
      <c r="C134" t="inlineStr">
        <is>
          <t>Föryngringsavverkning</t>
        </is>
      </c>
      <c r="D134" s="1" t="n">
        <v>44750</v>
      </c>
      <c r="E134" s="1" t="n">
        <v>46216</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23757-2022</t>
        </is>
      </c>
      <c r="B135" t="inlineStr">
        <is>
          <t>avverkningsanmälan</t>
        </is>
      </c>
      <c r="C135" t="inlineStr">
        <is>
          <t>Föryngringsavverkning</t>
        </is>
      </c>
      <c r="D135" s="1" t="n">
        <v>44722</v>
      </c>
      <c r="E135" s="1" t="n">
        <v>46216</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s="2" t="inlineStr"/>
    </row>
    <row r="136" ht="15" customHeight="1">
      <c r="A136" t="inlineStr">
        <is>
          <t>A 51596-2022</t>
        </is>
      </c>
      <c r="B136" t="inlineStr">
        <is>
          <t>avverkningsanmälan</t>
        </is>
      </c>
      <c r="C136" t="inlineStr">
        <is>
          <t>Föryngringsavverkning</t>
        </is>
      </c>
      <c r="D136" s="1" t="n">
        <v>44871</v>
      </c>
      <c r="E136" s="1" t="n">
        <v>46216</v>
      </c>
      <c r="F136" t="inlineStr">
        <is>
          <t>VÄSTMANLANDS LÄN</t>
        </is>
      </c>
      <c r="G136" t="inlineStr">
        <is>
          <t>SALA</t>
        </is>
      </c>
      <c r="H136" t="inlineStr">
        <is>
          <t>Bergvik skog öst AB</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66508-2021</t>
        </is>
      </c>
      <c r="B137" t="inlineStr">
        <is>
          <t>avverkningsanmälan</t>
        </is>
      </c>
      <c r="C137" t="inlineStr">
        <is>
          <t>Föryngringsavverkning</t>
        </is>
      </c>
      <c r="D137" s="1" t="n">
        <v>44519</v>
      </c>
      <c r="E137" s="1" t="n">
        <v>46216</v>
      </c>
      <c r="F137" t="inlineStr">
        <is>
          <t>VÄSTMANLANDS LÄN</t>
        </is>
      </c>
      <c r="G137" t="inlineStr">
        <is>
          <t>SALA</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22811-2022</t>
        </is>
      </c>
      <c r="B138" t="inlineStr">
        <is>
          <t>avverkningsanmälan</t>
        </is>
      </c>
      <c r="C138" t="inlineStr">
        <is>
          <t>Föryngringsavverkning</t>
        </is>
      </c>
      <c r="D138" s="1" t="n">
        <v>44715</v>
      </c>
      <c r="E138" s="1" t="n">
        <v>46216</v>
      </c>
      <c r="F138" t="inlineStr">
        <is>
          <t>VÄSTMANLANDS LÄN</t>
        </is>
      </c>
      <c r="G138" t="inlineStr">
        <is>
          <t>SALA</t>
        </is>
      </c>
      <c r="I138" t="n">
        <v>5</v>
      </c>
      <c r="J138" t="n">
        <v>0</v>
      </c>
      <c r="K138" t="n">
        <v>0</v>
      </c>
      <c r="L138" t="n">
        <v>0</v>
      </c>
      <c r="M138" t="n">
        <v>0</v>
      </c>
      <c r="N138" t="n">
        <v>0</v>
      </c>
      <c r="O138" t="n">
        <v>0</v>
      </c>
      <c r="P138" t="n">
        <v>0</v>
      </c>
      <c r="Q138" t="n">
        <v>0</v>
      </c>
      <c r="R138" t="n">
        <v>0</v>
      </c>
      <c r="S138" t="n">
        <v>0</v>
      </c>
      <c r="T138" t="n">
        <v>0</v>
      </c>
      <c r="U138" s="2" t="inlineStr"/>
    </row>
    <row r="139" ht="15" customHeight="1">
      <c r="A139" t="inlineStr">
        <is>
          <t>A 65213-2021</t>
        </is>
      </c>
      <c r="B139" t="inlineStr">
        <is>
          <t>avverkningsanmälan</t>
        </is>
      </c>
      <c r="C139" t="inlineStr">
        <is>
          <t>Föryngringsavverkning</t>
        </is>
      </c>
      <c r="D139" s="1" t="n">
        <v>44515</v>
      </c>
      <c r="E139" s="1" t="n">
        <v>46216</v>
      </c>
      <c r="F139" t="inlineStr">
        <is>
          <t>VÄSTMANLANDS LÄN</t>
        </is>
      </c>
      <c r="G139" t="inlineStr">
        <is>
          <t>SALA</t>
        </is>
      </c>
      <c r="I139" t="n">
        <v>0.6</v>
      </c>
      <c r="J139" t="n">
        <v>0</v>
      </c>
      <c r="K139" t="n">
        <v>0</v>
      </c>
      <c r="L139" t="n">
        <v>0</v>
      </c>
      <c r="M139" t="n">
        <v>0</v>
      </c>
      <c r="N139" t="n">
        <v>0</v>
      </c>
      <c r="O139" t="n">
        <v>0</v>
      </c>
      <c r="P139" t="n">
        <v>0</v>
      </c>
      <c r="Q139" t="n">
        <v>0</v>
      </c>
      <c r="R139" t="n">
        <v>0</v>
      </c>
      <c r="S139" t="n">
        <v>0</v>
      </c>
      <c r="T139" t="n">
        <v>0</v>
      </c>
      <c r="U139" s="2" t="inlineStr"/>
    </row>
    <row r="140" ht="15" customHeight="1">
      <c r="A140" t="inlineStr">
        <is>
          <t>A 23181-2022</t>
        </is>
      </c>
      <c r="B140" t="inlineStr">
        <is>
          <t>avverkningsanmälan</t>
        </is>
      </c>
      <c r="C140" t="inlineStr">
        <is>
          <t>Föryngringsavverkning</t>
        </is>
      </c>
      <c r="D140" s="1" t="n">
        <v>44719</v>
      </c>
      <c r="E140" s="1" t="n">
        <v>46216</v>
      </c>
      <c r="F140" t="inlineStr">
        <is>
          <t>VÄSTMANLANDS LÄN</t>
        </is>
      </c>
      <c r="G140" t="inlineStr">
        <is>
          <t>SALA</t>
        </is>
      </c>
      <c r="I140" t="n">
        <v>0.8</v>
      </c>
      <c r="J140" t="n">
        <v>0</v>
      </c>
      <c r="K140" t="n">
        <v>0</v>
      </c>
      <c r="L140" t="n">
        <v>0</v>
      </c>
      <c r="M140" t="n">
        <v>0</v>
      </c>
      <c r="N140" t="n">
        <v>0</v>
      </c>
      <c r="O140" t="n">
        <v>0</v>
      </c>
      <c r="P140" t="n">
        <v>0</v>
      </c>
      <c r="Q140" t="n">
        <v>0</v>
      </c>
      <c r="R140" t="n">
        <v>0</v>
      </c>
      <c r="S140" t="n">
        <v>0</v>
      </c>
      <c r="T140" t="n">
        <v>0</v>
      </c>
      <c r="U140" s="2" t="inlineStr"/>
    </row>
    <row r="141" ht="15" customHeight="1">
      <c r="A141" t="inlineStr">
        <is>
          <t>A 65860-2021</t>
        </is>
      </c>
      <c r="B141" t="inlineStr">
        <is>
          <t>avverkningsanmälan</t>
        </is>
      </c>
      <c r="C141" t="inlineStr">
        <is>
          <t>Föryngringsavverkning</t>
        </is>
      </c>
      <c r="D141" s="1" t="n">
        <v>44517</v>
      </c>
      <c r="E141" s="1" t="n">
        <v>46216</v>
      </c>
      <c r="F141" t="inlineStr">
        <is>
          <t>VÄSTMANLANDS LÄN</t>
        </is>
      </c>
      <c r="G141" t="inlineStr">
        <is>
          <t>SALA</t>
        </is>
      </c>
      <c r="I141" t="n">
        <v>0.9</v>
      </c>
      <c r="J141" t="n">
        <v>0</v>
      </c>
      <c r="K141" t="n">
        <v>0</v>
      </c>
      <c r="L141" t="n">
        <v>0</v>
      </c>
      <c r="M141" t="n">
        <v>0</v>
      </c>
      <c r="N141" t="n">
        <v>0</v>
      </c>
      <c r="O141" t="n">
        <v>0</v>
      </c>
      <c r="P141" t="n">
        <v>0</v>
      </c>
      <c r="Q141" t="n">
        <v>0</v>
      </c>
      <c r="R141" t="n">
        <v>0</v>
      </c>
      <c r="S141" t="n">
        <v>0</v>
      </c>
      <c r="T141" t="n">
        <v>0</v>
      </c>
      <c r="U141" s="2" t="inlineStr"/>
    </row>
    <row r="142" ht="15" customHeight="1">
      <c r="A142" t="inlineStr">
        <is>
          <t>A 65818-2021</t>
        </is>
      </c>
      <c r="B142" t="inlineStr">
        <is>
          <t>avverkningsanmälan</t>
        </is>
      </c>
      <c r="C142" t="inlineStr">
        <is>
          <t>Föryngringsavverkning</t>
        </is>
      </c>
      <c r="D142" s="1" t="n">
        <v>44517</v>
      </c>
      <c r="E142" s="1" t="n">
        <v>46216</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s="2" t="inlineStr"/>
    </row>
    <row r="143" ht="15" customHeight="1">
      <c r="A143" t="inlineStr">
        <is>
          <t>A 9050-2022</t>
        </is>
      </c>
      <c r="B143" t="inlineStr">
        <is>
          <t>avverkningsanmälan</t>
        </is>
      </c>
      <c r="C143" t="inlineStr">
        <is>
          <t>Föryngringsavverkning</t>
        </is>
      </c>
      <c r="D143" s="1" t="n">
        <v>44615</v>
      </c>
      <c r="E143" s="1" t="n">
        <v>46216</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s="2" t="inlineStr"/>
    </row>
    <row r="144" ht="15" customHeight="1">
      <c r="A144" t="inlineStr">
        <is>
          <t>A 49254-2022</t>
        </is>
      </c>
      <c r="B144" t="inlineStr">
        <is>
          <t>avverkningsanmälan</t>
        </is>
      </c>
      <c r="C144" t="inlineStr">
        <is>
          <t>Föryngringsavverkning</t>
        </is>
      </c>
      <c r="D144" s="1" t="n">
        <v>44861</v>
      </c>
      <c r="E144" s="1" t="n">
        <v>46216</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67962-2021</t>
        </is>
      </c>
      <c r="B145" t="inlineStr">
        <is>
          <t>avverkningsanmälan</t>
        </is>
      </c>
      <c r="C145" t="inlineStr">
        <is>
          <t>Avverkning för annat ändamål</t>
        </is>
      </c>
      <c r="D145" s="1" t="n">
        <v>44525</v>
      </c>
      <c r="E145" s="1" t="n">
        <v>46216</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s="2" t="inlineStr"/>
    </row>
    <row r="146" ht="15" customHeight="1">
      <c r="A146" t="inlineStr">
        <is>
          <t>A 24882-2022</t>
        </is>
      </c>
      <c r="B146" t="inlineStr">
        <is>
          <t>avverkningsanmälan</t>
        </is>
      </c>
      <c r="C146" t="inlineStr">
        <is>
          <t>Föryngringsavverkning</t>
        </is>
      </c>
      <c r="D146" s="1" t="n">
        <v>44728</v>
      </c>
      <c r="E146" s="1" t="n">
        <v>46216</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s="2" t="inlineStr"/>
    </row>
    <row r="147" ht="15" customHeight="1">
      <c r="A147" t="inlineStr">
        <is>
          <t>A 70218-2021</t>
        </is>
      </c>
      <c r="B147" t="inlineStr">
        <is>
          <t>avverkningsanmälan</t>
        </is>
      </c>
      <c r="C147" t="inlineStr">
        <is>
          <t>Föryngringsavverkning</t>
        </is>
      </c>
      <c r="D147" s="1" t="n">
        <v>44535</v>
      </c>
      <c r="E147" s="1" t="n">
        <v>46216</v>
      </c>
      <c r="F147" t="inlineStr">
        <is>
          <t>VÄSTMANLANDS LÄN</t>
        </is>
      </c>
      <c r="G147" t="inlineStr">
        <is>
          <t>SALA</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3204-2022</t>
        </is>
      </c>
      <c r="B148" t="inlineStr">
        <is>
          <t>avverkningsanmälan</t>
        </is>
      </c>
      <c r="C148" t="inlineStr">
        <is>
          <t>Föryngringsavverkning</t>
        </is>
      </c>
      <c r="D148" s="1" t="n">
        <v>44582</v>
      </c>
      <c r="E148" s="1" t="n">
        <v>46216</v>
      </c>
      <c r="F148" t="inlineStr">
        <is>
          <t>VÄSTMANLANDS LÄN</t>
        </is>
      </c>
      <c r="G148" t="inlineStr">
        <is>
          <t>SALA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9075-2022</t>
        </is>
      </c>
      <c r="B149" t="inlineStr">
        <is>
          <t>avverkningsanmälan</t>
        </is>
      </c>
      <c r="C149" t="inlineStr">
        <is>
          <t>Föryngringsavverkning</t>
        </is>
      </c>
      <c r="D149" s="1" t="n">
        <v>44615</v>
      </c>
      <c r="E149" s="1" t="n">
        <v>46216</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29002-2022</t>
        </is>
      </c>
      <c r="B150" t="inlineStr">
        <is>
          <t>avverkningsanmälan</t>
        </is>
      </c>
      <c r="C150" t="inlineStr">
        <is>
          <t>Föryngringsavverkning</t>
        </is>
      </c>
      <c r="D150" s="1" t="n">
        <v>44749</v>
      </c>
      <c r="E150" s="1" t="n">
        <v>46216</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s="2" t="inlineStr"/>
    </row>
    <row r="151" ht="15" customHeight="1">
      <c r="A151" t="inlineStr">
        <is>
          <t>A 66830-2021</t>
        </is>
      </c>
      <c r="B151" t="inlineStr">
        <is>
          <t>avverkningsanmälan</t>
        </is>
      </c>
      <c r="C151" t="inlineStr">
        <is>
          <t>Föryngringsavverkning</t>
        </is>
      </c>
      <c r="D151" s="1" t="n">
        <v>44522</v>
      </c>
      <c r="E151" s="1" t="n">
        <v>46216</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28402-2022</t>
        </is>
      </c>
      <c r="B152" t="inlineStr">
        <is>
          <t>avverkningsanmälan</t>
        </is>
      </c>
      <c r="C152" t="inlineStr">
        <is>
          <t>Föryngringsavverkning</t>
        </is>
      </c>
      <c r="D152" s="1" t="n">
        <v>44747</v>
      </c>
      <c r="E152" s="1" t="n">
        <v>46216</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73606-2021</t>
        </is>
      </c>
      <c r="B153" t="inlineStr">
        <is>
          <t>avverkningsanmälan</t>
        </is>
      </c>
      <c r="C153" t="inlineStr">
        <is>
          <t>Föryngringsavverkning</t>
        </is>
      </c>
      <c r="D153" s="1" t="n">
        <v>44552</v>
      </c>
      <c r="E153" s="1" t="n">
        <v>46216</v>
      </c>
      <c r="F153" t="inlineStr">
        <is>
          <t>VÄSTMANLANDS LÄN</t>
        </is>
      </c>
      <c r="G153" t="inlineStr">
        <is>
          <t>SALA</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53735-2022</t>
        </is>
      </c>
      <c r="B154" t="inlineStr">
        <is>
          <t>avverkningsanmälan</t>
        </is>
      </c>
      <c r="C154" t="inlineStr">
        <is>
          <t>Föryngringsavverkning</t>
        </is>
      </c>
      <c r="D154" s="1" t="n">
        <v>44880</v>
      </c>
      <c r="E154" s="1" t="n">
        <v>46216</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s="2" t="inlineStr"/>
    </row>
    <row r="155" ht="15" customHeight="1">
      <c r="A155" t="inlineStr">
        <is>
          <t>A 65856-2021</t>
        </is>
      </c>
      <c r="B155" t="inlineStr">
        <is>
          <t>avverkningsanmälan</t>
        </is>
      </c>
      <c r="C155" t="inlineStr">
        <is>
          <t>Föryngringsavverkning</t>
        </is>
      </c>
      <c r="D155" s="1" t="n">
        <v>44517</v>
      </c>
      <c r="E155" s="1" t="n">
        <v>46216</v>
      </c>
      <c r="F155" t="inlineStr">
        <is>
          <t>VÄSTMANLANDS LÄN</t>
        </is>
      </c>
      <c r="G155" t="inlineStr">
        <is>
          <t>SALA</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44224-2022</t>
        </is>
      </c>
      <c r="B156" t="inlineStr">
        <is>
          <t>avverkningsanmälan</t>
        </is>
      </c>
      <c r="C156" t="inlineStr">
        <is>
          <t>Föryngringsavverkning</t>
        </is>
      </c>
      <c r="D156" s="1" t="n">
        <v>44839</v>
      </c>
      <c r="E156" s="1" t="n">
        <v>46216</v>
      </c>
      <c r="F156" t="inlineStr">
        <is>
          <t>VÄSTMANLANDS LÄN</t>
        </is>
      </c>
      <c r="G156" t="inlineStr">
        <is>
          <t>SALA</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25603-2022</t>
        </is>
      </c>
      <c r="B157" t="inlineStr">
        <is>
          <t>avverkningsanmälan</t>
        </is>
      </c>
      <c r="C157" t="inlineStr">
        <is>
          <t>Föryngringsavverkning</t>
        </is>
      </c>
      <c r="D157" s="1" t="n">
        <v>44732</v>
      </c>
      <c r="E157" s="1" t="n">
        <v>46216</v>
      </c>
      <c r="F157" t="inlineStr">
        <is>
          <t>VÄSTMANLANDS LÄN</t>
        </is>
      </c>
      <c r="G157" t="inlineStr">
        <is>
          <t>SALA</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53628-2022</t>
        </is>
      </c>
      <c r="B158" t="inlineStr">
        <is>
          <t>avverkningsanmälan</t>
        </is>
      </c>
      <c r="C158" t="inlineStr">
        <is>
          <t>Föryngringsavverkning</t>
        </is>
      </c>
      <c r="D158" s="1" t="n">
        <v>44879</v>
      </c>
      <c r="E158" s="1" t="n">
        <v>46216</v>
      </c>
      <c r="F158" t="inlineStr">
        <is>
          <t>VÄSTMANLANDS LÄN</t>
        </is>
      </c>
      <c r="G158" t="inlineStr">
        <is>
          <t>SALA</t>
        </is>
      </c>
      <c r="I158" t="n">
        <v>2.7</v>
      </c>
      <c r="J158" t="n">
        <v>0</v>
      </c>
      <c r="K158" t="n">
        <v>0</v>
      </c>
      <c r="L158" t="n">
        <v>0</v>
      </c>
      <c r="M158" t="n">
        <v>0</v>
      </c>
      <c r="N158" t="n">
        <v>0</v>
      </c>
      <c r="O158" t="n">
        <v>0</v>
      </c>
      <c r="P158" t="n">
        <v>0</v>
      </c>
      <c r="Q158" t="n">
        <v>0</v>
      </c>
      <c r="R158" t="n">
        <v>0</v>
      </c>
      <c r="S158" t="n">
        <v>0</v>
      </c>
      <c r="T158" t="n">
        <v>0</v>
      </c>
      <c r="U158" s="2" t="inlineStr"/>
    </row>
    <row r="159" ht="15" customHeight="1">
      <c r="A159" t="inlineStr">
        <is>
          <t>A 23847-2022</t>
        </is>
      </c>
      <c r="B159" t="inlineStr">
        <is>
          <t>avverkningsanmälan</t>
        </is>
      </c>
      <c r="C159" t="inlineStr">
        <is>
          <t>Föryngringsavverkning</t>
        </is>
      </c>
      <c r="D159" s="1" t="n">
        <v>44722</v>
      </c>
      <c r="E159" s="1" t="n">
        <v>46216</v>
      </c>
      <c r="F159" t="inlineStr">
        <is>
          <t>VÄSTMANLANDS LÄN</t>
        </is>
      </c>
      <c r="G159" t="inlineStr">
        <is>
          <t>SALA</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22562-2022</t>
        </is>
      </c>
      <c r="B160" t="inlineStr">
        <is>
          <t>avverkningsanmälan</t>
        </is>
      </c>
      <c r="C160" t="inlineStr">
        <is>
          <t>Föryngringsavverkning</t>
        </is>
      </c>
      <c r="D160" s="1" t="n">
        <v>44713</v>
      </c>
      <c r="E160" s="1" t="n">
        <v>46216</v>
      </c>
      <c r="F160" t="inlineStr">
        <is>
          <t>VÄSTMANLANDS LÄN</t>
        </is>
      </c>
      <c r="G160" t="inlineStr">
        <is>
          <t>SALA</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65353-2021</t>
        </is>
      </c>
      <c r="B161" t="inlineStr">
        <is>
          <t>avverkningsanmälan</t>
        </is>
      </c>
      <c r="C161" t="inlineStr">
        <is>
          <t>Föryngringsavverkning</t>
        </is>
      </c>
      <c r="D161" s="1" t="n">
        <v>44515</v>
      </c>
      <c r="E161" s="1" t="n">
        <v>46216</v>
      </c>
      <c r="F161" t="inlineStr">
        <is>
          <t>VÄSTMANLANDS LÄN</t>
        </is>
      </c>
      <c r="G161" t="inlineStr">
        <is>
          <t>SALA</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22575-2022</t>
        </is>
      </c>
      <c r="B162" t="inlineStr">
        <is>
          <t>avverkningsanmälan</t>
        </is>
      </c>
      <c r="C162" t="inlineStr">
        <is>
          <t>Föryngringsavverkning</t>
        </is>
      </c>
      <c r="D162" s="1" t="n">
        <v>44713</v>
      </c>
      <c r="E162" s="1" t="n">
        <v>46216</v>
      </c>
      <c r="F162" t="inlineStr">
        <is>
          <t>VÄSTMANLANDS LÄN</t>
        </is>
      </c>
      <c r="G162" t="inlineStr">
        <is>
          <t>SALA</t>
        </is>
      </c>
      <c r="I162" t="n">
        <v>0.7</v>
      </c>
      <c r="J162" t="n">
        <v>0</v>
      </c>
      <c r="K162" t="n">
        <v>0</v>
      </c>
      <c r="L162" t="n">
        <v>0</v>
      </c>
      <c r="M162" t="n">
        <v>0</v>
      </c>
      <c r="N162" t="n">
        <v>0</v>
      </c>
      <c r="O162" t="n">
        <v>0</v>
      </c>
      <c r="P162" t="n">
        <v>0</v>
      </c>
      <c r="Q162" t="n">
        <v>0</v>
      </c>
      <c r="R162" t="n">
        <v>0</v>
      </c>
      <c r="S162" t="n">
        <v>0</v>
      </c>
      <c r="T162" t="n">
        <v>0</v>
      </c>
      <c r="U162" s="2" t="inlineStr"/>
    </row>
    <row r="163" ht="15" customHeight="1">
      <c r="A163" t="inlineStr">
        <is>
          <t>A 40094-2022</t>
        </is>
      </c>
      <c r="B163" t="inlineStr">
        <is>
          <t>avverkningsanmälan</t>
        </is>
      </c>
      <c r="C163" t="inlineStr">
        <is>
          <t>Föryngringsavverkning</t>
        </is>
      </c>
      <c r="D163" s="1" t="n">
        <v>44819</v>
      </c>
      <c r="E163" s="1" t="n">
        <v>46216</v>
      </c>
      <c r="F163" t="inlineStr">
        <is>
          <t>VÄSTMANLANDS LÄN</t>
        </is>
      </c>
      <c r="G163" t="inlineStr">
        <is>
          <t>SALA</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53630-2022</t>
        </is>
      </c>
      <c r="B164" t="inlineStr">
        <is>
          <t>avverkningsanmälan</t>
        </is>
      </c>
      <c r="C164" t="inlineStr">
        <is>
          <t>Föryngringsavverkning</t>
        </is>
      </c>
      <c r="D164" s="1" t="n">
        <v>44879</v>
      </c>
      <c r="E164" s="1" t="n">
        <v>46216</v>
      </c>
      <c r="F164" t="inlineStr">
        <is>
          <t>VÄSTMANLANDS LÄN</t>
        </is>
      </c>
      <c r="G164" t="inlineStr">
        <is>
          <t>SALA</t>
        </is>
      </c>
      <c r="I164" t="n">
        <v>0.7</v>
      </c>
      <c r="J164" t="n">
        <v>0</v>
      </c>
      <c r="K164" t="n">
        <v>0</v>
      </c>
      <c r="L164" t="n">
        <v>0</v>
      </c>
      <c r="M164" t="n">
        <v>0</v>
      </c>
      <c r="N164" t="n">
        <v>0</v>
      </c>
      <c r="O164" t="n">
        <v>0</v>
      </c>
      <c r="P164" t="n">
        <v>0</v>
      </c>
      <c r="Q164" t="n">
        <v>0</v>
      </c>
      <c r="R164" t="n">
        <v>0</v>
      </c>
      <c r="S164" t="n">
        <v>0</v>
      </c>
      <c r="T164" t="n">
        <v>0</v>
      </c>
      <c r="U164" s="2" t="inlineStr"/>
    </row>
    <row r="165" ht="15" customHeight="1">
      <c r="A165" t="inlineStr">
        <is>
          <t>A 72405-2021</t>
        </is>
      </c>
      <c r="B165" t="inlineStr">
        <is>
          <t>avverkningsanmälan</t>
        </is>
      </c>
      <c r="C165" t="inlineStr">
        <is>
          <t>Föryngringsavverkning</t>
        </is>
      </c>
      <c r="D165" s="1" t="n">
        <v>44545</v>
      </c>
      <c r="E165" s="1" t="n">
        <v>46216</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s="2" t="inlineStr"/>
    </row>
    <row r="166" ht="15" customHeight="1">
      <c r="A166" t="inlineStr">
        <is>
          <t>A 63290-2021</t>
        </is>
      </c>
      <c r="B166" t="inlineStr">
        <is>
          <t>avverkningsanmälan</t>
        </is>
      </c>
      <c r="C166" t="inlineStr">
        <is>
          <t>Föryngringsavverkning</t>
        </is>
      </c>
      <c r="D166" s="1" t="n">
        <v>44505</v>
      </c>
      <c r="E166" s="1" t="n">
        <v>46216</v>
      </c>
      <c r="F166" t="inlineStr">
        <is>
          <t>VÄSTMANLANDS LÄN</t>
        </is>
      </c>
      <c r="G166" t="inlineStr">
        <is>
          <t>SALA</t>
        </is>
      </c>
      <c r="I166" t="n">
        <v>0.9</v>
      </c>
      <c r="J166" t="n">
        <v>0</v>
      </c>
      <c r="K166" t="n">
        <v>0</v>
      </c>
      <c r="L166" t="n">
        <v>0</v>
      </c>
      <c r="M166" t="n">
        <v>0</v>
      </c>
      <c r="N166" t="n">
        <v>0</v>
      </c>
      <c r="O166" t="n">
        <v>0</v>
      </c>
      <c r="P166" t="n">
        <v>0</v>
      </c>
      <c r="Q166" t="n">
        <v>0</v>
      </c>
      <c r="R166" t="n">
        <v>0</v>
      </c>
      <c r="S166" t="n">
        <v>0</v>
      </c>
      <c r="T166" t="n">
        <v>0</v>
      </c>
      <c r="U166" s="2" t="inlineStr"/>
    </row>
    <row r="167" ht="15" customHeight="1">
      <c r="A167" t="inlineStr">
        <is>
          <t>A 37881-2021</t>
        </is>
      </c>
      <c r="B167" t="inlineStr">
        <is>
          <t>avverkningsanmälan</t>
        </is>
      </c>
      <c r="C167" t="inlineStr">
        <is>
          <t>Föryngringsavverkning</t>
        </is>
      </c>
      <c r="D167" s="1" t="n">
        <v>44403</v>
      </c>
      <c r="E167" s="1" t="n">
        <v>46216</v>
      </c>
      <c r="F167" t="inlineStr">
        <is>
          <t>VÄSTMANLANDS LÄN</t>
        </is>
      </c>
      <c r="G167" t="inlineStr">
        <is>
          <t>SALA</t>
        </is>
      </c>
      <c r="I167" t="n">
        <v>4.6</v>
      </c>
      <c r="J167" t="n">
        <v>0</v>
      </c>
      <c r="K167" t="n">
        <v>0</v>
      </c>
      <c r="L167" t="n">
        <v>0</v>
      </c>
      <c r="M167" t="n">
        <v>0</v>
      </c>
      <c r="N167" t="n">
        <v>0</v>
      </c>
      <c r="O167" t="n">
        <v>0</v>
      </c>
      <c r="P167" t="n">
        <v>0</v>
      </c>
      <c r="Q167" t="n">
        <v>0</v>
      </c>
      <c r="R167" t="n">
        <v>0</v>
      </c>
      <c r="S167" t="n">
        <v>0</v>
      </c>
      <c r="T167" t="n">
        <v>0</v>
      </c>
      <c r="U167" s="2" t="inlineStr"/>
    </row>
    <row r="168" ht="15" customHeight="1">
      <c r="A168" t="inlineStr">
        <is>
          <t>A 72808-2021</t>
        </is>
      </c>
      <c r="B168" t="inlineStr">
        <is>
          <t>avverkningsanmälan</t>
        </is>
      </c>
      <c r="C168" t="inlineStr">
        <is>
          <t>Föryngringsavverkning</t>
        </is>
      </c>
      <c r="D168" s="1" t="n">
        <v>44546</v>
      </c>
      <c r="E168" s="1" t="n">
        <v>46216</v>
      </c>
      <c r="F168" t="inlineStr">
        <is>
          <t>VÄSTMANLANDS LÄN</t>
        </is>
      </c>
      <c r="G168" t="inlineStr">
        <is>
          <t>SALA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73519-2021</t>
        </is>
      </c>
      <c r="B169" t="inlineStr">
        <is>
          <t>avverkningsanmälan</t>
        </is>
      </c>
      <c r="C169" t="inlineStr">
        <is>
          <t>Avverkning för annat ändamål</t>
        </is>
      </c>
      <c r="D169" s="1" t="n">
        <v>44551</v>
      </c>
      <c r="E169" s="1" t="n">
        <v>46216</v>
      </c>
      <c r="F169" t="inlineStr">
        <is>
          <t>VÄSTMANLANDS LÄN</t>
        </is>
      </c>
      <c r="G169" t="inlineStr">
        <is>
          <t>SALA</t>
        </is>
      </c>
      <c r="I169" t="n">
        <v>0.3</v>
      </c>
      <c r="J169" t="n">
        <v>0</v>
      </c>
      <c r="K169" t="n">
        <v>0</v>
      </c>
      <c r="L169" t="n">
        <v>0</v>
      </c>
      <c r="M169" t="n">
        <v>0</v>
      </c>
      <c r="N169" t="n">
        <v>0</v>
      </c>
      <c r="O169" t="n">
        <v>0</v>
      </c>
      <c r="P169" t="n">
        <v>0</v>
      </c>
      <c r="Q169" t="n">
        <v>0</v>
      </c>
      <c r="R169" t="n">
        <v>0</v>
      </c>
      <c r="S169" t="n">
        <v>0</v>
      </c>
      <c r="T169" t="n">
        <v>0</v>
      </c>
      <c r="U169" s="2" t="inlineStr"/>
    </row>
    <row r="170" ht="15" customHeight="1">
      <c r="A170" t="inlineStr">
        <is>
          <t>A 29233-2022</t>
        </is>
      </c>
      <c r="B170" t="inlineStr">
        <is>
          <t>avverkningsanmälan</t>
        </is>
      </c>
      <c r="C170" t="inlineStr">
        <is>
          <t>Föryngringsavverkning</t>
        </is>
      </c>
      <c r="D170" s="1" t="n">
        <v>44750</v>
      </c>
      <c r="E170" s="1" t="n">
        <v>46216</v>
      </c>
      <c r="F170" t="inlineStr">
        <is>
          <t>VÄSTMANLANDS LÄN</t>
        </is>
      </c>
      <c r="G170" t="inlineStr">
        <is>
          <t>SALA</t>
        </is>
      </c>
      <c r="I170" t="n">
        <v>2.4</v>
      </c>
      <c r="J170" t="n">
        <v>0</v>
      </c>
      <c r="K170" t="n">
        <v>0</v>
      </c>
      <c r="L170" t="n">
        <v>0</v>
      </c>
      <c r="M170" t="n">
        <v>0</v>
      </c>
      <c r="N170" t="n">
        <v>0</v>
      </c>
      <c r="O170" t="n">
        <v>0</v>
      </c>
      <c r="P170" t="n">
        <v>0</v>
      </c>
      <c r="Q170" t="n">
        <v>0</v>
      </c>
      <c r="R170" t="n">
        <v>0</v>
      </c>
      <c r="S170" t="n">
        <v>0</v>
      </c>
      <c r="T170" t="n">
        <v>0</v>
      </c>
      <c r="U170" s="2" t="inlineStr"/>
    </row>
    <row r="171" ht="15" customHeight="1">
      <c r="A171" t="inlineStr">
        <is>
          <t>A 41876-2022</t>
        </is>
      </c>
      <c r="B171" t="inlineStr">
        <is>
          <t>avverkningsanmälan</t>
        </is>
      </c>
      <c r="C171" t="inlineStr">
        <is>
          <t>Föryngringsavverkning</t>
        </is>
      </c>
      <c r="D171" s="1" t="n">
        <v>44829</v>
      </c>
      <c r="E171" s="1" t="n">
        <v>46216</v>
      </c>
      <c r="F171" t="inlineStr">
        <is>
          <t>VÄSTMANLANDS LÄN</t>
        </is>
      </c>
      <c r="G171" t="inlineStr">
        <is>
          <t>SALA</t>
        </is>
      </c>
      <c r="I171" t="n">
        <v>3.6</v>
      </c>
      <c r="J171" t="n">
        <v>0</v>
      </c>
      <c r="K171" t="n">
        <v>0</v>
      </c>
      <c r="L171" t="n">
        <v>0</v>
      </c>
      <c r="M171" t="n">
        <v>0</v>
      </c>
      <c r="N171" t="n">
        <v>0</v>
      </c>
      <c r="O171" t="n">
        <v>0</v>
      </c>
      <c r="P171" t="n">
        <v>0</v>
      </c>
      <c r="Q171" t="n">
        <v>0</v>
      </c>
      <c r="R171" t="n">
        <v>0</v>
      </c>
      <c r="S171" t="n">
        <v>0</v>
      </c>
      <c r="T171" t="n">
        <v>0</v>
      </c>
      <c r="U171" s="2" t="inlineStr"/>
    </row>
    <row r="172" ht="15" customHeight="1">
      <c r="A172" t="inlineStr">
        <is>
          <t>A 67958-2021</t>
        </is>
      </c>
      <c r="B172" t="inlineStr">
        <is>
          <t>avverkningsanmälan</t>
        </is>
      </c>
      <c r="C172" t="inlineStr">
        <is>
          <t>Avverkning för annat ändamål</t>
        </is>
      </c>
      <c r="D172" s="1" t="n">
        <v>44525</v>
      </c>
      <c r="E172" s="1" t="n">
        <v>46216</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67965-2021</t>
        </is>
      </c>
      <c r="B173" t="inlineStr">
        <is>
          <t>avverkningsanmälan</t>
        </is>
      </c>
      <c r="C173" t="inlineStr">
        <is>
          <t>Avverkning för annat ändamål</t>
        </is>
      </c>
      <c r="D173" s="1" t="n">
        <v>44525</v>
      </c>
      <c r="E173" s="1" t="n">
        <v>46216</v>
      </c>
      <c r="F173" t="inlineStr">
        <is>
          <t>VÄSTMANLANDS LÄN</t>
        </is>
      </c>
      <c r="G173" t="inlineStr">
        <is>
          <t>SALA</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45015-2022</t>
        </is>
      </c>
      <c r="B174" t="inlineStr">
        <is>
          <t>avverkningsanmälan</t>
        </is>
      </c>
      <c r="C174" t="inlineStr">
        <is>
          <t>Föryngringsavverkning</t>
        </is>
      </c>
      <c r="D174" s="1" t="n">
        <v>44841</v>
      </c>
      <c r="E174" s="1" t="n">
        <v>46216</v>
      </c>
      <c r="F174" t="inlineStr">
        <is>
          <t>VÄSTMANLANDS LÄN</t>
        </is>
      </c>
      <c r="G174" t="inlineStr">
        <is>
          <t>SALA</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10168-2022</t>
        </is>
      </c>
      <c r="B175" t="inlineStr">
        <is>
          <t>avverkningsanmälan</t>
        </is>
      </c>
      <c r="C175" t="inlineStr">
        <is>
          <t>Föryngringsavverkning</t>
        </is>
      </c>
      <c r="D175" s="1" t="n">
        <v>44622</v>
      </c>
      <c r="E175" s="1" t="n">
        <v>46216</v>
      </c>
      <c r="F175" t="inlineStr">
        <is>
          <t>VÄSTMANLANDS LÄN</t>
        </is>
      </c>
      <c r="G175" t="inlineStr">
        <is>
          <t>SALA</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57000-2021</t>
        </is>
      </c>
      <c r="B176" t="inlineStr">
        <is>
          <t>avverkningsanmälan</t>
        </is>
      </c>
      <c r="C176" t="inlineStr">
        <is>
          <t>Föryngringsavverkning</t>
        </is>
      </c>
      <c r="D176" s="1" t="n">
        <v>44482</v>
      </c>
      <c r="E176" s="1" t="n">
        <v>46216</v>
      </c>
      <c r="F176" t="inlineStr">
        <is>
          <t>VÄSTMANLANDS LÄN</t>
        </is>
      </c>
      <c r="G176" t="inlineStr">
        <is>
          <t>SALA</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64932-2021</t>
        </is>
      </c>
      <c r="B177" t="inlineStr">
        <is>
          <t>avverkningsanmälan</t>
        </is>
      </c>
      <c r="C177" t="inlineStr">
        <is>
          <t>Föryngringsavverkning</t>
        </is>
      </c>
      <c r="D177" s="1" t="n">
        <v>44512</v>
      </c>
      <c r="E177" s="1" t="n">
        <v>46216</v>
      </c>
      <c r="F177" t="inlineStr">
        <is>
          <t>VÄSTMANLANDS LÄN</t>
        </is>
      </c>
      <c r="G177" t="inlineStr">
        <is>
          <t>SALA</t>
        </is>
      </c>
      <c r="I177" t="n">
        <v>0.8</v>
      </c>
      <c r="J177" t="n">
        <v>0</v>
      </c>
      <c r="K177" t="n">
        <v>0</v>
      </c>
      <c r="L177" t="n">
        <v>0</v>
      </c>
      <c r="M177" t="n">
        <v>0</v>
      </c>
      <c r="N177" t="n">
        <v>0</v>
      </c>
      <c r="O177" t="n">
        <v>0</v>
      </c>
      <c r="P177" t="n">
        <v>0</v>
      </c>
      <c r="Q177" t="n">
        <v>0</v>
      </c>
      <c r="R177" t="n">
        <v>0</v>
      </c>
      <c r="S177" t="n">
        <v>0</v>
      </c>
      <c r="T177" t="n">
        <v>0</v>
      </c>
      <c r="U177" s="2" t="inlineStr"/>
    </row>
    <row r="178" ht="15" customHeight="1">
      <c r="A178" t="inlineStr">
        <is>
          <t>A 54910-2023</t>
        </is>
      </c>
      <c r="B178" t="inlineStr">
        <is>
          <t>avverkningsanmälan</t>
        </is>
      </c>
      <c r="C178" t="inlineStr">
        <is>
          <t>Föryngringsavverkning</t>
        </is>
      </c>
      <c r="D178" s="1" t="n">
        <v>45229</v>
      </c>
      <c r="E178" s="1" t="n">
        <v>46216</v>
      </c>
      <c r="F178" t="inlineStr">
        <is>
          <t>VÄSTMANLANDS LÄN</t>
        </is>
      </c>
      <c r="G178" t="inlineStr">
        <is>
          <t>SALA</t>
        </is>
      </c>
      <c r="I178" t="n">
        <v>2.4</v>
      </c>
      <c r="J178" t="n">
        <v>0</v>
      </c>
      <c r="K178" t="n">
        <v>0</v>
      </c>
      <c r="L178" t="n">
        <v>0</v>
      </c>
      <c r="M178" t="n">
        <v>0</v>
      </c>
      <c r="N178" t="n">
        <v>0</v>
      </c>
      <c r="O178" t="n">
        <v>0</v>
      </c>
      <c r="P178" t="n">
        <v>0</v>
      </c>
      <c r="Q178" t="n">
        <v>0</v>
      </c>
      <c r="R178" t="n">
        <v>0</v>
      </c>
      <c r="S178" t="n">
        <v>0</v>
      </c>
      <c r="T178" t="n">
        <v>0</v>
      </c>
      <c r="U178" s="2" t="inlineStr"/>
    </row>
    <row r="179" ht="15" customHeight="1">
      <c r="A179" t="inlineStr">
        <is>
          <t>A 62449-2023</t>
        </is>
      </c>
      <c r="B179" t="inlineStr">
        <is>
          <t>avverkningsanmälan</t>
        </is>
      </c>
      <c r="C179" t="inlineStr">
        <is>
          <t>Föryngringsavverkning</t>
        </is>
      </c>
      <c r="D179" s="1" t="n">
        <v>45268</v>
      </c>
      <c r="E179" s="1" t="n">
        <v>46216</v>
      </c>
      <c r="F179" t="inlineStr">
        <is>
          <t>VÄSTMANLANDS LÄN</t>
        </is>
      </c>
      <c r="G179" t="inlineStr">
        <is>
          <t>SALA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14024-2025</t>
        </is>
      </c>
      <c r="B180" t="inlineStr">
        <is>
          <t>avverkningsanmälan</t>
        </is>
      </c>
      <c r="C180" t="inlineStr">
        <is>
          <t>Föryngringsavverkning</t>
        </is>
      </c>
      <c r="D180" s="1" t="n">
        <v>45740</v>
      </c>
      <c r="E180" s="1" t="n">
        <v>46216</v>
      </c>
      <c r="F180" t="inlineStr">
        <is>
          <t>VÄSTMANLANDS LÄN</t>
        </is>
      </c>
      <c r="G180" t="inlineStr">
        <is>
          <t>SALA</t>
        </is>
      </c>
      <c r="I180" t="n">
        <v>1.1</v>
      </c>
      <c r="J180" t="n">
        <v>0</v>
      </c>
      <c r="K180" t="n">
        <v>0</v>
      </c>
      <c r="L180" t="n">
        <v>0</v>
      </c>
      <c r="M180" t="n">
        <v>0</v>
      </c>
      <c r="N180" t="n">
        <v>0</v>
      </c>
      <c r="O180" t="n">
        <v>0</v>
      </c>
      <c r="P180" t="n">
        <v>0</v>
      </c>
      <c r="Q180" t="n">
        <v>0</v>
      </c>
      <c r="R180" t="n">
        <v>0</v>
      </c>
      <c r="S180" t="n">
        <v>0</v>
      </c>
      <c r="T180" t="n">
        <v>0</v>
      </c>
      <c r="U180" s="2" t="inlineStr"/>
    </row>
    <row r="181" ht="15" customHeight="1">
      <c r="A181" t="inlineStr">
        <is>
          <t>A 17458-2024</t>
        </is>
      </c>
      <c r="B181" t="inlineStr">
        <is>
          <t>avverkningsanmälan</t>
        </is>
      </c>
      <c r="C181" t="inlineStr">
        <is>
          <t>Föryngringsavverkning</t>
        </is>
      </c>
      <c r="D181" s="1" t="n">
        <v>45415</v>
      </c>
      <c r="E181" s="1" t="n">
        <v>46216</v>
      </c>
      <c r="F181" t="inlineStr">
        <is>
          <t>VÄSTMANLANDS LÄN</t>
        </is>
      </c>
      <c r="G181" t="inlineStr">
        <is>
          <t>SALA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58107-2021</t>
        </is>
      </c>
      <c r="B182" t="inlineStr">
        <is>
          <t>avverkningsanmälan</t>
        </is>
      </c>
      <c r="C182" t="inlineStr">
        <is>
          <t>Föryngringsavverkning</t>
        </is>
      </c>
      <c r="D182" s="1" t="n">
        <v>44487</v>
      </c>
      <c r="E182" s="1" t="n">
        <v>46216</v>
      </c>
      <c r="F182" t="inlineStr">
        <is>
          <t>VÄSTMANLANDS LÄN</t>
        </is>
      </c>
      <c r="G182" t="inlineStr">
        <is>
          <t>SALA</t>
        </is>
      </c>
      <c r="H182" t="inlineStr">
        <is>
          <t>Sveaskog</t>
        </is>
      </c>
      <c r="I182" t="n">
        <v>2.8</v>
      </c>
      <c r="J182" t="n">
        <v>0</v>
      </c>
      <c r="K182" t="n">
        <v>0</v>
      </c>
      <c r="L182" t="n">
        <v>0</v>
      </c>
      <c r="M182" t="n">
        <v>0</v>
      </c>
      <c r="N182" t="n">
        <v>0</v>
      </c>
      <c r="O182" t="n">
        <v>0</v>
      </c>
      <c r="P182" t="n">
        <v>0</v>
      </c>
      <c r="Q182" t="n">
        <v>0</v>
      </c>
      <c r="R182" t="n">
        <v>0</v>
      </c>
      <c r="S182" t="n">
        <v>0</v>
      </c>
      <c r="T182" t="n">
        <v>0</v>
      </c>
      <c r="U182" s="2" t="inlineStr"/>
    </row>
    <row r="183" ht="15" customHeight="1">
      <c r="A183" t="inlineStr">
        <is>
          <t>A 26692-2023</t>
        </is>
      </c>
      <c r="B183" t="inlineStr">
        <is>
          <t>avverkningsanmälan</t>
        </is>
      </c>
      <c r="C183" t="inlineStr">
        <is>
          <t>Föryngringsavverkning</t>
        </is>
      </c>
      <c r="D183" s="1" t="n">
        <v>45093</v>
      </c>
      <c r="E183" s="1" t="n">
        <v>46216</v>
      </c>
      <c r="F183" t="inlineStr">
        <is>
          <t>VÄSTMANLANDS LÄN</t>
        </is>
      </c>
      <c r="G183" t="inlineStr">
        <is>
          <t>SALA</t>
        </is>
      </c>
      <c r="I183" t="n">
        <v>1.8</v>
      </c>
      <c r="J183" t="n">
        <v>0</v>
      </c>
      <c r="K183" t="n">
        <v>0</v>
      </c>
      <c r="L183" t="n">
        <v>0</v>
      </c>
      <c r="M183" t="n">
        <v>0</v>
      </c>
      <c r="N183" t="n">
        <v>0</v>
      </c>
      <c r="O183" t="n">
        <v>0</v>
      </c>
      <c r="P183" t="n">
        <v>0</v>
      </c>
      <c r="Q183" t="n">
        <v>0</v>
      </c>
      <c r="R183" t="n">
        <v>0</v>
      </c>
      <c r="S183" t="n">
        <v>0</v>
      </c>
      <c r="T183" t="n">
        <v>0</v>
      </c>
      <c r="U183" s="2" t="inlineStr"/>
    </row>
    <row r="184" ht="15" customHeight="1">
      <c r="A184" t="inlineStr">
        <is>
          <t>A 6097-2022</t>
        </is>
      </c>
      <c r="B184" t="inlineStr">
        <is>
          <t>avverkningsanmälan</t>
        </is>
      </c>
      <c r="C184" t="inlineStr">
        <is>
          <t>Föryngringsavverkning</t>
        </is>
      </c>
      <c r="D184" s="1" t="n">
        <v>44599</v>
      </c>
      <c r="E184" s="1" t="n">
        <v>46216</v>
      </c>
      <c r="F184" t="inlineStr">
        <is>
          <t>VÄSTMANLANDS LÄN</t>
        </is>
      </c>
      <c r="G184" t="inlineStr">
        <is>
          <t>SALA</t>
        </is>
      </c>
      <c r="I184" t="n">
        <v>0.6</v>
      </c>
      <c r="J184" t="n">
        <v>0</v>
      </c>
      <c r="K184" t="n">
        <v>0</v>
      </c>
      <c r="L184" t="n">
        <v>0</v>
      </c>
      <c r="M184" t="n">
        <v>0</v>
      </c>
      <c r="N184" t="n">
        <v>0</v>
      </c>
      <c r="O184" t="n">
        <v>0</v>
      </c>
      <c r="P184" t="n">
        <v>0</v>
      </c>
      <c r="Q184" t="n">
        <v>0</v>
      </c>
      <c r="R184" t="n">
        <v>0</v>
      </c>
      <c r="S184" t="n">
        <v>0</v>
      </c>
      <c r="T184" t="n">
        <v>0</v>
      </c>
      <c r="U184" s="2" t="inlineStr"/>
    </row>
    <row r="185" ht="15" customHeight="1">
      <c r="A185" t="inlineStr">
        <is>
          <t>A 13022-2023</t>
        </is>
      </c>
      <c r="B185" t="inlineStr">
        <is>
          <t>avverkningsanmälan</t>
        </is>
      </c>
      <c r="C185" t="inlineStr">
        <is>
          <t>Föryngringsavverkning</t>
        </is>
      </c>
      <c r="D185" s="1" t="n">
        <v>45002</v>
      </c>
      <c r="E185" s="1" t="n">
        <v>46216</v>
      </c>
      <c r="F185" t="inlineStr">
        <is>
          <t>VÄSTMANLANDS LÄN</t>
        </is>
      </c>
      <c r="G185" t="inlineStr">
        <is>
          <t>SALA</t>
        </is>
      </c>
      <c r="I185" t="n">
        <v>1.5</v>
      </c>
      <c r="J185" t="n">
        <v>0</v>
      </c>
      <c r="K185" t="n">
        <v>0</v>
      </c>
      <c r="L185" t="n">
        <v>0</v>
      </c>
      <c r="M185" t="n">
        <v>0</v>
      </c>
      <c r="N185" t="n">
        <v>0</v>
      </c>
      <c r="O185" t="n">
        <v>0</v>
      </c>
      <c r="P185" t="n">
        <v>0</v>
      </c>
      <c r="Q185" t="n">
        <v>0</v>
      </c>
      <c r="R185" t="n">
        <v>0</v>
      </c>
      <c r="S185" t="n">
        <v>0</v>
      </c>
      <c r="T185" t="n">
        <v>0</v>
      </c>
      <c r="U185" s="2" t="inlineStr"/>
    </row>
    <row r="186" ht="15" customHeight="1">
      <c r="A186" t="inlineStr">
        <is>
          <t>A 4853-2023</t>
        </is>
      </c>
      <c r="B186" t="inlineStr">
        <is>
          <t>avverkningsanmälan</t>
        </is>
      </c>
      <c r="C186" t="inlineStr">
        <is>
          <t>Föryngringsavverkning</t>
        </is>
      </c>
      <c r="D186" s="1" t="n">
        <v>44957</v>
      </c>
      <c r="E186" s="1" t="n">
        <v>46216</v>
      </c>
      <c r="F186" t="inlineStr">
        <is>
          <t>VÄSTMANLANDS LÄN</t>
        </is>
      </c>
      <c r="G186" t="inlineStr">
        <is>
          <t>SALA</t>
        </is>
      </c>
      <c r="I186" t="n">
        <v>2.7</v>
      </c>
      <c r="J186" t="n">
        <v>0</v>
      </c>
      <c r="K186" t="n">
        <v>0</v>
      </c>
      <c r="L186" t="n">
        <v>0</v>
      </c>
      <c r="M186" t="n">
        <v>0</v>
      </c>
      <c r="N186" t="n">
        <v>0</v>
      </c>
      <c r="O186" t="n">
        <v>0</v>
      </c>
      <c r="P186" t="n">
        <v>0</v>
      </c>
      <c r="Q186" t="n">
        <v>0</v>
      </c>
      <c r="R186" t="n">
        <v>0</v>
      </c>
      <c r="S186" t="n">
        <v>0</v>
      </c>
      <c r="T186" t="n">
        <v>0</v>
      </c>
      <c r="U186" s="2" t="inlineStr"/>
    </row>
    <row r="187" ht="15" customHeight="1">
      <c r="A187" t="inlineStr">
        <is>
          <t>A 33732-2023</t>
        </is>
      </c>
      <c r="B187" t="inlineStr">
        <is>
          <t>avverkningsanmälan</t>
        </is>
      </c>
      <c r="C187" t="inlineStr">
        <is>
          <t>Föryngringsavverkning</t>
        </is>
      </c>
      <c r="D187" s="1" t="n">
        <v>45133</v>
      </c>
      <c r="E187" s="1" t="n">
        <v>46216</v>
      </c>
      <c r="F187" t="inlineStr">
        <is>
          <t>VÄSTMANLANDS LÄN</t>
        </is>
      </c>
      <c r="G187" t="inlineStr">
        <is>
          <t>SALA</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42447-2022</t>
        </is>
      </c>
      <c r="B188" t="inlineStr">
        <is>
          <t>avverkningsanmälan</t>
        </is>
      </c>
      <c r="C188" t="inlineStr">
        <is>
          <t>Föryngringsavverkning</t>
        </is>
      </c>
      <c r="D188" s="1" t="n">
        <v>44831</v>
      </c>
      <c r="E188" s="1" t="n">
        <v>46216</v>
      </c>
      <c r="F188" t="inlineStr">
        <is>
          <t>VÄSTMANLANDS LÄN</t>
        </is>
      </c>
      <c r="G188" t="inlineStr">
        <is>
          <t>SALA</t>
        </is>
      </c>
      <c r="I188" t="n">
        <v>1.1</v>
      </c>
      <c r="J188" t="n">
        <v>0</v>
      </c>
      <c r="K188" t="n">
        <v>0</v>
      </c>
      <c r="L188" t="n">
        <v>0</v>
      </c>
      <c r="M188" t="n">
        <v>0</v>
      </c>
      <c r="N188" t="n">
        <v>0</v>
      </c>
      <c r="O188" t="n">
        <v>0</v>
      </c>
      <c r="P188" t="n">
        <v>0</v>
      </c>
      <c r="Q188" t="n">
        <v>0</v>
      </c>
      <c r="R188" t="n">
        <v>0</v>
      </c>
      <c r="S188" t="n">
        <v>0</v>
      </c>
      <c r="T188" t="n">
        <v>0</v>
      </c>
      <c r="U188" s="2" t="inlineStr"/>
    </row>
    <row r="189" ht="15" customHeight="1">
      <c r="A189" t="inlineStr">
        <is>
          <t>A 59909-2024</t>
        </is>
      </c>
      <c r="B189" t="inlineStr">
        <is>
          <t>avverkningsanmälan</t>
        </is>
      </c>
      <c r="C189" t="inlineStr">
        <is>
          <t>Föryngringsavverkning</t>
        </is>
      </c>
      <c r="D189" s="1" t="n">
        <v>45641</v>
      </c>
      <c r="E189" s="1" t="n">
        <v>46216</v>
      </c>
      <c r="F189" t="inlineStr">
        <is>
          <t>VÄSTMANLANDS LÄN</t>
        </is>
      </c>
      <c r="G189" t="inlineStr">
        <is>
          <t>SALA</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41292-2021</t>
        </is>
      </c>
      <c r="B190" t="inlineStr">
        <is>
          <t>avverkningsanmälan</t>
        </is>
      </c>
      <c r="C190" t="inlineStr">
        <is>
          <t>Avverkning för annat ändamål</t>
        </is>
      </c>
      <c r="D190" s="1" t="n">
        <v>44424</v>
      </c>
      <c r="E190" s="1" t="n">
        <v>46216</v>
      </c>
      <c r="F190" t="inlineStr">
        <is>
          <t>VÄSTMANLANDS LÄN</t>
        </is>
      </c>
      <c r="G190" t="inlineStr">
        <is>
          <t>SALA</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19398-2025</t>
        </is>
      </c>
      <c r="B191" t="inlineStr">
        <is>
          <t>avverkningsanmälan</t>
        </is>
      </c>
      <c r="C191" t="inlineStr">
        <is>
          <t>Föryngringsavverkning</t>
        </is>
      </c>
      <c r="D191" s="1" t="n">
        <v>45769</v>
      </c>
      <c r="E191" s="1" t="n">
        <v>46216</v>
      </c>
      <c r="F191" t="inlineStr">
        <is>
          <t>VÄSTMANLANDS LÄN</t>
        </is>
      </c>
      <c r="G191" t="inlineStr">
        <is>
          <t>SALA</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69232-2021</t>
        </is>
      </c>
      <c r="B192" t="inlineStr">
        <is>
          <t>avverkningsanmälan</t>
        </is>
      </c>
      <c r="C192" t="inlineStr">
        <is>
          <t>Föryngringsavverkning</t>
        </is>
      </c>
      <c r="D192" s="1" t="n">
        <v>44531</v>
      </c>
      <c r="E192" s="1" t="n">
        <v>46216</v>
      </c>
      <c r="F192" t="inlineStr">
        <is>
          <t>VÄSTMANLANDS LÄN</t>
        </is>
      </c>
      <c r="G192" t="inlineStr">
        <is>
          <t>SALA</t>
        </is>
      </c>
      <c r="I192" t="n">
        <v>2.3</v>
      </c>
      <c r="J192" t="n">
        <v>0</v>
      </c>
      <c r="K192" t="n">
        <v>0</v>
      </c>
      <c r="L192" t="n">
        <v>0</v>
      </c>
      <c r="M192" t="n">
        <v>0</v>
      </c>
      <c r="N192" t="n">
        <v>0</v>
      </c>
      <c r="O192" t="n">
        <v>0</v>
      </c>
      <c r="P192" t="n">
        <v>0</v>
      </c>
      <c r="Q192" t="n">
        <v>0</v>
      </c>
      <c r="R192" t="n">
        <v>0</v>
      </c>
      <c r="S192" t="n">
        <v>0</v>
      </c>
      <c r="T192" t="n">
        <v>0</v>
      </c>
      <c r="U192" s="2" t="inlineStr"/>
    </row>
    <row r="193" ht="15" customHeight="1">
      <c r="A193" t="inlineStr">
        <is>
          <t>A 4797-2023</t>
        </is>
      </c>
      <c r="B193" t="inlineStr">
        <is>
          <t>avverkningsanmälan</t>
        </is>
      </c>
      <c r="C193" t="inlineStr">
        <is>
          <t>Föryngringsavverkning</t>
        </is>
      </c>
      <c r="D193" s="1" t="n">
        <v>44957</v>
      </c>
      <c r="E193" s="1" t="n">
        <v>46216</v>
      </c>
      <c r="F193" t="inlineStr">
        <is>
          <t>VÄSTMANLANDS LÄN</t>
        </is>
      </c>
      <c r="G193" t="inlineStr">
        <is>
          <t>SALA</t>
        </is>
      </c>
      <c r="I193" t="n">
        <v>5.7</v>
      </c>
      <c r="J193" t="n">
        <v>0</v>
      </c>
      <c r="K193" t="n">
        <v>0</v>
      </c>
      <c r="L193" t="n">
        <v>0</v>
      </c>
      <c r="M193" t="n">
        <v>0</v>
      </c>
      <c r="N193" t="n">
        <v>0</v>
      </c>
      <c r="O193" t="n">
        <v>0</v>
      </c>
      <c r="P193" t="n">
        <v>0</v>
      </c>
      <c r="Q193" t="n">
        <v>0</v>
      </c>
      <c r="R193" t="n">
        <v>0</v>
      </c>
      <c r="S193" t="n">
        <v>0</v>
      </c>
      <c r="T193" t="n">
        <v>0</v>
      </c>
      <c r="U193" s="2" t="inlineStr"/>
    </row>
    <row r="194" ht="15" customHeight="1">
      <c r="A194" t="inlineStr">
        <is>
          <t>A 51464-2024</t>
        </is>
      </c>
      <c r="B194" t="inlineStr">
        <is>
          <t>avverkningsanmälan</t>
        </is>
      </c>
      <c r="C194" t="inlineStr">
        <is>
          <t>Föryngringsavverkning</t>
        </is>
      </c>
      <c r="D194" s="1" t="n">
        <v>45604</v>
      </c>
      <c r="E194" s="1" t="n">
        <v>46216</v>
      </c>
      <c r="F194" t="inlineStr">
        <is>
          <t>VÄSTMANLANDS LÄN</t>
        </is>
      </c>
      <c r="G194" t="inlineStr">
        <is>
          <t>SALA</t>
        </is>
      </c>
      <c r="I194" t="n">
        <v>3.9</v>
      </c>
      <c r="J194" t="n">
        <v>0</v>
      </c>
      <c r="K194" t="n">
        <v>0</v>
      </c>
      <c r="L194" t="n">
        <v>0</v>
      </c>
      <c r="M194" t="n">
        <v>0</v>
      </c>
      <c r="N194" t="n">
        <v>0</v>
      </c>
      <c r="O194" t="n">
        <v>0</v>
      </c>
      <c r="P194" t="n">
        <v>0</v>
      </c>
      <c r="Q194" t="n">
        <v>0</v>
      </c>
      <c r="R194" t="n">
        <v>0</v>
      </c>
      <c r="S194" t="n">
        <v>0</v>
      </c>
      <c r="T194" t="n">
        <v>0</v>
      </c>
      <c r="U194" s="2" t="inlineStr"/>
    </row>
    <row r="195" ht="15" customHeight="1">
      <c r="A195" t="inlineStr">
        <is>
          <t>A 54603-2024</t>
        </is>
      </c>
      <c r="B195" t="inlineStr">
        <is>
          <t>avverkningsanmälan</t>
        </is>
      </c>
      <c r="C195" t="inlineStr">
        <is>
          <t>Föryngringsavverkning</t>
        </is>
      </c>
      <c r="D195" s="1" t="n">
        <v>45617</v>
      </c>
      <c r="E195" s="1" t="n">
        <v>46216</v>
      </c>
      <c r="F195" t="inlineStr">
        <is>
          <t>VÄSTMANLANDS LÄN</t>
        </is>
      </c>
      <c r="G195" t="inlineStr">
        <is>
          <t>SALA</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1638-2023</t>
        </is>
      </c>
      <c r="B196" t="inlineStr">
        <is>
          <t>avverkningsanmälan</t>
        </is>
      </c>
      <c r="C196" t="inlineStr">
        <is>
          <t>Föryngringsavverkning</t>
        </is>
      </c>
      <c r="D196" s="1" t="n">
        <v>44937</v>
      </c>
      <c r="E196" s="1" t="n">
        <v>46216</v>
      </c>
      <c r="F196" t="inlineStr">
        <is>
          <t>VÄSTMANLANDS LÄN</t>
        </is>
      </c>
      <c r="G196" t="inlineStr">
        <is>
          <t>SALA</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15972-2024</t>
        </is>
      </c>
      <c r="B197" t="inlineStr">
        <is>
          <t>avverkningsanmälan</t>
        </is>
      </c>
      <c r="C197" t="inlineStr">
        <is>
          <t>Föryngringsavverkning</t>
        </is>
      </c>
      <c r="D197" s="1" t="n">
        <v>45405</v>
      </c>
      <c r="E197" s="1" t="n">
        <v>46216</v>
      </c>
      <c r="F197" t="inlineStr">
        <is>
          <t>VÄSTMANLANDS LÄN</t>
        </is>
      </c>
      <c r="G197" t="inlineStr">
        <is>
          <t>SALA</t>
        </is>
      </c>
      <c r="I197" t="n">
        <v>1.8</v>
      </c>
      <c r="J197" t="n">
        <v>0</v>
      </c>
      <c r="K197" t="n">
        <v>0</v>
      </c>
      <c r="L197" t="n">
        <v>0</v>
      </c>
      <c r="M197" t="n">
        <v>0</v>
      </c>
      <c r="N197" t="n">
        <v>0</v>
      </c>
      <c r="O197" t="n">
        <v>0</v>
      </c>
      <c r="P197" t="n">
        <v>0</v>
      </c>
      <c r="Q197" t="n">
        <v>0</v>
      </c>
      <c r="R197" t="n">
        <v>0</v>
      </c>
      <c r="S197" t="n">
        <v>0</v>
      </c>
      <c r="T197" t="n">
        <v>0</v>
      </c>
      <c r="U197" s="2" t="inlineStr"/>
    </row>
    <row r="198" ht="15" customHeight="1">
      <c r="A198" t="inlineStr">
        <is>
          <t>A 37958-2024</t>
        </is>
      </c>
      <c r="B198" t="inlineStr">
        <is>
          <t>avverkningsanmälan</t>
        </is>
      </c>
      <c r="C198" t="inlineStr">
        <is>
          <t>Föryngringsavverkning</t>
        </is>
      </c>
      <c r="D198" s="1" t="n">
        <v>45544</v>
      </c>
      <c r="E198" s="1" t="n">
        <v>46216</v>
      </c>
      <c r="F198" t="inlineStr">
        <is>
          <t>VÄSTMANLANDS LÄN</t>
        </is>
      </c>
      <c r="G198" t="inlineStr">
        <is>
          <t>SALA</t>
        </is>
      </c>
      <c r="I198" t="n">
        <v>5.6</v>
      </c>
      <c r="J198" t="n">
        <v>0</v>
      </c>
      <c r="K198" t="n">
        <v>0</v>
      </c>
      <c r="L198" t="n">
        <v>0</v>
      </c>
      <c r="M198" t="n">
        <v>0</v>
      </c>
      <c r="N198" t="n">
        <v>0</v>
      </c>
      <c r="O198" t="n">
        <v>0</v>
      </c>
      <c r="P198" t="n">
        <v>0</v>
      </c>
      <c r="Q198" t="n">
        <v>0</v>
      </c>
      <c r="R198" t="n">
        <v>0</v>
      </c>
      <c r="S198" t="n">
        <v>0</v>
      </c>
      <c r="T198" t="n">
        <v>0</v>
      </c>
      <c r="U198" s="2" t="inlineStr"/>
    </row>
    <row r="199" ht="15" customHeight="1">
      <c r="A199" t="inlineStr">
        <is>
          <t>A 1555-2024</t>
        </is>
      </c>
      <c r="B199" t="inlineStr">
        <is>
          <t>avverkningsanmälan</t>
        </is>
      </c>
      <c r="C199" t="inlineStr">
        <is>
          <t>Föryngringsavverkning</t>
        </is>
      </c>
      <c r="D199" s="1" t="n">
        <v>45306</v>
      </c>
      <c r="E199" s="1" t="n">
        <v>46216</v>
      </c>
      <c r="F199" t="inlineStr">
        <is>
          <t>VÄSTMANLANDS LÄN</t>
        </is>
      </c>
      <c r="G199" t="inlineStr">
        <is>
          <t>SALA</t>
        </is>
      </c>
      <c r="I199" t="n">
        <v>1.3</v>
      </c>
      <c r="J199" t="n">
        <v>0</v>
      </c>
      <c r="K199" t="n">
        <v>0</v>
      </c>
      <c r="L199" t="n">
        <v>0</v>
      </c>
      <c r="M199" t="n">
        <v>0</v>
      </c>
      <c r="N199" t="n">
        <v>0</v>
      </c>
      <c r="O199" t="n">
        <v>0</v>
      </c>
      <c r="P199" t="n">
        <v>0</v>
      </c>
      <c r="Q199" t="n">
        <v>0</v>
      </c>
      <c r="R199" t="n">
        <v>0</v>
      </c>
      <c r="S199" t="n">
        <v>0</v>
      </c>
      <c r="T199" t="n">
        <v>0</v>
      </c>
      <c r="U199" s="2" t="inlineStr"/>
    </row>
    <row r="200" ht="15" customHeight="1">
      <c r="A200" t="inlineStr">
        <is>
          <t>A 31000-2022</t>
        </is>
      </c>
      <c r="B200" t="inlineStr">
        <is>
          <t>avverkningsanmälan</t>
        </is>
      </c>
      <c r="C200" t="inlineStr">
        <is>
          <t>Föryngringsavverkning</t>
        </is>
      </c>
      <c r="D200" s="1" t="n">
        <v>44768</v>
      </c>
      <c r="E200" s="1" t="n">
        <v>46216</v>
      </c>
      <c r="F200" t="inlineStr">
        <is>
          <t>VÄSTMANLANDS LÄN</t>
        </is>
      </c>
      <c r="G200" t="inlineStr">
        <is>
          <t>SALA</t>
        </is>
      </c>
      <c r="I200" t="n">
        <v>5.7</v>
      </c>
      <c r="J200" t="n">
        <v>0</v>
      </c>
      <c r="K200" t="n">
        <v>0</v>
      </c>
      <c r="L200" t="n">
        <v>0</v>
      </c>
      <c r="M200" t="n">
        <v>0</v>
      </c>
      <c r="N200" t="n">
        <v>0</v>
      </c>
      <c r="O200" t="n">
        <v>0</v>
      </c>
      <c r="P200" t="n">
        <v>0</v>
      </c>
      <c r="Q200" t="n">
        <v>0</v>
      </c>
      <c r="R200" t="n">
        <v>0</v>
      </c>
      <c r="S200" t="n">
        <v>0</v>
      </c>
      <c r="T200" t="n">
        <v>0</v>
      </c>
      <c r="U200" s="2" t="inlineStr"/>
    </row>
    <row r="201" ht="15" customHeight="1">
      <c r="A201" t="inlineStr">
        <is>
          <t>A 37183-2024</t>
        </is>
      </c>
      <c r="B201" t="inlineStr">
        <is>
          <t>avverkningsanmälan</t>
        </is>
      </c>
      <c r="C201" t="inlineStr">
        <is>
          <t>Föryngringsavverkning</t>
        </is>
      </c>
      <c r="D201" s="1" t="n">
        <v>45539</v>
      </c>
      <c r="E201" s="1" t="n">
        <v>46216</v>
      </c>
      <c r="F201" t="inlineStr">
        <is>
          <t>VÄSTMANLANDS LÄN</t>
        </is>
      </c>
      <c r="G201" t="inlineStr">
        <is>
          <t>SALA</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27229-2022</t>
        </is>
      </c>
      <c r="B202" t="inlineStr">
        <is>
          <t>avverkningsanmälan</t>
        </is>
      </c>
      <c r="C202" t="inlineStr">
        <is>
          <t>Föryngringsavverkning</t>
        </is>
      </c>
      <c r="D202" s="1" t="n">
        <v>44741</v>
      </c>
      <c r="E202" s="1" t="n">
        <v>46216</v>
      </c>
      <c r="F202" t="inlineStr">
        <is>
          <t>VÄSTMANLANDS LÄN</t>
        </is>
      </c>
      <c r="G202" t="inlineStr">
        <is>
          <t>SALA</t>
        </is>
      </c>
      <c r="H202" t="inlineStr">
        <is>
          <t>Kommuner</t>
        </is>
      </c>
      <c r="I202" t="n">
        <v>1.4</v>
      </c>
      <c r="J202" t="n">
        <v>0</v>
      </c>
      <c r="K202" t="n">
        <v>0</v>
      </c>
      <c r="L202" t="n">
        <v>0</v>
      </c>
      <c r="M202" t="n">
        <v>0</v>
      </c>
      <c r="N202" t="n">
        <v>0</v>
      </c>
      <c r="O202" t="n">
        <v>0</v>
      </c>
      <c r="P202" t="n">
        <v>0</v>
      </c>
      <c r="Q202" t="n">
        <v>0</v>
      </c>
      <c r="R202" t="n">
        <v>0</v>
      </c>
      <c r="S202" t="n">
        <v>0</v>
      </c>
      <c r="T202" t="n">
        <v>0</v>
      </c>
      <c r="U202" s="2" t="inlineStr"/>
    </row>
    <row r="203" ht="15" customHeight="1">
      <c r="A203" t="inlineStr">
        <is>
          <t>A 22397-2022</t>
        </is>
      </c>
      <c r="B203" t="inlineStr">
        <is>
          <t>avverkningsanmälan</t>
        </is>
      </c>
      <c r="C203" t="inlineStr">
        <is>
          <t>Föryngringsavverkning</t>
        </is>
      </c>
      <c r="D203" s="1" t="n">
        <v>44713</v>
      </c>
      <c r="E203" s="1" t="n">
        <v>46216</v>
      </c>
      <c r="F203" t="inlineStr">
        <is>
          <t>VÄSTMANLANDS LÄN</t>
        </is>
      </c>
      <c r="G203" t="inlineStr">
        <is>
          <t>SALA</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28863-2022</t>
        </is>
      </c>
      <c r="B204" t="inlineStr">
        <is>
          <t>avverkningsanmälan</t>
        </is>
      </c>
      <c r="C204" t="inlineStr">
        <is>
          <t>Föryngringsavverkning</t>
        </is>
      </c>
      <c r="D204" s="1" t="n">
        <v>44749</v>
      </c>
      <c r="E204" s="1" t="n">
        <v>46216</v>
      </c>
      <c r="F204" t="inlineStr">
        <is>
          <t>VÄSTMANLANDS LÄN</t>
        </is>
      </c>
      <c r="G204" t="inlineStr">
        <is>
          <t>SALA</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29248-2022</t>
        </is>
      </c>
      <c r="B205" t="inlineStr">
        <is>
          <t>avverkningsanmälan</t>
        </is>
      </c>
      <c r="C205" t="inlineStr">
        <is>
          <t>Föryngringsavverkning</t>
        </is>
      </c>
      <c r="D205" s="1" t="n">
        <v>44750</v>
      </c>
      <c r="E205" s="1" t="n">
        <v>46216</v>
      </c>
      <c r="F205" t="inlineStr">
        <is>
          <t>VÄSTMANLANDS LÄN</t>
        </is>
      </c>
      <c r="G205" t="inlineStr">
        <is>
          <t>SALA</t>
        </is>
      </c>
      <c r="I205" t="n">
        <v>1.6</v>
      </c>
      <c r="J205" t="n">
        <v>0</v>
      </c>
      <c r="K205" t="n">
        <v>0</v>
      </c>
      <c r="L205" t="n">
        <v>0</v>
      </c>
      <c r="M205" t="n">
        <v>0</v>
      </c>
      <c r="N205" t="n">
        <v>0</v>
      </c>
      <c r="O205" t="n">
        <v>0</v>
      </c>
      <c r="P205" t="n">
        <v>0</v>
      </c>
      <c r="Q205" t="n">
        <v>0</v>
      </c>
      <c r="R205" t="n">
        <v>0</v>
      </c>
      <c r="S205" t="n">
        <v>0</v>
      </c>
      <c r="T205" t="n">
        <v>0</v>
      </c>
      <c r="U205" s="2" t="inlineStr"/>
    </row>
    <row r="206" ht="15" customHeight="1">
      <c r="A206" t="inlineStr">
        <is>
          <t>A 14920-2025</t>
        </is>
      </c>
      <c r="B206" t="inlineStr">
        <is>
          <t>avverkningsanmälan</t>
        </is>
      </c>
      <c r="C206" t="inlineStr">
        <is>
          <t>Föryngringsavverkning</t>
        </is>
      </c>
      <c r="D206" s="1" t="n">
        <v>45743</v>
      </c>
      <c r="E206" s="1" t="n">
        <v>46216</v>
      </c>
      <c r="F206" t="inlineStr">
        <is>
          <t>VÄSTMANLANDS LÄN</t>
        </is>
      </c>
      <c r="G206" t="inlineStr">
        <is>
          <t>SALA</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40398-2021</t>
        </is>
      </c>
      <c r="B207" t="inlineStr">
        <is>
          <t>avverkningsanmälan</t>
        </is>
      </c>
      <c r="C207" t="inlineStr">
        <is>
          <t>Föryngringsavverkning</t>
        </is>
      </c>
      <c r="D207" s="1" t="n">
        <v>44419</v>
      </c>
      <c r="E207" s="1" t="n">
        <v>46216</v>
      </c>
      <c r="F207" t="inlineStr">
        <is>
          <t>VÄSTMANLANDS LÄN</t>
        </is>
      </c>
      <c r="G207" t="inlineStr">
        <is>
          <t>SALA</t>
        </is>
      </c>
      <c r="H207" t="inlineStr">
        <is>
          <t>Sveaskog</t>
        </is>
      </c>
      <c r="I207" t="n">
        <v>1</v>
      </c>
      <c r="J207" t="n">
        <v>0</v>
      </c>
      <c r="K207" t="n">
        <v>0</v>
      </c>
      <c r="L207" t="n">
        <v>0</v>
      </c>
      <c r="M207" t="n">
        <v>0</v>
      </c>
      <c r="N207" t="n">
        <v>0</v>
      </c>
      <c r="O207" t="n">
        <v>0</v>
      </c>
      <c r="P207" t="n">
        <v>0</v>
      </c>
      <c r="Q207" t="n">
        <v>0</v>
      </c>
      <c r="R207" t="n">
        <v>0</v>
      </c>
      <c r="S207" t="n">
        <v>0</v>
      </c>
      <c r="T207" t="n">
        <v>0</v>
      </c>
      <c r="U207" s="2" t="inlineStr"/>
    </row>
    <row r="208" ht="15" customHeight="1">
      <c r="A208" t="inlineStr">
        <is>
          <t>A 2900-2023</t>
        </is>
      </c>
      <c r="B208" t="inlineStr">
        <is>
          <t>avverkningsanmälan</t>
        </is>
      </c>
      <c r="C208" t="inlineStr">
        <is>
          <t>Föryngringsavverkning</t>
        </is>
      </c>
      <c r="D208" s="1" t="n">
        <v>44943</v>
      </c>
      <c r="E208" s="1" t="n">
        <v>46216</v>
      </c>
      <c r="F208" t="inlineStr">
        <is>
          <t>VÄSTMANLANDS LÄN</t>
        </is>
      </c>
      <c r="G208" t="inlineStr">
        <is>
          <t>SALA</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6030-2024</t>
        </is>
      </c>
      <c r="B209" t="inlineStr">
        <is>
          <t>avverkningsanmälan</t>
        </is>
      </c>
      <c r="C209" t="inlineStr">
        <is>
          <t>Föryngringsavverkning</t>
        </is>
      </c>
      <c r="D209" s="1" t="n">
        <v>45336</v>
      </c>
      <c r="E209" s="1" t="n">
        <v>46216</v>
      </c>
      <c r="F209" t="inlineStr">
        <is>
          <t>VÄSTMANLANDS LÄN</t>
        </is>
      </c>
      <c r="G209" t="inlineStr">
        <is>
          <t>SALA</t>
        </is>
      </c>
      <c r="I209" t="n">
        <v>3.9</v>
      </c>
      <c r="J209" t="n">
        <v>0</v>
      </c>
      <c r="K209" t="n">
        <v>0</v>
      </c>
      <c r="L209" t="n">
        <v>0</v>
      </c>
      <c r="M209" t="n">
        <v>0</v>
      </c>
      <c r="N209" t="n">
        <v>0</v>
      </c>
      <c r="O209" t="n">
        <v>0</v>
      </c>
      <c r="P209" t="n">
        <v>0</v>
      </c>
      <c r="Q209" t="n">
        <v>0</v>
      </c>
      <c r="R209" t="n">
        <v>0</v>
      </c>
      <c r="S209" t="n">
        <v>0</v>
      </c>
      <c r="T209" t="n">
        <v>0</v>
      </c>
      <c r="U209" s="2" t="inlineStr"/>
    </row>
    <row r="210" ht="15" customHeight="1">
      <c r="A210" t="inlineStr">
        <is>
          <t>A 43362-2023</t>
        </is>
      </c>
      <c r="B210" t="inlineStr">
        <is>
          <t>avverkningsanmälan</t>
        </is>
      </c>
      <c r="C210" t="inlineStr">
        <is>
          <t>Föryngringsavverkning</t>
        </is>
      </c>
      <c r="D210" s="1" t="n">
        <v>45183</v>
      </c>
      <c r="E210" s="1" t="n">
        <v>46216</v>
      </c>
      <c r="F210" t="inlineStr">
        <is>
          <t>VÄSTMANLANDS LÄN</t>
        </is>
      </c>
      <c r="G210" t="inlineStr">
        <is>
          <t>SALA</t>
        </is>
      </c>
      <c r="I210" t="n">
        <v>2</v>
      </c>
      <c r="J210" t="n">
        <v>0</v>
      </c>
      <c r="K210" t="n">
        <v>0</v>
      </c>
      <c r="L210" t="n">
        <v>0</v>
      </c>
      <c r="M210" t="n">
        <v>0</v>
      </c>
      <c r="N210" t="n">
        <v>0</v>
      </c>
      <c r="O210" t="n">
        <v>0</v>
      </c>
      <c r="P210" t="n">
        <v>0</v>
      </c>
      <c r="Q210" t="n">
        <v>0</v>
      </c>
      <c r="R210" t="n">
        <v>0</v>
      </c>
      <c r="S210" t="n">
        <v>0</v>
      </c>
      <c r="T210" t="n">
        <v>0</v>
      </c>
      <c r="U210" s="2" t="inlineStr"/>
    </row>
    <row r="211" ht="15" customHeight="1">
      <c r="A211" t="inlineStr">
        <is>
          <t>A 52630-2022</t>
        </is>
      </c>
      <c r="B211" t="inlineStr">
        <is>
          <t>avverkningsanmälan</t>
        </is>
      </c>
      <c r="C211" t="inlineStr">
        <is>
          <t>Föryngringsavverkning</t>
        </is>
      </c>
      <c r="D211" s="1" t="n">
        <v>44874</v>
      </c>
      <c r="E211" s="1" t="n">
        <v>46216</v>
      </c>
      <c r="F211" t="inlineStr">
        <is>
          <t>VÄSTMANLANDS LÄN</t>
        </is>
      </c>
      <c r="G211" t="inlineStr">
        <is>
          <t>SALA</t>
        </is>
      </c>
      <c r="H211" t="inlineStr">
        <is>
          <t>Sveaskog</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2521-2025</t>
        </is>
      </c>
      <c r="B212" t="inlineStr">
        <is>
          <t>avverkningsanmälan</t>
        </is>
      </c>
      <c r="C212" t="inlineStr">
        <is>
          <t>Föryngringsavverkning</t>
        </is>
      </c>
      <c r="D212" s="1" t="n">
        <v>45674</v>
      </c>
      <c r="E212" s="1" t="n">
        <v>46216</v>
      </c>
      <c r="F212" t="inlineStr">
        <is>
          <t>VÄSTMANLANDS LÄN</t>
        </is>
      </c>
      <c r="G212" t="inlineStr">
        <is>
          <t>SALA</t>
        </is>
      </c>
      <c r="I212" t="n">
        <v>3.5</v>
      </c>
      <c r="J212" t="n">
        <v>0</v>
      </c>
      <c r="K212" t="n">
        <v>0</v>
      </c>
      <c r="L212" t="n">
        <v>0</v>
      </c>
      <c r="M212" t="n">
        <v>0</v>
      </c>
      <c r="N212" t="n">
        <v>0</v>
      </c>
      <c r="O212" t="n">
        <v>0</v>
      </c>
      <c r="P212" t="n">
        <v>0</v>
      </c>
      <c r="Q212" t="n">
        <v>0</v>
      </c>
      <c r="R212" t="n">
        <v>0</v>
      </c>
      <c r="S212" t="n">
        <v>0</v>
      </c>
      <c r="T212" t="n">
        <v>0</v>
      </c>
      <c r="U212" s="2" t="inlineStr"/>
    </row>
    <row r="213" ht="15" customHeight="1">
      <c r="A213" t="inlineStr">
        <is>
          <t>A 60548-2024</t>
        </is>
      </c>
      <c r="B213" t="inlineStr">
        <is>
          <t>avverkningsanmälan</t>
        </is>
      </c>
      <c r="C213" t="inlineStr">
        <is>
          <t>Föryngringsavverkning</t>
        </is>
      </c>
      <c r="D213" s="1" t="n">
        <v>45643</v>
      </c>
      <c r="E213" s="1" t="n">
        <v>46216</v>
      </c>
      <c r="F213" t="inlineStr">
        <is>
          <t>VÄSTMANLANDS LÄN</t>
        </is>
      </c>
      <c r="G213" t="inlineStr">
        <is>
          <t>SALA</t>
        </is>
      </c>
      <c r="I213" t="n">
        <v>1.6</v>
      </c>
      <c r="J213" t="n">
        <v>0</v>
      </c>
      <c r="K213" t="n">
        <v>0</v>
      </c>
      <c r="L213" t="n">
        <v>0</v>
      </c>
      <c r="M213" t="n">
        <v>0</v>
      </c>
      <c r="N213" t="n">
        <v>0</v>
      </c>
      <c r="O213" t="n">
        <v>0</v>
      </c>
      <c r="P213" t="n">
        <v>0</v>
      </c>
      <c r="Q213" t="n">
        <v>0</v>
      </c>
      <c r="R213" t="n">
        <v>0</v>
      </c>
      <c r="S213" t="n">
        <v>0</v>
      </c>
      <c r="T213" t="n">
        <v>0</v>
      </c>
      <c r="U213" s="2" t="inlineStr"/>
    </row>
    <row r="214" ht="15" customHeight="1">
      <c r="A214" t="inlineStr">
        <is>
          <t>A 26761-2023</t>
        </is>
      </c>
      <c r="B214" t="inlineStr">
        <is>
          <t>avverkningsanmälan</t>
        </is>
      </c>
      <c r="C214" t="inlineStr">
        <is>
          <t>Föryngringsavverkning</t>
        </is>
      </c>
      <c r="D214" s="1" t="n">
        <v>45093</v>
      </c>
      <c r="E214" s="1" t="n">
        <v>46216</v>
      </c>
      <c r="F214" t="inlineStr">
        <is>
          <t>VÄSTMANLANDS LÄN</t>
        </is>
      </c>
      <c r="G214" t="inlineStr">
        <is>
          <t>SALA</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55035-2023</t>
        </is>
      </c>
      <c r="B215" t="inlineStr">
        <is>
          <t>avverkningsanmälan</t>
        </is>
      </c>
      <c r="C215" t="inlineStr">
        <is>
          <t>Föryngringsavverkning</t>
        </is>
      </c>
      <c r="D215" s="1" t="n">
        <v>45229</v>
      </c>
      <c r="E215" s="1" t="n">
        <v>46216</v>
      </c>
      <c r="F215" t="inlineStr">
        <is>
          <t>VÄSTMANLANDS LÄN</t>
        </is>
      </c>
      <c r="G215" t="inlineStr">
        <is>
          <t>SALA</t>
        </is>
      </c>
      <c r="I215" t="n">
        <v>1.1</v>
      </c>
      <c r="J215" t="n">
        <v>0</v>
      </c>
      <c r="K215" t="n">
        <v>0</v>
      </c>
      <c r="L215" t="n">
        <v>0</v>
      </c>
      <c r="M215" t="n">
        <v>0</v>
      </c>
      <c r="N215" t="n">
        <v>0</v>
      </c>
      <c r="O215" t="n">
        <v>0</v>
      </c>
      <c r="P215" t="n">
        <v>0</v>
      </c>
      <c r="Q215" t="n">
        <v>0</v>
      </c>
      <c r="R215" t="n">
        <v>0</v>
      </c>
      <c r="S215" t="n">
        <v>0</v>
      </c>
      <c r="T215" t="n">
        <v>0</v>
      </c>
      <c r="U215" s="2" t="inlineStr"/>
    </row>
    <row r="216" ht="15" customHeight="1">
      <c r="A216" t="inlineStr">
        <is>
          <t>A 60249-2023</t>
        </is>
      </c>
      <c r="B216" t="inlineStr">
        <is>
          <t>avverkningsanmälan</t>
        </is>
      </c>
      <c r="C216" t="inlineStr">
        <is>
          <t>Föryngringsavverkning</t>
        </is>
      </c>
      <c r="D216" s="1" t="n">
        <v>45258</v>
      </c>
      <c r="E216" s="1" t="n">
        <v>46216</v>
      </c>
      <c r="F216" t="inlineStr">
        <is>
          <t>VÄSTMANLANDS LÄN</t>
        </is>
      </c>
      <c r="G216" t="inlineStr">
        <is>
          <t>SALA</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55065-2024</t>
        </is>
      </c>
      <c r="B217" t="inlineStr">
        <is>
          <t>avverkningsanmälan</t>
        </is>
      </c>
      <c r="C217" t="inlineStr">
        <is>
          <t>Föryngringsavverkning</t>
        </is>
      </c>
      <c r="D217" s="1" t="n">
        <v>45618</v>
      </c>
      <c r="E217" s="1" t="n">
        <v>46216</v>
      </c>
      <c r="F217" t="inlineStr">
        <is>
          <t>VÄSTMANLANDS LÄN</t>
        </is>
      </c>
      <c r="G217" t="inlineStr">
        <is>
          <t>SALA</t>
        </is>
      </c>
      <c r="I217" t="n">
        <v>3.5</v>
      </c>
      <c r="J217" t="n">
        <v>0</v>
      </c>
      <c r="K217" t="n">
        <v>0</v>
      </c>
      <c r="L217" t="n">
        <v>0</v>
      </c>
      <c r="M217" t="n">
        <v>0</v>
      </c>
      <c r="N217" t="n">
        <v>0</v>
      </c>
      <c r="O217" t="n">
        <v>0</v>
      </c>
      <c r="P217" t="n">
        <v>0</v>
      </c>
      <c r="Q217" t="n">
        <v>0</v>
      </c>
      <c r="R217" t="n">
        <v>0</v>
      </c>
      <c r="S217" t="n">
        <v>0</v>
      </c>
      <c r="T217" t="n">
        <v>0</v>
      </c>
      <c r="U217" s="2" t="inlineStr"/>
    </row>
    <row r="218" ht="15" customHeight="1">
      <c r="A218" t="inlineStr">
        <is>
          <t>A 24907-2025</t>
        </is>
      </c>
      <c r="B218" t="inlineStr">
        <is>
          <t>avverkningsanmälan</t>
        </is>
      </c>
      <c r="C218" t="inlineStr">
        <is>
          <t>Föryngringsavverkning</t>
        </is>
      </c>
      <c r="D218" s="1" t="n">
        <v>45799</v>
      </c>
      <c r="E218" s="1" t="n">
        <v>46216</v>
      </c>
      <c r="F218" t="inlineStr">
        <is>
          <t>VÄSTMANLANDS LÄN</t>
        </is>
      </c>
      <c r="G218" t="inlineStr">
        <is>
          <t>SALA</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31597-2024</t>
        </is>
      </c>
      <c r="B219" t="inlineStr">
        <is>
          <t>avverkningsanmälan</t>
        </is>
      </c>
      <c r="C219" t="inlineStr">
        <is>
          <t>Föryngringsavverkning</t>
        </is>
      </c>
      <c r="D219" s="1" t="n">
        <v>45506</v>
      </c>
      <c r="E219" s="1" t="n">
        <v>46216</v>
      </c>
      <c r="F219" t="inlineStr">
        <is>
          <t>VÄSTMANLANDS LÄN</t>
        </is>
      </c>
      <c r="G219" t="inlineStr">
        <is>
          <t>SALA</t>
        </is>
      </c>
      <c r="I219" t="n">
        <v>2.4</v>
      </c>
      <c r="J219" t="n">
        <v>0</v>
      </c>
      <c r="K219" t="n">
        <v>0</v>
      </c>
      <c r="L219" t="n">
        <v>0</v>
      </c>
      <c r="M219" t="n">
        <v>0</v>
      </c>
      <c r="N219" t="n">
        <v>0</v>
      </c>
      <c r="O219" t="n">
        <v>0</v>
      </c>
      <c r="P219" t="n">
        <v>0</v>
      </c>
      <c r="Q219" t="n">
        <v>0</v>
      </c>
      <c r="R219" t="n">
        <v>0</v>
      </c>
      <c r="S219" t="n">
        <v>0</v>
      </c>
      <c r="T219" t="n">
        <v>0</v>
      </c>
      <c r="U219" s="2" t="inlineStr"/>
    </row>
    <row r="220" ht="15" customHeight="1">
      <c r="A220" t="inlineStr">
        <is>
          <t>A 31599-2024</t>
        </is>
      </c>
      <c r="B220" t="inlineStr">
        <is>
          <t>avverkningsanmälan</t>
        </is>
      </c>
      <c r="C220" t="inlineStr">
        <is>
          <t>Föryngringsavverkning</t>
        </is>
      </c>
      <c r="D220" s="1" t="n">
        <v>45506</v>
      </c>
      <c r="E220" s="1" t="n">
        <v>46216</v>
      </c>
      <c r="F220" t="inlineStr">
        <is>
          <t>VÄSTMANLANDS LÄN</t>
        </is>
      </c>
      <c r="G220" t="inlineStr">
        <is>
          <t>SALA</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31601-2024</t>
        </is>
      </c>
      <c r="B221" t="inlineStr">
        <is>
          <t>avverkningsanmälan</t>
        </is>
      </c>
      <c r="C221" t="inlineStr">
        <is>
          <t>Föryngringsavverkning</t>
        </is>
      </c>
      <c r="D221" s="1" t="n">
        <v>45506</v>
      </c>
      <c r="E221" s="1" t="n">
        <v>46216</v>
      </c>
      <c r="F221" t="inlineStr">
        <is>
          <t>VÄSTMANLANDS LÄN</t>
        </is>
      </c>
      <c r="G221" t="inlineStr">
        <is>
          <t>SALA</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31608-2024</t>
        </is>
      </c>
      <c r="B222" t="inlineStr">
        <is>
          <t>avverkningsanmälan</t>
        </is>
      </c>
      <c r="C222" t="inlineStr">
        <is>
          <t>Föryngringsavverkning</t>
        </is>
      </c>
      <c r="D222" s="1" t="n">
        <v>45506</v>
      </c>
      <c r="E222" s="1" t="n">
        <v>46216</v>
      </c>
      <c r="F222" t="inlineStr">
        <is>
          <t>VÄSTMANLANDS LÄN</t>
        </is>
      </c>
      <c r="G222" t="inlineStr">
        <is>
          <t>SALA</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31612-2024</t>
        </is>
      </c>
      <c r="B223" t="inlineStr">
        <is>
          <t>avverkningsanmälan</t>
        </is>
      </c>
      <c r="C223" t="inlineStr">
        <is>
          <t>Föryngringsavverkning</t>
        </is>
      </c>
      <c r="D223" s="1" t="n">
        <v>45506</v>
      </c>
      <c r="E223" s="1" t="n">
        <v>46216</v>
      </c>
      <c r="F223" t="inlineStr">
        <is>
          <t>VÄSTMANLANDS LÄN</t>
        </is>
      </c>
      <c r="G223" t="inlineStr">
        <is>
          <t>SALA</t>
        </is>
      </c>
      <c r="I223" t="n">
        <v>3.2</v>
      </c>
      <c r="J223" t="n">
        <v>0</v>
      </c>
      <c r="K223" t="n">
        <v>0</v>
      </c>
      <c r="L223" t="n">
        <v>0</v>
      </c>
      <c r="M223" t="n">
        <v>0</v>
      </c>
      <c r="N223" t="n">
        <v>0</v>
      </c>
      <c r="O223" t="n">
        <v>0</v>
      </c>
      <c r="P223" t="n">
        <v>0</v>
      </c>
      <c r="Q223" t="n">
        <v>0</v>
      </c>
      <c r="R223" t="n">
        <v>0</v>
      </c>
      <c r="S223" t="n">
        <v>0</v>
      </c>
      <c r="T223" t="n">
        <v>0</v>
      </c>
      <c r="U223" s="2" t="inlineStr"/>
    </row>
    <row r="224" ht="15" customHeight="1">
      <c r="A224" t="inlineStr">
        <is>
          <t>A 52500-2024</t>
        </is>
      </c>
      <c r="B224" t="inlineStr">
        <is>
          <t>avverkningsanmälan</t>
        </is>
      </c>
      <c r="C224" t="inlineStr">
        <is>
          <t>Föryngringsavverkning</t>
        </is>
      </c>
      <c r="D224" s="1" t="n">
        <v>45609</v>
      </c>
      <c r="E224" s="1" t="n">
        <v>46216</v>
      </c>
      <c r="F224" t="inlineStr">
        <is>
          <t>VÄSTMANLANDS LÄN</t>
        </is>
      </c>
      <c r="G224" t="inlineStr">
        <is>
          <t>SALA</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96-2024</t>
        </is>
      </c>
      <c r="B225" t="inlineStr">
        <is>
          <t>avverkningsanmälan</t>
        </is>
      </c>
      <c r="C225" t="inlineStr">
        <is>
          <t>Föryngringsavverkning</t>
        </is>
      </c>
      <c r="D225" s="1" t="n">
        <v>45293</v>
      </c>
      <c r="E225" s="1" t="n">
        <v>46216</v>
      </c>
      <c r="F225" t="inlineStr">
        <is>
          <t>VÄSTMANLANDS LÄN</t>
        </is>
      </c>
      <c r="G225" t="inlineStr">
        <is>
          <t>SALA</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54118-2023</t>
        </is>
      </c>
      <c r="B226" t="inlineStr">
        <is>
          <t>avverkningsanmälan</t>
        </is>
      </c>
      <c r="C226" t="inlineStr">
        <is>
          <t>Föryngringsavverkning</t>
        </is>
      </c>
      <c r="D226" s="1" t="n">
        <v>45232</v>
      </c>
      <c r="E226" s="1" t="n">
        <v>46216</v>
      </c>
      <c r="F226" t="inlineStr">
        <is>
          <t>VÄSTMANLANDS LÄN</t>
        </is>
      </c>
      <c r="G226" t="inlineStr">
        <is>
          <t>SALA</t>
        </is>
      </c>
      <c r="I226" t="n">
        <v>1.1</v>
      </c>
      <c r="J226" t="n">
        <v>0</v>
      </c>
      <c r="K226" t="n">
        <v>0</v>
      </c>
      <c r="L226" t="n">
        <v>0</v>
      </c>
      <c r="M226" t="n">
        <v>0</v>
      </c>
      <c r="N226" t="n">
        <v>0</v>
      </c>
      <c r="O226" t="n">
        <v>0</v>
      </c>
      <c r="P226" t="n">
        <v>0</v>
      </c>
      <c r="Q226" t="n">
        <v>0</v>
      </c>
      <c r="R226" t="n">
        <v>0</v>
      </c>
      <c r="S226" t="n">
        <v>0</v>
      </c>
      <c r="T226" t="n">
        <v>0</v>
      </c>
      <c r="U226" s="2" t="inlineStr"/>
    </row>
    <row r="227" ht="15" customHeight="1">
      <c r="A227" t="inlineStr">
        <is>
          <t>A 910-2026</t>
        </is>
      </c>
      <c r="B227" t="inlineStr">
        <is>
          <t>avverkningsanmälan</t>
        </is>
      </c>
      <c r="C227" t="inlineStr">
        <is>
          <t>Föryngringsavverkning</t>
        </is>
      </c>
      <c r="D227" s="1" t="n">
        <v>46030</v>
      </c>
      <c r="E227" s="1" t="n">
        <v>46216</v>
      </c>
      <c r="F227" t="inlineStr">
        <is>
          <t>VÄSTMANLANDS LÄN</t>
        </is>
      </c>
      <c r="G227" t="inlineStr">
        <is>
          <t>SALA</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914-2026</t>
        </is>
      </c>
      <c r="B228" t="inlineStr">
        <is>
          <t>avverkningsanmälan</t>
        </is>
      </c>
      <c r="C228" t="inlineStr">
        <is>
          <t>Föryngringsavverkning</t>
        </is>
      </c>
      <c r="D228" s="1" t="n">
        <v>46030</v>
      </c>
      <c r="E228" s="1" t="n">
        <v>46216</v>
      </c>
      <c r="F228" t="inlineStr">
        <is>
          <t>VÄSTMANLANDS LÄN</t>
        </is>
      </c>
      <c r="G228" t="inlineStr">
        <is>
          <t>SALA</t>
        </is>
      </c>
      <c r="I228" t="n">
        <v>0.9</v>
      </c>
      <c r="J228" t="n">
        <v>0</v>
      </c>
      <c r="K228" t="n">
        <v>0</v>
      </c>
      <c r="L228" t="n">
        <v>0</v>
      </c>
      <c r="M228" t="n">
        <v>0</v>
      </c>
      <c r="N228" t="n">
        <v>0</v>
      </c>
      <c r="O228" t="n">
        <v>0</v>
      </c>
      <c r="P228" t="n">
        <v>0</v>
      </c>
      <c r="Q228" t="n">
        <v>0</v>
      </c>
      <c r="R228" t="n">
        <v>0</v>
      </c>
      <c r="S228" t="n">
        <v>0</v>
      </c>
      <c r="T228" t="n">
        <v>0</v>
      </c>
      <c r="U228" s="2" t="inlineStr"/>
    </row>
    <row r="229" ht="15" customHeight="1">
      <c r="A229" t="inlineStr">
        <is>
          <t>A 948-2026</t>
        </is>
      </c>
      <c r="B229" t="inlineStr">
        <is>
          <t>avverkningsanmälan</t>
        </is>
      </c>
      <c r="C229" t="inlineStr">
        <is>
          <t>Föryngringsavverkning</t>
        </is>
      </c>
      <c r="D229" s="1" t="n">
        <v>46030</v>
      </c>
      <c r="E229" s="1" t="n">
        <v>46216</v>
      </c>
      <c r="F229" t="inlineStr">
        <is>
          <t>VÄSTMANLANDS LÄN</t>
        </is>
      </c>
      <c r="G229" t="inlineStr">
        <is>
          <t>SALA</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31864-2025</t>
        </is>
      </c>
      <c r="B230" t="inlineStr">
        <is>
          <t>avverkningsanmälan</t>
        </is>
      </c>
      <c r="C230" t="inlineStr">
        <is>
          <t>Föryngringsavverkning</t>
        </is>
      </c>
      <c r="D230" s="1" t="n">
        <v>45834</v>
      </c>
      <c r="E230" s="1" t="n">
        <v>46216</v>
      </c>
      <c r="F230" t="inlineStr">
        <is>
          <t>VÄSTMANLANDS LÄN</t>
        </is>
      </c>
      <c r="G230" t="inlineStr">
        <is>
          <t>SALA</t>
        </is>
      </c>
      <c r="I230" t="n">
        <v>6.3</v>
      </c>
      <c r="J230" t="n">
        <v>0</v>
      </c>
      <c r="K230" t="n">
        <v>0</v>
      </c>
      <c r="L230" t="n">
        <v>0</v>
      </c>
      <c r="M230" t="n">
        <v>0</v>
      </c>
      <c r="N230" t="n">
        <v>0</v>
      </c>
      <c r="O230" t="n">
        <v>0</v>
      </c>
      <c r="P230" t="n">
        <v>0</v>
      </c>
      <c r="Q230" t="n">
        <v>0</v>
      </c>
      <c r="R230" t="n">
        <v>0</v>
      </c>
      <c r="S230" t="n">
        <v>0</v>
      </c>
      <c r="T230" t="n">
        <v>0</v>
      </c>
      <c r="U230" s="2" t="inlineStr"/>
    </row>
    <row r="231" ht="15" customHeight="1">
      <c r="A231" t="inlineStr">
        <is>
          <t>A 3733-2023</t>
        </is>
      </c>
      <c r="B231" t="inlineStr">
        <is>
          <t>avverkningsanmälan</t>
        </is>
      </c>
      <c r="C231" t="inlineStr">
        <is>
          <t>Föryngringsavverkning</t>
        </is>
      </c>
      <c r="D231" s="1" t="n">
        <v>44951</v>
      </c>
      <c r="E231" s="1" t="n">
        <v>46216</v>
      </c>
      <c r="F231" t="inlineStr">
        <is>
          <t>VÄSTMANLANDS LÄN</t>
        </is>
      </c>
      <c r="G231" t="inlineStr">
        <is>
          <t>SALA</t>
        </is>
      </c>
      <c r="I231" t="n">
        <v>3.1</v>
      </c>
      <c r="J231" t="n">
        <v>0</v>
      </c>
      <c r="K231" t="n">
        <v>0</v>
      </c>
      <c r="L231" t="n">
        <v>0</v>
      </c>
      <c r="M231" t="n">
        <v>0</v>
      </c>
      <c r="N231" t="n">
        <v>0</v>
      </c>
      <c r="O231" t="n">
        <v>0</v>
      </c>
      <c r="P231" t="n">
        <v>0</v>
      </c>
      <c r="Q231" t="n">
        <v>0</v>
      </c>
      <c r="R231" t="n">
        <v>0</v>
      </c>
      <c r="S231" t="n">
        <v>0</v>
      </c>
      <c r="T231" t="n">
        <v>0</v>
      </c>
      <c r="U231" s="2" t="inlineStr"/>
    </row>
    <row r="232" ht="15" customHeight="1">
      <c r="A232" t="inlineStr">
        <is>
          <t>A 52498-2022</t>
        </is>
      </c>
      <c r="B232" t="inlineStr">
        <is>
          <t>avverkningsanmälan</t>
        </is>
      </c>
      <c r="C232" t="inlineStr">
        <is>
          <t>Föryngringsavverkning</t>
        </is>
      </c>
      <c r="D232" s="1" t="n">
        <v>44874</v>
      </c>
      <c r="E232" s="1" t="n">
        <v>46216</v>
      </c>
      <c r="F232" t="inlineStr">
        <is>
          <t>VÄSTMANLANDS LÄN</t>
        </is>
      </c>
      <c r="G232" t="inlineStr">
        <is>
          <t>SALA</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35016-2024</t>
        </is>
      </c>
      <c r="B233" t="inlineStr">
        <is>
          <t>avverkningsanmälan</t>
        </is>
      </c>
      <c r="C233" t="inlineStr">
        <is>
          <t>Föryngringsavverkning</t>
        </is>
      </c>
      <c r="D233" s="1" t="n">
        <v>45527</v>
      </c>
      <c r="E233" s="1" t="n">
        <v>46216</v>
      </c>
      <c r="F233" t="inlineStr">
        <is>
          <t>VÄSTMANLANDS LÄN</t>
        </is>
      </c>
      <c r="G233" t="inlineStr">
        <is>
          <t>SALA</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28284-2025</t>
        </is>
      </c>
      <c r="B234" t="inlineStr">
        <is>
          <t>avverkningsanmälan</t>
        </is>
      </c>
      <c r="C234" t="inlineStr">
        <is>
          <t>Föryngringsavverkning</t>
        </is>
      </c>
      <c r="D234" s="1" t="n">
        <v>45818</v>
      </c>
      <c r="E234" s="1" t="n">
        <v>46216</v>
      </c>
      <c r="F234" t="inlineStr">
        <is>
          <t>VÄSTMANLANDS LÄN</t>
        </is>
      </c>
      <c r="G234" t="inlineStr">
        <is>
          <t>SALA</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25897-2024</t>
        </is>
      </c>
      <c r="B235" t="inlineStr">
        <is>
          <t>avverkningsanmälan</t>
        </is>
      </c>
      <c r="C235" t="inlineStr">
        <is>
          <t>Föryngringsavverkning</t>
        </is>
      </c>
      <c r="D235" s="1" t="n">
        <v>45467</v>
      </c>
      <c r="E235" s="1" t="n">
        <v>46216</v>
      </c>
      <c r="F235" t="inlineStr">
        <is>
          <t>VÄSTMANLANDS LÄN</t>
        </is>
      </c>
      <c r="G235" t="inlineStr">
        <is>
          <t>SALA</t>
        </is>
      </c>
      <c r="I235" t="n">
        <v>9.9</v>
      </c>
      <c r="J235" t="n">
        <v>0</v>
      </c>
      <c r="K235" t="n">
        <v>0</v>
      </c>
      <c r="L235" t="n">
        <v>0</v>
      </c>
      <c r="M235" t="n">
        <v>0</v>
      </c>
      <c r="N235" t="n">
        <v>0</v>
      </c>
      <c r="O235" t="n">
        <v>0</v>
      </c>
      <c r="P235" t="n">
        <v>0</v>
      </c>
      <c r="Q235" t="n">
        <v>0</v>
      </c>
      <c r="R235" t="n">
        <v>0</v>
      </c>
      <c r="S235" t="n">
        <v>0</v>
      </c>
      <c r="T235" t="n">
        <v>0</v>
      </c>
      <c r="U235" s="2" t="inlineStr"/>
    </row>
    <row r="236" ht="15" customHeight="1">
      <c r="A236" t="inlineStr">
        <is>
          <t>A 40559-2025</t>
        </is>
      </c>
      <c r="B236" t="inlineStr">
        <is>
          <t>avverkningsanmälan</t>
        </is>
      </c>
      <c r="C236" t="inlineStr">
        <is>
          <t>Föryngringsavverkning</t>
        </is>
      </c>
      <c r="D236" s="1" t="n">
        <v>45896</v>
      </c>
      <c r="E236" s="1" t="n">
        <v>46216</v>
      </c>
      <c r="F236" t="inlineStr">
        <is>
          <t>VÄSTMANLANDS LÄN</t>
        </is>
      </c>
      <c r="G236" t="inlineStr">
        <is>
          <t>SALA</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40556-2025</t>
        </is>
      </c>
      <c r="B237" t="inlineStr">
        <is>
          <t>avverkningsanmälan</t>
        </is>
      </c>
      <c r="C237" t="inlineStr">
        <is>
          <t>Föryngringsavverkning</t>
        </is>
      </c>
      <c r="D237" s="1" t="n">
        <v>45896</v>
      </c>
      <c r="E237" s="1" t="n">
        <v>46216</v>
      </c>
      <c r="F237" t="inlineStr">
        <is>
          <t>VÄSTMANLANDS LÄN</t>
        </is>
      </c>
      <c r="G237" t="inlineStr">
        <is>
          <t>SALA</t>
        </is>
      </c>
      <c r="I237" t="n">
        <v>1.9</v>
      </c>
      <c r="J237" t="n">
        <v>0</v>
      </c>
      <c r="K237" t="n">
        <v>0</v>
      </c>
      <c r="L237" t="n">
        <v>0</v>
      </c>
      <c r="M237" t="n">
        <v>0</v>
      </c>
      <c r="N237" t="n">
        <v>0</v>
      </c>
      <c r="O237" t="n">
        <v>0</v>
      </c>
      <c r="P237" t="n">
        <v>0</v>
      </c>
      <c r="Q237" t="n">
        <v>0</v>
      </c>
      <c r="R237" t="n">
        <v>0</v>
      </c>
      <c r="S237" t="n">
        <v>0</v>
      </c>
      <c r="T237" t="n">
        <v>0</v>
      </c>
      <c r="U237" s="2" t="inlineStr"/>
    </row>
    <row r="238" ht="15" customHeight="1">
      <c r="A238" t="inlineStr">
        <is>
          <t>A 57371-2022</t>
        </is>
      </c>
      <c r="B238" t="inlineStr">
        <is>
          <t>avverkningsanmälan</t>
        </is>
      </c>
      <c r="C238" t="inlineStr">
        <is>
          <t>Föryngringsavverkning</t>
        </is>
      </c>
      <c r="D238" s="1" t="n">
        <v>44896</v>
      </c>
      <c r="E238" s="1" t="n">
        <v>46216</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s="2" t="inlineStr"/>
    </row>
    <row r="239" ht="15" customHeight="1">
      <c r="A239" t="inlineStr">
        <is>
          <t>A 29085-2025</t>
        </is>
      </c>
      <c r="B239" t="inlineStr">
        <is>
          <t>avverkningsanmälan</t>
        </is>
      </c>
      <c r="C239" t="inlineStr">
        <is>
          <t>Föryngringsavverkning</t>
        </is>
      </c>
      <c r="D239" s="1" t="n">
        <v>45821</v>
      </c>
      <c r="E239" s="1" t="n">
        <v>46216</v>
      </c>
      <c r="F239" t="inlineStr">
        <is>
          <t>VÄSTMANLANDS LÄN</t>
        </is>
      </c>
      <c r="G239" t="inlineStr">
        <is>
          <t>SALA</t>
        </is>
      </c>
      <c r="I239" t="n">
        <v>3.5</v>
      </c>
      <c r="J239" t="n">
        <v>0</v>
      </c>
      <c r="K239" t="n">
        <v>0</v>
      </c>
      <c r="L239" t="n">
        <v>0</v>
      </c>
      <c r="M239" t="n">
        <v>0</v>
      </c>
      <c r="N239" t="n">
        <v>0</v>
      </c>
      <c r="O239" t="n">
        <v>0</v>
      </c>
      <c r="P239" t="n">
        <v>0</v>
      </c>
      <c r="Q239" t="n">
        <v>0</v>
      </c>
      <c r="R239" t="n">
        <v>0</v>
      </c>
      <c r="S239" t="n">
        <v>0</v>
      </c>
      <c r="T239" t="n">
        <v>0</v>
      </c>
      <c r="U239" s="2" t="inlineStr"/>
    </row>
    <row r="240" ht="15" customHeight="1">
      <c r="A240" t="inlineStr">
        <is>
          <t>A 1705-2026</t>
        </is>
      </c>
      <c r="B240" t="inlineStr">
        <is>
          <t>avverkningsanmälan</t>
        </is>
      </c>
      <c r="C240" t="inlineStr">
        <is>
          <t>Föryngringsavverkning</t>
        </is>
      </c>
      <c r="D240" s="1" t="n">
        <v>46034</v>
      </c>
      <c r="E240" s="1" t="n">
        <v>46216</v>
      </c>
      <c r="F240" t="inlineStr">
        <is>
          <t>VÄSTMANLANDS LÄN</t>
        </is>
      </c>
      <c r="G240" t="inlineStr">
        <is>
          <t>SALA</t>
        </is>
      </c>
      <c r="I240" t="n">
        <v>0.4</v>
      </c>
      <c r="J240" t="n">
        <v>0</v>
      </c>
      <c r="K240" t="n">
        <v>0</v>
      </c>
      <c r="L240" t="n">
        <v>0</v>
      </c>
      <c r="M240" t="n">
        <v>0</v>
      </c>
      <c r="N240" t="n">
        <v>0</v>
      </c>
      <c r="O240" t="n">
        <v>0</v>
      </c>
      <c r="P240" t="n">
        <v>0</v>
      </c>
      <c r="Q240" t="n">
        <v>0</v>
      </c>
      <c r="R240" t="n">
        <v>0</v>
      </c>
      <c r="S240" t="n">
        <v>0</v>
      </c>
      <c r="T240" t="n">
        <v>0</v>
      </c>
      <c r="U240" s="2" t="inlineStr"/>
    </row>
    <row r="241" ht="15" customHeight="1">
      <c r="A241" t="inlineStr">
        <is>
          <t>A 60541-2024</t>
        </is>
      </c>
      <c r="B241" t="inlineStr">
        <is>
          <t>avverkningsanmälan</t>
        </is>
      </c>
      <c r="C241" t="inlineStr">
        <is>
          <t>Föryngringsavverkning</t>
        </is>
      </c>
      <c r="D241" s="1" t="n">
        <v>45643</v>
      </c>
      <c r="E241" s="1" t="n">
        <v>46216</v>
      </c>
      <c r="F241" t="inlineStr">
        <is>
          <t>VÄSTMANLANDS LÄN</t>
        </is>
      </c>
      <c r="G241" t="inlineStr">
        <is>
          <t>SALA</t>
        </is>
      </c>
      <c r="I241" t="n">
        <v>10.6</v>
      </c>
      <c r="J241" t="n">
        <v>0</v>
      </c>
      <c r="K241" t="n">
        <v>0</v>
      </c>
      <c r="L241" t="n">
        <v>0</v>
      </c>
      <c r="M241" t="n">
        <v>0</v>
      </c>
      <c r="N241" t="n">
        <v>0</v>
      </c>
      <c r="O241" t="n">
        <v>0</v>
      </c>
      <c r="P241" t="n">
        <v>0</v>
      </c>
      <c r="Q241" t="n">
        <v>0</v>
      </c>
      <c r="R241" t="n">
        <v>0</v>
      </c>
      <c r="S241" t="n">
        <v>0</v>
      </c>
      <c r="T241" t="n">
        <v>0</v>
      </c>
      <c r="U241" s="2" t="inlineStr"/>
    </row>
    <row r="242" ht="15" customHeight="1">
      <c r="A242" t="inlineStr">
        <is>
          <t>A 19803-2024</t>
        </is>
      </c>
      <c r="B242" t="inlineStr">
        <is>
          <t>avverkningsanmälan</t>
        </is>
      </c>
      <c r="C242" t="inlineStr">
        <is>
          <t>Föryngringsavverkning</t>
        </is>
      </c>
      <c r="D242" s="1" t="n">
        <v>45432</v>
      </c>
      <c r="E242" s="1" t="n">
        <v>46216</v>
      </c>
      <c r="F242" t="inlineStr">
        <is>
          <t>VÄSTMANLANDS LÄN</t>
        </is>
      </c>
      <c r="G242" t="inlineStr">
        <is>
          <t>SALA</t>
        </is>
      </c>
      <c r="I242" t="n">
        <v>3.1</v>
      </c>
      <c r="J242" t="n">
        <v>0</v>
      </c>
      <c r="K242" t="n">
        <v>0</v>
      </c>
      <c r="L242" t="n">
        <v>0</v>
      </c>
      <c r="M242" t="n">
        <v>0</v>
      </c>
      <c r="N242" t="n">
        <v>0</v>
      </c>
      <c r="O242" t="n">
        <v>0</v>
      </c>
      <c r="P242" t="n">
        <v>0</v>
      </c>
      <c r="Q242" t="n">
        <v>0</v>
      </c>
      <c r="R242" t="n">
        <v>0</v>
      </c>
      <c r="S242" t="n">
        <v>0</v>
      </c>
      <c r="T242" t="n">
        <v>0</v>
      </c>
      <c r="U242" s="2" t="inlineStr"/>
    </row>
    <row r="243" ht="15" customHeight="1">
      <c r="A243" t="inlineStr">
        <is>
          <t>A 29826-2025</t>
        </is>
      </c>
      <c r="B243" t="inlineStr">
        <is>
          <t>avverkningsanmälan</t>
        </is>
      </c>
      <c r="C243" t="inlineStr">
        <is>
          <t>Föryngringsavverkning</t>
        </is>
      </c>
      <c r="D243" s="1" t="n">
        <v>45825</v>
      </c>
      <c r="E243" s="1" t="n">
        <v>46216</v>
      </c>
      <c r="F243" t="inlineStr">
        <is>
          <t>VÄSTMANLANDS LÄN</t>
        </is>
      </c>
      <c r="G243" t="inlineStr">
        <is>
          <t>SALA</t>
        </is>
      </c>
      <c r="I243" t="n">
        <v>1.9</v>
      </c>
      <c r="J243" t="n">
        <v>0</v>
      </c>
      <c r="K243" t="n">
        <v>0</v>
      </c>
      <c r="L243" t="n">
        <v>0</v>
      </c>
      <c r="M243" t="n">
        <v>0</v>
      </c>
      <c r="N243" t="n">
        <v>0</v>
      </c>
      <c r="O243" t="n">
        <v>0</v>
      </c>
      <c r="P243" t="n">
        <v>0</v>
      </c>
      <c r="Q243" t="n">
        <v>0</v>
      </c>
      <c r="R243" t="n">
        <v>0</v>
      </c>
      <c r="S243" t="n">
        <v>0</v>
      </c>
      <c r="T243" t="n">
        <v>0</v>
      </c>
      <c r="U243" s="2" t="inlineStr"/>
    </row>
    <row r="244" ht="15" customHeight="1">
      <c r="A244" t="inlineStr">
        <is>
          <t>A 21968-2024</t>
        </is>
      </c>
      <c r="B244" t="inlineStr">
        <is>
          <t>avverkningsanmälan</t>
        </is>
      </c>
      <c r="C244" t="inlineStr">
        <is>
          <t>Föryngringsavverkning</t>
        </is>
      </c>
      <c r="D244" s="1" t="n">
        <v>45443</v>
      </c>
      <c r="E244" s="1" t="n">
        <v>46216</v>
      </c>
      <c r="F244" t="inlineStr">
        <is>
          <t>VÄSTMANLANDS LÄN</t>
        </is>
      </c>
      <c r="G244" t="inlineStr">
        <is>
          <t>SALA</t>
        </is>
      </c>
      <c r="I244" t="n">
        <v>1.9</v>
      </c>
      <c r="J244" t="n">
        <v>0</v>
      </c>
      <c r="K244" t="n">
        <v>0</v>
      </c>
      <c r="L244" t="n">
        <v>0</v>
      </c>
      <c r="M244" t="n">
        <v>0</v>
      </c>
      <c r="N244" t="n">
        <v>0</v>
      </c>
      <c r="O244" t="n">
        <v>0</v>
      </c>
      <c r="P244" t="n">
        <v>0</v>
      </c>
      <c r="Q244" t="n">
        <v>0</v>
      </c>
      <c r="R244" t="n">
        <v>0</v>
      </c>
      <c r="S244" t="n">
        <v>0</v>
      </c>
      <c r="T244" t="n">
        <v>0</v>
      </c>
      <c r="U244" s="2" t="inlineStr"/>
    </row>
    <row r="245" ht="15" customHeight="1">
      <c r="A245" t="inlineStr">
        <is>
          <t>A 40597-2022</t>
        </is>
      </c>
      <c r="B245" t="inlineStr">
        <is>
          <t>avverkningsanmälan</t>
        </is>
      </c>
      <c r="C245" t="inlineStr">
        <is>
          <t>Föryngringsavverkning</t>
        </is>
      </c>
      <c r="D245" s="1" t="n">
        <v>44823</v>
      </c>
      <c r="E245" s="1" t="n">
        <v>46216</v>
      </c>
      <c r="F245" t="inlineStr">
        <is>
          <t>VÄSTMANLANDS LÄN</t>
        </is>
      </c>
      <c r="G245" t="inlineStr">
        <is>
          <t>SALA</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42421-2025</t>
        </is>
      </c>
      <c r="B246" t="inlineStr">
        <is>
          <t>avverkningsanmälan</t>
        </is>
      </c>
      <c r="C246" t="inlineStr">
        <is>
          <t>Föryngringsavverkning</t>
        </is>
      </c>
      <c r="D246" s="1" t="n">
        <v>45905</v>
      </c>
      <c r="E246" s="1" t="n">
        <v>46216</v>
      </c>
      <c r="F246" t="inlineStr">
        <is>
          <t>VÄSTMANLANDS LÄN</t>
        </is>
      </c>
      <c r="G246" t="inlineStr">
        <is>
          <t>SALA</t>
        </is>
      </c>
      <c r="I246" t="n">
        <v>1.3</v>
      </c>
      <c r="J246" t="n">
        <v>0</v>
      </c>
      <c r="K246" t="n">
        <v>0</v>
      </c>
      <c r="L246" t="n">
        <v>0</v>
      </c>
      <c r="M246" t="n">
        <v>0</v>
      </c>
      <c r="N246" t="n">
        <v>0</v>
      </c>
      <c r="O246" t="n">
        <v>0</v>
      </c>
      <c r="P246" t="n">
        <v>0</v>
      </c>
      <c r="Q246" t="n">
        <v>0</v>
      </c>
      <c r="R246" t="n">
        <v>0</v>
      </c>
      <c r="S246" t="n">
        <v>0</v>
      </c>
      <c r="T246" t="n">
        <v>0</v>
      </c>
      <c r="U246" s="2" t="inlineStr"/>
    </row>
    <row r="247" ht="15" customHeight="1">
      <c r="A247" t="inlineStr">
        <is>
          <t>A 37263-2025</t>
        </is>
      </c>
      <c r="B247" t="inlineStr">
        <is>
          <t>avverkningsanmälan</t>
        </is>
      </c>
      <c r="C247" t="inlineStr">
        <is>
          <t>Föryngringsavverkning</t>
        </is>
      </c>
      <c r="D247" s="1" t="n">
        <v>45876</v>
      </c>
      <c r="E247" s="1" t="n">
        <v>46216</v>
      </c>
      <c r="F247" t="inlineStr">
        <is>
          <t>VÄSTMANLANDS LÄN</t>
        </is>
      </c>
      <c r="G247" t="inlineStr">
        <is>
          <t>SALA</t>
        </is>
      </c>
      <c r="I247" t="n">
        <v>2.3</v>
      </c>
      <c r="J247" t="n">
        <v>0</v>
      </c>
      <c r="K247" t="n">
        <v>0</v>
      </c>
      <c r="L247" t="n">
        <v>0</v>
      </c>
      <c r="M247" t="n">
        <v>0</v>
      </c>
      <c r="N247" t="n">
        <v>0</v>
      </c>
      <c r="O247" t="n">
        <v>0</v>
      </c>
      <c r="P247" t="n">
        <v>0</v>
      </c>
      <c r="Q247" t="n">
        <v>0</v>
      </c>
      <c r="R247" t="n">
        <v>0</v>
      </c>
      <c r="S247" t="n">
        <v>0</v>
      </c>
      <c r="T247" t="n">
        <v>0</v>
      </c>
      <c r="U247" s="2" t="inlineStr"/>
    </row>
    <row r="248" ht="15" customHeight="1">
      <c r="A248" t="inlineStr">
        <is>
          <t>A 43128-2025</t>
        </is>
      </c>
      <c r="B248" t="inlineStr">
        <is>
          <t>avverkningsanmälan</t>
        </is>
      </c>
      <c r="C248" t="inlineStr">
        <is>
          <t>Föryngringsavverkning</t>
        </is>
      </c>
      <c r="D248" s="1" t="n">
        <v>45909</v>
      </c>
      <c r="E248" s="1" t="n">
        <v>46216</v>
      </c>
      <c r="F248" t="inlineStr">
        <is>
          <t>VÄSTMANLANDS LÄN</t>
        </is>
      </c>
      <c r="G248" t="inlineStr">
        <is>
          <t>SALA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40554-2025</t>
        </is>
      </c>
      <c r="B249" t="inlineStr">
        <is>
          <t>avverkningsanmälan</t>
        </is>
      </c>
      <c r="C249" t="inlineStr">
        <is>
          <t>Föryngringsavverkning</t>
        </is>
      </c>
      <c r="D249" s="1" t="n">
        <v>45896</v>
      </c>
      <c r="E249" s="1" t="n">
        <v>46216</v>
      </c>
      <c r="F249" t="inlineStr">
        <is>
          <t>VÄSTMANLANDS LÄN</t>
        </is>
      </c>
      <c r="G249" t="inlineStr">
        <is>
          <t>SALA</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43130-2025</t>
        </is>
      </c>
      <c r="B250" t="inlineStr">
        <is>
          <t>avverkningsanmälan</t>
        </is>
      </c>
      <c r="C250" t="inlineStr">
        <is>
          <t>Föryngringsavverkning</t>
        </is>
      </c>
      <c r="D250" s="1" t="n">
        <v>45909</v>
      </c>
      <c r="E250" s="1" t="n">
        <v>46216</v>
      </c>
      <c r="F250" t="inlineStr">
        <is>
          <t>VÄSTMANLANDS LÄN</t>
        </is>
      </c>
      <c r="G250" t="inlineStr">
        <is>
          <t>SALA</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43028-2025</t>
        </is>
      </c>
      <c r="B251" t="inlineStr">
        <is>
          <t>avverkningsanmälan</t>
        </is>
      </c>
      <c r="C251" t="inlineStr">
        <is>
          <t>Föryngringsavverkning</t>
        </is>
      </c>
      <c r="D251" s="1" t="n">
        <v>45909</v>
      </c>
      <c r="E251" s="1" t="n">
        <v>46216</v>
      </c>
      <c r="F251" t="inlineStr">
        <is>
          <t>VÄSTMANLANDS LÄN</t>
        </is>
      </c>
      <c r="G251" t="inlineStr">
        <is>
          <t>SALA</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43031-2025</t>
        </is>
      </c>
      <c r="B252" t="inlineStr">
        <is>
          <t>avverkningsanmälan</t>
        </is>
      </c>
      <c r="C252" t="inlineStr">
        <is>
          <t>Föryngringsavverkning</t>
        </is>
      </c>
      <c r="D252" s="1" t="n">
        <v>45909</v>
      </c>
      <c r="E252" s="1" t="n">
        <v>46216</v>
      </c>
      <c r="F252" t="inlineStr">
        <is>
          <t>VÄSTMANLANDS LÄN</t>
        </is>
      </c>
      <c r="G252" t="inlineStr">
        <is>
          <t>SALA</t>
        </is>
      </c>
      <c r="I252" t="n">
        <v>0.2</v>
      </c>
      <c r="J252" t="n">
        <v>0</v>
      </c>
      <c r="K252" t="n">
        <v>0</v>
      </c>
      <c r="L252" t="n">
        <v>0</v>
      </c>
      <c r="M252" t="n">
        <v>0</v>
      </c>
      <c r="N252" t="n">
        <v>0</v>
      </c>
      <c r="O252" t="n">
        <v>0</v>
      </c>
      <c r="P252" t="n">
        <v>0</v>
      </c>
      <c r="Q252" t="n">
        <v>0</v>
      </c>
      <c r="R252" t="n">
        <v>0</v>
      </c>
      <c r="S252" t="n">
        <v>0</v>
      </c>
      <c r="T252" t="n">
        <v>0</v>
      </c>
      <c r="U252" s="2" t="inlineStr"/>
    </row>
    <row r="253" ht="15" customHeight="1">
      <c r="A253" t="inlineStr">
        <is>
          <t>A 64925-2023</t>
        </is>
      </c>
      <c r="B253" t="inlineStr">
        <is>
          <t>avverkningsanmälan</t>
        </is>
      </c>
      <c r="C253" t="inlineStr">
        <is>
          <t>Föryngringsavverkning</t>
        </is>
      </c>
      <c r="D253" s="1" t="n">
        <v>45282</v>
      </c>
      <c r="E253" s="1" t="n">
        <v>46216</v>
      </c>
      <c r="F253" t="inlineStr">
        <is>
          <t>VÄSTMANLANDS LÄN</t>
        </is>
      </c>
      <c r="G253" t="inlineStr">
        <is>
          <t>SALA</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32286-2025</t>
        </is>
      </c>
      <c r="B254" t="inlineStr">
        <is>
          <t>avverkningsanmälan</t>
        </is>
      </c>
      <c r="C254" t="inlineStr">
        <is>
          <t>Föryngringsavverkning</t>
        </is>
      </c>
      <c r="D254" s="1" t="n">
        <v>45835</v>
      </c>
      <c r="E254" s="1" t="n">
        <v>46216</v>
      </c>
      <c r="F254" t="inlineStr">
        <is>
          <t>VÄSTMANLANDS LÄN</t>
        </is>
      </c>
      <c r="G254" t="inlineStr">
        <is>
          <t>SALA</t>
        </is>
      </c>
      <c r="I254" t="n">
        <v>6.4</v>
      </c>
      <c r="J254" t="n">
        <v>0</v>
      </c>
      <c r="K254" t="n">
        <v>0</v>
      </c>
      <c r="L254" t="n">
        <v>0</v>
      </c>
      <c r="M254" t="n">
        <v>0</v>
      </c>
      <c r="N254" t="n">
        <v>0</v>
      </c>
      <c r="O254" t="n">
        <v>0</v>
      </c>
      <c r="P254" t="n">
        <v>0</v>
      </c>
      <c r="Q254" t="n">
        <v>0</v>
      </c>
      <c r="R254" t="n">
        <v>0</v>
      </c>
      <c r="S254" t="n">
        <v>0</v>
      </c>
      <c r="T254" t="n">
        <v>0</v>
      </c>
      <c r="U254" s="2" t="inlineStr"/>
    </row>
    <row r="255" ht="15" customHeight="1">
      <c r="A255" t="inlineStr">
        <is>
          <t>A 52827-2024</t>
        </is>
      </c>
      <c r="B255" t="inlineStr">
        <is>
          <t>avverkningsanmälan</t>
        </is>
      </c>
      <c r="C255" t="inlineStr">
        <is>
          <t>Föryngringsavverkning</t>
        </is>
      </c>
      <c r="D255" s="1" t="n">
        <v>45610</v>
      </c>
      <c r="E255" s="1" t="n">
        <v>46216</v>
      </c>
      <c r="F255" t="inlineStr">
        <is>
          <t>VÄSTMANLANDS LÄN</t>
        </is>
      </c>
      <c r="G255" t="inlineStr">
        <is>
          <t>SALA</t>
        </is>
      </c>
      <c r="I255" t="n">
        <v>0.2</v>
      </c>
      <c r="J255" t="n">
        <v>0</v>
      </c>
      <c r="K255" t="n">
        <v>0</v>
      </c>
      <c r="L255" t="n">
        <v>0</v>
      </c>
      <c r="M255" t="n">
        <v>0</v>
      </c>
      <c r="N255" t="n">
        <v>0</v>
      </c>
      <c r="O255" t="n">
        <v>0</v>
      </c>
      <c r="P255" t="n">
        <v>0</v>
      </c>
      <c r="Q255" t="n">
        <v>0</v>
      </c>
      <c r="R255" t="n">
        <v>0</v>
      </c>
      <c r="S255" t="n">
        <v>0</v>
      </c>
      <c r="T255" t="n">
        <v>0</v>
      </c>
      <c r="U255" s="2" t="inlineStr"/>
    </row>
    <row r="256" ht="15" customHeight="1">
      <c r="A256" t="inlineStr">
        <is>
          <t>A 16328-2025</t>
        </is>
      </c>
      <c r="B256" t="inlineStr">
        <is>
          <t>avverkningsanmälan</t>
        </is>
      </c>
      <c r="C256" t="inlineStr">
        <is>
          <t>Föryngringsavverkning</t>
        </is>
      </c>
      <c r="D256" s="1" t="n">
        <v>45751</v>
      </c>
      <c r="E256" s="1" t="n">
        <v>46216</v>
      </c>
      <c r="F256" t="inlineStr">
        <is>
          <t>VÄSTMANLANDS LÄN</t>
        </is>
      </c>
      <c r="G256" t="inlineStr">
        <is>
          <t>SALA</t>
        </is>
      </c>
      <c r="I256" t="n">
        <v>2.9</v>
      </c>
      <c r="J256" t="n">
        <v>0</v>
      </c>
      <c r="K256" t="n">
        <v>0</v>
      </c>
      <c r="L256" t="n">
        <v>0</v>
      </c>
      <c r="M256" t="n">
        <v>0</v>
      </c>
      <c r="N256" t="n">
        <v>0</v>
      </c>
      <c r="O256" t="n">
        <v>0</v>
      </c>
      <c r="P256" t="n">
        <v>0</v>
      </c>
      <c r="Q256" t="n">
        <v>0</v>
      </c>
      <c r="R256" t="n">
        <v>0</v>
      </c>
      <c r="S256" t="n">
        <v>0</v>
      </c>
      <c r="T256" t="n">
        <v>0</v>
      </c>
      <c r="U256" s="2" t="inlineStr"/>
    </row>
    <row r="257" ht="15" customHeight="1">
      <c r="A257" t="inlineStr">
        <is>
          <t>A 44524-2025</t>
        </is>
      </c>
      <c r="B257" t="inlineStr">
        <is>
          <t>avverkningsanmälan</t>
        </is>
      </c>
      <c r="C257" t="inlineStr">
        <is>
          <t>Föryngringsavverkning</t>
        </is>
      </c>
      <c r="D257" s="1" t="n">
        <v>45916</v>
      </c>
      <c r="E257" s="1" t="n">
        <v>46216</v>
      </c>
      <c r="F257" t="inlineStr">
        <is>
          <t>VÄSTMANLANDS LÄN</t>
        </is>
      </c>
      <c r="G257" t="inlineStr">
        <is>
          <t>SALA</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44486-2025</t>
        </is>
      </c>
      <c r="B258" t="inlineStr">
        <is>
          <t>avverkningsanmälan</t>
        </is>
      </c>
      <c r="C258" t="inlineStr">
        <is>
          <t>Föryngringsavverkning</t>
        </is>
      </c>
      <c r="D258" s="1" t="n">
        <v>45916</v>
      </c>
      <c r="E258" s="1" t="n">
        <v>46216</v>
      </c>
      <c r="F258" t="inlineStr">
        <is>
          <t>VÄSTMANLANDS LÄN</t>
        </is>
      </c>
      <c r="G258" t="inlineStr">
        <is>
          <t>SALA</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66908-2021</t>
        </is>
      </c>
      <c r="B259" t="inlineStr">
        <is>
          <t>avverkningsanmälan</t>
        </is>
      </c>
      <c r="C259" t="inlineStr">
        <is>
          <t>Föryngringsavverkning</t>
        </is>
      </c>
      <c r="D259" s="1" t="n">
        <v>44522</v>
      </c>
      <c r="E259" s="1" t="n">
        <v>46216</v>
      </c>
      <c r="F259" t="inlineStr">
        <is>
          <t>VÄSTMANLANDS LÄN</t>
        </is>
      </c>
      <c r="G259" t="inlineStr">
        <is>
          <t>SALA</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73835-2021</t>
        </is>
      </c>
      <c r="B260" t="inlineStr">
        <is>
          <t>avverkningsanmälan</t>
        </is>
      </c>
      <c r="C260" t="inlineStr">
        <is>
          <t>Föryngringsavverkning</t>
        </is>
      </c>
      <c r="D260" s="1" t="n">
        <v>44552</v>
      </c>
      <c r="E260" s="1" t="n">
        <v>46216</v>
      </c>
      <c r="F260" t="inlineStr">
        <is>
          <t>VÄSTMANLANDS LÄN</t>
        </is>
      </c>
      <c r="G260" t="inlineStr">
        <is>
          <t>SALA</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34069-2025</t>
        </is>
      </c>
      <c r="B261" t="inlineStr">
        <is>
          <t>avverkningsanmälan</t>
        </is>
      </c>
      <c r="C261" t="inlineStr">
        <is>
          <t>Föryngringsavverkning</t>
        </is>
      </c>
      <c r="D261" s="1" t="n">
        <v>45845</v>
      </c>
      <c r="E261" s="1" t="n">
        <v>46216</v>
      </c>
      <c r="F261" t="inlineStr">
        <is>
          <t>VÄSTMANLANDS LÄN</t>
        </is>
      </c>
      <c r="G261" t="inlineStr">
        <is>
          <t>SALA</t>
        </is>
      </c>
      <c r="I261" t="n">
        <v>0.5</v>
      </c>
      <c r="J261" t="n">
        <v>0</v>
      </c>
      <c r="K261" t="n">
        <v>0</v>
      </c>
      <c r="L261" t="n">
        <v>0</v>
      </c>
      <c r="M261" t="n">
        <v>0</v>
      </c>
      <c r="N261" t="n">
        <v>0</v>
      </c>
      <c r="O261" t="n">
        <v>0</v>
      </c>
      <c r="P261" t="n">
        <v>0</v>
      </c>
      <c r="Q261" t="n">
        <v>0</v>
      </c>
      <c r="R261" t="n">
        <v>0</v>
      </c>
      <c r="S261" t="n">
        <v>0</v>
      </c>
      <c r="T261" t="n">
        <v>0</v>
      </c>
      <c r="U261" s="2" t="inlineStr"/>
      <c r="X261">
        <f>HYPERLINK("https://klasma.github.io/Logging_1981/knärot/A 34069-2025 karta knärot.png", "A 34069-2025")</f>
        <v/>
      </c>
      <c r="Y261">
        <f>HYPERLINK("https://klasma.github.io/Logging_1981/klagomål/A 34069-2025 FSC-klagomål.docx", "A 34069-2025")</f>
        <v/>
      </c>
      <c r="Z261">
        <f>HYPERLINK("https://klasma.github.io/Logging_1981/klagomålsmail/A 34069-2025 FSC-klagomål mail.docx", "A 34069-2025")</f>
        <v/>
      </c>
      <c r="AA261">
        <f>HYPERLINK("https://klasma.github.io/Logging_1981/tillsyn/A 34069-2025 tillsynsbegäran.docx", "A 34069-2025")</f>
        <v/>
      </c>
      <c r="AB261">
        <f>HYPERLINK("https://klasma.github.io/Logging_1981/tillsynsmail/A 34069-2025 tillsynsbegäran mail.docx", "A 34069-2025")</f>
        <v/>
      </c>
    </row>
    <row r="262" ht="15" customHeight="1">
      <c r="A262" t="inlineStr">
        <is>
          <t>A 12252-2023</t>
        </is>
      </c>
      <c r="B262" t="inlineStr">
        <is>
          <t>avverkningsanmälan</t>
        </is>
      </c>
      <c r="C262" t="inlineStr">
        <is>
          <t>Föryngringsavverkning</t>
        </is>
      </c>
      <c r="D262" s="1" t="n">
        <v>44995</v>
      </c>
      <c r="E262" s="1" t="n">
        <v>46216</v>
      </c>
      <c r="F262" t="inlineStr">
        <is>
          <t>VÄSTMANLANDS LÄN</t>
        </is>
      </c>
      <c r="G262" t="inlineStr">
        <is>
          <t>SALA</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46915-2025</t>
        </is>
      </c>
      <c r="B263" t="inlineStr">
        <is>
          <t>avverkningsanmälan</t>
        </is>
      </c>
      <c r="C263" t="inlineStr">
        <is>
          <t>Föryngringsavverkning</t>
        </is>
      </c>
      <c r="D263" s="1" t="n">
        <v>45929</v>
      </c>
      <c r="E263" s="1" t="n">
        <v>46216</v>
      </c>
      <c r="F263" t="inlineStr">
        <is>
          <t>VÄSTMANLANDS LÄN</t>
        </is>
      </c>
      <c r="G263" t="inlineStr">
        <is>
          <t>SALA</t>
        </is>
      </c>
      <c r="I263" t="n">
        <v>1.5</v>
      </c>
      <c r="J263" t="n">
        <v>0</v>
      </c>
      <c r="K263" t="n">
        <v>0</v>
      </c>
      <c r="L263" t="n">
        <v>0</v>
      </c>
      <c r="M263" t="n">
        <v>0</v>
      </c>
      <c r="N263" t="n">
        <v>0</v>
      </c>
      <c r="O263" t="n">
        <v>0</v>
      </c>
      <c r="P263" t="n">
        <v>0</v>
      </c>
      <c r="Q263" t="n">
        <v>0</v>
      </c>
      <c r="R263" t="n">
        <v>0</v>
      </c>
      <c r="S263" t="n">
        <v>0</v>
      </c>
      <c r="T263" t="n">
        <v>0</v>
      </c>
      <c r="U263" s="2" t="inlineStr"/>
    </row>
    <row r="264" ht="15" customHeight="1">
      <c r="A264" t="inlineStr">
        <is>
          <t>A 25260-2023</t>
        </is>
      </c>
      <c r="B264" t="inlineStr">
        <is>
          <t>avverkningsanmälan</t>
        </is>
      </c>
      <c r="C264" t="inlineStr">
        <is>
          <t>Föryngringsavverkning</t>
        </is>
      </c>
      <c r="D264" s="1" t="n">
        <v>45086</v>
      </c>
      <c r="E264" s="1" t="n">
        <v>46216</v>
      </c>
      <c r="F264" t="inlineStr">
        <is>
          <t>VÄSTMANLANDS LÄN</t>
        </is>
      </c>
      <c r="G264" t="inlineStr">
        <is>
          <t>SALA</t>
        </is>
      </c>
      <c r="H264" t="inlineStr">
        <is>
          <t>Sveaskog</t>
        </is>
      </c>
      <c r="I264" t="n">
        <v>3.2</v>
      </c>
      <c r="J264" t="n">
        <v>0</v>
      </c>
      <c r="K264" t="n">
        <v>0</v>
      </c>
      <c r="L264" t="n">
        <v>0</v>
      </c>
      <c r="M264" t="n">
        <v>0</v>
      </c>
      <c r="N264" t="n">
        <v>0</v>
      </c>
      <c r="O264" t="n">
        <v>0</v>
      </c>
      <c r="P264" t="n">
        <v>0</v>
      </c>
      <c r="Q264" t="n">
        <v>0</v>
      </c>
      <c r="R264" t="n">
        <v>0</v>
      </c>
      <c r="S264" t="n">
        <v>0</v>
      </c>
      <c r="T264" t="n">
        <v>0</v>
      </c>
      <c r="U264" s="2" t="inlineStr"/>
    </row>
    <row r="265" ht="15" customHeight="1">
      <c r="A265" t="inlineStr">
        <is>
          <t>A 57404-2024</t>
        </is>
      </c>
      <c r="B265" t="inlineStr">
        <is>
          <t>avverkningsanmälan</t>
        </is>
      </c>
      <c r="C265" t="inlineStr">
        <is>
          <t>Föryngringsavverkning</t>
        </is>
      </c>
      <c r="D265" s="1" t="n">
        <v>45629</v>
      </c>
      <c r="E265" s="1" t="n">
        <v>46216</v>
      </c>
      <c r="F265" t="inlineStr">
        <is>
          <t>VÄSTMANLANDS LÄN</t>
        </is>
      </c>
      <c r="G265" t="inlineStr">
        <is>
          <t>SALA</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47577-2025</t>
        </is>
      </c>
      <c r="B266" t="inlineStr">
        <is>
          <t>avverkningsanmälan</t>
        </is>
      </c>
      <c r="C266" t="inlineStr">
        <is>
          <t>Föryngringsavverkning</t>
        </is>
      </c>
      <c r="D266" s="1" t="n">
        <v>45931</v>
      </c>
      <c r="E266" s="1" t="n">
        <v>46216</v>
      </c>
      <c r="F266" t="inlineStr">
        <is>
          <t>VÄSTMANLANDS LÄN</t>
        </is>
      </c>
      <c r="G266" t="inlineStr">
        <is>
          <t>SALA</t>
        </is>
      </c>
      <c r="I266" t="n">
        <v>3.7</v>
      </c>
      <c r="J266" t="n">
        <v>0</v>
      </c>
      <c r="K266" t="n">
        <v>0</v>
      </c>
      <c r="L266" t="n">
        <v>0</v>
      </c>
      <c r="M266" t="n">
        <v>0</v>
      </c>
      <c r="N266" t="n">
        <v>0</v>
      </c>
      <c r="O266" t="n">
        <v>0</v>
      </c>
      <c r="P266" t="n">
        <v>0</v>
      </c>
      <c r="Q266" t="n">
        <v>0</v>
      </c>
      <c r="R266" t="n">
        <v>0</v>
      </c>
      <c r="S266" t="n">
        <v>0</v>
      </c>
      <c r="T266" t="n">
        <v>0</v>
      </c>
      <c r="U266" s="2" t="inlineStr"/>
    </row>
    <row r="267" ht="15" customHeight="1">
      <c r="A267" t="inlineStr">
        <is>
          <t>A 13128-2023</t>
        </is>
      </c>
      <c r="B267" t="inlineStr">
        <is>
          <t>avverkningsanmälan</t>
        </is>
      </c>
      <c r="C267" t="inlineStr">
        <is>
          <t>Föryngringsavverkning</t>
        </is>
      </c>
      <c r="D267" s="1" t="n">
        <v>45002</v>
      </c>
      <c r="E267" s="1" t="n">
        <v>46216</v>
      </c>
      <c r="F267" t="inlineStr">
        <is>
          <t>VÄSTMANLANDS LÄN</t>
        </is>
      </c>
      <c r="G267" t="inlineStr">
        <is>
          <t>SALA</t>
        </is>
      </c>
      <c r="I267" t="n">
        <v>7.9</v>
      </c>
      <c r="J267" t="n">
        <v>0</v>
      </c>
      <c r="K267" t="n">
        <v>0</v>
      </c>
      <c r="L267" t="n">
        <v>0</v>
      </c>
      <c r="M267" t="n">
        <v>0</v>
      </c>
      <c r="N267" t="n">
        <v>0</v>
      </c>
      <c r="O267" t="n">
        <v>0</v>
      </c>
      <c r="P267" t="n">
        <v>0</v>
      </c>
      <c r="Q267" t="n">
        <v>0</v>
      </c>
      <c r="R267" t="n">
        <v>0</v>
      </c>
      <c r="S267" t="n">
        <v>0</v>
      </c>
      <c r="T267" t="n">
        <v>0</v>
      </c>
      <c r="U267" s="2" t="inlineStr"/>
    </row>
    <row r="268" ht="15" customHeight="1">
      <c r="A268" t="inlineStr">
        <is>
          <t>A 46661-2025</t>
        </is>
      </c>
      <c r="B268" t="inlineStr">
        <is>
          <t>avverkningsanmälan</t>
        </is>
      </c>
      <c r="C268" t="inlineStr">
        <is>
          <t>Föryngringsavverkning</t>
        </is>
      </c>
      <c r="D268" s="1" t="n">
        <v>45926</v>
      </c>
      <c r="E268" s="1" t="n">
        <v>46216</v>
      </c>
      <c r="F268" t="inlineStr">
        <is>
          <t>VÄSTMANLANDS LÄN</t>
        </is>
      </c>
      <c r="G268" t="inlineStr">
        <is>
          <t>SALA</t>
        </is>
      </c>
      <c r="I268" t="n">
        <v>0.8</v>
      </c>
      <c r="J268" t="n">
        <v>0</v>
      </c>
      <c r="K268" t="n">
        <v>0</v>
      </c>
      <c r="L268" t="n">
        <v>0</v>
      </c>
      <c r="M268" t="n">
        <v>0</v>
      </c>
      <c r="N268" t="n">
        <v>0</v>
      </c>
      <c r="O268" t="n">
        <v>0</v>
      </c>
      <c r="P268" t="n">
        <v>0</v>
      </c>
      <c r="Q268" t="n">
        <v>0</v>
      </c>
      <c r="R268" t="n">
        <v>0</v>
      </c>
      <c r="S268" t="n">
        <v>0</v>
      </c>
      <c r="T268" t="n">
        <v>0</v>
      </c>
      <c r="U268" s="2" t="inlineStr"/>
    </row>
    <row r="269" ht="15" customHeight="1">
      <c r="A269" t="inlineStr">
        <is>
          <t>A 36045-2025</t>
        </is>
      </c>
      <c r="B269" t="inlineStr">
        <is>
          <t>avverkningsanmälan</t>
        </is>
      </c>
      <c r="C269" t="inlineStr">
        <is>
          <t>Föryngringsavverkning</t>
        </is>
      </c>
      <c r="D269" s="1" t="n">
        <v>45866</v>
      </c>
      <c r="E269" s="1" t="n">
        <v>46216</v>
      </c>
      <c r="F269" t="inlineStr">
        <is>
          <t>VÄSTMANLANDS LÄN</t>
        </is>
      </c>
      <c r="G269" t="inlineStr">
        <is>
          <t>SALA</t>
        </is>
      </c>
      <c r="H269" t="inlineStr">
        <is>
          <t>Kommuner</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24864-2024</t>
        </is>
      </c>
      <c r="B270" t="inlineStr">
        <is>
          <t>avverkningsanmälan</t>
        </is>
      </c>
      <c r="C270" t="inlineStr">
        <is>
          <t>Föryngringsavverkning</t>
        </is>
      </c>
      <c r="D270" s="1" t="n">
        <v>45461</v>
      </c>
      <c r="E270" s="1" t="n">
        <v>46216</v>
      </c>
      <c r="F270" t="inlineStr">
        <is>
          <t>VÄSTMANLANDS LÄN</t>
        </is>
      </c>
      <c r="G270" t="inlineStr">
        <is>
          <t>SALA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31863-2025</t>
        </is>
      </c>
      <c r="B271" t="inlineStr">
        <is>
          <t>avverkningsanmälan</t>
        </is>
      </c>
      <c r="C271" t="inlineStr">
        <is>
          <t>Föryngringsavverkning</t>
        </is>
      </c>
      <c r="D271" s="1" t="n">
        <v>45834</v>
      </c>
      <c r="E271" s="1" t="n">
        <v>46216</v>
      </c>
      <c r="F271" t="inlineStr">
        <is>
          <t>VÄSTMANLANDS LÄN</t>
        </is>
      </c>
      <c r="G271" t="inlineStr">
        <is>
          <t>SALA</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48710-2025</t>
        </is>
      </c>
      <c r="B272" t="inlineStr">
        <is>
          <t>avverkningsanmälan</t>
        </is>
      </c>
      <c r="C272" t="inlineStr">
        <is>
          <t>Föryngringsavverkning</t>
        </is>
      </c>
      <c r="D272" s="1" t="n">
        <v>45936</v>
      </c>
      <c r="E272" s="1" t="n">
        <v>46216</v>
      </c>
      <c r="F272" t="inlineStr">
        <is>
          <t>VÄSTMANLANDS LÄN</t>
        </is>
      </c>
      <c r="G272" t="inlineStr">
        <is>
          <t>SALA</t>
        </is>
      </c>
      <c r="I272" t="n">
        <v>2.7</v>
      </c>
      <c r="J272" t="n">
        <v>0</v>
      </c>
      <c r="K272" t="n">
        <v>0</v>
      </c>
      <c r="L272" t="n">
        <v>0</v>
      </c>
      <c r="M272" t="n">
        <v>0</v>
      </c>
      <c r="N272" t="n">
        <v>0</v>
      </c>
      <c r="O272" t="n">
        <v>0</v>
      </c>
      <c r="P272" t="n">
        <v>0</v>
      </c>
      <c r="Q272" t="n">
        <v>0</v>
      </c>
      <c r="R272" t="n">
        <v>0</v>
      </c>
      <c r="S272" t="n">
        <v>0</v>
      </c>
      <c r="T272" t="n">
        <v>0</v>
      </c>
      <c r="U272" s="2" t="inlineStr"/>
    </row>
    <row r="273" ht="15" customHeight="1">
      <c r="A273" t="inlineStr">
        <is>
          <t>A 3546-2025</t>
        </is>
      </c>
      <c r="B273" t="inlineStr">
        <is>
          <t>avverkningsanmälan</t>
        </is>
      </c>
      <c r="C273" t="inlineStr">
        <is>
          <t>Avverkning för annat ändamål</t>
        </is>
      </c>
      <c r="D273" s="1" t="n">
        <v>45680</v>
      </c>
      <c r="E273" s="1" t="n">
        <v>46216</v>
      </c>
      <c r="F273" t="inlineStr">
        <is>
          <t>VÄSTMANLANDS LÄN</t>
        </is>
      </c>
      <c r="G273" t="inlineStr">
        <is>
          <t>SALA</t>
        </is>
      </c>
      <c r="I273" t="n">
        <v>0.4</v>
      </c>
      <c r="J273" t="n">
        <v>0</v>
      </c>
      <c r="K273" t="n">
        <v>0</v>
      </c>
      <c r="L273" t="n">
        <v>0</v>
      </c>
      <c r="M273" t="n">
        <v>0</v>
      </c>
      <c r="N273" t="n">
        <v>0</v>
      </c>
      <c r="O273" t="n">
        <v>0</v>
      </c>
      <c r="P273" t="n">
        <v>0</v>
      </c>
      <c r="Q273" t="n">
        <v>0</v>
      </c>
      <c r="R273" t="n">
        <v>0</v>
      </c>
      <c r="S273" t="n">
        <v>0</v>
      </c>
      <c r="T273" t="n">
        <v>0</v>
      </c>
      <c r="U273" s="2" t="inlineStr"/>
    </row>
    <row r="274" ht="15" customHeight="1">
      <c r="A274" t="inlineStr">
        <is>
          <t>A 31869-2025</t>
        </is>
      </c>
      <c r="B274" t="inlineStr">
        <is>
          <t>avverkningsanmälan</t>
        </is>
      </c>
      <c r="C274" t="inlineStr">
        <is>
          <t>Föryngringsavverkning</t>
        </is>
      </c>
      <c r="D274" s="1" t="n">
        <v>45834</v>
      </c>
      <c r="E274" s="1" t="n">
        <v>46216</v>
      </c>
      <c r="F274" t="inlineStr">
        <is>
          <t>VÄSTMANLANDS LÄN</t>
        </is>
      </c>
      <c r="G274" t="inlineStr">
        <is>
          <t>SALA</t>
        </is>
      </c>
      <c r="I274" t="n">
        <v>17.5</v>
      </c>
      <c r="J274" t="n">
        <v>0</v>
      </c>
      <c r="K274" t="n">
        <v>0</v>
      </c>
      <c r="L274" t="n">
        <v>0</v>
      </c>
      <c r="M274" t="n">
        <v>0</v>
      </c>
      <c r="N274" t="n">
        <v>0</v>
      </c>
      <c r="O274" t="n">
        <v>0</v>
      </c>
      <c r="P274" t="n">
        <v>0</v>
      </c>
      <c r="Q274" t="n">
        <v>0</v>
      </c>
      <c r="R274" t="n">
        <v>0</v>
      </c>
      <c r="S274" t="n">
        <v>0</v>
      </c>
      <c r="T274" t="n">
        <v>0</v>
      </c>
      <c r="U274" s="2" t="inlineStr"/>
    </row>
    <row r="275" ht="15" customHeight="1">
      <c r="A275" t="inlineStr">
        <is>
          <t>A 7664-2023</t>
        </is>
      </c>
      <c r="B275" t="inlineStr">
        <is>
          <t>avverkningsanmälan</t>
        </is>
      </c>
      <c r="C275" t="inlineStr">
        <is>
          <t>Föryngringsavverkning</t>
        </is>
      </c>
      <c r="D275" s="1" t="n">
        <v>44972</v>
      </c>
      <c r="E275" s="1" t="n">
        <v>46216</v>
      </c>
      <c r="F275" t="inlineStr">
        <is>
          <t>VÄSTMANLANDS LÄN</t>
        </is>
      </c>
      <c r="G275" t="inlineStr">
        <is>
          <t>SALA</t>
        </is>
      </c>
      <c r="I275" t="n">
        <v>1.4</v>
      </c>
      <c r="J275" t="n">
        <v>0</v>
      </c>
      <c r="K275" t="n">
        <v>0</v>
      </c>
      <c r="L275" t="n">
        <v>0</v>
      </c>
      <c r="M275" t="n">
        <v>0</v>
      </c>
      <c r="N275" t="n">
        <v>0</v>
      </c>
      <c r="O275" t="n">
        <v>0</v>
      </c>
      <c r="P275" t="n">
        <v>0</v>
      </c>
      <c r="Q275" t="n">
        <v>0</v>
      </c>
      <c r="R275" t="n">
        <v>0</v>
      </c>
      <c r="S275" t="n">
        <v>0</v>
      </c>
      <c r="T275" t="n">
        <v>0</v>
      </c>
      <c r="U275" s="2" t="inlineStr"/>
    </row>
    <row r="276" ht="15" customHeight="1">
      <c r="A276" t="inlineStr">
        <is>
          <t>A 37017-2025</t>
        </is>
      </c>
      <c r="B276" t="inlineStr">
        <is>
          <t>avverkningsanmälan</t>
        </is>
      </c>
      <c r="C276" t="inlineStr">
        <is>
          <t>Föryngringsavverkning</t>
        </is>
      </c>
      <c r="D276" s="1" t="n">
        <v>45874</v>
      </c>
      <c r="E276" s="1" t="n">
        <v>46216</v>
      </c>
      <c r="F276" t="inlineStr">
        <is>
          <t>VÄSTMANLANDS LÄN</t>
        </is>
      </c>
      <c r="G276" t="inlineStr">
        <is>
          <t>SALA</t>
        </is>
      </c>
      <c r="I276" t="n">
        <v>11.1</v>
      </c>
      <c r="J276" t="n">
        <v>0</v>
      </c>
      <c r="K276" t="n">
        <v>0</v>
      </c>
      <c r="L276" t="n">
        <v>0</v>
      </c>
      <c r="M276" t="n">
        <v>0</v>
      </c>
      <c r="N276" t="n">
        <v>0</v>
      </c>
      <c r="O276" t="n">
        <v>0</v>
      </c>
      <c r="P276" t="n">
        <v>0</v>
      </c>
      <c r="Q276" t="n">
        <v>0</v>
      </c>
      <c r="R276" t="n">
        <v>0</v>
      </c>
      <c r="S276" t="n">
        <v>0</v>
      </c>
      <c r="T276" t="n">
        <v>0</v>
      </c>
      <c r="U276" s="2" t="inlineStr"/>
    </row>
    <row r="277" ht="15" customHeight="1">
      <c r="A277" t="inlineStr">
        <is>
          <t>A 49640-2025</t>
        </is>
      </c>
      <c r="B277" t="inlineStr">
        <is>
          <t>avverkningsanmälan</t>
        </is>
      </c>
      <c r="C277" t="inlineStr">
        <is>
          <t>Föryngringsavverkning</t>
        </is>
      </c>
      <c r="D277" s="1" t="n">
        <v>45939</v>
      </c>
      <c r="E277" s="1" t="n">
        <v>46216</v>
      </c>
      <c r="F277" t="inlineStr">
        <is>
          <t>VÄSTMANLANDS LÄN</t>
        </is>
      </c>
      <c r="G277" t="inlineStr">
        <is>
          <t>SALA</t>
        </is>
      </c>
      <c r="H277" t="inlineStr">
        <is>
          <t>Kommuner</t>
        </is>
      </c>
      <c r="I277" t="n">
        <v>18.8</v>
      </c>
      <c r="J277" t="n">
        <v>0</v>
      </c>
      <c r="K277" t="n">
        <v>0</v>
      </c>
      <c r="L277" t="n">
        <v>0</v>
      </c>
      <c r="M277" t="n">
        <v>0</v>
      </c>
      <c r="N277" t="n">
        <v>0</v>
      </c>
      <c r="O277" t="n">
        <v>0</v>
      </c>
      <c r="P277" t="n">
        <v>0</v>
      </c>
      <c r="Q277" t="n">
        <v>0</v>
      </c>
      <c r="R277" t="n">
        <v>0</v>
      </c>
      <c r="S277" t="n">
        <v>0</v>
      </c>
      <c r="T277" t="n">
        <v>0</v>
      </c>
      <c r="U277" s="2" t="inlineStr"/>
    </row>
    <row r="278" ht="15" customHeight="1">
      <c r="A278" t="inlineStr">
        <is>
          <t>A 37246-2025</t>
        </is>
      </c>
      <c r="B278" t="inlineStr">
        <is>
          <t>avverkningsanmälan</t>
        </is>
      </c>
      <c r="C278" t="inlineStr">
        <is>
          <t>Föryngringsavverkning</t>
        </is>
      </c>
      <c r="D278" s="1" t="n">
        <v>45876</v>
      </c>
      <c r="E278" s="1" t="n">
        <v>46216</v>
      </c>
      <c r="F278" t="inlineStr">
        <is>
          <t>VÄSTMANLANDS LÄN</t>
        </is>
      </c>
      <c r="G278" t="inlineStr">
        <is>
          <t>SALA</t>
        </is>
      </c>
      <c r="I278" t="n">
        <v>2.3</v>
      </c>
      <c r="J278" t="n">
        <v>0</v>
      </c>
      <c r="K278" t="n">
        <v>0</v>
      </c>
      <c r="L278" t="n">
        <v>0</v>
      </c>
      <c r="M278" t="n">
        <v>0</v>
      </c>
      <c r="N278" t="n">
        <v>0</v>
      </c>
      <c r="O278" t="n">
        <v>0</v>
      </c>
      <c r="P278" t="n">
        <v>0</v>
      </c>
      <c r="Q278" t="n">
        <v>0</v>
      </c>
      <c r="R278" t="n">
        <v>0</v>
      </c>
      <c r="S278" t="n">
        <v>0</v>
      </c>
      <c r="T278" t="n">
        <v>0</v>
      </c>
      <c r="U278" s="2" t="inlineStr"/>
    </row>
    <row r="279" ht="15" customHeight="1">
      <c r="A279" t="inlineStr">
        <is>
          <t>A 37590-2025</t>
        </is>
      </c>
      <c r="B279" t="inlineStr">
        <is>
          <t>avverkningsanmälan</t>
        </is>
      </c>
      <c r="C279" t="inlineStr">
        <is>
          <t>Föryngringsavverkning</t>
        </is>
      </c>
      <c r="D279" s="1" t="n">
        <v>45880</v>
      </c>
      <c r="E279" s="1" t="n">
        <v>46216</v>
      </c>
      <c r="F279" t="inlineStr">
        <is>
          <t>VÄSTMANLANDS LÄN</t>
        </is>
      </c>
      <c r="G279" t="inlineStr">
        <is>
          <t>SALA</t>
        </is>
      </c>
      <c r="I279" t="n">
        <v>2.2</v>
      </c>
      <c r="J279" t="n">
        <v>0</v>
      </c>
      <c r="K279" t="n">
        <v>0</v>
      </c>
      <c r="L279" t="n">
        <v>0</v>
      </c>
      <c r="M279" t="n">
        <v>0</v>
      </c>
      <c r="N279" t="n">
        <v>0</v>
      </c>
      <c r="O279" t="n">
        <v>0</v>
      </c>
      <c r="P279" t="n">
        <v>0</v>
      </c>
      <c r="Q279" t="n">
        <v>0</v>
      </c>
      <c r="R279" t="n">
        <v>0</v>
      </c>
      <c r="S279" t="n">
        <v>0</v>
      </c>
      <c r="T279" t="n">
        <v>0</v>
      </c>
      <c r="U279" s="2" t="inlineStr"/>
    </row>
    <row r="280" ht="15" customHeight="1">
      <c r="A280" t="inlineStr">
        <is>
          <t>A 50119-2025</t>
        </is>
      </c>
      <c r="B280" t="inlineStr">
        <is>
          <t>avverkningsanmälan</t>
        </is>
      </c>
      <c r="C280" t="inlineStr">
        <is>
          <t>Föryngringsavverkning</t>
        </is>
      </c>
      <c r="D280" s="1" t="n">
        <v>45943</v>
      </c>
      <c r="E280" s="1" t="n">
        <v>46216</v>
      </c>
      <c r="F280" t="inlineStr">
        <is>
          <t>VÄSTMANLANDS LÄN</t>
        </is>
      </c>
      <c r="G280" t="inlineStr">
        <is>
          <t>SALA</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50059-2025</t>
        </is>
      </c>
      <c r="B281" t="inlineStr">
        <is>
          <t>avverkningsanmälan</t>
        </is>
      </c>
      <c r="C281" t="inlineStr">
        <is>
          <t>Föryngringsavverkning</t>
        </is>
      </c>
      <c r="D281" s="1" t="n">
        <v>45943</v>
      </c>
      <c r="E281" s="1" t="n">
        <v>46216</v>
      </c>
      <c r="F281" t="inlineStr">
        <is>
          <t>VÄSTMANLANDS LÄN</t>
        </is>
      </c>
      <c r="G281" t="inlineStr">
        <is>
          <t>SALA</t>
        </is>
      </c>
      <c r="I281" t="n">
        <v>4.4</v>
      </c>
      <c r="J281" t="n">
        <v>0</v>
      </c>
      <c r="K281" t="n">
        <v>0</v>
      </c>
      <c r="L281" t="n">
        <v>0</v>
      </c>
      <c r="M281" t="n">
        <v>0</v>
      </c>
      <c r="N281" t="n">
        <v>0</v>
      </c>
      <c r="O281" t="n">
        <v>0</v>
      </c>
      <c r="P281" t="n">
        <v>0</v>
      </c>
      <c r="Q281" t="n">
        <v>0</v>
      </c>
      <c r="R281" t="n">
        <v>0</v>
      </c>
      <c r="S281" t="n">
        <v>0</v>
      </c>
      <c r="T281" t="n">
        <v>0</v>
      </c>
      <c r="U281" s="2" t="inlineStr"/>
    </row>
    <row r="282" ht="15" customHeight="1">
      <c r="A282" t="inlineStr">
        <is>
          <t>A 28696-2023</t>
        </is>
      </c>
      <c r="B282" t="inlineStr">
        <is>
          <t>avverkningsanmälan</t>
        </is>
      </c>
      <c r="C282" t="inlineStr">
        <is>
          <t>Föryngringsavverkning</t>
        </is>
      </c>
      <c r="D282" s="1" t="n">
        <v>45103</v>
      </c>
      <c r="E282" s="1" t="n">
        <v>46216</v>
      </c>
      <c r="F282" t="inlineStr">
        <is>
          <t>VÄSTMANLANDS LÄN</t>
        </is>
      </c>
      <c r="G282" t="inlineStr">
        <is>
          <t>SALA</t>
        </is>
      </c>
      <c r="H282" t="inlineStr">
        <is>
          <t>Kommuner</t>
        </is>
      </c>
      <c r="I282" t="n">
        <v>5.9</v>
      </c>
      <c r="J282" t="n">
        <v>0</v>
      </c>
      <c r="K282" t="n">
        <v>0</v>
      </c>
      <c r="L282" t="n">
        <v>0</v>
      </c>
      <c r="M282" t="n">
        <v>0</v>
      </c>
      <c r="N282" t="n">
        <v>0</v>
      </c>
      <c r="O282" t="n">
        <v>0</v>
      </c>
      <c r="P282" t="n">
        <v>0</v>
      </c>
      <c r="Q282" t="n">
        <v>0</v>
      </c>
      <c r="R282" t="n">
        <v>0</v>
      </c>
      <c r="S282" t="n">
        <v>0</v>
      </c>
      <c r="T282" t="n">
        <v>0</v>
      </c>
      <c r="U282" s="2" t="inlineStr"/>
    </row>
    <row r="283" ht="15" customHeight="1">
      <c r="A283" t="inlineStr">
        <is>
          <t>A 43359-2024</t>
        </is>
      </c>
      <c r="B283" t="inlineStr">
        <is>
          <t>avverkningsanmälan</t>
        </is>
      </c>
      <c r="C283" t="inlineStr">
        <is>
          <t>Föryngringsavverkning</t>
        </is>
      </c>
      <c r="D283" s="1" t="n">
        <v>45568</v>
      </c>
      <c r="E283" s="1" t="n">
        <v>46216</v>
      </c>
      <c r="F283" t="inlineStr">
        <is>
          <t>VÄSTMANLANDS LÄN</t>
        </is>
      </c>
      <c r="G283" t="inlineStr">
        <is>
          <t>SALA</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1934-2023</t>
        </is>
      </c>
      <c r="B284" t="inlineStr">
        <is>
          <t>avverkningsanmälan</t>
        </is>
      </c>
      <c r="C284" t="inlineStr">
        <is>
          <t>Föryngringsavverkning</t>
        </is>
      </c>
      <c r="D284" s="1" t="n">
        <v>44939</v>
      </c>
      <c r="E284" s="1" t="n">
        <v>46216</v>
      </c>
      <c r="F284" t="inlineStr">
        <is>
          <t>VÄSTMANLANDS LÄN</t>
        </is>
      </c>
      <c r="G284" t="inlineStr">
        <is>
          <t>SALA</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50241-2023</t>
        </is>
      </c>
      <c r="B285" t="inlineStr">
        <is>
          <t>avverkningsanmälan</t>
        </is>
      </c>
      <c r="C285" t="inlineStr">
        <is>
          <t>Föryngringsavverkning</t>
        </is>
      </c>
      <c r="D285" s="1" t="n">
        <v>45216</v>
      </c>
      <c r="E285" s="1" t="n">
        <v>46216</v>
      </c>
      <c r="F285" t="inlineStr">
        <is>
          <t>VÄSTMANLANDS LÄN</t>
        </is>
      </c>
      <c r="G285" t="inlineStr">
        <is>
          <t>SALA</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30971-2022</t>
        </is>
      </c>
      <c r="B286" t="inlineStr">
        <is>
          <t>avverkningsanmälan</t>
        </is>
      </c>
      <c r="C286" t="inlineStr">
        <is>
          <t>Föryngringsavverkning</t>
        </is>
      </c>
      <c r="D286" s="1" t="n">
        <v>44768</v>
      </c>
      <c r="E286" s="1" t="n">
        <v>46216</v>
      </c>
      <c r="F286" t="inlineStr">
        <is>
          <t>VÄSTMANLANDS LÄN</t>
        </is>
      </c>
      <c r="G286" t="inlineStr">
        <is>
          <t>SALA</t>
        </is>
      </c>
      <c r="I286" t="n">
        <v>2.4</v>
      </c>
      <c r="J286" t="n">
        <v>0</v>
      </c>
      <c r="K286" t="n">
        <v>0</v>
      </c>
      <c r="L286" t="n">
        <v>0</v>
      </c>
      <c r="M286" t="n">
        <v>0</v>
      </c>
      <c r="N286" t="n">
        <v>0</v>
      </c>
      <c r="O286" t="n">
        <v>0</v>
      </c>
      <c r="P286" t="n">
        <v>0</v>
      </c>
      <c r="Q286" t="n">
        <v>0</v>
      </c>
      <c r="R286" t="n">
        <v>0</v>
      </c>
      <c r="S286" t="n">
        <v>0</v>
      </c>
      <c r="T286" t="n">
        <v>0</v>
      </c>
      <c r="U286" s="2" t="inlineStr"/>
    </row>
    <row r="287" ht="15" customHeight="1">
      <c r="A287" t="inlineStr">
        <is>
          <t>A 35637-2022</t>
        </is>
      </c>
      <c r="B287" t="inlineStr">
        <is>
          <t>avverkningsanmälan</t>
        </is>
      </c>
      <c r="C287" t="inlineStr">
        <is>
          <t>Föryngringsavverkning</t>
        </is>
      </c>
      <c r="D287" s="1" t="n">
        <v>44799</v>
      </c>
      <c r="E287" s="1" t="n">
        <v>46216</v>
      </c>
      <c r="F287" t="inlineStr">
        <is>
          <t>VÄSTMANLANDS LÄN</t>
        </is>
      </c>
      <c r="G287" t="inlineStr">
        <is>
          <t>SALA</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27038-2023</t>
        </is>
      </c>
      <c r="B288" t="inlineStr">
        <is>
          <t>avverkningsanmälan</t>
        </is>
      </c>
      <c r="C288" t="inlineStr">
        <is>
          <t>Föryngringsavverkning</t>
        </is>
      </c>
      <c r="D288" s="1" t="n">
        <v>45095</v>
      </c>
      <c r="E288" s="1" t="n">
        <v>46216</v>
      </c>
      <c r="F288" t="inlineStr">
        <is>
          <t>VÄSTMANLANDS LÄN</t>
        </is>
      </c>
      <c r="G288" t="inlineStr">
        <is>
          <t>SALA</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51764-2025</t>
        </is>
      </c>
      <c r="B289" t="inlineStr">
        <is>
          <t>avverkningsanmälan</t>
        </is>
      </c>
      <c r="C289" t="inlineStr">
        <is>
          <t>Föryngringsavverkning</t>
        </is>
      </c>
      <c r="D289" s="1" t="n">
        <v>45951</v>
      </c>
      <c r="E289" s="1" t="n">
        <v>46216</v>
      </c>
      <c r="F289" t="inlineStr">
        <is>
          <t>VÄSTMANLANDS LÄN</t>
        </is>
      </c>
      <c r="G289" t="inlineStr">
        <is>
          <t>SALA</t>
        </is>
      </c>
      <c r="I289" t="n">
        <v>1.5</v>
      </c>
      <c r="J289" t="n">
        <v>0</v>
      </c>
      <c r="K289" t="n">
        <v>0</v>
      </c>
      <c r="L289" t="n">
        <v>0</v>
      </c>
      <c r="M289" t="n">
        <v>0</v>
      </c>
      <c r="N289" t="n">
        <v>0</v>
      </c>
      <c r="O289" t="n">
        <v>0</v>
      </c>
      <c r="P289" t="n">
        <v>0</v>
      </c>
      <c r="Q289" t="n">
        <v>0</v>
      </c>
      <c r="R289" t="n">
        <v>0</v>
      </c>
      <c r="S289" t="n">
        <v>0</v>
      </c>
      <c r="T289" t="n">
        <v>0</v>
      </c>
      <c r="U289" s="2" t="inlineStr"/>
    </row>
    <row r="290" ht="15" customHeight="1">
      <c r="A290" t="inlineStr">
        <is>
          <t>A 51626-2025</t>
        </is>
      </c>
      <c r="B290" t="inlineStr">
        <is>
          <t>avverkningsanmälan</t>
        </is>
      </c>
      <c r="C290" t="inlineStr">
        <is>
          <t>Föryngringsavverkning</t>
        </is>
      </c>
      <c r="D290" s="1" t="n">
        <v>45951</v>
      </c>
      <c r="E290" s="1" t="n">
        <v>46216</v>
      </c>
      <c r="F290" t="inlineStr">
        <is>
          <t>VÄSTMANLANDS LÄN</t>
        </is>
      </c>
      <c r="G290" t="inlineStr">
        <is>
          <t>SALA</t>
        </is>
      </c>
      <c r="I290" t="n">
        <v>2.6</v>
      </c>
      <c r="J290" t="n">
        <v>0</v>
      </c>
      <c r="K290" t="n">
        <v>0</v>
      </c>
      <c r="L290" t="n">
        <v>0</v>
      </c>
      <c r="M290" t="n">
        <v>0</v>
      </c>
      <c r="N290" t="n">
        <v>0</v>
      </c>
      <c r="O290" t="n">
        <v>0</v>
      </c>
      <c r="P290" t="n">
        <v>0</v>
      </c>
      <c r="Q290" t="n">
        <v>0</v>
      </c>
      <c r="R290" t="n">
        <v>0</v>
      </c>
      <c r="S290" t="n">
        <v>0</v>
      </c>
      <c r="T290" t="n">
        <v>0</v>
      </c>
      <c r="U290" s="2" t="inlineStr"/>
    </row>
    <row r="291" ht="15" customHeight="1">
      <c r="A291" t="inlineStr">
        <is>
          <t>A 23182-2022</t>
        </is>
      </c>
      <c r="B291" t="inlineStr">
        <is>
          <t>avverkningsanmälan</t>
        </is>
      </c>
      <c r="C291" t="inlineStr">
        <is>
          <t>Föryngringsavverkning</t>
        </is>
      </c>
      <c r="D291" s="1" t="n">
        <v>44719</v>
      </c>
      <c r="E291" s="1" t="n">
        <v>46216</v>
      </c>
      <c r="F291" t="inlineStr">
        <is>
          <t>VÄSTMANLANDS LÄN</t>
        </is>
      </c>
      <c r="G291" t="inlineStr">
        <is>
          <t>SALA</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73673-2021</t>
        </is>
      </c>
      <c r="B292" t="inlineStr">
        <is>
          <t>avverkningsanmälan</t>
        </is>
      </c>
      <c r="C292" t="inlineStr">
        <is>
          <t>Föryngringsavverkning</t>
        </is>
      </c>
      <c r="D292" s="1" t="n">
        <v>44552</v>
      </c>
      <c r="E292" s="1" t="n">
        <v>46216</v>
      </c>
      <c r="F292" t="inlineStr">
        <is>
          <t>VÄSTMANLANDS LÄN</t>
        </is>
      </c>
      <c r="G292" t="inlineStr">
        <is>
          <t>SALA</t>
        </is>
      </c>
      <c r="I292" t="n">
        <v>11.4</v>
      </c>
      <c r="J292" t="n">
        <v>0</v>
      </c>
      <c r="K292" t="n">
        <v>0</v>
      </c>
      <c r="L292" t="n">
        <v>0</v>
      </c>
      <c r="M292" t="n">
        <v>0</v>
      </c>
      <c r="N292" t="n">
        <v>0</v>
      </c>
      <c r="O292" t="n">
        <v>0</v>
      </c>
      <c r="P292" t="n">
        <v>0</v>
      </c>
      <c r="Q292" t="n">
        <v>0</v>
      </c>
      <c r="R292" t="n">
        <v>0</v>
      </c>
      <c r="S292" t="n">
        <v>0</v>
      </c>
      <c r="T292" t="n">
        <v>0</v>
      </c>
      <c r="U292" s="2" t="inlineStr"/>
    </row>
    <row r="293" ht="15" customHeight="1">
      <c r="A293" t="inlineStr">
        <is>
          <t>A 34867-2023</t>
        </is>
      </c>
      <c r="B293" t="inlineStr">
        <is>
          <t>avverkningsanmälan</t>
        </is>
      </c>
      <c r="C293" t="inlineStr">
        <is>
          <t>Föryngringsavverkning</t>
        </is>
      </c>
      <c r="D293" s="1" t="n">
        <v>45142</v>
      </c>
      <c r="E293" s="1" t="n">
        <v>46216</v>
      </c>
      <c r="F293" t="inlineStr">
        <is>
          <t>VÄSTMANLANDS LÄN</t>
        </is>
      </c>
      <c r="G293" t="inlineStr">
        <is>
          <t>SALA</t>
        </is>
      </c>
      <c r="I293" t="n">
        <v>1.1</v>
      </c>
      <c r="J293" t="n">
        <v>0</v>
      </c>
      <c r="K293" t="n">
        <v>0</v>
      </c>
      <c r="L293" t="n">
        <v>0</v>
      </c>
      <c r="M293" t="n">
        <v>0</v>
      </c>
      <c r="N293" t="n">
        <v>0</v>
      </c>
      <c r="O293" t="n">
        <v>0</v>
      </c>
      <c r="P293" t="n">
        <v>0</v>
      </c>
      <c r="Q293" t="n">
        <v>0</v>
      </c>
      <c r="R293" t="n">
        <v>0</v>
      </c>
      <c r="S293" t="n">
        <v>0</v>
      </c>
      <c r="T293" t="n">
        <v>0</v>
      </c>
      <c r="U293" s="2" t="inlineStr"/>
    </row>
    <row r="294" ht="15" customHeight="1">
      <c r="A294" t="inlineStr">
        <is>
          <t>A 4214-2026</t>
        </is>
      </c>
      <c r="B294" t="inlineStr">
        <is>
          <t>avverkningsanmälan</t>
        </is>
      </c>
      <c r="C294" t="inlineStr">
        <is>
          <t>Föryngringsavverkning</t>
        </is>
      </c>
      <c r="D294" s="1" t="n">
        <v>46044</v>
      </c>
      <c r="E294" s="1" t="n">
        <v>46216</v>
      </c>
      <c r="F294" t="inlineStr">
        <is>
          <t>VÄSTMANLANDS LÄN</t>
        </is>
      </c>
      <c r="G294" t="inlineStr">
        <is>
          <t>SALA</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11631-2023</t>
        </is>
      </c>
      <c r="B295" t="inlineStr">
        <is>
          <t>avverkningsanmälan</t>
        </is>
      </c>
      <c r="C295" t="inlineStr">
        <is>
          <t>Föryngringsavverkning</t>
        </is>
      </c>
      <c r="D295" s="1" t="n">
        <v>44994</v>
      </c>
      <c r="E295" s="1" t="n">
        <v>46216</v>
      </c>
      <c r="F295" t="inlineStr">
        <is>
          <t>VÄSTMANLANDS LÄN</t>
        </is>
      </c>
      <c r="G295" t="inlineStr">
        <is>
          <t>SALA</t>
        </is>
      </c>
      <c r="H295" t="inlineStr">
        <is>
          <t>Kommuner</t>
        </is>
      </c>
      <c r="I295" t="n">
        <v>1.9</v>
      </c>
      <c r="J295" t="n">
        <v>0</v>
      </c>
      <c r="K295" t="n">
        <v>0</v>
      </c>
      <c r="L295" t="n">
        <v>0</v>
      </c>
      <c r="M295" t="n">
        <v>0</v>
      </c>
      <c r="N295" t="n">
        <v>0</v>
      </c>
      <c r="O295" t="n">
        <v>0</v>
      </c>
      <c r="P295" t="n">
        <v>0</v>
      </c>
      <c r="Q295" t="n">
        <v>0</v>
      </c>
      <c r="R295" t="n">
        <v>0</v>
      </c>
      <c r="S295" t="n">
        <v>0</v>
      </c>
      <c r="T295" t="n">
        <v>0</v>
      </c>
      <c r="U295" s="2" t="inlineStr"/>
    </row>
    <row r="296" ht="15" customHeight="1">
      <c r="A296" t="inlineStr">
        <is>
          <t>A 53725-2025</t>
        </is>
      </c>
      <c r="B296" t="inlineStr">
        <is>
          <t>avverkningsanmälan</t>
        </is>
      </c>
      <c r="C296" t="inlineStr">
        <is>
          <t>Föryngringsavverkning</t>
        </is>
      </c>
      <c r="D296" s="1" t="n">
        <v>45960</v>
      </c>
      <c r="E296" s="1" t="n">
        <v>46216</v>
      </c>
      <c r="F296" t="inlineStr">
        <is>
          <t>VÄSTMANLANDS LÄN</t>
        </is>
      </c>
      <c r="G296" t="inlineStr">
        <is>
          <t>SALA</t>
        </is>
      </c>
      <c r="I296" t="n">
        <v>0.5</v>
      </c>
      <c r="J296" t="n">
        <v>0</v>
      </c>
      <c r="K296" t="n">
        <v>0</v>
      </c>
      <c r="L296" t="n">
        <v>0</v>
      </c>
      <c r="M296" t="n">
        <v>0</v>
      </c>
      <c r="N296" t="n">
        <v>0</v>
      </c>
      <c r="O296" t="n">
        <v>0</v>
      </c>
      <c r="P296" t="n">
        <v>0</v>
      </c>
      <c r="Q296" t="n">
        <v>0</v>
      </c>
      <c r="R296" t="n">
        <v>0</v>
      </c>
      <c r="S296" t="n">
        <v>0</v>
      </c>
      <c r="T296" t="n">
        <v>0</v>
      </c>
      <c r="U296" s="2" t="inlineStr"/>
    </row>
    <row r="297" ht="15" customHeight="1">
      <c r="A297" t="inlineStr">
        <is>
          <t>A 4683-2026</t>
        </is>
      </c>
      <c r="B297" t="inlineStr">
        <is>
          <t>avverkningsanmälan</t>
        </is>
      </c>
      <c r="C297" t="inlineStr">
        <is>
          <t>Föryngringsavverkning</t>
        </is>
      </c>
      <c r="D297" s="1" t="n">
        <v>46048</v>
      </c>
      <c r="E297" s="1" t="n">
        <v>46216</v>
      </c>
      <c r="F297" t="inlineStr">
        <is>
          <t>VÄSTMANLANDS LÄN</t>
        </is>
      </c>
      <c r="G297" t="inlineStr">
        <is>
          <t>SALA</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53744-2025</t>
        </is>
      </c>
      <c r="B298" t="inlineStr">
        <is>
          <t>avverkningsanmälan</t>
        </is>
      </c>
      <c r="C298" t="inlineStr">
        <is>
          <t>Föryngringsavverkning</t>
        </is>
      </c>
      <c r="D298" s="1" t="n">
        <v>45960</v>
      </c>
      <c r="E298" s="1" t="n">
        <v>46216</v>
      </c>
      <c r="F298" t="inlineStr">
        <is>
          <t>VÄSTMANLANDS LÄN</t>
        </is>
      </c>
      <c r="G298" t="inlineStr">
        <is>
          <t>SALA</t>
        </is>
      </c>
      <c r="I298" t="n">
        <v>2</v>
      </c>
      <c r="J298" t="n">
        <v>0</v>
      </c>
      <c r="K298" t="n">
        <v>0</v>
      </c>
      <c r="L298" t="n">
        <v>0</v>
      </c>
      <c r="M298" t="n">
        <v>0</v>
      </c>
      <c r="N298" t="n">
        <v>0</v>
      </c>
      <c r="O298" t="n">
        <v>0</v>
      </c>
      <c r="P298" t="n">
        <v>0</v>
      </c>
      <c r="Q298" t="n">
        <v>0</v>
      </c>
      <c r="R298" t="n">
        <v>0</v>
      </c>
      <c r="S298" t="n">
        <v>0</v>
      </c>
      <c r="T298" t="n">
        <v>0</v>
      </c>
      <c r="U298" s="2" t="inlineStr"/>
    </row>
    <row r="299" ht="15" customHeight="1">
      <c r="A299" t="inlineStr">
        <is>
          <t>A 53724-2025</t>
        </is>
      </c>
      <c r="B299" t="inlineStr">
        <is>
          <t>avverkningsanmälan</t>
        </is>
      </c>
      <c r="C299" t="inlineStr">
        <is>
          <t>Föryngringsavverkning</t>
        </is>
      </c>
      <c r="D299" s="1" t="n">
        <v>45960</v>
      </c>
      <c r="E299" s="1" t="n">
        <v>46216</v>
      </c>
      <c r="F299" t="inlineStr">
        <is>
          <t>VÄSTMANLANDS LÄN</t>
        </is>
      </c>
      <c r="G299" t="inlineStr">
        <is>
          <t>SALA</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8775-2024</t>
        </is>
      </c>
      <c r="B300" t="inlineStr">
        <is>
          <t>avverkningsanmälan</t>
        </is>
      </c>
      <c r="C300" t="inlineStr">
        <is>
          <t>Föryngringsavverkning</t>
        </is>
      </c>
      <c r="D300" s="1" t="n">
        <v>45356</v>
      </c>
      <c r="E300" s="1" t="n">
        <v>46216</v>
      </c>
      <c r="F300" t="inlineStr">
        <is>
          <t>VÄSTMANLANDS LÄN</t>
        </is>
      </c>
      <c r="G300" t="inlineStr">
        <is>
          <t>SALA</t>
        </is>
      </c>
      <c r="I300" t="n">
        <v>0.6</v>
      </c>
      <c r="J300" t="n">
        <v>0</v>
      </c>
      <c r="K300" t="n">
        <v>0</v>
      </c>
      <c r="L300" t="n">
        <v>0</v>
      </c>
      <c r="M300" t="n">
        <v>0</v>
      </c>
      <c r="N300" t="n">
        <v>0</v>
      </c>
      <c r="O300" t="n">
        <v>0</v>
      </c>
      <c r="P300" t="n">
        <v>0</v>
      </c>
      <c r="Q300" t="n">
        <v>0</v>
      </c>
      <c r="R300" t="n">
        <v>0</v>
      </c>
      <c r="S300" t="n">
        <v>0</v>
      </c>
      <c r="T300" t="n">
        <v>0</v>
      </c>
      <c r="U300" s="2" t="inlineStr"/>
    </row>
    <row r="301" ht="15" customHeight="1">
      <c r="A301" t="inlineStr">
        <is>
          <t>A 48710-2024</t>
        </is>
      </c>
      <c r="B301" t="inlineStr">
        <is>
          <t>avverkningsanmälan</t>
        </is>
      </c>
      <c r="C301" t="inlineStr">
        <is>
          <t>Föryngringsavverkning</t>
        </is>
      </c>
      <c r="D301" s="1" t="n">
        <v>45593</v>
      </c>
      <c r="E301" s="1" t="n">
        <v>46216</v>
      </c>
      <c r="F301" t="inlineStr">
        <is>
          <t>VÄSTMANLANDS LÄN</t>
        </is>
      </c>
      <c r="G301" t="inlineStr">
        <is>
          <t>SALA</t>
        </is>
      </c>
      <c r="I301" t="n">
        <v>6.5</v>
      </c>
      <c r="J301" t="n">
        <v>0</v>
      </c>
      <c r="K301" t="n">
        <v>0</v>
      </c>
      <c r="L301" t="n">
        <v>0</v>
      </c>
      <c r="M301" t="n">
        <v>0</v>
      </c>
      <c r="N301" t="n">
        <v>0</v>
      </c>
      <c r="O301" t="n">
        <v>0</v>
      </c>
      <c r="P301" t="n">
        <v>0</v>
      </c>
      <c r="Q301" t="n">
        <v>0</v>
      </c>
      <c r="R301" t="n">
        <v>0</v>
      </c>
      <c r="S301" t="n">
        <v>0</v>
      </c>
      <c r="T301" t="n">
        <v>0</v>
      </c>
      <c r="U301" s="2" t="inlineStr"/>
    </row>
    <row r="302" ht="15" customHeight="1">
      <c r="A302" t="inlineStr">
        <is>
          <t>A 4624-2026</t>
        </is>
      </c>
      <c r="B302" t="inlineStr">
        <is>
          <t>avverkningsanmälan</t>
        </is>
      </c>
      <c r="C302" t="inlineStr">
        <is>
          <t>Föryngringsavverkning</t>
        </is>
      </c>
      <c r="D302" s="1" t="n">
        <v>46048</v>
      </c>
      <c r="E302" s="1" t="n">
        <v>46216</v>
      </c>
      <c r="F302" t="inlineStr">
        <is>
          <t>VÄSTMANLANDS LÄN</t>
        </is>
      </c>
      <c r="G302" t="inlineStr">
        <is>
          <t>SALA</t>
        </is>
      </c>
      <c r="I302" t="n">
        <v>12.3</v>
      </c>
      <c r="J302" t="n">
        <v>0</v>
      </c>
      <c r="K302" t="n">
        <v>0</v>
      </c>
      <c r="L302" t="n">
        <v>0</v>
      </c>
      <c r="M302" t="n">
        <v>0</v>
      </c>
      <c r="N302" t="n">
        <v>0</v>
      </c>
      <c r="O302" t="n">
        <v>0</v>
      </c>
      <c r="P302" t="n">
        <v>0</v>
      </c>
      <c r="Q302" t="n">
        <v>0</v>
      </c>
      <c r="R302" t="n">
        <v>0</v>
      </c>
      <c r="S302" t="n">
        <v>0</v>
      </c>
      <c r="T302" t="n">
        <v>0</v>
      </c>
      <c r="U302" s="2" t="inlineStr"/>
    </row>
    <row r="303" ht="15" customHeight="1">
      <c r="A303" t="inlineStr">
        <is>
          <t>A 16404-2022</t>
        </is>
      </c>
      <c r="B303" t="inlineStr">
        <is>
          <t>avverkningsanmälan</t>
        </is>
      </c>
      <c r="C303" t="inlineStr">
        <is>
          <t>Föryngringsavverkning</t>
        </is>
      </c>
      <c r="D303" s="1" t="n">
        <v>44671</v>
      </c>
      <c r="E303" s="1" t="n">
        <v>46216</v>
      </c>
      <c r="F303" t="inlineStr">
        <is>
          <t>VÄSTMANLANDS LÄN</t>
        </is>
      </c>
      <c r="G303" t="inlineStr">
        <is>
          <t>SALA</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24248-2023</t>
        </is>
      </c>
      <c r="B304" t="inlineStr">
        <is>
          <t>avverkningsanmälan</t>
        </is>
      </c>
      <c r="C304" t="inlineStr">
        <is>
          <t>Föryngringsavverkning</t>
        </is>
      </c>
      <c r="D304" s="1" t="n">
        <v>45079</v>
      </c>
      <c r="E304" s="1" t="n">
        <v>46216</v>
      </c>
      <c r="F304" t="inlineStr">
        <is>
          <t>VÄSTMANLANDS LÄN</t>
        </is>
      </c>
      <c r="G304" t="inlineStr">
        <is>
          <t>SALA</t>
        </is>
      </c>
      <c r="H304" t="inlineStr">
        <is>
          <t>Sveaskog</t>
        </is>
      </c>
      <c r="I304" t="n">
        <v>2</v>
      </c>
      <c r="J304" t="n">
        <v>0</v>
      </c>
      <c r="K304" t="n">
        <v>0</v>
      </c>
      <c r="L304" t="n">
        <v>0</v>
      </c>
      <c r="M304" t="n">
        <v>0</v>
      </c>
      <c r="N304" t="n">
        <v>0</v>
      </c>
      <c r="O304" t="n">
        <v>0</v>
      </c>
      <c r="P304" t="n">
        <v>0</v>
      </c>
      <c r="Q304" t="n">
        <v>0</v>
      </c>
      <c r="R304" t="n">
        <v>0</v>
      </c>
      <c r="S304" t="n">
        <v>0</v>
      </c>
      <c r="T304" t="n">
        <v>0</v>
      </c>
      <c r="U304" s="2" t="inlineStr"/>
    </row>
    <row r="305" ht="15" customHeight="1">
      <c r="A305" t="inlineStr">
        <is>
          <t>A 5219-2026</t>
        </is>
      </c>
      <c r="B305" t="inlineStr">
        <is>
          <t>avverkningsanmälan</t>
        </is>
      </c>
      <c r="C305" t="inlineStr">
        <is>
          <t>Föryngringsavverkning</t>
        </is>
      </c>
      <c r="D305" s="1" t="n">
        <v>46049</v>
      </c>
      <c r="E305" s="1" t="n">
        <v>46216</v>
      </c>
      <c r="F305" t="inlineStr">
        <is>
          <t>VÄSTMANLANDS LÄN</t>
        </is>
      </c>
      <c r="G305" t="inlineStr">
        <is>
          <t>SALA</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5418-2026</t>
        </is>
      </c>
      <c r="B306" t="inlineStr">
        <is>
          <t>avverkningsanmälan</t>
        </is>
      </c>
      <c r="C306" t="inlineStr">
        <is>
          <t>Föryngringsavverkning</t>
        </is>
      </c>
      <c r="D306" s="1" t="n">
        <v>46050</v>
      </c>
      <c r="E306" s="1" t="n">
        <v>46216</v>
      </c>
      <c r="F306" t="inlineStr">
        <is>
          <t>VÄSTMANLANDS LÄN</t>
        </is>
      </c>
      <c r="G306" t="inlineStr">
        <is>
          <t>SALA</t>
        </is>
      </c>
      <c r="I306" t="n">
        <v>0.9</v>
      </c>
      <c r="J306" t="n">
        <v>0</v>
      </c>
      <c r="K306" t="n">
        <v>0</v>
      </c>
      <c r="L306" t="n">
        <v>0</v>
      </c>
      <c r="M306" t="n">
        <v>0</v>
      </c>
      <c r="N306" t="n">
        <v>0</v>
      </c>
      <c r="O306" t="n">
        <v>0</v>
      </c>
      <c r="P306" t="n">
        <v>0</v>
      </c>
      <c r="Q306" t="n">
        <v>0</v>
      </c>
      <c r="R306" t="n">
        <v>0</v>
      </c>
      <c r="S306" t="n">
        <v>0</v>
      </c>
      <c r="T306" t="n">
        <v>0</v>
      </c>
      <c r="U306" s="2" t="inlineStr"/>
    </row>
    <row r="307" ht="15" customHeight="1">
      <c r="A307" t="inlineStr">
        <is>
          <t>A 19033-2025</t>
        </is>
      </c>
      <c r="B307" t="inlineStr">
        <is>
          <t>avverkningsanmälan</t>
        </is>
      </c>
      <c r="C307" t="inlineStr">
        <is>
          <t>Föryngringsavverkning</t>
        </is>
      </c>
      <c r="D307" s="1" t="n">
        <v>45764</v>
      </c>
      <c r="E307" s="1" t="n">
        <v>46216</v>
      </c>
      <c r="F307" t="inlineStr">
        <is>
          <t>VÄSTMANLANDS LÄN</t>
        </is>
      </c>
      <c r="G307" t="inlineStr">
        <is>
          <t>SALA</t>
        </is>
      </c>
      <c r="H307" t="inlineStr">
        <is>
          <t>Bergvik skog öst AB</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10559-2024</t>
        </is>
      </c>
      <c r="B308" t="inlineStr">
        <is>
          <t>avverkningsanmälan</t>
        </is>
      </c>
      <c r="C308" t="inlineStr">
        <is>
          <t>Föryngringsavverkning</t>
        </is>
      </c>
      <c r="D308" s="1" t="n">
        <v>45366</v>
      </c>
      <c r="E308" s="1" t="n">
        <v>46216</v>
      </c>
      <c r="F308" t="inlineStr">
        <is>
          <t>VÄSTMANLANDS LÄN</t>
        </is>
      </c>
      <c r="G308" t="inlineStr">
        <is>
          <t>SALA</t>
        </is>
      </c>
      <c r="I308" t="n">
        <v>0.3</v>
      </c>
      <c r="J308" t="n">
        <v>0</v>
      </c>
      <c r="K308" t="n">
        <v>0</v>
      </c>
      <c r="L308" t="n">
        <v>0</v>
      </c>
      <c r="M308" t="n">
        <v>0</v>
      </c>
      <c r="N308" t="n">
        <v>0</v>
      </c>
      <c r="O308" t="n">
        <v>0</v>
      </c>
      <c r="P308" t="n">
        <v>0</v>
      </c>
      <c r="Q308" t="n">
        <v>0</v>
      </c>
      <c r="R308" t="n">
        <v>0</v>
      </c>
      <c r="S308" t="n">
        <v>0</v>
      </c>
      <c r="T308" t="n">
        <v>0</v>
      </c>
      <c r="U308" s="2" t="inlineStr"/>
    </row>
    <row r="309" ht="15" customHeight="1">
      <c r="A309" t="inlineStr">
        <is>
          <t>A 40214-2023</t>
        </is>
      </c>
      <c r="B309" t="inlineStr">
        <is>
          <t>avverkningsanmälan</t>
        </is>
      </c>
      <c r="C309" t="inlineStr">
        <is>
          <t>Föryngringsavverkning</t>
        </is>
      </c>
      <c r="D309" s="1" t="n">
        <v>45169</v>
      </c>
      <c r="E309" s="1" t="n">
        <v>46216</v>
      </c>
      <c r="F309" t="inlineStr">
        <is>
          <t>VÄSTMANLANDS LÄN</t>
        </is>
      </c>
      <c r="G309" t="inlineStr">
        <is>
          <t>SALA</t>
        </is>
      </c>
      <c r="I309" t="n">
        <v>5.5</v>
      </c>
      <c r="J309" t="n">
        <v>0</v>
      </c>
      <c r="K309" t="n">
        <v>0</v>
      </c>
      <c r="L309" t="n">
        <v>0</v>
      </c>
      <c r="M309" t="n">
        <v>0</v>
      </c>
      <c r="N309" t="n">
        <v>0</v>
      </c>
      <c r="O309" t="n">
        <v>0</v>
      </c>
      <c r="P309" t="n">
        <v>0</v>
      </c>
      <c r="Q309" t="n">
        <v>0</v>
      </c>
      <c r="R309" t="n">
        <v>0</v>
      </c>
      <c r="S309" t="n">
        <v>0</v>
      </c>
      <c r="T309" t="n">
        <v>0</v>
      </c>
      <c r="U309" s="2" t="inlineStr"/>
    </row>
    <row r="310" ht="15" customHeight="1">
      <c r="A310" t="inlineStr">
        <is>
          <t>A 9856-2022</t>
        </is>
      </c>
      <c r="B310" t="inlineStr">
        <is>
          <t>avverkningsanmälan</t>
        </is>
      </c>
      <c r="C310" t="inlineStr">
        <is>
          <t>Föryngringsavverkning</t>
        </is>
      </c>
      <c r="D310" s="1" t="n">
        <v>44620</v>
      </c>
      <c r="E310" s="1" t="n">
        <v>46216</v>
      </c>
      <c r="F310" t="inlineStr">
        <is>
          <t>VÄSTMANLANDS LÄN</t>
        </is>
      </c>
      <c r="G310" t="inlineStr">
        <is>
          <t>SALA</t>
        </is>
      </c>
      <c r="I310" t="n">
        <v>2.4</v>
      </c>
      <c r="J310" t="n">
        <v>0</v>
      </c>
      <c r="K310" t="n">
        <v>0</v>
      </c>
      <c r="L310" t="n">
        <v>0</v>
      </c>
      <c r="M310" t="n">
        <v>0</v>
      </c>
      <c r="N310" t="n">
        <v>0</v>
      </c>
      <c r="O310" t="n">
        <v>0</v>
      </c>
      <c r="P310" t="n">
        <v>0</v>
      </c>
      <c r="Q310" t="n">
        <v>0</v>
      </c>
      <c r="R310" t="n">
        <v>0</v>
      </c>
      <c r="S310" t="n">
        <v>0</v>
      </c>
      <c r="T310" t="n">
        <v>0</v>
      </c>
      <c r="U310" s="2" t="inlineStr"/>
    </row>
    <row r="311" ht="15" customHeight="1">
      <c r="A311" t="inlineStr">
        <is>
          <t>A 18100-2023</t>
        </is>
      </c>
      <c r="B311" t="inlineStr">
        <is>
          <t>avverkningsanmälan</t>
        </is>
      </c>
      <c r="C311" t="inlineStr">
        <is>
          <t>Föryngringsavverkning</t>
        </is>
      </c>
      <c r="D311" s="1" t="n">
        <v>45040</v>
      </c>
      <c r="E311" s="1" t="n">
        <v>46216</v>
      </c>
      <c r="F311" t="inlineStr">
        <is>
          <t>VÄSTMANLANDS LÄN</t>
        </is>
      </c>
      <c r="G311" t="inlineStr">
        <is>
          <t>SALA</t>
        </is>
      </c>
      <c r="I311" t="n">
        <v>1.8</v>
      </c>
      <c r="J311" t="n">
        <v>0</v>
      </c>
      <c r="K311" t="n">
        <v>0</v>
      </c>
      <c r="L311" t="n">
        <v>0</v>
      </c>
      <c r="M311" t="n">
        <v>0</v>
      </c>
      <c r="N311" t="n">
        <v>0</v>
      </c>
      <c r="O311" t="n">
        <v>0</v>
      </c>
      <c r="P311" t="n">
        <v>0</v>
      </c>
      <c r="Q311" t="n">
        <v>0</v>
      </c>
      <c r="R311" t="n">
        <v>0</v>
      </c>
      <c r="S311" t="n">
        <v>0</v>
      </c>
      <c r="T311" t="n">
        <v>0</v>
      </c>
      <c r="U311" s="2" t="inlineStr"/>
    </row>
    <row r="312" ht="15" customHeight="1">
      <c r="A312" t="inlineStr">
        <is>
          <t>A 56593-2025</t>
        </is>
      </c>
      <c r="B312" t="inlineStr">
        <is>
          <t>avverkningsanmälan</t>
        </is>
      </c>
      <c r="C312" t="inlineStr">
        <is>
          <t>Avverkning för annat ändamål</t>
        </is>
      </c>
      <c r="D312" s="1" t="n">
        <v>45975</v>
      </c>
      <c r="E312" s="1" t="n">
        <v>46216</v>
      </c>
      <c r="F312" t="inlineStr">
        <is>
          <t>VÄSTMANLANDS LÄN</t>
        </is>
      </c>
      <c r="G312" t="inlineStr">
        <is>
          <t>SALA</t>
        </is>
      </c>
      <c r="H312" t="inlineStr">
        <is>
          <t>Kyrkan</t>
        </is>
      </c>
      <c r="I312" t="n">
        <v>0.1</v>
      </c>
      <c r="J312" t="n">
        <v>0</v>
      </c>
      <c r="K312" t="n">
        <v>0</v>
      </c>
      <c r="L312" t="n">
        <v>0</v>
      </c>
      <c r="M312" t="n">
        <v>0</v>
      </c>
      <c r="N312" t="n">
        <v>0</v>
      </c>
      <c r="O312" t="n">
        <v>0</v>
      </c>
      <c r="P312" t="n">
        <v>0</v>
      </c>
      <c r="Q312" t="n">
        <v>0</v>
      </c>
      <c r="R312" t="n">
        <v>0</v>
      </c>
      <c r="S312" t="n">
        <v>0</v>
      </c>
      <c r="T312" t="n">
        <v>0</v>
      </c>
      <c r="U312" s="2" t="inlineStr"/>
    </row>
    <row r="313" ht="15" customHeight="1">
      <c r="A313" t="inlineStr">
        <is>
          <t>A 23374-2023</t>
        </is>
      </c>
      <c r="B313" t="inlineStr">
        <is>
          <t>avverkningsanmälan</t>
        </is>
      </c>
      <c r="C313" t="inlineStr">
        <is>
          <t>Föryngringsavverkning</t>
        </is>
      </c>
      <c r="D313" s="1" t="n">
        <v>45076</v>
      </c>
      <c r="E313" s="1" t="n">
        <v>46216</v>
      </c>
      <c r="F313" t="inlineStr">
        <is>
          <t>VÄSTMANLANDS LÄN</t>
        </is>
      </c>
      <c r="G313" t="inlineStr">
        <is>
          <t>SALA</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56645-2025</t>
        </is>
      </c>
      <c r="B314" t="inlineStr">
        <is>
          <t>avverkningsanmälan</t>
        </is>
      </c>
      <c r="C314" t="inlineStr">
        <is>
          <t>Föryngringsavverkning</t>
        </is>
      </c>
      <c r="D314" s="1" t="n">
        <v>45975</v>
      </c>
      <c r="E314" s="1" t="n">
        <v>46216</v>
      </c>
      <c r="F314" t="inlineStr">
        <is>
          <t>VÄSTMANLANDS LÄN</t>
        </is>
      </c>
      <c r="G314" t="inlineStr">
        <is>
          <t>SALA</t>
        </is>
      </c>
      <c r="H314" t="inlineStr">
        <is>
          <t>Bergvik skog öst AB</t>
        </is>
      </c>
      <c r="I314" t="n">
        <v>5.3</v>
      </c>
      <c r="J314" t="n">
        <v>0</v>
      </c>
      <c r="K314" t="n">
        <v>0</v>
      </c>
      <c r="L314" t="n">
        <v>0</v>
      </c>
      <c r="M314" t="n">
        <v>0</v>
      </c>
      <c r="N314" t="n">
        <v>0</v>
      </c>
      <c r="O314" t="n">
        <v>0</v>
      </c>
      <c r="P314" t="n">
        <v>0</v>
      </c>
      <c r="Q314" t="n">
        <v>0</v>
      </c>
      <c r="R314" t="n">
        <v>0</v>
      </c>
      <c r="S314" t="n">
        <v>0</v>
      </c>
      <c r="T314" t="n">
        <v>0</v>
      </c>
      <c r="U314" s="2" t="inlineStr"/>
    </row>
    <row r="315" ht="15" customHeight="1">
      <c r="A315" t="inlineStr">
        <is>
          <t>A 5894-2026</t>
        </is>
      </c>
      <c r="B315" t="inlineStr">
        <is>
          <t>avverkningsanmälan</t>
        </is>
      </c>
      <c r="C315" t="inlineStr">
        <is>
          <t>Föryngringsavverkning</t>
        </is>
      </c>
      <c r="D315" s="1" t="n">
        <v>46052</v>
      </c>
      <c r="E315" s="1" t="n">
        <v>46216</v>
      </c>
      <c r="F315" t="inlineStr">
        <is>
          <t>VÄSTMANLANDS LÄN</t>
        </is>
      </c>
      <c r="G315" t="inlineStr">
        <is>
          <t>SALA</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56614-2025</t>
        </is>
      </c>
      <c r="B316" t="inlineStr">
        <is>
          <t>avverkningsanmälan</t>
        </is>
      </c>
      <c r="C316" t="inlineStr">
        <is>
          <t>Föryngringsavverkning</t>
        </is>
      </c>
      <c r="D316" s="1" t="n">
        <v>45975</v>
      </c>
      <c r="E316" s="1" t="n">
        <v>46216</v>
      </c>
      <c r="F316" t="inlineStr">
        <is>
          <t>VÄSTMANLANDS LÄN</t>
        </is>
      </c>
      <c r="G316" t="inlineStr">
        <is>
          <t>SALA</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56611-2025</t>
        </is>
      </c>
      <c r="B317" t="inlineStr">
        <is>
          <t>avverkningsanmälan</t>
        </is>
      </c>
      <c r="C317" t="inlineStr">
        <is>
          <t>Föryngringsavverkning</t>
        </is>
      </c>
      <c r="D317" s="1" t="n">
        <v>45975</v>
      </c>
      <c r="E317" s="1" t="n">
        <v>46216</v>
      </c>
      <c r="F317" t="inlineStr">
        <is>
          <t>VÄSTMANLANDS LÄN</t>
        </is>
      </c>
      <c r="G317" t="inlineStr">
        <is>
          <t>SALA</t>
        </is>
      </c>
      <c r="I317" t="n">
        <v>2.8</v>
      </c>
      <c r="J317" t="n">
        <v>0</v>
      </c>
      <c r="K317" t="n">
        <v>0</v>
      </c>
      <c r="L317" t="n">
        <v>0</v>
      </c>
      <c r="M317" t="n">
        <v>0</v>
      </c>
      <c r="N317" t="n">
        <v>0</v>
      </c>
      <c r="O317" t="n">
        <v>0</v>
      </c>
      <c r="P317" t="n">
        <v>0</v>
      </c>
      <c r="Q317" t="n">
        <v>0</v>
      </c>
      <c r="R317" t="n">
        <v>0</v>
      </c>
      <c r="S317" t="n">
        <v>0</v>
      </c>
      <c r="T317" t="n">
        <v>0</v>
      </c>
      <c r="U317" s="2" t="inlineStr"/>
    </row>
    <row r="318" ht="15" customHeight="1">
      <c r="A318" t="inlineStr">
        <is>
          <t>A 6134-2024</t>
        </is>
      </c>
      <c r="B318" t="inlineStr">
        <is>
          <t>avverkningsanmälan</t>
        </is>
      </c>
      <c r="C318" t="inlineStr">
        <is>
          <t>Föryngringsavverkning</t>
        </is>
      </c>
      <c r="D318" s="1" t="n">
        <v>45337</v>
      </c>
      <c r="E318" s="1" t="n">
        <v>46216</v>
      </c>
      <c r="F318" t="inlineStr">
        <is>
          <t>VÄSTMANLANDS LÄN</t>
        </is>
      </c>
      <c r="G318" t="inlineStr">
        <is>
          <t>SALA</t>
        </is>
      </c>
      <c r="I318" t="n">
        <v>1.8</v>
      </c>
      <c r="J318" t="n">
        <v>0</v>
      </c>
      <c r="K318" t="n">
        <v>0</v>
      </c>
      <c r="L318" t="n">
        <v>0</v>
      </c>
      <c r="M318" t="n">
        <v>0</v>
      </c>
      <c r="N318" t="n">
        <v>0</v>
      </c>
      <c r="O318" t="n">
        <v>0</v>
      </c>
      <c r="P318" t="n">
        <v>0</v>
      </c>
      <c r="Q318" t="n">
        <v>0</v>
      </c>
      <c r="R318" t="n">
        <v>0</v>
      </c>
      <c r="S318" t="n">
        <v>0</v>
      </c>
      <c r="T318" t="n">
        <v>0</v>
      </c>
      <c r="U318" s="2" t="inlineStr"/>
    </row>
    <row r="319" ht="15" customHeight="1">
      <c r="A319" t="inlineStr">
        <is>
          <t>A 48117-2024</t>
        </is>
      </c>
      <c r="B319" t="inlineStr">
        <is>
          <t>avverkningsanmälan</t>
        </is>
      </c>
      <c r="C319" t="inlineStr">
        <is>
          <t>Föryngringsavverkning</t>
        </is>
      </c>
      <c r="D319" s="1" t="n">
        <v>45589</v>
      </c>
      <c r="E319" s="1" t="n">
        <v>46216</v>
      </c>
      <c r="F319" t="inlineStr">
        <is>
          <t>VÄSTMANLANDS LÄN</t>
        </is>
      </c>
      <c r="G319" t="inlineStr">
        <is>
          <t>SALA</t>
        </is>
      </c>
      <c r="I319" t="n">
        <v>0.5</v>
      </c>
      <c r="J319" t="n">
        <v>0</v>
      </c>
      <c r="K319" t="n">
        <v>0</v>
      </c>
      <c r="L319" t="n">
        <v>0</v>
      </c>
      <c r="M319" t="n">
        <v>0</v>
      </c>
      <c r="N319" t="n">
        <v>0</v>
      </c>
      <c r="O319" t="n">
        <v>0</v>
      </c>
      <c r="P319" t="n">
        <v>0</v>
      </c>
      <c r="Q319" t="n">
        <v>0</v>
      </c>
      <c r="R319" t="n">
        <v>0</v>
      </c>
      <c r="S319" t="n">
        <v>0</v>
      </c>
      <c r="T319" t="n">
        <v>0</v>
      </c>
      <c r="U319" s="2" t="inlineStr"/>
    </row>
    <row r="320" ht="15" customHeight="1">
      <c r="A320" t="inlineStr">
        <is>
          <t>A 57014-2025</t>
        </is>
      </c>
      <c r="B320" t="inlineStr">
        <is>
          <t>avverkningsanmälan</t>
        </is>
      </c>
      <c r="C320" t="inlineStr">
        <is>
          <t>Föryngringsavverkning</t>
        </is>
      </c>
      <c r="D320" s="1" t="n">
        <v>45978</v>
      </c>
      <c r="E320" s="1" t="n">
        <v>46216</v>
      </c>
      <c r="F320" t="inlineStr">
        <is>
          <t>VÄSTMANLANDS LÄN</t>
        </is>
      </c>
      <c r="G320" t="inlineStr">
        <is>
          <t>SALA</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24175-2024</t>
        </is>
      </c>
      <c r="B321" t="inlineStr">
        <is>
          <t>avverkningsanmälan</t>
        </is>
      </c>
      <c r="C321" t="inlineStr">
        <is>
          <t>Föryngringsavverkning</t>
        </is>
      </c>
      <c r="D321" s="1" t="n">
        <v>45456</v>
      </c>
      <c r="E321" s="1" t="n">
        <v>46216</v>
      </c>
      <c r="F321" t="inlineStr">
        <is>
          <t>VÄSTMANLANDS LÄN</t>
        </is>
      </c>
      <c r="G321" t="inlineStr">
        <is>
          <t>SALA</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57414-2025</t>
        </is>
      </c>
      <c r="B322" t="inlineStr">
        <is>
          <t>avverkningsanmälan</t>
        </is>
      </c>
      <c r="C322" t="inlineStr">
        <is>
          <t>Föryngringsavverkning</t>
        </is>
      </c>
      <c r="D322" s="1" t="n">
        <v>45980</v>
      </c>
      <c r="E322" s="1" t="n">
        <v>46216</v>
      </c>
      <c r="F322" t="inlineStr">
        <is>
          <t>VÄSTMANLANDS LÄN</t>
        </is>
      </c>
      <c r="G322" t="inlineStr">
        <is>
          <t>SALA</t>
        </is>
      </c>
      <c r="H322" t="inlineStr">
        <is>
          <t>Bergvik skog öst AB</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57415-2025</t>
        </is>
      </c>
      <c r="B323" t="inlineStr">
        <is>
          <t>avverkningsanmälan</t>
        </is>
      </c>
      <c r="C323" t="inlineStr">
        <is>
          <t>Föryngringsavverkning</t>
        </is>
      </c>
      <c r="D323" s="1" t="n">
        <v>45980</v>
      </c>
      <c r="E323" s="1" t="n">
        <v>46216</v>
      </c>
      <c r="F323" t="inlineStr">
        <is>
          <t>VÄSTMANLANDS LÄN</t>
        </is>
      </c>
      <c r="G323" t="inlineStr">
        <is>
          <t>SALA</t>
        </is>
      </c>
      <c r="H323" t="inlineStr">
        <is>
          <t>Bergvik skog öst AB</t>
        </is>
      </c>
      <c r="I323" t="n">
        <v>1.4</v>
      </c>
      <c r="J323" t="n">
        <v>0</v>
      </c>
      <c r="K323" t="n">
        <v>0</v>
      </c>
      <c r="L323" t="n">
        <v>0</v>
      </c>
      <c r="M323" t="n">
        <v>0</v>
      </c>
      <c r="N323" t="n">
        <v>0</v>
      </c>
      <c r="O323" t="n">
        <v>0</v>
      </c>
      <c r="P323" t="n">
        <v>0</v>
      </c>
      <c r="Q323" t="n">
        <v>0</v>
      </c>
      <c r="R323" t="n">
        <v>0</v>
      </c>
      <c r="S323" t="n">
        <v>0</v>
      </c>
      <c r="T323" t="n">
        <v>0</v>
      </c>
      <c r="U323" s="2" t="inlineStr"/>
    </row>
    <row r="324" ht="15" customHeight="1">
      <c r="A324" t="inlineStr">
        <is>
          <t>A 57412-2025</t>
        </is>
      </c>
      <c r="B324" t="inlineStr">
        <is>
          <t>avverkningsanmälan</t>
        </is>
      </c>
      <c r="C324" t="inlineStr">
        <is>
          <t>Föryngringsavverkning</t>
        </is>
      </c>
      <c r="D324" s="1" t="n">
        <v>45980</v>
      </c>
      <c r="E324" s="1" t="n">
        <v>46216</v>
      </c>
      <c r="F324" t="inlineStr">
        <is>
          <t>VÄSTMANLANDS LÄN</t>
        </is>
      </c>
      <c r="G324" t="inlineStr">
        <is>
          <t>SALA</t>
        </is>
      </c>
      <c r="H324" t="inlineStr">
        <is>
          <t>Bergvik skog öst AB</t>
        </is>
      </c>
      <c r="I324" t="n">
        <v>4.5</v>
      </c>
      <c r="J324" t="n">
        <v>0</v>
      </c>
      <c r="K324" t="n">
        <v>0</v>
      </c>
      <c r="L324" t="n">
        <v>0</v>
      </c>
      <c r="M324" t="n">
        <v>0</v>
      </c>
      <c r="N324" t="n">
        <v>0</v>
      </c>
      <c r="O324" t="n">
        <v>0</v>
      </c>
      <c r="P324" t="n">
        <v>0</v>
      </c>
      <c r="Q324" t="n">
        <v>0</v>
      </c>
      <c r="R324" t="n">
        <v>0</v>
      </c>
      <c r="S324" t="n">
        <v>0</v>
      </c>
      <c r="T324" t="n">
        <v>0</v>
      </c>
      <c r="U324" s="2" t="inlineStr"/>
    </row>
    <row r="325" ht="15" customHeight="1">
      <c r="A325" t="inlineStr">
        <is>
          <t>A 28328-2023</t>
        </is>
      </c>
      <c r="B325" t="inlineStr">
        <is>
          <t>avverkningsanmälan</t>
        </is>
      </c>
      <c r="C325" t="inlineStr">
        <is>
          <t>Föryngringsavverkning</t>
        </is>
      </c>
      <c r="D325" s="1" t="n">
        <v>45099</v>
      </c>
      <c r="E325" s="1" t="n">
        <v>46216</v>
      </c>
      <c r="F325" t="inlineStr">
        <is>
          <t>VÄSTMANLANDS LÄN</t>
        </is>
      </c>
      <c r="G325" t="inlineStr">
        <is>
          <t>SALA</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7327-2026</t>
        </is>
      </c>
      <c r="B326" t="inlineStr">
        <is>
          <t>avverkningsanmälan</t>
        </is>
      </c>
      <c r="C326" t="inlineStr">
        <is>
          <t>Föryngringsavverkning</t>
        </is>
      </c>
      <c r="D326" s="1" t="n">
        <v>46058</v>
      </c>
      <c r="E326" s="1" t="n">
        <v>46216</v>
      </c>
      <c r="F326" t="inlineStr">
        <is>
          <t>VÄSTMANLANDS LÄN</t>
        </is>
      </c>
      <c r="G326" t="inlineStr">
        <is>
          <t>SALA</t>
        </is>
      </c>
      <c r="I326" t="n">
        <v>5.8</v>
      </c>
      <c r="J326" t="n">
        <v>0</v>
      </c>
      <c r="K326" t="n">
        <v>0</v>
      </c>
      <c r="L326" t="n">
        <v>0</v>
      </c>
      <c r="M326" t="n">
        <v>0</v>
      </c>
      <c r="N326" t="n">
        <v>0</v>
      </c>
      <c r="O326" t="n">
        <v>0</v>
      </c>
      <c r="P326" t="n">
        <v>0</v>
      </c>
      <c r="Q326" t="n">
        <v>0</v>
      </c>
      <c r="R326" t="n">
        <v>0</v>
      </c>
      <c r="S326" t="n">
        <v>0</v>
      </c>
      <c r="T326" t="n">
        <v>0</v>
      </c>
      <c r="U326" s="2" t="inlineStr"/>
    </row>
    <row r="327" ht="15" customHeight="1">
      <c r="A327" t="inlineStr">
        <is>
          <t>A 7332-2026</t>
        </is>
      </c>
      <c r="B327" t="inlineStr">
        <is>
          <t>avverkningsanmälan</t>
        </is>
      </c>
      <c r="C327" t="inlineStr">
        <is>
          <t>Föryngringsavverkning</t>
        </is>
      </c>
      <c r="D327" s="1" t="n">
        <v>46058</v>
      </c>
      <c r="E327" s="1" t="n">
        <v>46216</v>
      </c>
      <c r="F327" t="inlineStr">
        <is>
          <t>VÄSTMANLANDS LÄN</t>
        </is>
      </c>
      <c r="G327" t="inlineStr">
        <is>
          <t>SALA</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58359-2025</t>
        </is>
      </c>
      <c r="B328" t="inlineStr">
        <is>
          <t>avverkningsanmälan</t>
        </is>
      </c>
      <c r="C328" t="inlineStr">
        <is>
          <t>Föryngringsavverkning</t>
        </is>
      </c>
      <c r="D328" s="1" t="n">
        <v>45985</v>
      </c>
      <c r="E328" s="1" t="n">
        <v>46216</v>
      </c>
      <c r="F328" t="inlineStr">
        <is>
          <t>VÄSTMANLANDS LÄN</t>
        </is>
      </c>
      <c r="G328" t="inlineStr">
        <is>
          <t>SALA</t>
        </is>
      </c>
      <c r="I328" t="n">
        <v>3.7</v>
      </c>
      <c r="J328" t="n">
        <v>0</v>
      </c>
      <c r="K328" t="n">
        <v>0</v>
      </c>
      <c r="L328" t="n">
        <v>0</v>
      </c>
      <c r="M328" t="n">
        <v>0</v>
      </c>
      <c r="N328" t="n">
        <v>0</v>
      </c>
      <c r="O328" t="n">
        <v>0</v>
      </c>
      <c r="P328" t="n">
        <v>0</v>
      </c>
      <c r="Q328" t="n">
        <v>0</v>
      </c>
      <c r="R328" t="n">
        <v>0</v>
      </c>
      <c r="S328" t="n">
        <v>0</v>
      </c>
      <c r="T328" t="n">
        <v>0</v>
      </c>
      <c r="U328" s="2" t="inlineStr"/>
    </row>
    <row r="329" ht="15" customHeight="1">
      <c r="A329" t="inlineStr">
        <is>
          <t>A 58364-2025</t>
        </is>
      </c>
      <c r="B329" t="inlineStr">
        <is>
          <t>avverkningsanmälan</t>
        </is>
      </c>
      <c r="C329" t="inlineStr">
        <is>
          <t>Föryngringsavverkning</t>
        </is>
      </c>
      <c r="D329" s="1" t="n">
        <v>45985</v>
      </c>
      <c r="E329" s="1" t="n">
        <v>46216</v>
      </c>
      <c r="F329" t="inlineStr">
        <is>
          <t>VÄSTMANLANDS LÄN</t>
        </is>
      </c>
      <c r="G329" t="inlineStr">
        <is>
          <t>SALA</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7324-2026</t>
        </is>
      </c>
      <c r="B330" t="inlineStr">
        <is>
          <t>avverkningsanmälan</t>
        </is>
      </c>
      <c r="C330" t="inlineStr">
        <is>
          <t>Föryngringsavverkning</t>
        </is>
      </c>
      <c r="D330" s="1" t="n">
        <v>46058</v>
      </c>
      <c r="E330" s="1" t="n">
        <v>46216</v>
      </c>
      <c r="F330" t="inlineStr">
        <is>
          <t>VÄSTMANLANDS LÄN</t>
        </is>
      </c>
      <c r="G330" t="inlineStr">
        <is>
          <t>SALA</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7329-2026</t>
        </is>
      </c>
      <c r="B331" t="inlineStr">
        <is>
          <t>avverkningsanmälan</t>
        </is>
      </c>
      <c r="C331" t="inlineStr">
        <is>
          <t>Föryngringsavverkning</t>
        </is>
      </c>
      <c r="D331" s="1" t="n">
        <v>46058</v>
      </c>
      <c r="E331" s="1" t="n">
        <v>46216</v>
      </c>
      <c r="F331" t="inlineStr">
        <is>
          <t>VÄSTMANLANDS LÄN</t>
        </is>
      </c>
      <c r="G331" t="inlineStr">
        <is>
          <t>SALA</t>
        </is>
      </c>
      <c r="I331" t="n">
        <v>3.1</v>
      </c>
      <c r="J331" t="n">
        <v>0</v>
      </c>
      <c r="K331" t="n">
        <v>0</v>
      </c>
      <c r="L331" t="n">
        <v>0</v>
      </c>
      <c r="M331" t="n">
        <v>0</v>
      </c>
      <c r="N331" t="n">
        <v>0</v>
      </c>
      <c r="O331" t="n">
        <v>0</v>
      </c>
      <c r="P331" t="n">
        <v>0</v>
      </c>
      <c r="Q331" t="n">
        <v>0</v>
      </c>
      <c r="R331" t="n">
        <v>0</v>
      </c>
      <c r="S331" t="n">
        <v>0</v>
      </c>
      <c r="T331" t="n">
        <v>0</v>
      </c>
      <c r="U331" s="2" t="inlineStr"/>
    </row>
    <row r="332" ht="15" customHeight="1">
      <c r="A332" t="inlineStr">
        <is>
          <t>A 55760-2025</t>
        </is>
      </c>
      <c r="B332" t="inlineStr">
        <is>
          <t>avverkningsanmälan</t>
        </is>
      </c>
      <c r="C332" t="inlineStr">
        <is>
          <t>Avverkning för annat ändamål</t>
        </is>
      </c>
      <c r="D332" s="1" t="n">
        <v>45972</v>
      </c>
      <c r="E332" s="1" t="n">
        <v>46216</v>
      </c>
      <c r="F332" t="inlineStr">
        <is>
          <t>VÄSTMANLANDS LÄN</t>
        </is>
      </c>
      <c r="G332" t="inlineStr">
        <is>
          <t>SALA</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58357-2025</t>
        </is>
      </c>
      <c r="B333" t="inlineStr">
        <is>
          <t>avverkningsanmälan</t>
        </is>
      </c>
      <c r="C333" t="inlineStr">
        <is>
          <t>Föryngringsavverkning</t>
        </is>
      </c>
      <c r="D333" s="1" t="n">
        <v>45985</v>
      </c>
      <c r="E333" s="1" t="n">
        <v>46216</v>
      </c>
      <c r="F333" t="inlineStr">
        <is>
          <t>VÄSTMANLANDS LÄN</t>
        </is>
      </c>
      <c r="G333" t="inlineStr">
        <is>
          <t>SALA</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58365-2025</t>
        </is>
      </c>
      <c r="B334" t="inlineStr">
        <is>
          <t>avverkningsanmälan</t>
        </is>
      </c>
      <c r="C334" t="inlineStr">
        <is>
          <t>Föryngringsavverkning</t>
        </is>
      </c>
      <c r="D334" s="1" t="n">
        <v>45985</v>
      </c>
      <c r="E334" s="1" t="n">
        <v>46216</v>
      </c>
      <c r="F334" t="inlineStr">
        <is>
          <t>VÄSTMANLANDS LÄN</t>
        </is>
      </c>
      <c r="G334" t="inlineStr">
        <is>
          <t>SALA</t>
        </is>
      </c>
      <c r="I334" t="n">
        <v>3.9</v>
      </c>
      <c r="J334" t="n">
        <v>0</v>
      </c>
      <c r="K334" t="n">
        <v>0</v>
      </c>
      <c r="L334" t="n">
        <v>0</v>
      </c>
      <c r="M334" t="n">
        <v>0</v>
      </c>
      <c r="N334" t="n">
        <v>0</v>
      </c>
      <c r="O334" t="n">
        <v>0</v>
      </c>
      <c r="P334" t="n">
        <v>0</v>
      </c>
      <c r="Q334" t="n">
        <v>0</v>
      </c>
      <c r="R334" t="n">
        <v>0</v>
      </c>
      <c r="S334" t="n">
        <v>0</v>
      </c>
      <c r="T334" t="n">
        <v>0</v>
      </c>
      <c r="U334" s="2" t="inlineStr"/>
    </row>
    <row r="335" ht="15" customHeight="1">
      <c r="A335" t="inlineStr">
        <is>
          <t>A 7654-2026</t>
        </is>
      </c>
      <c r="B335" t="inlineStr">
        <is>
          <t>avverkningsanmälan</t>
        </is>
      </c>
      <c r="C335" t="inlineStr">
        <is>
          <t>Föryngringsavverkning</t>
        </is>
      </c>
      <c r="D335" s="1" t="n">
        <v>46062</v>
      </c>
      <c r="E335" s="1" t="n">
        <v>46216</v>
      </c>
      <c r="F335" t="inlineStr">
        <is>
          <t>VÄSTMANLANDS LÄN</t>
        </is>
      </c>
      <c r="G335" t="inlineStr">
        <is>
          <t>SALA</t>
        </is>
      </c>
      <c r="I335" t="n">
        <v>4.5</v>
      </c>
      <c r="J335" t="n">
        <v>0</v>
      </c>
      <c r="K335" t="n">
        <v>0</v>
      </c>
      <c r="L335" t="n">
        <v>0</v>
      </c>
      <c r="M335" t="n">
        <v>0</v>
      </c>
      <c r="N335" t="n">
        <v>0</v>
      </c>
      <c r="O335" t="n">
        <v>0</v>
      </c>
      <c r="P335" t="n">
        <v>0</v>
      </c>
      <c r="Q335" t="n">
        <v>0</v>
      </c>
      <c r="R335" t="n">
        <v>0</v>
      </c>
      <c r="S335" t="n">
        <v>0</v>
      </c>
      <c r="T335" t="n">
        <v>0</v>
      </c>
      <c r="U335" s="2" t="inlineStr"/>
    </row>
    <row r="336" ht="15" customHeight="1">
      <c r="A336" t="inlineStr">
        <is>
          <t>A 7588-2026</t>
        </is>
      </c>
      <c r="B336" t="inlineStr">
        <is>
          <t>avverkningsanmälan</t>
        </is>
      </c>
      <c r="C336" t="inlineStr">
        <is>
          <t>Föryngringsavverkning</t>
        </is>
      </c>
      <c r="D336" s="1" t="n">
        <v>46061</v>
      </c>
      <c r="E336" s="1" t="n">
        <v>46216</v>
      </c>
      <c r="F336" t="inlineStr">
        <is>
          <t>VÄSTMANLANDS LÄN</t>
        </is>
      </c>
      <c r="G336" t="inlineStr">
        <is>
          <t>SALA</t>
        </is>
      </c>
      <c r="I336" t="n">
        <v>2.8</v>
      </c>
      <c r="J336" t="n">
        <v>0</v>
      </c>
      <c r="K336" t="n">
        <v>0</v>
      </c>
      <c r="L336" t="n">
        <v>0</v>
      </c>
      <c r="M336" t="n">
        <v>0</v>
      </c>
      <c r="N336" t="n">
        <v>0</v>
      </c>
      <c r="O336" t="n">
        <v>0</v>
      </c>
      <c r="P336" t="n">
        <v>0</v>
      </c>
      <c r="Q336" t="n">
        <v>0</v>
      </c>
      <c r="R336" t="n">
        <v>0</v>
      </c>
      <c r="S336" t="n">
        <v>0</v>
      </c>
      <c r="T336" t="n">
        <v>0</v>
      </c>
      <c r="U336" s="2" t="inlineStr"/>
    </row>
    <row r="337" ht="15" customHeight="1">
      <c r="A337" t="inlineStr">
        <is>
          <t>A 38195-2021</t>
        </is>
      </c>
      <c r="B337" t="inlineStr">
        <is>
          <t>avverkningsanmälan</t>
        </is>
      </c>
      <c r="C337" t="inlineStr">
        <is>
          <t>Föryngringsavverkning</t>
        </is>
      </c>
      <c r="D337" s="1" t="n">
        <v>44405</v>
      </c>
      <c r="E337" s="1" t="n">
        <v>46216</v>
      </c>
      <c r="F337" t="inlineStr">
        <is>
          <t>VÄSTMANLANDS LÄN</t>
        </is>
      </c>
      <c r="G337" t="inlineStr">
        <is>
          <t>SALA</t>
        </is>
      </c>
      <c r="H337" t="inlineStr">
        <is>
          <t>Sveaskog</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7611-2026</t>
        </is>
      </c>
      <c r="B338" t="inlineStr">
        <is>
          <t>avverkningsanmälan</t>
        </is>
      </c>
      <c r="C338" t="inlineStr">
        <is>
          <t>Föryngringsavverkning</t>
        </is>
      </c>
      <c r="D338" s="1" t="n">
        <v>46062</v>
      </c>
      <c r="E338" s="1" t="n">
        <v>46216</v>
      </c>
      <c r="F338" t="inlineStr">
        <is>
          <t>VÄSTMANLANDS LÄN</t>
        </is>
      </c>
      <c r="G338" t="inlineStr">
        <is>
          <t>SALA</t>
        </is>
      </c>
      <c r="I338" t="n">
        <v>1.9</v>
      </c>
      <c r="J338" t="n">
        <v>0</v>
      </c>
      <c r="K338" t="n">
        <v>0</v>
      </c>
      <c r="L338" t="n">
        <v>0</v>
      </c>
      <c r="M338" t="n">
        <v>0</v>
      </c>
      <c r="N338" t="n">
        <v>0</v>
      </c>
      <c r="O338" t="n">
        <v>0</v>
      </c>
      <c r="P338" t="n">
        <v>0</v>
      </c>
      <c r="Q338" t="n">
        <v>0</v>
      </c>
      <c r="R338" t="n">
        <v>0</v>
      </c>
      <c r="S338" t="n">
        <v>0</v>
      </c>
      <c r="T338" t="n">
        <v>0</v>
      </c>
      <c r="U338" s="2" t="inlineStr"/>
    </row>
    <row r="339" ht="15" customHeight="1">
      <c r="A339" t="inlineStr">
        <is>
          <t>A 7676-2026</t>
        </is>
      </c>
      <c r="B339" t="inlineStr">
        <is>
          <t>avverkningsanmälan</t>
        </is>
      </c>
      <c r="C339" t="inlineStr">
        <is>
          <t>Föryngringsavverkning</t>
        </is>
      </c>
      <c r="D339" s="1" t="n">
        <v>46062</v>
      </c>
      <c r="E339" s="1" t="n">
        <v>46216</v>
      </c>
      <c r="F339" t="inlineStr">
        <is>
          <t>VÄSTMANLANDS LÄN</t>
        </is>
      </c>
      <c r="G339" t="inlineStr">
        <is>
          <t>SALA</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7593-2026</t>
        </is>
      </c>
      <c r="B340" t="inlineStr">
        <is>
          <t>avverkningsanmälan</t>
        </is>
      </c>
      <c r="C340" t="inlineStr">
        <is>
          <t>Föryngringsavverkning</t>
        </is>
      </c>
      <c r="D340" s="1" t="n">
        <v>46061</v>
      </c>
      <c r="E340" s="1" t="n">
        <v>46216</v>
      </c>
      <c r="F340" t="inlineStr">
        <is>
          <t>VÄSTMANLANDS LÄN</t>
        </is>
      </c>
      <c r="G340" t="inlineStr">
        <is>
          <t>SALA</t>
        </is>
      </c>
      <c r="I340" t="n">
        <v>7.5</v>
      </c>
      <c r="J340" t="n">
        <v>0</v>
      </c>
      <c r="K340" t="n">
        <v>0</v>
      </c>
      <c r="L340" t="n">
        <v>0</v>
      </c>
      <c r="M340" t="n">
        <v>0</v>
      </c>
      <c r="N340" t="n">
        <v>0</v>
      </c>
      <c r="O340" t="n">
        <v>0</v>
      </c>
      <c r="P340" t="n">
        <v>0</v>
      </c>
      <c r="Q340" t="n">
        <v>0</v>
      </c>
      <c r="R340" t="n">
        <v>0</v>
      </c>
      <c r="S340" t="n">
        <v>0</v>
      </c>
      <c r="T340" t="n">
        <v>0</v>
      </c>
      <c r="U340" s="2" t="inlineStr"/>
    </row>
    <row r="341" ht="15" customHeight="1">
      <c r="A341" t="inlineStr">
        <is>
          <t>A 7597-2026</t>
        </is>
      </c>
      <c r="B341" t="inlineStr">
        <is>
          <t>avverkningsanmälan</t>
        </is>
      </c>
      <c r="C341" t="inlineStr">
        <is>
          <t>Föryngringsavverkning</t>
        </is>
      </c>
      <c r="D341" s="1" t="n">
        <v>46061</v>
      </c>
      <c r="E341" s="1" t="n">
        <v>46216</v>
      </c>
      <c r="F341" t="inlineStr">
        <is>
          <t>VÄSTMANLANDS LÄN</t>
        </is>
      </c>
      <c r="G341" t="inlineStr">
        <is>
          <t>SALA</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21777-2022</t>
        </is>
      </c>
      <c r="B342" t="inlineStr">
        <is>
          <t>avverkningsanmälan</t>
        </is>
      </c>
      <c r="C342" t="inlineStr">
        <is>
          <t>Föryngringsavverkning</t>
        </is>
      </c>
      <c r="D342" s="1" t="n">
        <v>44708</v>
      </c>
      <c r="E342" s="1" t="n">
        <v>46216</v>
      </c>
      <c r="F342" t="inlineStr">
        <is>
          <t>VÄSTMANLANDS LÄN</t>
        </is>
      </c>
      <c r="G342" t="inlineStr">
        <is>
          <t>SALA</t>
        </is>
      </c>
      <c r="I342" t="n">
        <v>0.7</v>
      </c>
      <c r="J342" t="n">
        <v>0</v>
      </c>
      <c r="K342" t="n">
        <v>0</v>
      </c>
      <c r="L342" t="n">
        <v>0</v>
      </c>
      <c r="M342" t="n">
        <v>0</v>
      </c>
      <c r="N342" t="n">
        <v>0</v>
      </c>
      <c r="O342" t="n">
        <v>0</v>
      </c>
      <c r="P342" t="n">
        <v>0</v>
      </c>
      <c r="Q342" t="n">
        <v>0</v>
      </c>
      <c r="R342" t="n">
        <v>0</v>
      </c>
      <c r="S342" t="n">
        <v>0</v>
      </c>
      <c r="T342" t="n">
        <v>0</v>
      </c>
      <c r="U342" s="2" t="inlineStr"/>
    </row>
    <row r="343" ht="15" customHeight="1">
      <c r="A343" t="inlineStr">
        <is>
          <t>A 7584-2026</t>
        </is>
      </c>
      <c r="B343" t="inlineStr">
        <is>
          <t>avverkningsanmälan</t>
        </is>
      </c>
      <c r="C343" t="inlineStr">
        <is>
          <t>Föryngringsavverkning</t>
        </is>
      </c>
      <c r="D343" s="1" t="n">
        <v>46061</v>
      </c>
      <c r="E343" s="1" t="n">
        <v>46216</v>
      </c>
      <c r="F343" t="inlineStr">
        <is>
          <t>VÄSTMANLANDS LÄN</t>
        </is>
      </c>
      <c r="G343" t="inlineStr">
        <is>
          <t>SALA</t>
        </is>
      </c>
      <c r="I343" t="n">
        <v>16.7</v>
      </c>
      <c r="J343" t="n">
        <v>0</v>
      </c>
      <c r="K343" t="n">
        <v>0</v>
      </c>
      <c r="L343" t="n">
        <v>0</v>
      </c>
      <c r="M343" t="n">
        <v>0</v>
      </c>
      <c r="N343" t="n">
        <v>0</v>
      </c>
      <c r="O343" t="n">
        <v>0</v>
      </c>
      <c r="P343" t="n">
        <v>0</v>
      </c>
      <c r="Q343" t="n">
        <v>0</v>
      </c>
      <c r="R343" t="n">
        <v>0</v>
      </c>
      <c r="S343" t="n">
        <v>0</v>
      </c>
      <c r="T343" t="n">
        <v>0</v>
      </c>
      <c r="U343" s="2" t="inlineStr"/>
    </row>
    <row r="344" ht="15" customHeight="1">
      <c r="A344" t="inlineStr">
        <is>
          <t>A 7590-2026</t>
        </is>
      </c>
      <c r="B344" t="inlineStr">
        <is>
          <t>avverkningsanmälan</t>
        </is>
      </c>
      <c r="C344" t="inlineStr">
        <is>
          <t>Föryngringsavverkning</t>
        </is>
      </c>
      <c r="D344" s="1" t="n">
        <v>46061</v>
      </c>
      <c r="E344" s="1" t="n">
        <v>46216</v>
      </c>
      <c r="F344" t="inlineStr">
        <is>
          <t>VÄSTMANLANDS LÄN</t>
        </is>
      </c>
      <c r="G344" t="inlineStr">
        <is>
          <t>SALA</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7596-2026</t>
        </is>
      </c>
      <c r="B345" t="inlineStr">
        <is>
          <t>avverkningsanmälan</t>
        </is>
      </c>
      <c r="C345" t="inlineStr">
        <is>
          <t>Föryngringsavverkning</t>
        </is>
      </c>
      <c r="D345" s="1" t="n">
        <v>46061</v>
      </c>
      <c r="E345" s="1" t="n">
        <v>46216</v>
      </c>
      <c r="F345" t="inlineStr">
        <is>
          <t>VÄSTMANLANDS LÄN</t>
        </is>
      </c>
      <c r="G345" t="inlineStr">
        <is>
          <t>SALA</t>
        </is>
      </c>
      <c r="I345" t="n">
        <v>3.1</v>
      </c>
      <c r="J345" t="n">
        <v>0</v>
      </c>
      <c r="K345" t="n">
        <v>0</v>
      </c>
      <c r="L345" t="n">
        <v>0</v>
      </c>
      <c r="M345" t="n">
        <v>0</v>
      </c>
      <c r="N345" t="n">
        <v>0</v>
      </c>
      <c r="O345" t="n">
        <v>0</v>
      </c>
      <c r="P345" t="n">
        <v>0</v>
      </c>
      <c r="Q345" t="n">
        <v>0</v>
      </c>
      <c r="R345" t="n">
        <v>0</v>
      </c>
      <c r="S345" t="n">
        <v>0</v>
      </c>
      <c r="T345" t="n">
        <v>0</v>
      </c>
      <c r="U345" s="2" t="inlineStr"/>
    </row>
    <row r="346" ht="15" customHeight="1">
      <c r="A346" t="inlineStr">
        <is>
          <t>A 11389-2024</t>
        </is>
      </c>
      <c r="B346" t="inlineStr">
        <is>
          <t>avverkningsanmälan</t>
        </is>
      </c>
      <c r="C346" t="inlineStr">
        <is>
          <t>Föryngringsavverkning</t>
        </is>
      </c>
      <c r="D346" s="1" t="n">
        <v>45372</v>
      </c>
      <c r="E346" s="1" t="n">
        <v>46216</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7595-2026</t>
        </is>
      </c>
      <c r="B347" t="inlineStr">
        <is>
          <t>avverkningsanmälan</t>
        </is>
      </c>
      <c r="C347" t="inlineStr">
        <is>
          <t>Föryngringsavverkning</t>
        </is>
      </c>
      <c r="D347" s="1" t="n">
        <v>46061</v>
      </c>
      <c r="E347" s="1" t="n">
        <v>46216</v>
      </c>
      <c r="F347" t="inlineStr">
        <is>
          <t>VÄSTMANLANDS LÄN</t>
        </is>
      </c>
      <c r="G347" t="inlineStr">
        <is>
          <t>SALA</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7680-2026</t>
        </is>
      </c>
      <c r="B348" t="inlineStr">
        <is>
          <t>avverkningsanmälan</t>
        </is>
      </c>
      <c r="C348" t="inlineStr">
        <is>
          <t>Föryngringsavverkning</t>
        </is>
      </c>
      <c r="D348" s="1" t="n">
        <v>46062</v>
      </c>
      <c r="E348" s="1" t="n">
        <v>46216</v>
      </c>
      <c r="F348" t="inlineStr">
        <is>
          <t>VÄSTMANLANDS LÄN</t>
        </is>
      </c>
      <c r="G348" t="inlineStr">
        <is>
          <t>SALA</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59926-2025</t>
        </is>
      </c>
      <c r="B349" t="inlineStr">
        <is>
          <t>avverkningsanmälan</t>
        </is>
      </c>
      <c r="C349" t="inlineStr">
        <is>
          <t>Föryngringsavverkning</t>
        </is>
      </c>
      <c r="D349" s="1" t="n">
        <v>45993</v>
      </c>
      <c r="E349" s="1" t="n">
        <v>46216</v>
      </c>
      <c r="F349" t="inlineStr">
        <is>
          <t>VÄSTMANLANDS LÄN</t>
        </is>
      </c>
      <c r="G349" t="inlineStr">
        <is>
          <t>SALA</t>
        </is>
      </c>
      <c r="I349" t="n">
        <v>7.1</v>
      </c>
      <c r="J349" t="n">
        <v>0</v>
      </c>
      <c r="K349" t="n">
        <v>0</v>
      </c>
      <c r="L349" t="n">
        <v>0</v>
      </c>
      <c r="M349" t="n">
        <v>0</v>
      </c>
      <c r="N349" t="n">
        <v>0</v>
      </c>
      <c r="O349" t="n">
        <v>0</v>
      </c>
      <c r="P349" t="n">
        <v>0</v>
      </c>
      <c r="Q349" t="n">
        <v>0</v>
      </c>
      <c r="R349" t="n">
        <v>0</v>
      </c>
      <c r="S349" t="n">
        <v>0</v>
      </c>
      <c r="T349" t="n">
        <v>0</v>
      </c>
      <c r="U349" s="2" t="inlineStr"/>
    </row>
    <row r="350" ht="15" customHeight="1">
      <c r="A350" t="inlineStr">
        <is>
          <t>A 2925-2024</t>
        </is>
      </c>
      <c r="B350" t="inlineStr">
        <is>
          <t>avverkningsanmälan</t>
        </is>
      </c>
      <c r="C350" t="inlineStr">
        <is>
          <t>Föryngringsavverkning</t>
        </is>
      </c>
      <c r="D350" s="1" t="n">
        <v>45315</v>
      </c>
      <c r="E350" s="1" t="n">
        <v>46216</v>
      </c>
      <c r="F350" t="inlineStr">
        <is>
          <t>VÄSTMANLANDS LÄN</t>
        </is>
      </c>
      <c r="G350" t="inlineStr">
        <is>
          <t>SALA</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60017-2025</t>
        </is>
      </c>
      <c r="B351" t="inlineStr">
        <is>
          <t>avverkningsanmälan</t>
        </is>
      </c>
      <c r="C351" t="inlineStr">
        <is>
          <t>Föryngringsavverkning</t>
        </is>
      </c>
      <c r="D351" s="1" t="n">
        <v>45993</v>
      </c>
      <c r="E351" s="1" t="n">
        <v>46216</v>
      </c>
      <c r="F351" t="inlineStr">
        <is>
          <t>VÄSTMANLANDS LÄN</t>
        </is>
      </c>
      <c r="G351" t="inlineStr">
        <is>
          <t>SALA</t>
        </is>
      </c>
      <c r="I351" t="n">
        <v>4.4</v>
      </c>
      <c r="J351" t="n">
        <v>0</v>
      </c>
      <c r="K351" t="n">
        <v>0</v>
      </c>
      <c r="L351" t="n">
        <v>0</v>
      </c>
      <c r="M351" t="n">
        <v>0</v>
      </c>
      <c r="N351" t="n">
        <v>0</v>
      </c>
      <c r="O351" t="n">
        <v>0</v>
      </c>
      <c r="P351" t="n">
        <v>0</v>
      </c>
      <c r="Q351" t="n">
        <v>0</v>
      </c>
      <c r="R351" t="n">
        <v>0</v>
      </c>
      <c r="S351" t="n">
        <v>0</v>
      </c>
      <c r="T351" t="n">
        <v>0</v>
      </c>
      <c r="U351" s="2" t="inlineStr"/>
    </row>
    <row r="352" ht="15" customHeight="1">
      <c r="A352" t="inlineStr">
        <is>
          <t>A 39439-2021</t>
        </is>
      </c>
      <c r="B352" t="inlineStr">
        <is>
          <t>avverkningsanmälan</t>
        </is>
      </c>
      <c r="C352" t="inlineStr">
        <is>
          <t>Föryngringsavverkning</t>
        </is>
      </c>
      <c r="D352" s="1" t="n">
        <v>44414</v>
      </c>
      <c r="E352" s="1" t="n">
        <v>46216</v>
      </c>
      <c r="F352" t="inlineStr">
        <is>
          <t>VÄSTMANLANDS LÄN</t>
        </is>
      </c>
      <c r="G352" t="inlineStr">
        <is>
          <t>SALA</t>
        </is>
      </c>
      <c r="I352" t="n">
        <v>1.1</v>
      </c>
      <c r="J352" t="n">
        <v>0</v>
      </c>
      <c r="K352" t="n">
        <v>0</v>
      </c>
      <c r="L352" t="n">
        <v>0</v>
      </c>
      <c r="M352" t="n">
        <v>0</v>
      </c>
      <c r="N352" t="n">
        <v>0</v>
      </c>
      <c r="O352" t="n">
        <v>0</v>
      </c>
      <c r="P352" t="n">
        <v>0</v>
      </c>
      <c r="Q352" t="n">
        <v>0</v>
      </c>
      <c r="R352" t="n">
        <v>0</v>
      </c>
      <c r="S352" t="n">
        <v>0</v>
      </c>
      <c r="T352" t="n">
        <v>0</v>
      </c>
      <c r="U352" s="2" t="inlineStr"/>
    </row>
    <row r="353" ht="15" customHeight="1">
      <c r="A353" t="inlineStr">
        <is>
          <t>A 60254-2025</t>
        </is>
      </c>
      <c r="B353" t="inlineStr">
        <is>
          <t>avverkningsanmälan</t>
        </is>
      </c>
      <c r="C353" t="inlineStr">
        <is>
          <t>Föryngringsavverkning</t>
        </is>
      </c>
      <c r="D353" s="1" t="n">
        <v>45994</v>
      </c>
      <c r="E353" s="1" t="n">
        <v>46216</v>
      </c>
      <c r="F353" t="inlineStr">
        <is>
          <t>VÄSTMANLANDS LÄN</t>
        </is>
      </c>
      <c r="G353" t="inlineStr">
        <is>
          <t>SALA</t>
        </is>
      </c>
      <c r="I353" t="n">
        <v>1.7</v>
      </c>
      <c r="J353" t="n">
        <v>0</v>
      </c>
      <c r="K353" t="n">
        <v>0</v>
      </c>
      <c r="L353" t="n">
        <v>0</v>
      </c>
      <c r="M353" t="n">
        <v>0</v>
      </c>
      <c r="N353" t="n">
        <v>0</v>
      </c>
      <c r="O353" t="n">
        <v>0</v>
      </c>
      <c r="P353" t="n">
        <v>0</v>
      </c>
      <c r="Q353" t="n">
        <v>0</v>
      </c>
      <c r="R353" t="n">
        <v>0</v>
      </c>
      <c r="S353" t="n">
        <v>0</v>
      </c>
      <c r="T353" t="n">
        <v>0</v>
      </c>
      <c r="U353" s="2" t="inlineStr"/>
    </row>
    <row r="354" ht="15" customHeight="1">
      <c r="A354" t="inlineStr">
        <is>
          <t>A 60259-2025</t>
        </is>
      </c>
      <c r="B354" t="inlineStr">
        <is>
          <t>avverkningsanmälan</t>
        </is>
      </c>
      <c r="C354" t="inlineStr">
        <is>
          <t>Föryngringsavverkning</t>
        </is>
      </c>
      <c r="D354" s="1" t="n">
        <v>45994</v>
      </c>
      <c r="E354" s="1" t="n">
        <v>46216</v>
      </c>
      <c r="F354" t="inlineStr">
        <is>
          <t>VÄSTMANLANDS LÄN</t>
        </is>
      </c>
      <c r="G354" t="inlineStr">
        <is>
          <t>SALA</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60246-2025</t>
        </is>
      </c>
      <c r="B355" t="inlineStr">
        <is>
          <t>avverkningsanmälan</t>
        </is>
      </c>
      <c r="C355" t="inlineStr">
        <is>
          <t>Föryngringsavverkning</t>
        </is>
      </c>
      <c r="D355" s="1" t="n">
        <v>45994</v>
      </c>
      <c r="E355" s="1" t="n">
        <v>46216</v>
      </c>
      <c r="F355" t="inlineStr">
        <is>
          <t>VÄSTMANLANDS LÄN</t>
        </is>
      </c>
      <c r="G355" t="inlineStr">
        <is>
          <t>SALA</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2529-2022</t>
        </is>
      </c>
      <c r="B356" t="inlineStr">
        <is>
          <t>avverkningsanmälan</t>
        </is>
      </c>
      <c r="C356" t="inlineStr">
        <is>
          <t>Föryngringsavverkning</t>
        </is>
      </c>
      <c r="D356" s="1" t="n">
        <v>44579</v>
      </c>
      <c r="E356" s="1" t="n">
        <v>46216</v>
      </c>
      <c r="F356" t="inlineStr">
        <is>
          <t>VÄSTMANLANDS LÄN</t>
        </is>
      </c>
      <c r="G356" t="inlineStr">
        <is>
          <t>SALA</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13471-2025</t>
        </is>
      </c>
      <c r="B357" t="inlineStr">
        <is>
          <t>avverkningsanmälan</t>
        </is>
      </c>
      <c r="C357" t="inlineStr">
        <is>
          <t>Föryngringsavverkning</t>
        </is>
      </c>
      <c r="D357" s="1" t="n">
        <v>45736</v>
      </c>
      <c r="E357" s="1" t="n">
        <v>46216</v>
      </c>
      <c r="F357" t="inlineStr">
        <is>
          <t>VÄSTMANLANDS LÄN</t>
        </is>
      </c>
      <c r="G357" t="inlineStr">
        <is>
          <t>SALA</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27424-2023</t>
        </is>
      </c>
      <c r="B358" t="inlineStr">
        <is>
          <t>avverkningsanmälan</t>
        </is>
      </c>
      <c r="C358" t="inlineStr">
        <is>
          <t>Föryngringsavverkning</t>
        </is>
      </c>
      <c r="D358" s="1" t="n">
        <v>45097</v>
      </c>
      <c r="E358" s="1" t="n">
        <v>46216</v>
      </c>
      <c r="F358" t="inlineStr">
        <is>
          <t>VÄSTMANLANDS LÄN</t>
        </is>
      </c>
      <c r="G358" t="inlineStr">
        <is>
          <t>SALA</t>
        </is>
      </c>
      <c r="I358" t="n">
        <v>0.7</v>
      </c>
      <c r="J358" t="n">
        <v>0</v>
      </c>
      <c r="K358" t="n">
        <v>0</v>
      </c>
      <c r="L358" t="n">
        <v>0</v>
      </c>
      <c r="M358" t="n">
        <v>0</v>
      </c>
      <c r="N358" t="n">
        <v>0</v>
      </c>
      <c r="O358" t="n">
        <v>0</v>
      </c>
      <c r="P358" t="n">
        <v>0</v>
      </c>
      <c r="Q358" t="n">
        <v>0</v>
      </c>
      <c r="R358" t="n">
        <v>0</v>
      </c>
      <c r="S358" t="n">
        <v>0</v>
      </c>
      <c r="T358" t="n">
        <v>0</v>
      </c>
      <c r="U358" s="2" t="inlineStr"/>
    </row>
    <row r="359" ht="15" customHeight="1">
      <c r="A359" t="inlineStr">
        <is>
          <t>A 58701-2021</t>
        </is>
      </c>
      <c r="B359" t="inlineStr">
        <is>
          <t>avverkningsanmälan</t>
        </is>
      </c>
      <c r="C359" t="inlineStr">
        <is>
          <t>Föryngringsavverkning</t>
        </is>
      </c>
      <c r="D359" s="1" t="n">
        <v>44489</v>
      </c>
      <c r="E359" s="1" t="n">
        <v>46216</v>
      </c>
      <c r="F359" t="inlineStr">
        <is>
          <t>VÄSTMANLANDS LÄN</t>
        </is>
      </c>
      <c r="G359" t="inlineStr">
        <is>
          <t>SALA</t>
        </is>
      </c>
      <c r="I359" t="n">
        <v>0.7</v>
      </c>
      <c r="J359" t="n">
        <v>0</v>
      </c>
      <c r="K359" t="n">
        <v>0</v>
      </c>
      <c r="L359" t="n">
        <v>0</v>
      </c>
      <c r="M359" t="n">
        <v>0</v>
      </c>
      <c r="N359" t="n">
        <v>0</v>
      </c>
      <c r="O359" t="n">
        <v>0</v>
      </c>
      <c r="P359" t="n">
        <v>0</v>
      </c>
      <c r="Q359" t="n">
        <v>0</v>
      </c>
      <c r="R359" t="n">
        <v>0</v>
      </c>
      <c r="S359" t="n">
        <v>0</v>
      </c>
      <c r="T359" t="n">
        <v>0</v>
      </c>
      <c r="U359" s="2" t="inlineStr"/>
    </row>
    <row r="360" ht="15" customHeight="1">
      <c r="A360" t="inlineStr">
        <is>
          <t>A 10239-2026</t>
        </is>
      </c>
      <c r="B360" t="inlineStr">
        <is>
          <t>avverkningsanmälan</t>
        </is>
      </c>
      <c r="C360" t="inlineStr">
        <is>
          <t>Föryngringsavverkning</t>
        </is>
      </c>
      <c r="D360" s="1" t="n">
        <v>46076</v>
      </c>
      <c r="E360" s="1" t="n">
        <v>46216</v>
      </c>
      <c r="F360" t="inlineStr">
        <is>
          <t>VÄSTMANLANDS LÄN</t>
        </is>
      </c>
      <c r="G360" t="inlineStr">
        <is>
          <t>SALA</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11244-2024</t>
        </is>
      </c>
      <c r="B361" t="inlineStr">
        <is>
          <t>avverkningsanmälan</t>
        </is>
      </c>
      <c r="C361" t="inlineStr">
        <is>
          <t>Avverkning för annat ändamål</t>
        </is>
      </c>
      <c r="D361" s="1" t="n">
        <v>45371</v>
      </c>
      <c r="E361" s="1" t="n">
        <v>46216</v>
      </c>
      <c r="F361" t="inlineStr">
        <is>
          <t>VÄSTMANLANDS LÄN</t>
        </is>
      </c>
      <c r="G361" t="inlineStr">
        <is>
          <t>SALA</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12225-2023</t>
        </is>
      </c>
      <c r="B362" t="inlineStr">
        <is>
          <t>avverkningsanmälan</t>
        </is>
      </c>
      <c r="C362" t="inlineStr">
        <is>
          <t>Föryngringsavverkning</t>
        </is>
      </c>
      <c r="D362" s="1" t="n">
        <v>44995</v>
      </c>
      <c r="E362" s="1" t="n">
        <v>46216</v>
      </c>
      <c r="F362" t="inlineStr">
        <is>
          <t>VÄSTMANLANDS LÄN</t>
        </is>
      </c>
      <c r="G362" t="inlineStr">
        <is>
          <t>SALA</t>
        </is>
      </c>
      <c r="I362" t="n">
        <v>0.9</v>
      </c>
      <c r="J362" t="n">
        <v>0</v>
      </c>
      <c r="K362" t="n">
        <v>0</v>
      </c>
      <c r="L362" t="n">
        <v>0</v>
      </c>
      <c r="M362" t="n">
        <v>0</v>
      </c>
      <c r="N362" t="n">
        <v>0</v>
      </c>
      <c r="O362" t="n">
        <v>0</v>
      </c>
      <c r="P362" t="n">
        <v>0</v>
      </c>
      <c r="Q362" t="n">
        <v>0</v>
      </c>
      <c r="R362" t="n">
        <v>0</v>
      </c>
      <c r="S362" t="n">
        <v>0</v>
      </c>
      <c r="T362" t="n">
        <v>0</v>
      </c>
      <c r="U362" s="2" t="inlineStr"/>
    </row>
    <row r="363" ht="15" customHeight="1">
      <c r="A363" t="inlineStr">
        <is>
          <t>A 10245-2026</t>
        </is>
      </c>
      <c r="B363" t="inlineStr">
        <is>
          <t>avverkningsanmälan</t>
        </is>
      </c>
      <c r="C363" t="inlineStr">
        <is>
          <t>Föryngringsavverkning</t>
        </is>
      </c>
      <c r="D363" s="1" t="n">
        <v>46076</v>
      </c>
      <c r="E363" s="1" t="n">
        <v>46216</v>
      </c>
      <c r="F363" t="inlineStr">
        <is>
          <t>VÄSTMANLANDS LÄN</t>
        </is>
      </c>
      <c r="G363" t="inlineStr">
        <is>
          <t>SALA</t>
        </is>
      </c>
      <c r="I363" t="n">
        <v>1.4</v>
      </c>
      <c r="J363" t="n">
        <v>0</v>
      </c>
      <c r="K363" t="n">
        <v>0</v>
      </c>
      <c r="L363" t="n">
        <v>0</v>
      </c>
      <c r="M363" t="n">
        <v>0</v>
      </c>
      <c r="N363" t="n">
        <v>0</v>
      </c>
      <c r="O363" t="n">
        <v>0</v>
      </c>
      <c r="P363" t="n">
        <v>0</v>
      </c>
      <c r="Q363" t="n">
        <v>0</v>
      </c>
      <c r="R363" t="n">
        <v>0</v>
      </c>
      <c r="S363" t="n">
        <v>0</v>
      </c>
      <c r="T363" t="n">
        <v>0</v>
      </c>
      <c r="U363" s="2" t="inlineStr"/>
    </row>
    <row r="364" ht="15" customHeight="1">
      <c r="A364" t="inlineStr">
        <is>
          <t>A 10252-2026</t>
        </is>
      </c>
      <c r="B364" t="inlineStr">
        <is>
          <t>avverkningsanmälan</t>
        </is>
      </c>
      <c r="C364" t="inlineStr">
        <is>
          <t>Föryngringsavverkning</t>
        </is>
      </c>
      <c r="D364" s="1" t="n">
        <v>46076</v>
      </c>
      <c r="E364" s="1" t="n">
        <v>46216</v>
      </c>
      <c r="F364" t="inlineStr">
        <is>
          <t>VÄSTMANLANDS LÄN</t>
        </is>
      </c>
      <c r="G364" t="inlineStr">
        <is>
          <t>SALA</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61874-2021</t>
        </is>
      </c>
      <c r="B365" t="inlineStr">
        <is>
          <t>avverkningsanmälan</t>
        </is>
      </c>
      <c r="C365" t="inlineStr">
        <is>
          <t>Föryngringsavverkning</t>
        </is>
      </c>
      <c r="D365" s="1" t="n">
        <v>44502</v>
      </c>
      <c r="E365" s="1" t="n">
        <v>46216</v>
      </c>
      <c r="F365" t="inlineStr">
        <is>
          <t>VÄSTMANLANDS LÄN</t>
        </is>
      </c>
      <c r="G365" t="inlineStr">
        <is>
          <t>SALA</t>
        </is>
      </c>
      <c r="H365" t="inlineStr">
        <is>
          <t>Kyrkan</t>
        </is>
      </c>
      <c r="I365" t="n">
        <v>1.3</v>
      </c>
      <c r="J365" t="n">
        <v>0</v>
      </c>
      <c r="K365" t="n">
        <v>0</v>
      </c>
      <c r="L365" t="n">
        <v>0</v>
      </c>
      <c r="M365" t="n">
        <v>0</v>
      </c>
      <c r="N365" t="n">
        <v>0</v>
      </c>
      <c r="O365" t="n">
        <v>0</v>
      </c>
      <c r="P365" t="n">
        <v>0</v>
      </c>
      <c r="Q365" t="n">
        <v>0</v>
      </c>
      <c r="R365" t="n">
        <v>0</v>
      </c>
      <c r="S365" t="n">
        <v>0</v>
      </c>
      <c r="T365" t="n">
        <v>0</v>
      </c>
      <c r="U365" s="2" t="inlineStr"/>
    </row>
    <row r="366" ht="15" customHeight="1">
      <c r="A366" t="inlineStr">
        <is>
          <t>A 62651-2022</t>
        </is>
      </c>
      <c r="B366" t="inlineStr">
        <is>
          <t>avverkningsanmälan</t>
        </is>
      </c>
      <c r="C366" t="inlineStr">
        <is>
          <t>Föryngringsavverkning</t>
        </is>
      </c>
      <c r="D366" s="1" t="n">
        <v>44917</v>
      </c>
      <c r="E366" s="1" t="n">
        <v>46216</v>
      </c>
      <c r="F366" t="inlineStr">
        <is>
          <t>VÄSTMANLANDS LÄN</t>
        </is>
      </c>
      <c r="G366" t="inlineStr">
        <is>
          <t>SALA</t>
        </is>
      </c>
      <c r="I366" t="n">
        <v>0.4</v>
      </c>
      <c r="J366" t="n">
        <v>0</v>
      </c>
      <c r="K366" t="n">
        <v>0</v>
      </c>
      <c r="L366" t="n">
        <v>0</v>
      </c>
      <c r="M366" t="n">
        <v>0</v>
      </c>
      <c r="N366" t="n">
        <v>0</v>
      </c>
      <c r="O366" t="n">
        <v>0</v>
      </c>
      <c r="P366" t="n">
        <v>0</v>
      </c>
      <c r="Q366" t="n">
        <v>0</v>
      </c>
      <c r="R366" t="n">
        <v>0</v>
      </c>
      <c r="S366" t="n">
        <v>0</v>
      </c>
      <c r="T366" t="n">
        <v>0</v>
      </c>
      <c r="U366" s="2" t="inlineStr"/>
    </row>
    <row r="367" ht="15" customHeight="1">
      <c r="A367" t="inlineStr">
        <is>
          <t>A 15968-2024</t>
        </is>
      </c>
      <c r="B367" t="inlineStr">
        <is>
          <t>avverkningsanmälan</t>
        </is>
      </c>
      <c r="C367" t="inlineStr">
        <is>
          <t>Föryngringsavverkning</t>
        </is>
      </c>
      <c r="D367" s="1" t="n">
        <v>45405</v>
      </c>
      <c r="E367" s="1" t="n">
        <v>46216</v>
      </c>
      <c r="F367" t="inlineStr">
        <is>
          <t>VÄSTMANLANDS LÄN</t>
        </is>
      </c>
      <c r="G367" t="inlineStr">
        <is>
          <t>SALA</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60730-2023</t>
        </is>
      </c>
      <c r="B368" t="inlineStr">
        <is>
          <t>avverkningsanmälan</t>
        </is>
      </c>
      <c r="C368" t="inlineStr">
        <is>
          <t>Föryngringsavverkning</t>
        </is>
      </c>
      <c r="D368" s="1" t="n">
        <v>45260</v>
      </c>
      <c r="E368" s="1" t="n">
        <v>46216</v>
      </c>
      <c r="F368" t="inlineStr">
        <is>
          <t>VÄSTMANLANDS LÄN</t>
        </is>
      </c>
      <c r="G368" t="inlineStr">
        <is>
          <t>SALA</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60731-2023</t>
        </is>
      </c>
      <c r="B369" t="inlineStr">
        <is>
          <t>avverkningsanmälan</t>
        </is>
      </c>
      <c r="C369" t="inlineStr">
        <is>
          <t>Föryngringsavverkning</t>
        </is>
      </c>
      <c r="D369" s="1" t="n">
        <v>45260</v>
      </c>
      <c r="E369" s="1" t="n">
        <v>46216</v>
      </c>
      <c r="F369" t="inlineStr">
        <is>
          <t>VÄSTMANLANDS LÄN</t>
        </is>
      </c>
      <c r="G369" t="inlineStr">
        <is>
          <t>SALA</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63055-2025</t>
        </is>
      </c>
      <c r="B370" t="inlineStr">
        <is>
          <t>avverkningsanmälan</t>
        </is>
      </c>
      <c r="C370" t="inlineStr">
        <is>
          <t>Föryngringsavverkning</t>
        </is>
      </c>
      <c r="D370" s="1" t="n">
        <v>46009</v>
      </c>
      <c r="E370" s="1" t="n">
        <v>46216</v>
      </c>
      <c r="F370" t="inlineStr">
        <is>
          <t>VÄSTMANLANDS LÄN</t>
        </is>
      </c>
      <c r="G370" t="inlineStr">
        <is>
          <t>SALA</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18461-2024</t>
        </is>
      </c>
      <c r="B371" t="inlineStr">
        <is>
          <t>avverkningsanmälan</t>
        </is>
      </c>
      <c r="C371" t="inlineStr">
        <is>
          <t>Föryngringsavverkning</t>
        </is>
      </c>
      <c r="D371" s="1" t="n">
        <v>45425</v>
      </c>
      <c r="E371" s="1" t="n">
        <v>46216</v>
      </c>
      <c r="F371" t="inlineStr">
        <is>
          <t>VÄSTMANLANDS LÄN</t>
        </is>
      </c>
      <c r="G371" t="inlineStr">
        <is>
          <t>SALA</t>
        </is>
      </c>
      <c r="I371" t="n">
        <v>1.7</v>
      </c>
      <c r="J371" t="n">
        <v>0</v>
      </c>
      <c r="K371" t="n">
        <v>0</v>
      </c>
      <c r="L371" t="n">
        <v>0</v>
      </c>
      <c r="M371" t="n">
        <v>0</v>
      </c>
      <c r="N371" t="n">
        <v>0</v>
      </c>
      <c r="O371" t="n">
        <v>0</v>
      </c>
      <c r="P371" t="n">
        <v>0</v>
      </c>
      <c r="Q371" t="n">
        <v>0</v>
      </c>
      <c r="R371" t="n">
        <v>0</v>
      </c>
      <c r="S371" t="n">
        <v>0</v>
      </c>
      <c r="T371" t="n">
        <v>0</v>
      </c>
      <c r="U371" s="2" t="inlineStr"/>
    </row>
    <row r="372" ht="15" customHeight="1">
      <c r="A372" t="inlineStr">
        <is>
          <t>A 4663-2022</t>
        </is>
      </c>
      <c r="B372" t="inlineStr">
        <is>
          <t>avverkningsanmälan</t>
        </is>
      </c>
      <c r="C372" t="inlineStr">
        <is>
          <t>Föryngringsavverkning</t>
        </is>
      </c>
      <c r="D372" s="1" t="n">
        <v>44592</v>
      </c>
      <c r="E372" s="1" t="n">
        <v>46216</v>
      </c>
      <c r="F372" t="inlineStr">
        <is>
          <t>VÄSTMANLANDS LÄN</t>
        </is>
      </c>
      <c r="G372" t="inlineStr">
        <is>
          <t>SALA</t>
        </is>
      </c>
      <c r="I372" t="n">
        <v>2.5</v>
      </c>
      <c r="J372" t="n">
        <v>0</v>
      </c>
      <c r="K372" t="n">
        <v>0</v>
      </c>
      <c r="L372" t="n">
        <v>0</v>
      </c>
      <c r="M372" t="n">
        <v>0</v>
      </c>
      <c r="N372" t="n">
        <v>0</v>
      </c>
      <c r="O372" t="n">
        <v>0</v>
      </c>
      <c r="P372" t="n">
        <v>0</v>
      </c>
      <c r="Q372" t="n">
        <v>0</v>
      </c>
      <c r="R372" t="n">
        <v>0</v>
      </c>
      <c r="S372" t="n">
        <v>0</v>
      </c>
      <c r="T372" t="n">
        <v>0</v>
      </c>
      <c r="U372" s="2" t="inlineStr"/>
    </row>
    <row r="373" ht="15" customHeight="1">
      <c r="A373" t="inlineStr">
        <is>
          <t>A 63046-2025</t>
        </is>
      </c>
      <c r="B373" t="inlineStr">
        <is>
          <t>avverkningsanmälan</t>
        </is>
      </c>
      <c r="C373" t="inlineStr">
        <is>
          <t>Föryngringsavverkning</t>
        </is>
      </c>
      <c r="D373" s="1" t="n">
        <v>46009</v>
      </c>
      <c r="E373" s="1" t="n">
        <v>46216</v>
      </c>
      <c r="F373" t="inlineStr">
        <is>
          <t>VÄSTMANLANDS LÄN</t>
        </is>
      </c>
      <c r="G373" t="inlineStr">
        <is>
          <t>SALA</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2766-2024</t>
        </is>
      </c>
      <c r="B374" t="inlineStr">
        <is>
          <t>avverkningsanmälan</t>
        </is>
      </c>
      <c r="C374" t="inlineStr">
        <is>
          <t>Föryngringsavverkning</t>
        </is>
      </c>
      <c r="D374" s="1" t="n">
        <v>45314</v>
      </c>
      <c r="E374" s="1" t="n">
        <v>46216</v>
      </c>
      <c r="F374" t="inlineStr">
        <is>
          <t>VÄSTMANLANDS LÄN</t>
        </is>
      </c>
      <c r="G374" t="inlineStr">
        <is>
          <t>SALA</t>
        </is>
      </c>
      <c r="I374" t="n">
        <v>2.8</v>
      </c>
      <c r="J374" t="n">
        <v>0</v>
      </c>
      <c r="K374" t="n">
        <v>0</v>
      </c>
      <c r="L374" t="n">
        <v>0</v>
      </c>
      <c r="M374" t="n">
        <v>0</v>
      </c>
      <c r="N374" t="n">
        <v>0</v>
      </c>
      <c r="O374" t="n">
        <v>0</v>
      </c>
      <c r="P374" t="n">
        <v>0</v>
      </c>
      <c r="Q374" t="n">
        <v>0</v>
      </c>
      <c r="R374" t="n">
        <v>0</v>
      </c>
      <c r="S374" t="n">
        <v>0</v>
      </c>
      <c r="T374" t="n">
        <v>0</v>
      </c>
      <c r="U374" s="2" t="inlineStr"/>
    </row>
    <row r="375" ht="15" customHeight="1">
      <c r="A375" t="inlineStr">
        <is>
          <t>A 63749-2025</t>
        </is>
      </c>
      <c r="B375" t="inlineStr">
        <is>
          <t>avverkningsanmälan</t>
        </is>
      </c>
      <c r="C375" t="inlineStr">
        <is>
          <t>Föryngringsavverkning</t>
        </is>
      </c>
      <c r="D375" s="1" t="n">
        <v>46017</v>
      </c>
      <c r="E375" s="1" t="n">
        <v>46216</v>
      </c>
      <c r="F375" t="inlineStr">
        <is>
          <t>VÄSTMANLANDS LÄN</t>
        </is>
      </c>
      <c r="G375" t="inlineStr">
        <is>
          <t>SALA</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63748-2025</t>
        </is>
      </c>
      <c r="B376" t="inlineStr">
        <is>
          <t>avverkningsanmälan</t>
        </is>
      </c>
      <c r="C376" t="inlineStr">
        <is>
          <t>Föryngringsavverkning</t>
        </is>
      </c>
      <c r="D376" s="1" t="n">
        <v>46017</v>
      </c>
      <c r="E376" s="1" t="n">
        <v>46216</v>
      </c>
      <c r="F376" t="inlineStr">
        <is>
          <t>VÄSTMANLANDS LÄN</t>
        </is>
      </c>
      <c r="G376" t="inlineStr">
        <is>
          <t>SALA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12144-2026</t>
        </is>
      </c>
      <c r="B377" t="inlineStr">
        <is>
          <t>avverkningsanmälan</t>
        </is>
      </c>
      <c r="C377" t="inlineStr">
        <is>
          <t>Föryngringsavverkning</t>
        </is>
      </c>
      <c r="D377" s="1" t="n">
        <v>46086</v>
      </c>
      <c r="E377" s="1" t="n">
        <v>46216</v>
      </c>
      <c r="F377" t="inlineStr">
        <is>
          <t>VÄSTMANLANDS LÄN</t>
        </is>
      </c>
      <c r="G377" t="inlineStr">
        <is>
          <t>SALA</t>
        </is>
      </c>
      <c r="I377" t="n">
        <v>1</v>
      </c>
      <c r="J377" t="n">
        <v>0</v>
      </c>
      <c r="K377" t="n">
        <v>0</v>
      </c>
      <c r="L377" t="n">
        <v>0</v>
      </c>
      <c r="M377" t="n">
        <v>0</v>
      </c>
      <c r="N377" t="n">
        <v>0</v>
      </c>
      <c r="O377" t="n">
        <v>0</v>
      </c>
      <c r="P377" t="n">
        <v>0</v>
      </c>
      <c r="Q377" t="n">
        <v>0</v>
      </c>
      <c r="R377" t="n">
        <v>0</v>
      </c>
      <c r="S377" t="n">
        <v>0</v>
      </c>
      <c r="T377" t="n">
        <v>0</v>
      </c>
      <c r="U377" s="2" t="inlineStr"/>
    </row>
    <row r="378" ht="15" customHeight="1">
      <c r="A378" t="inlineStr">
        <is>
          <t>A 45187-2024</t>
        </is>
      </c>
      <c r="B378" t="inlineStr">
        <is>
          <t>avverkningsanmälan</t>
        </is>
      </c>
      <c r="C378" t="inlineStr">
        <is>
          <t>Föryngringsavverkning</t>
        </is>
      </c>
      <c r="D378" s="1" t="n">
        <v>45575</v>
      </c>
      <c r="E378" s="1" t="n">
        <v>46216</v>
      </c>
      <c r="F378" t="inlineStr">
        <is>
          <t>VÄSTMANLANDS LÄN</t>
        </is>
      </c>
      <c r="G378" t="inlineStr">
        <is>
          <t>SALA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33527-2023</t>
        </is>
      </c>
      <c r="B379" t="inlineStr">
        <is>
          <t>avverkningsanmälan</t>
        </is>
      </c>
      <c r="C379" t="inlineStr">
        <is>
          <t>Föryngringsavverkning</t>
        </is>
      </c>
      <c r="D379" s="1" t="n">
        <v>45131</v>
      </c>
      <c r="E379" s="1" t="n">
        <v>46216</v>
      </c>
      <c r="F379" t="inlineStr">
        <is>
          <t>VÄSTMANLANDS LÄN</t>
        </is>
      </c>
      <c r="G379" t="inlineStr">
        <is>
          <t>SALA</t>
        </is>
      </c>
      <c r="I379" t="n">
        <v>1</v>
      </c>
      <c r="J379" t="n">
        <v>0</v>
      </c>
      <c r="K379" t="n">
        <v>0</v>
      </c>
      <c r="L379" t="n">
        <v>0</v>
      </c>
      <c r="M379" t="n">
        <v>0</v>
      </c>
      <c r="N379" t="n">
        <v>0</v>
      </c>
      <c r="O379" t="n">
        <v>0</v>
      </c>
      <c r="P379" t="n">
        <v>0</v>
      </c>
      <c r="Q379" t="n">
        <v>0</v>
      </c>
      <c r="R379" t="n">
        <v>0</v>
      </c>
      <c r="S379" t="n">
        <v>0</v>
      </c>
      <c r="T379" t="n">
        <v>0</v>
      </c>
      <c r="U379" s="2" t="inlineStr"/>
    </row>
    <row r="380" ht="15" customHeight="1">
      <c r="A380" t="inlineStr">
        <is>
          <t>A 7377-2023</t>
        </is>
      </c>
      <c r="B380" t="inlineStr">
        <is>
          <t>avverkningsanmälan</t>
        </is>
      </c>
      <c r="C380" t="inlineStr">
        <is>
          <t>Föryngringsavverkning</t>
        </is>
      </c>
      <c r="D380" s="1" t="n">
        <v>44971</v>
      </c>
      <c r="E380" s="1" t="n">
        <v>46216</v>
      </c>
      <c r="F380" t="inlineStr">
        <is>
          <t>VÄSTMANLANDS LÄN</t>
        </is>
      </c>
      <c r="G380" t="inlineStr">
        <is>
          <t>SALA</t>
        </is>
      </c>
      <c r="I380" t="n">
        <v>0.9</v>
      </c>
      <c r="J380" t="n">
        <v>0</v>
      </c>
      <c r="K380" t="n">
        <v>0</v>
      </c>
      <c r="L380" t="n">
        <v>0</v>
      </c>
      <c r="M380" t="n">
        <v>0</v>
      </c>
      <c r="N380" t="n">
        <v>0</v>
      </c>
      <c r="O380" t="n">
        <v>0</v>
      </c>
      <c r="P380" t="n">
        <v>0</v>
      </c>
      <c r="Q380" t="n">
        <v>0</v>
      </c>
      <c r="R380" t="n">
        <v>0</v>
      </c>
      <c r="S380" t="n">
        <v>0</v>
      </c>
      <c r="T380" t="n">
        <v>0</v>
      </c>
      <c r="U380" s="2" t="inlineStr"/>
    </row>
    <row r="381" ht="15" customHeight="1">
      <c r="A381" t="inlineStr">
        <is>
          <t>A 21159-2022</t>
        </is>
      </c>
      <c r="B381" t="inlineStr">
        <is>
          <t>avverkningsanmälan</t>
        </is>
      </c>
      <c r="C381" t="inlineStr">
        <is>
          <t>Föryngringsavverkning</t>
        </is>
      </c>
      <c r="D381" s="1" t="n">
        <v>44704</v>
      </c>
      <c r="E381" s="1" t="n">
        <v>46216</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s="2" t="inlineStr"/>
    </row>
    <row r="382" ht="15" customHeight="1">
      <c r="A382" t="inlineStr">
        <is>
          <t>A 12497-2026</t>
        </is>
      </c>
      <c r="B382" t="inlineStr">
        <is>
          <t>avverkningsanmälan</t>
        </is>
      </c>
      <c r="C382" t="inlineStr">
        <is>
          <t>Föryngringsavverkning</t>
        </is>
      </c>
      <c r="D382" s="1" t="n">
        <v>46090</v>
      </c>
      <c r="E382" s="1" t="n">
        <v>46216</v>
      </c>
      <c r="F382" t="inlineStr">
        <is>
          <t>VÄSTMANLANDS LÄN</t>
        </is>
      </c>
      <c r="G382" t="inlineStr">
        <is>
          <t>SALA</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16159-2024</t>
        </is>
      </c>
      <c r="B383" t="inlineStr">
        <is>
          <t>avverkningsanmälan</t>
        </is>
      </c>
      <c r="C383" t="inlineStr">
        <is>
          <t>Föryngringsavverkning</t>
        </is>
      </c>
      <c r="D383" s="1" t="n">
        <v>45406</v>
      </c>
      <c r="E383" s="1" t="n">
        <v>46216</v>
      </c>
      <c r="F383" t="inlineStr">
        <is>
          <t>VÄSTMANLANDS LÄN</t>
        </is>
      </c>
      <c r="G383" t="inlineStr">
        <is>
          <t>SALA</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66307-2021</t>
        </is>
      </c>
      <c r="B384" t="inlineStr">
        <is>
          <t>avverkningsanmälan</t>
        </is>
      </c>
      <c r="C384" t="inlineStr">
        <is>
          <t>Föryngringsavverkning</t>
        </is>
      </c>
      <c r="D384" s="1" t="n">
        <v>44518</v>
      </c>
      <c r="E384" s="1" t="n">
        <v>46216</v>
      </c>
      <c r="F384" t="inlineStr">
        <is>
          <t>VÄSTMANLANDS LÄN</t>
        </is>
      </c>
      <c r="G384" t="inlineStr">
        <is>
          <t>SALA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27262-2024</t>
        </is>
      </c>
      <c r="B385" t="inlineStr">
        <is>
          <t>avverkningsanmälan</t>
        </is>
      </c>
      <c r="C385" t="inlineStr">
        <is>
          <t>Föryngringsavverkning</t>
        </is>
      </c>
      <c r="D385" s="1" t="n">
        <v>45471</v>
      </c>
      <c r="E385" s="1" t="n">
        <v>46216</v>
      </c>
      <c r="F385" t="inlineStr">
        <is>
          <t>VÄSTMANLANDS LÄN</t>
        </is>
      </c>
      <c r="G385" t="inlineStr">
        <is>
          <t>SALA</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10913-2025</t>
        </is>
      </c>
      <c r="B386" t="inlineStr">
        <is>
          <t>avverkningsanmälan</t>
        </is>
      </c>
      <c r="C386" t="inlineStr">
        <is>
          <t>Föryngringsavverkning</t>
        </is>
      </c>
      <c r="D386" s="1" t="n">
        <v>45722</v>
      </c>
      <c r="E386" s="1" t="n">
        <v>46216</v>
      </c>
      <c r="F386" t="inlineStr">
        <is>
          <t>VÄSTMANLANDS LÄN</t>
        </is>
      </c>
      <c r="G386" t="inlineStr">
        <is>
          <t>SALA</t>
        </is>
      </c>
      <c r="I386" t="n">
        <v>7.6</v>
      </c>
      <c r="J386" t="n">
        <v>0</v>
      </c>
      <c r="K386" t="n">
        <v>0</v>
      </c>
      <c r="L386" t="n">
        <v>0</v>
      </c>
      <c r="M386" t="n">
        <v>0</v>
      </c>
      <c r="N386" t="n">
        <v>0</v>
      </c>
      <c r="O386" t="n">
        <v>0</v>
      </c>
      <c r="P386" t="n">
        <v>0</v>
      </c>
      <c r="Q386" t="n">
        <v>0</v>
      </c>
      <c r="R386" t="n">
        <v>0</v>
      </c>
      <c r="S386" t="n">
        <v>0</v>
      </c>
      <c r="T386" t="n">
        <v>0</v>
      </c>
      <c r="U386" s="2" t="inlineStr"/>
    </row>
    <row r="387" ht="15" customHeight="1">
      <c r="A387" t="inlineStr">
        <is>
          <t>A 13032-2026</t>
        </is>
      </c>
      <c r="B387" t="inlineStr">
        <is>
          <t>avverkningsanmälan</t>
        </is>
      </c>
      <c r="C387" t="inlineStr">
        <is>
          <t>Föryngringsavverkning</t>
        </is>
      </c>
      <c r="D387" s="1" t="n">
        <v>46092</v>
      </c>
      <c r="E387" s="1" t="n">
        <v>46216</v>
      </c>
      <c r="F387" t="inlineStr">
        <is>
          <t>VÄSTMANLANDS LÄN</t>
        </is>
      </c>
      <c r="G387" t="inlineStr">
        <is>
          <t>SALA</t>
        </is>
      </c>
      <c r="I387" t="n">
        <v>3.4</v>
      </c>
      <c r="J387" t="n">
        <v>0</v>
      </c>
      <c r="K387" t="n">
        <v>0</v>
      </c>
      <c r="L387" t="n">
        <v>0</v>
      </c>
      <c r="M387" t="n">
        <v>0</v>
      </c>
      <c r="N387" t="n">
        <v>0</v>
      </c>
      <c r="O387" t="n">
        <v>0</v>
      </c>
      <c r="P387" t="n">
        <v>0</v>
      </c>
      <c r="Q387" t="n">
        <v>0</v>
      </c>
      <c r="R387" t="n">
        <v>0</v>
      </c>
      <c r="S387" t="n">
        <v>0</v>
      </c>
      <c r="T387" t="n">
        <v>0</v>
      </c>
      <c r="U387" s="2" t="inlineStr"/>
    </row>
    <row r="388" ht="15" customHeight="1">
      <c r="A388" t="inlineStr">
        <is>
          <t>A 14000-2026</t>
        </is>
      </c>
      <c r="B388" t="inlineStr">
        <is>
          <t>avverkningsanmälan</t>
        </is>
      </c>
      <c r="C388" t="inlineStr">
        <is>
          <t>Föryngringsavverkning</t>
        </is>
      </c>
      <c r="D388" s="1" t="n">
        <v>46098</v>
      </c>
      <c r="E388" s="1" t="n">
        <v>46216</v>
      </c>
      <c r="F388" t="inlineStr">
        <is>
          <t>VÄSTMANLANDS LÄN</t>
        </is>
      </c>
      <c r="G388" t="inlineStr">
        <is>
          <t>SALA</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35410-2022</t>
        </is>
      </c>
      <c r="B389" t="inlineStr">
        <is>
          <t>avverkningsanmälan</t>
        </is>
      </c>
      <c r="C389" t="inlineStr">
        <is>
          <t>Föryngringsavverkning</t>
        </is>
      </c>
      <c r="D389" s="1" t="n">
        <v>44798</v>
      </c>
      <c r="E389" s="1" t="n">
        <v>46216</v>
      </c>
      <c r="F389" t="inlineStr">
        <is>
          <t>VÄSTMANLANDS LÄN</t>
        </is>
      </c>
      <c r="G389" t="inlineStr">
        <is>
          <t>SALA</t>
        </is>
      </c>
      <c r="I389" t="n">
        <v>1.6</v>
      </c>
      <c r="J389" t="n">
        <v>0</v>
      </c>
      <c r="K389" t="n">
        <v>0</v>
      </c>
      <c r="L389" t="n">
        <v>0</v>
      </c>
      <c r="M389" t="n">
        <v>0</v>
      </c>
      <c r="N389" t="n">
        <v>0</v>
      </c>
      <c r="O389" t="n">
        <v>0</v>
      </c>
      <c r="P389" t="n">
        <v>0</v>
      </c>
      <c r="Q389" t="n">
        <v>0</v>
      </c>
      <c r="R389" t="n">
        <v>0</v>
      </c>
      <c r="S389" t="n">
        <v>0</v>
      </c>
      <c r="T389" t="n">
        <v>0</v>
      </c>
      <c r="U389" s="2" t="inlineStr"/>
    </row>
    <row r="390" ht="15" customHeight="1">
      <c r="A390" t="inlineStr">
        <is>
          <t>A 1118-2024</t>
        </is>
      </c>
      <c r="B390" t="inlineStr">
        <is>
          <t>avverkningsanmälan</t>
        </is>
      </c>
      <c r="C390" t="inlineStr">
        <is>
          <t>Föryngringsavverkning</t>
        </is>
      </c>
      <c r="D390" s="1" t="n">
        <v>45302</v>
      </c>
      <c r="E390" s="1" t="n">
        <v>46216</v>
      </c>
      <c r="F390" t="inlineStr">
        <is>
          <t>VÄSTMANLANDS LÄN</t>
        </is>
      </c>
      <c r="G390" t="inlineStr">
        <is>
          <t>SALA</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13996-2026</t>
        </is>
      </c>
      <c r="B391" t="inlineStr">
        <is>
          <t>avverkningsanmälan</t>
        </is>
      </c>
      <c r="C391" t="inlineStr">
        <is>
          <t>Föryngringsavverkning</t>
        </is>
      </c>
      <c r="D391" s="1" t="n">
        <v>46098</v>
      </c>
      <c r="E391" s="1" t="n">
        <v>46216</v>
      </c>
      <c r="F391" t="inlineStr">
        <is>
          <t>VÄSTMANLANDS LÄN</t>
        </is>
      </c>
      <c r="G391" t="inlineStr">
        <is>
          <t>SALA</t>
        </is>
      </c>
      <c r="I391" t="n">
        <v>2.5</v>
      </c>
      <c r="J391" t="n">
        <v>0</v>
      </c>
      <c r="K391" t="n">
        <v>0</v>
      </c>
      <c r="L391" t="n">
        <v>0</v>
      </c>
      <c r="M391" t="n">
        <v>0</v>
      </c>
      <c r="N391" t="n">
        <v>0</v>
      </c>
      <c r="O391" t="n">
        <v>0</v>
      </c>
      <c r="P391" t="n">
        <v>0</v>
      </c>
      <c r="Q391" t="n">
        <v>0</v>
      </c>
      <c r="R391" t="n">
        <v>0</v>
      </c>
      <c r="S391" t="n">
        <v>0</v>
      </c>
      <c r="T391" t="n">
        <v>0</v>
      </c>
      <c r="U391" s="2" t="inlineStr"/>
    </row>
    <row r="392" ht="15" customHeight="1">
      <c r="A392" t="inlineStr">
        <is>
          <t>A 13639-2026</t>
        </is>
      </c>
      <c r="B392" t="inlineStr">
        <is>
          <t>avverkningsanmälan</t>
        </is>
      </c>
      <c r="C392" t="inlineStr">
        <is>
          <t>Föryngringsavverkning</t>
        </is>
      </c>
      <c r="D392" s="1" t="n">
        <v>46097</v>
      </c>
      <c r="E392" s="1" t="n">
        <v>46216</v>
      </c>
      <c r="F392" t="inlineStr">
        <is>
          <t>VÄSTMANLANDS LÄN</t>
        </is>
      </c>
      <c r="G392" t="inlineStr">
        <is>
          <t>SALA</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53864-2022</t>
        </is>
      </c>
      <c r="B393" t="inlineStr">
        <is>
          <t>avverkningsanmälan</t>
        </is>
      </c>
      <c r="C393" t="inlineStr">
        <is>
          <t>Föryngringsavverkning</t>
        </is>
      </c>
      <c r="D393" s="1" t="n">
        <v>44880</v>
      </c>
      <c r="E393" s="1" t="n">
        <v>46216</v>
      </c>
      <c r="F393" t="inlineStr">
        <is>
          <t>VÄSTMANLANDS LÄN</t>
        </is>
      </c>
      <c r="G393" t="inlineStr">
        <is>
          <t>SALA</t>
        </is>
      </c>
      <c r="I393" t="n">
        <v>5.9</v>
      </c>
      <c r="J393" t="n">
        <v>0</v>
      </c>
      <c r="K393" t="n">
        <v>0</v>
      </c>
      <c r="L393" t="n">
        <v>0</v>
      </c>
      <c r="M393" t="n">
        <v>0</v>
      </c>
      <c r="N393" t="n">
        <v>0</v>
      </c>
      <c r="O393" t="n">
        <v>0</v>
      </c>
      <c r="P393" t="n">
        <v>0</v>
      </c>
      <c r="Q393" t="n">
        <v>0</v>
      </c>
      <c r="R393" t="n">
        <v>0</v>
      </c>
      <c r="S393" t="n">
        <v>0</v>
      </c>
      <c r="T393" t="n">
        <v>0</v>
      </c>
      <c r="U393" s="2" t="inlineStr"/>
    </row>
    <row r="394" ht="15" customHeight="1">
      <c r="A394" t="inlineStr">
        <is>
          <t>A 3551-2024</t>
        </is>
      </c>
      <c r="B394" t="inlineStr">
        <is>
          <t>avverkningsanmälan</t>
        </is>
      </c>
      <c r="C394" t="inlineStr">
        <is>
          <t>Föryngringsavverkning</t>
        </is>
      </c>
      <c r="D394" s="1" t="n">
        <v>45320</v>
      </c>
      <c r="E394" s="1" t="n">
        <v>46216</v>
      </c>
      <c r="F394" t="inlineStr">
        <is>
          <t>VÄSTMANLANDS LÄN</t>
        </is>
      </c>
      <c r="G394" t="inlineStr">
        <is>
          <t>SALA</t>
        </is>
      </c>
      <c r="H394" t="inlineStr">
        <is>
          <t>Kommuner</t>
        </is>
      </c>
      <c r="I394" t="n">
        <v>6</v>
      </c>
      <c r="J394" t="n">
        <v>0</v>
      </c>
      <c r="K394" t="n">
        <v>0</v>
      </c>
      <c r="L394" t="n">
        <v>0</v>
      </c>
      <c r="M394" t="n">
        <v>0</v>
      </c>
      <c r="N394" t="n">
        <v>0</v>
      </c>
      <c r="O394" t="n">
        <v>0</v>
      </c>
      <c r="P394" t="n">
        <v>0</v>
      </c>
      <c r="Q394" t="n">
        <v>0</v>
      </c>
      <c r="R394" t="n">
        <v>0</v>
      </c>
      <c r="S394" t="n">
        <v>0</v>
      </c>
      <c r="T394" t="n">
        <v>0</v>
      </c>
      <c r="U394" s="2" t="inlineStr"/>
    </row>
    <row r="395" ht="15" customHeight="1">
      <c r="A395" t="inlineStr">
        <is>
          <t>A 14482-2026</t>
        </is>
      </c>
      <c r="B395" t="inlineStr">
        <is>
          <t>avverkningsanmälan</t>
        </is>
      </c>
      <c r="C395" t="inlineStr">
        <is>
          <t>Avverkning för att bevara och utveckla /försöksver</t>
        </is>
      </c>
      <c r="D395" s="1" t="n">
        <v>46100</v>
      </c>
      <c r="E395" s="1" t="n">
        <v>46216</v>
      </c>
      <c r="F395" t="inlineStr">
        <is>
          <t>VÄSTMANLANDS LÄN</t>
        </is>
      </c>
      <c r="G395" t="inlineStr">
        <is>
          <t>SALA</t>
        </is>
      </c>
      <c r="H395" t="inlineStr">
        <is>
          <t>Sveaskog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14484-2026</t>
        </is>
      </c>
      <c r="B396" t="inlineStr">
        <is>
          <t>avverkningsanmälan</t>
        </is>
      </c>
      <c r="C396" t="inlineStr">
        <is>
          <t>Föryngringsavverkning</t>
        </is>
      </c>
      <c r="D396" s="1" t="n">
        <v>46100</v>
      </c>
      <c r="E396" s="1" t="n">
        <v>46216</v>
      </c>
      <c r="F396" t="inlineStr">
        <is>
          <t>VÄSTMANLANDS LÄN</t>
        </is>
      </c>
      <c r="G396" t="inlineStr">
        <is>
          <t>SALA</t>
        </is>
      </c>
      <c r="H396" t="inlineStr">
        <is>
          <t>Sveaskog</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14490-2026</t>
        </is>
      </c>
      <c r="B397" t="inlineStr">
        <is>
          <t>avverkningsanmälan</t>
        </is>
      </c>
      <c r="C397" t="inlineStr">
        <is>
          <t>Föryngringsavverkning</t>
        </is>
      </c>
      <c r="D397" s="1" t="n">
        <v>46100</v>
      </c>
      <c r="E397" s="1" t="n">
        <v>46216</v>
      </c>
      <c r="F397" t="inlineStr">
        <is>
          <t>VÄSTMANLANDS LÄN</t>
        </is>
      </c>
      <c r="G397" t="inlineStr">
        <is>
          <t>SALA</t>
        </is>
      </c>
      <c r="H397" t="inlineStr">
        <is>
          <t>Sveaskog</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22961-2023</t>
        </is>
      </c>
      <c r="B398" t="inlineStr">
        <is>
          <t>avverkningsanmälan</t>
        </is>
      </c>
      <c r="C398" t="inlineStr">
        <is>
          <t>Föryngringsavverkning</t>
        </is>
      </c>
      <c r="D398" s="1" t="n">
        <v>45072</v>
      </c>
      <c r="E398" s="1" t="n">
        <v>46216</v>
      </c>
      <c r="F398" t="inlineStr">
        <is>
          <t>VÄSTMANLANDS LÄN</t>
        </is>
      </c>
      <c r="G398" t="inlineStr">
        <is>
          <t>SALA</t>
        </is>
      </c>
      <c r="I398" t="n">
        <v>2.7</v>
      </c>
      <c r="J398" t="n">
        <v>0</v>
      </c>
      <c r="K398" t="n">
        <v>0</v>
      </c>
      <c r="L398" t="n">
        <v>0</v>
      </c>
      <c r="M398" t="n">
        <v>0</v>
      </c>
      <c r="N398" t="n">
        <v>0</v>
      </c>
      <c r="O398" t="n">
        <v>0</v>
      </c>
      <c r="P398" t="n">
        <v>0</v>
      </c>
      <c r="Q398" t="n">
        <v>0</v>
      </c>
      <c r="R398" t="n">
        <v>0</v>
      </c>
      <c r="S398" t="n">
        <v>0</v>
      </c>
      <c r="T398" t="n">
        <v>0</v>
      </c>
      <c r="U398" s="2" t="inlineStr"/>
    </row>
    <row r="399" ht="15" customHeight="1">
      <c r="A399" t="inlineStr">
        <is>
          <t>A 22963-2023</t>
        </is>
      </c>
      <c r="B399" t="inlineStr">
        <is>
          <t>avverkningsanmälan</t>
        </is>
      </c>
      <c r="C399" t="inlineStr">
        <is>
          <t>Föryngringsavverkning</t>
        </is>
      </c>
      <c r="D399" s="1" t="n">
        <v>45072</v>
      </c>
      <c r="E399" s="1" t="n">
        <v>46216</v>
      </c>
      <c r="F399" t="inlineStr">
        <is>
          <t>VÄSTMANLANDS LÄN</t>
        </is>
      </c>
      <c r="G399" t="inlineStr">
        <is>
          <t>SALA</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27228-2023</t>
        </is>
      </c>
      <c r="B400" t="inlineStr">
        <is>
          <t>avverkningsanmälan</t>
        </is>
      </c>
      <c r="C400" t="inlineStr">
        <is>
          <t>Föryngringsavverkning</t>
        </is>
      </c>
      <c r="D400" s="1" t="n">
        <v>45096</v>
      </c>
      <c r="E400" s="1" t="n">
        <v>46216</v>
      </c>
      <c r="F400" t="inlineStr">
        <is>
          <t>VÄSTMANLANDS LÄN</t>
        </is>
      </c>
      <c r="G400" t="inlineStr">
        <is>
          <t>SALA</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26507-2023</t>
        </is>
      </c>
      <c r="B401" t="inlineStr">
        <is>
          <t>avverkningsanmälan</t>
        </is>
      </c>
      <c r="C401" t="inlineStr">
        <is>
          <t>Föryngringsavverkning</t>
        </is>
      </c>
      <c r="D401" s="1" t="n">
        <v>45092</v>
      </c>
      <c r="E401" s="1" t="n">
        <v>46216</v>
      </c>
      <c r="F401" t="inlineStr">
        <is>
          <t>VÄSTMANLANDS LÄN</t>
        </is>
      </c>
      <c r="G401" t="inlineStr">
        <is>
          <t>SALA</t>
        </is>
      </c>
      <c r="H401" t="inlineStr">
        <is>
          <t>Sveaskog</t>
        </is>
      </c>
      <c r="I401" t="n">
        <v>2.2</v>
      </c>
      <c r="J401" t="n">
        <v>0</v>
      </c>
      <c r="K401" t="n">
        <v>0</v>
      </c>
      <c r="L401" t="n">
        <v>0</v>
      </c>
      <c r="M401" t="n">
        <v>0</v>
      </c>
      <c r="N401" t="n">
        <v>0</v>
      </c>
      <c r="O401" t="n">
        <v>0</v>
      </c>
      <c r="P401" t="n">
        <v>0</v>
      </c>
      <c r="Q401" t="n">
        <v>0</v>
      </c>
      <c r="R401" t="n">
        <v>0</v>
      </c>
      <c r="S401" t="n">
        <v>0</v>
      </c>
      <c r="T401" t="n">
        <v>0</v>
      </c>
      <c r="U401" s="2" t="inlineStr"/>
    </row>
    <row r="402" ht="15" customHeight="1">
      <c r="A402" t="inlineStr">
        <is>
          <t>A 16543-2023</t>
        </is>
      </c>
      <c r="B402" t="inlineStr">
        <is>
          <t>avverkningsanmälan</t>
        </is>
      </c>
      <c r="C402" t="inlineStr">
        <is>
          <t>Föryngringsavverkning</t>
        </is>
      </c>
      <c r="D402" s="1" t="n">
        <v>45029</v>
      </c>
      <c r="E402" s="1" t="n">
        <v>46216</v>
      </c>
      <c r="F402" t="inlineStr">
        <is>
          <t>VÄSTMANLANDS LÄN</t>
        </is>
      </c>
      <c r="G402" t="inlineStr">
        <is>
          <t>SALA</t>
        </is>
      </c>
      <c r="H402" t="inlineStr">
        <is>
          <t>Sveaskog</t>
        </is>
      </c>
      <c r="I402" t="n">
        <v>1.9</v>
      </c>
      <c r="J402" t="n">
        <v>0</v>
      </c>
      <c r="K402" t="n">
        <v>0</v>
      </c>
      <c r="L402" t="n">
        <v>0</v>
      </c>
      <c r="M402" t="n">
        <v>0</v>
      </c>
      <c r="N402" t="n">
        <v>0</v>
      </c>
      <c r="O402" t="n">
        <v>0</v>
      </c>
      <c r="P402" t="n">
        <v>0</v>
      </c>
      <c r="Q402" t="n">
        <v>0</v>
      </c>
      <c r="R402" t="n">
        <v>0</v>
      </c>
      <c r="S402" t="n">
        <v>0</v>
      </c>
      <c r="T402" t="n">
        <v>0</v>
      </c>
      <c r="U402" s="2" t="inlineStr"/>
    </row>
    <row r="403" ht="15" customHeight="1">
      <c r="A403" t="inlineStr">
        <is>
          <t>A 57895-2024</t>
        </is>
      </c>
      <c r="B403" t="inlineStr">
        <is>
          <t>avverkningsanmälan</t>
        </is>
      </c>
      <c r="C403" t="inlineStr">
        <is>
          <t>Föryngringsavverkning</t>
        </is>
      </c>
      <c r="D403" s="1" t="n">
        <v>45631</v>
      </c>
      <c r="E403" s="1" t="n">
        <v>46216</v>
      </c>
      <c r="F403" t="inlineStr">
        <is>
          <t>VÄSTMANLANDS LÄN</t>
        </is>
      </c>
      <c r="G403" t="inlineStr">
        <is>
          <t>SALA</t>
        </is>
      </c>
      <c r="I403" t="n">
        <v>1</v>
      </c>
      <c r="J403" t="n">
        <v>0</v>
      </c>
      <c r="K403" t="n">
        <v>0</v>
      </c>
      <c r="L403" t="n">
        <v>0</v>
      </c>
      <c r="M403" t="n">
        <v>0</v>
      </c>
      <c r="N403" t="n">
        <v>0</v>
      </c>
      <c r="O403" t="n">
        <v>0</v>
      </c>
      <c r="P403" t="n">
        <v>0</v>
      </c>
      <c r="Q403" t="n">
        <v>0</v>
      </c>
      <c r="R403" t="n">
        <v>0</v>
      </c>
      <c r="S403" t="n">
        <v>0</v>
      </c>
      <c r="T403" t="n">
        <v>0</v>
      </c>
      <c r="U403" s="2" t="inlineStr"/>
    </row>
    <row r="404" ht="15" customHeight="1">
      <c r="A404" t="inlineStr">
        <is>
          <t>A 47086-2022</t>
        </is>
      </c>
      <c r="B404" t="inlineStr">
        <is>
          <t>avverkningsanmälan</t>
        </is>
      </c>
      <c r="C404" t="inlineStr">
        <is>
          <t>Föryngringsavverkning</t>
        </is>
      </c>
      <c r="D404" s="1" t="n">
        <v>44852</v>
      </c>
      <c r="E404" s="1" t="n">
        <v>46216</v>
      </c>
      <c r="F404" t="inlineStr">
        <is>
          <t>VÄSTMANLANDS LÄN</t>
        </is>
      </c>
      <c r="G404" t="inlineStr">
        <is>
          <t>SALA</t>
        </is>
      </c>
      <c r="I404" t="n">
        <v>12.5</v>
      </c>
      <c r="J404" t="n">
        <v>0</v>
      </c>
      <c r="K404" t="n">
        <v>0</v>
      </c>
      <c r="L404" t="n">
        <v>0</v>
      </c>
      <c r="M404" t="n">
        <v>0</v>
      </c>
      <c r="N404" t="n">
        <v>0</v>
      </c>
      <c r="O404" t="n">
        <v>0</v>
      </c>
      <c r="P404" t="n">
        <v>0</v>
      </c>
      <c r="Q404" t="n">
        <v>0</v>
      </c>
      <c r="R404" t="n">
        <v>0</v>
      </c>
      <c r="S404" t="n">
        <v>0</v>
      </c>
      <c r="T404" t="n">
        <v>0</v>
      </c>
      <c r="U404" s="2" t="inlineStr"/>
    </row>
    <row r="405" ht="15" customHeight="1">
      <c r="A405" t="inlineStr">
        <is>
          <t>A 16354-2026</t>
        </is>
      </c>
      <c r="B405" t="inlineStr">
        <is>
          <t>avverkningsanmälan</t>
        </is>
      </c>
      <c r="C405" t="inlineStr">
        <is>
          <t>Föryngringsavverkning</t>
        </is>
      </c>
      <c r="D405" s="1" t="n">
        <v>46111</v>
      </c>
      <c r="E405" s="1" t="n">
        <v>46216</v>
      </c>
      <c r="F405" t="inlineStr">
        <is>
          <t>VÄSTMANLANDS LÄN</t>
        </is>
      </c>
      <c r="G405" t="inlineStr">
        <is>
          <t>SALA</t>
        </is>
      </c>
      <c r="I405" t="n">
        <v>5.2</v>
      </c>
      <c r="J405" t="n">
        <v>0</v>
      </c>
      <c r="K405" t="n">
        <v>0</v>
      </c>
      <c r="L405" t="n">
        <v>0</v>
      </c>
      <c r="M405" t="n">
        <v>0</v>
      </c>
      <c r="N405" t="n">
        <v>0</v>
      </c>
      <c r="O405" t="n">
        <v>0</v>
      </c>
      <c r="P405" t="n">
        <v>0</v>
      </c>
      <c r="Q405" t="n">
        <v>0</v>
      </c>
      <c r="R405" t="n">
        <v>0</v>
      </c>
      <c r="S405" t="n">
        <v>0</v>
      </c>
      <c r="T405" t="n">
        <v>0</v>
      </c>
      <c r="U405" s="2" t="inlineStr"/>
    </row>
    <row r="406" ht="15" customHeight="1">
      <c r="A406" t="inlineStr">
        <is>
          <t>A 16367-2026</t>
        </is>
      </c>
      <c r="B406" t="inlineStr">
        <is>
          <t>avverkningsanmälan</t>
        </is>
      </c>
      <c r="C406" t="inlineStr">
        <is>
          <t>Föryngringsavverkning</t>
        </is>
      </c>
      <c r="D406" s="1" t="n">
        <v>46111</v>
      </c>
      <c r="E406" s="1" t="n">
        <v>46216</v>
      </c>
      <c r="F406" t="inlineStr">
        <is>
          <t>VÄSTMANLANDS LÄN</t>
        </is>
      </c>
      <c r="G406" t="inlineStr">
        <is>
          <t>SALA</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54347-2024</t>
        </is>
      </c>
      <c r="B407" t="inlineStr">
        <is>
          <t>avverkningsanmälan</t>
        </is>
      </c>
      <c r="C407" t="inlineStr">
        <is>
          <t>Föryngringsavverkning</t>
        </is>
      </c>
      <c r="D407" s="1" t="n">
        <v>45617</v>
      </c>
      <c r="E407" s="1" t="n">
        <v>46216</v>
      </c>
      <c r="F407" t="inlineStr">
        <is>
          <t>VÄSTMANLANDS LÄN</t>
        </is>
      </c>
      <c r="G407" t="inlineStr">
        <is>
          <t>SALA</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16369-2026</t>
        </is>
      </c>
      <c r="B408" t="inlineStr">
        <is>
          <t>avverkningsanmälan</t>
        </is>
      </c>
      <c r="C408" t="inlineStr">
        <is>
          <t>Föryngringsavverkning</t>
        </is>
      </c>
      <c r="D408" s="1" t="n">
        <v>46111</v>
      </c>
      <c r="E408" s="1" t="n">
        <v>46216</v>
      </c>
      <c r="F408" t="inlineStr">
        <is>
          <t>VÄSTMANLANDS LÄN</t>
        </is>
      </c>
      <c r="G408" t="inlineStr">
        <is>
          <t>SALA</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64693-2023</t>
        </is>
      </c>
      <c r="B409" t="inlineStr">
        <is>
          <t>avverkningsanmälan</t>
        </is>
      </c>
      <c r="C409" t="inlineStr">
        <is>
          <t>Föryngringsavverkning</t>
        </is>
      </c>
      <c r="D409" s="1" t="n">
        <v>45281</v>
      </c>
      <c r="E409" s="1" t="n">
        <v>46216</v>
      </c>
      <c r="F409" t="inlineStr">
        <is>
          <t>VÄSTMANLANDS LÄN</t>
        </is>
      </c>
      <c r="G409" t="inlineStr">
        <is>
          <t>SALA</t>
        </is>
      </c>
      <c r="I409" t="n">
        <v>0.5</v>
      </c>
      <c r="J409" t="n">
        <v>0</v>
      </c>
      <c r="K409" t="n">
        <v>0</v>
      </c>
      <c r="L409" t="n">
        <v>0</v>
      </c>
      <c r="M409" t="n">
        <v>0</v>
      </c>
      <c r="N409" t="n">
        <v>0</v>
      </c>
      <c r="O409" t="n">
        <v>0</v>
      </c>
      <c r="P409" t="n">
        <v>0</v>
      </c>
      <c r="Q409" t="n">
        <v>0</v>
      </c>
      <c r="R409" t="n">
        <v>0</v>
      </c>
      <c r="S409" t="n">
        <v>0</v>
      </c>
      <c r="T409" t="n">
        <v>0</v>
      </c>
      <c r="U409" s="2" t="inlineStr"/>
    </row>
    <row r="410" ht="15" customHeight="1">
      <c r="A410" t="inlineStr">
        <is>
          <t>A 64695-2023</t>
        </is>
      </c>
      <c r="B410" t="inlineStr">
        <is>
          <t>avverkningsanmälan</t>
        </is>
      </c>
      <c r="C410" t="inlineStr">
        <is>
          <t>Föryngringsavverkning</t>
        </is>
      </c>
      <c r="D410" s="1" t="n">
        <v>45281</v>
      </c>
      <c r="E410" s="1" t="n">
        <v>46216</v>
      </c>
      <c r="F410" t="inlineStr">
        <is>
          <t>VÄSTMANLANDS LÄN</t>
        </is>
      </c>
      <c r="G410" t="inlineStr">
        <is>
          <t>SALA</t>
        </is>
      </c>
      <c r="I410" t="n">
        <v>0.5</v>
      </c>
      <c r="J410" t="n">
        <v>0</v>
      </c>
      <c r="K410" t="n">
        <v>0</v>
      </c>
      <c r="L410" t="n">
        <v>0</v>
      </c>
      <c r="M410" t="n">
        <v>0</v>
      </c>
      <c r="N410" t="n">
        <v>0</v>
      </c>
      <c r="O410" t="n">
        <v>0</v>
      </c>
      <c r="P410" t="n">
        <v>0</v>
      </c>
      <c r="Q410" t="n">
        <v>0</v>
      </c>
      <c r="R410" t="n">
        <v>0</v>
      </c>
      <c r="S410" t="n">
        <v>0</v>
      </c>
      <c r="T410" t="n">
        <v>0</v>
      </c>
      <c r="U410" s="2" t="inlineStr"/>
    </row>
    <row r="411" ht="15" customHeight="1">
      <c r="A411" t="inlineStr">
        <is>
          <t>A 16598-2026</t>
        </is>
      </c>
      <c r="B411" t="inlineStr">
        <is>
          <t>avverkningsanmälan</t>
        </is>
      </c>
      <c r="C411" t="inlineStr">
        <is>
          <t>Föryngringsavverkning</t>
        </is>
      </c>
      <c r="D411" s="1" t="n">
        <v>46112</v>
      </c>
      <c r="E411" s="1" t="n">
        <v>46216</v>
      </c>
      <c r="F411" t="inlineStr">
        <is>
          <t>VÄSTMANLANDS LÄN</t>
        </is>
      </c>
      <c r="G411" t="inlineStr">
        <is>
          <t>SALA</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16364-2026</t>
        </is>
      </c>
      <c r="B412" t="inlineStr">
        <is>
          <t>avverkningsanmälan</t>
        </is>
      </c>
      <c r="C412" t="inlineStr">
        <is>
          <t>Föryngringsavverkning</t>
        </is>
      </c>
      <c r="D412" s="1" t="n">
        <v>46111</v>
      </c>
      <c r="E412" s="1" t="n">
        <v>46216</v>
      </c>
      <c r="F412" t="inlineStr">
        <is>
          <t>VÄSTMANLANDS LÄN</t>
        </is>
      </c>
      <c r="G412" t="inlineStr">
        <is>
          <t>SALA</t>
        </is>
      </c>
      <c r="I412" t="n">
        <v>4.7</v>
      </c>
      <c r="J412" t="n">
        <v>0</v>
      </c>
      <c r="K412" t="n">
        <v>0</v>
      </c>
      <c r="L412" t="n">
        <v>0</v>
      </c>
      <c r="M412" t="n">
        <v>0</v>
      </c>
      <c r="N412" t="n">
        <v>0</v>
      </c>
      <c r="O412" t="n">
        <v>0</v>
      </c>
      <c r="P412" t="n">
        <v>0</v>
      </c>
      <c r="Q412" t="n">
        <v>0</v>
      </c>
      <c r="R412" t="n">
        <v>0</v>
      </c>
      <c r="S412" t="n">
        <v>0</v>
      </c>
      <c r="T412" t="n">
        <v>0</v>
      </c>
      <c r="U412" s="2" t="inlineStr"/>
    </row>
    <row r="413" ht="15" customHeight="1">
      <c r="A413" t="inlineStr">
        <is>
          <t>A 27486-2022</t>
        </is>
      </c>
      <c r="B413" t="inlineStr">
        <is>
          <t>avverkningsanmälan</t>
        </is>
      </c>
      <c r="C413" t="inlineStr">
        <is>
          <t>Föryngringsavverkning</t>
        </is>
      </c>
      <c r="D413" s="1" t="n">
        <v>44742</v>
      </c>
      <c r="E413" s="1" t="n">
        <v>46216</v>
      </c>
      <c r="F413" t="inlineStr">
        <is>
          <t>VÄSTMANLANDS LÄN</t>
        </is>
      </c>
      <c r="G413" t="inlineStr">
        <is>
          <t>SALA</t>
        </is>
      </c>
      <c r="H413" t="inlineStr">
        <is>
          <t>Sveaskog</t>
        </is>
      </c>
      <c r="I413" t="n">
        <v>2</v>
      </c>
      <c r="J413" t="n">
        <v>0</v>
      </c>
      <c r="K413" t="n">
        <v>0</v>
      </c>
      <c r="L413" t="n">
        <v>0</v>
      </c>
      <c r="M413" t="n">
        <v>0</v>
      </c>
      <c r="N413" t="n">
        <v>0</v>
      </c>
      <c r="O413" t="n">
        <v>0</v>
      </c>
      <c r="P413" t="n">
        <v>0</v>
      </c>
      <c r="Q413" t="n">
        <v>0</v>
      </c>
      <c r="R413" t="n">
        <v>0</v>
      </c>
      <c r="S413" t="n">
        <v>0</v>
      </c>
      <c r="T413" t="n">
        <v>0</v>
      </c>
      <c r="U413" s="2" t="inlineStr"/>
    </row>
    <row r="414" ht="15" customHeight="1">
      <c r="A414" t="inlineStr">
        <is>
          <t>A 35003-2024</t>
        </is>
      </c>
      <c r="B414" t="inlineStr">
        <is>
          <t>avverkningsanmälan</t>
        </is>
      </c>
      <c r="C414" t="inlineStr">
        <is>
          <t>Föryngringsavverkning</t>
        </is>
      </c>
      <c r="D414" s="1" t="n">
        <v>45527</v>
      </c>
      <c r="E414" s="1" t="n">
        <v>46216</v>
      </c>
      <c r="F414" t="inlineStr">
        <is>
          <t>VÄSTMANLANDS LÄN</t>
        </is>
      </c>
      <c r="G414" t="inlineStr">
        <is>
          <t>SALA</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48688-2024</t>
        </is>
      </c>
      <c r="B415" t="inlineStr">
        <is>
          <t>avverkningsanmälan</t>
        </is>
      </c>
      <c r="C415" t="inlineStr">
        <is>
          <t>Föryngringsavverkning</t>
        </is>
      </c>
      <c r="D415" s="1" t="n">
        <v>45593</v>
      </c>
      <c r="E415" s="1" t="n">
        <v>46216</v>
      </c>
      <c r="F415" t="inlineStr">
        <is>
          <t>VÄSTMANLANDS LÄN</t>
        </is>
      </c>
      <c r="G415" t="inlineStr">
        <is>
          <t>SALA</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63933-2023</t>
        </is>
      </c>
      <c r="B416" t="inlineStr">
        <is>
          <t>avverkningsanmälan</t>
        </is>
      </c>
      <c r="C416" t="inlineStr">
        <is>
          <t>Föryngringsavverkning</t>
        </is>
      </c>
      <c r="D416" s="1" t="n">
        <v>45278</v>
      </c>
      <c r="E416" s="1" t="n">
        <v>46216</v>
      </c>
      <c r="F416" t="inlineStr">
        <is>
          <t>VÄSTMANLANDS LÄN</t>
        </is>
      </c>
      <c r="G416" t="inlineStr">
        <is>
          <t>SALA</t>
        </is>
      </c>
      <c r="I416" t="n">
        <v>1.4</v>
      </c>
      <c r="J416" t="n">
        <v>0</v>
      </c>
      <c r="K416" t="n">
        <v>0</v>
      </c>
      <c r="L416" t="n">
        <v>0</v>
      </c>
      <c r="M416" t="n">
        <v>0</v>
      </c>
      <c r="N416" t="n">
        <v>0</v>
      </c>
      <c r="O416" t="n">
        <v>0</v>
      </c>
      <c r="P416" t="n">
        <v>0</v>
      </c>
      <c r="Q416" t="n">
        <v>0</v>
      </c>
      <c r="R416" t="n">
        <v>0</v>
      </c>
      <c r="S416" t="n">
        <v>0</v>
      </c>
      <c r="T416" t="n">
        <v>0</v>
      </c>
      <c r="U416" s="2" t="inlineStr"/>
    </row>
    <row r="417" ht="15" customHeight="1">
      <c r="A417" t="inlineStr">
        <is>
          <t>A 44746-2024</t>
        </is>
      </c>
      <c r="B417" t="inlineStr">
        <is>
          <t>avverkningsanmälan</t>
        </is>
      </c>
      <c r="C417" t="inlineStr">
        <is>
          <t>Föryngringsavverkning</t>
        </is>
      </c>
      <c r="D417" s="1" t="n">
        <v>45574</v>
      </c>
      <c r="E417" s="1" t="n">
        <v>46216</v>
      </c>
      <c r="F417" t="inlineStr">
        <is>
          <t>VÄSTMANLANDS LÄN</t>
        </is>
      </c>
      <c r="G417" t="inlineStr">
        <is>
          <t>SALA</t>
        </is>
      </c>
      <c r="I417" t="n">
        <v>6.7</v>
      </c>
      <c r="J417" t="n">
        <v>0</v>
      </c>
      <c r="K417" t="n">
        <v>0</v>
      </c>
      <c r="L417" t="n">
        <v>0</v>
      </c>
      <c r="M417" t="n">
        <v>0</v>
      </c>
      <c r="N417" t="n">
        <v>0</v>
      </c>
      <c r="O417" t="n">
        <v>0</v>
      </c>
      <c r="P417" t="n">
        <v>0</v>
      </c>
      <c r="Q417" t="n">
        <v>0</v>
      </c>
      <c r="R417" t="n">
        <v>0</v>
      </c>
      <c r="S417" t="n">
        <v>0</v>
      </c>
      <c r="T417" t="n">
        <v>0</v>
      </c>
      <c r="U417" s="2" t="inlineStr"/>
    </row>
    <row r="418" ht="15" customHeight="1">
      <c r="A418" t="inlineStr">
        <is>
          <t>A 33273-2023</t>
        </is>
      </c>
      <c r="B418" t="inlineStr">
        <is>
          <t>avverkningsanmälan</t>
        </is>
      </c>
      <c r="C418" t="inlineStr">
        <is>
          <t>Föryngringsavverkning</t>
        </is>
      </c>
      <c r="D418" s="1" t="n">
        <v>45127</v>
      </c>
      <c r="E418" s="1" t="n">
        <v>46216</v>
      </c>
      <c r="F418" t="inlineStr">
        <is>
          <t>VÄSTMANLANDS LÄN</t>
        </is>
      </c>
      <c r="G418" t="inlineStr">
        <is>
          <t>SALA</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60545-2024</t>
        </is>
      </c>
      <c r="B419" t="inlineStr">
        <is>
          <t>avverkningsanmälan</t>
        </is>
      </c>
      <c r="C419" t="inlineStr">
        <is>
          <t>Föryngringsavverkning</t>
        </is>
      </c>
      <c r="D419" s="1" t="n">
        <v>45643</v>
      </c>
      <c r="E419" s="1" t="n">
        <v>46216</v>
      </c>
      <c r="F419" t="inlineStr">
        <is>
          <t>VÄSTMANLANDS LÄN</t>
        </is>
      </c>
      <c r="G419" t="inlineStr">
        <is>
          <t>SALA</t>
        </is>
      </c>
      <c r="I419" t="n">
        <v>3.3</v>
      </c>
      <c r="J419" t="n">
        <v>0</v>
      </c>
      <c r="K419" t="n">
        <v>0</v>
      </c>
      <c r="L419" t="n">
        <v>0</v>
      </c>
      <c r="M419" t="n">
        <v>0</v>
      </c>
      <c r="N419" t="n">
        <v>0</v>
      </c>
      <c r="O419" t="n">
        <v>0</v>
      </c>
      <c r="P419" t="n">
        <v>0</v>
      </c>
      <c r="Q419" t="n">
        <v>0</v>
      </c>
      <c r="R419" t="n">
        <v>0</v>
      </c>
      <c r="S419" t="n">
        <v>0</v>
      </c>
      <c r="T419" t="n">
        <v>0</v>
      </c>
      <c r="U419" s="2" t="inlineStr"/>
    </row>
    <row r="420" ht="15" customHeight="1">
      <c r="A420" t="inlineStr">
        <is>
          <t>A 60547-2024</t>
        </is>
      </c>
      <c r="B420" t="inlineStr">
        <is>
          <t>avverkningsanmälan</t>
        </is>
      </c>
      <c r="C420" t="inlineStr">
        <is>
          <t>Föryngringsavverkning</t>
        </is>
      </c>
      <c r="D420" s="1" t="n">
        <v>45643</v>
      </c>
      <c r="E420" s="1" t="n">
        <v>46216</v>
      </c>
      <c r="F420" t="inlineStr">
        <is>
          <t>VÄSTMANLANDS LÄN</t>
        </is>
      </c>
      <c r="G420" t="inlineStr">
        <is>
          <t>SALA</t>
        </is>
      </c>
      <c r="I420" t="n">
        <v>0.6</v>
      </c>
      <c r="J420" t="n">
        <v>0</v>
      </c>
      <c r="K420" t="n">
        <v>0</v>
      </c>
      <c r="L420" t="n">
        <v>0</v>
      </c>
      <c r="M420" t="n">
        <v>0</v>
      </c>
      <c r="N420" t="n">
        <v>0</v>
      </c>
      <c r="O420" t="n">
        <v>0</v>
      </c>
      <c r="P420" t="n">
        <v>0</v>
      </c>
      <c r="Q420" t="n">
        <v>0</v>
      </c>
      <c r="R420" t="n">
        <v>0</v>
      </c>
      <c r="S420" t="n">
        <v>0</v>
      </c>
      <c r="T420" t="n">
        <v>0</v>
      </c>
      <c r="U420" s="2" t="inlineStr"/>
    </row>
    <row r="421" ht="15" customHeight="1">
      <c r="A421" t="inlineStr">
        <is>
          <t>A 1985-2022</t>
        </is>
      </c>
      <c r="B421" t="inlineStr">
        <is>
          <t>avverkningsanmälan</t>
        </is>
      </c>
      <c r="C421" t="inlineStr">
        <is>
          <t>Föryngringsavverkning</t>
        </is>
      </c>
      <c r="D421" s="1" t="n">
        <v>44575</v>
      </c>
      <c r="E421" s="1" t="n">
        <v>46216</v>
      </c>
      <c r="F421" t="inlineStr">
        <is>
          <t>VÄSTMANLANDS LÄN</t>
        </is>
      </c>
      <c r="G421" t="inlineStr">
        <is>
          <t>SALA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27261-2024</t>
        </is>
      </c>
      <c r="B422" t="inlineStr">
        <is>
          <t>avverkningsanmälan</t>
        </is>
      </c>
      <c r="C422" t="inlineStr">
        <is>
          <t>Föryngringsavverkning</t>
        </is>
      </c>
      <c r="D422" s="1" t="n">
        <v>45471</v>
      </c>
      <c r="E422" s="1" t="n">
        <v>46216</v>
      </c>
      <c r="F422" t="inlineStr">
        <is>
          <t>VÄSTMANLANDS LÄN</t>
        </is>
      </c>
      <c r="G422" t="inlineStr">
        <is>
          <t>SALA</t>
        </is>
      </c>
      <c r="I422" t="n">
        <v>6.1</v>
      </c>
      <c r="J422" t="n">
        <v>0</v>
      </c>
      <c r="K422" t="n">
        <v>0</v>
      </c>
      <c r="L422" t="n">
        <v>0</v>
      </c>
      <c r="M422" t="n">
        <v>0</v>
      </c>
      <c r="N422" t="n">
        <v>0</v>
      </c>
      <c r="O422" t="n">
        <v>0</v>
      </c>
      <c r="P422" t="n">
        <v>0</v>
      </c>
      <c r="Q422" t="n">
        <v>0</v>
      </c>
      <c r="R422" t="n">
        <v>0</v>
      </c>
      <c r="S422" t="n">
        <v>0</v>
      </c>
      <c r="T422" t="n">
        <v>0</v>
      </c>
      <c r="U422" s="2" t="inlineStr"/>
    </row>
    <row r="423" ht="15" customHeight="1">
      <c r="A423" t="inlineStr">
        <is>
          <t>A 18382-2026</t>
        </is>
      </c>
      <c r="B423" t="inlineStr">
        <is>
          <t>avverkningsanmälan</t>
        </is>
      </c>
      <c r="C423" t="inlineStr">
        <is>
          <t>Avverkning för annat ändamål</t>
        </is>
      </c>
      <c r="D423" s="1" t="n">
        <v>46126</v>
      </c>
      <c r="E423" s="1" t="n">
        <v>46216</v>
      </c>
      <c r="F423" t="inlineStr">
        <is>
          <t>VÄSTMANLANDS LÄN</t>
        </is>
      </c>
      <c r="G423" t="inlineStr">
        <is>
          <t>SALA</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18592-2026</t>
        </is>
      </c>
      <c r="B424" t="inlineStr">
        <is>
          <t>avverkningsanmälan</t>
        </is>
      </c>
      <c r="C424" t="inlineStr">
        <is>
          <t>Föryngringsavverkning</t>
        </is>
      </c>
      <c r="D424" s="1" t="n">
        <v>46127</v>
      </c>
      <c r="E424" s="1" t="n">
        <v>46216</v>
      </c>
      <c r="F424" t="inlineStr">
        <is>
          <t>VÄSTMANLANDS LÄN</t>
        </is>
      </c>
      <c r="G424" t="inlineStr">
        <is>
          <t>SALA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35976-2024</t>
        </is>
      </c>
      <c r="B425" t="inlineStr">
        <is>
          <t>avverkningsanmälan</t>
        </is>
      </c>
      <c r="C425" t="inlineStr">
        <is>
          <t>Föryngringsavverkning</t>
        </is>
      </c>
      <c r="D425" s="1" t="n">
        <v>45533</v>
      </c>
      <c r="E425" s="1" t="n">
        <v>46216</v>
      </c>
      <c r="F425" t="inlineStr">
        <is>
          <t>VÄSTMANLANDS LÄN</t>
        </is>
      </c>
      <c r="G425" t="inlineStr">
        <is>
          <t>SALA</t>
        </is>
      </c>
      <c r="I425" t="n">
        <v>2.3</v>
      </c>
      <c r="J425" t="n">
        <v>0</v>
      </c>
      <c r="K425" t="n">
        <v>0</v>
      </c>
      <c r="L425" t="n">
        <v>0</v>
      </c>
      <c r="M425" t="n">
        <v>0</v>
      </c>
      <c r="N425" t="n">
        <v>0</v>
      </c>
      <c r="O425" t="n">
        <v>0</v>
      </c>
      <c r="P425" t="n">
        <v>0</v>
      </c>
      <c r="Q425" t="n">
        <v>0</v>
      </c>
      <c r="R425" t="n">
        <v>0</v>
      </c>
      <c r="S425" t="n">
        <v>0</v>
      </c>
      <c r="T425" t="n">
        <v>0</v>
      </c>
      <c r="U425" s="2" t="inlineStr"/>
    </row>
    <row r="426" ht="15" customHeight="1">
      <c r="A426" t="inlineStr">
        <is>
          <t>A 55556-2023</t>
        </is>
      </c>
      <c r="B426" t="inlineStr">
        <is>
          <t>avverkningsanmälan</t>
        </is>
      </c>
      <c r="C426" t="inlineStr">
        <is>
          <t>Föryngringsavverkning</t>
        </is>
      </c>
      <c r="D426" s="1" t="n">
        <v>45232</v>
      </c>
      <c r="E426" s="1" t="n">
        <v>46216</v>
      </c>
      <c r="F426" t="inlineStr">
        <is>
          <t>VÄSTMANLANDS LÄN</t>
        </is>
      </c>
      <c r="G426" t="inlineStr">
        <is>
          <t>SALA</t>
        </is>
      </c>
      <c r="I426" t="n">
        <v>1.3</v>
      </c>
      <c r="J426" t="n">
        <v>0</v>
      </c>
      <c r="K426" t="n">
        <v>0</v>
      </c>
      <c r="L426" t="n">
        <v>0</v>
      </c>
      <c r="M426" t="n">
        <v>0</v>
      </c>
      <c r="N426" t="n">
        <v>0</v>
      </c>
      <c r="O426" t="n">
        <v>0</v>
      </c>
      <c r="P426" t="n">
        <v>0</v>
      </c>
      <c r="Q426" t="n">
        <v>0</v>
      </c>
      <c r="R426" t="n">
        <v>0</v>
      </c>
      <c r="S426" t="n">
        <v>0</v>
      </c>
      <c r="T426" t="n">
        <v>0</v>
      </c>
      <c r="U426" s="2" t="inlineStr"/>
    </row>
    <row r="427" ht="15" customHeight="1">
      <c r="A427" t="inlineStr">
        <is>
          <t>A 50479-2022</t>
        </is>
      </c>
      <c r="B427" t="inlineStr">
        <is>
          <t>avverkningsanmälan</t>
        </is>
      </c>
      <c r="C427" t="inlineStr">
        <is>
          <t>Föryngringsavverkning</t>
        </is>
      </c>
      <c r="D427" s="1" t="n">
        <v>44861</v>
      </c>
      <c r="E427" s="1" t="n">
        <v>46216</v>
      </c>
      <c r="F427" t="inlineStr">
        <is>
          <t>VÄSTMANLANDS LÄN</t>
        </is>
      </c>
      <c r="G427" t="inlineStr">
        <is>
          <t>SALA</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45790-2023</t>
        </is>
      </c>
      <c r="B428" t="inlineStr">
        <is>
          <t>avverkningsanmälan</t>
        </is>
      </c>
      <c r="C428" t="inlineStr">
        <is>
          <t>Föryngringsavverkning</t>
        </is>
      </c>
      <c r="D428" s="1" t="n">
        <v>45195</v>
      </c>
      <c r="E428" s="1" t="n">
        <v>46216</v>
      </c>
      <c r="F428" t="inlineStr">
        <is>
          <t>VÄSTMANLANDS LÄN</t>
        </is>
      </c>
      <c r="G428" t="inlineStr">
        <is>
          <t>SALA</t>
        </is>
      </c>
      <c r="I428" t="n">
        <v>5.7</v>
      </c>
      <c r="J428" t="n">
        <v>0</v>
      </c>
      <c r="K428" t="n">
        <v>0</v>
      </c>
      <c r="L428" t="n">
        <v>0</v>
      </c>
      <c r="M428" t="n">
        <v>0</v>
      </c>
      <c r="N428" t="n">
        <v>0</v>
      </c>
      <c r="O428" t="n">
        <v>0</v>
      </c>
      <c r="P428" t="n">
        <v>0</v>
      </c>
      <c r="Q428" t="n">
        <v>0</v>
      </c>
      <c r="R428" t="n">
        <v>0</v>
      </c>
      <c r="S428" t="n">
        <v>0</v>
      </c>
      <c r="T428" t="n">
        <v>0</v>
      </c>
      <c r="U428" s="2" t="inlineStr"/>
    </row>
    <row r="429" ht="15" customHeight="1">
      <c r="A429" t="inlineStr">
        <is>
          <t>A 2928-2024</t>
        </is>
      </c>
      <c r="B429" t="inlineStr">
        <is>
          <t>avverkningsanmälan</t>
        </is>
      </c>
      <c r="C429" t="inlineStr">
        <is>
          <t>Föryngringsavverkning</t>
        </is>
      </c>
      <c r="D429" s="1" t="n">
        <v>45315</v>
      </c>
      <c r="E429" s="1" t="n">
        <v>46216</v>
      </c>
      <c r="F429" t="inlineStr">
        <is>
          <t>VÄSTMANLANDS LÄN</t>
        </is>
      </c>
      <c r="G429" t="inlineStr">
        <is>
          <t>SALA</t>
        </is>
      </c>
      <c r="I429" t="n">
        <v>1.4</v>
      </c>
      <c r="J429" t="n">
        <v>0</v>
      </c>
      <c r="K429" t="n">
        <v>0</v>
      </c>
      <c r="L429" t="n">
        <v>0</v>
      </c>
      <c r="M429" t="n">
        <v>0</v>
      </c>
      <c r="N429" t="n">
        <v>0</v>
      </c>
      <c r="O429" t="n">
        <v>0</v>
      </c>
      <c r="P429" t="n">
        <v>0</v>
      </c>
      <c r="Q429" t="n">
        <v>0</v>
      </c>
      <c r="R429" t="n">
        <v>0</v>
      </c>
      <c r="S429" t="n">
        <v>0</v>
      </c>
      <c r="T429" t="n">
        <v>0</v>
      </c>
      <c r="U429" s="2" t="inlineStr"/>
    </row>
    <row r="430" ht="15" customHeight="1">
      <c r="A430" t="inlineStr">
        <is>
          <t>A 73673-2021</t>
        </is>
      </c>
      <c r="B430" t="inlineStr">
        <is>
          <t>avverkningsanmälan</t>
        </is>
      </c>
      <c r="C430" t="inlineStr">
        <is>
          <t>Föryngringsavverkning</t>
        </is>
      </c>
      <c r="D430" s="1" t="n">
        <v>44552</v>
      </c>
      <c r="E430" s="1" t="n">
        <v>46216</v>
      </c>
      <c r="F430" t="inlineStr">
        <is>
          <t>VÄSTMANLANDS LÄN</t>
        </is>
      </c>
      <c r="G430" t="inlineStr">
        <is>
          <t>SALA</t>
        </is>
      </c>
      <c r="I430" t="n">
        <v>11.4</v>
      </c>
      <c r="J430" t="n">
        <v>0</v>
      </c>
      <c r="K430" t="n">
        <v>0</v>
      </c>
      <c r="L430" t="n">
        <v>0</v>
      </c>
      <c r="M430" t="n">
        <v>0</v>
      </c>
      <c r="N430" t="n">
        <v>0</v>
      </c>
      <c r="O430" t="n">
        <v>0</v>
      </c>
      <c r="P430" t="n">
        <v>0</v>
      </c>
      <c r="Q430" t="n">
        <v>0</v>
      </c>
      <c r="R430" t="n">
        <v>0</v>
      </c>
      <c r="S430" t="n">
        <v>0</v>
      </c>
      <c r="T430" t="n">
        <v>0</v>
      </c>
      <c r="U430" s="2" t="inlineStr"/>
    </row>
    <row r="431" ht="15" customHeight="1">
      <c r="A431" t="inlineStr">
        <is>
          <t>A 19376-2026</t>
        </is>
      </c>
      <c r="B431" t="inlineStr">
        <is>
          <t>avverkningsanmälan</t>
        </is>
      </c>
      <c r="C431" t="inlineStr">
        <is>
          <t>Föryngringsavverkning</t>
        </is>
      </c>
      <c r="D431" s="1" t="n">
        <v>46133</v>
      </c>
      <c r="E431" s="1" t="n">
        <v>46216</v>
      </c>
      <c r="F431" t="inlineStr">
        <is>
          <t>VÄSTMANLANDS LÄN</t>
        </is>
      </c>
      <c r="G431" t="inlineStr">
        <is>
          <t>SALA</t>
        </is>
      </c>
      <c r="I431" t="n">
        <v>3.8</v>
      </c>
      <c r="J431" t="n">
        <v>0</v>
      </c>
      <c r="K431" t="n">
        <v>0</v>
      </c>
      <c r="L431" t="n">
        <v>0</v>
      </c>
      <c r="M431" t="n">
        <v>0</v>
      </c>
      <c r="N431" t="n">
        <v>0</v>
      </c>
      <c r="O431" t="n">
        <v>0</v>
      </c>
      <c r="P431" t="n">
        <v>0</v>
      </c>
      <c r="Q431" t="n">
        <v>0</v>
      </c>
      <c r="R431" t="n">
        <v>0</v>
      </c>
      <c r="S431" t="n">
        <v>0</v>
      </c>
      <c r="T431" t="n">
        <v>0</v>
      </c>
      <c r="U431" s="2" t="inlineStr"/>
    </row>
    <row r="432" ht="15" customHeight="1">
      <c r="A432" t="inlineStr">
        <is>
          <t>A 19044-2026</t>
        </is>
      </c>
      <c r="B432" t="inlineStr">
        <is>
          <t>avverkningsanmälan</t>
        </is>
      </c>
      <c r="C432" t="inlineStr">
        <is>
          <t>Föryngringsavverkning</t>
        </is>
      </c>
      <c r="D432" s="1" t="n">
        <v>46132</v>
      </c>
      <c r="E432" s="1" t="n">
        <v>46216</v>
      </c>
      <c r="F432" t="inlineStr">
        <is>
          <t>VÄSTMANLANDS LÄN</t>
        </is>
      </c>
      <c r="G432" t="inlineStr">
        <is>
          <t>SALA</t>
        </is>
      </c>
      <c r="I432" t="n">
        <v>1.7</v>
      </c>
      <c r="J432" t="n">
        <v>0</v>
      </c>
      <c r="K432" t="n">
        <v>0</v>
      </c>
      <c r="L432" t="n">
        <v>0</v>
      </c>
      <c r="M432" t="n">
        <v>0</v>
      </c>
      <c r="N432" t="n">
        <v>0</v>
      </c>
      <c r="O432" t="n">
        <v>0</v>
      </c>
      <c r="P432" t="n">
        <v>0</v>
      </c>
      <c r="Q432" t="n">
        <v>0</v>
      </c>
      <c r="R432" t="n">
        <v>0</v>
      </c>
      <c r="S432" t="n">
        <v>0</v>
      </c>
      <c r="T432" t="n">
        <v>0</v>
      </c>
      <c r="U432" s="2" t="inlineStr"/>
    </row>
    <row r="433" ht="15" customHeight="1">
      <c r="A433" t="inlineStr">
        <is>
          <t>A 40871-2021</t>
        </is>
      </c>
      <c r="B433" t="inlineStr">
        <is>
          <t>avverkningsanmälan</t>
        </is>
      </c>
      <c r="C433" t="inlineStr">
        <is>
          <t>Föryngringsavverkning</t>
        </is>
      </c>
      <c r="D433" s="1" t="n">
        <v>44421</v>
      </c>
      <c r="E433" s="1" t="n">
        <v>46216</v>
      </c>
      <c r="F433" t="inlineStr">
        <is>
          <t>VÄSTMANLANDS LÄN</t>
        </is>
      </c>
      <c r="G433" t="inlineStr">
        <is>
          <t>SALA</t>
        </is>
      </c>
      <c r="I433" t="n">
        <v>1.4</v>
      </c>
      <c r="J433" t="n">
        <v>0</v>
      </c>
      <c r="K433" t="n">
        <v>0</v>
      </c>
      <c r="L433" t="n">
        <v>0</v>
      </c>
      <c r="M433" t="n">
        <v>0</v>
      </c>
      <c r="N433" t="n">
        <v>0</v>
      </c>
      <c r="O433" t="n">
        <v>0</v>
      </c>
      <c r="P433" t="n">
        <v>0</v>
      </c>
      <c r="Q433" t="n">
        <v>0</v>
      </c>
      <c r="R433" t="n">
        <v>0</v>
      </c>
      <c r="S433" t="n">
        <v>0</v>
      </c>
      <c r="T433" t="n">
        <v>0</v>
      </c>
      <c r="U433" s="2" t="inlineStr"/>
    </row>
    <row r="434" ht="15" customHeight="1">
      <c r="A434" t="inlineStr">
        <is>
          <t>A 24846-2026</t>
        </is>
      </c>
      <c r="B434" t="inlineStr">
        <is>
          <t>avverkningsanmälan</t>
        </is>
      </c>
      <c r="C434" t="inlineStr">
        <is>
          <t>Föryngringsavverkning</t>
        </is>
      </c>
      <c r="D434" s="1" t="n">
        <v>46174</v>
      </c>
      <c r="E434" s="1" t="n">
        <v>46216</v>
      </c>
      <c r="F434" t="inlineStr">
        <is>
          <t>VÄSTMANLANDS LÄN</t>
        </is>
      </c>
      <c r="G434" t="inlineStr">
        <is>
          <t>SALA</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14271-2025</t>
        </is>
      </c>
      <c r="B435" t="inlineStr">
        <is>
          <t>avverkningsanmälan</t>
        </is>
      </c>
      <c r="C435" t="inlineStr">
        <is>
          <t>Föryngringsavverkning</t>
        </is>
      </c>
      <c r="D435" s="1" t="n">
        <v>45740</v>
      </c>
      <c r="E435" s="1" t="n">
        <v>46216</v>
      </c>
      <c r="F435" t="inlineStr">
        <is>
          <t>VÄSTMANLANDS LÄN</t>
        </is>
      </c>
      <c r="G435" t="inlineStr">
        <is>
          <t>SALA</t>
        </is>
      </c>
      <c r="I435" t="n">
        <v>0.8</v>
      </c>
      <c r="J435" t="n">
        <v>0</v>
      </c>
      <c r="K435" t="n">
        <v>0</v>
      </c>
      <c r="L435" t="n">
        <v>0</v>
      </c>
      <c r="M435" t="n">
        <v>0</v>
      </c>
      <c r="N435" t="n">
        <v>0</v>
      </c>
      <c r="O435" t="n">
        <v>0</v>
      </c>
      <c r="P435" t="n">
        <v>0</v>
      </c>
      <c r="Q435" t="n">
        <v>0</v>
      </c>
      <c r="R435" t="n">
        <v>0</v>
      </c>
      <c r="S435" t="n">
        <v>0</v>
      </c>
      <c r="T435" t="n">
        <v>0</v>
      </c>
      <c r="U435" s="2" t="inlineStr"/>
    </row>
    <row r="436" ht="15" customHeight="1">
      <c r="A436" t="inlineStr">
        <is>
          <t>A 54199-2024</t>
        </is>
      </c>
      <c r="B436" t="inlineStr">
        <is>
          <t>avverkningsanmälan</t>
        </is>
      </c>
      <c r="C436" t="inlineStr">
        <is>
          <t>Föryngringsavverkning</t>
        </is>
      </c>
      <c r="D436" s="1" t="n">
        <v>45616</v>
      </c>
      <c r="E436" s="1" t="n">
        <v>46216</v>
      </c>
      <c r="F436" t="inlineStr">
        <is>
          <t>VÄSTMANLANDS LÄN</t>
        </is>
      </c>
      <c r="G436" t="inlineStr">
        <is>
          <t>SALA</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6312-2025</t>
        </is>
      </c>
      <c r="B437" t="inlineStr">
        <is>
          <t>avverkningsanmälan</t>
        </is>
      </c>
      <c r="C437" t="inlineStr">
        <is>
          <t>Föryngringsavverkning</t>
        </is>
      </c>
      <c r="D437" s="1" t="n">
        <v>45698</v>
      </c>
      <c r="E437" s="1" t="n">
        <v>46216</v>
      </c>
      <c r="F437" t="inlineStr">
        <is>
          <t>VÄSTMANLANDS LÄN</t>
        </is>
      </c>
      <c r="G437" t="inlineStr">
        <is>
          <t>SALA</t>
        </is>
      </c>
      <c r="I437" t="n">
        <v>1.2</v>
      </c>
      <c r="J437" t="n">
        <v>0</v>
      </c>
      <c r="K437" t="n">
        <v>0</v>
      </c>
      <c r="L437" t="n">
        <v>0</v>
      </c>
      <c r="M437" t="n">
        <v>0</v>
      </c>
      <c r="N437" t="n">
        <v>0</v>
      </c>
      <c r="O437" t="n">
        <v>0</v>
      </c>
      <c r="P437" t="n">
        <v>0</v>
      </c>
      <c r="Q437" t="n">
        <v>0</v>
      </c>
      <c r="R437" t="n">
        <v>0</v>
      </c>
      <c r="S437" t="n">
        <v>0</v>
      </c>
      <c r="T437" t="n">
        <v>0</v>
      </c>
      <c r="U437" s="2" t="inlineStr"/>
    </row>
    <row r="438" ht="15" customHeight="1">
      <c r="A438" t="inlineStr">
        <is>
          <t>A 44857-2023</t>
        </is>
      </c>
      <c r="B438" t="inlineStr">
        <is>
          <t>avverkningsanmälan</t>
        </is>
      </c>
      <c r="C438" t="inlineStr">
        <is>
          <t>Föryngringsavverkning</t>
        </is>
      </c>
      <c r="D438" s="1" t="n">
        <v>45190</v>
      </c>
      <c r="E438" s="1" t="n">
        <v>46216</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6132-2025</t>
        </is>
      </c>
      <c r="B439" t="inlineStr">
        <is>
          <t>avverkningsanmälan</t>
        </is>
      </c>
      <c r="C439" t="inlineStr">
        <is>
          <t>Föryngringsavverkning</t>
        </is>
      </c>
      <c r="D439" s="1" t="n">
        <v>45698</v>
      </c>
      <c r="E439" s="1" t="n">
        <v>46216</v>
      </c>
      <c r="F439" t="inlineStr">
        <is>
          <t>VÄSTMANLANDS LÄN</t>
        </is>
      </c>
      <c r="G439" t="inlineStr">
        <is>
          <t>SALA</t>
        </is>
      </c>
      <c r="H439" t="inlineStr">
        <is>
          <t>Bergvik skog öst AB</t>
        </is>
      </c>
      <c r="I439" t="n">
        <v>1.5</v>
      </c>
      <c r="J439" t="n">
        <v>0</v>
      </c>
      <c r="K439" t="n">
        <v>0</v>
      </c>
      <c r="L439" t="n">
        <v>0</v>
      </c>
      <c r="M439" t="n">
        <v>0</v>
      </c>
      <c r="N439" t="n">
        <v>0</v>
      </c>
      <c r="O439" t="n">
        <v>0</v>
      </c>
      <c r="P439" t="n">
        <v>0</v>
      </c>
      <c r="Q439" t="n">
        <v>0</v>
      </c>
      <c r="R439" t="n">
        <v>0</v>
      </c>
      <c r="S439" t="n">
        <v>0</v>
      </c>
      <c r="T439" t="n">
        <v>0</v>
      </c>
      <c r="U439" s="2" t="inlineStr"/>
    </row>
    <row r="440" ht="15" customHeight="1">
      <c r="A440" t="inlineStr">
        <is>
          <t>A 62654-2022</t>
        </is>
      </c>
      <c r="B440" t="inlineStr">
        <is>
          <t>avverkningsanmälan</t>
        </is>
      </c>
      <c r="C440" t="inlineStr">
        <is>
          <t>Föryngringsavverkning</t>
        </is>
      </c>
      <c r="D440" s="1" t="n">
        <v>44917</v>
      </c>
      <c r="E440" s="1" t="n">
        <v>46216</v>
      </c>
      <c r="F440" t="inlineStr">
        <is>
          <t>VÄSTMANLANDS LÄN</t>
        </is>
      </c>
      <c r="G440" t="inlineStr">
        <is>
          <t>SALA</t>
        </is>
      </c>
      <c r="I440" t="n">
        <v>0.5</v>
      </c>
      <c r="J440" t="n">
        <v>0</v>
      </c>
      <c r="K440" t="n">
        <v>0</v>
      </c>
      <c r="L440" t="n">
        <v>0</v>
      </c>
      <c r="M440" t="n">
        <v>0</v>
      </c>
      <c r="N440" t="n">
        <v>0</v>
      </c>
      <c r="O440" t="n">
        <v>0</v>
      </c>
      <c r="P440" t="n">
        <v>0</v>
      </c>
      <c r="Q440" t="n">
        <v>0</v>
      </c>
      <c r="R440" t="n">
        <v>0</v>
      </c>
      <c r="S440" t="n">
        <v>0</v>
      </c>
      <c r="T440" t="n">
        <v>0</v>
      </c>
      <c r="U440" s="2" t="inlineStr"/>
    </row>
    <row r="441" ht="15" customHeight="1">
      <c r="A441" t="inlineStr">
        <is>
          <t>A 43188-2023</t>
        </is>
      </c>
      <c r="B441" t="inlineStr">
        <is>
          <t>avverkningsanmälan</t>
        </is>
      </c>
      <c r="C441" t="inlineStr">
        <is>
          <t>Avverkning för annat ändamål</t>
        </is>
      </c>
      <c r="D441" s="1" t="n">
        <v>45183</v>
      </c>
      <c r="E441" s="1" t="n">
        <v>46216</v>
      </c>
      <c r="F441" t="inlineStr">
        <is>
          <t>VÄSTMANLANDS LÄN</t>
        </is>
      </c>
      <c r="G441" t="inlineStr">
        <is>
          <t>SALA</t>
        </is>
      </c>
      <c r="I441" t="n">
        <v>1.2</v>
      </c>
      <c r="J441" t="n">
        <v>0</v>
      </c>
      <c r="K441" t="n">
        <v>0</v>
      </c>
      <c r="L441" t="n">
        <v>0</v>
      </c>
      <c r="M441" t="n">
        <v>0</v>
      </c>
      <c r="N441" t="n">
        <v>0</v>
      </c>
      <c r="O441" t="n">
        <v>0</v>
      </c>
      <c r="P441" t="n">
        <v>0</v>
      </c>
      <c r="Q441" t="n">
        <v>0</v>
      </c>
      <c r="R441" t="n">
        <v>0</v>
      </c>
      <c r="S441" t="n">
        <v>0</v>
      </c>
      <c r="T441" t="n">
        <v>0</v>
      </c>
      <c r="U441" s="2" t="inlineStr"/>
    </row>
    <row r="442" ht="15" customHeight="1">
      <c r="A442" t="inlineStr">
        <is>
          <t>A 43205-2023</t>
        </is>
      </c>
      <c r="B442" t="inlineStr">
        <is>
          <t>avverkningsanmälan</t>
        </is>
      </c>
      <c r="C442" t="inlineStr">
        <is>
          <t>Föryngringsavverkning</t>
        </is>
      </c>
      <c r="D442" s="1" t="n">
        <v>45183</v>
      </c>
      <c r="E442" s="1" t="n">
        <v>46216</v>
      </c>
      <c r="F442" t="inlineStr">
        <is>
          <t>VÄSTMANLANDS LÄN</t>
        </is>
      </c>
      <c r="G442" t="inlineStr">
        <is>
          <t>SALA</t>
        </is>
      </c>
      <c r="I442" t="n">
        <v>2.1</v>
      </c>
      <c r="J442" t="n">
        <v>0</v>
      </c>
      <c r="K442" t="n">
        <v>0</v>
      </c>
      <c r="L442" t="n">
        <v>0</v>
      </c>
      <c r="M442" t="n">
        <v>0</v>
      </c>
      <c r="N442" t="n">
        <v>0</v>
      </c>
      <c r="O442" t="n">
        <v>0</v>
      </c>
      <c r="P442" t="n">
        <v>0</v>
      </c>
      <c r="Q442" t="n">
        <v>0</v>
      </c>
      <c r="R442" t="n">
        <v>0</v>
      </c>
      <c r="S442" t="n">
        <v>0</v>
      </c>
      <c r="T442" t="n">
        <v>0</v>
      </c>
      <c r="U442" s="2" t="inlineStr"/>
    </row>
    <row r="443" ht="15" customHeight="1">
      <c r="A443" t="inlineStr">
        <is>
          <t>A 61892-2021</t>
        </is>
      </c>
      <c r="B443" t="inlineStr">
        <is>
          <t>avverkningsanmälan</t>
        </is>
      </c>
      <c r="C443" t="inlineStr">
        <is>
          <t>Föryngringsavverkning</t>
        </is>
      </c>
      <c r="D443" s="1" t="n">
        <v>44502</v>
      </c>
      <c r="E443" s="1" t="n">
        <v>46216</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29213-2022</t>
        </is>
      </c>
      <c r="B444" t="inlineStr">
        <is>
          <t>avverkningsanmälan</t>
        </is>
      </c>
      <c r="C444" t="inlineStr">
        <is>
          <t>Föryngringsavverkning</t>
        </is>
      </c>
      <c r="D444" s="1" t="n">
        <v>44750</v>
      </c>
      <c r="E444" s="1" t="n">
        <v>46216</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59483-2022</t>
        </is>
      </c>
      <c r="B445" t="inlineStr">
        <is>
          <t>avverkningsanmälan</t>
        </is>
      </c>
      <c r="C445" t="inlineStr">
        <is>
          <t>Föryngringsavverkning</t>
        </is>
      </c>
      <c r="D445" s="1" t="n">
        <v>44907</v>
      </c>
      <c r="E445" s="1" t="n">
        <v>46216</v>
      </c>
      <c r="F445" t="inlineStr">
        <is>
          <t>VÄSTMANLANDS LÄN</t>
        </is>
      </c>
      <c r="G445" t="inlineStr">
        <is>
          <t>SALA</t>
        </is>
      </c>
      <c r="I445" t="n">
        <v>5.2</v>
      </c>
      <c r="J445" t="n">
        <v>0</v>
      </c>
      <c r="K445" t="n">
        <v>0</v>
      </c>
      <c r="L445" t="n">
        <v>0</v>
      </c>
      <c r="M445" t="n">
        <v>0</v>
      </c>
      <c r="N445" t="n">
        <v>0</v>
      </c>
      <c r="O445" t="n">
        <v>0</v>
      </c>
      <c r="P445" t="n">
        <v>0</v>
      </c>
      <c r="Q445" t="n">
        <v>0</v>
      </c>
      <c r="R445" t="n">
        <v>0</v>
      </c>
      <c r="S445" t="n">
        <v>0</v>
      </c>
      <c r="T445" t="n">
        <v>0</v>
      </c>
      <c r="U445" s="2" t="inlineStr"/>
    </row>
    <row r="446" ht="15" customHeight="1">
      <c r="A446" t="inlineStr">
        <is>
          <t>A 22921-2023</t>
        </is>
      </c>
      <c r="B446" t="inlineStr">
        <is>
          <t>avverkningsanmälan</t>
        </is>
      </c>
      <c r="C446" t="inlineStr">
        <is>
          <t>Föryngringsavverkning</t>
        </is>
      </c>
      <c r="D446" s="1" t="n">
        <v>45070</v>
      </c>
      <c r="E446" s="1" t="n">
        <v>46216</v>
      </c>
      <c r="F446" t="inlineStr">
        <is>
          <t>VÄSTMANLANDS LÄN</t>
        </is>
      </c>
      <c r="G446" t="inlineStr">
        <is>
          <t>SALA</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36858-2023</t>
        </is>
      </c>
      <c r="B447" t="inlineStr">
        <is>
          <t>avverkningsanmälan</t>
        </is>
      </c>
      <c r="C447" t="inlineStr">
        <is>
          <t>Föryngringsavverkning</t>
        </is>
      </c>
      <c r="D447" s="1" t="n">
        <v>45154</v>
      </c>
      <c r="E447" s="1" t="n">
        <v>46216</v>
      </c>
      <c r="F447" t="inlineStr">
        <is>
          <t>VÄSTMANLANDS LÄN</t>
        </is>
      </c>
      <c r="G447" t="inlineStr">
        <is>
          <t>SALA</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55024-2023</t>
        </is>
      </c>
      <c r="B448" t="inlineStr">
        <is>
          <t>avverkningsanmälan</t>
        </is>
      </c>
      <c r="C448" t="inlineStr">
        <is>
          <t>Föryngringsavverkning</t>
        </is>
      </c>
      <c r="D448" s="1" t="n">
        <v>45229</v>
      </c>
      <c r="E448" s="1" t="n">
        <v>46216</v>
      </c>
      <c r="F448" t="inlineStr">
        <is>
          <t>VÄSTMANLANDS LÄN</t>
        </is>
      </c>
      <c r="G448" t="inlineStr">
        <is>
          <t>SALA</t>
        </is>
      </c>
      <c r="I448" t="n">
        <v>0.9</v>
      </c>
      <c r="J448" t="n">
        <v>0</v>
      </c>
      <c r="K448" t="n">
        <v>0</v>
      </c>
      <c r="L448" t="n">
        <v>0</v>
      </c>
      <c r="M448" t="n">
        <v>0</v>
      </c>
      <c r="N448" t="n">
        <v>0</v>
      </c>
      <c r="O448" t="n">
        <v>0</v>
      </c>
      <c r="P448" t="n">
        <v>0</v>
      </c>
      <c r="Q448" t="n">
        <v>0</v>
      </c>
      <c r="R448" t="n">
        <v>0</v>
      </c>
      <c r="S448" t="n">
        <v>0</v>
      </c>
      <c r="T448" t="n">
        <v>0</v>
      </c>
      <c r="U448" s="2" t="inlineStr"/>
    </row>
    <row r="449" ht="15" customHeight="1">
      <c r="A449" t="inlineStr">
        <is>
          <t>A 55032-2023</t>
        </is>
      </c>
      <c r="B449" t="inlineStr">
        <is>
          <t>avverkningsanmälan</t>
        </is>
      </c>
      <c r="C449" t="inlineStr">
        <is>
          <t>Föryngringsavverkning</t>
        </is>
      </c>
      <c r="D449" s="1" t="n">
        <v>45229</v>
      </c>
      <c r="E449" s="1" t="n">
        <v>46216</v>
      </c>
      <c r="F449" t="inlineStr">
        <is>
          <t>VÄSTMANLANDS LÄN</t>
        </is>
      </c>
      <c r="G449" t="inlineStr">
        <is>
          <t>SALA</t>
        </is>
      </c>
      <c r="I449" t="n">
        <v>1.5</v>
      </c>
      <c r="J449" t="n">
        <v>0</v>
      </c>
      <c r="K449" t="n">
        <v>0</v>
      </c>
      <c r="L449" t="n">
        <v>0</v>
      </c>
      <c r="M449" t="n">
        <v>0</v>
      </c>
      <c r="N449" t="n">
        <v>0</v>
      </c>
      <c r="O449" t="n">
        <v>0</v>
      </c>
      <c r="P449" t="n">
        <v>0</v>
      </c>
      <c r="Q449" t="n">
        <v>0</v>
      </c>
      <c r="R449" t="n">
        <v>0</v>
      </c>
      <c r="S449" t="n">
        <v>0</v>
      </c>
      <c r="T449" t="n">
        <v>0</v>
      </c>
      <c r="U449" s="2" t="inlineStr"/>
    </row>
    <row r="450" ht="15" customHeight="1">
      <c r="A450" t="inlineStr">
        <is>
          <t>A 20352-2022</t>
        </is>
      </c>
      <c r="B450" t="inlineStr">
        <is>
          <t>avverkningsanmälan</t>
        </is>
      </c>
      <c r="C450" t="inlineStr">
        <is>
          <t>Föryngringsavverkning</t>
        </is>
      </c>
      <c r="D450" s="1" t="n">
        <v>44699</v>
      </c>
      <c r="E450" s="1" t="n">
        <v>46216</v>
      </c>
      <c r="F450" t="inlineStr">
        <is>
          <t>VÄSTMANLANDS LÄN</t>
        </is>
      </c>
      <c r="G450" t="inlineStr">
        <is>
          <t>SALA</t>
        </is>
      </c>
      <c r="I450" t="n">
        <v>1.3</v>
      </c>
      <c r="J450" t="n">
        <v>0</v>
      </c>
      <c r="K450" t="n">
        <v>0</v>
      </c>
      <c r="L450" t="n">
        <v>0</v>
      </c>
      <c r="M450" t="n">
        <v>0</v>
      </c>
      <c r="N450" t="n">
        <v>0</v>
      </c>
      <c r="O450" t="n">
        <v>0</v>
      </c>
      <c r="P450" t="n">
        <v>0</v>
      </c>
      <c r="Q450" t="n">
        <v>0</v>
      </c>
      <c r="R450" t="n">
        <v>0</v>
      </c>
      <c r="S450" t="n">
        <v>0</v>
      </c>
      <c r="T450" t="n">
        <v>0</v>
      </c>
      <c r="U450" s="2" t="inlineStr"/>
    </row>
    <row r="451" ht="15" customHeight="1">
      <c r="A451" t="inlineStr">
        <is>
          <t>A 17117-2023</t>
        </is>
      </c>
      <c r="B451" t="inlineStr">
        <is>
          <t>avverkningsanmälan</t>
        </is>
      </c>
      <c r="C451" t="inlineStr">
        <is>
          <t>Föryngringsavverkning</t>
        </is>
      </c>
      <c r="D451" s="1" t="n">
        <v>45034</v>
      </c>
      <c r="E451" s="1" t="n">
        <v>46216</v>
      </c>
      <c r="F451" t="inlineStr">
        <is>
          <t>VÄSTMANLANDS LÄN</t>
        </is>
      </c>
      <c r="G451" t="inlineStr">
        <is>
          <t>SALA</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A 39597-2022</t>
        </is>
      </c>
      <c r="B452" t="inlineStr">
        <is>
          <t>avverkningsanmälan</t>
        </is>
      </c>
      <c r="C452" t="inlineStr">
        <is>
          <t>Föryngringsavverkning</t>
        </is>
      </c>
      <c r="D452" s="1" t="n">
        <v>44818</v>
      </c>
      <c r="E452" s="1" t="n">
        <v>46216</v>
      </c>
      <c r="F452" t="inlineStr">
        <is>
          <t>VÄSTMANLANDS LÄN</t>
        </is>
      </c>
      <c r="G452" t="inlineStr">
        <is>
          <t>SALA</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39597-2022</t>
        </is>
      </c>
      <c r="B453" t="inlineStr">
        <is>
          <t>avverkningsanmälan</t>
        </is>
      </c>
      <c r="C453" t="inlineStr">
        <is>
          <t>Föryngringsavverkning</t>
        </is>
      </c>
      <c r="D453" s="1" t="n">
        <v>44818</v>
      </c>
      <c r="E453" s="1" t="n">
        <v>46216</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s="2" t="inlineStr"/>
    </row>
    <row r="454" ht="15" customHeight="1">
      <c r="A454" t="inlineStr">
        <is>
          <t>A 36393-2023</t>
        </is>
      </c>
      <c r="B454" t="inlineStr">
        <is>
          <t>avverkningsanmälan</t>
        </is>
      </c>
      <c r="C454" t="inlineStr">
        <is>
          <t>Föryngringsavverkning</t>
        </is>
      </c>
      <c r="D454" s="1" t="n">
        <v>45152</v>
      </c>
      <c r="E454" s="1" t="n">
        <v>46216</v>
      </c>
      <c r="F454" t="inlineStr">
        <is>
          <t>VÄSTMANLANDS LÄN</t>
        </is>
      </c>
      <c r="G454" t="inlineStr">
        <is>
          <t>SALA</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43129-2025</t>
        </is>
      </c>
      <c r="B455" t="inlineStr">
        <is>
          <t>avverkningsanmälan</t>
        </is>
      </c>
      <c r="C455" t="inlineStr">
        <is>
          <t>Föryngringsavverkning</t>
        </is>
      </c>
      <c r="D455" s="1" t="n">
        <v>45909</v>
      </c>
      <c r="E455" s="1" t="n">
        <v>46216</v>
      </c>
      <c r="F455" t="inlineStr">
        <is>
          <t>VÄSTMANLANDS LÄN</t>
        </is>
      </c>
      <c r="G455" t="inlineStr">
        <is>
          <t>SALA</t>
        </is>
      </c>
      <c r="I455" t="n">
        <v>2.4</v>
      </c>
      <c r="J455" t="n">
        <v>0</v>
      </c>
      <c r="K455" t="n">
        <v>0</v>
      </c>
      <c r="L455" t="n">
        <v>0</v>
      </c>
      <c r="M455" t="n">
        <v>0</v>
      </c>
      <c r="N455" t="n">
        <v>0</v>
      </c>
      <c r="O455" t="n">
        <v>0</v>
      </c>
      <c r="P455" t="n">
        <v>0</v>
      </c>
      <c r="Q455" t="n">
        <v>0</v>
      </c>
      <c r="R455" t="n">
        <v>0</v>
      </c>
      <c r="S455" t="n">
        <v>0</v>
      </c>
      <c r="T455" t="n">
        <v>0</v>
      </c>
      <c r="U455" s="2" t="inlineStr"/>
    </row>
    <row r="456" ht="15" customHeight="1">
      <c r="A456" t="inlineStr">
        <is>
          <t>A 40157-2021</t>
        </is>
      </c>
      <c r="B456" t="inlineStr">
        <is>
          <t>avverkningsanmälan</t>
        </is>
      </c>
      <c r="C456" t="inlineStr">
        <is>
          <t>Föryngringsavverkning</t>
        </is>
      </c>
      <c r="D456" s="1" t="n">
        <v>44418</v>
      </c>
      <c r="E456" s="1" t="n">
        <v>46216</v>
      </c>
      <c r="F456" t="inlineStr">
        <is>
          <t>VÄSTMANLANDS LÄN</t>
        </is>
      </c>
      <c r="G456" t="inlineStr">
        <is>
          <t>SALA</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27255-2023</t>
        </is>
      </c>
      <c r="B457" t="inlineStr">
        <is>
          <t>avverkningsanmälan</t>
        </is>
      </c>
      <c r="C457" t="inlineStr">
        <is>
          <t>Föryngringsavverkning</t>
        </is>
      </c>
      <c r="D457" s="1" t="n">
        <v>45096</v>
      </c>
      <c r="E457" s="1" t="n">
        <v>46216</v>
      </c>
      <c r="F457" t="inlineStr">
        <is>
          <t>VÄSTMANLANDS LÄN</t>
        </is>
      </c>
      <c r="G457" t="inlineStr">
        <is>
          <t>SALA</t>
        </is>
      </c>
      <c r="H457" t="inlineStr">
        <is>
          <t>Sveaskog</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7197-2025</t>
        </is>
      </c>
      <c r="B458" t="inlineStr">
        <is>
          <t>avverkningsanmälan</t>
        </is>
      </c>
      <c r="C458" t="inlineStr">
        <is>
          <t>Föryngringsavverkning</t>
        </is>
      </c>
      <c r="D458" s="1" t="n">
        <v>45702</v>
      </c>
      <c r="E458" s="1" t="n">
        <v>46216</v>
      </c>
      <c r="F458" t="inlineStr">
        <is>
          <t>VÄSTMANLANDS LÄN</t>
        </is>
      </c>
      <c r="G458" t="inlineStr">
        <is>
          <t>SALA</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13752-2025</t>
        </is>
      </c>
      <c r="B459" t="inlineStr">
        <is>
          <t>avverkningsanmälan</t>
        </is>
      </c>
      <c r="C459" t="inlineStr">
        <is>
          <t>Föryngringsavverkning</t>
        </is>
      </c>
      <c r="D459" s="1" t="n">
        <v>45737</v>
      </c>
      <c r="E459" s="1" t="n">
        <v>46216</v>
      </c>
      <c r="F459" t="inlineStr">
        <is>
          <t>VÄSTMANLANDS LÄN</t>
        </is>
      </c>
      <c r="G459" t="inlineStr">
        <is>
          <t>SALA</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2927-2024</t>
        </is>
      </c>
      <c r="B460" t="inlineStr">
        <is>
          <t>avverkningsanmälan</t>
        </is>
      </c>
      <c r="C460" t="inlineStr">
        <is>
          <t>Föryngringsavverkning</t>
        </is>
      </c>
      <c r="D460" s="1" t="n">
        <v>45315</v>
      </c>
      <c r="E460" s="1" t="n">
        <v>46216</v>
      </c>
      <c r="F460" t="inlineStr">
        <is>
          <t>VÄSTMANLANDS LÄN</t>
        </is>
      </c>
      <c r="G460" t="inlineStr">
        <is>
          <t>SALA</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26854-2024</t>
        </is>
      </c>
      <c r="B461" t="inlineStr">
        <is>
          <t>avverkningsanmälan</t>
        </is>
      </c>
      <c r="C461" t="inlineStr">
        <is>
          <t>Föryngringsavverkning</t>
        </is>
      </c>
      <c r="D461" s="1" t="n">
        <v>45470</v>
      </c>
      <c r="E461" s="1" t="n">
        <v>46216</v>
      </c>
      <c r="F461" t="inlineStr">
        <is>
          <t>VÄSTMANLANDS LÄN</t>
        </is>
      </c>
      <c r="G461" t="inlineStr">
        <is>
          <t>SALA</t>
        </is>
      </c>
      <c r="I461" t="n">
        <v>1.4</v>
      </c>
      <c r="J461" t="n">
        <v>0</v>
      </c>
      <c r="K461" t="n">
        <v>0</v>
      </c>
      <c r="L461" t="n">
        <v>0</v>
      </c>
      <c r="M461" t="n">
        <v>0</v>
      </c>
      <c r="N461" t="n">
        <v>0</v>
      </c>
      <c r="O461" t="n">
        <v>0</v>
      </c>
      <c r="P461" t="n">
        <v>0</v>
      </c>
      <c r="Q461" t="n">
        <v>0</v>
      </c>
      <c r="R461" t="n">
        <v>0</v>
      </c>
      <c r="S461" t="n">
        <v>0</v>
      </c>
      <c r="T461" t="n">
        <v>0</v>
      </c>
      <c r="U461" s="2" t="inlineStr"/>
    </row>
    <row r="462" ht="15" customHeight="1">
      <c r="A462" t="inlineStr">
        <is>
          <t>A 30866-2025</t>
        </is>
      </c>
      <c r="B462" t="inlineStr">
        <is>
          <t>avverkningsanmälan</t>
        </is>
      </c>
      <c r="C462" t="inlineStr">
        <is>
          <t>Föryngringsavverkning</t>
        </is>
      </c>
      <c r="D462" s="1" t="n">
        <v>45832</v>
      </c>
      <c r="E462" s="1" t="n">
        <v>46216</v>
      </c>
      <c r="F462" t="inlineStr">
        <is>
          <t>VÄSTMANLANDS LÄN</t>
        </is>
      </c>
      <c r="G462" t="inlineStr">
        <is>
          <t>SALA</t>
        </is>
      </c>
      <c r="I462" t="n">
        <v>14.3</v>
      </c>
      <c r="J462" t="n">
        <v>0</v>
      </c>
      <c r="K462" t="n">
        <v>0</v>
      </c>
      <c r="L462" t="n">
        <v>0</v>
      </c>
      <c r="M462" t="n">
        <v>0</v>
      </c>
      <c r="N462" t="n">
        <v>0</v>
      </c>
      <c r="O462" t="n">
        <v>0</v>
      </c>
      <c r="P462" t="n">
        <v>0</v>
      </c>
      <c r="Q462" t="n">
        <v>0</v>
      </c>
      <c r="R462" t="n">
        <v>0</v>
      </c>
      <c r="S462" t="n">
        <v>0</v>
      </c>
      <c r="T462" t="n">
        <v>0</v>
      </c>
      <c r="U462" s="2" t="inlineStr"/>
    </row>
    <row r="463" ht="15" customHeight="1">
      <c r="A463" t="inlineStr">
        <is>
          <t>A 43122-2025</t>
        </is>
      </c>
      <c r="B463" t="inlineStr">
        <is>
          <t>avverkningsanmälan</t>
        </is>
      </c>
      <c r="C463" t="inlineStr">
        <is>
          <t>Föryngringsavverkning</t>
        </is>
      </c>
      <c r="D463" s="1" t="n">
        <v>45909</v>
      </c>
      <c r="E463" s="1" t="n">
        <v>46216</v>
      </c>
      <c r="F463" t="inlineStr">
        <is>
          <t>VÄSTMANLANDS LÄN</t>
        </is>
      </c>
      <c r="G463" t="inlineStr">
        <is>
          <t>SALA</t>
        </is>
      </c>
      <c r="I463" t="n">
        <v>3.2</v>
      </c>
      <c r="J463" t="n">
        <v>0</v>
      </c>
      <c r="K463" t="n">
        <v>0</v>
      </c>
      <c r="L463" t="n">
        <v>0</v>
      </c>
      <c r="M463" t="n">
        <v>0</v>
      </c>
      <c r="N463" t="n">
        <v>0</v>
      </c>
      <c r="O463" t="n">
        <v>0</v>
      </c>
      <c r="P463" t="n">
        <v>0</v>
      </c>
      <c r="Q463" t="n">
        <v>0</v>
      </c>
      <c r="R463" t="n">
        <v>0</v>
      </c>
      <c r="S463" t="n">
        <v>0</v>
      </c>
      <c r="T463" t="n">
        <v>0</v>
      </c>
      <c r="U463" s="2" t="inlineStr"/>
    </row>
    <row r="464" ht="15" customHeight="1">
      <c r="A464" t="inlineStr">
        <is>
          <t>A 19304-2025</t>
        </is>
      </c>
      <c r="B464" t="inlineStr">
        <is>
          <t>avverkningsanmälan</t>
        </is>
      </c>
      <c r="C464" t="inlineStr">
        <is>
          <t>Föryngringsavverkning</t>
        </is>
      </c>
      <c r="D464" s="1" t="n">
        <v>45769</v>
      </c>
      <c r="E464" s="1" t="n">
        <v>46216</v>
      </c>
      <c r="F464" t="inlineStr">
        <is>
          <t>VÄSTMANLANDS LÄN</t>
        </is>
      </c>
      <c r="G464" t="inlineStr">
        <is>
          <t>SALA</t>
        </is>
      </c>
      <c r="H464" t="inlineStr">
        <is>
          <t>Bergvik skog öst AB</t>
        </is>
      </c>
      <c r="I464" t="n">
        <v>1.3</v>
      </c>
      <c r="J464" t="n">
        <v>0</v>
      </c>
      <c r="K464" t="n">
        <v>0</v>
      </c>
      <c r="L464" t="n">
        <v>0</v>
      </c>
      <c r="M464" t="n">
        <v>0</v>
      </c>
      <c r="N464" t="n">
        <v>0</v>
      </c>
      <c r="O464" t="n">
        <v>0</v>
      </c>
      <c r="P464" t="n">
        <v>0</v>
      </c>
      <c r="Q464" t="n">
        <v>0</v>
      </c>
      <c r="R464" t="n">
        <v>0</v>
      </c>
      <c r="S464" t="n">
        <v>0</v>
      </c>
      <c r="T464" t="n">
        <v>0</v>
      </c>
      <c r="U464" s="2" t="inlineStr"/>
    </row>
    <row r="465" ht="15" customHeight="1">
      <c r="A465" t="inlineStr">
        <is>
          <t>A 37103-2025</t>
        </is>
      </c>
      <c r="B465" t="inlineStr">
        <is>
          <t>avverkningsanmälan</t>
        </is>
      </c>
      <c r="C465" t="inlineStr">
        <is>
          <t>Föryngringsavverkning</t>
        </is>
      </c>
      <c r="D465" s="1" t="n">
        <v>45875</v>
      </c>
      <c r="E465" s="1" t="n">
        <v>46216</v>
      </c>
      <c r="F465" t="inlineStr">
        <is>
          <t>VÄSTMANLANDS LÄN</t>
        </is>
      </c>
      <c r="G465" t="inlineStr">
        <is>
          <t>SALA</t>
        </is>
      </c>
      <c r="I465" t="n">
        <v>1.9</v>
      </c>
      <c r="J465" t="n">
        <v>0</v>
      </c>
      <c r="K465" t="n">
        <v>0</v>
      </c>
      <c r="L465" t="n">
        <v>0</v>
      </c>
      <c r="M465" t="n">
        <v>0</v>
      </c>
      <c r="N465" t="n">
        <v>0</v>
      </c>
      <c r="O465" t="n">
        <v>0</v>
      </c>
      <c r="P465" t="n">
        <v>0</v>
      </c>
      <c r="Q465" t="n">
        <v>0</v>
      </c>
      <c r="R465" t="n">
        <v>0</v>
      </c>
      <c r="S465" t="n">
        <v>0</v>
      </c>
      <c r="T465" t="n">
        <v>0</v>
      </c>
      <c r="U465" s="2" t="inlineStr"/>
    </row>
    <row r="466" ht="15" customHeight="1">
      <c r="A466" t="inlineStr">
        <is>
          <t>A 57883-2024</t>
        </is>
      </c>
      <c r="B466" t="inlineStr">
        <is>
          <t>avverkningsanmälan</t>
        </is>
      </c>
      <c r="C466" t="inlineStr">
        <is>
          <t>Föryngringsavverkning</t>
        </is>
      </c>
      <c r="D466" s="1" t="n">
        <v>45630</v>
      </c>
      <c r="E466" s="1" t="n">
        <v>46216</v>
      </c>
      <c r="F466" t="inlineStr">
        <is>
          <t>VÄSTMANLANDS LÄN</t>
        </is>
      </c>
      <c r="G466" t="inlineStr">
        <is>
          <t>SALA</t>
        </is>
      </c>
      <c r="I466" t="n">
        <v>5.4</v>
      </c>
      <c r="J466" t="n">
        <v>0</v>
      </c>
      <c r="K466" t="n">
        <v>0</v>
      </c>
      <c r="L466" t="n">
        <v>0</v>
      </c>
      <c r="M466" t="n">
        <v>0</v>
      </c>
      <c r="N466" t="n">
        <v>0</v>
      </c>
      <c r="O466" t="n">
        <v>0</v>
      </c>
      <c r="P466" t="n">
        <v>0</v>
      </c>
      <c r="Q466" t="n">
        <v>0</v>
      </c>
      <c r="R466" t="n">
        <v>0</v>
      </c>
      <c r="S466" t="n">
        <v>0</v>
      </c>
      <c r="T466" t="n">
        <v>0</v>
      </c>
      <c r="U466" s="2" t="inlineStr"/>
    </row>
    <row r="467" ht="15" customHeight="1">
      <c r="A467" t="inlineStr">
        <is>
          <t>A 18877-2023</t>
        </is>
      </c>
      <c r="B467" t="inlineStr">
        <is>
          <t>avverkningsanmälan</t>
        </is>
      </c>
      <c r="C467" t="inlineStr">
        <is>
          <t>Föryngringsavverkning</t>
        </is>
      </c>
      <c r="D467" s="1" t="n">
        <v>45044</v>
      </c>
      <c r="E467" s="1" t="n">
        <v>46216</v>
      </c>
      <c r="F467" t="inlineStr">
        <is>
          <t>VÄSTMANLANDS LÄN</t>
        </is>
      </c>
      <c r="G467" t="inlineStr">
        <is>
          <t>SALA</t>
        </is>
      </c>
      <c r="H467" t="inlineStr">
        <is>
          <t>Kommuner</t>
        </is>
      </c>
      <c r="I467" t="n">
        <v>4.4</v>
      </c>
      <c r="J467" t="n">
        <v>0</v>
      </c>
      <c r="K467" t="n">
        <v>0</v>
      </c>
      <c r="L467" t="n">
        <v>0</v>
      </c>
      <c r="M467" t="n">
        <v>0</v>
      </c>
      <c r="N467" t="n">
        <v>0</v>
      </c>
      <c r="O467" t="n">
        <v>0</v>
      </c>
      <c r="P467" t="n">
        <v>0</v>
      </c>
      <c r="Q467" t="n">
        <v>0</v>
      </c>
      <c r="R467" t="n">
        <v>0</v>
      </c>
      <c r="S467" t="n">
        <v>0</v>
      </c>
      <c r="T467" t="n">
        <v>0</v>
      </c>
      <c r="U467" s="2" t="inlineStr"/>
    </row>
    <row r="468" ht="15" customHeight="1">
      <c r="A468" t="inlineStr">
        <is>
          <t>A 44544-2024</t>
        </is>
      </c>
      <c r="B468" t="inlineStr">
        <is>
          <t>avverkningsanmälan</t>
        </is>
      </c>
      <c r="C468" t="inlineStr">
        <is>
          <t>Föryngringsavverkning</t>
        </is>
      </c>
      <c r="D468" s="1" t="n">
        <v>45574</v>
      </c>
      <c r="E468" s="1" t="n">
        <v>46216</v>
      </c>
      <c r="F468" t="inlineStr">
        <is>
          <t>VÄSTMANLANDS LÄN</t>
        </is>
      </c>
      <c r="G468" t="inlineStr">
        <is>
          <t>SALA</t>
        </is>
      </c>
      <c r="I468" t="n">
        <v>3.3</v>
      </c>
      <c r="J468" t="n">
        <v>0</v>
      </c>
      <c r="K468" t="n">
        <v>0</v>
      </c>
      <c r="L468" t="n">
        <v>0</v>
      </c>
      <c r="M468" t="n">
        <v>0</v>
      </c>
      <c r="N468" t="n">
        <v>0</v>
      </c>
      <c r="O468" t="n">
        <v>0</v>
      </c>
      <c r="P468" t="n">
        <v>0</v>
      </c>
      <c r="Q468" t="n">
        <v>0</v>
      </c>
      <c r="R468" t="n">
        <v>0</v>
      </c>
      <c r="S468" t="n">
        <v>0</v>
      </c>
      <c r="T468" t="n">
        <v>0</v>
      </c>
      <c r="U468" s="2" t="inlineStr"/>
    </row>
    <row r="469" ht="15" customHeight="1">
      <c r="A469" t="inlineStr">
        <is>
          <t>A 60379-2022</t>
        </is>
      </c>
      <c r="B469" t="inlineStr">
        <is>
          <t>avverkningsanmälan</t>
        </is>
      </c>
      <c r="C469" t="inlineStr">
        <is>
          <t>Föryngringsavverkning</t>
        </is>
      </c>
      <c r="D469" s="1" t="n">
        <v>44910</v>
      </c>
      <c r="E469" s="1" t="n">
        <v>46216</v>
      </c>
      <c r="F469" t="inlineStr">
        <is>
          <t>VÄSTMANLANDS LÄN</t>
        </is>
      </c>
      <c r="G469" t="inlineStr">
        <is>
          <t>SALA</t>
        </is>
      </c>
      <c r="H469" t="inlineStr">
        <is>
          <t>Kyrkan</t>
        </is>
      </c>
      <c r="I469" t="n">
        <v>2.5</v>
      </c>
      <c r="J469" t="n">
        <v>0</v>
      </c>
      <c r="K469" t="n">
        <v>0</v>
      </c>
      <c r="L469" t="n">
        <v>0</v>
      </c>
      <c r="M469" t="n">
        <v>0</v>
      </c>
      <c r="N469" t="n">
        <v>0</v>
      </c>
      <c r="O469" t="n">
        <v>0</v>
      </c>
      <c r="P469" t="n">
        <v>0</v>
      </c>
      <c r="Q469" t="n">
        <v>0</v>
      </c>
      <c r="R469" t="n">
        <v>0</v>
      </c>
      <c r="S469" t="n">
        <v>0</v>
      </c>
      <c r="T469" t="n">
        <v>0</v>
      </c>
      <c r="U469" s="2" t="inlineStr"/>
    </row>
    <row r="470" ht="15" customHeight="1">
      <c r="A470" t="inlineStr">
        <is>
          <t>A 56547-2022</t>
        </is>
      </c>
      <c r="B470" t="inlineStr">
        <is>
          <t>avverkningsanmälan</t>
        </is>
      </c>
      <c r="C470" t="inlineStr">
        <is>
          <t>Föryngringsavverkning</t>
        </is>
      </c>
      <c r="D470" s="1" t="n">
        <v>44893</v>
      </c>
      <c r="E470" s="1" t="n">
        <v>46216</v>
      </c>
      <c r="F470" t="inlineStr">
        <is>
          <t>VÄSTMANLANDS LÄN</t>
        </is>
      </c>
      <c r="G470" t="inlineStr">
        <is>
          <t>SALA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29542-2023</t>
        </is>
      </c>
      <c r="B471" t="inlineStr">
        <is>
          <t>avverkningsanmälan</t>
        </is>
      </c>
      <c r="C471" t="inlineStr">
        <is>
          <t>Föryngringsavverkning</t>
        </is>
      </c>
      <c r="D471" s="1" t="n">
        <v>45098</v>
      </c>
      <c r="E471" s="1" t="n">
        <v>46216</v>
      </c>
      <c r="F471" t="inlineStr">
        <is>
          <t>VÄSTMANLANDS LÄN</t>
        </is>
      </c>
      <c r="G471" t="inlineStr">
        <is>
          <t>SALA</t>
        </is>
      </c>
      <c r="I471" t="n">
        <v>4.8</v>
      </c>
      <c r="J471" t="n">
        <v>0</v>
      </c>
      <c r="K471" t="n">
        <v>0</v>
      </c>
      <c r="L471" t="n">
        <v>0</v>
      </c>
      <c r="M471" t="n">
        <v>0</v>
      </c>
      <c r="N471" t="n">
        <v>0</v>
      </c>
      <c r="O471" t="n">
        <v>0</v>
      </c>
      <c r="P471" t="n">
        <v>0</v>
      </c>
      <c r="Q471" t="n">
        <v>0</v>
      </c>
      <c r="R471" t="n">
        <v>0</v>
      </c>
      <c r="S471" t="n">
        <v>0</v>
      </c>
      <c r="T471" t="n">
        <v>0</v>
      </c>
      <c r="U471" s="2" t="inlineStr"/>
    </row>
    <row r="472" ht="15" customHeight="1">
      <c r="A472" t="inlineStr">
        <is>
          <t>A 16638-2023</t>
        </is>
      </c>
      <c r="B472" t="inlineStr">
        <is>
          <t>avverkningsanmälan</t>
        </is>
      </c>
      <c r="C472" t="inlineStr">
        <is>
          <t>Föryngringsavverkning</t>
        </is>
      </c>
      <c r="D472" s="1" t="n">
        <v>45027</v>
      </c>
      <c r="E472" s="1" t="n">
        <v>46216</v>
      </c>
      <c r="F472" t="inlineStr">
        <is>
          <t>VÄSTMANLANDS LÄN</t>
        </is>
      </c>
      <c r="G472" t="inlineStr">
        <is>
          <t>SALA</t>
        </is>
      </c>
      <c r="I472" t="n">
        <v>14.8</v>
      </c>
      <c r="J472" t="n">
        <v>0</v>
      </c>
      <c r="K472" t="n">
        <v>0</v>
      </c>
      <c r="L472" t="n">
        <v>0</v>
      </c>
      <c r="M472" t="n">
        <v>0</v>
      </c>
      <c r="N472" t="n">
        <v>0</v>
      </c>
      <c r="O472" t="n">
        <v>0</v>
      </c>
      <c r="P472" t="n">
        <v>0</v>
      </c>
      <c r="Q472" t="n">
        <v>0</v>
      </c>
      <c r="R472" t="n">
        <v>0</v>
      </c>
      <c r="S472" t="n">
        <v>0</v>
      </c>
      <c r="T472" t="n">
        <v>0</v>
      </c>
      <c r="U472" s="2" t="inlineStr"/>
    </row>
    <row r="473" ht="15" customHeight="1">
      <c r="A473" t="inlineStr">
        <is>
          <t>A 37190-2024</t>
        </is>
      </c>
      <c r="B473" t="inlineStr">
        <is>
          <t>avverkningsanmälan</t>
        </is>
      </c>
      <c r="C473" t="inlineStr">
        <is>
          <t>Föryngringsavverkning</t>
        </is>
      </c>
      <c r="D473" s="1" t="n">
        <v>45539</v>
      </c>
      <c r="E473" s="1" t="n">
        <v>46216</v>
      </c>
      <c r="F473" t="inlineStr">
        <is>
          <t>VÄSTMANLANDS LÄN</t>
        </is>
      </c>
      <c r="G473" t="inlineStr">
        <is>
          <t>SALA</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23222-2023</t>
        </is>
      </c>
      <c r="B474" t="inlineStr">
        <is>
          <t>avverkningsanmälan</t>
        </is>
      </c>
      <c r="C474" t="inlineStr">
        <is>
          <t>Föryngringsavverkning</t>
        </is>
      </c>
      <c r="D474" s="1" t="n">
        <v>45075</v>
      </c>
      <c r="E474" s="1" t="n">
        <v>46216</v>
      </c>
      <c r="F474" t="inlineStr">
        <is>
          <t>VÄSTMANLANDS LÄN</t>
        </is>
      </c>
      <c r="G474" t="inlineStr">
        <is>
          <t>SALA</t>
        </is>
      </c>
      <c r="I474" t="n">
        <v>0.8</v>
      </c>
      <c r="J474" t="n">
        <v>0</v>
      </c>
      <c r="K474" t="n">
        <v>0</v>
      </c>
      <c r="L474" t="n">
        <v>0</v>
      </c>
      <c r="M474" t="n">
        <v>0</v>
      </c>
      <c r="N474" t="n">
        <v>0</v>
      </c>
      <c r="O474" t="n">
        <v>0</v>
      </c>
      <c r="P474" t="n">
        <v>0</v>
      </c>
      <c r="Q474" t="n">
        <v>0</v>
      </c>
      <c r="R474" t="n">
        <v>0</v>
      </c>
      <c r="S474" t="n">
        <v>0</v>
      </c>
      <c r="T474" t="n">
        <v>0</v>
      </c>
      <c r="U474" s="2" t="inlineStr"/>
    </row>
    <row r="475" ht="15" customHeight="1">
      <c r="A475" t="inlineStr">
        <is>
          <t>A 26419-2026</t>
        </is>
      </c>
      <c r="B475" t="inlineStr">
        <is>
          <t>avverkningsanmälan</t>
        </is>
      </c>
      <c r="C475" t="inlineStr">
        <is>
          <t>Föryngringsavverkning</t>
        </is>
      </c>
      <c r="D475" s="1" t="n">
        <v>46183</v>
      </c>
      <c r="E475" s="1" t="n">
        <v>46216</v>
      </c>
      <c r="F475" t="inlineStr">
        <is>
          <t>VÄSTMANLANDS LÄN</t>
        </is>
      </c>
      <c r="G475" t="inlineStr">
        <is>
          <t>SALA</t>
        </is>
      </c>
      <c r="I475" t="n">
        <v>3.4</v>
      </c>
      <c r="J475" t="n">
        <v>0</v>
      </c>
      <c r="K475" t="n">
        <v>0</v>
      </c>
      <c r="L475" t="n">
        <v>0</v>
      </c>
      <c r="M475" t="n">
        <v>0</v>
      </c>
      <c r="N475" t="n">
        <v>0</v>
      </c>
      <c r="O475" t="n">
        <v>0</v>
      </c>
      <c r="P475" t="n">
        <v>0</v>
      </c>
      <c r="Q475" t="n">
        <v>0</v>
      </c>
      <c r="R475" t="n">
        <v>0</v>
      </c>
      <c r="S475" t="n">
        <v>0</v>
      </c>
      <c r="T475" t="n">
        <v>0</v>
      </c>
      <c r="U475" s="2" t="inlineStr"/>
    </row>
    <row r="476" ht="15" customHeight="1">
      <c r="A476" t="inlineStr">
        <is>
          <t>A 28278-2025</t>
        </is>
      </c>
      <c r="B476" t="inlineStr">
        <is>
          <t>avverkningsanmälan</t>
        </is>
      </c>
      <c r="C476" t="inlineStr">
        <is>
          <t>Föryngringsavverkning</t>
        </is>
      </c>
      <c r="D476" s="1" t="n">
        <v>45818</v>
      </c>
      <c r="E476" s="1" t="n">
        <v>46216</v>
      </c>
      <c r="F476" t="inlineStr">
        <is>
          <t>VÄSTMANLANDS LÄN</t>
        </is>
      </c>
      <c r="G476" t="inlineStr">
        <is>
          <t>SALA</t>
        </is>
      </c>
      <c r="I476" t="n">
        <v>7.6</v>
      </c>
      <c r="J476" t="n">
        <v>0</v>
      </c>
      <c r="K476" t="n">
        <v>0</v>
      </c>
      <c r="L476" t="n">
        <v>0</v>
      </c>
      <c r="M476" t="n">
        <v>0</v>
      </c>
      <c r="N476" t="n">
        <v>0</v>
      </c>
      <c r="O476" t="n">
        <v>0</v>
      </c>
      <c r="P476" t="n">
        <v>0</v>
      </c>
      <c r="Q476" t="n">
        <v>0</v>
      </c>
      <c r="R476" t="n">
        <v>0</v>
      </c>
      <c r="S476" t="n">
        <v>0</v>
      </c>
      <c r="T476" t="n">
        <v>0</v>
      </c>
      <c r="U476" s="2" t="inlineStr"/>
    </row>
    <row r="477" ht="15" customHeight="1">
      <c r="A477" t="inlineStr">
        <is>
          <t>A 68864-2021</t>
        </is>
      </c>
      <c r="B477" t="inlineStr">
        <is>
          <t>avverkningsanmälan</t>
        </is>
      </c>
      <c r="C477" t="inlineStr">
        <is>
          <t>Föryngringsavverkning</t>
        </is>
      </c>
      <c r="D477" s="1" t="n">
        <v>44530</v>
      </c>
      <c r="E477" s="1" t="n">
        <v>46216</v>
      </c>
      <c r="F477" t="inlineStr">
        <is>
          <t>VÄSTMANLANDS LÄN</t>
        </is>
      </c>
      <c r="G477" t="inlineStr">
        <is>
          <t>SALA</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19065-2022</t>
        </is>
      </c>
      <c r="B478" t="inlineStr">
        <is>
          <t>avverkningsanmälan</t>
        </is>
      </c>
      <c r="C478" t="inlineStr">
        <is>
          <t>Föryngringsavverkning</t>
        </is>
      </c>
      <c r="D478" s="1" t="n">
        <v>44691</v>
      </c>
      <c r="E478" s="1" t="n">
        <v>46216</v>
      </c>
      <c r="F478" t="inlineStr">
        <is>
          <t>VÄSTMANLANDS LÄN</t>
        </is>
      </c>
      <c r="G478" t="inlineStr">
        <is>
          <t>SALA</t>
        </is>
      </c>
      <c r="I478" t="n">
        <v>3.4</v>
      </c>
      <c r="J478" t="n">
        <v>0</v>
      </c>
      <c r="K478" t="n">
        <v>0</v>
      </c>
      <c r="L478" t="n">
        <v>0</v>
      </c>
      <c r="M478" t="n">
        <v>0</v>
      </c>
      <c r="N478" t="n">
        <v>0</v>
      </c>
      <c r="O478" t="n">
        <v>0</v>
      </c>
      <c r="P478" t="n">
        <v>0</v>
      </c>
      <c r="Q478" t="n">
        <v>0</v>
      </c>
      <c r="R478" t="n">
        <v>0</v>
      </c>
      <c r="S478" t="n">
        <v>0</v>
      </c>
      <c r="T478" t="n">
        <v>0</v>
      </c>
      <c r="U478" s="2" t="inlineStr"/>
    </row>
    <row r="479" ht="15" customHeight="1">
      <c r="A479" t="inlineStr">
        <is>
          <t>A 37602-2024</t>
        </is>
      </c>
      <c r="B479" t="inlineStr">
        <is>
          <t>avverkningsanmälan</t>
        </is>
      </c>
      <c r="C479" t="inlineStr">
        <is>
          <t>Föryngringsavverkning</t>
        </is>
      </c>
      <c r="D479" s="1" t="n">
        <v>45541</v>
      </c>
      <c r="E479" s="1" t="n">
        <v>46216</v>
      </c>
      <c r="F479" t="inlineStr">
        <is>
          <t>VÄSTMANLANDS LÄN</t>
        </is>
      </c>
      <c r="G479" t="inlineStr">
        <is>
          <t>SALA</t>
        </is>
      </c>
      <c r="I479" t="n">
        <v>1.5</v>
      </c>
      <c r="J479" t="n">
        <v>0</v>
      </c>
      <c r="K479" t="n">
        <v>0</v>
      </c>
      <c r="L479" t="n">
        <v>0</v>
      </c>
      <c r="M479" t="n">
        <v>0</v>
      </c>
      <c r="N479" t="n">
        <v>0</v>
      </c>
      <c r="O479" t="n">
        <v>0</v>
      </c>
      <c r="P479" t="n">
        <v>0</v>
      </c>
      <c r="Q479" t="n">
        <v>0</v>
      </c>
      <c r="R479" t="n">
        <v>0</v>
      </c>
      <c r="S479" t="n">
        <v>0</v>
      </c>
      <c r="T479" t="n">
        <v>0</v>
      </c>
      <c r="U479" s="2" t="inlineStr"/>
    </row>
    <row r="480" ht="15" customHeight="1">
      <c r="A480" t="inlineStr">
        <is>
          <t>A 26414-2026</t>
        </is>
      </c>
      <c r="B480" t="inlineStr">
        <is>
          <t>avverkningsanmälan</t>
        </is>
      </c>
      <c r="C480" t="inlineStr">
        <is>
          <t>Föryngringsavverkning</t>
        </is>
      </c>
      <c r="D480" s="1" t="n">
        <v>46183</v>
      </c>
      <c r="E480" s="1" t="n">
        <v>46216</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18762-2024</t>
        </is>
      </c>
      <c r="B481" t="inlineStr">
        <is>
          <t>avverkningsanmälan</t>
        </is>
      </c>
      <c r="C481" t="inlineStr">
        <is>
          <t>Föryngringsavverkning</t>
        </is>
      </c>
      <c r="D481" s="1" t="n">
        <v>45426</v>
      </c>
      <c r="E481" s="1" t="n">
        <v>46216</v>
      </c>
      <c r="F481" t="inlineStr">
        <is>
          <t>VÄSTMANLANDS LÄN</t>
        </is>
      </c>
      <c r="G481" t="inlineStr">
        <is>
          <t>SALA</t>
        </is>
      </c>
      <c r="I481" t="n">
        <v>6.2</v>
      </c>
      <c r="J481" t="n">
        <v>0</v>
      </c>
      <c r="K481" t="n">
        <v>0</v>
      </c>
      <c r="L481" t="n">
        <v>0</v>
      </c>
      <c r="M481" t="n">
        <v>0</v>
      </c>
      <c r="N481" t="n">
        <v>0</v>
      </c>
      <c r="O481" t="n">
        <v>0</v>
      </c>
      <c r="P481" t="n">
        <v>0</v>
      </c>
      <c r="Q481" t="n">
        <v>0</v>
      </c>
      <c r="R481" t="n">
        <v>0</v>
      </c>
      <c r="S481" t="n">
        <v>0</v>
      </c>
      <c r="T481" t="n">
        <v>0</v>
      </c>
      <c r="U481" s="2" t="inlineStr"/>
    </row>
    <row r="482" ht="15" customHeight="1">
      <c r="A482" t="inlineStr">
        <is>
          <t>A 39011-2023</t>
        </is>
      </c>
      <c r="B482" t="inlineStr">
        <is>
          <t>avverkningsanmälan</t>
        </is>
      </c>
      <c r="C482" t="inlineStr">
        <is>
          <t>Föryngringsavverkning</t>
        </is>
      </c>
      <c r="D482" s="1" t="n">
        <v>45162</v>
      </c>
      <c r="E482" s="1" t="n">
        <v>46216</v>
      </c>
      <c r="F482" t="inlineStr">
        <is>
          <t>VÄSTMANLANDS LÄN</t>
        </is>
      </c>
      <c r="G482" t="inlineStr">
        <is>
          <t>SALA</t>
        </is>
      </c>
      <c r="I482" t="n">
        <v>1.6</v>
      </c>
      <c r="J482" t="n">
        <v>0</v>
      </c>
      <c r="K482" t="n">
        <v>0</v>
      </c>
      <c r="L482" t="n">
        <v>0</v>
      </c>
      <c r="M482" t="n">
        <v>0</v>
      </c>
      <c r="N482" t="n">
        <v>0</v>
      </c>
      <c r="O482" t="n">
        <v>0</v>
      </c>
      <c r="P482" t="n">
        <v>0</v>
      </c>
      <c r="Q482" t="n">
        <v>0</v>
      </c>
      <c r="R482" t="n">
        <v>0</v>
      </c>
      <c r="S482" t="n">
        <v>0</v>
      </c>
      <c r="T482" t="n">
        <v>0</v>
      </c>
      <c r="U482" s="2" t="inlineStr"/>
    </row>
    <row r="483" ht="15" customHeight="1">
      <c r="A483" t="inlineStr">
        <is>
          <t>A 46352-2023</t>
        </is>
      </c>
      <c r="B483" t="inlineStr">
        <is>
          <t>avverkningsanmälan</t>
        </is>
      </c>
      <c r="C483" t="inlineStr">
        <is>
          <t>Föryngringsavverkning</t>
        </is>
      </c>
      <c r="D483" s="1" t="n">
        <v>45192</v>
      </c>
      <c r="E483" s="1" t="n">
        <v>46216</v>
      </c>
      <c r="F483" t="inlineStr">
        <is>
          <t>VÄSTMANLANDS LÄN</t>
        </is>
      </c>
      <c r="G483" t="inlineStr">
        <is>
          <t>SALA</t>
        </is>
      </c>
      <c r="I483" t="n">
        <v>1.9</v>
      </c>
      <c r="J483" t="n">
        <v>0</v>
      </c>
      <c r="K483" t="n">
        <v>0</v>
      </c>
      <c r="L483" t="n">
        <v>0</v>
      </c>
      <c r="M483" t="n">
        <v>0</v>
      </c>
      <c r="N483" t="n">
        <v>0</v>
      </c>
      <c r="O483" t="n">
        <v>0</v>
      </c>
      <c r="P483" t="n">
        <v>0</v>
      </c>
      <c r="Q483" t="n">
        <v>0</v>
      </c>
      <c r="R483" t="n">
        <v>0</v>
      </c>
      <c r="S483" t="n">
        <v>0</v>
      </c>
      <c r="T483" t="n">
        <v>0</v>
      </c>
      <c r="U483" s="2" t="inlineStr"/>
    </row>
    <row r="484" ht="15" customHeight="1">
      <c r="A484" t="inlineStr">
        <is>
          <t>A 43751-2021</t>
        </is>
      </c>
      <c r="B484" t="inlineStr">
        <is>
          <t>avverkningsanmälan</t>
        </is>
      </c>
      <c r="C484" t="inlineStr">
        <is>
          <t>Föryngringsavverkning</t>
        </is>
      </c>
      <c r="D484" s="1" t="n">
        <v>44433</v>
      </c>
      <c r="E484" s="1" t="n">
        <v>46216</v>
      </c>
      <c r="F484" t="inlineStr">
        <is>
          <t>VÄSTMANLANDS LÄN</t>
        </is>
      </c>
      <c r="G484" t="inlineStr">
        <is>
          <t>SALA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1128-2025</t>
        </is>
      </c>
      <c r="B485" t="inlineStr">
        <is>
          <t>avverkningsanmälan</t>
        </is>
      </c>
      <c r="C485" t="inlineStr">
        <is>
          <t>Föryngringsavverkning</t>
        </is>
      </c>
      <c r="D485" s="1" t="n">
        <v>45666</v>
      </c>
      <c r="E485" s="1" t="n">
        <v>46216</v>
      </c>
      <c r="F485" t="inlineStr">
        <is>
          <t>VÄSTMANLANDS LÄN</t>
        </is>
      </c>
      <c r="G485" t="inlineStr">
        <is>
          <t>SALA</t>
        </is>
      </c>
      <c r="I485" t="n">
        <v>2.5</v>
      </c>
      <c r="J485" t="n">
        <v>0</v>
      </c>
      <c r="K485" t="n">
        <v>0</v>
      </c>
      <c r="L485" t="n">
        <v>0</v>
      </c>
      <c r="M485" t="n">
        <v>0</v>
      </c>
      <c r="N485" t="n">
        <v>0</v>
      </c>
      <c r="O485" t="n">
        <v>0</v>
      </c>
      <c r="P485" t="n">
        <v>0</v>
      </c>
      <c r="Q485" t="n">
        <v>0</v>
      </c>
      <c r="R485" t="n">
        <v>0</v>
      </c>
      <c r="S485" t="n">
        <v>0</v>
      </c>
      <c r="T485" t="n">
        <v>0</v>
      </c>
      <c r="U485" s="2" t="inlineStr"/>
    </row>
    <row r="486" ht="15" customHeight="1">
      <c r="A486" t="inlineStr">
        <is>
          <t>A 56540-2024</t>
        </is>
      </c>
      <c r="B486" t="inlineStr">
        <is>
          <t>avverkningsanmälan</t>
        </is>
      </c>
      <c r="C486" t="inlineStr">
        <is>
          <t>Föryngringsavverkning</t>
        </is>
      </c>
      <c r="D486" s="1" t="n">
        <v>45625</v>
      </c>
      <c r="E486" s="1" t="n">
        <v>46216</v>
      </c>
      <c r="F486" t="inlineStr">
        <is>
          <t>VÄSTMANLANDS LÄN</t>
        </is>
      </c>
      <c r="G486" t="inlineStr">
        <is>
          <t>SALA</t>
        </is>
      </c>
      <c r="I486" t="n">
        <v>1.8</v>
      </c>
      <c r="J486" t="n">
        <v>0</v>
      </c>
      <c r="K486" t="n">
        <v>0</v>
      </c>
      <c r="L486" t="n">
        <v>0</v>
      </c>
      <c r="M486" t="n">
        <v>0</v>
      </c>
      <c r="N486" t="n">
        <v>0</v>
      </c>
      <c r="O486" t="n">
        <v>0</v>
      </c>
      <c r="P486" t="n">
        <v>0</v>
      </c>
      <c r="Q486" t="n">
        <v>0</v>
      </c>
      <c r="R486" t="n">
        <v>0</v>
      </c>
      <c r="S486" t="n">
        <v>0</v>
      </c>
      <c r="T486" t="n">
        <v>0</v>
      </c>
      <c r="U486" s="2" t="inlineStr"/>
    </row>
    <row r="487" ht="15" customHeight="1">
      <c r="A487" t="inlineStr">
        <is>
          <t>A 6116-2023</t>
        </is>
      </c>
      <c r="B487" t="inlineStr">
        <is>
          <t>avverkningsanmälan</t>
        </is>
      </c>
      <c r="C487" t="inlineStr">
        <is>
          <t>Föryngringsavverkning</t>
        </is>
      </c>
      <c r="D487" s="1" t="n">
        <v>44964</v>
      </c>
      <c r="E487" s="1" t="n">
        <v>46216</v>
      </c>
      <c r="F487" t="inlineStr">
        <is>
          <t>VÄSTMANLANDS LÄN</t>
        </is>
      </c>
      <c r="G487" t="inlineStr">
        <is>
          <t>SALA</t>
        </is>
      </c>
      <c r="I487" t="n">
        <v>1.9</v>
      </c>
      <c r="J487" t="n">
        <v>0</v>
      </c>
      <c r="K487" t="n">
        <v>0</v>
      </c>
      <c r="L487" t="n">
        <v>0</v>
      </c>
      <c r="M487" t="n">
        <v>0</v>
      </c>
      <c r="N487" t="n">
        <v>0</v>
      </c>
      <c r="O487" t="n">
        <v>0</v>
      </c>
      <c r="P487" t="n">
        <v>0</v>
      </c>
      <c r="Q487" t="n">
        <v>0</v>
      </c>
      <c r="R487" t="n">
        <v>0</v>
      </c>
      <c r="S487" t="n">
        <v>0</v>
      </c>
      <c r="T487" t="n">
        <v>0</v>
      </c>
      <c r="U487" s="2" t="inlineStr"/>
    </row>
    <row r="488" ht="15" customHeight="1">
      <c r="A488" t="inlineStr">
        <is>
          <t>A 25860-2024</t>
        </is>
      </c>
      <c r="B488" t="inlineStr">
        <is>
          <t>avverkningsanmälan</t>
        </is>
      </c>
      <c r="C488" t="inlineStr">
        <is>
          <t>Föryngringsavverkning</t>
        </is>
      </c>
      <c r="D488" s="1" t="n">
        <v>45467</v>
      </c>
      <c r="E488" s="1" t="n">
        <v>46216</v>
      </c>
      <c r="F488" t="inlineStr">
        <is>
          <t>VÄSTMANLANDS LÄN</t>
        </is>
      </c>
      <c r="G488" t="inlineStr">
        <is>
          <t>SALA</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56916-2022</t>
        </is>
      </c>
      <c r="B489" t="inlineStr">
        <is>
          <t>avverkningsanmälan</t>
        </is>
      </c>
      <c r="C489" t="inlineStr">
        <is>
          <t>Föryngringsavverkning</t>
        </is>
      </c>
      <c r="D489" s="1" t="n">
        <v>44888</v>
      </c>
      <c r="E489" s="1" t="n">
        <v>46216</v>
      </c>
      <c r="F489" t="inlineStr">
        <is>
          <t>VÄSTMANLANDS LÄN</t>
        </is>
      </c>
      <c r="G489" t="inlineStr">
        <is>
          <t>SALA</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27431-2026</t>
        </is>
      </c>
      <c r="B490" t="inlineStr">
        <is>
          <t>avverkningsanmälan</t>
        </is>
      </c>
      <c r="C490" t="inlineStr">
        <is>
          <t>Föryngringsavverkning</t>
        </is>
      </c>
      <c r="D490" s="1" t="n">
        <v>46189</v>
      </c>
      <c r="E490" s="1" t="n">
        <v>46216</v>
      </c>
      <c r="F490" t="inlineStr">
        <is>
          <t>VÄSTMANLANDS LÄN</t>
        </is>
      </c>
      <c r="G490" t="inlineStr">
        <is>
          <t>SALA</t>
        </is>
      </c>
      <c r="I490" t="n">
        <v>1.4</v>
      </c>
      <c r="J490" t="n">
        <v>0</v>
      </c>
      <c r="K490" t="n">
        <v>0</v>
      </c>
      <c r="L490" t="n">
        <v>0</v>
      </c>
      <c r="M490" t="n">
        <v>0</v>
      </c>
      <c r="N490" t="n">
        <v>0</v>
      </c>
      <c r="O490" t="n">
        <v>0</v>
      </c>
      <c r="P490" t="n">
        <v>0</v>
      </c>
      <c r="Q490" t="n">
        <v>0</v>
      </c>
      <c r="R490" t="n">
        <v>0</v>
      </c>
      <c r="S490" t="n">
        <v>0</v>
      </c>
      <c r="T490" t="n">
        <v>0</v>
      </c>
      <c r="U490" s="2" t="inlineStr"/>
    </row>
    <row r="491" ht="15" customHeight="1">
      <c r="A491" t="inlineStr">
        <is>
          <t>A 71471-2021</t>
        </is>
      </c>
      <c r="B491" t="inlineStr">
        <is>
          <t>avverkningsanmälan</t>
        </is>
      </c>
      <c r="C491" t="inlineStr">
        <is>
          <t>Föryngringsavverkning</t>
        </is>
      </c>
      <c r="D491" s="1" t="n">
        <v>44540</v>
      </c>
      <c r="E491" s="1" t="n">
        <v>46216</v>
      </c>
      <c r="F491" t="inlineStr">
        <is>
          <t>VÄSTMANLANDS LÄN</t>
        </is>
      </c>
      <c r="G491" t="inlineStr">
        <is>
          <t>SALA</t>
        </is>
      </c>
      <c r="I491" t="n">
        <v>13</v>
      </c>
      <c r="J491" t="n">
        <v>0</v>
      </c>
      <c r="K491" t="n">
        <v>0</v>
      </c>
      <c r="L491" t="n">
        <v>0</v>
      </c>
      <c r="M491" t="n">
        <v>0</v>
      </c>
      <c r="N491" t="n">
        <v>0</v>
      </c>
      <c r="O491" t="n">
        <v>0</v>
      </c>
      <c r="P491" t="n">
        <v>0</v>
      </c>
      <c r="Q491" t="n">
        <v>0</v>
      </c>
      <c r="R491" t="n">
        <v>0</v>
      </c>
      <c r="S491" t="n">
        <v>0</v>
      </c>
      <c r="T491" t="n">
        <v>0</v>
      </c>
      <c r="U491" s="2" t="inlineStr"/>
    </row>
    <row r="492" ht="15" customHeight="1">
      <c r="A492" t="inlineStr">
        <is>
          <t>A 13987-2023</t>
        </is>
      </c>
      <c r="B492" t="inlineStr">
        <is>
          <t>avverkningsanmälan</t>
        </is>
      </c>
      <c r="C492" t="inlineStr">
        <is>
          <t>Föryngringsavverkning</t>
        </is>
      </c>
      <c r="D492" s="1" t="n">
        <v>45007</v>
      </c>
      <c r="E492" s="1" t="n">
        <v>46216</v>
      </c>
      <c r="F492" t="inlineStr">
        <is>
          <t>VÄSTMANLANDS LÄN</t>
        </is>
      </c>
      <c r="G492" t="inlineStr">
        <is>
          <t>SALA</t>
        </is>
      </c>
      <c r="I492" t="n">
        <v>3.2</v>
      </c>
      <c r="J492" t="n">
        <v>0</v>
      </c>
      <c r="K492" t="n">
        <v>0</v>
      </c>
      <c r="L492" t="n">
        <v>0</v>
      </c>
      <c r="M492" t="n">
        <v>0</v>
      </c>
      <c r="N492" t="n">
        <v>0</v>
      </c>
      <c r="O492" t="n">
        <v>0</v>
      </c>
      <c r="P492" t="n">
        <v>0</v>
      </c>
      <c r="Q492" t="n">
        <v>0</v>
      </c>
      <c r="R492" t="n">
        <v>0</v>
      </c>
      <c r="S492" t="n">
        <v>0</v>
      </c>
      <c r="T492" t="n">
        <v>0</v>
      </c>
      <c r="U492" s="2" t="inlineStr"/>
    </row>
    <row r="493" ht="15" customHeight="1">
      <c r="A493" t="inlineStr">
        <is>
          <t>A 13990-2023</t>
        </is>
      </c>
      <c r="B493" t="inlineStr">
        <is>
          <t>avverkningsanmälan</t>
        </is>
      </c>
      <c r="C493" t="inlineStr">
        <is>
          <t>Föryngringsavverkning</t>
        </is>
      </c>
      <c r="D493" s="1" t="n">
        <v>45007</v>
      </c>
      <c r="E493" s="1" t="n">
        <v>46216</v>
      </c>
      <c r="F493" t="inlineStr">
        <is>
          <t>VÄSTMANLANDS LÄN</t>
        </is>
      </c>
      <c r="G493" t="inlineStr">
        <is>
          <t>SALA</t>
        </is>
      </c>
      <c r="I493" t="n">
        <v>2.6</v>
      </c>
      <c r="J493" t="n">
        <v>0</v>
      </c>
      <c r="K493" t="n">
        <v>0</v>
      </c>
      <c r="L493" t="n">
        <v>0</v>
      </c>
      <c r="M493" t="n">
        <v>0</v>
      </c>
      <c r="N493" t="n">
        <v>0</v>
      </c>
      <c r="O493" t="n">
        <v>0</v>
      </c>
      <c r="P493" t="n">
        <v>0</v>
      </c>
      <c r="Q493" t="n">
        <v>0</v>
      </c>
      <c r="R493" t="n">
        <v>0</v>
      </c>
      <c r="S493" t="n">
        <v>0</v>
      </c>
      <c r="T493" t="n">
        <v>0</v>
      </c>
      <c r="U493" s="2" t="inlineStr"/>
    </row>
    <row r="494" ht="15" customHeight="1">
      <c r="A494" t="inlineStr">
        <is>
          <t>A 1993-2022</t>
        </is>
      </c>
      <c r="B494" t="inlineStr">
        <is>
          <t>avverkningsanmälan</t>
        </is>
      </c>
      <c r="C494" t="inlineStr">
        <is>
          <t>Föryngringsavverkning</t>
        </is>
      </c>
      <c r="D494" s="1" t="n">
        <v>44575</v>
      </c>
      <c r="E494" s="1" t="n">
        <v>46216</v>
      </c>
      <c r="F494" t="inlineStr">
        <is>
          <t>VÄSTMANLANDS LÄN</t>
        </is>
      </c>
      <c r="G494" t="inlineStr">
        <is>
          <t>SALA</t>
        </is>
      </c>
      <c r="I494" t="n">
        <v>1.6</v>
      </c>
      <c r="J494" t="n">
        <v>0</v>
      </c>
      <c r="K494" t="n">
        <v>0</v>
      </c>
      <c r="L494" t="n">
        <v>0</v>
      </c>
      <c r="M494" t="n">
        <v>0</v>
      </c>
      <c r="N494" t="n">
        <v>0</v>
      </c>
      <c r="O494" t="n">
        <v>0</v>
      </c>
      <c r="P494" t="n">
        <v>0</v>
      </c>
      <c r="Q494" t="n">
        <v>0</v>
      </c>
      <c r="R494" t="n">
        <v>0</v>
      </c>
      <c r="S494" t="n">
        <v>0</v>
      </c>
      <c r="T494" t="n">
        <v>0</v>
      </c>
      <c r="U494" s="2" t="inlineStr"/>
    </row>
    <row r="495" ht="15" customHeight="1">
      <c r="A495" t="inlineStr">
        <is>
          <t>A 43509-2021</t>
        </is>
      </c>
      <c r="B495" t="inlineStr">
        <is>
          <t>avverkningsanmälan</t>
        </is>
      </c>
      <c r="C495" t="inlineStr">
        <is>
          <t>Avverkning för annat ändamål</t>
        </is>
      </c>
      <c r="D495" s="1" t="n">
        <v>44433</v>
      </c>
      <c r="E495" s="1" t="n">
        <v>46216</v>
      </c>
      <c r="F495" t="inlineStr">
        <is>
          <t>VÄSTMANLANDS LÄN</t>
        </is>
      </c>
      <c r="G495" t="inlineStr">
        <is>
          <t>SALA</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A 54959-2024</t>
        </is>
      </c>
      <c r="B496" t="inlineStr">
        <is>
          <t>avverkningsanmälan</t>
        </is>
      </c>
      <c r="C496" t="inlineStr">
        <is>
          <t>Föryngringsavverkning</t>
        </is>
      </c>
      <c r="D496" s="1" t="n">
        <v>45619</v>
      </c>
      <c r="E496" s="1" t="n">
        <v>46216</v>
      </c>
      <c r="F496" t="inlineStr">
        <is>
          <t>VÄSTMANLANDS LÄN</t>
        </is>
      </c>
      <c r="G496" t="inlineStr">
        <is>
          <t>SALA</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10579-2022</t>
        </is>
      </c>
      <c r="B497" t="inlineStr">
        <is>
          <t>avverkningsanmälan</t>
        </is>
      </c>
      <c r="C497" t="inlineStr">
        <is>
          <t>Föryngringsavverkning</t>
        </is>
      </c>
      <c r="D497" s="1" t="n">
        <v>44624</v>
      </c>
      <c r="E497" s="1" t="n">
        <v>46216</v>
      </c>
      <c r="F497" t="inlineStr">
        <is>
          <t>VÄSTMANLANDS LÄN</t>
        </is>
      </c>
      <c r="G497" t="inlineStr">
        <is>
          <t>SALA</t>
        </is>
      </c>
      <c r="I497" t="n">
        <v>1</v>
      </c>
      <c r="J497" t="n">
        <v>0</v>
      </c>
      <c r="K497" t="n">
        <v>0</v>
      </c>
      <c r="L497" t="n">
        <v>0</v>
      </c>
      <c r="M497" t="n">
        <v>0</v>
      </c>
      <c r="N497" t="n">
        <v>0</v>
      </c>
      <c r="O497" t="n">
        <v>0</v>
      </c>
      <c r="P497" t="n">
        <v>0</v>
      </c>
      <c r="Q497" t="n">
        <v>0</v>
      </c>
      <c r="R497" t="n">
        <v>0</v>
      </c>
      <c r="S497" t="n">
        <v>0</v>
      </c>
      <c r="T497" t="n">
        <v>0</v>
      </c>
      <c r="U497" s="2" t="inlineStr"/>
    </row>
    <row r="498" ht="15" customHeight="1">
      <c r="A498" t="inlineStr">
        <is>
          <t>A 9335-2022</t>
        </is>
      </c>
      <c r="B498" t="inlineStr">
        <is>
          <t>avverkningsanmälan</t>
        </is>
      </c>
      <c r="C498" t="inlineStr">
        <is>
          <t>Föryngringsavverkning</t>
        </is>
      </c>
      <c r="D498" s="1" t="n">
        <v>44616</v>
      </c>
      <c r="E498" s="1" t="n">
        <v>46216</v>
      </c>
      <c r="F498" t="inlineStr">
        <is>
          <t>VÄSTMANLANDS LÄN</t>
        </is>
      </c>
      <c r="G498" t="inlineStr">
        <is>
          <t>SALA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23119-2022</t>
        </is>
      </c>
      <c r="B499" t="inlineStr">
        <is>
          <t>avverkningsanmälan</t>
        </is>
      </c>
      <c r="C499" t="inlineStr">
        <is>
          <t>Föryngringsavverkning</t>
        </is>
      </c>
      <c r="D499" s="1" t="n">
        <v>44719</v>
      </c>
      <c r="E499" s="1" t="n">
        <v>46216</v>
      </c>
      <c r="F499" t="inlineStr">
        <is>
          <t>VÄSTMANLANDS LÄN</t>
        </is>
      </c>
      <c r="G499" t="inlineStr">
        <is>
          <t>SALA</t>
        </is>
      </c>
      <c r="I499" t="n">
        <v>7</v>
      </c>
      <c r="J499" t="n">
        <v>0</v>
      </c>
      <c r="K499" t="n">
        <v>0</v>
      </c>
      <c r="L499" t="n">
        <v>0</v>
      </c>
      <c r="M499" t="n">
        <v>0</v>
      </c>
      <c r="N499" t="n">
        <v>0</v>
      </c>
      <c r="O499" t="n">
        <v>0</v>
      </c>
      <c r="P499" t="n">
        <v>0</v>
      </c>
      <c r="Q499" t="n">
        <v>0</v>
      </c>
      <c r="R499" t="n">
        <v>0</v>
      </c>
      <c r="S499" t="n">
        <v>0</v>
      </c>
      <c r="T499" t="n">
        <v>0</v>
      </c>
      <c r="U499" s="2" t="inlineStr"/>
    </row>
    <row r="500" ht="15" customHeight="1">
      <c r="A500" t="inlineStr">
        <is>
          <t>A 52503-2024</t>
        </is>
      </c>
      <c r="B500" t="inlineStr">
        <is>
          <t>avverkningsanmälan</t>
        </is>
      </c>
      <c r="C500" t="inlineStr">
        <is>
          <t>Föryngringsavverkning</t>
        </is>
      </c>
      <c r="D500" s="1" t="n">
        <v>45609</v>
      </c>
      <c r="E500" s="1" t="n">
        <v>46216</v>
      </c>
      <c r="F500" t="inlineStr">
        <is>
          <t>VÄSTMANLANDS LÄN</t>
        </is>
      </c>
      <c r="G500" t="inlineStr">
        <is>
          <t>SALA</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21435-2026</t>
        </is>
      </c>
      <c r="B501" t="inlineStr">
        <is>
          <t>avverkningsanmälan</t>
        </is>
      </c>
      <c r="C501" t="inlineStr">
        <is>
          <t>Föryngringsavverkning</t>
        </is>
      </c>
      <c r="D501" s="1" t="n">
        <v>46148</v>
      </c>
      <c r="E501" s="1" t="n">
        <v>46216</v>
      </c>
      <c r="F501" t="inlineStr">
        <is>
          <t>VÄSTMANLANDS LÄN</t>
        </is>
      </c>
      <c r="G501" t="inlineStr">
        <is>
          <t>SALA</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7953-2024</t>
        </is>
      </c>
      <c r="B502" t="inlineStr">
        <is>
          <t>avverkningsanmälan</t>
        </is>
      </c>
      <c r="C502" t="inlineStr">
        <is>
          <t>Föryngringsavverkning</t>
        </is>
      </c>
      <c r="D502" s="1" t="n">
        <v>45350</v>
      </c>
      <c r="E502" s="1" t="n">
        <v>46216</v>
      </c>
      <c r="F502" t="inlineStr">
        <is>
          <t>VÄSTMANLANDS LÄN</t>
        </is>
      </c>
      <c r="G502" t="inlineStr">
        <is>
          <t>SALA</t>
        </is>
      </c>
      <c r="I502" t="n">
        <v>2.6</v>
      </c>
      <c r="J502" t="n">
        <v>0</v>
      </c>
      <c r="K502" t="n">
        <v>0</v>
      </c>
      <c r="L502" t="n">
        <v>0</v>
      </c>
      <c r="M502" t="n">
        <v>0</v>
      </c>
      <c r="N502" t="n">
        <v>0</v>
      </c>
      <c r="O502" t="n">
        <v>0</v>
      </c>
      <c r="P502" t="n">
        <v>0</v>
      </c>
      <c r="Q502" t="n">
        <v>0</v>
      </c>
      <c r="R502" t="n">
        <v>0</v>
      </c>
      <c r="S502" t="n">
        <v>0</v>
      </c>
      <c r="T502" t="n">
        <v>0</v>
      </c>
      <c r="U502" s="2" t="inlineStr"/>
    </row>
    <row r="503" ht="15" customHeight="1">
      <c r="A503" t="inlineStr">
        <is>
          <t>A 27657-2023</t>
        </is>
      </c>
      <c r="B503" t="inlineStr">
        <is>
          <t>avverkningsanmälan</t>
        </is>
      </c>
      <c r="C503" t="inlineStr">
        <is>
          <t>Föryngringsavverkning</t>
        </is>
      </c>
      <c r="D503" s="1" t="n">
        <v>45097</v>
      </c>
      <c r="E503" s="1" t="n">
        <v>46216</v>
      </c>
      <c r="F503" t="inlineStr">
        <is>
          <t>VÄSTMANLANDS LÄN</t>
        </is>
      </c>
      <c r="G503" t="inlineStr">
        <is>
          <t>SALA</t>
        </is>
      </c>
      <c r="I503" t="n">
        <v>0.1</v>
      </c>
      <c r="J503" t="n">
        <v>0</v>
      </c>
      <c r="K503" t="n">
        <v>0</v>
      </c>
      <c r="L503" t="n">
        <v>0</v>
      </c>
      <c r="M503" t="n">
        <v>0</v>
      </c>
      <c r="N503" t="n">
        <v>0</v>
      </c>
      <c r="O503" t="n">
        <v>0</v>
      </c>
      <c r="P503" t="n">
        <v>0</v>
      </c>
      <c r="Q503" t="n">
        <v>0</v>
      </c>
      <c r="R503" t="n">
        <v>0</v>
      </c>
      <c r="S503" t="n">
        <v>0</v>
      </c>
      <c r="T503" t="n">
        <v>0</v>
      </c>
      <c r="U503" s="2" t="inlineStr"/>
    </row>
    <row r="504" ht="15" customHeight="1">
      <c r="A504" t="inlineStr">
        <is>
          <t>A 13855-2023</t>
        </is>
      </c>
      <c r="B504" t="inlineStr">
        <is>
          <t>avverkningsanmälan</t>
        </is>
      </c>
      <c r="C504" t="inlineStr">
        <is>
          <t>Föryngringsavverkning</t>
        </is>
      </c>
      <c r="D504" s="1" t="n">
        <v>45007</v>
      </c>
      <c r="E504" s="1" t="n">
        <v>46216</v>
      </c>
      <c r="F504" t="inlineStr">
        <is>
          <t>VÄSTMANLANDS LÄN</t>
        </is>
      </c>
      <c r="G504" t="inlineStr">
        <is>
          <t>SALA</t>
        </is>
      </c>
      <c r="I504" t="n">
        <v>2.9</v>
      </c>
      <c r="J504" t="n">
        <v>0</v>
      </c>
      <c r="K504" t="n">
        <v>0</v>
      </c>
      <c r="L504" t="n">
        <v>0</v>
      </c>
      <c r="M504" t="n">
        <v>0</v>
      </c>
      <c r="N504" t="n">
        <v>0</v>
      </c>
      <c r="O504" t="n">
        <v>0</v>
      </c>
      <c r="P504" t="n">
        <v>0</v>
      </c>
      <c r="Q504" t="n">
        <v>0</v>
      </c>
      <c r="R504" t="n">
        <v>0</v>
      </c>
      <c r="S504" t="n">
        <v>0</v>
      </c>
      <c r="T504" t="n">
        <v>0</v>
      </c>
      <c r="U504" s="2" t="inlineStr"/>
    </row>
    <row r="505" ht="15" customHeight="1">
      <c r="A505" t="inlineStr">
        <is>
          <t>A 33309-2022</t>
        </is>
      </c>
      <c r="B505" t="inlineStr">
        <is>
          <t>avverkningsanmälan</t>
        </is>
      </c>
      <c r="C505" t="inlineStr">
        <is>
          <t>Föryngringsavverkning</t>
        </is>
      </c>
      <c r="D505" s="1" t="n">
        <v>44788</v>
      </c>
      <c r="E505" s="1" t="n">
        <v>46216</v>
      </c>
      <c r="F505" t="inlineStr">
        <is>
          <t>VÄSTMANLANDS LÄN</t>
        </is>
      </c>
      <c r="G505" t="inlineStr">
        <is>
          <t>SALA</t>
        </is>
      </c>
      <c r="I505" t="n">
        <v>2.6</v>
      </c>
      <c r="J505" t="n">
        <v>0</v>
      </c>
      <c r="K505" t="n">
        <v>0</v>
      </c>
      <c r="L505" t="n">
        <v>0</v>
      </c>
      <c r="M505" t="n">
        <v>0</v>
      </c>
      <c r="N505" t="n">
        <v>0</v>
      </c>
      <c r="O505" t="n">
        <v>0</v>
      </c>
      <c r="P505" t="n">
        <v>0</v>
      </c>
      <c r="Q505" t="n">
        <v>0</v>
      </c>
      <c r="R505" t="n">
        <v>0</v>
      </c>
      <c r="S505" t="n">
        <v>0</v>
      </c>
      <c r="T505" t="n">
        <v>0</v>
      </c>
      <c r="U505" s="2" t="inlineStr"/>
    </row>
    <row r="506" ht="15" customHeight="1">
      <c r="A506" t="inlineStr">
        <is>
          <t>A 47909-2022</t>
        </is>
      </c>
      <c r="B506" t="inlineStr">
        <is>
          <t>avverkningsanmälan</t>
        </is>
      </c>
      <c r="C506" t="inlineStr">
        <is>
          <t>Föryngringsavverkning</t>
        </is>
      </c>
      <c r="D506" s="1" t="n">
        <v>44855</v>
      </c>
      <c r="E506" s="1" t="n">
        <v>46216</v>
      </c>
      <c r="F506" t="inlineStr">
        <is>
          <t>VÄSTMANLANDS LÄN</t>
        </is>
      </c>
      <c r="G506" t="inlineStr">
        <is>
          <t>SALA</t>
        </is>
      </c>
      <c r="H506" t="inlineStr">
        <is>
          <t>Bergvik skog öst AB</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11183-2023</t>
        </is>
      </c>
      <c r="B507" t="inlineStr">
        <is>
          <t>avverkningsanmälan</t>
        </is>
      </c>
      <c r="C507" t="inlineStr">
        <is>
          <t>Föryngringsavverkning</t>
        </is>
      </c>
      <c r="D507" s="1" t="n">
        <v>44992</v>
      </c>
      <c r="E507" s="1" t="n">
        <v>46216</v>
      </c>
      <c r="F507" t="inlineStr">
        <is>
          <t>VÄSTMANLANDS LÄN</t>
        </is>
      </c>
      <c r="G507" t="inlineStr">
        <is>
          <t>SALA</t>
        </is>
      </c>
      <c r="I507" t="n">
        <v>0.9</v>
      </c>
      <c r="J507" t="n">
        <v>0</v>
      </c>
      <c r="K507" t="n">
        <v>0</v>
      </c>
      <c r="L507" t="n">
        <v>0</v>
      </c>
      <c r="M507" t="n">
        <v>0</v>
      </c>
      <c r="N507" t="n">
        <v>0</v>
      </c>
      <c r="O507" t="n">
        <v>0</v>
      </c>
      <c r="P507" t="n">
        <v>0</v>
      </c>
      <c r="Q507" t="n">
        <v>0</v>
      </c>
      <c r="R507" t="n">
        <v>0</v>
      </c>
      <c r="S507" t="n">
        <v>0</v>
      </c>
      <c r="T507" t="n">
        <v>0</v>
      </c>
      <c r="U507" s="2" t="inlineStr"/>
    </row>
    <row r="508" ht="15" customHeight="1">
      <c r="A508" t="inlineStr">
        <is>
          <t>A 11190-2023</t>
        </is>
      </c>
      <c r="B508" t="inlineStr">
        <is>
          <t>avverkningsanmälan</t>
        </is>
      </c>
      <c r="C508" t="inlineStr">
        <is>
          <t>Föryngringsavverkning</t>
        </is>
      </c>
      <c r="D508" s="1" t="n">
        <v>44992</v>
      </c>
      <c r="E508" s="1" t="n">
        <v>46216</v>
      </c>
      <c r="F508" t="inlineStr">
        <is>
          <t>VÄSTMANLANDS LÄN</t>
        </is>
      </c>
      <c r="G508" t="inlineStr">
        <is>
          <t>SALA</t>
        </is>
      </c>
      <c r="I508" t="n">
        <v>1</v>
      </c>
      <c r="J508" t="n">
        <v>0</v>
      </c>
      <c r="K508" t="n">
        <v>0</v>
      </c>
      <c r="L508" t="n">
        <v>0</v>
      </c>
      <c r="M508" t="n">
        <v>0</v>
      </c>
      <c r="N508" t="n">
        <v>0</v>
      </c>
      <c r="O508" t="n">
        <v>0</v>
      </c>
      <c r="P508" t="n">
        <v>0</v>
      </c>
      <c r="Q508" t="n">
        <v>0</v>
      </c>
      <c r="R508" t="n">
        <v>0</v>
      </c>
      <c r="S508" t="n">
        <v>0</v>
      </c>
      <c r="T508" t="n">
        <v>0</v>
      </c>
      <c r="U508" s="2" t="inlineStr"/>
    </row>
    <row r="509" ht="15" customHeight="1">
      <c r="A509" t="inlineStr">
        <is>
          <t>A 53838-2022</t>
        </is>
      </c>
      <c r="B509" t="inlineStr">
        <is>
          <t>avverkningsanmälan</t>
        </is>
      </c>
      <c r="C509" t="inlineStr">
        <is>
          <t>Föryngringsavverkning</t>
        </is>
      </c>
      <c r="D509" s="1" t="n">
        <v>44880</v>
      </c>
      <c r="E509" s="1" t="n">
        <v>46216</v>
      </c>
      <c r="F509" t="inlineStr">
        <is>
          <t>VÄSTMANLANDS LÄN</t>
        </is>
      </c>
      <c r="G509" t="inlineStr">
        <is>
          <t>SALA</t>
        </is>
      </c>
      <c r="I509" t="n">
        <v>3.9</v>
      </c>
      <c r="J509" t="n">
        <v>0</v>
      </c>
      <c r="K509" t="n">
        <v>0</v>
      </c>
      <c r="L509" t="n">
        <v>0</v>
      </c>
      <c r="M509" t="n">
        <v>0</v>
      </c>
      <c r="N509" t="n">
        <v>0</v>
      </c>
      <c r="O509" t="n">
        <v>0</v>
      </c>
      <c r="P509" t="n">
        <v>0</v>
      </c>
      <c r="Q509" t="n">
        <v>0</v>
      </c>
      <c r="R509" t="n">
        <v>0</v>
      </c>
      <c r="S509" t="n">
        <v>0</v>
      </c>
      <c r="T509" t="n">
        <v>0</v>
      </c>
      <c r="U509" s="2" t="inlineStr"/>
    </row>
    <row r="510" ht="15" customHeight="1">
      <c r="A510" t="inlineStr">
        <is>
          <t>A 28827-2022</t>
        </is>
      </c>
      <c r="B510" t="inlineStr">
        <is>
          <t>avverkningsanmälan</t>
        </is>
      </c>
      <c r="C510" t="inlineStr">
        <is>
          <t>Föryngringsavverkning</t>
        </is>
      </c>
      <c r="D510" s="1" t="n">
        <v>44749</v>
      </c>
      <c r="E510" s="1" t="n">
        <v>46216</v>
      </c>
      <c r="F510" t="inlineStr">
        <is>
          <t>VÄSTMANLANDS LÄN</t>
        </is>
      </c>
      <c r="G510" t="inlineStr">
        <is>
          <t>SALA</t>
        </is>
      </c>
      <c r="H510" t="inlineStr">
        <is>
          <t>Kommuner</t>
        </is>
      </c>
      <c r="I510" t="n">
        <v>11.9</v>
      </c>
      <c r="J510" t="n">
        <v>0</v>
      </c>
      <c r="K510" t="n">
        <v>0</v>
      </c>
      <c r="L510" t="n">
        <v>0</v>
      </c>
      <c r="M510" t="n">
        <v>0</v>
      </c>
      <c r="N510" t="n">
        <v>0</v>
      </c>
      <c r="O510" t="n">
        <v>0</v>
      </c>
      <c r="P510" t="n">
        <v>0</v>
      </c>
      <c r="Q510" t="n">
        <v>0</v>
      </c>
      <c r="R510" t="n">
        <v>0</v>
      </c>
      <c r="S510" t="n">
        <v>0</v>
      </c>
      <c r="T510" t="n">
        <v>0</v>
      </c>
      <c r="U510" s="2" t="inlineStr"/>
    </row>
    <row r="511" ht="15" customHeight="1">
      <c r="A511" t="inlineStr">
        <is>
          <t>A 54836-2024</t>
        </is>
      </c>
      <c r="B511" t="inlineStr">
        <is>
          <t>avverkningsanmälan</t>
        </is>
      </c>
      <c r="C511" t="inlineStr">
        <is>
          <t>Föryngringsavverkning</t>
        </is>
      </c>
      <c r="D511" s="1" t="n">
        <v>45618</v>
      </c>
      <c r="E511" s="1" t="n">
        <v>46216</v>
      </c>
      <c r="F511" t="inlineStr">
        <is>
          <t>VÄSTMANLANDS LÄN</t>
        </is>
      </c>
      <c r="G511" t="inlineStr">
        <is>
          <t>SALA</t>
        </is>
      </c>
      <c r="I511" t="n">
        <v>0.6</v>
      </c>
      <c r="J511" t="n">
        <v>0</v>
      </c>
      <c r="K511" t="n">
        <v>0</v>
      </c>
      <c r="L511" t="n">
        <v>0</v>
      </c>
      <c r="M511" t="n">
        <v>0</v>
      </c>
      <c r="N511" t="n">
        <v>0</v>
      </c>
      <c r="O511" t="n">
        <v>0</v>
      </c>
      <c r="P511" t="n">
        <v>0</v>
      </c>
      <c r="Q511" t="n">
        <v>0</v>
      </c>
      <c r="R511" t="n">
        <v>0</v>
      </c>
      <c r="S511" t="n">
        <v>0</v>
      </c>
      <c r="T511" t="n">
        <v>0</v>
      </c>
      <c r="U511" s="2" t="inlineStr"/>
    </row>
    <row r="512" ht="15" customHeight="1">
      <c r="A512" t="inlineStr">
        <is>
          <t>A 64729-2023</t>
        </is>
      </c>
      <c r="B512" t="inlineStr">
        <is>
          <t>avverkningsanmälan</t>
        </is>
      </c>
      <c r="C512" t="inlineStr">
        <is>
          <t>Föryngringsavverkning</t>
        </is>
      </c>
      <c r="D512" s="1" t="n">
        <v>45281</v>
      </c>
      <c r="E512" s="1" t="n">
        <v>46216</v>
      </c>
      <c r="F512" t="inlineStr">
        <is>
          <t>VÄSTMANLANDS LÄN</t>
        </is>
      </c>
      <c r="G512" t="inlineStr">
        <is>
          <t>SALA</t>
        </is>
      </c>
      <c r="I512" t="n">
        <v>1.8</v>
      </c>
      <c r="J512" t="n">
        <v>0</v>
      </c>
      <c r="K512" t="n">
        <v>0</v>
      </c>
      <c r="L512" t="n">
        <v>0</v>
      </c>
      <c r="M512" t="n">
        <v>0</v>
      </c>
      <c r="N512" t="n">
        <v>0</v>
      </c>
      <c r="O512" t="n">
        <v>0</v>
      </c>
      <c r="P512" t="n">
        <v>0</v>
      </c>
      <c r="Q512" t="n">
        <v>0</v>
      </c>
      <c r="R512" t="n">
        <v>0</v>
      </c>
      <c r="S512" t="n">
        <v>0</v>
      </c>
      <c r="T512" t="n">
        <v>0</v>
      </c>
      <c r="U512" s="2" t="inlineStr"/>
    </row>
    <row r="513" ht="15" customHeight="1">
      <c r="A513" t="inlineStr">
        <is>
          <t>A 10585-2022</t>
        </is>
      </c>
      <c r="B513" t="inlineStr">
        <is>
          <t>avverkningsanmälan</t>
        </is>
      </c>
      <c r="C513" t="inlineStr">
        <is>
          <t>Föryngringsavverkning</t>
        </is>
      </c>
      <c r="D513" s="1" t="n">
        <v>44624</v>
      </c>
      <c r="E513" s="1" t="n">
        <v>46216</v>
      </c>
      <c r="F513" t="inlineStr">
        <is>
          <t>VÄSTMANLANDS LÄN</t>
        </is>
      </c>
      <c r="G513" t="inlineStr">
        <is>
          <t>SALA</t>
        </is>
      </c>
      <c r="I513" t="n">
        <v>2</v>
      </c>
      <c r="J513" t="n">
        <v>0</v>
      </c>
      <c r="K513" t="n">
        <v>0</v>
      </c>
      <c r="L513" t="n">
        <v>0</v>
      </c>
      <c r="M513" t="n">
        <v>0</v>
      </c>
      <c r="N513" t="n">
        <v>0</v>
      </c>
      <c r="O513" t="n">
        <v>0</v>
      </c>
      <c r="P513" t="n">
        <v>0</v>
      </c>
      <c r="Q513" t="n">
        <v>0</v>
      </c>
      <c r="R513" t="n">
        <v>0</v>
      </c>
      <c r="S513" t="n">
        <v>0</v>
      </c>
      <c r="T513" t="n">
        <v>0</v>
      </c>
      <c r="U513" s="2" t="inlineStr"/>
    </row>
    <row r="514" ht="15" customHeight="1">
      <c r="A514" t="inlineStr">
        <is>
          <t>A 28303-2026</t>
        </is>
      </c>
      <c r="B514" t="inlineStr">
        <is>
          <t>avverkningsanmälan</t>
        </is>
      </c>
      <c r="C514" t="inlineStr">
        <is>
          <t>Föryngringsavverkning</t>
        </is>
      </c>
      <c r="D514" s="1" t="n">
        <v>46196</v>
      </c>
      <c r="E514" s="1" t="n">
        <v>46216</v>
      </c>
      <c r="F514" t="inlineStr">
        <is>
          <t>VÄSTMANLANDS LÄN</t>
        </is>
      </c>
      <c r="G514" t="inlineStr">
        <is>
          <t>SALA</t>
        </is>
      </c>
      <c r="H514" t="inlineStr">
        <is>
          <t>Kommuner</t>
        </is>
      </c>
      <c r="I514" t="n">
        <v>9.800000000000001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31609-2024</t>
        </is>
      </c>
      <c r="B515" t="inlineStr">
        <is>
          <t>avverkningsanmälan</t>
        </is>
      </c>
      <c r="C515" t="inlineStr">
        <is>
          <t>Föryngringsavverkning</t>
        </is>
      </c>
      <c r="D515" s="1" t="n">
        <v>45506</v>
      </c>
      <c r="E515" s="1" t="n">
        <v>46216</v>
      </c>
      <c r="F515" t="inlineStr">
        <is>
          <t>VÄSTMANLANDS LÄN</t>
        </is>
      </c>
      <c r="G515" t="inlineStr">
        <is>
          <t>SALA</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56057-2023</t>
        </is>
      </c>
      <c r="B516" t="inlineStr">
        <is>
          <t>avverkningsanmälan</t>
        </is>
      </c>
      <c r="C516" t="inlineStr">
        <is>
          <t>Föryngringsavverkning</t>
        </is>
      </c>
      <c r="D516" s="1" t="n">
        <v>45233</v>
      </c>
      <c r="E516" s="1" t="n">
        <v>46216</v>
      </c>
      <c r="F516" t="inlineStr">
        <is>
          <t>VÄSTMANLANDS LÄN</t>
        </is>
      </c>
      <c r="G516" t="inlineStr">
        <is>
          <t>SALA</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62635-2022</t>
        </is>
      </c>
      <c r="B517" t="inlineStr">
        <is>
          <t>avverkningsanmälan</t>
        </is>
      </c>
      <c r="C517" t="inlineStr">
        <is>
          <t>Föryngringsavverkning</t>
        </is>
      </c>
      <c r="D517" s="1" t="n">
        <v>44917</v>
      </c>
      <c r="E517" s="1" t="n">
        <v>46216</v>
      </c>
      <c r="F517" t="inlineStr">
        <is>
          <t>VÄSTMANLANDS LÄN</t>
        </is>
      </c>
      <c r="G517" t="inlineStr">
        <is>
          <t>SALA</t>
        </is>
      </c>
      <c r="I517" t="n">
        <v>0.4</v>
      </c>
      <c r="J517" t="n">
        <v>0</v>
      </c>
      <c r="K517" t="n">
        <v>0</v>
      </c>
      <c r="L517" t="n">
        <v>0</v>
      </c>
      <c r="M517" t="n">
        <v>0</v>
      </c>
      <c r="N517" t="n">
        <v>0</v>
      </c>
      <c r="O517" t="n">
        <v>0</v>
      </c>
      <c r="P517" t="n">
        <v>0</v>
      </c>
      <c r="Q517" t="n">
        <v>0</v>
      </c>
      <c r="R517" t="n">
        <v>0</v>
      </c>
      <c r="S517" t="n">
        <v>0</v>
      </c>
      <c r="T517" t="n">
        <v>0</v>
      </c>
      <c r="U517" s="2" t="inlineStr"/>
    </row>
    <row r="518" ht="15" customHeight="1">
      <c r="A518" t="inlineStr">
        <is>
          <t>A 4852-2023</t>
        </is>
      </c>
      <c r="B518" t="inlineStr">
        <is>
          <t>avverkningsanmälan</t>
        </is>
      </c>
      <c r="C518" t="inlineStr">
        <is>
          <t>Föryngringsavverkning</t>
        </is>
      </c>
      <c r="D518" s="1" t="n">
        <v>44957</v>
      </c>
      <c r="E518" s="1" t="n">
        <v>46216</v>
      </c>
      <c r="F518" t="inlineStr">
        <is>
          <t>VÄSTMANLANDS LÄN</t>
        </is>
      </c>
      <c r="G518" t="inlineStr">
        <is>
          <t>SALA</t>
        </is>
      </c>
      <c r="I518" t="n">
        <v>2</v>
      </c>
      <c r="J518" t="n">
        <v>0</v>
      </c>
      <c r="K518" t="n">
        <v>0</v>
      </c>
      <c r="L518" t="n">
        <v>0</v>
      </c>
      <c r="M518" t="n">
        <v>0</v>
      </c>
      <c r="N518" t="n">
        <v>0</v>
      </c>
      <c r="O518" t="n">
        <v>0</v>
      </c>
      <c r="P518" t="n">
        <v>0</v>
      </c>
      <c r="Q518" t="n">
        <v>0</v>
      </c>
      <c r="R518" t="n">
        <v>0</v>
      </c>
      <c r="S518" t="n">
        <v>0</v>
      </c>
      <c r="T518" t="n">
        <v>0</v>
      </c>
      <c r="U518" s="2" t="inlineStr"/>
    </row>
    <row r="519" ht="15" customHeight="1">
      <c r="A519" t="inlineStr">
        <is>
          <t>A 28988-2026</t>
        </is>
      </c>
      <c r="B519" t="inlineStr">
        <is>
          <t>avverkningsanmälan</t>
        </is>
      </c>
      <c r="C519" t="inlineStr">
        <is>
          <t>Föryngringsavverkning</t>
        </is>
      </c>
      <c r="D519" s="1" t="n">
        <v>46199</v>
      </c>
      <c r="E519" s="1" t="n">
        <v>46216</v>
      </c>
      <c r="F519" t="inlineStr">
        <is>
          <t>VÄSTMANLANDS LÄN</t>
        </is>
      </c>
      <c r="G519" t="inlineStr">
        <is>
          <t>SALA</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39714-2023</t>
        </is>
      </c>
      <c r="B520" t="inlineStr">
        <is>
          <t>avverkningsanmälan</t>
        </is>
      </c>
      <c r="C520" t="inlineStr">
        <is>
          <t>Föryngringsavverkning</t>
        </is>
      </c>
      <c r="D520" s="1" t="n">
        <v>45167</v>
      </c>
      <c r="E520" s="1" t="n">
        <v>46216</v>
      </c>
      <c r="F520" t="inlineStr">
        <is>
          <t>VÄSTMANLANDS LÄN</t>
        </is>
      </c>
      <c r="G520" t="inlineStr">
        <is>
          <t>SALA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29009-2026</t>
        </is>
      </c>
      <c r="B521" t="inlineStr">
        <is>
          <t>avverkningsanmälan</t>
        </is>
      </c>
      <c r="C521" t="inlineStr">
        <is>
          <t>Avverkning för annat ändamål</t>
        </is>
      </c>
      <c r="D521" s="1" t="n">
        <v>46199</v>
      </c>
      <c r="E521" s="1" t="n">
        <v>46216</v>
      </c>
      <c r="F521" t="inlineStr">
        <is>
          <t>VÄSTMANLANDS LÄN</t>
        </is>
      </c>
      <c r="G521" t="inlineStr">
        <is>
          <t>SALA</t>
        </is>
      </c>
      <c r="I521" t="n">
        <v>2.5</v>
      </c>
      <c r="J521" t="n">
        <v>0</v>
      </c>
      <c r="K521" t="n">
        <v>0</v>
      </c>
      <c r="L521" t="n">
        <v>0</v>
      </c>
      <c r="M521" t="n">
        <v>0</v>
      </c>
      <c r="N521" t="n">
        <v>0</v>
      </c>
      <c r="O521" t="n">
        <v>0</v>
      </c>
      <c r="P521" t="n">
        <v>0</v>
      </c>
      <c r="Q521" t="n">
        <v>0</v>
      </c>
      <c r="R521" t="n">
        <v>0</v>
      </c>
      <c r="S521" t="n">
        <v>0</v>
      </c>
      <c r="T521" t="n">
        <v>0</v>
      </c>
      <c r="U521" s="2" t="inlineStr"/>
    </row>
    <row r="522" ht="15" customHeight="1">
      <c r="A522" t="inlineStr">
        <is>
          <t>A 42984-2023</t>
        </is>
      </c>
      <c r="B522" t="inlineStr">
        <is>
          <t>avverkningsanmälan</t>
        </is>
      </c>
      <c r="C522" t="inlineStr">
        <is>
          <t>Föryngringsavverkning</t>
        </is>
      </c>
      <c r="D522" s="1" t="n">
        <v>45179</v>
      </c>
      <c r="E522" s="1" t="n">
        <v>46216</v>
      </c>
      <c r="F522" t="inlineStr">
        <is>
          <t>VÄSTMANLANDS LÄN</t>
        </is>
      </c>
      <c r="G522" t="inlineStr">
        <is>
          <t>SALA</t>
        </is>
      </c>
      <c r="I522" t="n">
        <v>1.1</v>
      </c>
      <c r="J522" t="n">
        <v>0</v>
      </c>
      <c r="K522" t="n">
        <v>0</v>
      </c>
      <c r="L522" t="n">
        <v>0</v>
      </c>
      <c r="M522" t="n">
        <v>0</v>
      </c>
      <c r="N522" t="n">
        <v>0</v>
      </c>
      <c r="O522" t="n">
        <v>0</v>
      </c>
      <c r="P522" t="n">
        <v>0</v>
      </c>
      <c r="Q522" t="n">
        <v>0</v>
      </c>
      <c r="R522" t="n">
        <v>0</v>
      </c>
      <c r="S522" t="n">
        <v>0</v>
      </c>
      <c r="T522" t="n">
        <v>0</v>
      </c>
      <c r="U522" s="2" t="inlineStr"/>
    </row>
    <row r="523" ht="15" customHeight="1">
      <c r="A523" t="inlineStr">
        <is>
          <t>A 56535-2022</t>
        </is>
      </c>
      <c r="B523" t="inlineStr">
        <is>
          <t>avverkningsanmälan</t>
        </is>
      </c>
      <c r="C523" t="inlineStr">
        <is>
          <t>Föryngringsavverkning</t>
        </is>
      </c>
      <c r="D523" s="1" t="n">
        <v>44893</v>
      </c>
      <c r="E523" s="1" t="n">
        <v>46216</v>
      </c>
      <c r="F523" t="inlineStr">
        <is>
          <t>VÄSTMANLANDS LÄN</t>
        </is>
      </c>
      <c r="G523" t="inlineStr">
        <is>
          <t>SALA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22869-2026</t>
        </is>
      </c>
      <c r="B524" t="inlineStr">
        <is>
          <t>avverkningsanmälan</t>
        </is>
      </c>
      <c r="C524" t="inlineStr">
        <is>
          <t>Föryngringsavverkning</t>
        </is>
      </c>
      <c r="D524" s="1" t="n">
        <v>46160</v>
      </c>
      <c r="E524" s="1" t="n">
        <v>46216</v>
      </c>
      <c r="F524" t="inlineStr">
        <is>
          <t>VÄSTMANLANDS LÄN</t>
        </is>
      </c>
      <c r="G524" t="inlineStr">
        <is>
          <t>SALA</t>
        </is>
      </c>
      <c r="I524" t="n">
        <v>0.9</v>
      </c>
      <c r="J524" t="n">
        <v>0</v>
      </c>
      <c r="K524" t="n">
        <v>0</v>
      </c>
      <c r="L524" t="n">
        <v>0</v>
      </c>
      <c r="M524" t="n">
        <v>0</v>
      </c>
      <c r="N524" t="n">
        <v>0</v>
      </c>
      <c r="O524" t="n">
        <v>0</v>
      </c>
      <c r="P524" t="n">
        <v>0</v>
      </c>
      <c r="Q524" t="n">
        <v>0</v>
      </c>
      <c r="R524" t="n">
        <v>0</v>
      </c>
      <c r="S524" t="n">
        <v>0</v>
      </c>
      <c r="T524" t="n">
        <v>0</v>
      </c>
      <c r="U524" s="2" t="inlineStr"/>
    </row>
    <row r="525" ht="15" customHeight="1">
      <c r="A525" t="inlineStr">
        <is>
          <t>A 29227-2026</t>
        </is>
      </c>
      <c r="B525" t="inlineStr">
        <is>
          <t>avverkningsanmälan</t>
        </is>
      </c>
      <c r="C525" t="inlineStr">
        <is>
          <t>Föryngringsavverkning</t>
        </is>
      </c>
      <c r="D525" s="1" t="n">
        <v>46202</v>
      </c>
      <c r="E525" s="1" t="n">
        <v>46216</v>
      </c>
      <c r="F525" t="inlineStr">
        <is>
          <t>VÄSTMANLANDS LÄN</t>
        </is>
      </c>
      <c r="G525" t="inlineStr">
        <is>
          <t>SALA</t>
        </is>
      </c>
      <c r="H525" t="inlineStr">
        <is>
          <t>Kommuner</t>
        </is>
      </c>
      <c r="I525" t="n">
        <v>7.6</v>
      </c>
      <c r="J525" t="n">
        <v>0</v>
      </c>
      <c r="K525" t="n">
        <v>0</v>
      </c>
      <c r="L525" t="n">
        <v>0</v>
      </c>
      <c r="M525" t="n">
        <v>0</v>
      </c>
      <c r="N525" t="n">
        <v>0</v>
      </c>
      <c r="O525" t="n">
        <v>0</v>
      </c>
      <c r="P525" t="n">
        <v>0</v>
      </c>
      <c r="Q525" t="n">
        <v>0</v>
      </c>
      <c r="R525" t="n">
        <v>0</v>
      </c>
      <c r="S525" t="n">
        <v>0</v>
      </c>
      <c r="T525" t="n">
        <v>0</v>
      </c>
      <c r="U525" s="2" t="inlineStr"/>
    </row>
    <row r="526" ht="15" customHeight="1">
      <c r="A526" t="inlineStr">
        <is>
          <t>A 20838-2026</t>
        </is>
      </c>
      <c r="B526" t="inlineStr">
        <is>
          <t>avverkningsanmälan</t>
        </is>
      </c>
      <c r="C526" t="inlineStr">
        <is>
          <t>Föryngringsavverkning</t>
        </is>
      </c>
      <c r="D526" s="1" t="n">
        <v>46142</v>
      </c>
      <c r="E526" s="1" t="n">
        <v>46216</v>
      </c>
      <c r="F526" t="inlineStr">
        <is>
          <t>VÄSTMANLANDS LÄN</t>
        </is>
      </c>
      <c r="G526" t="inlineStr">
        <is>
          <t>SALA</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60550-2024</t>
        </is>
      </c>
      <c r="B527" t="inlineStr">
        <is>
          <t>avverkningsanmälan</t>
        </is>
      </c>
      <c r="C527" t="inlineStr">
        <is>
          <t>Föryngringsavverkning</t>
        </is>
      </c>
      <c r="D527" s="1" t="n">
        <v>45643</v>
      </c>
      <c r="E527" s="1" t="n">
        <v>46216</v>
      </c>
      <c r="F527" t="inlineStr">
        <is>
          <t>VÄSTMANLANDS LÄN</t>
        </is>
      </c>
      <c r="G527" t="inlineStr">
        <is>
          <t>SALA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36049-2025</t>
        </is>
      </c>
      <c r="B528" t="inlineStr">
        <is>
          <t>avverkningsanmälan</t>
        </is>
      </c>
      <c r="C528" t="inlineStr">
        <is>
          <t>Föryngringsavverkning</t>
        </is>
      </c>
      <c r="D528" s="1" t="n">
        <v>45866</v>
      </c>
      <c r="E528" s="1" t="n">
        <v>46216</v>
      </c>
      <c r="F528" t="inlineStr">
        <is>
          <t>VÄSTMANLANDS LÄN</t>
        </is>
      </c>
      <c r="G528" t="inlineStr">
        <is>
          <t>SALA</t>
        </is>
      </c>
      <c r="H528" t="inlineStr">
        <is>
          <t>Kommuner</t>
        </is>
      </c>
      <c r="I528" t="n">
        <v>1.9</v>
      </c>
      <c r="J528" t="n">
        <v>0</v>
      </c>
      <c r="K528" t="n">
        <v>0</v>
      </c>
      <c r="L528" t="n">
        <v>0</v>
      </c>
      <c r="M528" t="n">
        <v>0</v>
      </c>
      <c r="N528" t="n">
        <v>0</v>
      </c>
      <c r="O528" t="n">
        <v>0</v>
      </c>
      <c r="P528" t="n">
        <v>0</v>
      </c>
      <c r="Q528" t="n">
        <v>0</v>
      </c>
      <c r="R528" t="n">
        <v>0</v>
      </c>
      <c r="S528" t="n">
        <v>0</v>
      </c>
      <c r="T528" t="n">
        <v>0</v>
      </c>
      <c r="U528" s="2" t="inlineStr"/>
    </row>
    <row r="529" ht="15" customHeight="1">
      <c r="A529" t="inlineStr">
        <is>
          <t>A 29230-2022</t>
        </is>
      </c>
      <c r="B529" t="inlineStr">
        <is>
          <t>avverkningsanmälan</t>
        </is>
      </c>
      <c r="C529" t="inlineStr">
        <is>
          <t>Föryngringsavverkning</t>
        </is>
      </c>
      <c r="D529" s="1" t="n">
        <v>44750</v>
      </c>
      <c r="E529" s="1" t="n">
        <v>46216</v>
      </c>
      <c r="F529" t="inlineStr">
        <is>
          <t>VÄSTMANLANDS LÄN</t>
        </is>
      </c>
      <c r="G529" t="inlineStr">
        <is>
          <t>SALA</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59175-2022</t>
        </is>
      </c>
      <c r="B530" t="inlineStr">
        <is>
          <t>avverkningsanmälan</t>
        </is>
      </c>
      <c r="C530" t="inlineStr">
        <is>
          <t>Föryngringsavverkning</t>
        </is>
      </c>
      <c r="D530" s="1" t="n">
        <v>44904</v>
      </c>
      <c r="E530" s="1" t="n">
        <v>46216</v>
      </c>
      <c r="F530" t="inlineStr">
        <is>
          <t>VÄSTMANLANDS LÄN</t>
        </is>
      </c>
      <c r="G530" t="inlineStr">
        <is>
          <t>SALA</t>
        </is>
      </c>
      <c r="I530" t="n">
        <v>2.1</v>
      </c>
      <c r="J530" t="n">
        <v>0</v>
      </c>
      <c r="K530" t="n">
        <v>0</v>
      </c>
      <c r="L530" t="n">
        <v>0</v>
      </c>
      <c r="M530" t="n">
        <v>0</v>
      </c>
      <c r="N530" t="n">
        <v>0</v>
      </c>
      <c r="O530" t="n">
        <v>0</v>
      </c>
      <c r="P530" t="n">
        <v>0</v>
      </c>
      <c r="Q530" t="n">
        <v>0</v>
      </c>
      <c r="R530" t="n">
        <v>0</v>
      </c>
      <c r="S530" t="n">
        <v>0</v>
      </c>
      <c r="T530" t="n">
        <v>0</v>
      </c>
      <c r="U530" s="2" t="inlineStr"/>
    </row>
    <row r="531" ht="15" customHeight="1">
      <c r="A531" t="inlineStr">
        <is>
          <t>A 19381-2025</t>
        </is>
      </c>
      <c r="B531" t="inlineStr">
        <is>
          <t>avverkningsanmälan</t>
        </is>
      </c>
      <c r="C531" t="inlineStr">
        <is>
          <t>Föryngringsavverkning</t>
        </is>
      </c>
      <c r="D531" s="1" t="n">
        <v>45769</v>
      </c>
      <c r="E531" s="1" t="n">
        <v>46216</v>
      </c>
      <c r="F531" t="inlineStr">
        <is>
          <t>VÄSTMANLANDS LÄN</t>
        </is>
      </c>
      <c r="G531" t="inlineStr">
        <is>
          <t>SALA</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29347-2026</t>
        </is>
      </c>
      <c r="B532" t="inlineStr">
        <is>
          <t>avverkningsanmälan</t>
        </is>
      </c>
      <c r="C532" t="inlineStr">
        <is>
          <t>Föryngringsavverkning</t>
        </is>
      </c>
      <c r="D532" s="1" t="n">
        <v>46203</v>
      </c>
      <c r="E532" s="1" t="n">
        <v>46216</v>
      </c>
      <c r="F532" t="inlineStr">
        <is>
          <t>VÄSTMANLANDS LÄN</t>
        </is>
      </c>
      <c r="G532" t="inlineStr">
        <is>
          <t>SALA</t>
        </is>
      </c>
      <c r="I532" t="n">
        <v>3</v>
      </c>
      <c r="J532" t="n">
        <v>0</v>
      </c>
      <c r="K532" t="n">
        <v>0</v>
      </c>
      <c r="L532" t="n">
        <v>0</v>
      </c>
      <c r="M532" t="n">
        <v>0</v>
      </c>
      <c r="N532" t="n">
        <v>0</v>
      </c>
      <c r="O532" t="n">
        <v>0</v>
      </c>
      <c r="P532" t="n">
        <v>0</v>
      </c>
      <c r="Q532" t="n">
        <v>0</v>
      </c>
      <c r="R532" t="n">
        <v>0</v>
      </c>
      <c r="S532" t="n">
        <v>0</v>
      </c>
      <c r="T532" t="n">
        <v>0</v>
      </c>
      <c r="U532" s="2" t="inlineStr"/>
    </row>
    <row r="533" ht="15" customHeight="1">
      <c r="A533" t="inlineStr">
        <is>
          <t>A 42938-2023</t>
        </is>
      </c>
      <c r="B533" t="inlineStr">
        <is>
          <t>avverkningsanmälan</t>
        </is>
      </c>
      <c r="C533" t="inlineStr">
        <is>
          <t>Föryngringsavverkning</t>
        </is>
      </c>
      <c r="D533" s="1" t="n">
        <v>45179</v>
      </c>
      <c r="E533" s="1" t="n">
        <v>46216</v>
      </c>
      <c r="F533" t="inlineStr">
        <is>
          <t>VÄSTMANLANDS LÄN</t>
        </is>
      </c>
      <c r="G533" t="inlineStr">
        <is>
          <t>SALA</t>
        </is>
      </c>
      <c r="I533" t="n">
        <v>10.9</v>
      </c>
      <c r="J533" t="n">
        <v>0</v>
      </c>
      <c r="K533" t="n">
        <v>0</v>
      </c>
      <c r="L533" t="n">
        <v>0</v>
      </c>
      <c r="M533" t="n">
        <v>0</v>
      </c>
      <c r="N533" t="n">
        <v>0</v>
      </c>
      <c r="O533" t="n">
        <v>0</v>
      </c>
      <c r="P533" t="n">
        <v>0</v>
      </c>
      <c r="Q533" t="n">
        <v>0</v>
      </c>
      <c r="R533" t="n">
        <v>0</v>
      </c>
      <c r="S533" t="n">
        <v>0</v>
      </c>
      <c r="T533" t="n">
        <v>0</v>
      </c>
      <c r="U533" s="2" t="inlineStr"/>
    </row>
    <row r="534" ht="15" customHeight="1">
      <c r="A534" t="inlineStr">
        <is>
          <t>A 19222-2025</t>
        </is>
      </c>
      <c r="B534" t="inlineStr">
        <is>
          <t>avverkningsanmälan</t>
        </is>
      </c>
      <c r="C534" t="inlineStr">
        <is>
          <t>Föryngringsavverkning</t>
        </is>
      </c>
      <c r="D534" s="1" t="n">
        <v>45769</v>
      </c>
      <c r="E534" s="1" t="n">
        <v>46216</v>
      </c>
      <c r="F534" t="inlineStr">
        <is>
          <t>VÄSTMANLANDS LÄN</t>
        </is>
      </c>
      <c r="G534" t="inlineStr">
        <is>
          <t>SALA</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29256-2026</t>
        </is>
      </c>
      <c r="B535" t="inlineStr">
        <is>
          <t>avverkningsanmälan</t>
        </is>
      </c>
      <c r="C535" t="inlineStr">
        <is>
          <t>Föryngringsavverkning</t>
        </is>
      </c>
      <c r="D535" s="1" t="n">
        <v>46202</v>
      </c>
      <c r="E535" s="1" t="n">
        <v>46216</v>
      </c>
      <c r="F535" t="inlineStr">
        <is>
          <t>VÄSTMANLANDS LÄN</t>
        </is>
      </c>
      <c r="G535" t="inlineStr">
        <is>
          <t>SALA</t>
        </is>
      </c>
      <c r="H535" t="inlineStr">
        <is>
          <t>Kommuner</t>
        </is>
      </c>
      <c r="I535" t="n">
        <v>4</v>
      </c>
      <c r="J535" t="n">
        <v>0</v>
      </c>
      <c r="K535" t="n">
        <v>0</v>
      </c>
      <c r="L535" t="n">
        <v>0</v>
      </c>
      <c r="M535" t="n">
        <v>0</v>
      </c>
      <c r="N535" t="n">
        <v>0</v>
      </c>
      <c r="O535" t="n">
        <v>0</v>
      </c>
      <c r="P535" t="n">
        <v>0</v>
      </c>
      <c r="Q535" t="n">
        <v>0</v>
      </c>
      <c r="R535" t="n">
        <v>0</v>
      </c>
      <c r="S535" t="n">
        <v>0</v>
      </c>
      <c r="T535" t="n">
        <v>0</v>
      </c>
      <c r="U535" s="2" t="inlineStr"/>
    </row>
    <row r="536" ht="15" customHeight="1">
      <c r="A536" t="inlineStr">
        <is>
          <t>A 60823-2024</t>
        </is>
      </c>
      <c r="B536" t="inlineStr">
        <is>
          <t>avverkningsanmälan</t>
        </is>
      </c>
      <c r="C536" t="inlineStr">
        <is>
          <t>Avverkning för annat ändamål</t>
        </is>
      </c>
      <c r="D536" s="1" t="n">
        <v>45644</v>
      </c>
      <c r="E536" s="1" t="n">
        <v>46216</v>
      </c>
      <c r="F536" t="inlineStr">
        <is>
          <t>VÄSTMANLANDS LÄN</t>
        </is>
      </c>
      <c r="G536" t="inlineStr">
        <is>
          <t>SALA</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61681-2024</t>
        </is>
      </c>
      <c r="B537" t="inlineStr">
        <is>
          <t>avverkningsanmälan</t>
        </is>
      </c>
      <c r="C537" t="inlineStr">
        <is>
          <t>Föryngringsavverkning</t>
        </is>
      </c>
      <c r="D537" s="1" t="n">
        <v>45647</v>
      </c>
      <c r="E537" s="1" t="n">
        <v>46216</v>
      </c>
      <c r="F537" t="inlineStr">
        <is>
          <t>VÄSTMANLANDS LÄN</t>
        </is>
      </c>
      <c r="G537" t="inlineStr">
        <is>
          <t>SALA</t>
        </is>
      </c>
      <c r="H537" t="inlineStr">
        <is>
          <t>Kommuner</t>
        </is>
      </c>
      <c r="I537" t="n">
        <v>1</v>
      </c>
      <c r="J537" t="n">
        <v>0</v>
      </c>
      <c r="K537" t="n">
        <v>0</v>
      </c>
      <c r="L537" t="n">
        <v>0</v>
      </c>
      <c r="M537" t="n">
        <v>0</v>
      </c>
      <c r="N537" t="n">
        <v>0</v>
      </c>
      <c r="O537" t="n">
        <v>0</v>
      </c>
      <c r="P537" t="n">
        <v>0</v>
      </c>
      <c r="Q537" t="n">
        <v>0</v>
      </c>
      <c r="R537" t="n">
        <v>0</v>
      </c>
      <c r="S537" t="n">
        <v>0</v>
      </c>
      <c r="T537" t="n">
        <v>0</v>
      </c>
      <c r="U537" s="2" t="inlineStr"/>
    </row>
    <row r="538" ht="15" customHeight="1">
      <c r="A538" t="inlineStr">
        <is>
          <t>A 29249-2026</t>
        </is>
      </c>
      <c r="B538" t="inlineStr">
        <is>
          <t>avverkningsanmälan</t>
        </is>
      </c>
      <c r="C538" t="inlineStr">
        <is>
          <t>Föryngringsavverkning</t>
        </is>
      </c>
      <c r="D538" s="1" t="n">
        <v>46202</v>
      </c>
      <c r="E538" s="1" t="n">
        <v>46216</v>
      </c>
      <c r="F538" t="inlineStr">
        <is>
          <t>VÄSTMANLANDS LÄN</t>
        </is>
      </c>
      <c r="G538" t="inlineStr">
        <is>
          <t>SALA</t>
        </is>
      </c>
      <c r="H538" t="inlineStr">
        <is>
          <t>Kommuner</t>
        </is>
      </c>
      <c r="I538" t="n">
        <v>3.4</v>
      </c>
      <c r="J538" t="n">
        <v>0</v>
      </c>
      <c r="K538" t="n">
        <v>0</v>
      </c>
      <c r="L538" t="n">
        <v>0</v>
      </c>
      <c r="M538" t="n">
        <v>0</v>
      </c>
      <c r="N538" t="n">
        <v>0</v>
      </c>
      <c r="O538" t="n">
        <v>0</v>
      </c>
      <c r="P538" t="n">
        <v>0</v>
      </c>
      <c r="Q538" t="n">
        <v>0</v>
      </c>
      <c r="R538" t="n">
        <v>0</v>
      </c>
      <c r="S538" t="n">
        <v>0</v>
      </c>
      <c r="T538" t="n">
        <v>0</v>
      </c>
      <c r="U538" s="2" t="inlineStr"/>
    </row>
    <row r="539" ht="15" customHeight="1">
      <c r="A539" t="inlineStr">
        <is>
          <t>A 49661-2024</t>
        </is>
      </c>
      <c r="B539" t="inlineStr">
        <is>
          <t>avverkningsanmälan</t>
        </is>
      </c>
      <c r="C539" t="inlineStr">
        <is>
          <t>Föryngringsavverkning</t>
        </is>
      </c>
      <c r="D539" s="1" t="n">
        <v>45596</v>
      </c>
      <c r="E539" s="1" t="n">
        <v>46216</v>
      </c>
      <c r="F539" t="inlineStr">
        <is>
          <t>VÄSTMANLANDS LÄN</t>
        </is>
      </c>
      <c r="G539" t="inlineStr">
        <is>
          <t>SALA</t>
        </is>
      </c>
      <c r="I539" t="n">
        <v>6.7</v>
      </c>
      <c r="J539" t="n">
        <v>0</v>
      </c>
      <c r="K539" t="n">
        <v>0</v>
      </c>
      <c r="L539" t="n">
        <v>0</v>
      </c>
      <c r="M539" t="n">
        <v>0</v>
      </c>
      <c r="N539" t="n">
        <v>0</v>
      </c>
      <c r="O539" t="n">
        <v>0</v>
      </c>
      <c r="P539" t="n">
        <v>0</v>
      </c>
      <c r="Q539" t="n">
        <v>0</v>
      </c>
      <c r="R539" t="n">
        <v>0</v>
      </c>
      <c r="S539" t="n">
        <v>0</v>
      </c>
      <c r="T539" t="n">
        <v>0</v>
      </c>
      <c r="U539" s="2" t="inlineStr"/>
    </row>
    <row r="540" ht="15" customHeight="1">
      <c r="A540" t="inlineStr">
        <is>
          <t>A 59297-2023</t>
        </is>
      </c>
      <c r="B540" t="inlineStr">
        <is>
          <t>avverkningsanmälan</t>
        </is>
      </c>
      <c r="C540" t="inlineStr">
        <is>
          <t>Föryngringsavverkning</t>
        </is>
      </c>
      <c r="D540" s="1" t="n">
        <v>45253</v>
      </c>
      <c r="E540" s="1" t="n">
        <v>46216</v>
      </c>
      <c r="F540" t="inlineStr">
        <is>
          <t>VÄSTMANLANDS LÄN</t>
        </is>
      </c>
      <c r="G540" t="inlineStr">
        <is>
          <t>SALA</t>
        </is>
      </c>
      <c r="I540" t="n">
        <v>2</v>
      </c>
      <c r="J540" t="n">
        <v>0</v>
      </c>
      <c r="K540" t="n">
        <v>0</v>
      </c>
      <c r="L540" t="n">
        <v>0</v>
      </c>
      <c r="M540" t="n">
        <v>0</v>
      </c>
      <c r="N540" t="n">
        <v>0</v>
      </c>
      <c r="O540" t="n">
        <v>0</v>
      </c>
      <c r="P540" t="n">
        <v>0</v>
      </c>
      <c r="Q540" t="n">
        <v>0</v>
      </c>
      <c r="R540" t="n">
        <v>0</v>
      </c>
      <c r="S540" t="n">
        <v>0</v>
      </c>
      <c r="T540" t="n">
        <v>0</v>
      </c>
      <c r="U540" s="2" t="inlineStr"/>
    </row>
    <row r="541" ht="15" customHeight="1">
      <c r="A541" t="inlineStr">
        <is>
          <t>A 29624-2026</t>
        </is>
      </c>
      <c r="B541" t="inlineStr">
        <is>
          <t>avverkningsanmälan</t>
        </is>
      </c>
      <c r="C541" t="inlineStr">
        <is>
          <t>Föryngringsavverkning</t>
        </is>
      </c>
      <c r="D541" s="1" t="n">
        <v>46204</v>
      </c>
      <c r="E541" s="1" t="n">
        <v>46216</v>
      </c>
      <c r="F541" t="inlineStr">
        <is>
          <t>VÄSTMANLANDS LÄN</t>
        </is>
      </c>
      <c r="G541" t="inlineStr">
        <is>
          <t>SALA</t>
        </is>
      </c>
      <c r="I541" t="n">
        <v>1</v>
      </c>
      <c r="J541" t="n">
        <v>0</v>
      </c>
      <c r="K541" t="n">
        <v>0</v>
      </c>
      <c r="L541" t="n">
        <v>0</v>
      </c>
      <c r="M541" t="n">
        <v>0</v>
      </c>
      <c r="N541" t="n">
        <v>0</v>
      </c>
      <c r="O541" t="n">
        <v>0</v>
      </c>
      <c r="P541" t="n">
        <v>0</v>
      </c>
      <c r="Q541" t="n">
        <v>0</v>
      </c>
      <c r="R541" t="n">
        <v>0</v>
      </c>
      <c r="S541" t="n">
        <v>0</v>
      </c>
      <c r="T541" t="n">
        <v>0</v>
      </c>
      <c r="U541" s="2" t="inlineStr"/>
    </row>
    <row r="542" ht="15" customHeight="1">
      <c r="A542" t="inlineStr">
        <is>
          <t>A 29647-2026</t>
        </is>
      </c>
      <c r="B542" t="inlineStr">
        <is>
          <t>avverkningsanmälan</t>
        </is>
      </c>
      <c r="C542" t="inlineStr">
        <is>
          <t>Avverkning för annat ändamål</t>
        </is>
      </c>
      <c r="D542" s="1" t="n">
        <v>46204</v>
      </c>
      <c r="E542" s="1" t="n">
        <v>46216</v>
      </c>
      <c r="F542" t="inlineStr">
        <is>
          <t>VÄSTMANLANDS LÄN</t>
        </is>
      </c>
      <c r="G542" t="inlineStr">
        <is>
          <t>SALA</t>
        </is>
      </c>
      <c r="I542" t="n">
        <v>0.4</v>
      </c>
      <c r="J542" t="n">
        <v>0</v>
      </c>
      <c r="K542" t="n">
        <v>0</v>
      </c>
      <c r="L542" t="n">
        <v>0</v>
      </c>
      <c r="M542" t="n">
        <v>0</v>
      </c>
      <c r="N542" t="n">
        <v>0</v>
      </c>
      <c r="O542" t="n">
        <v>0</v>
      </c>
      <c r="P542" t="n">
        <v>0</v>
      </c>
      <c r="Q542" t="n">
        <v>0</v>
      </c>
      <c r="R542" t="n">
        <v>0</v>
      </c>
      <c r="S542" t="n">
        <v>0</v>
      </c>
      <c r="T542" t="n">
        <v>0</v>
      </c>
      <c r="U542" s="2" t="inlineStr"/>
    </row>
    <row r="543" ht="15" customHeight="1">
      <c r="A543" t="inlineStr">
        <is>
          <t>A 15965-2024</t>
        </is>
      </c>
      <c r="B543" t="inlineStr">
        <is>
          <t>avverkningsanmälan</t>
        </is>
      </c>
      <c r="C543" t="inlineStr">
        <is>
          <t>Föryngringsavverkning</t>
        </is>
      </c>
      <c r="D543" s="1" t="n">
        <v>45405</v>
      </c>
      <c r="E543" s="1" t="n">
        <v>46216</v>
      </c>
      <c r="F543" t="inlineStr">
        <is>
          <t>VÄSTMANLANDS LÄN</t>
        </is>
      </c>
      <c r="G543" t="inlineStr">
        <is>
          <t>SALA</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23180-2022</t>
        </is>
      </c>
      <c r="B544" t="inlineStr">
        <is>
          <t>avverkningsanmälan</t>
        </is>
      </c>
      <c r="C544" t="inlineStr">
        <is>
          <t>Föryngringsavverkning</t>
        </is>
      </c>
      <c r="D544" s="1" t="n">
        <v>44719</v>
      </c>
      <c r="E544" s="1" t="n">
        <v>46216</v>
      </c>
      <c r="F544" t="inlineStr">
        <is>
          <t>VÄSTMANLANDS LÄN</t>
        </is>
      </c>
      <c r="G544" t="inlineStr">
        <is>
          <t>SALA</t>
        </is>
      </c>
      <c r="I544" t="n">
        <v>1.2</v>
      </c>
      <c r="J544" t="n">
        <v>0</v>
      </c>
      <c r="K544" t="n">
        <v>0</v>
      </c>
      <c r="L544" t="n">
        <v>0</v>
      </c>
      <c r="M544" t="n">
        <v>0</v>
      </c>
      <c r="N544" t="n">
        <v>0</v>
      </c>
      <c r="O544" t="n">
        <v>0</v>
      </c>
      <c r="P544" t="n">
        <v>0</v>
      </c>
      <c r="Q544" t="n">
        <v>0</v>
      </c>
      <c r="R544" t="n">
        <v>0</v>
      </c>
      <c r="S544" t="n">
        <v>0</v>
      </c>
      <c r="T544" t="n">
        <v>0</v>
      </c>
      <c r="U544" s="2" t="inlineStr"/>
    </row>
    <row r="545" ht="15" customHeight="1">
      <c r="A545" t="inlineStr">
        <is>
          <t>A 21455-2023</t>
        </is>
      </c>
      <c r="B545" t="inlineStr">
        <is>
          <t>avverkningsanmälan</t>
        </is>
      </c>
      <c r="C545" t="inlineStr">
        <is>
          <t>Föryngringsavverkning</t>
        </is>
      </c>
      <c r="D545" s="1" t="n">
        <v>45058</v>
      </c>
      <c r="E545" s="1" t="n">
        <v>46216</v>
      </c>
      <c r="F545" t="inlineStr">
        <is>
          <t>VÄSTMANLANDS LÄN</t>
        </is>
      </c>
      <c r="G545" t="inlineStr">
        <is>
          <t>SALA</t>
        </is>
      </c>
      <c r="I545" t="n">
        <v>6.4</v>
      </c>
      <c r="J545" t="n">
        <v>0</v>
      </c>
      <c r="K545" t="n">
        <v>0</v>
      </c>
      <c r="L545" t="n">
        <v>0</v>
      </c>
      <c r="M545" t="n">
        <v>0</v>
      </c>
      <c r="N545" t="n">
        <v>0</v>
      </c>
      <c r="O545" t="n">
        <v>0</v>
      </c>
      <c r="P545" t="n">
        <v>0</v>
      </c>
      <c r="Q545" t="n">
        <v>0</v>
      </c>
      <c r="R545" t="n">
        <v>0</v>
      </c>
      <c r="S545" t="n">
        <v>0</v>
      </c>
      <c r="T545" t="n">
        <v>0</v>
      </c>
      <c r="U545" s="2" t="inlineStr"/>
    </row>
    <row r="546" ht="15" customHeight="1">
      <c r="A546" t="inlineStr">
        <is>
          <t>A 29929-2026</t>
        </is>
      </c>
      <c r="B546" t="inlineStr">
        <is>
          <t>avverkningsanmälan</t>
        </is>
      </c>
      <c r="C546" t="inlineStr">
        <is>
          <t>Föryngringsavverkning</t>
        </is>
      </c>
      <c r="D546" s="1" t="n">
        <v>46205</v>
      </c>
      <c r="E546" s="1" t="n">
        <v>46216</v>
      </c>
      <c r="F546" t="inlineStr">
        <is>
          <t>VÄSTMANLANDS LÄN</t>
        </is>
      </c>
      <c r="G546" t="inlineStr">
        <is>
          <t>SALA</t>
        </is>
      </c>
      <c r="I546" t="n">
        <v>4.6</v>
      </c>
      <c r="J546" t="n">
        <v>0</v>
      </c>
      <c r="K546" t="n">
        <v>0</v>
      </c>
      <c r="L546" t="n">
        <v>0</v>
      </c>
      <c r="M546" t="n">
        <v>0</v>
      </c>
      <c r="N546" t="n">
        <v>0</v>
      </c>
      <c r="O546" t="n">
        <v>0</v>
      </c>
      <c r="P546" t="n">
        <v>0</v>
      </c>
      <c r="Q546" t="n">
        <v>0</v>
      </c>
      <c r="R546" t="n">
        <v>0</v>
      </c>
      <c r="S546" t="n">
        <v>0</v>
      </c>
      <c r="T546" t="n">
        <v>0</v>
      </c>
      <c r="U546" s="2" t="inlineStr"/>
    </row>
    <row r="547" ht="15" customHeight="1">
      <c r="A547" t="inlineStr">
        <is>
          <t>A 23578-2026</t>
        </is>
      </c>
      <c r="B547" t="inlineStr">
        <is>
          <t>avverkningsanmälan</t>
        </is>
      </c>
      <c r="C547" t="inlineStr">
        <is>
          <t>Föryngringsavverkning</t>
        </is>
      </c>
      <c r="D547" s="1" t="n">
        <v>46163</v>
      </c>
      <c r="E547" s="1" t="n">
        <v>46216</v>
      </c>
      <c r="F547" t="inlineStr">
        <is>
          <t>VÄSTMANLANDS LÄN</t>
        </is>
      </c>
      <c r="G547" t="inlineStr">
        <is>
          <t>SALA</t>
        </is>
      </c>
      <c r="I547" t="n">
        <v>1.9</v>
      </c>
      <c r="J547" t="n">
        <v>0</v>
      </c>
      <c r="K547" t="n">
        <v>0</v>
      </c>
      <c r="L547" t="n">
        <v>0</v>
      </c>
      <c r="M547" t="n">
        <v>0</v>
      </c>
      <c r="N547" t="n">
        <v>0</v>
      </c>
      <c r="O547" t="n">
        <v>0</v>
      </c>
      <c r="P547" t="n">
        <v>0</v>
      </c>
      <c r="Q547" t="n">
        <v>0</v>
      </c>
      <c r="R547" t="n">
        <v>0</v>
      </c>
      <c r="S547" t="n">
        <v>0</v>
      </c>
      <c r="T547" t="n">
        <v>0</v>
      </c>
      <c r="U547" s="2" t="inlineStr"/>
    </row>
    <row r="548" ht="15" customHeight="1">
      <c r="A548" t="inlineStr">
        <is>
          <t>A 21053-2022</t>
        </is>
      </c>
      <c r="B548" t="inlineStr">
        <is>
          <t>avverkningsanmälan</t>
        </is>
      </c>
      <c r="C548" t="inlineStr">
        <is>
          <t>Föryngringsavverkning</t>
        </is>
      </c>
      <c r="D548" s="1" t="n">
        <v>44704</v>
      </c>
      <c r="E548" s="1" t="n">
        <v>46216</v>
      </c>
      <c r="F548" t="inlineStr">
        <is>
          <t>VÄSTMANLANDS LÄN</t>
        </is>
      </c>
      <c r="G548" t="inlineStr">
        <is>
          <t>SALA</t>
        </is>
      </c>
      <c r="I548" t="n">
        <v>2</v>
      </c>
      <c r="J548" t="n">
        <v>0</v>
      </c>
      <c r="K548" t="n">
        <v>0</v>
      </c>
      <c r="L548" t="n">
        <v>0</v>
      </c>
      <c r="M548" t="n">
        <v>0</v>
      </c>
      <c r="N548" t="n">
        <v>0</v>
      </c>
      <c r="O548" t="n">
        <v>0</v>
      </c>
      <c r="P548" t="n">
        <v>0</v>
      </c>
      <c r="Q548" t="n">
        <v>0</v>
      </c>
      <c r="R548" t="n">
        <v>0</v>
      </c>
      <c r="S548" t="n">
        <v>0</v>
      </c>
      <c r="T548" t="n">
        <v>0</v>
      </c>
      <c r="U548" s="2" t="inlineStr"/>
    </row>
    <row r="549" ht="15" customHeight="1">
      <c r="A549" t="inlineStr">
        <is>
          <t>A 11927-2025</t>
        </is>
      </c>
      <c r="B549" t="inlineStr">
        <is>
          <t>avverkningsanmälan</t>
        </is>
      </c>
      <c r="C549" t="inlineStr">
        <is>
          <t>Föryngringsavverkning</t>
        </is>
      </c>
      <c r="D549" s="1" t="n">
        <v>45728</v>
      </c>
      <c r="E549" s="1" t="n">
        <v>46216</v>
      </c>
      <c r="F549" t="inlineStr">
        <is>
          <t>VÄSTMANLANDS LÄN</t>
        </is>
      </c>
      <c r="G549" t="inlineStr">
        <is>
          <t>SALA</t>
        </is>
      </c>
      <c r="I549" t="n">
        <v>0.7</v>
      </c>
      <c r="J549" t="n">
        <v>0</v>
      </c>
      <c r="K549" t="n">
        <v>0</v>
      </c>
      <c r="L549" t="n">
        <v>0</v>
      </c>
      <c r="M549" t="n">
        <v>0</v>
      </c>
      <c r="N549" t="n">
        <v>0</v>
      </c>
      <c r="O549" t="n">
        <v>0</v>
      </c>
      <c r="P549" t="n">
        <v>0</v>
      </c>
      <c r="Q549" t="n">
        <v>0</v>
      </c>
      <c r="R549" t="n">
        <v>0</v>
      </c>
      <c r="S549" t="n">
        <v>0</v>
      </c>
      <c r="T549" t="n">
        <v>0</v>
      </c>
      <c r="U549" s="2" t="inlineStr"/>
    </row>
    <row r="550" ht="15" customHeight="1">
      <c r="A550" t="inlineStr">
        <is>
          <t>A 30292-2026</t>
        </is>
      </c>
      <c r="B550" t="inlineStr">
        <is>
          <t>avverkningsanmälan</t>
        </is>
      </c>
      <c r="C550" t="inlineStr">
        <is>
          <t>Föryngringsavverkning</t>
        </is>
      </c>
      <c r="D550" s="1" t="n">
        <v>46206</v>
      </c>
      <c r="E550" s="1" t="n">
        <v>46216</v>
      </c>
      <c r="F550" t="inlineStr">
        <is>
          <t>VÄSTMANLANDS LÄN</t>
        </is>
      </c>
      <c r="G550" t="inlineStr">
        <is>
          <t>SALA</t>
        </is>
      </c>
      <c r="I550" t="n">
        <v>8</v>
      </c>
      <c r="J550" t="n">
        <v>0</v>
      </c>
      <c r="K550" t="n">
        <v>0</v>
      </c>
      <c r="L550" t="n">
        <v>0</v>
      </c>
      <c r="M550" t="n">
        <v>0</v>
      </c>
      <c r="N550" t="n">
        <v>0</v>
      </c>
      <c r="O550" t="n">
        <v>0</v>
      </c>
      <c r="P550" t="n">
        <v>0</v>
      </c>
      <c r="Q550" t="n">
        <v>0</v>
      </c>
      <c r="R550" t="n">
        <v>0</v>
      </c>
      <c r="S550" t="n">
        <v>0</v>
      </c>
      <c r="T550" t="n">
        <v>0</v>
      </c>
      <c r="U550" s="2" t="inlineStr"/>
    </row>
    <row r="551" ht="15" customHeight="1">
      <c r="A551" t="inlineStr">
        <is>
          <t>A 50876-2023</t>
        </is>
      </c>
      <c r="B551" t="inlineStr">
        <is>
          <t>avverkningsanmälan</t>
        </is>
      </c>
      <c r="C551" t="inlineStr">
        <is>
          <t>Föryngringsavverkning</t>
        </is>
      </c>
      <c r="D551" s="1" t="n">
        <v>45211</v>
      </c>
      <c r="E551" s="1" t="n">
        <v>46216</v>
      </c>
      <c r="F551" t="inlineStr">
        <is>
          <t>VÄSTMANLANDS LÄN</t>
        </is>
      </c>
      <c r="G551" t="inlineStr">
        <is>
          <t>SALA</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10255-2024</t>
        </is>
      </c>
      <c r="B552" t="inlineStr">
        <is>
          <t>avverkningsanmälan</t>
        </is>
      </c>
      <c r="C552" t="inlineStr">
        <is>
          <t>Föryngringsavverkning</t>
        </is>
      </c>
      <c r="D552" s="1" t="n">
        <v>45365</v>
      </c>
      <c r="E552" s="1" t="n">
        <v>46216</v>
      </c>
      <c r="F552" t="inlineStr">
        <is>
          <t>VÄSTMANLANDS LÄN</t>
        </is>
      </c>
      <c r="G552" t="inlineStr">
        <is>
          <t>SALA</t>
        </is>
      </c>
      <c r="H552" t="inlineStr">
        <is>
          <t>Kommuner</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62648-2022</t>
        </is>
      </c>
      <c r="B553" t="inlineStr">
        <is>
          <t>avverkningsanmälan</t>
        </is>
      </c>
      <c r="C553" t="inlineStr">
        <is>
          <t>Föryngringsavverkning</t>
        </is>
      </c>
      <c r="D553" s="1" t="n">
        <v>44917</v>
      </c>
      <c r="E553" s="1" t="n">
        <v>46216</v>
      </c>
      <c r="F553" t="inlineStr">
        <is>
          <t>VÄSTMANLANDS LÄN</t>
        </is>
      </c>
      <c r="G553" t="inlineStr">
        <is>
          <t>SALA</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5477-2024</t>
        </is>
      </c>
      <c r="B554" t="inlineStr">
        <is>
          <t>avverkningsanmälan</t>
        </is>
      </c>
      <c r="C554" t="inlineStr">
        <is>
          <t>Föryngringsavverkning</t>
        </is>
      </c>
      <c r="D554" s="1" t="n">
        <v>45333</v>
      </c>
      <c r="E554" s="1" t="n">
        <v>46216</v>
      </c>
      <c r="F554" t="inlineStr">
        <is>
          <t>VÄSTMANLANDS LÄN</t>
        </is>
      </c>
      <c r="G554" t="inlineStr">
        <is>
          <t>SALA</t>
        </is>
      </c>
      <c r="I554" t="n">
        <v>2.3</v>
      </c>
      <c r="J554" t="n">
        <v>0</v>
      </c>
      <c r="K554" t="n">
        <v>0</v>
      </c>
      <c r="L554" t="n">
        <v>0</v>
      </c>
      <c r="M554" t="n">
        <v>0</v>
      </c>
      <c r="N554" t="n">
        <v>0</v>
      </c>
      <c r="O554" t="n">
        <v>0</v>
      </c>
      <c r="P554" t="n">
        <v>0</v>
      </c>
      <c r="Q554" t="n">
        <v>0</v>
      </c>
      <c r="R554" t="n">
        <v>0</v>
      </c>
      <c r="S554" t="n">
        <v>0</v>
      </c>
      <c r="T554" t="n">
        <v>0</v>
      </c>
      <c r="U554" s="2" t="inlineStr"/>
    </row>
    <row r="555" ht="15" customHeight="1">
      <c r="A555" t="inlineStr">
        <is>
          <t>A 39451-2022</t>
        </is>
      </c>
      <c r="B555" t="inlineStr">
        <is>
          <t>avverkningsanmälan</t>
        </is>
      </c>
      <c r="C555" t="inlineStr">
        <is>
          <t>Föryngringsavverkning</t>
        </is>
      </c>
      <c r="D555" s="1" t="n">
        <v>44818</v>
      </c>
      <c r="E555" s="1" t="n">
        <v>46216</v>
      </c>
      <c r="F555" t="inlineStr">
        <is>
          <t>VÄSTMANLANDS LÄN</t>
        </is>
      </c>
      <c r="G555" t="inlineStr">
        <is>
          <t>SALA</t>
        </is>
      </c>
      <c r="I555" t="n">
        <v>9.4</v>
      </c>
      <c r="J555" t="n">
        <v>0</v>
      </c>
      <c r="K555" t="n">
        <v>0</v>
      </c>
      <c r="L555" t="n">
        <v>0</v>
      </c>
      <c r="M555" t="n">
        <v>0</v>
      </c>
      <c r="N555" t="n">
        <v>0</v>
      </c>
      <c r="O555" t="n">
        <v>0</v>
      </c>
      <c r="P555" t="n">
        <v>0</v>
      </c>
      <c r="Q555" t="n">
        <v>0</v>
      </c>
      <c r="R555" t="n">
        <v>0</v>
      </c>
      <c r="S555" t="n">
        <v>0</v>
      </c>
      <c r="T555" t="n">
        <v>0</v>
      </c>
      <c r="U555" s="2" t="inlineStr"/>
    </row>
    <row r="556" ht="15" customHeight="1">
      <c r="A556" t="inlineStr">
        <is>
          <t>A 7772-2023</t>
        </is>
      </c>
      <c r="B556" t="inlineStr">
        <is>
          <t>avverkningsanmälan</t>
        </is>
      </c>
      <c r="C556" t="inlineStr">
        <is>
          <t>Föryngringsavverkning</t>
        </is>
      </c>
      <c r="D556" s="1" t="n">
        <v>44973</v>
      </c>
      <c r="E556" s="1" t="n">
        <v>46216</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s="2" t="inlineStr"/>
    </row>
    <row r="557" ht="15" customHeight="1">
      <c r="A557" t="inlineStr">
        <is>
          <t>A 24292-2026</t>
        </is>
      </c>
      <c r="B557" t="inlineStr">
        <is>
          <t>avverkningsanmälan</t>
        </is>
      </c>
      <c r="C557" t="inlineStr">
        <is>
          <t>Föryngringsavverkning</t>
        </is>
      </c>
      <c r="D557" s="1" t="n">
        <v>46169</v>
      </c>
      <c r="E557" s="1" t="n">
        <v>46216</v>
      </c>
      <c r="F557" t="inlineStr">
        <is>
          <t>VÄSTMANLANDS LÄN</t>
        </is>
      </c>
      <c r="G557" t="inlineStr">
        <is>
          <t>SALA</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19751-2022</t>
        </is>
      </c>
      <c r="B558" t="inlineStr">
        <is>
          <t>avverkningsanmälan</t>
        </is>
      </c>
      <c r="C558" t="inlineStr">
        <is>
          <t>Föryngringsavverkning</t>
        </is>
      </c>
      <c r="D558" s="1" t="n">
        <v>44694</v>
      </c>
      <c r="E558" s="1" t="n">
        <v>46216</v>
      </c>
      <c r="F558" t="inlineStr">
        <is>
          <t>VÄSTMANLANDS LÄN</t>
        </is>
      </c>
      <c r="G558" t="inlineStr">
        <is>
          <t>SALA</t>
        </is>
      </c>
      <c r="I558" t="n">
        <v>2.7</v>
      </c>
      <c r="J558" t="n">
        <v>0</v>
      </c>
      <c r="K558" t="n">
        <v>0</v>
      </c>
      <c r="L558" t="n">
        <v>0</v>
      </c>
      <c r="M558" t="n">
        <v>0</v>
      </c>
      <c r="N558" t="n">
        <v>0</v>
      </c>
      <c r="O558" t="n">
        <v>0</v>
      </c>
      <c r="P558" t="n">
        <v>0</v>
      </c>
      <c r="Q558" t="n">
        <v>0</v>
      </c>
      <c r="R558" t="n">
        <v>0</v>
      </c>
      <c r="S558" t="n">
        <v>0</v>
      </c>
      <c r="T558" t="n">
        <v>0</v>
      </c>
      <c r="U558" s="2" t="inlineStr"/>
    </row>
    <row r="559" ht="15" customHeight="1">
      <c r="A559" t="inlineStr">
        <is>
          <t>A 44713-2023</t>
        </is>
      </c>
      <c r="B559" t="inlineStr">
        <is>
          <t>avverkningsanmälan</t>
        </is>
      </c>
      <c r="C559" t="inlineStr">
        <is>
          <t>Föryngringsavverkning</t>
        </is>
      </c>
      <c r="D559" s="1" t="n">
        <v>45184</v>
      </c>
      <c r="E559" s="1" t="n">
        <v>46216</v>
      </c>
      <c r="F559" t="inlineStr">
        <is>
          <t>VÄSTMANLANDS LÄN</t>
        </is>
      </c>
      <c r="G559" t="inlineStr">
        <is>
          <t>SALA</t>
        </is>
      </c>
      <c r="H559" t="inlineStr">
        <is>
          <t>Kyrkan</t>
        </is>
      </c>
      <c r="I559" t="n">
        <v>7.6</v>
      </c>
      <c r="J559" t="n">
        <v>0</v>
      </c>
      <c r="K559" t="n">
        <v>0</v>
      </c>
      <c r="L559" t="n">
        <v>0</v>
      </c>
      <c r="M559" t="n">
        <v>0</v>
      </c>
      <c r="N559" t="n">
        <v>0</v>
      </c>
      <c r="O559" t="n">
        <v>0</v>
      </c>
      <c r="P559" t="n">
        <v>0</v>
      </c>
      <c r="Q559" t="n">
        <v>0</v>
      </c>
      <c r="R559" t="n">
        <v>0</v>
      </c>
      <c r="S559" t="n">
        <v>0</v>
      </c>
      <c r="T559" t="n">
        <v>0</v>
      </c>
      <c r="U559" s="2" t="inlineStr"/>
    </row>
    <row r="560" ht="15" customHeight="1">
      <c r="A560" t="inlineStr">
        <is>
          <t>A 69236-2021</t>
        </is>
      </c>
      <c r="B560" t="inlineStr">
        <is>
          <t>avverkningsanmälan</t>
        </is>
      </c>
      <c r="C560" t="inlineStr">
        <is>
          <t>Föryngringsavverkning</t>
        </is>
      </c>
      <c r="D560" s="1" t="n">
        <v>44531</v>
      </c>
      <c r="E560" s="1" t="n">
        <v>46216</v>
      </c>
      <c r="F560" t="inlineStr">
        <is>
          <t>VÄSTMANLANDS LÄN</t>
        </is>
      </c>
      <c r="G560" t="inlineStr">
        <is>
          <t>SALA</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25541-2024</t>
        </is>
      </c>
      <c r="B561" t="inlineStr">
        <is>
          <t>avverkningsanmälan</t>
        </is>
      </c>
      <c r="C561" t="inlineStr">
        <is>
          <t>Föryngringsavverkning</t>
        </is>
      </c>
      <c r="D561" s="1" t="n">
        <v>45463</v>
      </c>
      <c r="E561" s="1" t="n">
        <v>46216</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s="2" t="inlineStr"/>
    </row>
    <row r="562" ht="15" customHeight="1">
      <c r="A562" t="inlineStr">
        <is>
          <t>A 5728-2022</t>
        </is>
      </c>
      <c r="B562" t="inlineStr">
        <is>
          <t>avverkningsanmälan</t>
        </is>
      </c>
      <c r="C562" t="inlineStr">
        <is>
          <t>Föryngringsavverkning</t>
        </is>
      </c>
      <c r="D562" s="1" t="n">
        <v>44596</v>
      </c>
      <c r="E562" s="1" t="n">
        <v>46216</v>
      </c>
      <c r="F562" t="inlineStr">
        <is>
          <t>VÄSTMANLANDS LÄN</t>
        </is>
      </c>
      <c r="G562" t="inlineStr">
        <is>
          <t>SALA</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10250-2025</t>
        </is>
      </c>
      <c r="B563" t="inlineStr">
        <is>
          <t>avverkningsanmälan</t>
        </is>
      </c>
      <c r="C563" t="inlineStr">
        <is>
          <t>Föryngringsavverkning</t>
        </is>
      </c>
      <c r="D563" s="1" t="n">
        <v>45720</v>
      </c>
      <c r="E563" s="1" t="n">
        <v>46216</v>
      </c>
      <c r="F563" t="inlineStr">
        <is>
          <t>VÄSTMANLANDS LÄN</t>
        </is>
      </c>
      <c r="G563" t="inlineStr">
        <is>
          <t>SALA</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42416-2022</t>
        </is>
      </c>
      <c r="B564" t="inlineStr">
        <is>
          <t>avverkningsanmälan</t>
        </is>
      </c>
      <c r="C564" t="inlineStr">
        <is>
          <t>Föryngringsavverkning</t>
        </is>
      </c>
      <c r="D564" s="1" t="n">
        <v>44831</v>
      </c>
      <c r="E564" s="1" t="n">
        <v>46216</v>
      </c>
      <c r="F564" t="inlineStr">
        <is>
          <t>VÄSTMANLANDS LÄN</t>
        </is>
      </c>
      <c r="G564" t="inlineStr">
        <is>
          <t>SALA</t>
        </is>
      </c>
      <c r="I564" t="n">
        <v>2.2</v>
      </c>
      <c r="J564" t="n">
        <v>0</v>
      </c>
      <c r="K564" t="n">
        <v>0</v>
      </c>
      <c r="L564" t="n">
        <v>0</v>
      </c>
      <c r="M564" t="n">
        <v>0</v>
      </c>
      <c r="N564" t="n">
        <v>0</v>
      </c>
      <c r="O564" t="n">
        <v>0</v>
      </c>
      <c r="P564" t="n">
        <v>0</v>
      </c>
      <c r="Q564" t="n">
        <v>0</v>
      </c>
      <c r="R564" t="n">
        <v>0</v>
      </c>
      <c r="S564" t="n">
        <v>0</v>
      </c>
      <c r="T564" t="n">
        <v>0</v>
      </c>
      <c r="U564" s="2" t="inlineStr"/>
    </row>
    <row r="565" ht="15" customHeight="1">
      <c r="A565" t="inlineStr">
        <is>
          <t>A 6135-2023</t>
        </is>
      </c>
      <c r="B565" t="inlineStr">
        <is>
          <t>avverkningsanmälan</t>
        </is>
      </c>
      <c r="C565" t="inlineStr">
        <is>
          <t>Föryngringsavverkning</t>
        </is>
      </c>
      <c r="D565" s="1" t="n">
        <v>44964</v>
      </c>
      <c r="E565" s="1" t="n">
        <v>46216</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25228-2026</t>
        </is>
      </c>
      <c r="B566" t="inlineStr">
        <is>
          <t>avverkningsanmälan</t>
        </is>
      </c>
      <c r="C566" t="inlineStr">
        <is>
          <t>Föryngringsavverkning</t>
        </is>
      </c>
      <c r="D566" s="1" t="n">
        <v>46171</v>
      </c>
      <c r="E566" s="1" t="n">
        <v>46216</v>
      </c>
      <c r="F566" t="inlineStr">
        <is>
          <t>VÄSTMANLANDS LÄN</t>
        </is>
      </c>
      <c r="G566" t="inlineStr">
        <is>
          <t>SALA</t>
        </is>
      </c>
      <c r="I566" t="n">
        <v>1.2</v>
      </c>
      <c r="J566" t="n">
        <v>0</v>
      </c>
      <c r="K566" t="n">
        <v>0</v>
      </c>
      <c r="L566" t="n">
        <v>0</v>
      </c>
      <c r="M566" t="n">
        <v>0</v>
      </c>
      <c r="N566" t="n">
        <v>0</v>
      </c>
      <c r="O566" t="n">
        <v>0</v>
      </c>
      <c r="P566" t="n">
        <v>0</v>
      </c>
      <c r="Q566" t="n">
        <v>0</v>
      </c>
      <c r="R566" t="n">
        <v>0</v>
      </c>
      <c r="S566" t="n">
        <v>0</v>
      </c>
      <c r="T566" t="n">
        <v>0</v>
      </c>
      <c r="U566" s="2" t="inlineStr"/>
    </row>
    <row r="567" ht="15" customHeight="1">
      <c r="A567" t="inlineStr">
        <is>
          <t>A 30294-2026</t>
        </is>
      </c>
      <c r="B567" t="inlineStr">
        <is>
          <t>avverkningsanmälan</t>
        </is>
      </c>
      <c r="C567" t="inlineStr">
        <is>
          <t>Föryngringsavverkning</t>
        </is>
      </c>
      <c r="D567" s="1" t="n">
        <v>46206</v>
      </c>
      <c r="E567" s="1" t="n">
        <v>46216</v>
      </c>
      <c r="F567" t="inlineStr">
        <is>
          <t>VÄSTMANLANDS LÄN</t>
        </is>
      </c>
      <c r="G567" t="inlineStr">
        <is>
          <t>SALA</t>
        </is>
      </c>
      <c r="I567" t="n">
        <v>2.5</v>
      </c>
      <c r="J567" t="n">
        <v>0</v>
      </c>
      <c r="K567" t="n">
        <v>0</v>
      </c>
      <c r="L567" t="n">
        <v>0</v>
      </c>
      <c r="M567" t="n">
        <v>0</v>
      </c>
      <c r="N567" t="n">
        <v>0</v>
      </c>
      <c r="O567" t="n">
        <v>0</v>
      </c>
      <c r="P567" t="n">
        <v>0</v>
      </c>
      <c r="Q567" t="n">
        <v>0</v>
      </c>
      <c r="R567" t="n">
        <v>0</v>
      </c>
      <c r="S567" t="n">
        <v>0</v>
      </c>
      <c r="T567" t="n">
        <v>0</v>
      </c>
      <c r="U567" s="2" t="inlineStr"/>
    </row>
    <row r="568" ht="15" customHeight="1">
      <c r="A568" t="inlineStr">
        <is>
          <t>A 25227-2026</t>
        </is>
      </c>
      <c r="B568" t="inlineStr">
        <is>
          <t>avverkningsanmälan</t>
        </is>
      </c>
      <c r="C568" t="inlineStr">
        <is>
          <t>Föryngringsavverkning</t>
        </is>
      </c>
      <c r="D568" s="1" t="n">
        <v>46171</v>
      </c>
      <c r="E568" s="1" t="n">
        <v>46216</v>
      </c>
      <c r="F568" t="inlineStr">
        <is>
          <t>VÄSTMANLANDS LÄN</t>
        </is>
      </c>
      <c r="G568" t="inlineStr">
        <is>
          <t>SALA</t>
        </is>
      </c>
      <c r="I568" t="n">
        <v>2.9</v>
      </c>
      <c r="J568" t="n">
        <v>0</v>
      </c>
      <c r="K568" t="n">
        <v>0</v>
      </c>
      <c r="L568" t="n">
        <v>0</v>
      </c>
      <c r="M568" t="n">
        <v>0</v>
      </c>
      <c r="N568" t="n">
        <v>0</v>
      </c>
      <c r="O568" t="n">
        <v>0</v>
      </c>
      <c r="P568" t="n">
        <v>0</v>
      </c>
      <c r="Q568" t="n">
        <v>0</v>
      </c>
      <c r="R568" t="n">
        <v>0</v>
      </c>
      <c r="S568" t="n">
        <v>0</v>
      </c>
      <c r="T568" t="n">
        <v>0</v>
      </c>
      <c r="U568" s="2" t="inlineStr"/>
    </row>
    <row r="569" ht="15" customHeight="1">
      <c r="A569" t="inlineStr">
        <is>
          <t>A 38636-2024</t>
        </is>
      </c>
      <c r="B569" t="inlineStr">
        <is>
          <t>avverkningsanmälan</t>
        </is>
      </c>
      <c r="C569" t="inlineStr">
        <is>
          <t>Föryngringsavverkning</t>
        </is>
      </c>
      <c r="D569" s="1" t="n">
        <v>45546</v>
      </c>
      <c r="E569" s="1" t="n">
        <v>46216</v>
      </c>
      <c r="F569" t="inlineStr">
        <is>
          <t>VÄSTMANLANDS LÄN</t>
        </is>
      </c>
      <c r="G569" t="inlineStr">
        <is>
          <t>SALA</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56706-2022</t>
        </is>
      </c>
      <c r="B570" t="inlineStr">
        <is>
          <t>avverkningsanmälan</t>
        </is>
      </c>
      <c r="C570" t="inlineStr">
        <is>
          <t>Föryngringsavverkning</t>
        </is>
      </c>
      <c r="D570" s="1" t="n">
        <v>44893</v>
      </c>
      <c r="E570" s="1" t="n">
        <v>46216</v>
      </c>
      <c r="F570" t="inlineStr">
        <is>
          <t>VÄSTMANLANDS LÄN</t>
        </is>
      </c>
      <c r="G570" t="inlineStr">
        <is>
          <t>SALA</t>
        </is>
      </c>
      <c r="I570" t="n">
        <v>4.5</v>
      </c>
      <c r="J570" t="n">
        <v>0</v>
      </c>
      <c r="K570" t="n">
        <v>0</v>
      </c>
      <c r="L570" t="n">
        <v>0</v>
      </c>
      <c r="M570" t="n">
        <v>0</v>
      </c>
      <c r="N570" t="n">
        <v>0</v>
      </c>
      <c r="O570" t="n">
        <v>0</v>
      </c>
      <c r="P570" t="n">
        <v>0</v>
      </c>
      <c r="Q570" t="n">
        <v>0</v>
      </c>
      <c r="R570" t="n">
        <v>0</v>
      </c>
      <c r="S570" t="n">
        <v>0</v>
      </c>
      <c r="T570" t="n">
        <v>0</v>
      </c>
      <c r="U570" s="2" t="inlineStr"/>
    </row>
    <row r="571" ht="15" customHeight="1">
      <c r="A571" t="inlineStr">
        <is>
          <t>A 56707-2022</t>
        </is>
      </c>
      <c r="B571" t="inlineStr">
        <is>
          <t>avverkningsanmälan</t>
        </is>
      </c>
      <c r="C571" t="inlineStr">
        <is>
          <t>Föryngringsavverkning</t>
        </is>
      </c>
      <c r="D571" s="1" t="n">
        <v>44893</v>
      </c>
      <c r="E571" s="1" t="n">
        <v>46216</v>
      </c>
      <c r="F571" t="inlineStr">
        <is>
          <t>VÄSTMANLANDS LÄN</t>
        </is>
      </c>
      <c r="G571" t="inlineStr">
        <is>
          <t>SALA</t>
        </is>
      </c>
      <c r="I571" t="n">
        <v>1</v>
      </c>
      <c r="J571" t="n">
        <v>0</v>
      </c>
      <c r="K571" t="n">
        <v>0</v>
      </c>
      <c r="L571" t="n">
        <v>0</v>
      </c>
      <c r="M571" t="n">
        <v>0</v>
      </c>
      <c r="N571" t="n">
        <v>0</v>
      </c>
      <c r="O571" t="n">
        <v>0</v>
      </c>
      <c r="P571" t="n">
        <v>0</v>
      </c>
      <c r="Q571" t="n">
        <v>0</v>
      </c>
      <c r="R571" t="n">
        <v>0</v>
      </c>
      <c r="S571" t="n">
        <v>0</v>
      </c>
      <c r="T571" t="n">
        <v>0</v>
      </c>
      <c r="U571" s="2" t="inlineStr"/>
    </row>
    <row r="572" ht="15" customHeight="1">
      <c r="A572" t="inlineStr">
        <is>
          <t>A 48571-2024</t>
        </is>
      </c>
      <c r="B572" t="inlineStr">
        <is>
          <t>avverkningsanmälan</t>
        </is>
      </c>
      <c r="C572" t="inlineStr">
        <is>
          <t>Föryngringsavverkning</t>
        </is>
      </c>
      <c r="D572" s="1" t="n">
        <v>45591</v>
      </c>
      <c r="E572" s="1" t="n">
        <v>46216</v>
      </c>
      <c r="F572" t="inlineStr">
        <is>
          <t>VÄSTMANLANDS LÄN</t>
        </is>
      </c>
      <c r="G572" t="inlineStr">
        <is>
          <t>SALA</t>
        </is>
      </c>
      <c r="I572" t="n">
        <v>8.199999999999999</v>
      </c>
      <c r="J572" t="n">
        <v>0</v>
      </c>
      <c r="K572" t="n">
        <v>0</v>
      </c>
      <c r="L572" t="n">
        <v>0</v>
      </c>
      <c r="M572" t="n">
        <v>0</v>
      </c>
      <c r="N572" t="n">
        <v>0</v>
      </c>
      <c r="O572" t="n">
        <v>0</v>
      </c>
      <c r="P572" t="n">
        <v>0</v>
      </c>
      <c r="Q572" t="n">
        <v>0</v>
      </c>
      <c r="R572" t="n">
        <v>0</v>
      </c>
      <c r="S572" t="n">
        <v>0</v>
      </c>
      <c r="T572" t="n">
        <v>0</v>
      </c>
      <c r="U572" s="2" t="inlineStr"/>
    </row>
    <row r="573" ht="15" customHeight="1">
      <c r="A573" t="inlineStr">
        <is>
          <t>A 13188-2025</t>
        </is>
      </c>
      <c r="B573" t="inlineStr">
        <is>
          <t>avverkningsanmälan</t>
        </is>
      </c>
      <c r="C573" t="inlineStr">
        <is>
          <t>Föryngringsavverkning</t>
        </is>
      </c>
      <c r="D573" s="1" t="n">
        <v>45735</v>
      </c>
      <c r="E573" s="1" t="n">
        <v>46216</v>
      </c>
      <c r="F573" t="inlineStr">
        <is>
          <t>VÄSTMANLANDS LÄN</t>
        </is>
      </c>
      <c r="G573" t="inlineStr">
        <is>
          <t>SALA</t>
        </is>
      </c>
      <c r="H573" t="inlineStr">
        <is>
          <t>Naturvårdsverket</t>
        </is>
      </c>
      <c r="I573" t="n">
        <v>18.4</v>
      </c>
      <c r="J573" t="n">
        <v>0</v>
      </c>
      <c r="K573" t="n">
        <v>0</v>
      </c>
      <c r="L573" t="n">
        <v>0</v>
      </c>
      <c r="M573" t="n">
        <v>0</v>
      </c>
      <c r="N573" t="n">
        <v>0</v>
      </c>
      <c r="O573" t="n">
        <v>0</v>
      </c>
      <c r="P573" t="n">
        <v>0</v>
      </c>
      <c r="Q573" t="n">
        <v>0</v>
      </c>
      <c r="R573" t="n">
        <v>0</v>
      </c>
      <c r="S573" t="n">
        <v>0</v>
      </c>
      <c r="T573" t="n">
        <v>0</v>
      </c>
      <c r="U573" s="2" t="inlineStr"/>
    </row>
    <row r="574" ht="15" customHeight="1">
      <c r="A574" t="inlineStr">
        <is>
          <t>A 23431-2024</t>
        </is>
      </c>
      <c r="B574" t="inlineStr">
        <is>
          <t>avverkningsanmälan</t>
        </is>
      </c>
      <c r="C574" t="inlineStr">
        <is>
          <t>Föryngringsavverkning</t>
        </is>
      </c>
      <c r="D574" s="1" t="n">
        <v>45453</v>
      </c>
      <c r="E574" s="1" t="n">
        <v>46216</v>
      </c>
      <c r="F574" t="inlineStr">
        <is>
          <t>VÄSTMANLANDS LÄN</t>
        </is>
      </c>
      <c r="G574" t="inlineStr">
        <is>
          <t>SALA</t>
        </is>
      </c>
      <c r="I574" t="n">
        <v>1.6</v>
      </c>
      <c r="J574" t="n">
        <v>0</v>
      </c>
      <c r="K574" t="n">
        <v>0</v>
      </c>
      <c r="L574" t="n">
        <v>0</v>
      </c>
      <c r="M574" t="n">
        <v>0</v>
      </c>
      <c r="N574" t="n">
        <v>0</v>
      </c>
      <c r="O574" t="n">
        <v>0</v>
      </c>
      <c r="P574" t="n">
        <v>0</v>
      </c>
      <c r="Q574" t="n">
        <v>0</v>
      </c>
      <c r="R574" t="n">
        <v>0</v>
      </c>
      <c r="S574" t="n">
        <v>0</v>
      </c>
      <c r="T574" t="n">
        <v>0</v>
      </c>
      <c r="U574" s="2" t="inlineStr"/>
    </row>
    <row r="575" ht="15" customHeight="1">
      <c r="A575" t="inlineStr">
        <is>
          <t>A 21754-2025</t>
        </is>
      </c>
      <c r="B575" t="inlineStr">
        <is>
          <t>avverkningsanmälan</t>
        </is>
      </c>
      <c r="C575" t="inlineStr">
        <is>
          <t>Föryngringsavverkning</t>
        </is>
      </c>
      <c r="D575" s="1" t="n">
        <v>45783</v>
      </c>
      <c r="E575" s="1" t="n">
        <v>46216</v>
      </c>
      <c r="F575" t="inlineStr">
        <is>
          <t>VÄSTMANLANDS LÄN</t>
        </is>
      </c>
      <c r="G575" t="inlineStr">
        <is>
          <t>SALA</t>
        </is>
      </c>
      <c r="I575" t="n">
        <v>8.699999999999999</v>
      </c>
      <c r="J575" t="n">
        <v>0</v>
      </c>
      <c r="K575" t="n">
        <v>0</v>
      </c>
      <c r="L575" t="n">
        <v>0</v>
      </c>
      <c r="M575" t="n">
        <v>0</v>
      </c>
      <c r="N575" t="n">
        <v>0</v>
      </c>
      <c r="O575" t="n">
        <v>0</v>
      </c>
      <c r="P575" t="n">
        <v>0</v>
      </c>
      <c r="Q575" t="n">
        <v>0</v>
      </c>
      <c r="R575" t="n">
        <v>0</v>
      </c>
      <c r="S575" t="n">
        <v>0</v>
      </c>
      <c r="T575" t="n">
        <v>0</v>
      </c>
      <c r="U575" s="2" t="inlineStr"/>
    </row>
    <row r="576" ht="15" customHeight="1">
      <c r="A576" t="inlineStr">
        <is>
          <t>A 21751-2025</t>
        </is>
      </c>
      <c r="B576" t="inlineStr">
        <is>
          <t>avverkningsanmälan</t>
        </is>
      </c>
      <c r="C576" t="inlineStr">
        <is>
          <t>Föryngringsavverkning</t>
        </is>
      </c>
      <c r="D576" s="1" t="n">
        <v>45783</v>
      </c>
      <c r="E576" s="1" t="n">
        <v>46216</v>
      </c>
      <c r="F576" t="inlineStr">
        <is>
          <t>VÄSTMANLANDS LÄN</t>
        </is>
      </c>
      <c r="G576" t="inlineStr">
        <is>
          <t>SALA</t>
        </is>
      </c>
      <c r="I576" t="n">
        <v>1</v>
      </c>
      <c r="J576" t="n">
        <v>0</v>
      </c>
      <c r="K576" t="n">
        <v>0</v>
      </c>
      <c r="L576" t="n">
        <v>0</v>
      </c>
      <c r="M576" t="n">
        <v>0</v>
      </c>
      <c r="N576" t="n">
        <v>0</v>
      </c>
      <c r="O576" t="n">
        <v>0</v>
      </c>
      <c r="P576" t="n">
        <v>0</v>
      </c>
      <c r="Q576" t="n">
        <v>0</v>
      </c>
      <c r="R576" t="n">
        <v>0</v>
      </c>
      <c r="S576" t="n">
        <v>0</v>
      </c>
      <c r="T576" t="n">
        <v>0</v>
      </c>
      <c r="U576" s="2" t="inlineStr"/>
    </row>
    <row r="577" ht="15" customHeight="1">
      <c r="A577" t="inlineStr">
        <is>
          <t>A 37587-2024</t>
        </is>
      </c>
      <c r="B577" t="inlineStr">
        <is>
          <t>avverkningsanmälan</t>
        </is>
      </c>
      <c r="C577" t="inlineStr">
        <is>
          <t>Föryngringsavverkning</t>
        </is>
      </c>
      <c r="D577" s="1" t="n">
        <v>45541</v>
      </c>
      <c r="E577" s="1" t="n">
        <v>46216</v>
      </c>
      <c r="F577" t="inlineStr">
        <is>
          <t>VÄSTMANLANDS LÄN</t>
        </is>
      </c>
      <c r="G577" t="inlineStr">
        <is>
          <t>SALA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64724-2023</t>
        </is>
      </c>
      <c r="B578" t="inlineStr">
        <is>
          <t>avverkningsanmälan</t>
        </is>
      </c>
      <c r="C578" t="inlineStr">
        <is>
          <t>Föryngringsavverkning</t>
        </is>
      </c>
      <c r="D578" s="1" t="n">
        <v>45281</v>
      </c>
      <c r="E578" s="1" t="n">
        <v>46216</v>
      </c>
      <c r="F578" t="inlineStr">
        <is>
          <t>VÄSTMANLANDS LÄN</t>
        </is>
      </c>
      <c r="G578" t="inlineStr">
        <is>
          <t>SALA</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7176-2023</t>
        </is>
      </c>
      <c r="B579" t="inlineStr">
        <is>
          <t>avverkningsanmälan</t>
        </is>
      </c>
      <c r="C579" t="inlineStr">
        <is>
          <t>Föryngringsavverkning</t>
        </is>
      </c>
      <c r="D579" s="1" t="n">
        <v>44970</v>
      </c>
      <c r="E579" s="1" t="n">
        <v>46216</v>
      </c>
      <c r="F579" t="inlineStr">
        <is>
          <t>VÄSTMANLANDS LÄN</t>
        </is>
      </c>
      <c r="G579" t="inlineStr">
        <is>
          <t>SALA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43600-2024</t>
        </is>
      </c>
      <c r="B580" t="inlineStr">
        <is>
          <t>avverkningsanmälan</t>
        </is>
      </c>
      <c r="C580" t="inlineStr">
        <is>
          <t>Föryngringsavverkning</t>
        </is>
      </c>
      <c r="D580" s="1" t="n">
        <v>45569</v>
      </c>
      <c r="E580" s="1" t="n">
        <v>46216</v>
      </c>
      <c r="F580" t="inlineStr">
        <is>
          <t>VÄSTMANLANDS LÄN</t>
        </is>
      </c>
      <c r="G580" t="inlineStr">
        <is>
          <t>SALA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31405-2024</t>
        </is>
      </c>
      <c r="B581" t="inlineStr">
        <is>
          <t>avverkningsanmälan</t>
        </is>
      </c>
      <c r="C581" t="inlineStr">
        <is>
          <t>Föryngringsavverkning</t>
        </is>
      </c>
      <c r="D581" s="1" t="n">
        <v>45505</v>
      </c>
      <c r="E581" s="1" t="n">
        <v>46216</v>
      </c>
      <c r="F581" t="inlineStr">
        <is>
          <t>VÄSTMANLANDS LÄN</t>
        </is>
      </c>
      <c r="G581" t="inlineStr">
        <is>
          <t>SALA</t>
        </is>
      </c>
      <c r="I581" t="n">
        <v>5.2</v>
      </c>
      <c r="J581" t="n">
        <v>0</v>
      </c>
      <c r="K581" t="n">
        <v>0</v>
      </c>
      <c r="L581" t="n">
        <v>0</v>
      </c>
      <c r="M581" t="n">
        <v>0</v>
      </c>
      <c r="N581" t="n">
        <v>0</v>
      </c>
      <c r="O581" t="n">
        <v>0</v>
      </c>
      <c r="P581" t="n">
        <v>0</v>
      </c>
      <c r="Q581" t="n">
        <v>0</v>
      </c>
      <c r="R581" t="n">
        <v>0</v>
      </c>
      <c r="S581" t="n">
        <v>0</v>
      </c>
      <c r="T581" t="n">
        <v>0</v>
      </c>
      <c r="U581" s="2" t="inlineStr"/>
    </row>
    <row r="582" ht="15" customHeight="1">
      <c r="A582" t="inlineStr">
        <is>
          <t>A 22353-2025</t>
        </is>
      </c>
      <c r="B582" t="inlineStr">
        <is>
          <t>avverkningsanmälan</t>
        </is>
      </c>
      <c r="C582" t="inlineStr">
        <is>
          <t>Föryngringsavverkning</t>
        </is>
      </c>
      <c r="D582" s="1" t="n">
        <v>45786</v>
      </c>
      <c r="E582" s="1" t="n">
        <v>46216</v>
      </c>
      <c r="F582" t="inlineStr">
        <is>
          <t>VÄSTMANLANDS LÄN</t>
        </is>
      </c>
      <c r="G582" t="inlineStr">
        <is>
          <t>SALA</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22383-2025</t>
        </is>
      </c>
      <c r="B583" t="inlineStr">
        <is>
          <t>avverkningsanmälan</t>
        </is>
      </c>
      <c r="C583" t="inlineStr">
        <is>
          <t>Föryngringsavverkning</t>
        </is>
      </c>
      <c r="D583" s="1" t="n">
        <v>45786</v>
      </c>
      <c r="E583" s="1" t="n">
        <v>46216</v>
      </c>
      <c r="F583" t="inlineStr">
        <is>
          <t>VÄSTMANLANDS LÄN</t>
        </is>
      </c>
      <c r="G583" t="inlineStr">
        <is>
          <t>SALA</t>
        </is>
      </c>
      <c r="I583" t="n">
        <v>2.2</v>
      </c>
      <c r="J583" t="n">
        <v>0</v>
      </c>
      <c r="K583" t="n">
        <v>0</v>
      </c>
      <c r="L583" t="n">
        <v>0</v>
      </c>
      <c r="M583" t="n">
        <v>0</v>
      </c>
      <c r="N583" t="n">
        <v>0</v>
      </c>
      <c r="O583" t="n">
        <v>0</v>
      </c>
      <c r="P583" t="n">
        <v>0</v>
      </c>
      <c r="Q583" t="n">
        <v>0</v>
      </c>
      <c r="R583" t="n">
        <v>0</v>
      </c>
      <c r="S583" t="n">
        <v>0</v>
      </c>
      <c r="T583" t="n">
        <v>0</v>
      </c>
      <c r="U583" s="2" t="inlineStr"/>
    </row>
    <row r="584" ht="15" customHeight="1">
      <c r="A584" t="inlineStr">
        <is>
          <t>A 22370-2025</t>
        </is>
      </c>
      <c r="B584" t="inlineStr">
        <is>
          <t>avverkningsanmälan</t>
        </is>
      </c>
      <c r="C584" t="inlineStr">
        <is>
          <t>Föryngringsavverkning</t>
        </is>
      </c>
      <c r="D584" s="1" t="n">
        <v>45786</v>
      </c>
      <c r="E584" s="1" t="n">
        <v>46216</v>
      </c>
      <c r="F584" t="inlineStr">
        <is>
          <t>VÄSTMANLANDS LÄN</t>
        </is>
      </c>
      <c r="G584" t="inlineStr">
        <is>
          <t>SALA</t>
        </is>
      </c>
      <c r="I584" t="n">
        <v>3.2</v>
      </c>
      <c r="J584" t="n">
        <v>0</v>
      </c>
      <c r="K584" t="n">
        <v>0</v>
      </c>
      <c r="L584" t="n">
        <v>0</v>
      </c>
      <c r="M584" t="n">
        <v>0</v>
      </c>
      <c r="N584" t="n">
        <v>0</v>
      </c>
      <c r="O584" t="n">
        <v>0</v>
      </c>
      <c r="P584" t="n">
        <v>0</v>
      </c>
      <c r="Q584" t="n">
        <v>0</v>
      </c>
      <c r="R584" t="n">
        <v>0</v>
      </c>
      <c r="S584" t="n">
        <v>0</v>
      </c>
      <c r="T584" t="n">
        <v>0</v>
      </c>
      <c r="U584" s="2" t="inlineStr"/>
    </row>
    <row r="585" ht="15" customHeight="1">
      <c r="A585" t="inlineStr">
        <is>
          <t>A 13130-2025</t>
        </is>
      </c>
      <c r="B585" t="inlineStr">
        <is>
          <t>avverkningsanmälan</t>
        </is>
      </c>
      <c r="C585" t="inlineStr">
        <is>
          <t>Avverkning för annat ändamål</t>
        </is>
      </c>
      <c r="D585" s="1" t="n">
        <v>45734</v>
      </c>
      <c r="E585" s="1" t="n">
        <v>46216</v>
      </c>
      <c r="F585" t="inlineStr">
        <is>
          <t>VÄSTMANLANDS LÄN</t>
        </is>
      </c>
      <c r="G585" t="inlineStr">
        <is>
          <t>SALA</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23804-2025</t>
        </is>
      </c>
      <c r="B586" t="inlineStr">
        <is>
          <t>avverkningsanmälan</t>
        </is>
      </c>
      <c r="C586" t="inlineStr">
        <is>
          <t>Föryngringsavverkning</t>
        </is>
      </c>
      <c r="D586" s="1" t="n">
        <v>45793</v>
      </c>
      <c r="E586" s="1" t="n">
        <v>46216</v>
      </c>
      <c r="F586" t="inlineStr">
        <is>
          <t>VÄSTMANLANDS LÄN</t>
        </is>
      </c>
      <c r="G586" t="inlineStr">
        <is>
          <t>SALA</t>
        </is>
      </c>
      <c r="I586" t="n">
        <v>1.9</v>
      </c>
      <c r="J586" t="n">
        <v>0</v>
      </c>
      <c r="K586" t="n">
        <v>0</v>
      </c>
      <c r="L586" t="n">
        <v>0</v>
      </c>
      <c r="M586" t="n">
        <v>0</v>
      </c>
      <c r="N586" t="n">
        <v>0</v>
      </c>
      <c r="O586" t="n">
        <v>0</v>
      </c>
      <c r="P586" t="n">
        <v>0</v>
      </c>
      <c r="Q586" t="n">
        <v>0</v>
      </c>
      <c r="R586" t="n">
        <v>0</v>
      </c>
      <c r="S586" t="n">
        <v>0</v>
      </c>
      <c r="T586" t="n">
        <v>0</v>
      </c>
      <c r="U586" s="2" t="inlineStr"/>
    </row>
    <row r="587" ht="15" customHeight="1">
      <c r="A587" t="inlineStr">
        <is>
          <t>A 22126-2025</t>
        </is>
      </c>
      <c r="B587" t="inlineStr">
        <is>
          <t>avverkningsanmälan</t>
        </is>
      </c>
      <c r="C587" t="inlineStr">
        <is>
          <t>Föryngringsavverkning</t>
        </is>
      </c>
      <c r="D587" s="1" t="n">
        <v>45785</v>
      </c>
      <c r="E587" s="1" t="n">
        <v>46216</v>
      </c>
      <c r="F587" t="inlineStr">
        <is>
          <t>VÄSTMANLANDS LÄN</t>
        </is>
      </c>
      <c r="G587" t="inlineStr">
        <is>
          <t>SALA</t>
        </is>
      </c>
      <c r="I587" t="n">
        <v>10.6</v>
      </c>
      <c r="J587" t="n">
        <v>0</v>
      </c>
      <c r="K587" t="n">
        <v>0</v>
      </c>
      <c r="L587" t="n">
        <v>0</v>
      </c>
      <c r="M587" t="n">
        <v>0</v>
      </c>
      <c r="N587" t="n">
        <v>0</v>
      </c>
      <c r="O587" t="n">
        <v>0</v>
      </c>
      <c r="P587" t="n">
        <v>0</v>
      </c>
      <c r="Q587" t="n">
        <v>0</v>
      </c>
      <c r="R587" t="n">
        <v>0</v>
      </c>
      <c r="S587" t="n">
        <v>0</v>
      </c>
      <c r="T587" t="n">
        <v>0</v>
      </c>
      <c r="U587" s="2" t="inlineStr"/>
    </row>
    <row r="588" ht="15" customHeight="1">
      <c r="A588" t="inlineStr">
        <is>
          <t>A 19297-2025</t>
        </is>
      </c>
      <c r="B588" t="inlineStr">
        <is>
          <t>avverkningsanmälan</t>
        </is>
      </c>
      <c r="C588" t="inlineStr">
        <is>
          <t>Föryngringsavverkning</t>
        </is>
      </c>
      <c r="D588" s="1" t="n">
        <v>45769</v>
      </c>
      <c r="E588" s="1" t="n">
        <v>46216</v>
      </c>
      <c r="F588" t="inlineStr">
        <is>
          <t>VÄSTMANLANDS LÄN</t>
        </is>
      </c>
      <c r="G588" t="inlineStr">
        <is>
          <t>SALA</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23810-2025</t>
        </is>
      </c>
      <c r="B589" t="inlineStr">
        <is>
          <t>avverkningsanmälan</t>
        </is>
      </c>
      <c r="C589" t="inlineStr">
        <is>
          <t>Föryngringsavverkning</t>
        </is>
      </c>
      <c r="D589" s="1" t="n">
        <v>45793</v>
      </c>
      <c r="E589" s="1" t="n">
        <v>46216</v>
      </c>
      <c r="F589" t="inlineStr">
        <is>
          <t>VÄSTMANLANDS LÄN</t>
        </is>
      </c>
      <c r="G589" t="inlineStr">
        <is>
          <t>SALA</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11210-2025</t>
        </is>
      </c>
      <c r="B590" t="inlineStr">
        <is>
          <t>avverkningsanmälan</t>
        </is>
      </c>
      <c r="C590" t="inlineStr">
        <is>
          <t>Föryngringsavverkning</t>
        </is>
      </c>
      <c r="D590" s="1" t="n">
        <v>45726</v>
      </c>
      <c r="E590" s="1" t="n">
        <v>46216</v>
      </c>
      <c r="F590" t="inlineStr">
        <is>
          <t>VÄSTMANLANDS LÄN</t>
        </is>
      </c>
      <c r="G590" t="inlineStr">
        <is>
          <t>SALA</t>
        </is>
      </c>
      <c r="I590" t="n">
        <v>4.1</v>
      </c>
      <c r="J590" t="n">
        <v>0</v>
      </c>
      <c r="K590" t="n">
        <v>0</v>
      </c>
      <c r="L590" t="n">
        <v>0</v>
      </c>
      <c r="M590" t="n">
        <v>0</v>
      </c>
      <c r="N590" t="n">
        <v>0</v>
      </c>
      <c r="O590" t="n">
        <v>0</v>
      </c>
      <c r="P590" t="n">
        <v>0</v>
      </c>
      <c r="Q590" t="n">
        <v>0</v>
      </c>
      <c r="R590" t="n">
        <v>0</v>
      </c>
      <c r="S590" t="n">
        <v>0</v>
      </c>
      <c r="T590" t="n">
        <v>0</v>
      </c>
      <c r="U590" s="2" t="inlineStr"/>
    </row>
    <row r="591" ht="15" customHeight="1">
      <c r="A591" t="inlineStr">
        <is>
          <t>A 24944-2023</t>
        </is>
      </c>
      <c r="B591" t="inlineStr">
        <is>
          <t>avverkningsanmälan</t>
        </is>
      </c>
      <c r="C591" t="inlineStr">
        <is>
          <t>Föryngringsavverkning</t>
        </is>
      </c>
      <c r="D591" s="1" t="n">
        <v>45085</v>
      </c>
      <c r="E591" s="1" t="n">
        <v>46216</v>
      </c>
      <c r="F591" t="inlineStr">
        <is>
          <t>VÄSTMANLANDS LÄN</t>
        </is>
      </c>
      <c r="G591" t="inlineStr">
        <is>
          <t>SALA</t>
        </is>
      </c>
      <c r="I591" t="n">
        <v>3.8</v>
      </c>
      <c r="J591" t="n">
        <v>0</v>
      </c>
      <c r="K591" t="n">
        <v>0</v>
      </c>
      <c r="L591" t="n">
        <v>0</v>
      </c>
      <c r="M591" t="n">
        <v>0</v>
      </c>
      <c r="N591" t="n">
        <v>0</v>
      </c>
      <c r="O591" t="n">
        <v>0</v>
      </c>
      <c r="P591" t="n">
        <v>0</v>
      </c>
      <c r="Q591" t="n">
        <v>0</v>
      </c>
      <c r="R591" t="n">
        <v>0</v>
      </c>
      <c r="S591" t="n">
        <v>0</v>
      </c>
      <c r="T591" t="n">
        <v>0</v>
      </c>
      <c r="U591" s="2" t="inlineStr"/>
    </row>
    <row r="592" ht="15" customHeight="1">
      <c r="A592" t="inlineStr">
        <is>
          <t>S 6316-2021</t>
        </is>
      </c>
      <c r="B592" t="inlineStr">
        <is>
          <t>samrådsanmälan</t>
        </is>
      </c>
      <c r="C592" t="inlineStr">
        <is>
          <t>Åtgärd i nyckelbiotop</t>
        </is>
      </c>
      <c r="D592" s="1" t="n">
        <v>44448</v>
      </c>
      <c r="E592" s="1" t="n">
        <v>46216</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s="2" t="inlineStr"/>
    </row>
    <row r="593" ht="15" customHeight="1">
      <c r="A593" t="inlineStr">
        <is>
          <t>S 744-2022</t>
        </is>
      </c>
      <c r="B593" t="inlineStr">
        <is>
          <t>samrådsanmälan</t>
        </is>
      </c>
      <c r="C593" t="inlineStr">
        <is>
          <t>Skogsbilväg</t>
        </is>
      </c>
      <c r="D593" s="1" t="n">
        <v>44601</v>
      </c>
      <c r="E593" s="1" t="n">
        <v>46216</v>
      </c>
      <c r="F593" t="inlineStr">
        <is>
          <t>VÄSTMANLANDS LÄN</t>
        </is>
      </c>
      <c r="G593" t="inlineStr">
        <is>
          <t>SALA</t>
        </is>
      </c>
      <c r="I593" t="n">
        <v>1</v>
      </c>
      <c r="J593" t="n">
        <v>0</v>
      </c>
      <c r="K593" t="n">
        <v>0</v>
      </c>
      <c r="L593" t="n">
        <v>0</v>
      </c>
      <c r="M593" t="n">
        <v>0</v>
      </c>
      <c r="N593" t="n">
        <v>0</v>
      </c>
      <c r="O593" t="n">
        <v>0</v>
      </c>
      <c r="P593" t="n">
        <v>0</v>
      </c>
      <c r="Q593" t="n">
        <v>0</v>
      </c>
      <c r="R593" t="n">
        <v>0</v>
      </c>
      <c r="S593" t="n">
        <v>0</v>
      </c>
      <c r="T593" t="n">
        <v>0</v>
      </c>
      <c r="U593" s="2" t="inlineStr"/>
    </row>
    <row r="594" ht="15" customHeight="1">
      <c r="A594" t="inlineStr">
        <is>
          <t>S 5909-2021</t>
        </is>
      </c>
      <c r="B594" t="inlineStr">
        <is>
          <t>samrådsanmälan</t>
        </is>
      </c>
      <c r="C594" t="inlineStr">
        <is>
          <t>Åtgärd i nyckelbiotop</t>
        </is>
      </c>
      <c r="D594" s="1" t="n">
        <v>44440</v>
      </c>
      <c r="E594" s="1" t="n">
        <v>46216</v>
      </c>
      <c r="F594" t="inlineStr">
        <is>
          <t>VÄSTMANLANDS LÄN</t>
        </is>
      </c>
      <c r="G594" t="inlineStr">
        <is>
          <t>SALA</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S 3230-2023</t>
        </is>
      </c>
      <c r="B595" t="inlineStr">
        <is>
          <t>samrådsanmälan</t>
        </is>
      </c>
      <c r="C595" t="inlineStr">
        <is>
          <t>Annan skogsbruksåtgärd</t>
        </is>
      </c>
      <c r="D595" s="1" t="n">
        <v>45195</v>
      </c>
      <c r="E595" s="1" t="n">
        <v>46216</v>
      </c>
      <c r="F595" t="inlineStr">
        <is>
          <t>VÄSTMANLANDS LÄN</t>
        </is>
      </c>
      <c r="G595" t="inlineStr">
        <is>
          <t>SALA</t>
        </is>
      </c>
      <c r="I595" t="n">
        <v>1.5</v>
      </c>
      <c r="J595" t="n">
        <v>0</v>
      </c>
      <c r="K595" t="n">
        <v>0</v>
      </c>
      <c r="L595" t="n">
        <v>0</v>
      </c>
      <c r="M595" t="n">
        <v>0</v>
      </c>
      <c r="N595" t="n">
        <v>0</v>
      </c>
      <c r="O595" t="n">
        <v>0</v>
      </c>
      <c r="P595" t="n">
        <v>0</v>
      </c>
      <c r="Q595" t="n">
        <v>0</v>
      </c>
      <c r="R595" t="n">
        <v>0</v>
      </c>
      <c r="S595" t="n">
        <v>0</v>
      </c>
      <c r="T595" t="n">
        <v>0</v>
      </c>
      <c r="U595" s="2" t="inlineStr"/>
    </row>
    <row r="596" ht="15" customHeight="1">
      <c r="A596" t="inlineStr">
        <is>
          <t>S 3229-2023</t>
        </is>
      </c>
      <c r="B596" t="inlineStr">
        <is>
          <t>samrådsanmälan</t>
        </is>
      </c>
      <c r="C596" t="inlineStr">
        <is>
          <t>Annan skogsbruksåtgärd</t>
        </is>
      </c>
      <c r="D596" s="1" t="n">
        <v>45195</v>
      </c>
      <c r="E596" s="1" t="n">
        <v>46216</v>
      </c>
      <c r="F596" t="inlineStr">
        <is>
          <t>VÄSTMANLANDS LÄN</t>
        </is>
      </c>
      <c r="G596" t="inlineStr">
        <is>
          <t>SALA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S 169-2025</t>
        </is>
      </c>
      <c r="B597" t="inlineStr">
        <is>
          <t>samrådsanmälan</t>
        </is>
      </c>
      <c r="C597" t="inlineStr">
        <is>
          <t>Annan skogsbruksåtgärd</t>
        </is>
      </c>
      <c r="D597" s="1" t="n">
        <v>45678</v>
      </c>
      <c r="E597" s="1" t="n">
        <v>46216</v>
      </c>
      <c r="F597" t="inlineStr">
        <is>
          <t>VÄSTMANLANDS LÄN</t>
        </is>
      </c>
      <c r="G597" t="inlineStr">
        <is>
          <t>SALA</t>
        </is>
      </c>
      <c r="I597" t="n">
        <v>0.4</v>
      </c>
      <c r="J597" t="n">
        <v>0</v>
      </c>
      <c r="K597" t="n">
        <v>0</v>
      </c>
      <c r="L597" t="n">
        <v>0</v>
      </c>
      <c r="M597" t="n">
        <v>0</v>
      </c>
      <c r="N597" t="n">
        <v>0</v>
      </c>
      <c r="O597" t="n">
        <v>0</v>
      </c>
      <c r="P597" t="n">
        <v>0</v>
      </c>
      <c r="Q597" t="n">
        <v>0</v>
      </c>
      <c r="R597" t="n">
        <v>0</v>
      </c>
      <c r="S597" t="n">
        <v>0</v>
      </c>
      <c r="T597" t="n">
        <v>0</v>
      </c>
      <c r="U597" s="2" t="inlineStr"/>
    </row>
    <row r="598" ht="15" customHeight="1">
      <c r="A598" t="inlineStr">
        <is>
          <t>S 663-2026</t>
        </is>
      </c>
      <c r="B598" t="inlineStr">
        <is>
          <t>samrådsanmälan</t>
        </is>
      </c>
      <c r="C598" t="inlineStr">
        <is>
          <t>Skogsgödsling</t>
        </is>
      </c>
      <c r="D598" s="1" t="n">
        <v>46089</v>
      </c>
      <c r="E598" s="1" t="n">
        <v>46216</v>
      </c>
      <c r="F598" t="inlineStr">
        <is>
          <t>VÄSTMANLANDS LÄN</t>
        </is>
      </c>
      <c r="G598" t="inlineStr">
        <is>
          <t>SALA</t>
        </is>
      </c>
      <c r="H598" t="inlineStr">
        <is>
          <t>Bergvik skog öst AB</t>
        </is>
      </c>
      <c r="I598" t="n">
        <v>4.4</v>
      </c>
      <c r="J598" t="n">
        <v>0</v>
      </c>
      <c r="K598" t="n">
        <v>0</v>
      </c>
      <c r="L598" t="n">
        <v>0</v>
      </c>
      <c r="M598" t="n">
        <v>0</v>
      </c>
      <c r="N598" t="n">
        <v>0</v>
      </c>
      <c r="O598" t="n">
        <v>0</v>
      </c>
      <c r="P598" t="n">
        <v>0</v>
      </c>
      <c r="Q598" t="n">
        <v>0</v>
      </c>
      <c r="R598" t="n">
        <v>0</v>
      </c>
      <c r="S598" t="n">
        <v>0</v>
      </c>
      <c r="T598" t="n">
        <v>0</v>
      </c>
      <c r="U598" s="2" t="inlineStr"/>
    </row>
    <row r="599">
      <c r="A599" t="inlineStr">
        <is>
          <t>S 803-2026</t>
        </is>
      </c>
      <c r="B599" t="inlineStr">
        <is>
          <t>samrådsanmälan</t>
        </is>
      </c>
      <c r="C599" t="inlineStr">
        <is>
          <t>Annan skogsbruksåtgärd</t>
        </is>
      </c>
      <c r="D599" s="1" t="n">
        <v>46100</v>
      </c>
      <c r="E599" s="1" t="n">
        <v>46216</v>
      </c>
      <c r="F599" t="inlineStr">
        <is>
          <t>VÄSTMANLANDS LÄN</t>
        </is>
      </c>
      <c r="G599" t="inlineStr">
        <is>
          <t>SALA</t>
        </is>
      </c>
      <c r="H599" t="inlineStr">
        <is>
          <t>Sveaskog</t>
        </is>
      </c>
      <c r="I599" t="n">
        <v>1.2</v>
      </c>
      <c r="J599" t="n">
        <v>0</v>
      </c>
      <c r="K599" t="n">
        <v>0</v>
      </c>
      <c r="L599" t="n">
        <v>0</v>
      </c>
      <c r="M599" t="n">
        <v>0</v>
      </c>
      <c r="N599" t="n">
        <v>0</v>
      </c>
      <c r="O599" t="n">
        <v>0</v>
      </c>
      <c r="P599" t="n">
        <v>0</v>
      </c>
      <c r="Q599" t="n">
        <v>0</v>
      </c>
      <c r="R599" t="n">
        <v>0</v>
      </c>
      <c r="S599" t="n">
        <v>0</v>
      </c>
      <c r="T599" t="n">
        <v>0</v>
      </c>
      <c r="U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2026-07-13T14:48:39Z</dcterms:created>
  <dcterms:modified xmlns:dcterms="http://purl.org/dc/terms/" xmlns:xsi="http://www.w3.org/2001/XMLSchema-instance" xsi:type="dcterms:W3CDTF">2026-07-13T14:48:40Z</dcterms:modified>
</cp:coreProperties>
</file>