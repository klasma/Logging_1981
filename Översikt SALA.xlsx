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46065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46065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46065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46065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46065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46065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46065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46065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46065</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46065</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46065</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34752-2023</t>
        </is>
      </c>
      <c r="B14" s="1" t="n">
        <v>45141</v>
      </c>
      <c r="C14" s="1" t="n">
        <v>46065</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46065</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53627-2025</t>
        </is>
      </c>
      <c r="B16" s="1" t="n">
        <v>45960.49180555555</v>
      </c>
      <c r="C16" s="1" t="n">
        <v>46065</v>
      </c>
      <c r="D16" t="inlineStr">
        <is>
          <t>VÄSTMANLANDS LÄN</t>
        </is>
      </c>
      <c r="E16" t="inlineStr">
        <is>
          <t>SALA</t>
        </is>
      </c>
      <c r="G16" t="n">
        <v>10.5</v>
      </c>
      <c r="H16" t="n">
        <v>3</v>
      </c>
      <c r="I16" t="n">
        <v>0</v>
      </c>
      <c r="J16" t="n">
        <v>1</v>
      </c>
      <c r="K16" t="n">
        <v>1</v>
      </c>
      <c r="L16" t="n">
        <v>0</v>
      </c>
      <c r="M16" t="n">
        <v>0</v>
      </c>
      <c r="N16" t="n">
        <v>0</v>
      </c>
      <c r="O16" t="n">
        <v>2</v>
      </c>
      <c r="P16" t="n">
        <v>1</v>
      </c>
      <c r="Q16" t="n">
        <v>4</v>
      </c>
      <c r="R16" s="2" t="inlineStr">
        <is>
          <t>Knärot
Brunklöver
Mattlummer
Revlummer</t>
        </is>
      </c>
      <c r="S16">
        <f>HYPERLINK("https://klasma.github.io/Logging_1981/artfynd/A 53627-2025 artfynd.xlsx", "A 53627-2025")</f>
        <v/>
      </c>
      <c r="T16">
        <f>HYPERLINK("https://klasma.github.io/Logging_1981/kartor/A 53627-2025 karta.png", "A 53627-2025")</f>
        <v/>
      </c>
      <c r="U16">
        <f>HYPERLINK("https://klasma.github.io/Logging_1981/knärot/A 53627-2025 karta knärot.png", "A 53627-2025")</f>
        <v/>
      </c>
      <c r="V16">
        <f>HYPERLINK("https://klasma.github.io/Logging_1981/klagomål/A 53627-2025 FSC-klagomål.docx", "A 53627-2025")</f>
        <v/>
      </c>
      <c r="W16">
        <f>HYPERLINK("https://klasma.github.io/Logging_1981/klagomålsmail/A 53627-2025 FSC-klagomål mail.docx", "A 53627-2025")</f>
        <v/>
      </c>
      <c r="X16">
        <f>HYPERLINK("https://klasma.github.io/Logging_1981/tillsyn/A 53627-2025 tillsynsbegäran.docx", "A 53627-2025")</f>
        <v/>
      </c>
      <c r="Y16">
        <f>HYPERLINK("https://klasma.github.io/Logging_1981/tillsynsmail/A 53627-2025 tillsynsbegäran mail.docx", "A 53627-2025")</f>
        <v/>
      </c>
    </row>
    <row r="17" ht="15" customHeight="1">
      <c r="A17" t="inlineStr">
        <is>
          <t>A 26571-2021</t>
        </is>
      </c>
      <c r="B17" s="1" t="n">
        <v>44348</v>
      </c>
      <c r="C17" s="1" t="n">
        <v>46065</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46065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46065</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46065</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53019-2024</t>
        </is>
      </c>
      <c r="B21" s="1" t="n">
        <v>45610</v>
      </c>
      <c r="C21" s="1" t="n">
        <v>46065</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46065</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34065-2025</t>
        </is>
      </c>
      <c r="B23" s="1" t="n">
        <v>45845.42806712963</v>
      </c>
      <c r="C23" s="1" t="n">
        <v>46065</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47475-2024</t>
        </is>
      </c>
      <c r="B24" s="1" t="n">
        <v>45587.57552083334</v>
      </c>
      <c r="C24" s="1" t="n">
        <v>46065</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35461-2024</t>
        </is>
      </c>
      <c r="B25" s="1" t="n">
        <v>45531</v>
      </c>
      <c r="C25" s="1" t="n">
        <v>46065</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40895-2025</t>
        </is>
      </c>
      <c r="B26" s="1" t="n">
        <v>45897.61241898148</v>
      </c>
      <c r="C26" s="1" t="n">
        <v>46065</v>
      </c>
      <c r="D26" t="inlineStr">
        <is>
          <t>VÄSTMANLANDS LÄN</t>
        </is>
      </c>
      <c r="E26" t="inlineStr">
        <is>
          <t>SALA</t>
        </is>
      </c>
      <c r="G26" t="n">
        <v>1.5</v>
      </c>
      <c r="H26" t="n">
        <v>2</v>
      </c>
      <c r="I26" t="n">
        <v>1</v>
      </c>
      <c r="J26" t="n">
        <v>0</v>
      </c>
      <c r="K26" t="n">
        <v>1</v>
      </c>
      <c r="L26" t="n">
        <v>0</v>
      </c>
      <c r="M26" t="n">
        <v>0</v>
      </c>
      <c r="N26" t="n">
        <v>0</v>
      </c>
      <c r="O26" t="n">
        <v>1</v>
      </c>
      <c r="P26" t="n">
        <v>1</v>
      </c>
      <c r="Q26" t="n">
        <v>3</v>
      </c>
      <c r="R26" s="2" t="inlineStr">
        <is>
          <t>Knärot
Dropptaggsvamp
Kungsfågel</t>
        </is>
      </c>
      <c r="S26">
        <f>HYPERLINK("https://klasma.github.io/Logging_1981/artfynd/A 40895-2025 artfynd.xlsx", "A 40895-2025")</f>
        <v/>
      </c>
      <c r="T26">
        <f>HYPERLINK("https://klasma.github.io/Logging_1981/kartor/A 40895-2025 karta.png", "A 40895-2025")</f>
        <v/>
      </c>
      <c r="U26">
        <f>HYPERLINK("https://klasma.github.io/Logging_1981/knärot/A 40895-2025 karta knärot.png", "A 40895-2025")</f>
        <v/>
      </c>
      <c r="V26">
        <f>HYPERLINK("https://klasma.github.io/Logging_1981/klagomål/A 40895-2025 FSC-klagomål.docx", "A 40895-2025")</f>
        <v/>
      </c>
      <c r="W26">
        <f>HYPERLINK("https://klasma.github.io/Logging_1981/klagomålsmail/A 40895-2025 FSC-klagomål mail.docx", "A 40895-2025")</f>
        <v/>
      </c>
      <c r="X26">
        <f>HYPERLINK("https://klasma.github.io/Logging_1981/tillsyn/A 40895-2025 tillsynsbegäran.docx", "A 40895-2025")</f>
        <v/>
      </c>
      <c r="Y26">
        <f>HYPERLINK("https://klasma.github.io/Logging_1981/tillsynsmail/A 40895-2025 tillsynsbegäran mail.docx", "A 40895-2025")</f>
        <v/>
      </c>
      <c r="Z26">
        <f>HYPERLINK("https://klasma.github.io/Logging_1981/fåglar/A 40895-2025 prioriterade fågelarter.docx", "A 40895-2025")</f>
        <v/>
      </c>
    </row>
    <row r="27" ht="15" customHeight="1">
      <c r="A27" t="inlineStr">
        <is>
          <t>A 3930-2026</t>
        </is>
      </c>
      <c r="B27" s="1" t="n">
        <v>46043</v>
      </c>
      <c r="C27" s="1" t="n">
        <v>46065</v>
      </c>
      <c r="D27" t="inlineStr">
        <is>
          <t>VÄSTMANLANDS LÄN</t>
        </is>
      </c>
      <c r="E27" t="inlineStr">
        <is>
          <t>SALA</t>
        </is>
      </c>
      <c r="G27" t="n">
        <v>17.4</v>
      </c>
      <c r="H27" t="n">
        <v>1</v>
      </c>
      <c r="I27" t="n">
        <v>0</v>
      </c>
      <c r="J27" t="n">
        <v>2</v>
      </c>
      <c r="K27" t="n">
        <v>1</v>
      </c>
      <c r="L27" t="n">
        <v>0</v>
      </c>
      <c r="M27" t="n">
        <v>0</v>
      </c>
      <c r="N27" t="n">
        <v>0</v>
      </c>
      <c r="O27" t="n">
        <v>3</v>
      </c>
      <c r="P27" t="n">
        <v>1</v>
      </c>
      <c r="Q27" t="n">
        <v>3</v>
      </c>
      <c r="R27" s="2" t="inlineStr">
        <is>
          <t>Knärot
Gränsticka
Ullticka</t>
        </is>
      </c>
      <c r="S27">
        <f>HYPERLINK("https://klasma.github.io/Logging_1981/artfynd/A 3930-2026 artfynd.xlsx", "A 3930-2026")</f>
        <v/>
      </c>
      <c r="T27">
        <f>HYPERLINK("https://klasma.github.io/Logging_1981/kartor/A 3930-2026 karta.png", "A 3930-2026")</f>
        <v/>
      </c>
      <c r="U27">
        <f>HYPERLINK("https://klasma.github.io/Logging_1981/knärot/A 3930-2026 karta knärot.png", "A 3930-2026")</f>
        <v/>
      </c>
      <c r="V27">
        <f>HYPERLINK("https://klasma.github.io/Logging_1981/klagomål/A 3930-2026 FSC-klagomål.docx", "A 3930-2026")</f>
        <v/>
      </c>
      <c r="W27">
        <f>HYPERLINK("https://klasma.github.io/Logging_1981/klagomålsmail/A 3930-2026 FSC-klagomål mail.docx", "A 3930-2026")</f>
        <v/>
      </c>
      <c r="X27">
        <f>HYPERLINK("https://klasma.github.io/Logging_1981/tillsyn/A 3930-2026 tillsynsbegäran.docx", "A 3930-2026")</f>
        <v/>
      </c>
      <c r="Y27">
        <f>HYPERLINK("https://klasma.github.io/Logging_1981/tillsynsmail/A 3930-2026 tillsynsbegäran mail.docx", "A 3930-2026")</f>
        <v/>
      </c>
    </row>
    <row r="28" ht="15" customHeight="1">
      <c r="A28" t="inlineStr">
        <is>
          <t>A 52909-2022</t>
        </is>
      </c>
      <c r="B28" s="1" t="n">
        <v>44875</v>
      </c>
      <c r="C28" s="1" t="n">
        <v>46065</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46065</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46065</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12444-2024</t>
        </is>
      </c>
      <c r="B31" s="1" t="n">
        <v>45379.46285879629</v>
      </c>
      <c r="C31" s="1" t="n">
        <v>46065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1500-2022</t>
        </is>
      </c>
      <c r="B32" s="1" t="n">
        <v>44573.54357638889</v>
      </c>
      <c r="C32" s="1" t="n">
        <v>46065</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13029-2023</t>
        </is>
      </c>
      <c r="B33" s="1" t="n">
        <v>45001</v>
      </c>
      <c r="C33" s="1" t="n">
        <v>46065</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15102-2025</t>
        </is>
      </c>
      <c r="B34" s="1" t="n">
        <v>45744.34585648148</v>
      </c>
      <c r="C34" s="1" t="n">
        <v>46065</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53048-2025</t>
        </is>
      </c>
      <c r="B35" s="1" t="n">
        <v>45958.36018518519</v>
      </c>
      <c r="C35" s="1" t="n">
        <v>46065</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24872-2025</t>
        </is>
      </c>
      <c r="B36" s="1" t="n">
        <v>45799.49038194444</v>
      </c>
      <c r="C36" s="1" t="n">
        <v>46065</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59826-2025</t>
        </is>
      </c>
      <c r="B37" s="1" t="n">
        <v>45992.65416666667</v>
      </c>
      <c r="C37" s="1" t="n">
        <v>46065</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63584-2025</t>
        </is>
      </c>
      <c r="B38" s="1" t="n">
        <v>46013.77002314815</v>
      </c>
      <c r="C38" s="1" t="n">
        <v>46065</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44970-2021</t>
        </is>
      </c>
      <c r="B39" s="1" t="n">
        <v>44438.74399305556</v>
      </c>
      <c r="C39" s="1" t="n">
        <v>46065</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13973-2021</t>
        </is>
      </c>
      <c r="B40" s="1" t="n">
        <v>44277</v>
      </c>
      <c r="C40" s="1" t="n">
        <v>46065</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19361-2025</t>
        </is>
      </c>
      <c r="B41" s="1" t="n">
        <v>45769.63357638889</v>
      </c>
      <c r="C41" s="1" t="n">
        <v>46065</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46065</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43705-2022</t>
        </is>
      </c>
      <c r="B43" s="1" t="n">
        <v>44837</v>
      </c>
      <c r="C43" s="1" t="n">
        <v>46065</v>
      </c>
      <c r="D43" t="inlineStr">
        <is>
          <t>VÄSTMANLANDS LÄN</t>
        </is>
      </c>
      <c r="E43" t="inlineStr">
        <is>
          <t>SALA</t>
        </is>
      </c>
      <c r="G43" t="n">
        <v>2.9</v>
      </c>
      <c r="H43" t="n">
        <v>1</v>
      </c>
      <c r="I43" t="n">
        <v>0</v>
      </c>
      <c r="J43" t="n">
        <v>0</v>
      </c>
      <c r="K43" t="n">
        <v>1</v>
      </c>
      <c r="L43" t="n">
        <v>0</v>
      </c>
      <c r="M43" t="n">
        <v>0</v>
      </c>
      <c r="N43" t="n">
        <v>0</v>
      </c>
      <c r="O43" t="n">
        <v>1</v>
      </c>
      <c r="P43" t="n">
        <v>1</v>
      </c>
      <c r="Q43" t="n">
        <v>1</v>
      </c>
      <c r="R43" s="2" t="inlineStr">
        <is>
          <t>Knärot</t>
        </is>
      </c>
      <c r="S43">
        <f>HYPERLINK("https://klasma.github.io/Logging_1981/artfynd/A 43705-2022 artfynd.xlsx", "A 43705-2022")</f>
        <v/>
      </c>
      <c r="T43">
        <f>HYPERLINK("https://klasma.github.io/Logging_1981/kartor/A 43705-2022 karta.png", "A 43705-2022")</f>
        <v/>
      </c>
      <c r="U43">
        <f>HYPERLINK("https://klasma.github.io/Logging_1981/knärot/A 43705-2022 karta knärot.png", "A 43705-2022")</f>
        <v/>
      </c>
      <c r="V43">
        <f>HYPERLINK("https://klasma.github.io/Logging_1981/klagomål/A 43705-2022 FSC-klagomål.docx", "A 43705-2022")</f>
        <v/>
      </c>
      <c r="W43">
        <f>HYPERLINK("https://klasma.github.io/Logging_1981/klagomålsmail/A 43705-2022 FSC-klagomål mail.docx", "A 43705-2022")</f>
        <v/>
      </c>
      <c r="X43">
        <f>HYPERLINK("https://klasma.github.io/Logging_1981/tillsyn/A 43705-2022 tillsynsbegäran.docx", "A 43705-2022")</f>
        <v/>
      </c>
      <c r="Y43">
        <f>HYPERLINK("https://klasma.github.io/Logging_1981/tillsynsmail/A 43705-2022 tillsynsbegäran mail.docx", "A 43705-2022")</f>
        <v/>
      </c>
    </row>
    <row r="44" ht="15" customHeight="1">
      <c r="A44" t="inlineStr">
        <is>
          <t>A 43175-2023</t>
        </is>
      </c>
      <c r="B44" s="1" t="n">
        <v>45183</v>
      </c>
      <c r="C44" s="1" t="n">
        <v>46065</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56704-2022</t>
        </is>
      </c>
      <c r="B45" s="1" t="n">
        <v>44893.78075231481</v>
      </c>
      <c r="C45" s="1" t="n">
        <v>46065</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37166-2024</t>
        </is>
      </c>
      <c r="B46" s="1" t="n">
        <v>45539</v>
      </c>
      <c r="C46" s="1" t="n">
        <v>46065</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41270-2024</t>
        </is>
      </c>
      <c r="B47" s="1" t="n">
        <v>45559</v>
      </c>
      <c r="C47" s="1" t="n">
        <v>46065</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43068-2024</t>
        </is>
      </c>
      <c r="B48" s="1" t="n">
        <v>45567</v>
      </c>
      <c r="C48" s="1" t="n">
        <v>46065</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29727-2023</t>
        </is>
      </c>
      <c r="B49" s="1" t="n">
        <v>45107</v>
      </c>
      <c r="C49" s="1" t="n">
        <v>46065</v>
      </c>
      <c r="D49" t="inlineStr">
        <is>
          <t>VÄSTMANLANDS LÄN</t>
        </is>
      </c>
      <c r="E49" t="inlineStr">
        <is>
          <t>SALA</t>
        </is>
      </c>
      <c r="G49" t="n">
        <v>1.9</v>
      </c>
      <c r="H49" t="n">
        <v>0</v>
      </c>
      <c r="I49" t="n">
        <v>0</v>
      </c>
      <c r="J49" t="n">
        <v>1</v>
      </c>
      <c r="K49" t="n">
        <v>0</v>
      </c>
      <c r="L49" t="n">
        <v>0</v>
      </c>
      <c r="M49" t="n">
        <v>0</v>
      </c>
      <c r="N49" t="n">
        <v>0</v>
      </c>
      <c r="O49" t="n">
        <v>1</v>
      </c>
      <c r="P49" t="n">
        <v>0</v>
      </c>
      <c r="Q49" t="n">
        <v>1</v>
      </c>
      <c r="R49" s="2" t="inlineStr">
        <is>
          <t>Vedtrappmossa</t>
        </is>
      </c>
      <c r="S49">
        <f>HYPERLINK("https://klasma.github.io/Logging_1981/artfynd/A 29727-2023 artfynd.xlsx", "A 29727-2023")</f>
        <v/>
      </c>
      <c r="T49">
        <f>HYPERLINK("https://klasma.github.io/Logging_1981/kartor/A 29727-2023 karta.png", "A 29727-2023")</f>
        <v/>
      </c>
      <c r="V49">
        <f>HYPERLINK("https://klasma.github.io/Logging_1981/klagomål/A 29727-2023 FSC-klagomål.docx", "A 29727-2023")</f>
        <v/>
      </c>
      <c r="W49">
        <f>HYPERLINK("https://klasma.github.io/Logging_1981/klagomålsmail/A 29727-2023 FSC-klagomål mail.docx", "A 29727-2023")</f>
        <v/>
      </c>
      <c r="X49">
        <f>HYPERLINK("https://klasma.github.io/Logging_1981/tillsyn/A 29727-2023 tillsynsbegäran.docx", "A 29727-2023")</f>
        <v/>
      </c>
      <c r="Y49">
        <f>HYPERLINK("https://klasma.github.io/Logging_1981/tillsynsmail/A 29727-2023 tillsynsbegäran mail.docx", "A 29727-2023")</f>
        <v/>
      </c>
    </row>
    <row r="50" ht="15" customHeight="1">
      <c r="A50" t="inlineStr">
        <is>
          <t>A 32594-2025</t>
        </is>
      </c>
      <c r="B50" s="1" t="n">
        <v>45838</v>
      </c>
      <c r="C50" s="1" t="n">
        <v>46065</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7731-2023</t>
        </is>
      </c>
      <c r="B51" s="1" t="n">
        <v>44973</v>
      </c>
      <c r="C51" s="1" t="n">
        <v>46065</v>
      </c>
      <c r="D51" t="inlineStr">
        <is>
          <t>VÄSTMANLANDS LÄN</t>
        </is>
      </c>
      <c r="E51" t="inlineStr">
        <is>
          <t>SALA</t>
        </is>
      </c>
      <c r="F51" t="inlineStr">
        <is>
          <t>Bergvik skog öst AB</t>
        </is>
      </c>
      <c r="G51" t="n">
        <v>1.7</v>
      </c>
      <c r="H51" t="n">
        <v>1</v>
      </c>
      <c r="I51" t="n">
        <v>0</v>
      </c>
      <c r="J51" t="n">
        <v>1</v>
      </c>
      <c r="K51" t="n">
        <v>0</v>
      </c>
      <c r="L51" t="n">
        <v>0</v>
      </c>
      <c r="M51" t="n">
        <v>0</v>
      </c>
      <c r="N51" t="n">
        <v>0</v>
      </c>
      <c r="O51" t="n">
        <v>1</v>
      </c>
      <c r="P51" t="n">
        <v>0</v>
      </c>
      <c r="Q51" t="n">
        <v>1</v>
      </c>
      <c r="R51" s="2" t="inlineStr">
        <is>
          <t>Ävjepilört</t>
        </is>
      </c>
      <c r="S51">
        <f>HYPERLINK("https://klasma.github.io/Logging_1981/artfynd/A 7731-2023 artfynd.xlsx", "A 7731-2023")</f>
        <v/>
      </c>
      <c r="T51">
        <f>HYPERLINK("https://klasma.github.io/Logging_1981/kartor/A 7731-2023 karta.png", "A 7731-2023")</f>
        <v/>
      </c>
      <c r="V51">
        <f>HYPERLINK("https://klasma.github.io/Logging_1981/klagomål/A 7731-2023 FSC-klagomål.docx", "A 7731-2023")</f>
        <v/>
      </c>
      <c r="W51">
        <f>HYPERLINK("https://klasma.github.io/Logging_1981/klagomålsmail/A 7731-2023 FSC-klagomål mail.docx", "A 7731-2023")</f>
        <v/>
      </c>
      <c r="X51">
        <f>HYPERLINK("https://klasma.github.io/Logging_1981/tillsyn/A 7731-2023 tillsynsbegäran.docx", "A 7731-2023")</f>
        <v/>
      </c>
      <c r="Y51">
        <f>HYPERLINK("https://klasma.github.io/Logging_1981/tillsynsmail/A 7731-2023 tillsynsbegäran mail.docx", "A 7731-2023")</f>
        <v/>
      </c>
    </row>
    <row r="52" ht="15" customHeight="1">
      <c r="A52" t="inlineStr">
        <is>
          <t>A 22350-2024</t>
        </is>
      </c>
      <c r="B52" s="1" t="n">
        <v>45446</v>
      </c>
      <c r="C52" s="1" t="n">
        <v>46065</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Blåsippa</t>
        </is>
      </c>
      <c r="S52">
        <f>HYPERLINK("https://klasma.github.io/Logging_1981/artfynd/A 22350-2024 artfynd.xlsx", "A 22350-2024")</f>
        <v/>
      </c>
      <c r="T52">
        <f>HYPERLINK("https://klasma.github.io/Logging_1981/kartor/A 22350-2024 karta.png", "A 22350-2024")</f>
        <v/>
      </c>
      <c r="V52">
        <f>HYPERLINK("https://klasma.github.io/Logging_1981/klagomål/A 22350-2024 FSC-klagomål.docx", "A 22350-2024")</f>
        <v/>
      </c>
      <c r="W52">
        <f>HYPERLINK("https://klasma.github.io/Logging_1981/klagomålsmail/A 22350-2024 FSC-klagomål mail.docx", "A 22350-2024")</f>
        <v/>
      </c>
      <c r="X52">
        <f>HYPERLINK("https://klasma.github.io/Logging_1981/tillsyn/A 22350-2024 tillsynsbegäran.docx", "A 22350-2024")</f>
        <v/>
      </c>
      <c r="Y52">
        <f>HYPERLINK("https://klasma.github.io/Logging_1981/tillsynsmail/A 22350-2024 tillsynsbegäran mail.docx", "A 22350-2024")</f>
        <v/>
      </c>
    </row>
    <row r="53" ht="15" customHeight="1">
      <c r="A53" t="inlineStr">
        <is>
          <t>A 12509-2023</t>
        </is>
      </c>
      <c r="B53" s="1" t="n">
        <v>44999.95988425926</v>
      </c>
      <c r="C53" s="1" t="n">
        <v>46065</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29985-2022</t>
        </is>
      </c>
      <c r="B54" s="1" t="n">
        <v>44756</v>
      </c>
      <c r="C54" s="1" t="n">
        <v>46065</v>
      </c>
      <c r="D54" t="inlineStr">
        <is>
          <t>VÄSTMANLANDS LÄN</t>
        </is>
      </c>
      <c r="E54" t="inlineStr">
        <is>
          <t>SALA</t>
        </is>
      </c>
      <c r="F54" t="inlineStr">
        <is>
          <t>Kommuner</t>
        </is>
      </c>
      <c r="G54" t="n">
        <v>1</v>
      </c>
      <c r="H54" t="n">
        <v>1</v>
      </c>
      <c r="I54" t="n">
        <v>1</v>
      </c>
      <c r="J54" t="n">
        <v>0</v>
      </c>
      <c r="K54" t="n">
        <v>0</v>
      </c>
      <c r="L54" t="n">
        <v>0</v>
      </c>
      <c r="M54" t="n">
        <v>0</v>
      </c>
      <c r="N54" t="n">
        <v>0</v>
      </c>
      <c r="O54" t="n">
        <v>0</v>
      </c>
      <c r="P54" t="n">
        <v>0</v>
      </c>
      <c r="Q54" t="n">
        <v>1</v>
      </c>
      <c r="R54" s="2" t="inlineStr">
        <is>
          <t>Skogsknipprot</t>
        </is>
      </c>
      <c r="S54">
        <f>HYPERLINK("https://klasma.github.io/Logging_1981/artfynd/A 29985-2022 artfynd.xlsx", "A 29985-2022")</f>
        <v/>
      </c>
      <c r="T54">
        <f>HYPERLINK("https://klasma.github.io/Logging_1981/kartor/A 29985-2022 karta.png", "A 29985-2022")</f>
        <v/>
      </c>
      <c r="V54">
        <f>HYPERLINK("https://klasma.github.io/Logging_1981/klagomål/A 29985-2022 FSC-klagomål.docx", "A 29985-2022")</f>
        <v/>
      </c>
      <c r="W54">
        <f>HYPERLINK("https://klasma.github.io/Logging_1981/klagomålsmail/A 29985-2022 FSC-klagomål mail.docx", "A 29985-2022")</f>
        <v/>
      </c>
      <c r="X54">
        <f>HYPERLINK("https://klasma.github.io/Logging_1981/tillsyn/A 29985-2022 tillsynsbegäran.docx", "A 29985-2022")</f>
        <v/>
      </c>
      <c r="Y54">
        <f>HYPERLINK("https://klasma.github.io/Logging_1981/tillsynsmail/A 29985-2022 tillsynsbegäran mail.docx", "A 29985-2022")</f>
        <v/>
      </c>
    </row>
    <row r="55" ht="15" customHeight="1">
      <c r="A55" t="inlineStr">
        <is>
          <t>A 14775-2023</t>
        </is>
      </c>
      <c r="B55" s="1" t="n">
        <v>45014</v>
      </c>
      <c r="C55" s="1" t="n">
        <v>46065</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7919-2022</t>
        </is>
      </c>
      <c r="B56" s="1" t="n">
        <v>44608</v>
      </c>
      <c r="C56" s="1" t="n">
        <v>46065</v>
      </c>
      <c r="D56" t="inlineStr">
        <is>
          <t>VÄSTMANLANDS LÄN</t>
        </is>
      </c>
      <c r="E56" t="inlineStr">
        <is>
          <t>SALA</t>
        </is>
      </c>
      <c r="F56" t="inlineStr">
        <is>
          <t>Bergvik skog öst AB</t>
        </is>
      </c>
      <c r="G56" t="n">
        <v>4.5</v>
      </c>
      <c r="H56" t="n">
        <v>1</v>
      </c>
      <c r="I56" t="n">
        <v>0</v>
      </c>
      <c r="J56" t="n">
        <v>1</v>
      </c>
      <c r="K56" t="n">
        <v>0</v>
      </c>
      <c r="L56" t="n">
        <v>0</v>
      </c>
      <c r="M56" t="n">
        <v>0</v>
      </c>
      <c r="N56" t="n">
        <v>0</v>
      </c>
      <c r="O56" t="n">
        <v>1</v>
      </c>
      <c r="P56" t="n">
        <v>0</v>
      </c>
      <c r="Q56" t="n">
        <v>1</v>
      </c>
      <c r="R56" s="2" t="inlineStr">
        <is>
          <t>Ävjepilört</t>
        </is>
      </c>
      <c r="S56">
        <f>HYPERLINK("https://klasma.github.io/Logging_1981/artfynd/A 7919-2022 artfynd.xlsx", "A 7919-2022")</f>
        <v/>
      </c>
      <c r="T56">
        <f>HYPERLINK("https://klasma.github.io/Logging_1981/kartor/A 7919-2022 karta.png", "A 7919-2022")</f>
        <v/>
      </c>
      <c r="V56">
        <f>HYPERLINK("https://klasma.github.io/Logging_1981/klagomål/A 7919-2022 FSC-klagomål.docx", "A 7919-2022")</f>
        <v/>
      </c>
      <c r="W56">
        <f>HYPERLINK("https://klasma.github.io/Logging_1981/klagomålsmail/A 7919-2022 FSC-klagomål mail.docx", "A 7919-2022")</f>
        <v/>
      </c>
      <c r="X56">
        <f>HYPERLINK("https://klasma.github.io/Logging_1981/tillsyn/A 7919-2022 tillsynsbegäran.docx", "A 7919-2022")</f>
        <v/>
      </c>
      <c r="Y56">
        <f>HYPERLINK("https://klasma.github.io/Logging_1981/tillsynsmail/A 7919-2022 tillsynsbegäran mail.docx", "A 7919-2022")</f>
        <v/>
      </c>
    </row>
    <row r="57" ht="15" customHeight="1">
      <c r="A57" t="inlineStr">
        <is>
          <t>A 38255-2025</t>
        </is>
      </c>
      <c r="B57" s="1" t="n">
        <v>45883.38020833334</v>
      </c>
      <c r="C57" s="1" t="n">
        <v>46065</v>
      </c>
      <c r="D57" t="inlineStr">
        <is>
          <t>VÄSTMANLANDS LÄN</t>
        </is>
      </c>
      <c r="E57" t="inlineStr">
        <is>
          <t>SALA</t>
        </is>
      </c>
      <c r="G57" t="n">
        <v>0.9</v>
      </c>
      <c r="H57" t="n">
        <v>1</v>
      </c>
      <c r="I57" t="n">
        <v>0</v>
      </c>
      <c r="J57" t="n">
        <v>0</v>
      </c>
      <c r="K57" t="n">
        <v>1</v>
      </c>
      <c r="L57" t="n">
        <v>0</v>
      </c>
      <c r="M57" t="n">
        <v>0</v>
      </c>
      <c r="N57" t="n">
        <v>0</v>
      </c>
      <c r="O57" t="n">
        <v>1</v>
      </c>
      <c r="P57" t="n">
        <v>1</v>
      </c>
      <c r="Q57" t="n">
        <v>1</v>
      </c>
      <c r="R57" s="2" t="inlineStr">
        <is>
          <t>Knärot</t>
        </is>
      </c>
      <c r="S57">
        <f>HYPERLINK("https://klasma.github.io/Logging_1981/artfynd/A 38255-2025 artfynd.xlsx", "A 38255-2025")</f>
        <v/>
      </c>
      <c r="T57">
        <f>HYPERLINK("https://klasma.github.io/Logging_1981/kartor/A 38255-2025 karta.png", "A 38255-2025")</f>
        <v/>
      </c>
      <c r="U57">
        <f>HYPERLINK("https://klasma.github.io/Logging_1981/knärot/A 38255-2025 karta knärot.png", "A 38255-2025")</f>
        <v/>
      </c>
      <c r="V57">
        <f>HYPERLINK("https://klasma.github.io/Logging_1981/klagomål/A 38255-2025 FSC-klagomål.docx", "A 38255-2025")</f>
        <v/>
      </c>
      <c r="W57">
        <f>HYPERLINK("https://klasma.github.io/Logging_1981/klagomålsmail/A 38255-2025 FSC-klagomål mail.docx", "A 38255-2025")</f>
        <v/>
      </c>
      <c r="X57">
        <f>HYPERLINK("https://klasma.github.io/Logging_1981/tillsyn/A 38255-2025 tillsynsbegäran.docx", "A 38255-2025")</f>
        <v/>
      </c>
      <c r="Y57">
        <f>HYPERLINK("https://klasma.github.io/Logging_1981/tillsynsmail/A 38255-2025 tillsynsbegäran mail.docx", "A 38255-2025")</f>
        <v/>
      </c>
    </row>
    <row r="58" ht="15" customHeight="1">
      <c r="A58" t="inlineStr">
        <is>
          <t>A 60852-2024</t>
        </is>
      </c>
      <c r="B58" s="1" t="n">
        <v>45644</v>
      </c>
      <c r="C58" s="1" t="n">
        <v>46065</v>
      </c>
      <c r="D58" t="inlineStr">
        <is>
          <t>VÄSTMANLANDS LÄN</t>
        </is>
      </c>
      <c r="E58" t="inlineStr">
        <is>
          <t>SALA</t>
        </is>
      </c>
      <c r="G58" t="n">
        <v>7.6</v>
      </c>
      <c r="H58" t="n">
        <v>1</v>
      </c>
      <c r="I58" t="n">
        <v>0</v>
      </c>
      <c r="J58" t="n">
        <v>0</v>
      </c>
      <c r="K58" t="n">
        <v>0</v>
      </c>
      <c r="L58" t="n">
        <v>0</v>
      </c>
      <c r="M58" t="n">
        <v>0</v>
      </c>
      <c r="N58" t="n">
        <v>0</v>
      </c>
      <c r="O58" t="n">
        <v>0</v>
      </c>
      <c r="P58" t="n">
        <v>0</v>
      </c>
      <c r="Q58" t="n">
        <v>1</v>
      </c>
      <c r="R58" s="2" t="inlineStr">
        <is>
          <t>Blåsippa</t>
        </is>
      </c>
      <c r="S58">
        <f>HYPERLINK("https://klasma.github.io/Logging_1981/artfynd/A 60852-2024 artfynd.xlsx", "A 60852-2024")</f>
        <v/>
      </c>
      <c r="T58">
        <f>HYPERLINK("https://klasma.github.io/Logging_1981/kartor/A 60852-2024 karta.png", "A 60852-2024")</f>
        <v/>
      </c>
      <c r="V58">
        <f>HYPERLINK("https://klasma.github.io/Logging_1981/klagomål/A 60852-2024 FSC-klagomål.docx", "A 60852-2024")</f>
        <v/>
      </c>
      <c r="W58">
        <f>HYPERLINK("https://klasma.github.io/Logging_1981/klagomålsmail/A 60852-2024 FSC-klagomål mail.docx", "A 60852-2024")</f>
        <v/>
      </c>
      <c r="X58">
        <f>HYPERLINK("https://klasma.github.io/Logging_1981/tillsyn/A 60852-2024 tillsynsbegäran.docx", "A 60852-2024")</f>
        <v/>
      </c>
      <c r="Y58">
        <f>HYPERLINK("https://klasma.github.io/Logging_1981/tillsynsmail/A 60852-2024 tillsynsbegäran mail.docx", "A 60852-2024")</f>
        <v/>
      </c>
    </row>
    <row r="59" ht="15" customHeight="1">
      <c r="A59" t="inlineStr">
        <is>
          <t>A 55550-2023</t>
        </is>
      </c>
      <c r="B59" s="1" t="n">
        <v>45232</v>
      </c>
      <c r="C59" s="1" t="n">
        <v>46065</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21738-2025</t>
        </is>
      </c>
      <c r="B60" s="1" t="n">
        <v>45783.59173611111</v>
      </c>
      <c r="C60" s="1" t="n">
        <v>46065</v>
      </c>
      <c r="D60" t="inlineStr">
        <is>
          <t>VÄSTMANLANDS LÄN</t>
        </is>
      </c>
      <c r="E60" t="inlineStr">
        <is>
          <t>SALA</t>
        </is>
      </c>
      <c r="G60" t="n">
        <v>2.1</v>
      </c>
      <c r="H60" t="n">
        <v>0</v>
      </c>
      <c r="I60" t="n">
        <v>0</v>
      </c>
      <c r="J60" t="n">
        <v>1</v>
      </c>
      <c r="K60" t="n">
        <v>0</v>
      </c>
      <c r="L60" t="n">
        <v>0</v>
      </c>
      <c r="M60" t="n">
        <v>0</v>
      </c>
      <c r="N60" t="n">
        <v>0</v>
      </c>
      <c r="O60" t="n">
        <v>1</v>
      </c>
      <c r="P60" t="n">
        <v>0</v>
      </c>
      <c r="Q60" t="n">
        <v>1</v>
      </c>
      <c r="R60" s="2" t="inlineStr">
        <is>
          <t>Motaggsvamp</t>
        </is>
      </c>
      <c r="S60">
        <f>HYPERLINK("https://klasma.github.io/Logging_1981/artfynd/A 21738-2025 artfynd.xlsx", "A 21738-2025")</f>
        <v/>
      </c>
      <c r="T60">
        <f>HYPERLINK("https://klasma.github.io/Logging_1981/kartor/A 21738-2025 karta.png", "A 21738-2025")</f>
        <v/>
      </c>
      <c r="V60">
        <f>HYPERLINK("https://klasma.github.io/Logging_1981/klagomål/A 21738-2025 FSC-klagomål.docx", "A 21738-2025")</f>
        <v/>
      </c>
      <c r="W60">
        <f>HYPERLINK("https://klasma.github.io/Logging_1981/klagomålsmail/A 21738-2025 FSC-klagomål mail.docx", "A 21738-2025")</f>
        <v/>
      </c>
      <c r="X60">
        <f>HYPERLINK("https://klasma.github.io/Logging_1981/tillsyn/A 21738-2025 tillsynsbegäran.docx", "A 21738-2025")</f>
        <v/>
      </c>
      <c r="Y60">
        <f>HYPERLINK("https://klasma.github.io/Logging_1981/tillsynsmail/A 21738-2025 tillsynsbegäran mail.docx", "A 21738-2025")</f>
        <v/>
      </c>
    </row>
    <row r="61" ht="15" customHeight="1">
      <c r="A61" t="inlineStr">
        <is>
          <t>A 48705-2025</t>
        </is>
      </c>
      <c r="B61" s="1" t="n">
        <v>45936.62290509259</v>
      </c>
      <c r="C61" s="1" t="n">
        <v>46065</v>
      </c>
      <c r="D61" t="inlineStr">
        <is>
          <t>VÄSTMANLANDS LÄN</t>
        </is>
      </c>
      <c r="E61" t="inlineStr">
        <is>
          <t>SALA</t>
        </is>
      </c>
      <c r="G61" t="n">
        <v>4.4</v>
      </c>
      <c r="H61" t="n">
        <v>1</v>
      </c>
      <c r="I61" t="n">
        <v>1</v>
      </c>
      <c r="J61" t="n">
        <v>0</v>
      </c>
      <c r="K61" t="n">
        <v>0</v>
      </c>
      <c r="L61" t="n">
        <v>0</v>
      </c>
      <c r="M61" t="n">
        <v>0</v>
      </c>
      <c r="N61" t="n">
        <v>0</v>
      </c>
      <c r="O61" t="n">
        <v>0</v>
      </c>
      <c r="P61" t="n">
        <v>0</v>
      </c>
      <c r="Q61" t="n">
        <v>1</v>
      </c>
      <c r="R61" s="2" t="inlineStr">
        <is>
          <t>Plattlummer</t>
        </is>
      </c>
      <c r="S61">
        <f>HYPERLINK("https://klasma.github.io/Logging_1981/artfynd/A 48705-2025 artfynd.xlsx", "A 48705-2025")</f>
        <v/>
      </c>
      <c r="T61">
        <f>HYPERLINK("https://klasma.github.io/Logging_1981/kartor/A 48705-2025 karta.png", "A 48705-2025")</f>
        <v/>
      </c>
      <c r="V61">
        <f>HYPERLINK("https://klasma.github.io/Logging_1981/klagomål/A 48705-2025 FSC-klagomål.docx", "A 48705-2025")</f>
        <v/>
      </c>
      <c r="W61">
        <f>HYPERLINK("https://klasma.github.io/Logging_1981/klagomålsmail/A 48705-2025 FSC-klagomål mail.docx", "A 48705-2025")</f>
        <v/>
      </c>
      <c r="X61">
        <f>HYPERLINK("https://klasma.github.io/Logging_1981/tillsyn/A 48705-2025 tillsynsbegäran.docx", "A 48705-2025")</f>
        <v/>
      </c>
      <c r="Y61">
        <f>HYPERLINK("https://klasma.github.io/Logging_1981/tillsynsmail/A 48705-2025 tillsynsbegäran mail.docx", "A 48705-2025")</f>
        <v/>
      </c>
    </row>
    <row r="62" ht="15" customHeight="1">
      <c r="A62" t="inlineStr">
        <is>
          <t>A 22950-2025</t>
        </is>
      </c>
      <c r="B62" s="1" t="n">
        <v>45790.50728009259</v>
      </c>
      <c r="C62" s="1" t="n">
        <v>46065</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50268-2025</t>
        </is>
      </c>
      <c r="B63" s="1" t="n">
        <v>45944.35162037037</v>
      </c>
      <c r="C63" s="1" t="n">
        <v>46065</v>
      </c>
      <c r="D63" t="inlineStr">
        <is>
          <t>VÄSTMANLANDS LÄN</t>
        </is>
      </c>
      <c r="E63" t="inlineStr">
        <is>
          <t>SALA</t>
        </is>
      </c>
      <c r="G63" t="n">
        <v>0.7</v>
      </c>
      <c r="H63" t="n">
        <v>1</v>
      </c>
      <c r="I63" t="n">
        <v>0</v>
      </c>
      <c r="J63" t="n">
        <v>0</v>
      </c>
      <c r="K63" t="n">
        <v>0</v>
      </c>
      <c r="L63" t="n">
        <v>0</v>
      </c>
      <c r="M63" t="n">
        <v>0</v>
      </c>
      <c r="N63" t="n">
        <v>0</v>
      </c>
      <c r="O63" t="n">
        <v>0</v>
      </c>
      <c r="P63" t="n">
        <v>0</v>
      </c>
      <c r="Q63" t="n">
        <v>1</v>
      </c>
      <c r="R63" s="2" t="inlineStr">
        <is>
          <t>Fläcknycklar</t>
        </is>
      </c>
      <c r="S63">
        <f>HYPERLINK("https://klasma.github.io/Logging_1981/artfynd/A 50268-2025 artfynd.xlsx", "A 50268-2025")</f>
        <v/>
      </c>
      <c r="T63">
        <f>HYPERLINK("https://klasma.github.io/Logging_1981/kartor/A 50268-2025 karta.png", "A 50268-2025")</f>
        <v/>
      </c>
      <c r="V63">
        <f>HYPERLINK("https://klasma.github.io/Logging_1981/klagomål/A 50268-2025 FSC-klagomål.docx", "A 50268-2025")</f>
        <v/>
      </c>
      <c r="W63">
        <f>HYPERLINK("https://klasma.github.io/Logging_1981/klagomålsmail/A 50268-2025 FSC-klagomål mail.docx", "A 50268-2025")</f>
        <v/>
      </c>
      <c r="X63">
        <f>HYPERLINK("https://klasma.github.io/Logging_1981/tillsyn/A 50268-2025 tillsynsbegäran.docx", "A 50268-2025")</f>
        <v/>
      </c>
      <c r="Y63">
        <f>HYPERLINK("https://klasma.github.io/Logging_1981/tillsynsmail/A 50268-2025 tillsynsbegäran mail.docx", "A 50268-2025")</f>
        <v/>
      </c>
    </row>
    <row r="64" ht="15" customHeight="1">
      <c r="A64" t="inlineStr">
        <is>
          <t>A 53052-2025</t>
        </is>
      </c>
      <c r="B64" s="1" t="n">
        <v>45958.36266203703</v>
      </c>
      <c r="C64" s="1" t="n">
        <v>46065</v>
      </c>
      <c r="D64" t="inlineStr">
        <is>
          <t>VÄSTMANLANDS LÄN</t>
        </is>
      </c>
      <c r="E64" t="inlineStr">
        <is>
          <t>SALA</t>
        </is>
      </c>
      <c r="F64" t="inlineStr">
        <is>
          <t>Sveaskog</t>
        </is>
      </c>
      <c r="G64" t="n">
        <v>1.1</v>
      </c>
      <c r="H64" t="n">
        <v>0</v>
      </c>
      <c r="I64" t="n">
        <v>0</v>
      </c>
      <c r="J64" t="n">
        <v>1</v>
      </c>
      <c r="K64" t="n">
        <v>0</v>
      </c>
      <c r="L64" t="n">
        <v>0</v>
      </c>
      <c r="M64" t="n">
        <v>0</v>
      </c>
      <c r="N64" t="n">
        <v>0</v>
      </c>
      <c r="O64" t="n">
        <v>1</v>
      </c>
      <c r="P64" t="n">
        <v>0</v>
      </c>
      <c r="Q64" t="n">
        <v>1</v>
      </c>
      <c r="R64" s="2" t="inlineStr">
        <is>
          <t>Motaggsvamp</t>
        </is>
      </c>
      <c r="S64">
        <f>HYPERLINK("https://klasma.github.io/Logging_1981/artfynd/A 53052-2025 artfynd.xlsx", "A 53052-2025")</f>
        <v/>
      </c>
      <c r="T64">
        <f>HYPERLINK("https://klasma.github.io/Logging_1981/kartor/A 53052-2025 karta.png", "A 53052-2025")</f>
        <v/>
      </c>
      <c r="V64">
        <f>HYPERLINK("https://klasma.github.io/Logging_1981/klagomål/A 53052-2025 FSC-klagomål.docx", "A 53052-2025")</f>
        <v/>
      </c>
      <c r="W64">
        <f>HYPERLINK("https://klasma.github.io/Logging_1981/klagomålsmail/A 53052-2025 FSC-klagomål mail.docx", "A 53052-2025")</f>
        <v/>
      </c>
      <c r="X64">
        <f>HYPERLINK("https://klasma.github.io/Logging_1981/tillsyn/A 53052-2025 tillsynsbegäran.docx", "A 53052-2025")</f>
        <v/>
      </c>
      <c r="Y64">
        <f>HYPERLINK("https://klasma.github.io/Logging_1981/tillsynsmail/A 53052-2025 tillsynsbegäran mail.docx", "A 53052-2025")</f>
        <v/>
      </c>
    </row>
    <row r="65" ht="15" customHeight="1">
      <c r="A65" t="inlineStr">
        <is>
          <t>A 55995-2025</t>
        </is>
      </c>
      <c r="B65" s="1" t="n">
        <v>45973.56733796297</v>
      </c>
      <c r="C65" s="1" t="n">
        <v>46065</v>
      </c>
      <c r="D65" t="inlineStr">
        <is>
          <t>VÄSTMANLANDS LÄN</t>
        </is>
      </c>
      <c r="E65" t="inlineStr">
        <is>
          <t>SALA</t>
        </is>
      </c>
      <c r="F65" t="inlineStr">
        <is>
          <t>Sveaskog</t>
        </is>
      </c>
      <c r="G65" t="n">
        <v>4.5</v>
      </c>
      <c r="H65" t="n">
        <v>1</v>
      </c>
      <c r="I65" t="n">
        <v>0</v>
      </c>
      <c r="J65" t="n">
        <v>0</v>
      </c>
      <c r="K65" t="n">
        <v>0</v>
      </c>
      <c r="L65" t="n">
        <v>0</v>
      </c>
      <c r="M65" t="n">
        <v>0</v>
      </c>
      <c r="N65" t="n">
        <v>0</v>
      </c>
      <c r="O65" t="n">
        <v>0</v>
      </c>
      <c r="P65" t="n">
        <v>0</v>
      </c>
      <c r="Q65" t="n">
        <v>1</v>
      </c>
      <c r="R65" s="2" t="inlineStr">
        <is>
          <t>Fläcknycklar</t>
        </is>
      </c>
      <c r="S65">
        <f>HYPERLINK("https://klasma.github.io/Logging_1981/artfynd/A 55995-2025 artfynd.xlsx", "A 55995-2025")</f>
        <v/>
      </c>
      <c r="T65">
        <f>HYPERLINK("https://klasma.github.io/Logging_1981/kartor/A 55995-2025 karta.png", "A 55995-2025")</f>
        <v/>
      </c>
      <c r="V65">
        <f>HYPERLINK("https://klasma.github.io/Logging_1981/klagomål/A 55995-2025 FSC-klagomål.docx", "A 55995-2025")</f>
        <v/>
      </c>
      <c r="W65">
        <f>HYPERLINK("https://klasma.github.io/Logging_1981/klagomålsmail/A 55995-2025 FSC-klagomål mail.docx", "A 55995-2025")</f>
        <v/>
      </c>
      <c r="X65">
        <f>HYPERLINK("https://klasma.github.io/Logging_1981/tillsyn/A 55995-2025 tillsynsbegäran.docx", "A 55995-2025")</f>
        <v/>
      </c>
      <c r="Y65">
        <f>HYPERLINK("https://klasma.github.io/Logging_1981/tillsynsmail/A 55995-2025 tillsynsbegäran mail.docx", "A 55995-2025")</f>
        <v/>
      </c>
    </row>
    <row r="66" ht="15" customHeight="1">
      <c r="A66" t="inlineStr">
        <is>
          <t>A 7672-2026</t>
        </is>
      </c>
      <c r="B66" s="1" t="n">
        <v>46062.42077546296</v>
      </c>
      <c r="C66" s="1" t="n">
        <v>46065</v>
      </c>
      <c r="D66" t="inlineStr">
        <is>
          <t>VÄSTMANLANDS LÄN</t>
        </is>
      </c>
      <c r="E66" t="inlineStr">
        <is>
          <t>SALA</t>
        </is>
      </c>
      <c r="G66" t="n">
        <v>2.9</v>
      </c>
      <c r="H66" t="n">
        <v>1</v>
      </c>
      <c r="I66" t="n">
        <v>0</v>
      </c>
      <c r="J66" t="n">
        <v>0</v>
      </c>
      <c r="K66" t="n">
        <v>0</v>
      </c>
      <c r="L66" t="n">
        <v>0</v>
      </c>
      <c r="M66" t="n">
        <v>0</v>
      </c>
      <c r="N66" t="n">
        <v>0</v>
      </c>
      <c r="O66" t="n">
        <v>0</v>
      </c>
      <c r="P66" t="n">
        <v>0</v>
      </c>
      <c r="Q66" t="n">
        <v>1</v>
      </c>
      <c r="R66" s="2" t="inlineStr">
        <is>
          <t>Nattviol</t>
        </is>
      </c>
      <c r="S66">
        <f>HYPERLINK("https://klasma.github.io/Logging_1981/artfynd/A 7672-2026 artfynd.xlsx", "A 7672-2026")</f>
        <v/>
      </c>
      <c r="T66">
        <f>HYPERLINK("https://klasma.github.io/Logging_1981/kartor/A 7672-2026 karta.png", "A 7672-2026")</f>
        <v/>
      </c>
      <c r="V66">
        <f>HYPERLINK("https://klasma.github.io/Logging_1981/klagomål/A 7672-2026 FSC-klagomål.docx", "A 7672-2026")</f>
        <v/>
      </c>
      <c r="W66">
        <f>HYPERLINK("https://klasma.github.io/Logging_1981/klagomålsmail/A 7672-2026 FSC-klagomål mail.docx", "A 7672-2026")</f>
        <v/>
      </c>
      <c r="X66">
        <f>HYPERLINK("https://klasma.github.io/Logging_1981/tillsyn/A 7672-2026 tillsynsbegäran.docx", "A 7672-2026")</f>
        <v/>
      </c>
      <c r="Y66">
        <f>HYPERLINK("https://klasma.github.io/Logging_1981/tillsynsmail/A 7672-2026 tillsynsbegäran mail.docx", "A 7672-2026")</f>
        <v/>
      </c>
    </row>
    <row r="67" ht="15" customHeight="1">
      <c r="A67" t="inlineStr">
        <is>
          <t>A 73124-2021</t>
        </is>
      </c>
      <c r="B67" s="1" t="n">
        <v>44550</v>
      </c>
      <c r="C67" s="1" t="n">
        <v>46065</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46065</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46065</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46065</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46065</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46065</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46065</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46065</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46065</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46065</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46065</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46065</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46065</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46065</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46065</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46065</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46065</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46065</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46065</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46065</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46065</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46065</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46065</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46065</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46065</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46065</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46065</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46065</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46065</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46065</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46065</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46065</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46065</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46065</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46065</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46065</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46065</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46065</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46065</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46065</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46065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46065</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46065</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46065</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46065</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46065</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46065</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46065</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46065</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46065</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66830-2021</t>
        </is>
      </c>
      <c r="B117" s="1" t="n">
        <v>44522.40886574074</v>
      </c>
      <c r="C117" s="1" t="n">
        <v>46065</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28402-2022</t>
        </is>
      </c>
      <c r="B118" s="1" t="n">
        <v>44747</v>
      </c>
      <c r="C118" s="1" t="n">
        <v>46065</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46065</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73606-2021</t>
        </is>
      </c>
      <c r="B120" s="1" t="n">
        <v>44552</v>
      </c>
      <c r="C120" s="1" t="n">
        <v>46065</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67962-2021</t>
        </is>
      </c>
      <c r="B121" s="1" t="n">
        <v>44525</v>
      </c>
      <c r="C121" s="1" t="n">
        <v>46065</v>
      </c>
      <c r="D121" t="inlineStr">
        <is>
          <t>VÄSTMANLANDS LÄN</t>
        </is>
      </c>
      <c r="E121" t="inlineStr">
        <is>
          <t>SALA</t>
        </is>
      </c>
      <c r="G121" t="n">
        <v>1.4</v>
      </c>
      <c r="H121" t="n">
        <v>0</v>
      </c>
      <c r="I121" t="n">
        <v>0</v>
      </c>
      <c r="J121" t="n">
        <v>0</v>
      </c>
      <c r="K121" t="n">
        <v>0</v>
      </c>
      <c r="L121" t="n">
        <v>0</v>
      </c>
      <c r="M121" t="n">
        <v>0</v>
      </c>
      <c r="N121" t="n">
        <v>0</v>
      </c>
      <c r="O121" t="n">
        <v>0</v>
      </c>
      <c r="P121" t="n">
        <v>0</v>
      </c>
      <c r="Q121" t="n">
        <v>0</v>
      </c>
      <c r="R121" s="2" t="inlineStr"/>
    </row>
    <row r="122" ht="15" customHeight="1">
      <c r="A122" t="inlineStr">
        <is>
          <t>A 53735-2022</t>
        </is>
      </c>
      <c r="B122" s="1" t="n">
        <v>44880.42752314815</v>
      </c>
      <c r="C122" s="1" t="n">
        <v>46065</v>
      </c>
      <c r="D122" t="inlineStr">
        <is>
          <t>VÄSTMANLANDS LÄN</t>
        </is>
      </c>
      <c r="E122" t="inlineStr">
        <is>
          <t>SALA</t>
        </is>
      </c>
      <c r="F122" t="inlineStr">
        <is>
          <t>Bergvik skog öst AB</t>
        </is>
      </c>
      <c r="G122" t="n">
        <v>1.8</v>
      </c>
      <c r="H122" t="n">
        <v>0</v>
      </c>
      <c r="I122" t="n">
        <v>0</v>
      </c>
      <c r="J122" t="n">
        <v>0</v>
      </c>
      <c r="K122" t="n">
        <v>0</v>
      </c>
      <c r="L122" t="n">
        <v>0</v>
      </c>
      <c r="M122" t="n">
        <v>0</v>
      </c>
      <c r="N122" t="n">
        <v>0</v>
      </c>
      <c r="O122" t="n">
        <v>0</v>
      </c>
      <c r="P122" t="n">
        <v>0</v>
      </c>
      <c r="Q122" t="n">
        <v>0</v>
      </c>
      <c r="R122" s="2" t="inlineStr"/>
    </row>
    <row r="123" ht="15" customHeight="1">
      <c r="A123" t="inlineStr">
        <is>
          <t>A 65856-2021</t>
        </is>
      </c>
      <c r="B123" s="1" t="n">
        <v>44517</v>
      </c>
      <c r="C123" s="1" t="n">
        <v>46065</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24882-2022</t>
        </is>
      </c>
      <c r="B124" s="1" t="n">
        <v>44728.56488425926</v>
      </c>
      <c r="C124" s="1" t="n">
        <v>46065</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44224-2022</t>
        </is>
      </c>
      <c r="B125" s="1" t="n">
        <v>44839.506875</v>
      </c>
      <c r="C125" s="1" t="n">
        <v>46065</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25603-2022</t>
        </is>
      </c>
      <c r="B126" s="1" t="n">
        <v>44732</v>
      </c>
      <c r="C126" s="1" t="n">
        <v>46065</v>
      </c>
      <c r="D126" t="inlineStr">
        <is>
          <t>VÄSTMANLANDS LÄN</t>
        </is>
      </c>
      <c r="E126" t="inlineStr">
        <is>
          <t>SALA</t>
        </is>
      </c>
      <c r="G126" t="n">
        <v>2</v>
      </c>
      <c r="H126" t="n">
        <v>0</v>
      </c>
      <c r="I126" t="n">
        <v>0</v>
      </c>
      <c r="J126" t="n">
        <v>0</v>
      </c>
      <c r="K126" t="n">
        <v>0</v>
      </c>
      <c r="L126" t="n">
        <v>0</v>
      </c>
      <c r="M126" t="n">
        <v>0</v>
      </c>
      <c r="N126" t="n">
        <v>0</v>
      </c>
      <c r="O126" t="n">
        <v>0</v>
      </c>
      <c r="P126" t="n">
        <v>0</v>
      </c>
      <c r="Q126" t="n">
        <v>0</v>
      </c>
      <c r="R126" s="2" t="inlineStr"/>
    </row>
    <row r="127" ht="15" customHeight="1">
      <c r="A127" t="inlineStr">
        <is>
          <t>A 37856-2021</t>
        </is>
      </c>
      <c r="B127" s="1" t="n">
        <v>44403</v>
      </c>
      <c r="C127" s="1" t="n">
        <v>46065</v>
      </c>
      <c r="D127" t="inlineStr">
        <is>
          <t>VÄSTMANLANDS LÄN</t>
        </is>
      </c>
      <c r="E127" t="inlineStr">
        <is>
          <t>SALA</t>
        </is>
      </c>
      <c r="G127" t="n">
        <v>3.1</v>
      </c>
      <c r="H127" t="n">
        <v>0</v>
      </c>
      <c r="I127" t="n">
        <v>0</v>
      </c>
      <c r="J127" t="n">
        <v>0</v>
      </c>
      <c r="K127" t="n">
        <v>0</v>
      </c>
      <c r="L127" t="n">
        <v>0</v>
      </c>
      <c r="M127" t="n">
        <v>0</v>
      </c>
      <c r="N127" t="n">
        <v>0</v>
      </c>
      <c r="O127" t="n">
        <v>0</v>
      </c>
      <c r="P127" t="n">
        <v>0</v>
      </c>
      <c r="Q127" t="n">
        <v>0</v>
      </c>
      <c r="R127" s="2" t="inlineStr"/>
    </row>
    <row r="128" ht="15" customHeight="1">
      <c r="A128" t="inlineStr">
        <is>
          <t>A 37872-2021</t>
        </is>
      </c>
      <c r="B128" s="1" t="n">
        <v>44403</v>
      </c>
      <c r="C128" s="1" t="n">
        <v>46065</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65835-2021</t>
        </is>
      </c>
      <c r="B129" s="1" t="n">
        <v>44517</v>
      </c>
      <c r="C129" s="1" t="n">
        <v>46065</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23757-2022</t>
        </is>
      </c>
      <c r="B130" s="1" t="n">
        <v>44722.37339120371</v>
      </c>
      <c r="C130" s="1" t="n">
        <v>46065</v>
      </c>
      <c r="D130" t="inlineStr">
        <is>
          <t>VÄSTMANLANDS LÄN</t>
        </is>
      </c>
      <c r="E130" t="inlineStr">
        <is>
          <t>SALA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70218-2021</t>
        </is>
      </c>
      <c r="B131" s="1" t="n">
        <v>44535.6571412037</v>
      </c>
      <c r="C131" s="1" t="n">
        <v>46065</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53628-2022</t>
        </is>
      </c>
      <c r="B132" s="1" t="n">
        <v>44879.87171296297</v>
      </c>
      <c r="C132" s="1" t="n">
        <v>46065</v>
      </c>
      <c r="D132" t="inlineStr">
        <is>
          <t>VÄSTMANLANDS LÄN</t>
        </is>
      </c>
      <c r="E132" t="inlineStr">
        <is>
          <t>SALA</t>
        </is>
      </c>
      <c r="G132" t="n">
        <v>2.7</v>
      </c>
      <c r="H132" t="n">
        <v>0</v>
      </c>
      <c r="I132" t="n">
        <v>0</v>
      </c>
      <c r="J132" t="n">
        <v>0</v>
      </c>
      <c r="K132" t="n">
        <v>0</v>
      </c>
      <c r="L132" t="n">
        <v>0</v>
      </c>
      <c r="M132" t="n">
        <v>0</v>
      </c>
      <c r="N132" t="n">
        <v>0</v>
      </c>
      <c r="O132" t="n">
        <v>0</v>
      </c>
      <c r="P132" t="n">
        <v>0</v>
      </c>
      <c r="Q132" t="n">
        <v>0</v>
      </c>
      <c r="R132" s="2" t="inlineStr"/>
    </row>
    <row r="133" ht="15" customHeight="1">
      <c r="A133" t="inlineStr">
        <is>
          <t>A 31904-2021</t>
        </is>
      </c>
      <c r="B133" s="1" t="n">
        <v>44370.46853009259</v>
      </c>
      <c r="C133" s="1" t="n">
        <v>46065</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3204-2022</t>
        </is>
      </c>
      <c r="B134" s="1" t="n">
        <v>44582</v>
      </c>
      <c r="C134" s="1" t="n">
        <v>46065</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23847-2022</t>
        </is>
      </c>
      <c r="B135" s="1" t="n">
        <v>44722</v>
      </c>
      <c r="C135" s="1" t="n">
        <v>46065</v>
      </c>
      <c r="D135" t="inlineStr">
        <is>
          <t>VÄSTMANLANDS LÄN</t>
        </is>
      </c>
      <c r="E135" t="inlineStr">
        <is>
          <t>SALA</t>
        </is>
      </c>
      <c r="G135" t="n">
        <v>1</v>
      </c>
      <c r="H135" t="n">
        <v>0</v>
      </c>
      <c r="I135" t="n">
        <v>0</v>
      </c>
      <c r="J135" t="n">
        <v>0</v>
      </c>
      <c r="K135" t="n">
        <v>0</v>
      </c>
      <c r="L135" t="n">
        <v>0</v>
      </c>
      <c r="M135" t="n">
        <v>0</v>
      </c>
      <c r="N135" t="n">
        <v>0</v>
      </c>
      <c r="O135" t="n">
        <v>0</v>
      </c>
      <c r="P135" t="n">
        <v>0</v>
      </c>
      <c r="Q135" t="n">
        <v>0</v>
      </c>
      <c r="R135" s="2" t="inlineStr"/>
    </row>
    <row r="136" ht="15" customHeight="1">
      <c r="A136" t="inlineStr">
        <is>
          <t>A 26570-2021</t>
        </is>
      </c>
      <c r="B136" s="1" t="n">
        <v>44348</v>
      </c>
      <c r="C136" s="1" t="n">
        <v>46065</v>
      </c>
      <c r="D136" t="inlineStr">
        <is>
          <t>VÄSTMANLANDS LÄN</t>
        </is>
      </c>
      <c r="E136" t="inlineStr">
        <is>
          <t>SALA</t>
        </is>
      </c>
      <c r="G136" t="n">
        <v>2.5</v>
      </c>
      <c r="H136" t="n">
        <v>0</v>
      </c>
      <c r="I136" t="n">
        <v>0</v>
      </c>
      <c r="J136" t="n">
        <v>0</v>
      </c>
      <c r="K136" t="n">
        <v>0</v>
      </c>
      <c r="L136" t="n">
        <v>0</v>
      </c>
      <c r="M136" t="n">
        <v>0</v>
      </c>
      <c r="N136" t="n">
        <v>0</v>
      </c>
      <c r="O136" t="n">
        <v>0</v>
      </c>
      <c r="P136" t="n">
        <v>0</v>
      </c>
      <c r="Q136" t="n">
        <v>0</v>
      </c>
      <c r="R136" s="2" t="inlineStr"/>
    </row>
    <row r="137" ht="15" customHeight="1">
      <c r="A137" t="inlineStr">
        <is>
          <t>A 61897-2021</t>
        </is>
      </c>
      <c r="B137" s="1" t="n">
        <v>44502</v>
      </c>
      <c r="C137" s="1" t="n">
        <v>46065</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44217-2022</t>
        </is>
      </c>
      <c r="B138" s="1" t="n">
        <v>44839.49953703704</v>
      </c>
      <c r="C138" s="1" t="n">
        <v>46065</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46065</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30915-2021</t>
        </is>
      </c>
      <c r="B140" s="1" t="n">
        <v>44365</v>
      </c>
      <c r="C140" s="1" t="n">
        <v>46065</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30918-2021</t>
        </is>
      </c>
      <c r="B141" s="1" t="n">
        <v>44365.60569444444</v>
      </c>
      <c r="C141" s="1" t="n">
        <v>46065</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22562-2022</t>
        </is>
      </c>
      <c r="B142" s="1" t="n">
        <v>44713</v>
      </c>
      <c r="C142" s="1" t="n">
        <v>46065</v>
      </c>
      <c r="D142" t="inlineStr">
        <is>
          <t>VÄSTMANLANDS LÄN</t>
        </is>
      </c>
      <c r="E142" t="inlineStr">
        <is>
          <t>SALA</t>
        </is>
      </c>
      <c r="G142" t="n">
        <v>0.8</v>
      </c>
      <c r="H142" t="n">
        <v>0</v>
      </c>
      <c r="I142" t="n">
        <v>0</v>
      </c>
      <c r="J142" t="n">
        <v>0</v>
      </c>
      <c r="K142" t="n">
        <v>0</v>
      </c>
      <c r="L142" t="n">
        <v>0</v>
      </c>
      <c r="M142" t="n">
        <v>0</v>
      </c>
      <c r="N142" t="n">
        <v>0</v>
      </c>
      <c r="O142" t="n">
        <v>0</v>
      </c>
      <c r="P142" t="n">
        <v>0</v>
      </c>
      <c r="Q142" t="n">
        <v>0</v>
      </c>
      <c r="R142" s="2" t="inlineStr"/>
    </row>
    <row r="143" ht="15" customHeight="1">
      <c r="A143" t="inlineStr">
        <is>
          <t>A 30904-2021</t>
        </is>
      </c>
      <c r="B143" s="1" t="n">
        <v>44365.5983449074</v>
      </c>
      <c r="C143" s="1" t="n">
        <v>46065</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46065</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30170-2021</t>
        </is>
      </c>
      <c r="B145" s="1" t="n">
        <v>44363</v>
      </c>
      <c r="C145" s="1" t="n">
        <v>46065</v>
      </c>
      <c r="D145" t="inlineStr">
        <is>
          <t>VÄSTMANLANDS LÄN</t>
        </is>
      </c>
      <c r="E145" t="inlineStr">
        <is>
          <t>SALA</t>
        </is>
      </c>
      <c r="G145" t="n">
        <v>7.2</v>
      </c>
      <c r="H145" t="n">
        <v>0</v>
      </c>
      <c r="I145" t="n">
        <v>0</v>
      </c>
      <c r="J145" t="n">
        <v>0</v>
      </c>
      <c r="K145" t="n">
        <v>0</v>
      </c>
      <c r="L145" t="n">
        <v>0</v>
      </c>
      <c r="M145" t="n">
        <v>0</v>
      </c>
      <c r="N145" t="n">
        <v>0</v>
      </c>
      <c r="O145" t="n">
        <v>0</v>
      </c>
      <c r="P145" t="n">
        <v>0</v>
      </c>
      <c r="Q145" t="n">
        <v>0</v>
      </c>
      <c r="R145" s="2" t="inlineStr"/>
    </row>
    <row r="146" ht="15" customHeight="1">
      <c r="A146" t="inlineStr">
        <is>
          <t>A 65353-2021</t>
        </is>
      </c>
      <c r="B146" s="1" t="n">
        <v>44515</v>
      </c>
      <c r="C146" s="1" t="n">
        <v>46065</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73519-2021</t>
        </is>
      </c>
      <c r="B147" s="1" t="n">
        <v>44551</v>
      </c>
      <c r="C147" s="1" t="n">
        <v>46065</v>
      </c>
      <c r="D147" t="inlineStr">
        <is>
          <t>VÄSTMANLANDS LÄN</t>
        </is>
      </c>
      <c r="E147" t="inlineStr">
        <is>
          <t>SALA</t>
        </is>
      </c>
      <c r="G147" t="n">
        <v>0.3</v>
      </c>
      <c r="H147" t="n">
        <v>0</v>
      </c>
      <c r="I147" t="n">
        <v>0</v>
      </c>
      <c r="J147" t="n">
        <v>0</v>
      </c>
      <c r="K147" t="n">
        <v>0</v>
      </c>
      <c r="L147" t="n">
        <v>0</v>
      </c>
      <c r="M147" t="n">
        <v>0</v>
      </c>
      <c r="N147" t="n">
        <v>0</v>
      </c>
      <c r="O147" t="n">
        <v>0</v>
      </c>
      <c r="P147" t="n">
        <v>0</v>
      </c>
      <c r="Q147" t="n">
        <v>0</v>
      </c>
      <c r="R147" s="2" t="inlineStr"/>
    </row>
    <row r="148" ht="15" customHeight="1">
      <c r="A148" t="inlineStr">
        <is>
          <t>A 22575-2022</t>
        </is>
      </c>
      <c r="B148" s="1" t="n">
        <v>44713</v>
      </c>
      <c r="C148" s="1" t="n">
        <v>46065</v>
      </c>
      <c r="D148" t="inlineStr">
        <is>
          <t>VÄSTMANLANDS LÄN</t>
        </is>
      </c>
      <c r="E148" t="inlineStr">
        <is>
          <t>SALA</t>
        </is>
      </c>
      <c r="G148" t="n">
        <v>0.7</v>
      </c>
      <c r="H148" t="n">
        <v>0</v>
      </c>
      <c r="I148" t="n">
        <v>0</v>
      </c>
      <c r="J148" t="n">
        <v>0</v>
      </c>
      <c r="K148" t="n">
        <v>0</v>
      </c>
      <c r="L148" t="n">
        <v>0</v>
      </c>
      <c r="M148" t="n">
        <v>0</v>
      </c>
      <c r="N148" t="n">
        <v>0</v>
      </c>
      <c r="O148" t="n">
        <v>0</v>
      </c>
      <c r="P148" t="n">
        <v>0</v>
      </c>
      <c r="Q148" t="n">
        <v>0</v>
      </c>
      <c r="R148" s="2" t="inlineStr"/>
    </row>
    <row r="149" ht="15" customHeight="1">
      <c r="A149" t="inlineStr">
        <is>
          <t>A 37881-2021</t>
        </is>
      </c>
      <c r="B149" s="1" t="n">
        <v>44403</v>
      </c>
      <c r="C149" s="1" t="n">
        <v>46065</v>
      </c>
      <c r="D149" t="inlineStr">
        <is>
          <t>VÄSTMANLANDS LÄN</t>
        </is>
      </c>
      <c r="E149" t="inlineStr">
        <is>
          <t>SALA</t>
        </is>
      </c>
      <c r="G149" t="n">
        <v>4.6</v>
      </c>
      <c r="H149" t="n">
        <v>0</v>
      </c>
      <c r="I149" t="n">
        <v>0</v>
      </c>
      <c r="J149" t="n">
        <v>0</v>
      </c>
      <c r="K149" t="n">
        <v>0</v>
      </c>
      <c r="L149" t="n">
        <v>0</v>
      </c>
      <c r="M149" t="n">
        <v>0</v>
      </c>
      <c r="N149" t="n">
        <v>0</v>
      </c>
      <c r="O149" t="n">
        <v>0</v>
      </c>
      <c r="P149" t="n">
        <v>0</v>
      </c>
      <c r="Q149" t="n">
        <v>0</v>
      </c>
      <c r="R149" s="2" t="inlineStr"/>
    </row>
    <row r="150" ht="15" customHeight="1">
      <c r="A150" t="inlineStr">
        <is>
          <t>A 72805-2021</t>
        </is>
      </c>
      <c r="B150" s="1" t="n">
        <v>44546</v>
      </c>
      <c r="C150" s="1" t="n">
        <v>46065</v>
      </c>
      <c r="D150" t="inlineStr">
        <is>
          <t>VÄSTMANLANDS LÄN</t>
        </is>
      </c>
      <c r="E150" t="inlineStr">
        <is>
          <t>SALA</t>
        </is>
      </c>
      <c r="G150" t="n">
        <v>7.8</v>
      </c>
      <c r="H150" t="n">
        <v>0</v>
      </c>
      <c r="I150" t="n">
        <v>0</v>
      </c>
      <c r="J150" t="n">
        <v>0</v>
      </c>
      <c r="K150" t="n">
        <v>0</v>
      </c>
      <c r="L150" t="n">
        <v>0</v>
      </c>
      <c r="M150" t="n">
        <v>0</v>
      </c>
      <c r="N150" t="n">
        <v>0</v>
      </c>
      <c r="O150" t="n">
        <v>0</v>
      </c>
      <c r="P150" t="n">
        <v>0</v>
      </c>
      <c r="Q150" t="n">
        <v>0</v>
      </c>
      <c r="R150" s="2" t="inlineStr"/>
    </row>
    <row r="151" ht="15" customHeight="1">
      <c r="A151" t="inlineStr">
        <is>
          <t>A 72808-2021</t>
        </is>
      </c>
      <c r="B151" s="1" t="n">
        <v>44546</v>
      </c>
      <c r="C151" s="1" t="n">
        <v>46065</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40094-2022</t>
        </is>
      </c>
      <c r="B152" s="1" t="n">
        <v>44819</v>
      </c>
      <c r="C152" s="1" t="n">
        <v>46065</v>
      </c>
      <c r="D152" t="inlineStr">
        <is>
          <t>VÄSTMANLANDS LÄN</t>
        </is>
      </c>
      <c r="E152" t="inlineStr">
        <is>
          <t>SALA</t>
        </is>
      </c>
      <c r="G152" t="n">
        <v>1.7</v>
      </c>
      <c r="H152" t="n">
        <v>0</v>
      </c>
      <c r="I152" t="n">
        <v>0</v>
      </c>
      <c r="J152" t="n">
        <v>0</v>
      </c>
      <c r="K152" t="n">
        <v>0</v>
      </c>
      <c r="L152" t="n">
        <v>0</v>
      </c>
      <c r="M152" t="n">
        <v>0</v>
      </c>
      <c r="N152" t="n">
        <v>0</v>
      </c>
      <c r="O152" t="n">
        <v>0</v>
      </c>
      <c r="P152" t="n">
        <v>0</v>
      </c>
      <c r="Q152" t="n">
        <v>0</v>
      </c>
      <c r="R152" s="2" t="inlineStr"/>
    </row>
    <row r="153" ht="15" customHeight="1">
      <c r="A153" t="inlineStr">
        <is>
          <t>A 14047-2021</t>
        </is>
      </c>
      <c r="B153" s="1" t="n">
        <v>44277</v>
      </c>
      <c r="C153" s="1" t="n">
        <v>46065</v>
      </c>
      <c r="D153" t="inlineStr">
        <is>
          <t>VÄSTMANLANDS LÄN</t>
        </is>
      </c>
      <c r="E153" t="inlineStr">
        <is>
          <t>SALA</t>
        </is>
      </c>
      <c r="F153" t="inlineStr">
        <is>
          <t>Kyrkan</t>
        </is>
      </c>
      <c r="G153" t="n">
        <v>0.7</v>
      </c>
      <c r="H153" t="n">
        <v>0</v>
      </c>
      <c r="I153" t="n">
        <v>0</v>
      </c>
      <c r="J153" t="n">
        <v>0</v>
      </c>
      <c r="K153" t="n">
        <v>0</v>
      </c>
      <c r="L153" t="n">
        <v>0</v>
      </c>
      <c r="M153" t="n">
        <v>0</v>
      </c>
      <c r="N153" t="n">
        <v>0</v>
      </c>
      <c r="O153" t="n">
        <v>0</v>
      </c>
      <c r="P153" t="n">
        <v>0</v>
      </c>
      <c r="Q153" t="n">
        <v>0</v>
      </c>
      <c r="R153" s="2" t="inlineStr"/>
    </row>
    <row r="154" ht="15" customHeight="1">
      <c r="A154" t="inlineStr">
        <is>
          <t>A 53630-2022</t>
        </is>
      </c>
      <c r="B154" s="1" t="n">
        <v>44879.87533564815</v>
      </c>
      <c r="C154" s="1" t="n">
        <v>46065</v>
      </c>
      <c r="D154" t="inlineStr">
        <is>
          <t>VÄSTMANLANDS LÄN</t>
        </is>
      </c>
      <c r="E154" t="inlineStr">
        <is>
          <t>SALA</t>
        </is>
      </c>
      <c r="G154" t="n">
        <v>0.7</v>
      </c>
      <c r="H154" t="n">
        <v>0</v>
      </c>
      <c r="I154" t="n">
        <v>0</v>
      </c>
      <c r="J154" t="n">
        <v>0</v>
      </c>
      <c r="K154" t="n">
        <v>0</v>
      </c>
      <c r="L154" t="n">
        <v>0</v>
      </c>
      <c r="M154" t="n">
        <v>0</v>
      </c>
      <c r="N154" t="n">
        <v>0</v>
      </c>
      <c r="O154" t="n">
        <v>0</v>
      </c>
      <c r="P154" t="n">
        <v>0</v>
      </c>
      <c r="Q154" t="n">
        <v>0</v>
      </c>
      <c r="R154" s="2" t="inlineStr"/>
    </row>
    <row r="155" ht="15" customHeight="1">
      <c r="A155" t="inlineStr">
        <is>
          <t>A 40113-2022</t>
        </is>
      </c>
      <c r="B155" s="1" t="n">
        <v>44819</v>
      </c>
      <c r="C155" s="1" t="n">
        <v>46065</v>
      </c>
      <c r="D155" t="inlineStr">
        <is>
          <t>VÄSTMANLANDS LÄN</t>
        </is>
      </c>
      <c r="E155" t="inlineStr">
        <is>
          <t>SALA</t>
        </is>
      </c>
      <c r="G155" t="n">
        <v>0.9</v>
      </c>
      <c r="H155" t="n">
        <v>0</v>
      </c>
      <c r="I155" t="n">
        <v>0</v>
      </c>
      <c r="J155" t="n">
        <v>0</v>
      </c>
      <c r="K155" t="n">
        <v>0</v>
      </c>
      <c r="L155" t="n">
        <v>0</v>
      </c>
      <c r="M155" t="n">
        <v>0</v>
      </c>
      <c r="N155" t="n">
        <v>0</v>
      </c>
      <c r="O155" t="n">
        <v>0</v>
      </c>
      <c r="P155" t="n">
        <v>0</v>
      </c>
      <c r="Q155" t="n">
        <v>0</v>
      </c>
      <c r="R155" s="2" t="inlineStr"/>
    </row>
    <row r="156" ht="15" customHeight="1">
      <c r="A156" t="inlineStr">
        <is>
          <t>A 57517-2021</t>
        </is>
      </c>
      <c r="B156" s="1" t="n">
        <v>44483</v>
      </c>
      <c r="C156" s="1" t="n">
        <v>46065</v>
      </c>
      <c r="D156" t="inlineStr">
        <is>
          <t>VÄSTMANLANDS LÄN</t>
        </is>
      </c>
      <c r="E156" t="inlineStr">
        <is>
          <t>SALA</t>
        </is>
      </c>
      <c r="G156" t="n">
        <v>1.1</v>
      </c>
      <c r="H156" t="n">
        <v>0</v>
      </c>
      <c r="I156" t="n">
        <v>0</v>
      </c>
      <c r="J156" t="n">
        <v>0</v>
      </c>
      <c r="K156" t="n">
        <v>0</v>
      </c>
      <c r="L156" t="n">
        <v>0</v>
      </c>
      <c r="M156" t="n">
        <v>0</v>
      </c>
      <c r="N156" t="n">
        <v>0</v>
      </c>
      <c r="O156" t="n">
        <v>0</v>
      </c>
      <c r="P156" t="n">
        <v>0</v>
      </c>
      <c r="Q156" t="n">
        <v>0</v>
      </c>
      <c r="R156" s="2" t="inlineStr"/>
    </row>
    <row r="157" ht="15" customHeight="1">
      <c r="A157" t="inlineStr">
        <is>
          <t>A 26575-2021</t>
        </is>
      </c>
      <c r="B157" s="1" t="n">
        <v>44348</v>
      </c>
      <c r="C157" s="1" t="n">
        <v>46065</v>
      </c>
      <c r="D157" t="inlineStr">
        <is>
          <t>VÄSTMANLANDS LÄN</t>
        </is>
      </c>
      <c r="E157" t="inlineStr">
        <is>
          <t>SALA</t>
        </is>
      </c>
      <c r="G157" t="n">
        <v>2.7</v>
      </c>
      <c r="H157" t="n">
        <v>0</v>
      </c>
      <c r="I157" t="n">
        <v>0</v>
      </c>
      <c r="J157" t="n">
        <v>0</v>
      </c>
      <c r="K157" t="n">
        <v>0</v>
      </c>
      <c r="L157" t="n">
        <v>0</v>
      </c>
      <c r="M157" t="n">
        <v>0</v>
      </c>
      <c r="N157" t="n">
        <v>0</v>
      </c>
      <c r="O157" t="n">
        <v>0</v>
      </c>
      <c r="P157" t="n">
        <v>0</v>
      </c>
      <c r="Q157" t="n">
        <v>0</v>
      </c>
      <c r="R157" s="2" t="inlineStr"/>
    </row>
    <row r="158" ht="15" customHeight="1">
      <c r="A158" t="inlineStr">
        <is>
          <t>A 51596-2022</t>
        </is>
      </c>
      <c r="B158" s="1" t="n">
        <v>44871</v>
      </c>
      <c r="C158" s="1" t="n">
        <v>46065</v>
      </c>
      <c r="D158" t="inlineStr">
        <is>
          <t>VÄSTMANLANDS LÄN</t>
        </is>
      </c>
      <c r="E158" t="inlineStr">
        <is>
          <t>SALA</t>
        </is>
      </c>
      <c r="F158" t="inlineStr">
        <is>
          <t>Bergvik skog öst AB</t>
        </is>
      </c>
      <c r="G158" t="n">
        <v>1.2</v>
      </c>
      <c r="H158" t="n">
        <v>0</v>
      </c>
      <c r="I158" t="n">
        <v>0</v>
      </c>
      <c r="J158" t="n">
        <v>0</v>
      </c>
      <c r="K158" t="n">
        <v>0</v>
      </c>
      <c r="L158" t="n">
        <v>0</v>
      </c>
      <c r="M158" t="n">
        <v>0</v>
      </c>
      <c r="N158" t="n">
        <v>0</v>
      </c>
      <c r="O158" t="n">
        <v>0</v>
      </c>
      <c r="P158" t="n">
        <v>0</v>
      </c>
      <c r="Q158" t="n">
        <v>0</v>
      </c>
      <c r="R158" s="2" t="inlineStr"/>
    </row>
    <row r="159" ht="15" customHeight="1">
      <c r="A159" t="inlineStr">
        <is>
          <t>A 66508-2021</t>
        </is>
      </c>
      <c r="B159" s="1" t="n">
        <v>44519.33401620371</v>
      </c>
      <c r="C159" s="1" t="n">
        <v>46065</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29235-2022</t>
        </is>
      </c>
      <c r="B160" s="1" t="n">
        <v>44750</v>
      </c>
      <c r="C160" s="1" t="n">
        <v>46065</v>
      </c>
      <c r="D160" t="inlineStr">
        <is>
          <t>VÄSTMANLANDS LÄN</t>
        </is>
      </c>
      <c r="E160" t="inlineStr">
        <is>
          <t>SALA</t>
        </is>
      </c>
      <c r="G160" t="n">
        <v>0.6</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46065</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29233-2022</t>
        </is>
      </c>
      <c r="B162" s="1" t="n">
        <v>44750</v>
      </c>
      <c r="C162" s="1" t="n">
        <v>46065</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46065</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31452-2021</t>
        </is>
      </c>
      <c r="B164" s="1" t="n">
        <v>44369</v>
      </c>
      <c r="C164" s="1" t="n">
        <v>46065</v>
      </c>
      <c r="D164" t="inlineStr">
        <is>
          <t>VÄSTMANLANDS LÄN</t>
        </is>
      </c>
      <c r="E164" t="inlineStr">
        <is>
          <t>SALA</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10168-2022</t>
        </is>
      </c>
      <c r="B165" s="1" t="n">
        <v>44622.37693287037</v>
      </c>
      <c r="C165" s="1" t="n">
        <v>46065</v>
      </c>
      <c r="D165" t="inlineStr">
        <is>
          <t>VÄSTMANLANDS LÄN</t>
        </is>
      </c>
      <c r="E165" t="inlineStr">
        <is>
          <t>SALA</t>
        </is>
      </c>
      <c r="G165" t="n">
        <v>2.1</v>
      </c>
      <c r="H165" t="n">
        <v>0</v>
      </c>
      <c r="I165" t="n">
        <v>0</v>
      </c>
      <c r="J165" t="n">
        <v>0</v>
      </c>
      <c r="K165" t="n">
        <v>0</v>
      </c>
      <c r="L165" t="n">
        <v>0</v>
      </c>
      <c r="M165" t="n">
        <v>0</v>
      </c>
      <c r="N165" t="n">
        <v>0</v>
      </c>
      <c r="O165" t="n">
        <v>0</v>
      </c>
      <c r="P165" t="n">
        <v>0</v>
      </c>
      <c r="Q165" t="n">
        <v>0</v>
      </c>
      <c r="R165" s="2" t="inlineStr"/>
    </row>
    <row r="166" ht="15" customHeight="1">
      <c r="A166" t="inlineStr">
        <is>
          <t>A 22811-2022</t>
        </is>
      </c>
      <c r="B166" s="1" t="n">
        <v>44715</v>
      </c>
      <c r="C166" s="1" t="n">
        <v>46065</v>
      </c>
      <c r="D166" t="inlineStr">
        <is>
          <t>VÄSTMANLANDS LÄN</t>
        </is>
      </c>
      <c r="E166" t="inlineStr">
        <is>
          <t>SALA</t>
        </is>
      </c>
      <c r="G166" t="n">
        <v>5</v>
      </c>
      <c r="H166" t="n">
        <v>0</v>
      </c>
      <c r="I166" t="n">
        <v>0</v>
      </c>
      <c r="J166" t="n">
        <v>0</v>
      </c>
      <c r="K166" t="n">
        <v>0</v>
      </c>
      <c r="L166" t="n">
        <v>0</v>
      </c>
      <c r="M166" t="n">
        <v>0</v>
      </c>
      <c r="N166" t="n">
        <v>0</v>
      </c>
      <c r="O166" t="n">
        <v>0</v>
      </c>
      <c r="P166" t="n">
        <v>0</v>
      </c>
      <c r="Q166" t="n">
        <v>0</v>
      </c>
      <c r="R166" s="2" t="inlineStr"/>
    </row>
    <row r="167" ht="15" customHeight="1">
      <c r="A167" t="inlineStr">
        <is>
          <t>A 65213-2021</t>
        </is>
      </c>
      <c r="B167" s="1" t="n">
        <v>44515</v>
      </c>
      <c r="C167" s="1" t="n">
        <v>46065</v>
      </c>
      <c r="D167" t="inlineStr">
        <is>
          <t>VÄSTMANLANDS LÄN</t>
        </is>
      </c>
      <c r="E167" t="inlineStr">
        <is>
          <t>SALA</t>
        </is>
      </c>
      <c r="G167" t="n">
        <v>0.6</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46065</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46065</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46065</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23181-2022</t>
        </is>
      </c>
      <c r="B171" s="1" t="n">
        <v>44719.79537037037</v>
      </c>
      <c r="C171" s="1" t="n">
        <v>46065</v>
      </c>
      <c r="D171" t="inlineStr">
        <is>
          <t>VÄSTMANLANDS LÄN</t>
        </is>
      </c>
      <c r="E171" t="inlineStr">
        <is>
          <t>SALA</t>
        </is>
      </c>
      <c r="G171" t="n">
        <v>0.8</v>
      </c>
      <c r="H171" t="n">
        <v>0</v>
      </c>
      <c r="I171" t="n">
        <v>0</v>
      </c>
      <c r="J171" t="n">
        <v>0</v>
      </c>
      <c r="K171" t="n">
        <v>0</v>
      </c>
      <c r="L171" t="n">
        <v>0</v>
      </c>
      <c r="M171" t="n">
        <v>0</v>
      </c>
      <c r="N171" t="n">
        <v>0</v>
      </c>
      <c r="O171" t="n">
        <v>0</v>
      </c>
      <c r="P171" t="n">
        <v>0</v>
      </c>
      <c r="Q171" t="n">
        <v>0</v>
      </c>
      <c r="R171" s="2" t="inlineStr"/>
    </row>
    <row r="172" ht="15" customHeight="1">
      <c r="A172" t="inlineStr">
        <is>
          <t>A 65860-2021</t>
        </is>
      </c>
      <c r="B172" s="1" t="n">
        <v>44517.38163194444</v>
      </c>
      <c r="C172" s="1" t="n">
        <v>46065</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46065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46065</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46065</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35976-2024</t>
        </is>
      </c>
      <c r="B176" s="1" t="n">
        <v>45533.49555555556</v>
      </c>
      <c r="C176" s="1" t="n">
        <v>46065</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24248-2023</t>
        </is>
      </c>
      <c r="B177" s="1" t="n">
        <v>45079</v>
      </c>
      <c r="C177" s="1" t="n">
        <v>46065</v>
      </c>
      <c r="D177" t="inlineStr">
        <is>
          <t>VÄSTMANLANDS LÄN</t>
        </is>
      </c>
      <c r="E177" t="inlineStr">
        <is>
          <t>SALA</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38195-2021</t>
        </is>
      </c>
      <c r="B178" s="1" t="n">
        <v>44405</v>
      </c>
      <c r="C178" s="1" t="n">
        <v>46065</v>
      </c>
      <c r="D178" t="inlineStr">
        <is>
          <t>VÄSTMANLANDS LÄN</t>
        </is>
      </c>
      <c r="E178" t="inlineStr">
        <is>
          <t>SALA</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27228-2023</t>
        </is>
      </c>
      <c r="B179" s="1" t="n">
        <v>45096.59189814814</v>
      </c>
      <c r="C179" s="1" t="n">
        <v>46065</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46065</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8130-2022</t>
        </is>
      </c>
      <c r="B181" s="1" t="n">
        <v>44609.5984837963</v>
      </c>
      <c r="C181" s="1" t="n">
        <v>46065</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53838-2022</t>
        </is>
      </c>
      <c r="B182" s="1" t="n">
        <v>44880.59363425926</v>
      </c>
      <c r="C182" s="1" t="n">
        <v>46065</v>
      </c>
      <c r="D182" t="inlineStr">
        <is>
          <t>VÄSTMANLANDS LÄN</t>
        </is>
      </c>
      <c r="E182" t="inlineStr">
        <is>
          <t>SALA</t>
        </is>
      </c>
      <c r="G182" t="n">
        <v>3.9</v>
      </c>
      <c r="H182" t="n">
        <v>0</v>
      </c>
      <c r="I182" t="n">
        <v>0</v>
      </c>
      <c r="J182" t="n">
        <v>0</v>
      </c>
      <c r="K182" t="n">
        <v>0</v>
      </c>
      <c r="L182" t="n">
        <v>0</v>
      </c>
      <c r="M182" t="n">
        <v>0</v>
      </c>
      <c r="N182" t="n">
        <v>0</v>
      </c>
      <c r="O182" t="n">
        <v>0</v>
      </c>
      <c r="P182" t="n">
        <v>0</v>
      </c>
      <c r="Q182" t="n">
        <v>0</v>
      </c>
      <c r="R182" s="2" t="inlineStr"/>
    </row>
    <row r="183" ht="15" customHeight="1">
      <c r="A183" t="inlineStr">
        <is>
          <t>A 56688-2024</t>
        </is>
      </c>
      <c r="B183" s="1" t="n">
        <v>45627.66478009259</v>
      </c>
      <c r="C183" s="1" t="n">
        <v>46065</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65818-2021</t>
        </is>
      </c>
      <c r="B184" s="1" t="n">
        <v>44517</v>
      </c>
      <c r="C184" s="1" t="n">
        <v>46065</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27261-2024</t>
        </is>
      </c>
      <c r="B185" s="1" t="n">
        <v>45471</v>
      </c>
      <c r="C185" s="1" t="n">
        <v>46065</v>
      </c>
      <c r="D185" t="inlineStr">
        <is>
          <t>VÄSTMANLANDS LÄN</t>
        </is>
      </c>
      <c r="E185" t="inlineStr">
        <is>
          <t>SALA</t>
        </is>
      </c>
      <c r="G185" t="n">
        <v>6.1</v>
      </c>
      <c r="H185" t="n">
        <v>0</v>
      </c>
      <c r="I185" t="n">
        <v>0</v>
      </c>
      <c r="J185" t="n">
        <v>0</v>
      </c>
      <c r="K185" t="n">
        <v>0</v>
      </c>
      <c r="L185" t="n">
        <v>0</v>
      </c>
      <c r="M185" t="n">
        <v>0</v>
      </c>
      <c r="N185" t="n">
        <v>0</v>
      </c>
      <c r="O185" t="n">
        <v>0</v>
      </c>
      <c r="P185" t="n">
        <v>0</v>
      </c>
      <c r="Q185" t="n">
        <v>0</v>
      </c>
      <c r="R185" s="2" t="inlineStr"/>
    </row>
    <row r="186" ht="15" customHeight="1">
      <c r="A186" t="inlineStr">
        <is>
          <t>A 18713-2025</t>
        </is>
      </c>
      <c r="B186" s="1" t="n">
        <v>45763</v>
      </c>
      <c r="C186" s="1" t="n">
        <v>46065</v>
      </c>
      <c r="D186" t="inlineStr">
        <is>
          <t>VÄSTMANLANDS LÄN</t>
        </is>
      </c>
      <c r="E186" t="inlineStr">
        <is>
          <t>SALA</t>
        </is>
      </c>
      <c r="F186" t="inlineStr">
        <is>
          <t>Bergvik skog öst AB</t>
        </is>
      </c>
      <c r="G186" t="n">
        <v>11.6</v>
      </c>
      <c r="H186" t="n">
        <v>0</v>
      </c>
      <c r="I186" t="n">
        <v>0</v>
      </c>
      <c r="J186" t="n">
        <v>0</v>
      </c>
      <c r="K186" t="n">
        <v>0</v>
      </c>
      <c r="L186" t="n">
        <v>0</v>
      </c>
      <c r="M186" t="n">
        <v>0</v>
      </c>
      <c r="N186" t="n">
        <v>0</v>
      </c>
      <c r="O186" t="n">
        <v>0</v>
      </c>
      <c r="P186" t="n">
        <v>0</v>
      </c>
      <c r="Q186" t="n">
        <v>0</v>
      </c>
      <c r="R186" s="2" t="inlineStr"/>
    </row>
    <row r="187" ht="15" customHeight="1">
      <c r="A187" t="inlineStr">
        <is>
          <t>A 54959-2024</t>
        </is>
      </c>
      <c r="B187" s="1" t="n">
        <v>45619</v>
      </c>
      <c r="C187" s="1" t="n">
        <v>46065</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71471-2021</t>
        </is>
      </c>
      <c r="B188" s="1" t="n">
        <v>44540.53421296296</v>
      </c>
      <c r="C188" s="1" t="n">
        <v>46065</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8775-2024</t>
        </is>
      </c>
      <c r="B189" s="1" t="n">
        <v>45356</v>
      </c>
      <c r="C189" s="1" t="n">
        <v>46065</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25260-2023</t>
        </is>
      </c>
      <c r="B190" s="1" t="n">
        <v>45086</v>
      </c>
      <c r="C190" s="1" t="n">
        <v>46065</v>
      </c>
      <c r="D190" t="inlineStr">
        <is>
          <t>VÄSTMANLANDS LÄN</t>
        </is>
      </c>
      <c r="E190" t="inlineStr">
        <is>
          <t>SALA</t>
        </is>
      </c>
      <c r="F190" t="inlineStr">
        <is>
          <t>Sveaskog</t>
        </is>
      </c>
      <c r="G190" t="n">
        <v>3.2</v>
      </c>
      <c r="H190" t="n">
        <v>0</v>
      </c>
      <c r="I190" t="n">
        <v>0</v>
      </c>
      <c r="J190" t="n">
        <v>0</v>
      </c>
      <c r="K190" t="n">
        <v>0</v>
      </c>
      <c r="L190" t="n">
        <v>0</v>
      </c>
      <c r="M190" t="n">
        <v>0</v>
      </c>
      <c r="N190" t="n">
        <v>0</v>
      </c>
      <c r="O190" t="n">
        <v>0</v>
      </c>
      <c r="P190" t="n">
        <v>0</v>
      </c>
      <c r="Q190" t="n">
        <v>0</v>
      </c>
      <c r="R190" s="2" t="inlineStr"/>
    </row>
    <row r="191" ht="15" customHeight="1">
      <c r="A191" t="inlineStr">
        <is>
          <t>A 27486-2022</t>
        </is>
      </c>
      <c r="B191" s="1" t="n">
        <v>44742.60846064815</v>
      </c>
      <c r="C191" s="1" t="n">
        <v>46065</v>
      </c>
      <c r="D191" t="inlineStr">
        <is>
          <t>VÄSTMANLANDS LÄN</t>
        </is>
      </c>
      <c r="E191" t="inlineStr">
        <is>
          <t>SALA</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16651-2021</t>
        </is>
      </c>
      <c r="B192" s="1" t="n">
        <v>44294.50096064815</v>
      </c>
      <c r="C192" s="1" t="n">
        <v>46065</v>
      </c>
      <c r="D192" t="inlineStr">
        <is>
          <t>VÄSTMANLANDS LÄN</t>
        </is>
      </c>
      <c r="E192" t="inlineStr">
        <is>
          <t>SALA</t>
        </is>
      </c>
      <c r="G192" t="n">
        <v>7.7</v>
      </c>
      <c r="H192" t="n">
        <v>0</v>
      </c>
      <c r="I192" t="n">
        <v>0</v>
      </c>
      <c r="J192" t="n">
        <v>0</v>
      </c>
      <c r="K192" t="n">
        <v>0</v>
      </c>
      <c r="L192" t="n">
        <v>0</v>
      </c>
      <c r="M192" t="n">
        <v>0</v>
      </c>
      <c r="N192" t="n">
        <v>0</v>
      </c>
      <c r="O192" t="n">
        <v>0</v>
      </c>
      <c r="P192" t="n">
        <v>0</v>
      </c>
      <c r="Q192" t="n">
        <v>0</v>
      </c>
      <c r="R192" s="2" t="inlineStr"/>
    </row>
    <row r="193" ht="15" customHeight="1">
      <c r="A193" t="inlineStr">
        <is>
          <t>A 6134-2024</t>
        </is>
      </c>
      <c r="B193" s="1" t="n">
        <v>45337</v>
      </c>
      <c r="C193" s="1" t="n">
        <v>46065</v>
      </c>
      <c r="D193" t="inlineStr">
        <is>
          <t>VÄSTMANLANDS LÄN</t>
        </is>
      </c>
      <c r="E193" t="inlineStr">
        <is>
          <t>SALA</t>
        </is>
      </c>
      <c r="G193" t="n">
        <v>1.8</v>
      </c>
      <c r="H193" t="n">
        <v>0</v>
      </c>
      <c r="I193" t="n">
        <v>0</v>
      </c>
      <c r="J193" t="n">
        <v>0</v>
      </c>
      <c r="K193" t="n">
        <v>0</v>
      </c>
      <c r="L193" t="n">
        <v>0</v>
      </c>
      <c r="M193" t="n">
        <v>0</v>
      </c>
      <c r="N193" t="n">
        <v>0</v>
      </c>
      <c r="O193" t="n">
        <v>0</v>
      </c>
      <c r="P193" t="n">
        <v>0</v>
      </c>
      <c r="Q193" t="n">
        <v>0</v>
      </c>
      <c r="R193" s="2" t="inlineStr"/>
    </row>
    <row r="194" ht="15" customHeight="1">
      <c r="A194" t="inlineStr">
        <is>
          <t>A 16769-2024</t>
        </is>
      </c>
      <c r="B194" s="1" t="n">
        <v>45411.38738425926</v>
      </c>
      <c r="C194" s="1" t="n">
        <v>46065</v>
      </c>
      <c r="D194" t="inlineStr">
        <is>
          <t>VÄSTMANLANDS LÄN</t>
        </is>
      </c>
      <c r="E194" t="inlineStr">
        <is>
          <t>SALA</t>
        </is>
      </c>
      <c r="G194" t="n">
        <v>12</v>
      </c>
      <c r="H194" t="n">
        <v>0</v>
      </c>
      <c r="I194" t="n">
        <v>0</v>
      </c>
      <c r="J194" t="n">
        <v>0</v>
      </c>
      <c r="K194" t="n">
        <v>0</v>
      </c>
      <c r="L194" t="n">
        <v>0</v>
      </c>
      <c r="M194" t="n">
        <v>0</v>
      </c>
      <c r="N194" t="n">
        <v>0</v>
      </c>
      <c r="O194" t="n">
        <v>0</v>
      </c>
      <c r="P194" t="n">
        <v>0</v>
      </c>
      <c r="Q194" t="n">
        <v>0</v>
      </c>
      <c r="R194" s="2" t="inlineStr"/>
    </row>
    <row r="195" ht="15" customHeight="1">
      <c r="A195" t="inlineStr">
        <is>
          <t>A 15354-2021</t>
        </is>
      </c>
      <c r="B195" s="1" t="n">
        <v>44284</v>
      </c>
      <c r="C195" s="1" t="n">
        <v>46065</v>
      </c>
      <c r="D195" t="inlineStr">
        <is>
          <t>VÄSTMANLANDS LÄN</t>
        </is>
      </c>
      <c r="E195" t="inlineStr">
        <is>
          <t>SALA</t>
        </is>
      </c>
      <c r="F195" t="inlineStr">
        <is>
          <t>Kyrkan</t>
        </is>
      </c>
      <c r="G195" t="n">
        <v>8.5</v>
      </c>
      <c r="H195" t="n">
        <v>0</v>
      </c>
      <c r="I195" t="n">
        <v>0</v>
      </c>
      <c r="J195" t="n">
        <v>0</v>
      </c>
      <c r="K195" t="n">
        <v>0</v>
      </c>
      <c r="L195" t="n">
        <v>0</v>
      </c>
      <c r="M195" t="n">
        <v>0</v>
      </c>
      <c r="N195" t="n">
        <v>0</v>
      </c>
      <c r="O195" t="n">
        <v>0</v>
      </c>
      <c r="P195" t="n">
        <v>0</v>
      </c>
      <c r="Q195" t="n">
        <v>0</v>
      </c>
      <c r="R195" s="2" t="inlineStr"/>
    </row>
    <row r="196" ht="15" customHeight="1">
      <c r="A196" t="inlineStr">
        <is>
          <t>A 39011-2023</t>
        </is>
      </c>
      <c r="B196" s="1" t="n">
        <v>45162</v>
      </c>
      <c r="C196" s="1" t="n">
        <v>46065</v>
      </c>
      <c r="D196" t="inlineStr">
        <is>
          <t>VÄSTMANLANDS LÄN</t>
        </is>
      </c>
      <c r="E196" t="inlineStr">
        <is>
          <t>SALA</t>
        </is>
      </c>
      <c r="G196" t="n">
        <v>1.6</v>
      </c>
      <c r="H196" t="n">
        <v>0</v>
      </c>
      <c r="I196" t="n">
        <v>0</v>
      </c>
      <c r="J196" t="n">
        <v>0</v>
      </c>
      <c r="K196" t="n">
        <v>0</v>
      </c>
      <c r="L196" t="n">
        <v>0</v>
      </c>
      <c r="M196" t="n">
        <v>0</v>
      </c>
      <c r="N196" t="n">
        <v>0</v>
      </c>
      <c r="O196" t="n">
        <v>0</v>
      </c>
      <c r="P196" t="n">
        <v>0</v>
      </c>
      <c r="Q196" t="n">
        <v>0</v>
      </c>
      <c r="R196" s="2" t="inlineStr"/>
    </row>
    <row r="197" ht="15" customHeight="1">
      <c r="A197" t="inlineStr">
        <is>
          <t>A 60249-2023</t>
        </is>
      </c>
      <c r="B197" s="1" t="n">
        <v>45258</v>
      </c>
      <c r="C197" s="1" t="n">
        <v>46065</v>
      </c>
      <c r="D197" t="inlineStr">
        <is>
          <t>VÄSTMANLANDS LÄN</t>
        </is>
      </c>
      <c r="E197" t="inlineStr">
        <is>
          <t>SALA</t>
        </is>
      </c>
      <c r="G197" t="n">
        <v>2</v>
      </c>
      <c r="H197" t="n">
        <v>0</v>
      </c>
      <c r="I197" t="n">
        <v>0</v>
      </c>
      <c r="J197" t="n">
        <v>0</v>
      </c>
      <c r="K197" t="n">
        <v>0</v>
      </c>
      <c r="L197" t="n">
        <v>0</v>
      </c>
      <c r="M197" t="n">
        <v>0</v>
      </c>
      <c r="N197" t="n">
        <v>0</v>
      </c>
      <c r="O197" t="n">
        <v>0</v>
      </c>
      <c r="P197" t="n">
        <v>0</v>
      </c>
      <c r="Q197" t="n">
        <v>0</v>
      </c>
      <c r="R197" s="2" t="inlineStr"/>
    </row>
    <row r="198" ht="15" customHeight="1">
      <c r="A198" t="inlineStr">
        <is>
          <t>A 56547-2022</t>
        </is>
      </c>
      <c r="B198" s="1" t="n">
        <v>44893.48284722222</v>
      </c>
      <c r="C198" s="1" t="n">
        <v>46065</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14271-2025</t>
        </is>
      </c>
      <c r="B199" s="1" t="n">
        <v>45740.64129629629</v>
      </c>
      <c r="C199" s="1" t="n">
        <v>46065</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69232-2021</t>
        </is>
      </c>
      <c r="B200" s="1" t="n">
        <v>44531.39696759259</v>
      </c>
      <c r="C200" s="1" t="n">
        <v>46065</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39597-2022</t>
        </is>
      </c>
      <c r="B201" s="1" t="n">
        <v>44818</v>
      </c>
      <c r="C201" s="1" t="n">
        <v>46065</v>
      </c>
      <c r="D201" t="inlineStr">
        <is>
          <t>VÄSTMANLANDS LÄN</t>
        </is>
      </c>
      <c r="E201" t="inlineStr">
        <is>
          <t>SALA</t>
        </is>
      </c>
      <c r="G201" t="n">
        <v>2.3</v>
      </c>
      <c r="H201" t="n">
        <v>0</v>
      </c>
      <c r="I201" t="n">
        <v>0</v>
      </c>
      <c r="J201" t="n">
        <v>0</v>
      </c>
      <c r="K201" t="n">
        <v>0</v>
      </c>
      <c r="L201" t="n">
        <v>0</v>
      </c>
      <c r="M201" t="n">
        <v>0</v>
      </c>
      <c r="N201" t="n">
        <v>0</v>
      </c>
      <c r="O201" t="n">
        <v>0</v>
      </c>
      <c r="P201" t="n">
        <v>0</v>
      </c>
      <c r="Q201" t="n">
        <v>0</v>
      </c>
      <c r="R201" s="2" t="inlineStr"/>
    </row>
    <row r="202" ht="15" customHeight="1">
      <c r="A202" t="inlineStr">
        <is>
          <t>A 56916-2022</t>
        </is>
      </c>
      <c r="B202" s="1" t="n">
        <v>44888</v>
      </c>
      <c r="C202" s="1" t="n">
        <v>46065</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28328-2023</t>
        </is>
      </c>
      <c r="B203" s="1" t="n">
        <v>45099.71063657408</v>
      </c>
      <c r="C203" s="1" t="n">
        <v>46065</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25860-2024</t>
        </is>
      </c>
      <c r="B204" s="1" t="n">
        <v>45467.46278935186</v>
      </c>
      <c r="C204" s="1" t="n">
        <v>46065</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40085-2024</t>
        </is>
      </c>
      <c r="B205" s="1" t="n">
        <v>45554</v>
      </c>
      <c r="C205" s="1" t="n">
        <v>46065</v>
      </c>
      <c r="D205" t="inlineStr">
        <is>
          <t>VÄSTMANLANDS LÄN</t>
        </is>
      </c>
      <c r="E205" t="inlineStr">
        <is>
          <t>SALA</t>
        </is>
      </c>
      <c r="G205" t="n">
        <v>2.8</v>
      </c>
      <c r="H205" t="n">
        <v>0</v>
      </c>
      <c r="I205" t="n">
        <v>0</v>
      </c>
      <c r="J205" t="n">
        <v>0</v>
      </c>
      <c r="K205" t="n">
        <v>0</v>
      </c>
      <c r="L205" t="n">
        <v>0</v>
      </c>
      <c r="M205" t="n">
        <v>0</v>
      </c>
      <c r="N205" t="n">
        <v>0</v>
      </c>
      <c r="O205" t="n">
        <v>0</v>
      </c>
      <c r="P205" t="n">
        <v>0</v>
      </c>
      <c r="Q205" t="n">
        <v>0</v>
      </c>
      <c r="R205" s="2" t="inlineStr"/>
    </row>
    <row r="206" ht="15" customHeight="1">
      <c r="A206" t="inlineStr">
        <is>
          <t>A 22026-2021</t>
        </is>
      </c>
      <c r="B206" s="1" t="n">
        <v>44323</v>
      </c>
      <c r="C206" s="1" t="n">
        <v>46065</v>
      </c>
      <c r="D206" t="inlineStr">
        <is>
          <t>VÄSTMANLANDS LÄN</t>
        </is>
      </c>
      <c r="E206" t="inlineStr">
        <is>
          <t>SALA</t>
        </is>
      </c>
      <c r="G206" t="n">
        <v>2.9</v>
      </c>
      <c r="H206" t="n">
        <v>0</v>
      </c>
      <c r="I206" t="n">
        <v>0</v>
      </c>
      <c r="J206" t="n">
        <v>0</v>
      </c>
      <c r="K206" t="n">
        <v>0</v>
      </c>
      <c r="L206" t="n">
        <v>0</v>
      </c>
      <c r="M206" t="n">
        <v>0</v>
      </c>
      <c r="N206" t="n">
        <v>0</v>
      </c>
      <c r="O206" t="n">
        <v>0</v>
      </c>
      <c r="P206" t="n">
        <v>0</v>
      </c>
      <c r="Q206" t="n">
        <v>0</v>
      </c>
      <c r="R206" s="2" t="inlineStr"/>
    </row>
    <row r="207" ht="15" customHeight="1">
      <c r="A207" t="inlineStr">
        <is>
          <t>A 18158-2025</t>
        </is>
      </c>
      <c r="B207" s="1" t="n">
        <v>45761</v>
      </c>
      <c r="C207" s="1" t="n">
        <v>46065</v>
      </c>
      <c r="D207" t="inlineStr">
        <is>
          <t>VÄSTMANLANDS LÄN</t>
        </is>
      </c>
      <c r="E207" t="inlineStr">
        <is>
          <t>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49661-2024</t>
        </is>
      </c>
      <c r="B208" s="1" t="n">
        <v>45596</v>
      </c>
      <c r="C208" s="1" t="n">
        <v>46065</v>
      </c>
      <c r="D208" t="inlineStr">
        <is>
          <t>VÄSTMANLANDS LÄN</t>
        </is>
      </c>
      <c r="E208" t="inlineStr">
        <is>
          <t>SALA</t>
        </is>
      </c>
      <c r="G208" t="n">
        <v>6.7</v>
      </c>
      <c r="H208" t="n">
        <v>0</v>
      </c>
      <c r="I208" t="n">
        <v>0</v>
      </c>
      <c r="J208" t="n">
        <v>0</v>
      </c>
      <c r="K208" t="n">
        <v>0</v>
      </c>
      <c r="L208" t="n">
        <v>0</v>
      </c>
      <c r="M208" t="n">
        <v>0</v>
      </c>
      <c r="N208" t="n">
        <v>0</v>
      </c>
      <c r="O208" t="n">
        <v>0</v>
      </c>
      <c r="P208" t="n">
        <v>0</v>
      </c>
      <c r="Q208" t="n">
        <v>0</v>
      </c>
      <c r="R208" s="2" t="inlineStr"/>
    </row>
    <row r="209" ht="15" customHeight="1">
      <c r="A209" t="inlineStr">
        <is>
          <t>A 16160-2024</t>
        </is>
      </c>
      <c r="B209" s="1" t="n">
        <v>45406</v>
      </c>
      <c r="C209" s="1" t="n">
        <v>46065</v>
      </c>
      <c r="D209" t="inlineStr">
        <is>
          <t>VÄSTMANLANDS LÄN</t>
        </is>
      </c>
      <c r="E209" t="inlineStr">
        <is>
          <t>SALA</t>
        </is>
      </c>
      <c r="G209" t="n">
        <v>1.1</v>
      </c>
      <c r="H209" t="n">
        <v>0</v>
      </c>
      <c r="I209" t="n">
        <v>0</v>
      </c>
      <c r="J209" t="n">
        <v>0</v>
      </c>
      <c r="K209" t="n">
        <v>0</v>
      </c>
      <c r="L209" t="n">
        <v>0</v>
      </c>
      <c r="M209" t="n">
        <v>0</v>
      </c>
      <c r="N209" t="n">
        <v>0</v>
      </c>
      <c r="O209" t="n">
        <v>0</v>
      </c>
      <c r="P209" t="n">
        <v>0</v>
      </c>
      <c r="Q209" t="n">
        <v>0</v>
      </c>
      <c r="R209" s="2" t="inlineStr"/>
    </row>
    <row r="210" ht="15" customHeight="1">
      <c r="A210" t="inlineStr">
        <is>
          <t>A 45313-2024</t>
        </is>
      </c>
      <c r="B210" s="1" t="n">
        <v>45576</v>
      </c>
      <c r="C210" s="1" t="n">
        <v>46065</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56535-2022</t>
        </is>
      </c>
      <c r="B211" s="1" t="n">
        <v>44893.47173611111</v>
      </c>
      <c r="C211" s="1" t="n">
        <v>46065</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40597-2022</t>
        </is>
      </c>
      <c r="B212" s="1" t="n">
        <v>44823.84862268518</v>
      </c>
      <c r="C212" s="1" t="n">
        <v>46065</v>
      </c>
      <c r="D212" t="inlineStr">
        <is>
          <t>VÄSTMANLANDS LÄN</t>
        </is>
      </c>
      <c r="E212" t="inlineStr">
        <is>
          <t>SALA</t>
        </is>
      </c>
      <c r="G212" t="n">
        <v>3.5</v>
      </c>
      <c r="H212" t="n">
        <v>0</v>
      </c>
      <c r="I212" t="n">
        <v>0</v>
      </c>
      <c r="J212" t="n">
        <v>0</v>
      </c>
      <c r="K212" t="n">
        <v>0</v>
      </c>
      <c r="L212" t="n">
        <v>0</v>
      </c>
      <c r="M212" t="n">
        <v>0</v>
      </c>
      <c r="N212" t="n">
        <v>0</v>
      </c>
      <c r="O212" t="n">
        <v>0</v>
      </c>
      <c r="P212" t="n">
        <v>0</v>
      </c>
      <c r="Q212" t="n">
        <v>0</v>
      </c>
      <c r="R212" s="2" t="inlineStr"/>
    </row>
    <row r="213" ht="15" customHeight="1">
      <c r="A213" t="inlineStr">
        <is>
          <t>A 47909-2022</t>
        </is>
      </c>
      <c r="B213" s="1" t="n">
        <v>44855</v>
      </c>
      <c r="C213" s="1" t="n">
        <v>46065</v>
      </c>
      <c r="D213" t="inlineStr">
        <is>
          <t>VÄSTMANLANDS LÄN</t>
        </is>
      </c>
      <c r="E213" t="inlineStr">
        <is>
          <t>SALA</t>
        </is>
      </c>
      <c r="F213" t="inlineStr">
        <is>
          <t>Bergvik skog öst AB</t>
        </is>
      </c>
      <c r="G213" t="n">
        <v>2</v>
      </c>
      <c r="H213" t="n">
        <v>0</v>
      </c>
      <c r="I213" t="n">
        <v>0</v>
      </c>
      <c r="J213" t="n">
        <v>0</v>
      </c>
      <c r="K213" t="n">
        <v>0</v>
      </c>
      <c r="L213" t="n">
        <v>0</v>
      </c>
      <c r="M213" t="n">
        <v>0</v>
      </c>
      <c r="N213" t="n">
        <v>0</v>
      </c>
      <c r="O213" t="n">
        <v>0</v>
      </c>
      <c r="P213" t="n">
        <v>0</v>
      </c>
      <c r="Q213" t="n">
        <v>0</v>
      </c>
      <c r="R213" s="2" t="inlineStr"/>
    </row>
    <row r="214" ht="15" customHeight="1">
      <c r="A214" t="inlineStr">
        <is>
          <t>A 35519-2024</t>
        </is>
      </c>
      <c r="B214" s="1" t="n">
        <v>45531</v>
      </c>
      <c r="C214" s="1" t="n">
        <v>46065</v>
      </c>
      <c r="D214" t="inlineStr">
        <is>
          <t>VÄSTMANLANDS LÄN</t>
        </is>
      </c>
      <c r="E214" t="inlineStr">
        <is>
          <t>SALA</t>
        </is>
      </c>
      <c r="G214" t="n">
        <v>1.8</v>
      </c>
      <c r="H214" t="n">
        <v>0</v>
      </c>
      <c r="I214" t="n">
        <v>0</v>
      </c>
      <c r="J214" t="n">
        <v>0</v>
      </c>
      <c r="K214" t="n">
        <v>0</v>
      </c>
      <c r="L214" t="n">
        <v>0</v>
      </c>
      <c r="M214" t="n">
        <v>0</v>
      </c>
      <c r="N214" t="n">
        <v>0</v>
      </c>
      <c r="O214" t="n">
        <v>0</v>
      </c>
      <c r="P214" t="n">
        <v>0</v>
      </c>
      <c r="Q214" t="n">
        <v>0</v>
      </c>
      <c r="R214" s="2" t="inlineStr"/>
    </row>
    <row r="215" ht="15" customHeight="1">
      <c r="A215" t="inlineStr">
        <is>
          <t>A 52630-2022</t>
        </is>
      </c>
      <c r="B215" s="1" t="n">
        <v>44874</v>
      </c>
      <c r="C215" s="1" t="n">
        <v>46065</v>
      </c>
      <c r="D215" t="inlineStr">
        <is>
          <t>VÄSTMANLANDS LÄN</t>
        </is>
      </c>
      <c r="E215" t="inlineStr">
        <is>
          <t>SALA</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9050-2022</t>
        </is>
      </c>
      <c r="B216" s="1" t="n">
        <v>44615.45451388889</v>
      </c>
      <c r="C216" s="1" t="n">
        <v>46065</v>
      </c>
      <c r="D216" t="inlineStr">
        <is>
          <t>VÄSTMANLANDS LÄN</t>
        </is>
      </c>
      <c r="E216" t="inlineStr">
        <is>
          <t>SALA</t>
        </is>
      </c>
      <c r="G216" t="n">
        <v>3.1</v>
      </c>
      <c r="H216" t="n">
        <v>0</v>
      </c>
      <c r="I216" t="n">
        <v>0</v>
      </c>
      <c r="J216" t="n">
        <v>0</v>
      </c>
      <c r="K216" t="n">
        <v>0</v>
      </c>
      <c r="L216" t="n">
        <v>0</v>
      </c>
      <c r="M216" t="n">
        <v>0</v>
      </c>
      <c r="N216" t="n">
        <v>0</v>
      </c>
      <c r="O216" t="n">
        <v>0</v>
      </c>
      <c r="P216" t="n">
        <v>0</v>
      </c>
      <c r="Q216" t="n">
        <v>0</v>
      </c>
      <c r="R216" s="2" t="inlineStr"/>
    </row>
    <row r="217" ht="15" customHeight="1">
      <c r="A217" t="inlineStr">
        <is>
          <t>A 56687-2024</t>
        </is>
      </c>
      <c r="B217" s="1" t="n">
        <v>45627.63271990741</v>
      </c>
      <c r="C217" s="1" t="n">
        <v>46065</v>
      </c>
      <c r="D217" t="inlineStr">
        <is>
          <t>VÄSTMANLANDS LÄN</t>
        </is>
      </c>
      <c r="E217" t="inlineStr">
        <is>
          <t>SALA</t>
        </is>
      </c>
      <c r="G217" t="n">
        <v>1.2</v>
      </c>
      <c r="H217" t="n">
        <v>0</v>
      </c>
      <c r="I217" t="n">
        <v>0</v>
      </c>
      <c r="J217" t="n">
        <v>0</v>
      </c>
      <c r="K217" t="n">
        <v>0</v>
      </c>
      <c r="L217" t="n">
        <v>0</v>
      </c>
      <c r="M217" t="n">
        <v>0</v>
      </c>
      <c r="N217" t="n">
        <v>0</v>
      </c>
      <c r="O217" t="n">
        <v>0</v>
      </c>
      <c r="P217" t="n">
        <v>0</v>
      </c>
      <c r="Q217" t="n">
        <v>0</v>
      </c>
      <c r="R217" s="2" t="inlineStr"/>
    </row>
    <row r="218" ht="15" customHeight="1">
      <c r="A218" t="inlineStr">
        <is>
          <t>A 54347-2024</t>
        </is>
      </c>
      <c r="B218" s="1" t="n">
        <v>45617.39325231482</v>
      </c>
      <c r="C218" s="1" t="n">
        <v>46065</v>
      </c>
      <c r="D218" t="inlineStr">
        <is>
          <t>VÄSTMANLANDS LÄN</t>
        </is>
      </c>
      <c r="E218" t="inlineStr">
        <is>
          <t>SALA</t>
        </is>
      </c>
      <c r="G218" t="n">
        <v>2</v>
      </c>
      <c r="H218" t="n">
        <v>0</v>
      </c>
      <c r="I218" t="n">
        <v>0</v>
      </c>
      <c r="J218" t="n">
        <v>0</v>
      </c>
      <c r="K218" t="n">
        <v>0</v>
      </c>
      <c r="L218" t="n">
        <v>0</v>
      </c>
      <c r="M218" t="n">
        <v>0</v>
      </c>
      <c r="N218" t="n">
        <v>0</v>
      </c>
      <c r="O218" t="n">
        <v>0</v>
      </c>
      <c r="P218" t="n">
        <v>0</v>
      </c>
      <c r="Q218" t="n">
        <v>0</v>
      </c>
      <c r="R218" s="2" t="inlineStr"/>
    </row>
    <row r="219" ht="15" customHeight="1">
      <c r="A219" t="inlineStr">
        <is>
          <t>A 7196-2025</t>
        </is>
      </c>
      <c r="B219" s="1" t="n">
        <v>45702</v>
      </c>
      <c r="C219" s="1" t="n">
        <v>46065</v>
      </c>
      <c r="D219" t="inlineStr">
        <is>
          <t>VÄSTMANLANDS LÄN</t>
        </is>
      </c>
      <c r="E219" t="inlineStr">
        <is>
          <t>SALA</t>
        </is>
      </c>
      <c r="G219" t="n">
        <v>1.3</v>
      </c>
      <c r="H219" t="n">
        <v>0</v>
      </c>
      <c r="I219" t="n">
        <v>0</v>
      </c>
      <c r="J219" t="n">
        <v>0</v>
      </c>
      <c r="K219" t="n">
        <v>0</v>
      </c>
      <c r="L219" t="n">
        <v>0</v>
      </c>
      <c r="M219" t="n">
        <v>0</v>
      </c>
      <c r="N219" t="n">
        <v>0</v>
      </c>
      <c r="O219" t="n">
        <v>0</v>
      </c>
      <c r="P219" t="n">
        <v>0</v>
      </c>
      <c r="Q219" t="n">
        <v>0</v>
      </c>
      <c r="R219" s="2" t="inlineStr"/>
    </row>
    <row r="220" ht="15" customHeight="1">
      <c r="A220" t="inlineStr">
        <is>
          <t>A 6183-2025</t>
        </is>
      </c>
      <c r="B220" s="1" t="n">
        <v>45698</v>
      </c>
      <c r="C220" s="1" t="n">
        <v>46065</v>
      </c>
      <c r="D220" t="inlineStr">
        <is>
          <t>VÄSTMANLANDS LÄN</t>
        </is>
      </c>
      <c r="E220" t="inlineStr">
        <is>
          <t>SALA</t>
        </is>
      </c>
      <c r="F220" t="inlineStr">
        <is>
          <t>Bergvik skog öst AB</t>
        </is>
      </c>
      <c r="G220" t="n">
        <v>2.3</v>
      </c>
      <c r="H220" t="n">
        <v>0</v>
      </c>
      <c r="I220" t="n">
        <v>0</v>
      </c>
      <c r="J220" t="n">
        <v>0</v>
      </c>
      <c r="K220" t="n">
        <v>0</v>
      </c>
      <c r="L220" t="n">
        <v>0</v>
      </c>
      <c r="M220" t="n">
        <v>0</v>
      </c>
      <c r="N220" t="n">
        <v>0</v>
      </c>
      <c r="O220" t="n">
        <v>0</v>
      </c>
      <c r="P220" t="n">
        <v>0</v>
      </c>
      <c r="Q220" t="n">
        <v>0</v>
      </c>
      <c r="R220" s="2" t="inlineStr"/>
    </row>
    <row r="221" ht="15" customHeight="1">
      <c r="A221" t="inlineStr">
        <is>
          <t>A 13022-2023</t>
        </is>
      </c>
      <c r="B221" s="1" t="n">
        <v>45002.33291666667</v>
      </c>
      <c r="C221" s="1" t="n">
        <v>46065</v>
      </c>
      <c r="D221" t="inlineStr">
        <is>
          <t>VÄSTMANLANDS LÄN</t>
        </is>
      </c>
      <c r="E221" t="inlineStr">
        <is>
          <t>SALA</t>
        </is>
      </c>
      <c r="G221" t="n">
        <v>1.5</v>
      </c>
      <c r="H221" t="n">
        <v>0</v>
      </c>
      <c r="I221" t="n">
        <v>0</v>
      </c>
      <c r="J221" t="n">
        <v>0</v>
      </c>
      <c r="K221" t="n">
        <v>0</v>
      </c>
      <c r="L221" t="n">
        <v>0</v>
      </c>
      <c r="M221" t="n">
        <v>0</v>
      </c>
      <c r="N221" t="n">
        <v>0</v>
      </c>
      <c r="O221" t="n">
        <v>0</v>
      </c>
      <c r="P221" t="n">
        <v>0</v>
      </c>
      <c r="Q221" t="n">
        <v>0</v>
      </c>
      <c r="R221" s="2" t="inlineStr"/>
    </row>
    <row r="222" ht="15" customHeight="1">
      <c r="A222" t="inlineStr">
        <is>
          <t>A 61715-2024</t>
        </is>
      </c>
      <c r="B222" s="1" t="n">
        <v>45648.89519675926</v>
      </c>
      <c r="C222" s="1" t="n">
        <v>46065</v>
      </c>
      <c r="D222" t="inlineStr">
        <is>
          <t>VÄSTMANLANDS LÄN</t>
        </is>
      </c>
      <c r="E222" t="inlineStr">
        <is>
          <t>SALA</t>
        </is>
      </c>
      <c r="G222" t="n">
        <v>2.5</v>
      </c>
      <c r="H222" t="n">
        <v>0</v>
      </c>
      <c r="I222" t="n">
        <v>0</v>
      </c>
      <c r="J222" t="n">
        <v>0</v>
      </c>
      <c r="K222" t="n">
        <v>0</v>
      </c>
      <c r="L222" t="n">
        <v>0</v>
      </c>
      <c r="M222" t="n">
        <v>0</v>
      </c>
      <c r="N222" t="n">
        <v>0</v>
      </c>
      <c r="O222" t="n">
        <v>0</v>
      </c>
      <c r="P222" t="n">
        <v>0</v>
      </c>
      <c r="Q222" t="n">
        <v>0</v>
      </c>
      <c r="R222" s="2" t="inlineStr"/>
    </row>
    <row r="223" ht="15" customHeight="1">
      <c r="A223" t="inlineStr">
        <is>
          <t>A 35003-2024</t>
        </is>
      </c>
      <c r="B223" s="1" t="n">
        <v>45527.56790509259</v>
      </c>
      <c r="C223" s="1" t="n">
        <v>46065</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66307-2021</t>
        </is>
      </c>
      <c r="B224" s="1" t="n">
        <v>44518.48670138889</v>
      </c>
      <c r="C224" s="1" t="n">
        <v>46065</v>
      </c>
      <c r="D224" t="inlineStr">
        <is>
          <t>VÄSTMANLANDS LÄN</t>
        </is>
      </c>
      <c r="E224" t="inlineStr">
        <is>
          <t>SALA</t>
        </is>
      </c>
      <c r="G224" t="n">
        <v>0.7</v>
      </c>
      <c r="H224" t="n">
        <v>0</v>
      </c>
      <c r="I224" t="n">
        <v>0</v>
      </c>
      <c r="J224" t="n">
        <v>0</v>
      </c>
      <c r="K224" t="n">
        <v>0</v>
      </c>
      <c r="L224" t="n">
        <v>0</v>
      </c>
      <c r="M224" t="n">
        <v>0</v>
      </c>
      <c r="N224" t="n">
        <v>0</v>
      </c>
      <c r="O224" t="n">
        <v>0</v>
      </c>
      <c r="P224" t="n">
        <v>0</v>
      </c>
      <c r="Q224" t="n">
        <v>0</v>
      </c>
      <c r="R224" s="2" t="inlineStr"/>
    </row>
    <row r="225" ht="15" customHeight="1">
      <c r="A225" t="inlineStr">
        <is>
          <t>A 6030-2024</t>
        </is>
      </c>
      <c r="B225" s="1" t="n">
        <v>45336.62782407407</v>
      </c>
      <c r="C225" s="1" t="n">
        <v>46065</v>
      </c>
      <c r="D225" t="inlineStr">
        <is>
          <t>VÄSTMANLANDS LÄN</t>
        </is>
      </c>
      <c r="E225" t="inlineStr">
        <is>
          <t>SALA</t>
        </is>
      </c>
      <c r="G225" t="n">
        <v>3.9</v>
      </c>
      <c r="H225" t="n">
        <v>0</v>
      </c>
      <c r="I225" t="n">
        <v>0</v>
      </c>
      <c r="J225" t="n">
        <v>0</v>
      </c>
      <c r="K225" t="n">
        <v>0</v>
      </c>
      <c r="L225" t="n">
        <v>0</v>
      </c>
      <c r="M225" t="n">
        <v>0</v>
      </c>
      <c r="N225" t="n">
        <v>0</v>
      </c>
      <c r="O225" t="n">
        <v>0</v>
      </c>
      <c r="P225" t="n">
        <v>0</v>
      </c>
      <c r="Q225" t="n">
        <v>0</v>
      </c>
      <c r="R225" s="2" t="inlineStr"/>
    </row>
    <row r="226" ht="15" customHeight="1">
      <c r="A226" t="inlineStr">
        <is>
          <t>A 40871-2021</t>
        </is>
      </c>
      <c r="B226" s="1" t="n">
        <v>44421</v>
      </c>
      <c r="C226" s="1" t="n">
        <v>46065</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19803-2024</t>
        </is>
      </c>
      <c r="B227" s="1" t="n">
        <v>45432</v>
      </c>
      <c r="C227" s="1" t="n">
        <v>46065</v>
      </c>
      <c r="D227" t="inlineStr">
        <is>
          <t>VÄSTMANLANDS LÄN</t>
        </is>
      </c>
      <c r="E227" t="inlineStr">
        <is>
          <t>SALA</t>
        </is>
      </c>
      <c r="G227" t="n">
        <v>3.1</v>
      </c>
      <c r="H227" t="n">
        <v>0</v>
      </c>
      <c r="I227" t="n">
        <v>0</v>
      </c>
      <c r="J227" t="n">
        <v>0</v>
      </c>
      <c r="K227" t="n">
        <v>0</v>
      </c>
      <c r="L227" t="n">
        <v>0</v>
      </c>
      <c r="M227" t="n">
        <v>0</v>
      </c>
      <c r="N227" t="n">
        <v>0</v>
      </c>
      <c r="O227" t="n">
        <v>0</v>
      </c>
      <c r="P227" t="n">
        <v>0</v>
      </c>
      <c r="Q227" t="n">
        <v>0</v>
      </c>
      <c r="R227" s="2" t="inlineStr"/>
    </row>
    <row r="228" ht="15" customHeight="1">
      <c r="A228" t="inlineStr">
        <is>
          <t>A 49254-2022</t>
        </is>
      </c>
      <c r="B228" s="1" t="n">
        <v>44861</v>
      </c>
      <c r="C228" s="1" t="n">
        <v>46065</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26761-2023</t>
        </is>
      </c>
      <c r="B229" s="1" t="n">
        <v>45093</v>
      </c>
      <c r="C229" s="1" t="n">
        <v>46065</v>
      </c>
      <c r="D229" t="inlineStr">
        <is>
          <t>VÄSTMANLANDS LÄN</t>
        </is>
      </c>
      <c r="E229" t="inlineStr">
        <is>
          <t>SALA</t>
        </is>
      </c>
      <c r="G229" t="n">
        <v>4.3</v>
      </c>
      <c r="H229" t="n">
        <v>0</v>
      </c>
      <c r="I229" t="n">
        <v>0</v>
      </c>
      <c r="J229" t="n">
        <v>0</v>
      </c>
      <c r="K229" t="n">
        <v>0</v>
      </c>
      <c r="L229" t="n">
        <v>0</v>
      </c>
      <c r="M229" t="n">
        <v>0</v>
      </c>
      <c r="N229" t="n">
        <v>0</v>
      </c>
      <c r="O229" t="n">
        <v>0</v>
      </c>
      <c r="P229" t="n">
        <v>0</v>
      </c>
      <c r="Q229" t="n">
        <v>0</v>
      </c>
      <c r="R229" s="2" t="inlineStr"/>
    </row>
    <row r="230" ht="15" customHeight="1">
      <c r="A230" t="inlineStr">
        <is>
          <t>A 16404-2022</t>
        </is>
      </c>
      <c r="B230" s="1" t="n">
        <v>44671</v>
      </c>
      <c r="C230" s="1" t="n">
        <v>46065</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61892-2021</t>
        </is>
      </c>
      <c r="B231" s="1" t="n">
        <v>44502</v>
      </c>
      <c r="C231" s="1" t="n">
        <v>46065</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6097-2022</t>
        </is>
      </c>
      <c r="B232" s="1" t="n">
        <v>44599</v>
      </c>
      <c r="C232" s="1" t="n">
        <v>46065</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10559-2024</t>
        </is>
      </c>
      <c r="B233" s="1" t="n">
        <v>45366</v>
      </c>
      <c r="C233" s="1" t="n">
        <v>46065</v>
      </c>
      <c r="D233" t="inlineStr">
        <is>
          <t>VÄSTMANLANDS LÄN</t>
        </is>
      </c>
      <c r="E233" t="inlineStr">
        <is>
          <t>SALA</t>
        </is>
      </c>
      <c r="G233" t="n">
        <v>0.3</v>
      </c>
      <c r="H233" t="n">
        <v>0</v>
      </c>
      <c r="I233" t="n">
        <v>0</v>
      </c>
      <c r="J233" t="n">
        <v>0</v>
      </c>
      <c r="K233" t="n">
        <v>0</v>
      </c>
      <c r="L233" t="n">
        <v>0</v>
      </c>
      <c r="M233" t="n">
        <v>0</v>
      </c>
      <c r="N233" t="n">
        <v>0</v>
      </c>
      <c r="O233" t="n">
        <v>0</v>
      </c>
      <c r="P233" t="n">
        <v>0</v>
      </c>
      <c r="Q233" t="n">
        <v>0</v>
      </c>
      <c r="R233" s="2" t="inlineStr"/>
    </row>
    <row r="234" ht="15" customHeight="1">
      <c r="A234" t="inlineStr">
        <is>
          <t>A 7772-2023</t>
        </is>
      </c>
      <c r="B234" s="1" t="n">
        <v>44973.40076388889</v>
      </c>
      <c r="C234" s="1" t="n">
        <v>46065</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60545-2024</t>
        </is>
      </c>
      <c r="B235" s="1" t="n">
        <v>45643</v>
      </c>
      <c r="C235" s="1" t="n">
        <v>46065</v>
      </c>
      <c r="D235" t="inlineStr">
        <is>
          <t>VÄSTMANLANDS LÄN</t>
        </is>
      </c>
      <c r="E235" t="inlineStr">
        <is>
          <t>SALA</t>
        </is>
      </c>
      <c r="G235" t="n">
        <v>3.3</v>
      </c>
      <c r="H235" t="n">
        <v>0</v>
      </c>
      <c r="I235" t="n">
        <v>0</v>
      </c>
      <c r="J235" t="n">
        <v>0</v>
      </c>
      <c r="K235" t="n">
        <v>0</v>
      </c>
      <c r="L235" t="n">
        <v>0</v>
      </c>
      <c r="M235" t="n">
        <v>0</v>
      </c>
      <c r="N235" t="n">
        <v>0</v>
      </c>
      <c r="O235" t="n">
        <v>0</v>
      </c>
      <c r="P235" t="n">
        <v>0</v>
      </c>
      <c r="Q235" t="n">
        <v>0</v>
      </c>
      <c r="R235" s="2" t="inlineStr"/>
    </row>
    <row r="236" ht="15" customHeight="1">
      <c r="A236" t="inlineStr">
        <is>
          <t>A 60547-2024</t>
        </is>
      </c>
      <c r="B236" s="1" t="n">
        <v>45643</v>
      </c>
      <c r="C236" s="1" t="n">
        <v>46065</v>
      </c>
      <c r="D236" t="inlineStr">
        <is>
          <t>VÄSTMANLANDS LÄN</t>
        </is>
      </c>
      <c r="E236" t="inlineStr">
        <is>
          <t>SALA</t>
        </is>
      </c>
      <c r="G236" t="n">
        <v>0.6</v>
      </c>
      <c r="H236" t="n">
        <v>0</v>
      </c>
      <c r="I236" t="n">
        <v>0</v>
      </c>
      <c r="J236" t="n">
        <v>0</v>
      </c>
      <c r="K236" t="n">
        <v>0</v>
      </c>
      <c r="L236" t="n">
        <v>0</v>
      </c>
      <c r="M236" t="n">
        <v>0</v>
      </c>
      <c r="N236" t="n">
        <v>0</v>
      </c>
      <c r="O236" t="n">
        <v>0</v>
      </c>
      <c r="P236" t="n">
        <v>0</v>
      </c>
      <c r="Q236" t="n">
        <v>0</v>
      </c>
      <c r="R236" s="2" t="inlineStr"/>
    </row>
    <row r="237" ht="15" customHeight="1">
      <c r="A237" t="inlineStr">
        <is>
          <t>A 24864-2024</t>
        </is>
      </c>
      <c r="B237" s="1" t="n">
        <v>45461.48888888889</v>
      </c>
      <c r="C237" s="1" t="n">
        <v>46065</v>
      </c>
      <c r="D237" t="inlineStr">
        <is>
          <t>VÄSTMANLANDS LÄN</t>
        </is>
      </c>
      <c r="E237" t="inlineStr">
        <is>
          <t>SALA</t>
        </is>
      </c>
      <c r="G237" t="n">
        <v>0.6</v>
      </c>
      <c r="H237" t="n">
        <v>0</v>
      </c>
      <c r="I237" t="n">
        <v>0</v>
      </c>
      <c r="J237" t="n">
        <v>0</v>
      </c>
      <c r="K237" t="n">
        <v>0</v>
      </c>
      <c r="L237" t="n">
        <v>0</v>
      </c>
      <c r="M237" t="n">
        <v>0</v>
      </c>
      <c r="N237" t="n">
        <v>0</v>
      </c>
      <c r="O237" t="n">
        <v>0</v>
      </c>
      <c r="P237" t="n">
        <v>0</v>
      </c>
      <c r="Q237" t="n">
        <v>0</v>
      </c>
      <c r="R237" s="2" t="inlineStr"/>
    </row>
    <row r="238" ht="15" customHeight="1">
      <c r="A238" t="inlineStr">
        <is>
          <t>A 1118-2024</t>
        </is>
      </c>
      <c r="B238" s="1" t="n">
        <v>45302</v>
      </c>
      <c r="C238" s="1" t="n">
        <v>46065</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15965-2024</t>
        </is>
      </c>
      <c r="B239" s="1" t="n">
        <v>45405.55740740741</v>
      </c>
      <c r="C239" s="1" t="n">
        <v>46065</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63933-2023</t>
        </is>
      </c>
      <c r="B240" s="1" t="n">
        <v>45278</v>
      </c>
      <c r="C240" s="1" t="n">
        <v>46065</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1196-2023</t>
        </is>
      </c>
      <c r="B241" s="1" t="n">
        <v>44935.82290509259</v>
      </c>
      <c r="C241" s="1" t="n">
        <v>46065</v>
      </c>
      <c r="D241" t="inlineStr">
        <is>
          <t>VÄSTMANLANDS LÄN</t>
        </is>
      </c>
      <c r="E241" t="inlineStr">
        <is>
          <t>SALA</t>
        </is>
      </c>
      <c r="G241" t="n">
        <v>4.1</v>
      </c>
      <c r="H241" t="n">
        <v>0</v>
      </c>
      <c r="I241" t="n">
        <v>0</v>
      </c>
      <c r="J241" t="n">
        <v>0</v>
      </c>
      <c r="K241" t="n">
        <v>0</v>
      </c>
      <c r="L241" t="n">
        <v>0</v>
      </c>
      <c r="M241" t="n">
        <v>0</v>
      </c>
      <c r="N241" t="n">
        <v>0</v>
      </c>
      <c r="O241" t="n">
        <v>0</v>
      </c>
      <c r="P241" t="n">
        <v>0</v>
      </c>
      <c r="Q241" t="n">
        <v>0</v>
      </c>
      <c r="R241" s="2" t="inlineStr"/>
    </row>
    <row r="242" ht="15" customHeight="1">
      <c r="A242" t="inlineStr">
        <is>
          <t>A 37190-2024</t>
        </is>
      </c>
      <c r="B242" s="1" t="n">
        <v>45539</v>
      </c>
      <c r="C242" s="1" t="n">
        <v>46065</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42416-2022</t>
        </is>
      </c>
      <c r="B243" s="1" t="n">
        <v>44831</v>
      </c>
      <c r="C243" s="1" t="n">
        <v>46065</v>
      </c>
      <c r="D243" t="inlineStr">
        <is>
          <t>VÄSTMANLANDS LÄN</t>
        </is>
      </c>
      <c r="E243" t="inlineStr">
        <is>
          <t>SALA</t>
        </is>
      </c>
      <c r="G243" t="n">
        <v>2.2</v>
      </c>
      <c r="H243" t="n">
        <v>0</v>
      </c>
      <c r="I243" t="n">
        <v>0</v>
      </c>
      <c r="J243" t="n">
        <v>0</v>
      </c>
      <c r="K243" t="n">
        <v>0</v>
      </c>
      <c r="L243" t="n">
        <v>0</v>
      </c>
      <c r="M243" t="n">
        <v>0</v>
      </c>
      <c r="N243" t="n">
        <v>0</v>
      </c>
      <c r="O243" t="n">
        <v>0</v>
      </c>
      <c r="P243" t="n">
        <v>0</v>
      </c>
      <c r="Q243" t="n">
        <v>0</v>
      </c>
      <c r="R243" s="2" t="inlineStr"/>
    </row>
    <row r="244" ht="15" customHeight="1">
      <c r="A244" t="inlineStr">
        <is>
          <t>A 11370-2022</t>
        </is>
      </c>
      <c r="B244" s="1" t="n">
        <v>44630</v>
      </c>
      <c r="C244" s="1" t="n">
        <v>46065</v>
      </c>
      <c r="D244" t="inlineStr">
        <is>
          <t>VÄSTMANLANDS LÄN</t>
        </is>
      </c>
      <c r="E244" t="inlineStr">
        <is>
          <t>SALA</t>
        </is>
      </c>
      <c r="G244" t="n">
        <v>4.3</v>
      </c>
      <c r="H244" t="n">
        <v>0</v>
      </c>
      <c r="I244" t="n">
        <v>0</v>
      </c>
      <c r="J244" t="n">
        <v>0</v>
      </c>
      <c r="K244" t="n">
        <v>0</v>
      </c>
      <c r="L244" t="n">
        <v>0</v>
      </c>
      <c r="M244" t="n">
        <v>0</v>
      </c>
      <c r="N244" t="n">
        <v>0</v>
      </c>
      <c r="O244" t="n">
        <v>0</v>
      </c>
      <c r="P244" t="n">
        <v>0</v>
      </c>
      <c r="Q244" t="n">
        <v>0</v>
      </c>
      <c r="R244" s="2" t="inlineStr"/>
    </row>
    <row r="245" ht="15" customHeight="1">
      <c r="A245" t="inlineStr">
        <is>
          <t>A 19381-2025</t>
        </is>
      </c>
      <c r="B245" s="1" t="n">
        <v>45769</v>
      </c>
      <c r="C245" s="1" t="n">
        <v>46065</v>
      </c>
      <c r="D245" t="inlineStr">
        <is>
          <t>VÄSTMANLANDS LÄN</t>
        </is>
      </c>
      <c r="E245" t="inlineStr">
        <is>
          <t>SALA</t>
        </is>
      </c>
      <c r="G245" t="n">
        <v>0.6</v>
      </c>
      <c r="H245" t="n">
        <v>0</v>
      </c>
      <c r="I245" t="n">
        <v>0</v>
      </c>
      <c r="J245" t="n">
        <v>0</v>
      </c>
      <c r="K245" t="n">
        <v>0</v>
      </c>
      <c r="L245" t="n">
        <v>0</v>
      </c>
      <c r="M245" t="n">
        <v>0</v>
      </c>
      <c r="N245" t="n">
        <v>0</v>
      </c>
      <c r="O245" t="n">
        <v>0</v>
      </c>
      <c r="P245" t="n">
        <v>0</v>
      </c>
      <c r="Q245" t="n">
        <v>0</v>
      </c>
      <c r="R245" s="2" t="inlineStr"/>
    </row>
    <row r="246" ht="15" customHeight="1">
      <c r="A246" t="inlineStr">
        <is>
          <t>A 39439-2021</t>
        </is>
      </c>
      <c r="B246" s="1" t="n">
        <v>44414</v>
      </c>
      <c r="C246" s="1" t="n">
        <v>46065</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48688-2024</t>
        </is>
      </c>
      <c r="B247" s="1" t="n">
        <v>45593.50541666667</v>
      </c>
      <c r="C247" s="1" t="n">
        <v>46065</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62651-2022</t>
        </is>
      </c>
      <c r="B248" s="1" t="n">
        <v>44917</v>
      </c>
      <c r="C248" s="1" t="n">
        <v>46065</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54836-2024</t>
        </is>
      </c>
      <c r="B249" s="1" t="n">
        <v>45618</v>
      </c>
      <c r="C249" s="1" t="n">
        <v>46065</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13987-2023</t>
        </is>
      </c>
      <c r="B250" s="1" t="n">
        <v>45007</v>
      </c>
      <c r="C250" s="1" t="n">
        <v>46065</v>
      </c>
      <c r="D250" t="inlineStr">
        <is>
          <t>VÄSTMANLANDS LÄN</t>
        </is>
      </c>
      <c r="E250" t="inlineStr">
        <is>
          <t>SALA</t>
        </is>
      </c>
      <c r="G250" t="n">
        <v>3.2</v>
      </c>
      <c r="H250" t="n">
        <v>0</v>
      </c>
      <c r="I250" t="n">
        <v>0</v>
      </c>
      <c r="J250" t="n">
        <v>0</v>
      </c>
      <c r="K250" t="n">
        <v>0</v>
      </c>
      <c r="L250" t="n">
        <v>0</v>
      </c>
      <c r="M250" t="n">
        <v>0</v>
      </c>
      <c r="N250" t="n">
        <v>0</v>
      </c>
      <c r="O250" t="n">
        <v>0</v>
      </c>
      <c r="P250" t="n">
        <v>0</v>
      </c>
      <c r="Q250" t="n">
        <v>0</v>
      </c>
      <c r="R250" s="2" t="inlineStr"/>
    </row>
    <row r="251" ht="15" customHeight="1">
      <c r="A251" t="inlineStr">
        <is>
          <t>A 13990-2023</t>
        </is>
      </c>
      <c r="B251" s="1" t="n">
        <v>45007</v>
      </c>
      <c r="C251" s="1" t="n">
        <v>46065</v>
      </c>
      <c r="D251" t="inlineStr">
        <is>
          <t>VÄSTMANLANDS LÄN</t>
        </is>
      </c>
      <c r="E251" t="inlineStr">
        <is>
          <t>SALA</t>
        </is>
      </c>
      <c r="G251" t="n">
        <v>2.6</v>
      </c>
      <c r="H251" t="n">
        <v>0</v>
      </c>
      <c r="I251" t="n">
        <v>0</v>
      </c>
      <c r="J251" t="n">
        <v>0</v>
      </c>
      <c r="K251" t="n">
        <v>0</v>
      </c>
      <c r="L251" t="n">
        <v>0</v>
      </c>
      <c r="M251" t="n">
        <v>0</v>
      </c>
      <c r="N251" t="n">
        <v>0</v>
      </c>
      <c r="O251" t="n">
        <v>0</v>
      </c>
      <c r="P251" t="n">
        <v>0</v>
      </c>
      <c r="Q251" t="n">
        <v>0</v>
      </c>
      <c r="R251" s="2" t="inlineStr"/>
    </row>
    <row r="252" ht="15" customHeight="1">
      <c r="A252" t="inlineStr">
        <is>
          <t>A 51464-2024</t>
        </is>
      </c>
      <c r="B252" s="1" t="n">
        <v>45604.49768518518</v>
      </c>
      <c r="C252" s="1" t="n">
        <v>46065</v>
      </c>
      <c r="D252" t="inlineStr">
        <is>
          <t>VÄSTMANLANDS LÄN</t>
        </is>
      </c>
      <c r="E252" t="inlineStr">
        <is>
          <t>SALA</t>
        </is>
      </c>
      <c r="G252" t="n">
        <v>3.9</v>
      </c>
      <c r="H252" t="n">
        <v>0</v>
      </c>
      <c r="I252" t="n">
        <v>0</v>
      </c>
      <c r="J252" t="n">
        <v>0</v>
      </c>
      <c r="K252" t="n">
        <v>0</v>
      </c>
      <c r="L252" t="n">
        <v>0</v>
      </c>
      <c r="M252" t="n">
        <v>0</v>
      </c>
      <c r="N252" t="n">
        <v>0</v>
      </c>
      <c r="O252" t="n">
        <v>0</v>
      </c>
      <c r="P252" t="n">
        <v>0</v>
      </c>
      <c r="Q252" t="n">
        <v>0</v>
      </c>
      <c r="R252" s="2" t="inlineStr"/>
    </row>
    <row r="253" ht="15" customHeight="1">
      <c r="A253" t="inlineStr">
        <is>
          <t>A 1128-2025</t>
        </is>
      </c>
      <c r="B253" s="1" t="n">
        <v>45666.68469907407</v>
      </c>
      <c r="C253" s="1" t="n">
        <v>46065</v>
      </c>
      <c r="D253" t="inlineStr">
        <is>
          <t>VÄSTMANLANDS LÄN</t>
        </is>
      </c>
      <c r="E253" t="inlineStr">
        <is>
          <t>SALA</t>
        </is>
      </c>
      <c r="G253" t="n">
        <v>2.5</v>
      </c>
      <c r="H253" t="n">
        <v>0</v>
      </c>
      <c r="I253" t="n">
        <v>0</v>
      </c>
      <c r="J253" t="n">
        <v>0</v>
      </c>
      <c r="K253" t="n">
        <v>0</v>
      </c>
      <c r="L253" t="n">
        <v>0</v>
      </c>
      <c r="M253" t="n">
        <v>0</v>
      </c>
      <c r="N253" t="n">
        <v>0</v>
      </c>
      <c r="O253" t="n">
        <v>0</v>
      </c>
      <c r="P253" t="n">
        <v>0</v>
      </c>
      <c r="Q253" t="n">
        <v>0</v>
      </c>
      <c r="R253" s="2" t="inlineStr"/>
    </row>
    <row r="254" ht="15" customHeight="1">
      <c r="A254" t="inlineStr">
        <is>
          <t>A 43176-2023</t>
        </is>
      </c>
      <c r="B254" s="1" t="n">
        <v>45183</v>
      </c>
      <c r="C254" s="1" t="n">
        <v>46065</v>
      </c>
      <c r="D254" t="inlineStr">
        <is>
          <t>VÄSTMANLANDS LÄN</t>
        </is>
      </c>
      <c r="E254" t="inlineStr">
        <is>
          <t>SALA</t>
        </is>
      </c>
      <c r="G254" t="n">
        <v>1.2</v>
      </c>
      <c r="H254" t="n">
        <v>0</v>
      </c>
      <c r="I254" t="n">
        <v>0</v>
      </c>
      <c r="J254" t="n">
        <v>0</v>
      </c>
      <c r="K254" t="n">
        <v>0</v>
      </c>
      <c r="L254" t="n">
        <v>0</v>
      </c>
      <c r="M254" t="n">
        <v>0</v>
      </c>
      <c r="N254" t="n">
        <v>0</v>
      </c>
      <c r="O254" t="n">
        <v>0</v>
      </c>
      <c r="P254" t="n">
        <v>0</v>
      </c>
      <c r="Q254" t="n">
        <v>0</v>
      </c>
      <c r="R254" s="2" t="inlineStr"/>
    </row>
    <row r="255" ht="15" customHeight="1">
      <c r="A255" t="inlineStr">
        <is>
          <t>A 11389-2024</t>
        </is>
      </c>
      <c r="B255" s="1" t="n">
        <v>45372.45016203704</v>
      </c>
      <c r="C255" s="1" t="n">
        <v>46065</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56706-2022</t>
        </is>
      </c>
      <c r="B256" s="1" t="n">
        <v>44893.78893518518</v>
      </c>
      <c r="C256" s="1" t="n">
        <v>46065</v>
      </c>
      <c r="D256" t="inlineStr">
        <is>
          <t>VÄSTMANLANDS LÄN</t>
        </is>
      </c>
      <c r="E256" t="inlineStr">
        <is>
          <t>SALA</t>
        </is>
      </c>
      <c r="G256" t="n">
        <v>4.5</v>
      </c>
      <c r="H256" t="n">
        <v>0</v>
      </c>
      <c r="I256" t="n">
        <v>0</v>
      </c>
      <c r="J256" t="n">
        <v>0</v>
      </c>
      <c r="K256" t="n">
        <v>0</v>
      </c>
      <c r="L256" t="n">
        <v>0</v>
      </c>
      <c r="M256" t="n">
        <v>0</v>
      </c>
      <c r="N256" t="n">
        <v>0</v>
      </c>
      <c r="O256" t="n">
        <v>0</v>
      </c>
      <c r="P256" t="n">
        <v>0</v>
      </c>
      <c r="Q256" t="n">
        <v>0</v>
      </c>
      <c r="R256" s="2" t="inlineStr"/>
    </row>
    <row r="257" ht="15" customHeight="1">
      <c r="A257" t="inlineStr">
        <is>
          <t>A 56707-2022</t>
        </is>
      </c>
      <c r="B257" s="1" t="n">
        <v>44893.79412037037</v>
      </c>
      <c r="C257" s="1" t="n">
        <v>46065</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73835-2021</t>
        </is>
      </c>
      <c r="B258" s="1" t="n">
        <v>44552.92112268518</v>
      </c>
      <c r="C258" s="1" t="n">
        <v>46065</v>
      </c>
      <c r="D258" t="inlineStr">
        <is>
          <t>VÄSTMANLANDS LÄN</t>
        </is>
      </c>
      <c r="E258" t="inlineStr">
        <is>
          <t>SALA</t>
        </is>
      </c>
      <c r="G258" t="n">
        <v>2</v>
      </c>
      <c r="H258" t="n">
        <v>0</v>
      </c>
      <c r="I258" t="n">
        <v>0</v>
      </c>
      <c r="J258" t="n">
        <v>0</v>
      </c>
      <c r="K258" t="n">
        <v>0</v>
      </c>
      <c r="L258" t="n">
        <v>0</v>
      </c>
      <c r="M258" t="n">
        <v>0</v>
      </c>
      <c r="N258" t="n">
        <v>0</v>
      </c>
      <c r="O258" t="n">
        <v>0</v>
      </c>
      <c r="P258" t="n">
        <v>0</v>
      </c>
      <c r="Q258" t="n">
        <v>0</v>
      </c>
      <c r="R258" s="2" t="inlineStr"/>
    </row>
    <row r="259" ht="15" customHeight="1">
      <c r="A259" t="inlineStr">
        <is>
          <t>A 60379-2022</t>
        </is>
      </c>
      <c r="B259" s="1" t="n">
        <v>44910</v>
      </c>
      <c r="C259" s="1" t="n">
        <v>46065</v>
      </c>
      <c r="D259" t="inlineStr">
        <is>
          <t>VÄSTMANLANDS LÄN</t>
        </is>
      </c>
      <c r="E259" t="inlineStr">
        <is>
          <t>SALA</t>
        </is>
      </c>
      <c r="F259" t="inlineStr">
        <is>
          <t>Kyrkan</t>
        </is>
      </c>
      <c r="G259" t="n">
        <v>2.5</v>
      </c>
      <c r="H259" t="n">
        <v>0</v>
      </c>
      <c r="I259" t="n">
        <v>0</v>
      </c>
      <c r="J259" t="n">
        <v>0</v>
      </c>
      <c r="K259" t="n">
        <v>0</v>
      </c>
      <c r="L259" t="n">
        <v>0</v>
      </c>
      <c r="M259" t="n">
        <v>0</v>
      </c>
      <c r="N259" t="n">
        <v>0</v>
      </c>
      <c r="O259" t="n">
        <v>0</v>
      </c>
      <c r="P259" t="n">
        <v>0</v>
      </c>
      <c r="Q259" t="n">
        <v>0</v>
      </c>
      <c r="R259" s="2" t="inlineStr"/>
    </row>
    <row r="260" ht="15" customHeight="1">
      <c r="A260" t="inlineStr">
        <is>
          <t>A 30971-2022</t>
        </is>
      </c>
      <c r="B260" s="1" t="n">
        <v>44768.46725694444</v>
      </c>
      <c r="C260" s="1" t="n">
        <v>46065</v>
      </c>
      <c r="D260" t="inlineStr">
        <is>
          <t>VÄSTMANLANDS LÄN</t>
        </is>
      </c>
      <c r="E260" t="inlineStr">
        <is>
          <t>SALA</t>
        </is>
      </c>
      <c r="G260" t="n">
        <v>2.4</v>
      </c>
      <c r="H260" t="n">
        <v>0</v>
      </c>
      <c r="I260" t="n">
        <v>0</v>
      </c>
      <c r="J260" t="n">
        <v>0</v>
      </c>
      <c r="K260" t="n">
        <v>0</v>
      </c>
      <c r="L260" t="n">
        <v>0</v>
      </c>
      <c r="M260" t="n">
        <v>0</v>
      </c>
      <c r="N260" t="n">
        <v>0</v>
      </c>
      <c r="O260" t="n">
        <v>0</v>
      </c>
      <c r="P260" t="n">
        <v>0</v>
      </c>
      <c r="Q260" t="n">
        <v>0</v>
      </c>
      <c r="R260" s="2" t="inlineStr"/>
    </row>
    <row r="261" ht="15" customHeight="1">
      <c r="A261" t="inlineStr">
        <is>
          <t>A 1638-2023</t>
        </is>
      </c>
      <c r="B261" s="1" t="n">
        <v>44937</v>
      </c>
      <c r="C261" s="1" t="n">
        <v>46065</v>
      </c>
      <c r="D261" t="inlineStr">
        <is>
          <t>VÄSTMANLANDS LÄN</t>
        </is>
      </c>
      <c r="E261" t="inlineStr">
        <is>
          <t>SALA</t>
        </is>
      </c>
      <c r="G261" t="n">
        <v>3.1</v>
      </c>
      <c r="H261" t="n">
        <v>0</v>
      </c>
      <c r="I261" t="n">
        <v>0</v>
      </c>
      <c r="J261" t="n">
        <v>0</v>
      </c>
      <c r="K261" t="n">
        <v>0</v>
      </c>
      <c r="L261" t="n">
        <v>0</v>
      </c>
      <c r="M261" t="n">
        <v>0</v>
      </c>
      <c r="N261" t="n">
        <v>0</v>
      </c>
      <c r="O261" t="n">
        <v>0</v>
      </c>
      <c r="P261" t="n">
        <v>0</v>
      </c>
      <c r="Q261" t="n">
        <v>0</v>
      </c>
      <c r="R261" s="2" t="inlineStr"/>
    </row>
    <row r="262" ht="15" customHeight="1">
      <c r="A262" t="inlineStr">
        <is>
          <t>A 7953-2024</t>
        </is>
      </c>
      <c r="B262" s="1" t="n">
        <v>45350</v>
      </c>
      <c r="C262" s="1" t="n">
        <v>46065</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45187-2024</t>
        </is>
      </c>
      <c r="B263" s="1" t="n">
        <v>45575</v>
      </c>
      <c r="C263" s="1" t="n">
        <v>46065</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15968-2024</t>
        </is>
      </c>
      <c r="B264" s="1" t="n">
        <v>45405.56021990741</v>
      </c>
      <c r="C264" s="1" t="n">
        <v>46065</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5477-2024</t>
        </is>
      </c>
      <c r="B265" s="1" t="n">
        <v>45333.67833333334</v>
      </c>
      <c r="C265" s="1" t="n">
        <v>46065</v>
      </c>
      <c r="D265" t="inlineStr">
        <is>
          <t>VÄSTMANLANDS LÄN</t>
        </is>
      </c>
      <c r="E265" t="inlineStr">
        <is>
          <t>SALA</t>
        </is>
      </c>
      <c r="G265" t="n">
        <v>2.3</v>
      </c>
      <c r="H265" t="n">
        <v>0</v>
      </c>
      <c r="I265" t="n">
        <v>0</v>
      </c>
      <c r="J265" t="n">
        <v>0</v>
      </c>
      <c r="K265" t="n">
        <v>0</v>
      </c>
      <c r="L265" t="n">
        <v>0</v>
      </c>
      <c r="M265" t="n">
        <v>0</v>
      </c>
      <c r="N265" t="n">
        <v>0</v>
      </c>
      <c r="O265" t="n">
        <v>0</v>
      </c>
      <c r="P265" t="n">
        <v>0</v>
      </c>
      <c r="Q265" t="n">
        <v>0</v>
      </c>
      <c r="R265" s="2" t="inlineStr"/>
    </row>
    <row r="266" ht="15" customHeight="1">
      <c r="A266" t="inlineStr">
        <is>
          <t>A 3733-2023</t>
        </is>
      </c>
      <c r="B266" s="1" t="n">
        <v>44951.42501157407</v>
      </c>
      <c r="C266" s="1" t="n">
        <v>46065</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44544-2024</t>
        </is>
      </c>
      <c r="B267" s="1" t="n">
        <v>45574.46119212963</v>
      </c>
      <c r="C267" s="1" t="n">
        <v>46065</v>
      </c>
      <c r="D267" t="inlineStr">
        <is>
          <t>VÄSTMANLANDS LÄN</t>
        </is>
      </c>
      <c r="E267" t="inlineStr">
        <is>
          <t>SALA</t>
        </is>
      </c>
      <c r="G267" t="n">
        <v>3.3</v>
      </c>
      <c r="H267" t="n">
        <v>0</v>
      </c>
      <c r="I267" t="n">
        <v>0</v>
      </c>
      <c r="J267" t="n">
        <v>0</v>
      </c>
      <c r="K267" t="n">
        <v>0</v>
      </c>
      <c r="L267" t="n">
        <v>0</v>
      </c>
      <c r="M267" t="n">
        <v>0</v>
      </c>
      <c r="N267" t="n">
        <v>0</v>
      </c>
      <c r="O267" t="n">
        <v>0</v>
      </c>
      <c r="P267" t="n">
        <v>0</v>
      </c>
      <c r="Q267" t="n">
        <v>0</v>
      </c>
      <c r="R267" s="2" t="inlineStr"/>
    </row>
    <row r="268" ht="15" customHeight="1">
      <c r="A268" t="inlineStr">
        <is>
          <t>A 26507-2023</t>
        </is>
      </c>
      <c r="B268" s="1" t="n">
        <v>45092</v>
      </c>
      <c r="C268" s="1" t="n">
        <v>46065</v>
      </c>
      <c r="D268" t="inlineStr">
        <is>
          <t>VÄSTMANLANDS LÄN</t>
        </is>
      </c>
      <c r="E268" t="inlineStr">
        <is>
          <t>SALA</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6032-2025</t>
        </is>
      </c>
      <c r="B269" s="1" t="n">
        <v>45695.6371875</v>
      </c>
      <c r="C269" s="1" t="n">
        <v>46065</v>
      </c>
      <c r="D269" t="inlineStr">
        <is>
          <t>VÄSTMANLANDS LÄN</t>
        </is>
      </c>
      <c r="E269" t="inlineStr">
        <is>
          <t>SALA</t>
        </is>
      </c>
      <c r="F269" t="inlineStr">
        <is>
          <t>Bergvik skog öst AB</t>
        </is>
      </c>
      <c r="G269" t="n">
        <v>8.1</v>
      </c>
      <c r="H269" t="n">
        <v>0</v>
      </c>
      <c r="I269" t="n">
        <v>0</v>
      </c>
      <c r="J269" t="n">
        <v>0</v>
      </c>
      <c r="K269" t="n">
        <v>0</v>
      </c>
      <c r="L269" t="n">
        <v>0</v>
      </c>
      <c r="M269" t="n">
        <v>0</v>
      </c>
      <c r="N269" t="n">
        <v>0</v>
      </c>
      <c r="O269" t="n">
        <v>0</v>
      </c>
      <c r="P269" t="n">
        <v>0</v>
      </c>
      <c r="Q269" t="n">
        <v>0</v>
      </c>
      <c r="R269" s="2" t="inlineStr"/>
    </row>
    <row r="270" ht="15" customHeight="1">
      <c r="A270" t="inlineStr">
        <is>
          <t>A 31950-2023</t>
        </is>
      </c>
      <c r="B270" s="1" t="n">
        <v>45107</v>
      </c>
      <c r="C270" s="1" t="n">
        <v>46065</v>
      </c>
      <c r="D270" t="inlineStr">
        <is>
          <t>VÄSTMANLANDS LÄN</t>
        </is>
      </c>
      <c r="E270" t="inlineStr">
        <is>
          <t>SALA</t>
        </is>
      </c>
      <c r="G270" t="n">
        <v>1.9</v>
      </c>
      <c r="H270" t="n">
        <v>0</v>
      </c>
      <c r="I270" t="n">
        <v>0</v>
      </c>
      <c r="J270" t="n">
        <v>0</v>
      </c>
      <c r="K270" t="n">
        <v>0</v>
      </c>
      <c r="L270" t="n">
        <v>0</v>
      </c>
      <c r="M270" t="n">
        <v>0</v>
      </c>
      <c r="N270" t="n">
        <v>0</v>
      </c>
      <c r="O270" t="n">
        <v>0</v>
      </c>
      <c r="P270" t="n">
        <v>0</v>
      </c>
      <c r="Q270" t="n">
        <v>0</v>
      </c>
      <c r="R270" s="2" t="inlineStr"/>
    </row>
    <row r="271" ht="15" customHeight="1">
      <c r="A271" t="inlineStr">
        <is>
          <t>A 64729-2023</t>
        </is>
      </c>
      <c r="B271" s="1" t="n">
        <v>45281</v>
      </c>
      <c r="C271" s="1" t="n">
        <v>46065</v>
      </c>
      <c r="D271" t="inlineStr">
        <is>
          <t>VÄSTMANLANDS LÄN</t>
        </is>
      </c>
      <c r="E271" t="inlineStr">
        <is>
          <t>SALA</t>
        </is>
      </c>
      <c r="G271" t="n">
        <v>1.8</v>
      </c>
      <c r="H271" t="n">
        <v>0</v>
      </c>
      <c r="I271" t="n">
        <v>0</v>
      </c>
      <c r="J271" t="n">
        <v>0</v>
      </c>
      <c r="K271" t="n">
        <v>0</v>
      </c>
      <c r="L271" t="n">
        <v>0</v>
      </c>
      <c r="M271" t="n">
        <v>0</v>
      </c>
      <c r="N271" t="n">
        <v>0</v>
      </c>
      <c r="O271" t="n">
        <v>0</v>
      </c>
      <c r="P271" t="n">
        <v>0</v>
      </c>
      <c r="Q271" t="n">
        <v>0</v>
      </c>
      <c r="R271" s="2" t="inlineStr"/>
    </row>
    <row r="272" ht="15" customHeight="1">
      <c r="A272" t="inlineStr">
        <is>
          <t>A 2900-2023</t>
        </is>
      </c>
      <c r="B272" s="1" t="n">
        <v>44943</v>
      </c>
      <c r="C272" s="1" t="n">
        <v>46065</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60730-2023</t>
        </is>
      </c>
      <c r="B273" s="1" t="n">
        <v>45260</v>
      </c>
      <c r="C273" s="1" t="n">
        <v>46065</v>
      </c>
      <c r="D273" t="inlineStr">
        <is>
          <t>VÄSTMANLANDS LÄN</t>
        </is>
      </c>
      <c r="E273" t="inlineStr">
        <is>
          <t>SALA</t>
        </is>
      </c>
      <c r="G273" t="n">
        <v>1.3</v>
      </c>
      <c r="H273" t="n">
        <v>0</v>
      </c>
      <c r="I273" t="n">
        <v>0</v>
      </c>
      <c r="J273" t="n">
        <v>0</v>
      </c>
      <c r="K273" t="n">
        <v>0</v>
      </c>
      <c r="L273" t="n">
        <v>0</v>
      </c>
      <c r="M273" t="n">
        <v>0</v>
      </c>
      <c r="N273" t="n">
        <v>0</v>
      </c>
      <c r="O273" t="n">
        <v>0</v>
      </c>
      <c r="P273" t="n">
        <v>0</v>
      </c>
      <c r="Q273" t="n">
        <v>0</v>
      </c>
      <c r="R273" s="2" t="inlineStr"/>
    </row>
    <row r="274" ht="15" customHeight="1">
      <c r="A274" t="inlineStr">
        <is>
          <t>A 60731-2023</t>
        </is>
      </c>
      <c r="B274" s="1" t="n">
        <v>45260</v>
      </c>
      <c r="C274" s="1" t="n">
        <v>46065</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34814-2021</t>
        </is>
      </c>
      <c r="B275" s="1" t="n">
        <v>44383</v>
      </c>
      <c r="C275" s="1" t="n">
        <v>46065</v>
      </c>
      <c r="D275" t="inlineStr">
        <is>
          <t>VÄSTMANLANDS LÄN</t>
        </is>
      </c>
      <c r="E275" t="inlineStr">
        <is>
          <t>SALA</t>
        </is>
      </c>
      <c r="F275" t="inlineStr">
        <is>
          <t>Sveaskog</t>
        </is>
      </c>
      <c r="G275" t="n">
        <v>0.5</v>
      </c>
      <c r="H275" t="n">
        <v>0</v>
      </c>
      <c r="I275" t="n">
        <v>0</v>
      </c>
      <c r="J275" t="n">
        <v>0</v>
      </c>
      <c r="K275" t="n">
        <v>0</v>
      </c>
      <c r="L275" t="n">
        <v>0</v>
      </c>
      <c r="M275" t="n">
        <v>0</v>
      </c>
      <c r="N275" t="n">
        <v>0</v>
      </c>
      <c r="O275" t="n">
        <v>0</v>
      </c>
      <c r="P275" t="n">
        <v>0</v>
      </c>
      <c r="Q275" t="n">
        <v>0</v>
      </c>
      <c r="R275" s="2" t="inlineStr"/>
    </row>
    <row r="276" ht="15" customHeight="1">
      <c r="A276" t="inlineStr">
        <is>
          <t>A 68864-2021</t>
        </is>
      </c>
      <c r="B276" s="1" t="n">
        <v>44530</v>
      </c>
      <c r="C276" s="1" t="n">
        <v>46065</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54118-2023</t>
        </is>
      </c>
      <c r="B277" s="1" t="n">
        <v>45232</v>
      </c>
      <c r="C277" s="1" t="n">
        <v>46065</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35462-2024</t>
        </is>
      </c>
      <c r="B278" s="1" t="n">
        <v>45531</v>
      </c>
      <c r="C278" s="1" t="n">
        <v>46065</v>
      </c>
      <c r="D278" t="inlineStr">
        <is>
          <t>VÄSTMANLANDS LÄN</t>
        </is>
      </c>
      <c r="E278" t="inlineStr">
        <is>
          <t>SALA</t>
        </is>
      </c>
      <c r="G278" t="n">
        <v>0.6</v>
      </c>
      <c r="H278" t="n">
        <v>0</v>
      </c>
      <c r="I278" t="n">
        <v>0</v>
      </c>
      <c r="J278" t="n">
        <v>0</v>
      </c>
      <c r="K278" t="n">
        <v>0</v>
      </c>
      <c r="L278" t="n">
        <v>0</v>
      </c>
      <c r="M278" t="n">
        <v>0</v>
      </c>
      <c r="N278" t="n">
        <v>0</v>
      </c>
      <c r="O278" t="n">
        <v>0</v>
      </c>
      <c r="P278" t="n">
        <v>0</v>
      </c>
      <c r="Q278" t="n">
        <v>0</v>
      </c>
      <c r="R278" s="2" t="inlineStr"/>
    </row>
    <row r="279" ht="15" customHeight="1">
      <c r="A279" t="inlineStr">
        <is>
          <t>A 36393-2023</t>
        </is>
      </c>
      <c r="B279" s="1" t="n">
        <v>45152</v>
      </c>
      <c r="C279" s="1" t="n">
        <v>46065</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45790-2023</t>
        </is>
      </c>
      <c r="B280" s="1" t="n">
        <v>45195.45958333334</v>
      </c>
      <c r="C280" s="1" t="n">
        <v>46065</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64925-2023</t>
        </is>
      </c>
      <c r="B281" s="1" t="n">
        <v>45282</v>
      </c>
      <c r="C281" s="1" t="n">
        <v>46065</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48570-2024</t>
        </is>
      </c>
      <c r="B282" s="1" t="n">
        <v>45591</v>
      </c>
      <c r="C282" s="1" t="n">
        <v>46065</v>
      </c>
      <c r="D282" t="inlineStr">
        <is>
          <t>VÄSTMANLANDS LÄN</t>
        </is>
      </c>
      <c r="E282" t="inlineStr">
        <is>
          <t>SALA</t>
        </is>
      </c>
      <c r="G282" t="n">
        <v>3</v>
      </c>
      <c r="H282" t="n">
        <v>0</v>
      </c>
      <c r="I282" t="n">
        <v>0</v>
      </c>
      <c r="J282" t="n">
        <v>0</v>
      </c>
      <c r="K282" t="n">
        <v>0</v>
      </c>
      <c r="L282" t="n">
        <v>0</v>
      </c>
      <c r="M282" t="n">
        <v>0</v>
      </c>
      <c r="N282" t="n">
        <v>0</v>
      </c>
      <c r="O282" t="n">
        <v>0</v>
      </c>
      <c r="P282" t="n">
        <v>0</v>
      </c>
      <c r="Q282" t="n">
        <v>0</v>
      </c>
      <c r="R282" s="2" t="inlineStr"/>
    </row>
    <row r="283" ht="15" customHeight="1">
      <c r="A283" t="inlineStr">
        <is>
          <t>A 56949-2023</t>
        </is>
      </c>
      <c r="B283" s="1" t="n">
        <v>45244.61589120371</v>
      </c>
      <c r="C283" s="1" t="n">
        <v>46065</v>
      </c>
      <c r="D283" t="inlineStr">
        <is>
          <t>VÄSTMANLANDS LÄN</t>
        </is>
      </c>
      <c r="E283" t="inlineStr">
        <is>
          <t>SALA</t>
        </is>
      </c>
      <c r="G283" t="n">
        <v>4.7</v>
      </c>
      <c r="H283" t="n">
        <v>0</v>
      </c>
      <c r="I283" t="n">
        <v>0</v>
      </c>
      <c r="J283" t="n">
        <v>0</v>
      </c>
      <c r="K283" t="n">
        <v>0</v>
      </c>
      <c r="L283" t="n">
        <v>0</v>
      </c>
      <c r="M283" t="n">
        <v>0</v>
      </c>
      <c r="N283" t="n">
        <v>0</v>
      </c>
      <c r="O283" t="n">
        <v>0</v>
      </c>
      <c r="P283" t="n">
        <v>0</v>
      </c>
      <c r="Q283" t="n">
        <v>0</v>
      </c>
      <c r="R283" s="2" t="inlineStr"/>
    </row>
    <row r="284" ht="15" customHeight="1">
      <c r="A284" t="inlineStr">
        <is>
          <t>A 40214-2023</t>
        </is>
      </c>
      <c r="B284" s="1" t="n">
        <v>45169.45173611111</v>
      </c>
      <c r="C284" s="1" t="n">
        <v>46065</v>
      </c>
      <c r="D284" t="inlineStr">
        <is>
          <t>VÄSTMANLANDS LÄN</t>
        </is>
      </c>
      <c r="E284" t="inlineStr">
        <is>
          <t>SALA</t>
        </is>
      </c>
      <c r="G284" t="n">
        <v>5.5</v>
      </c>
      <c r="H284" t="n">
        <v>0</v>
      </c>
      <c r="I284" t="n">
        <v>0</v>
      </c>
      <c r="J284" t="n">
        <v>0</v>
      </c>
      <c r="K284" t="n">
        <v>0</v>
      </c>
      <c r="L284" t="n">
        <v>0</v>
      </c>
      <c r="M284" t="n">
        <v>0</v>
      </c>
      <c r="N284" t="n">
        <v>0</v>
      </c>
      <c r="O284" t="n">
        <v>0</v>
      </c>
      <c r="P284" t="n">
        <v>0</v>
      </c>
      <c r="Q284" t="n">
        <v>0</v>
      </c>
      <c r="R284" s="2" t="inlineStr"/>
    </row>
    <row r="285" ht="15" customHeight="1">
      <c r="A285" t="inlineStr">
        <is>
          <t>A 61517-2024</t>
        </is>
      </c>
      <c r="B285" s="1" t="n">
        <v>45645</v>
      </c>
      <c r="C285" s="1" t="n">
        <v>46065</v>
      </c>
      <c r="D285" t="inlineStr">
        <is>
          <t>VÄSTMANLANDS LÄN</t>
        </is>
      </c>
      <c r="E285" t="inlineStr">
        <is>
          <t>SALA</t>
        </is>
      </c>
      <c r="G285" t="n">
        <v>0.6</v>
      </c>
      <c r="H285" t="n">
        <v>0</v>
      </c>
      <c r="I285" t="n">
        <v>0</v>
      </c>
      <c r="J285" t="n">
        <v>0</v>
      </c>
      <c r="K285" t="n">
        <v>0</v>
      </c>
      <c r="L285" t="n">
        <v>0</v>
      </c>
      <c r="M285" t="n">
        <v>0</v>
      </c>
      <c r="N285" t="n">
        <v>0</v>
      </c>
      <c r="O285" t="n">
        <v>0</v>
      </c>
      <c r="P285" t="n">
        <v>0</v>
      </c>
      <c r="Q285" t="n">
        <v>0</v>
      </c>
      <c r="R285" s="2" t="inlineStr"/>
    </row>
    <row r="286" ht="15" customHeight="1">
      <c r="A286" t="inlineStr">
        <is>
          <t>A 35016-2024</t>
        </is>
      </c>
      <c r="B286" s="1" t="n">
        <v>45527.59115740741</v>
      </c>
      <c r="C286" s="1" t="n">
        <v>46065</v>
      </c>
      <c r="D286" t="inlineStr">
        <is>
          <t>VÄSTMANLANDS LÄN</t>
        </is>
      </c>
      <c r="E286" t="inlineStr">
        <is>
          <t>SALA</t>
        </is>
      </c>
      <c r="G286" t="n">
        <v>0.4</v>
      </c>
      <c r="H286" t="n">
        <v>0</v>
      </c>
      <c r="I286" t="n">
        <v>0</v>
      </c>
      <c r="J286" t="n">
        <v>0</v>
      </c>
      <c r="K286" t="n">
        <v>0</v>
      </c>
      <c r="L286" t="n">
        <v>0</v>
      </c>
      <c r="M286" t="n">
        <v>0</v>
      </c>
      <c r="N286" t="n">
        <v>0</v>
      </c>
      <c r="O286" t="n">
        <v>0</v>
      </c>
      <c r="P286" t="n">
        <v>0</v>
      </c>
      <c r="Q286" t="n">
        <v>0</v>
      </c>
      <c r="R286" s="2" t="inlineStr"/>
    </row>
    <row r="287" ht="15" customHeight="1">
      <c r="A287" t="inlineStr">
        <is>
          <t>A 16760-2024</t>
        </is>
      </c>
      <c r="B287" s="1" t="n">
        <v>45411</v>
      </c>
      <c r="C287" s="1" t="n">
        <v>46065</v>
      </c>
      <c r="D287" t="inlineStr">
        <is>
          <t>VÄSTMANLANDS LÄN</t>
        </is>
      </c>
      <c r="E287" t="inlineStr">
        <is>
          <t>SALA</t>
        </is>
      </c>
      <c r="G287" t="n">
        <v>2.6</v>
      </c>
      <c r="H287" t="n">
        <v>0</v>
      </c>
      <c r="I287" t="n">
        <v>0</v>
      </c>
      <c r="J287" t="n">
        <v>0</v>
      </c>
      <c r="K287" t="n">
        <v>0</v>
      </c>
      <c r="L287" t="n">
        <v>0</v>
      </c>
      <c r="M287" t="n">
        <v>0</v>
      </c>
      <c r="N287" t="n">
        <v>0</v>
      </c>
      <c r="O287" t="n">
        <v>0</v>
      </c>
      <c r="P287" t="n">
        <v>0</v>
      </c>
      <c r="Q287" t="n">
        <v>0</v>
      </c>
      <c r="R287" s="2" t="inlineStr"/>
    </row>
    <row r="288" ht="15" customHeight="1">
      <c r="A288" t="inlineStr">
        <is>
          <t>A 37612-2024</t>
        </is>
      </c>
      <c r="B288" s="1" t="n">
        <v>45541</v>
      </c>
      <c r="C288" s="1" t="n">
        <v>46065</v>
      </c>
      <c r="D288" t="inlineStr">
        <is>
          <t>VÄSTMANLANDS LÄN</t>
        </is>
      </c>
      <c r="E288" t="inlineStr">
        <is>
          <t>SALA</t>
        </is>
      </c>
      <c r="G288" t="n">
        <v>2.2</v>
      </c>
      <c r="H288" t="n">
        <v>0</v>
      </c>
      <c r="I288" t="n">
        <v>0</v>
      </c>
      <c r="J288" t="n">
        <v>0</v>
      </c>
      <c r="K288" t="n">
        <v>0</v>
      </c>
      <c r="L288" t="n">
        <v>0</v>
      </c>
      <c r="M288" t="n">
        <v>0</v>
      </c>
      <c r="N288" t="n">
        <v>0</v>
      </c>
      <c r="O288" t="n">
        <v>0</v>
      </c>
      <c r="P288" t="n">
        <v>0</v>
      </c>
      <c r="Q288" t="n">
        <v>0</v>
      </c>
      <c r="R288" s="2" t="inlineStr"/>
    </row>
    <row r="289" ht="15" customHeight="1">
      <c r="A289" t="inlineStr">
        <is>
          <t>A 37615-2024</t>
        </is>
      </c>
      <c r="B289" s="1" t="n">
        <v>45541.50673611111</v>
      </c>
      <c r="C289" s="1" t="n">
        <v>46065</v>
      </c>
      <c r="D289" t="inlineStr">
        <is>
          <t>VÄSTMANLANDS LÄN</t>
        </is>
      </c>
      <c r="E289" t="inlineStr">
        <is>
          <t>SALA</t>
        </is>
      </c>
      <c r="G289" t="n">
        <v>1.1</v>
      </c>
      <c r="H289" t="n">
        <v>0</v>
      </c>
      <c r="I289" t="n">
        <v>0</v>
      </c>
      <c r="J289" t="n">
        <v>0</v>
      </c>
      <c r="K289" t="n">
        <v>0</v>
      </c>
      <c r="L289" t="n">
        <v>0</v>
      </c>
      <c r="M289" t="n">
        <v>0</v>
      </c>
      <c r="N289" t="n">
        <v>0</v>
      </c>
      <c r="O289" t="n">
        <v>0</v>
      </c>
      <c r="P289" t="n">
        <v>0</v>
      </c>
      <c r="Q289" t="n">
        <v>0</v>
      </c>
      <c r="R289" s="2" t="inlineStr"/>
    </row>
    <row r="290" ht="15" customHeight="1">
      <c r="A290" t="inlineStr">
        <is>
          <t>A 5728-2022</t>
        </is>
      </c>
      <c r="B290" s="1" t="n">
        <v>44596.42082175926</v>
      </c>
      <c r="C290" s="1" t="n">
        <v>46065</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26661-2025</t>
        </is>
      </c>
      <c r="B291" s="1" t="n">
        <v>45810</v>
      </c>
      <c r="C291" s="1" t="n">
        <v>46065</v>
      </c>
      <c r="D291" t="inlineStr">
        <is>
          <t>VÄSTMANLANDS LÄN</t>
        </is>
      </c>
      <c r="E291" t="inlineStr">
        <is>
          <t>SALA</t>
        </is>
      </c>
      <c r="G291" t="n">
        <v>3.5</v>
      </c>
      <c r="H291" t="n">
        <v>0</v>
      </c>
      <c r="I291" t="n">
        <v>0</v>
      </c>
      <c r="J291" t="n">
        <v>0</v>
      </c>
      <c r="K291" t="n">
        <v>0</v>
      </c>
      <c r="L291" t="n">
        <v>0</v>
      </c>
      <c r="M291" t="n">
        <v>0</v>
      </c>
      <c r="N291" t="n">
        <v>0</v>
      </c>
      <c r="O291" t="n">
        <v>0</v>
      </c>
      <c r="P291" t="n">
        <v>0</v>
      </c>
      <c r="Q291" t="n">
        <v>0</v>
      </c>
      <c r="R291" s="2" t="inlineStr"/>
    </row>
    <row r="292" ht="15" customHeight="1">
      <c r="A292" t="inlineStr">
        <is>
          <t>A 54603-2024</t>
        </is>
      </c>
      <c r="B292" s="1" t="n">
        <v>45617.68224537037</v>
      </c>
      <c r="C292" s="1" t="n">
        <v>46065</v>
      </c>
      <c r="D292" t="inlineStr">
        <is>
          <t>VÄSTMANLANDS LÄN</t>
        </is>
      </c>
      <c r="E292" t="inlineStr">
        <is>
          <t>SALA</t>
        </is>
      </c>
      <c r="G292" t="n">
        <v>1</v>
      </c>
      <c r="H292" t="n">
        <v>0</v>
      </c>
      <c r="I292" t="n">
        <v>0</v>
      </c>
      <c r="J292" t="n">
        <v>0</v>
      </c>
      <c r="K292" t="n">
        <v>0</v>
      </c>
      <c r="L292" t="n">
        <v>0</v>
      </c>
      <c r="M292" t="n">
        <v>0</v>
      </c>
      <c r="N292" t="n">
        <v>0</v>
      </c>
      <c r="O292" t="n">
        <v>0</v>
      </c>
      <c r="P292" t="n">
        <v>0</v>
      </c>
      <c r="Q292" t="n">
        <v>0</v>
      </c>
      <c r="R292" s="2" t="inlineStr"/>
    </row>
    <row r="293" ht="15" customHeight="1">
      <c r="A293" t="inlineStr">
        <is>
          <t>A 7681-2021</t>
        </is>
      </c>
      <c r="B293" s="1" t="n">
        <v>44242</v>
      </c>
      <c r="C293" s="1" t="n">
        <v>46065</v>
      </c>
      <c r="D293" t="inlineStr">
        <is>
          <t>VÄSTMANLANDS LÄN</t>
        </is>
      </c>
      <c r="E293" t="inlineStr">
        <is>
          <t>SALA</t>
        </is>
      </c>
      <c r="F293" t="inlineStr">
        <is>
          <t>Sveaskog</t>
        </is>
      </c>
      <c r="G293" t="n">
        <v>16.1</v>
      </c>
      <c r="H293" t="n">
        <v>0</v>
      </c>
      <c r="I293" t="n">
        <v>0</v>
      </c>
      <c r="J293" t="n">
        <v>0</v>
      </c>
      <c r="K293" t="n">
        <v>0</v>
      </c>
      <c r="L293" t="n">
        <v>0</v>
      </c>
      <c r="M293" t="n">
        <v>0</v>
      </c>
      <c r="N293" t="n">
        <v>0</v>
      </c>
      <c r="O293" t="n">
        <v>0</v>
      </c>
      <c r="P293" t="n">
        <v>0</v>
      </c>
      <c r="Q293" t="n">
        <v>0</v>
      </c>
      <c r="R293" s="2" t="inlineStr"/>
    </row>
    <row r="294" ht="15" customHeight="1">
      <c r="A294" t="inlineStr">
        <is>
          <t>A 19751-2022</t>
        </is>
      </c>
      <c r="B294" s="1" t="n">
        <v>44694</v>
      </c>
      <c r="C294" s="1" t="n">
        <v>46065</v>
      </c>
      <c r="D294" t="inlineStr">
        <is>
          <t>VÄSTMANLANDS LÄN</t>
        </is>
      </c>
      <c r="E294" t="inlineStr">
        <is>
          <t>SALA</t>
        </is>
      </c>
      <c r="G294" t="n">
        <v>2.7</v>
      </c>
      <c r="H294" t="n">
        <v>0</v>
      </c>
      <c r="I294" t="n">
        <v>0</v>
      </c>
      <c r="J294" t="n">
        <v>0</v>
      </c>
      <c r="K294" t="n">
        <v>0</v>
      </c>
      <c r="L294" t="n">
        <v>0</v>
      </c>
      <c r="M294" t="n">
        <v>0</v>
      </c>
      <c r="N294" t="n">
        <v>0</v>
      </c>
      <c r="O294" t="n">
        <v>0</v>
      </c>
      <c r="P294" t="n">
        <v>0</v>
      </c>
      <c r="Q294" t="n">
        <v>0</v>
      </c>
      <c r="R294" s="2" t="inlineStr"/>
    </row>
    <row r="295" ht="15" customHeight="1">
      <c r="A295" t="inlineStr">
        <is>
          <t>A 18762-2024</t>
        </is>
      </c>
      <c r="B295" s="1" t="n">
        <v>45426.55240740741</v>
      </c>
      <c r="C295" s="1" t="n">
        <v>46065</v>
      </c>
      <c r="D295" t="inlineStr">
        <is>
          <t>VÄSTMANLANDS LÄN</t>
        </is>
      </c>
      <c r="E295" t="inlineStr">
        <is>
          <t>SALA</t>
        </is>
      </c>
      <c r="G295" t="n">
        <v>6.2</v>
      </c>
      <c r="H295" t="n">
        <v>0</v>
      </c>
      <c r="I295" t="n">
        <v>0</v>
      </c>
      <c r="J295" t="n">
        <v>0</v>
      </c>
      <c r="K295" t="n">
        <v>0</v>
      </c>
      <c r="L295" t="n">
        <v>0</v>
      </c>
      <c r="M295" t="n">
        <v>0</v>
      </c>
      <c r="N295" t="n">
        <v>0</v>
      </c>
      <c r="O295" t="n">
        <v>0</v>
      </c>
      <c r="P295" t="n">
        <v>0</v>
      </c>
      <c r="Q295" t="n">
        <v>0</v>
      </c>
      <c r="R295" s="2" t="inlineStr"/>
    </row>
    <row r="296" ht="15" customHeight="1">
      <c r="A296" t="inlineStr">
        <is>
          <t>A 17120-2023</t>
        </is>
      </c>
      <c r="B296" s="1" t="n">
        <v>45034</v>
      </c>
      <c r="C296" s="1" t="n">
        <v>46065</v>
      </c>
      <c r="D296" t="inlineStr">
        <is>
          <t>VÄSTMANLANDS LÄN</t>
        </is>
      </c>
      <c r="E296" t="inlineStr">
        <is>
          <t>SALA</t>
        </is>
      </c>
      <c r="G296" t="n">
        <v>0.1</v>
      </c>
      <c r="H296" t="n">
        <v>0</v>
      </c>
      <c r="I296" t="n">
        <v>0</v>
      </c>
      <c r="J296" t="n">
        <v>0</v>
      </c>
      <c r="K296" t="n">
        <v>0</v>
      </c>
      <c r="L296" t="n">
        <v>0</v>
      </c>
      <c r="M296" t="n">
        <v>0</v>
      </c>
      <c r="N296" t="n">
        <v>0</v>
      </c>
      <c r="O296" t="n">
        <v>0</v>
      </c>
      <c r="P296" t="n">
        <v>0</v>
      </c>
      <c r="Q296" t="n">
        <v>0</v>
      </c>
      <c r="R296" s="2" t="inlineStr"/>
    </row>
    <row r="297" ht="15" customHeight="1">
      <c r="A297" t="inlineStr">
        <is>
          <t>A 42938-2023</t>
        </is>
      </c>
      <c r="B297" s="1" t="n">
        <v>45179</v>
      </c>
      <c r="C297" s="1" t="n">
        <v>46065</v>
      </c>
      <c r="D297" t="inlineStr">
        <is>
          <t>VÄSTMANLANDS LÄN</t>
        </is>
      </c>
      <c r="E297" t="inlineStr">
        <is>
          <t>SALA</t>
        </is>
      </c>
      <c r="G297" t="n">
        <v>10.9</v>
      </c>
      <c r="H297" t="n">
        <v>0</v>
      </c>
      <c r="I297" t="n">
        <v>0</v>
      </c>
      <c r="J297" t="n">
        <v>0</v>
      </c>
      <c r="K297" t="n">
        <v>0</v>
      </c>
      <c r="L297" t="n">
        <v>0</v>
      </c>
      <c r="M297" t="n">
        <v>0</v>
      </c>
      <c r="N297" t="n">
        <v>0</v>
      </c>
      <c r="O297" t="n">
        <v>0</v>
      </c>
      <c r="P297" t="n">
        <v>0</v>
      </c>
      <c r="Q297" t="n">
        <v>0</v>
      </c>
      <c r="R297" s="2" t="inlineStr"/>
    </row>
    <row r="298" ht="15" customHeight="1">
      <c r="A298" t="inlineStr">
        <is>
          <t>A 42984-2023</t>
        </is>
      </c>
      <c r="B298" s="1" t="n">
        <v>45179</v>
      </c>
      <c r="C298" s="1" t="n">
        <v>46065</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15972-2024</t>
        </is>
      </c>
      <c r="B299" s="1" t="n">
        <v>45405.56498842593</v>
      </c>
      <c r="C299" s="1" t="n">
        <v>46065</v>
      </c>
      <c r="D299" t="inlineStr">
        <is>
          <t>VÄSTMANLANDS LÄN</t>
        </is>
      </c>
      <c r="E299" t="inlineStr">
        <is>
          <t>SALA</t>
        </is>
      </c>
      <c r="G299" t="n">
        <v>1.8</v>
      </c>
      <c r="H299" t="n">
        <v>0</v>
      </c>
      <c r="I299" t="n">
        <v>0</v>
      </c>
      <c r="J299" t="n">
        <v>0</v>
      </c>
      <c r="K299" t="n">
        <v>0</v>
      </c>
      <c r="L299" t="n">
        <v>0</v>
      </c>
      <c r="M299" t="n">
        <v>0</v>
      </c>
      <c r="N299" t="n">
        <v>0</v>
      </c>
      <c r="O299" t="n">
        <v>0</v>
      </c>
      <c r="P299" t="n">
        <v>0</v>
      </c>
      <c r="Q299" t="n">
        <v>0</v>
      </c>
      <c r="R299" s="2" t="inlineStr"/>
    </row>
    <row r="300" ht="15" customHeight="1">
      <c r="A300" t="inlineStr">
        <is>
          <t>A 39714-2023</t>
        </is>
      </c>
      <c r="B300" s="1" t="n">
        <v>45167.62133101852</v>
      </c>
      <c r="C300" s="1" t="n">
        <v>46065</v>
      </c>
      <c r="D300" t="inlineStr">
        <is>
          <t>VÄSTMANLANDS LÄN</t>
        </is>
      </c>
      <c r="E300" t="inlineStr">
        <is>
          <t>SALA</t>
        </is>
      </c>
      <c r="G300" t="n">
        <v>1.3</v>
      </c>
      <c r="H300" t="n">
        <v>0</v>
      </c>
      <c r="I300" t="n">
        <v>0</v>
      </c>
      <c r="J300" t="n">
        <v>0</v>
      </c>
      <c r="K300" t="n">
        <v>0</v>
      </c>
      <c r="L300" t="n">
        <v>0</v>
      </c>
      <c r="M300" t="n">
        <v>0</v>
      </c>
      <c r="N300" t="n">
        <v>0</v>
      </c>
      <c r="O300" t="n">
        <v>0</v>
      </c>
      <c r="P300" t="n">
        <v>0</v>
      </c>
      <c r="Q300" t="n">
        <v>0</v>
      </c>
      <c r="R300" s="2" t="inlineStr"/>
    </row>
    <row r="301" ht="15" customHeight="1">
      <c r="A301" t="inlineStr">
        <is>
          <t>A 6312-2025</t>
        </is>
      </c>
      <c r="B301" s="1" t="n">
        <v>45698</v>
      </c>
      <c r="C301" s="1" t="n">
        <v>46065</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28193-2025</t>
        </is>
      </c>
      <c r="B302" s="1" t="n">
        <v>45818.425625</v>
      </c>
      <c r="C302" s="1" t="n">
        <v>46065</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27981-2025</t>
        </is>
      </c>
      <c r="B303" s="1" t="n">
        <v>45817.57471064815</v>
      </c>
      <c r="C303" s="1" t="n">
        <v>46065</v>
      </c>
      <c r="D303" t="inlineStr">
        <is>
          <t>VÄSTMANLANDS LÄN</t>
        </is>
      </c>
      <c r="E303" t="inlineStr">
        <is>
          <t>SALA</t>
        </is>
      </c>
      <c r="G303" t="n">
        <v>1.7</v>
      </c>
      <c r="H303" t="n">
        <v>0</v>
      </c>
      <c r="I303" t="n">
        <v>0</v>
      </c>
      <c r="J303" t="n">
        <v>0</v>
      </c>
      <c r="K303" t="n">
        <v>0</v>
      </c>
      <c r="L303" t="n">
        <v>0</v>
      </c>
      <c r="M303" t="n">
        <v>0</v>
      </c>
      <c r="N303" t="n">
        <v>0</v>
      </c>
      <c r="O303" t="n">
        <v>0</v>
      </c>
      <c r="P303" t="n">
        <v>0</v>
      </c>
      <c r="Q303" t="n">
        <v>0</v>
      </c>
      <c r="R303" s="2" t="inlineStr"/>
    </row>
    <row r="304" ht="15" customHeight="1">
      <c r="A304" t="inlineStr">
        <is>
          <t>A 55035-2023</t>
        </is>
      </c>
      <c r="B304" s="1" t="n">
        <v>45229</v>
      </c>
      <c r="C304" s="1" t="n">
        <v>46065</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28278-2025</t>
        </is>
      </c>
      <c r="B305" s="1" t="n">
        <v>45818.58454861111</v>
      </c>
      <c r="C305" s="1" t="n">
        <v>46065</v>
      </c>
      <c r="D305" t="inlineStr">
        <is>
          <t>VÄSTMANLANDS LÄN</t>
        </is>
      </c>
      <c r="E305" t="inlineStr">
        <is>
          <t>SALA</t>
        </is>
      </c>
      <c r="G305" t="n">
        <v>7.6</v>
      </c>
      <c r="H305" t="n">
        <v>0</v>
      </c>
      <c r="I305" t="n">
        <v>0</v>
      </c>
      <c r="J305" t="n">
        <v>0</v>
      </c>
      <c r="K305" t="n">
        <v>0</v>
      </c>
      <c r="L305" t="n">
        <v>0</v>
      </c>
      <c r="M305" t="n">
        <v>0</v>
      </c>
      <c r="N305" t="n">
        <v>0</v>
      </c>
      <c r="O305" t="n">
        <v>0</v>
      </c>
      <c r="P305" t="n">
        <v>0</v>
      </c>
      <c r="Q305" t="n">
        <v>0</v>
      </c>
      <c r="R305" s="2" t="inlineStr"/>
    </row>
    <row r="306" ht="15" customHeight="1">
      <c r="A306" t="inlineStr">
        <is>
          <t>A 33527-2023</t>
        </is>
      </c>
      <c r="B306" s="1" t="n">
        <v>45131</v>
      </c>
      <c r="C306" s="1" t="n">
        <v>46065</v>
      </c>
      <c r="D306" t="inlineStr">
        <is>
          <t>VÄSTMANLANDS LÄN</t>
        </is>
      </c>
      <c r="E306" t="inlineStr">
        <is>
          <t>SALA</t>
        </is>
      </c>
      <c r="G306" t="n">
        <v>1</v>
      </c>
      <c r="H306" t="n">
        <v>0</v>
      </c>
      <c r="I306" t="n">
        <v>0</v>
      </c>
      <c r="J306" t="n">
        <v>0</v>
      </c>
      <c r="K306" t="n">
        <v>0</v>
      </c>
      <c r="L306" t="n">
        <v>0</v>
      </c>
      <c r="M306" t="n">
        <v>0</v>
      </c>
      <c r="N306" t="n">
        <v>0</v>
      </c>
      <c r="O306" t="n">
        <v>0</v>
      </c>
      <c r="P306" t="n">
        <v>0</v>
      </c>
      <c r="Q306" t="n">
        <v>0</v>
      </c>
      <c r="R306" s="2" t="inlineStr"/>
    </row>
    <row r="307" ht="15" customHeight="1">
      <c r="A307" t="inlineStr">
        <is>
          <t>A 10913-2025</t>
        </is>
      </c>
      <c r="B307" s="1" t="n">
        <v>45722.73423611111</v>
      </c>
      <c r="C307" s="1" t="n">
        <v>46065</v>
      </c>
      <c r="D307" t="inlineStr">
        <is>
          <t>VÄSTMANLANDS LÄN</t>
        </is>
      </c>
      <c r="E307" t="inlineStr">
        <is>
          <t>SALA</t>
        </is>
      </c>
      <c r="G307" t="n">
        <v>7.6</v>
      </c>
      <c r="H307" t="n">
        <v>0</v>
      </c>
      <c r="I307" t="n">
        <v>0</v>
      </c>
      <c r="J307" t="n">
        <v>0</v>
      </c>
      <c r="K307" t="n">
        <v>0</v>
      </c>
      <c r="L307" t="n">
        <v>0</v>
      </c>
      <c r="M307" t="n">
        <v>0</v>
      </c>
      <c r="N307" t="n">
        <v>0</v>
      </c>
      <c r="O307" t="n">
        <v>0</v>
      </c>
      <c r="P307" t="n">
        <v>0</v>
      </c>
      <c r="Q307" t="n">
        <v>0</v>
      </c>
      <c r="R307" s="2" t="inlineStr"/>
    </row>
    <row r="308" ht="15" customHeight="1">
      <c r="A308" t="inlineStr">
        <is>
          <t>A 58107-2021</t>
        </is>
      </c>
      <c r="B308" s="1" t="n">
        <v>44487</v>
      </c>
      <c r="C308" s="1" t="n">
        <v>46065</v>
      </c>
      <c r="D308" t="inlineStr">
        <is>
          <t>VÄSTMANLANDS LÄN</t>
        </is>
      </c>
      <c r="E308" t="inlineStr">
        <is>
          <t>SALA</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27989-2025</t>
        </is>
      </c>
      <c r="B309" s="1" t="n">
        <v>45817.58716435185</v>
      </c>
      <c r="C309" s="1" t="n">
        <v>46065</v>
      </c>
      <c r="D309" t="inlineStr">
        <is>
          <t>VÄSTMANLANDS LÄN</t>
        </is>
      </c>
      <c r="E309" t="inlineStr">
        <is>
          <t>SALA</t>
        </is>
      </c>
      <c r="G309" t="n">
        <v>1.9</v>
      </c>
      <c r="H309" t="n">
        <v>0</v>
      </c>
      <c r="I309" t="n">
        <v>0</v>
      </c>
      <c r="J309" t="n">
        <v>0</v>
      </c>
      <c r="K309" t="n">
        <v>0</v>
      </c>
      <c r="L309" t="n">
        <v>0</v>
      </c>
      <c r="M309" t="n">
        <v>0</v>
      </c>
      <c r="N309" t="n">
        <v>0</v>
      </c>
      <c r="O309" t="n">
        <v>0</v>
      </c>
      <c r="P309" t="n">
        <v>0</v>
      </c>
      <c r="Q309" t="n">
        <v>0</v>
      </c>
      <c r="R309" s="2" t="inlineStr"/>
    </row>
    <row r="310" ht="15" customHeight="1">
      <c r="A310" t="inlineStr">
        <is>
          <t>A 28284-2025</t>
        </is>
      </c>
      <c r="B310" s="1" t="n">
        <v>45818.58893518519</v>
      </c>
      <c r="C310" s="1" t="n">
        <v>46065</v>
      </c>
      <c r="D310" t="inlineStr">
        <is>
          <t>VÄSTMANLANDS LÄN</t>
        </is>
      </c>
      <c r="E310" t="inlineStr">
        <is>
          <t>SALA</t>
        </is>
      </c>
      <c r="G310" t="n">
        <v>2.4</v>
      </c>
      <c r="H310" t="n">
        <v>0</v>
      </c>
      <c r="I310" t="n">
        <v>0</v>
      </c>
      <c r="J310" t="n">
        <v>0</v>
      </c>
      <c r="K310" t="n">
        <v>0</v>
      </c>
      <c r="L310" t="n">
        <v>0</v>
      </c>
      <c r="M310" t="n">
        <v>0</v>
      </c>
      <c r="N310" t="n">
        <v>0</v>
      </c>
      <c r="O310" t="n">
        <v>0</v>
      </c>
      <c r="P310" t="n">
        <v>0</v>
      </c>
      <c r="Q310" t="n">
        <v>0</v>
      </c>
      <c r="R310" s="2" t="inlineStr"/>
    </row>
    <row r="311" ht="15" customHeight="1">
      <c r="A311" t="inlineStr">
        <is>
          <t>A 48710-2024</t>
        </is>
      </c>
      <c r="B311" s="1" t="n">
        <v>45593.53636574074</v>
      </c>
      <c r="C311" s="1" t="n">
        <v>46065</v>
      </c>
      <c r="D311" t="inlineStr">
        <is>
          <t>VÄSTMANLANDS LÄN</t>
        </is>
      </c>
      <c r="E311" t="inlineStr">
        <is>
          <t>SALA</t>
        </is>
      </c>
      <c r="G311" t="n">
        <v>6.5</v>
      </c>
      <c r="H311" t="n">
        <v>0</v>
      </c>
      <c r="I311" t="n">
        <v>0</v>
      </c>
      <c r="J311" t="n">
        <v>0</v>
      </c>
      <c r="K311" t="n">
        <v>0</v>
      </c>
      <c r="L311" t="n">
        <v>0</v>
      </c>
      <c r="M311" t="n">
        <v>0</v>
      </c>
      <c r="N311" t="n">
        <v>0</v>
      </c>
      <c r="O311" t="n">
        <v>0</v>
      </c>
      <c r="P311" t="n">
        <v>0</v>
      </c>
      <c r="Q311" t="n">
        <v>0</v>
      </c>
      <c r="R311" s="2" t="inlineStr"/>
    </row>
    <row r="312" ht="15" customHeight="1">
      <c r="A312" t="inlineStr">
        <is>
          <t>A 2927-2024</t>
        </is>
      </c>
      <c r="B312" s="1" t="n">
        <v>45315.58989583333</v>
      </c>
      <c r="C312" s="1" t="n">
        <v>46065</v>
      </c>
      <c r="D312" t="inlineStr">
        <is>
          <t>VÄSTMANLANDS LÄN</t>
        </is>
      </c>
      <c r="E312" t="inlineStr">
        <is>
          <t>SALA</t>
        </is>
      </c>
      <c r="G312" t="n">
        <v>2.5</v>
      </c>
      <c r="H312" t="n">
        <v>0</v>
      </c>
      <c r="I312" t="n">
        <v>0</v>
      </c>
      <c r="J312" t="n">
        <v>0</v>
      </c>
      <c r="K312" t="n">
        <v>0</v>
      </c>
      <c r="L312" t="n">
        <v>0</v>
      </c>
      <c r="M312" t="n">
        <v>0</v>
      </c>
      <c r="N312" t="n">
        <v>0</v>
      </c>
      <c r="O312" t="n">
        <v>0</v>
      </c>
      <c r="P312" t="n">
        <v>0</v>
      </c>
      <c r="Q312" t="n">
        <v>0</v>
      </c>
      <c r="R312" s="2" t="inlineStr"/>
    </row>
    <row r="313" ht="15" customHeight="1">
      <c r="A313" t="inlineStr">
        <is>
          <t>A 52500-2024</t>
        </is>
      </c>
      <c r="B313" s="1" t="n">
        <v>45609</v>
      </c>
      <c r="C313" s="1" t="n">
        <v>46065</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28632-2025</t>
        </is>
      </c>
      <c r="B314" s="1" t="n">
        <v>45819.62344907408</v>
      </c>
      <c r="C314" s="1" t="n">
        <v>46065</v>
      </c>
      <c r="D314" t="inlineStr">
        <is>
          <t>VÄSTMANLANDS LÄN</t>
        </is>
      </c>
      <c r="E314" t="inlineStr">
        <is>
          <t>SALA</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37183-2024</t>
        </is>
      </c>
      <c r="B315" s="1" t="n">
        <v>45539</v>
      </c>
      <c r="C315" s="1" t="n">
        <v>46065</v>
      </c>
      <c r="D315" t="inlineStr">
        <is>
          <t>VÄSTMANLANDS LÄN</t>
        </is>
      </c>
      <c r="E315" t="inlineStr">
        <is>
          <t>SALA</t>
        </is>
      </c>
      <c r="G315" t="n">
        <v>1.2</v>
      </c>
      <c r="H315" t="n">
        <v>0</v>
      </c>
      <c r="I315" t="n">
        <v>0</v>
      </c>
      <c r="J315" t="n">
        <v>0</v>
      </c>
      <c r="K315" t="n">
        <v>0</v>
      </c>
      <c r="L315" t="n">
        <v>0</v>
      </c>
      <c r="M315" t="n">
        <v>0</v>
      </c>
      <c r="N315" t="n">
        <v>0</v>
      </c>
      <c r="O315" t="n">
        <v>0</v>
      </c>
      <c r="P315" t="n">
        <v>0</v>
      </c>
      <c r="Q315" t="n">
        <v>0</v>
      </c>
      <c r="R315" s="2" t="inlineStr"/>
    </row>
    <row r="316" ht="15" customHeight="1">
      <c r="A316" t="inlineStr">
        <is>
          <t>A 28628-2025</t>
        </is>
      </c>
      <c r="B316" s="1" t="n">
        <v>45819.62158564815</v>
      </c>
      <c r="C316" s="1" t="n">
        <v>46065</v>
      </c>
      <c r="D316" t="inlineStr">
        <is>
          <t>VÄSTMANLANDS LÄN</t>
        </is>
      </c>
      <c r="E316" t="inlineStr">
        <is>
          <t>SALA</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28630-2025</t>
        </is>
      </c>
      <c r="B317" s="1" t="n">
        <v>45819.62274305556</v>
      </c>
      <c r="C317" s="1" t="n">
        <v>46065</v>
      </c>
      <c r="D317" t="inlineStr">
        <is>
          <t>VÄSTMANLANDS LÄN</t>
        </is>
      </c>
      <c r="E317" t="inlineStr">
        <is>
          <t>SALA</t>
        </is>
      </c>
      <c r="F317" t="inlineStr">
        <is>
          <t>Sveaskog</t>
        </is>
      </c>
      <c r="G317" t="n">
        <v>9</v>
      </c>
      <c r="H317" t="n">
        <v>0</v>
      </c>
      <c r="I317" t="n">
        <v>0</v>
      </c>
      <c r="J317" t="n">
        <v>0</v>
      </c>
      <c r="K317" t="n">
        <v>0</v>
      </c>
      <c r="L317" t="n">
        <v>0</v>
      </c>
      <c r="M317" t="n">
        <v>0</v>
      </c>
      <c r="N317" t="n">
        <v>0</v>
      </c>
      <c r="O317" t="n">
        <v>0</v>
      </c>
      <c r="P317" t="n">
        <v>0</v>
      </c>
      <c r="Q317" t="n">
        <v>0</v>
      </c>
      <c r="R317" s="2" t="inlineStr"/>
    </row>
    <row r="318" ht="15" customHeight="1">
      <c r="A318" t="inlineStr">
        <is>
          <t>A 7950-2025</t>
        </is>
      </c>
      <c r="B318" s="1" t="n">
        <v>45707.41799768519</v>
      </c>
      <c r="C318" s="1" t="n">
        <v>46065</v>
      </c>
      <c r="D318" t="inlineStr">
        <is>
          <t>VÄSTMANLANDS LÄN</t>
        </is>
      </c>
      <c r="E318" t="inlineStr">
        <is>
          <t>SALA</t>
        </is>
      </c>
      <c r="G318" t="n">
        <v>3.2</v>
      </c>
      <c r="H318" t="n">
        <v>0</v>
      </c>
      <c r="I318" t="n">
        <v>0</v>
      </c>
      <c r="J318" t="n">
        <v>0</v>
      </c>
      <c r="K318" t="n">
        <v>0</v>
      </c>
      <c r="L318" t="n">
        <v>0</v>
      </c>
      <c r="M318" t="n">
        <v>0</v>
      </c>
      <c r="N318" t="n">
        <v>0</v>
      </c>
      <c r="O318" t="n">
        <v>0</v>
      </c>
      <c r="P318" t="n">
        <v>0</v>
      </c>
      <c r="Q318" t="n">
        <v>0</v>
      </c>
      <c r="R318" s="2" t="inlineStr"/>
    </row>
    <row r="319" ht="15" customHeight="1">
      <c r="A319" t="inlineStr">
        <is>
          <t>A 28837-2025</t>
        </is>
      </c>
      <c r="B319" s="1" t="n">
        <v>45820.56243055555</v>
      </c>
      <c r="C319" s="1" t="n">
        <v>46065</v>
      </c>
      <c r="D319" t="inlineStr">
        <is>
          <t>VÄSTMANLANDS LÄN</t>
        </is>
      </c>
      <c r="E319" t="inlineStr">
        <is>
          <t>SALA</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28849-2025</t>
        </is>
      </c>
      <c r="B320" s="1" t="n">
        <v>45820</v>
      </c>
      <c r="C320" s="1" t="n">
        <v>46065</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10812-2021</t>
        </is>
      </c>
      <c r="B321" s="1" t="n">
        <v>44259</v>
      </c>
      <c r="C321" s="1" t="n">
        <v>46065</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10154-2021</t>
        </is>
      </c>
      <c r="B322" s="1" t="n">
        <v>44256</v>
      </c>
      <c r="C322" s="1" t="n">
        <v>46065</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54199-2024</t>
        </is>
      </c>
      <c r="B323" s="1" t="n">
        <v>45616.64703703704</v>
      </c>
      <c r="C323" s="1" t="n">
        <v>46065</v>
      </c>
      <c r="D323" t="inlineStr">
        <is>
          <t>VÄSTMANLANDS LÄN</t>
        </is>
      </c>
      <c r="E323" t="inlineStr">
        <is>
          <t>SALA</t>
        </is>
      </c>
      <c r="G323" t="n">
        <v>0.5</v>
      </c>
      <c r="H323" t="n">
        <v>0</v>
      </c>
      <c r="I323" t="n">
        <v>0</v>
      </c>
      <c r="J323" t="n">
        <v>0</v>
      </c>
      <c r="K323" t="n">
        <v>0</v>
      </c>
      <c r="L323" t="n">
        <v>0</v>
      </c>
      <c r="M323" t="n">
        <v>0</v>
      </c>
      <c r="N323" t="n">
        <v>0</v>
      </c>
      <c r="O323" t="n">
        <v>0</v>
      </c>
      <c r="P323" t="n">
        <v>0</v>
      </c>
      <c r="Q323" t="n">
        <v>0</v>
      </c>
      <c r="R323" s="2" t="inlineStr"/>
    </row>
    <row r="324" ht="15" customHeight="1">
      <c r="A324" t="inlineStr">
        <is>
          <t>A 60548-2024</t>
        </is>
      </c>
      <c r="B324" s="1" t="n">
        <v>45643.80978009259</v>
      </c>
      <c r="C324" s="1" t="n">
        <v>46065</v>
      </c>
      <c r="D324" t="inlineStr">
        <is>
          <t>VÄSTMANLANDS LÄN</t>
        </is>
      </c>
      <c r="E324" t="inlineStr">
        <is>
          <t>SALA</t>
        </is>
      </c>
      <c r="G324" t="n">
        <v>1.6</v>
      </c>
      <c r="H324" t="n">
        <v>0</v>
      </c>
      <c r="I324" t="n">
        <v>0</v>
      </c>
      <c r="J324" t="n">
        <v>0</v>
      </c>
      <c r="K324" t="n">
        <v>0</v>
      </c>
      <c r="L324" t="n">
        <v>0</v>
      </c>
      <c r="M324" t="n">
        <v>0</v>
      </c>
      <c r="N324" t="n">
        <v>0</v>
      </c>
      <c r="O324" t="n">
        <v>0</v>
      </c>
      <c r="P324" t="n">
        <v>0</v>
      </c>
      <c r="Q324" t="n">
        <v>0</v>
      </c>
      <c r="R324" s="2" t="inlineStr"/>
    </row>
    <row r="325" ht="15" customHeight="1">
      <c r="A325" t="inlineStr">
        <is>
          <t>A 29085-2025</t>
        </is>
      </c>
      <c r="B325" s="1" t="n">
        <v>45821</v>
      </c>
      <c r="C325" s="1" t="n">
        <v>46065</v>
      </c>
      <c r="D325" t="inlineStr">
        <is>
          <t>VÄSTMANLANDS LÄN</t>
        </is>
      </c>
      <c r="E325" t="inlineStr">
        <is>
          <t>SALA</t>
        </is>
      </c>
      <c r="G325" t="n">
        <v>3.5</v>
      </c>
      <c r="H325" t="n">
        <v>0</v>
      </c>
      <c r="I325" t="n">
        <v>0</v>
      </c>
      <c r="J325" t="n">
        <v>0</v>
      </c>
      <c r="K325" t="n">
        <v>0</v>
      </c>
      <c r="L325" t="n">
        <v>0</v>
      </c>
      <c r="M325" t="n">
        <v>0</v>
      </c>
      <c r="N325" t="n">
        <v>0</v>
      </c>
      <c r="O325" t="n">
        <v>0</v>
      </c>
      <c r="P325" t="n">
        <v>0</v>
      </c>
      <c r="Q325" t="n">
        <v>0</v>
      </c>
      <c r="R325" s="2" t="inlineStr"/>
    </row>
    <row r="326" ht="15" customHeight="1">
      <c r="A326" t="inlineStr">
        <is>
          <t>A 16328-2025</t>
        </is>
      </c>
      <c r="B326" s="1" t="n">
        <v>45751</v>
      </c>
      <c r="C326" s="1" t="n">
        <v>46065</v>
      </c>
      <c r="D326" t="inlineStr">
        <is>
          <t>VÄSTMANLANDS LÄN</t>
        </is>
      </c>
      <c r="E326" t="inlineStr">
        <is>
          <t>SALA</t>
        </is>
      </c>
      <c r="G326" t="n">
        <v>2.9</v>
      </c>
      <c r="H326" t="n">
        <v>0</v>
      </c>
      <c r="I326" t="n">
        <v>0</v>
      </c>
      <c r="J326" t="n">
        <v>0</v>
      </c>
      <c r="K326" t="n">
        <v>0</v>
      </c>
      <c r="L326" t="n">
        <v>0</v>
      </c>
      <c r="M326" t="n">
        <v>0</v>
      </c>
      <c r="N326" t="n">
        <v>0</v>
      </c>
      <c r="O326" t="n">
        <v>0</v>
      </c>
      <c r="P326" t="n">
        <v>0</v>
      </c>
      <c r="Q326" t="n">
        <v>0</v>
      </c>
      <c r="R326" s="2" t="inlineStr"/>
    </row>
    <row r="327" ht="15" customHeight="1">
      <c r="A327" t="inlineStr">
        <is>
          <t>A 60541-2024</t>
        </is>
      </c>
      <c r="B327" s="1" t="n">
        <v>45643</v>
      </c>
      <c r="C327" s="1" t="n">
        <v>46065</v>
      </c>
      <c r="D327" t="inlineStr">
        <is>
          <t>VÄSTMANLANDS LÄN</t>
        </is>
      </c>
      <c r="E327" t="inlineStr">
        <is>
          <t>SALA</t>
        </is>
      </c>
      <c r="G327" t="n">
        <v>10.6</v>
      </c>
      <c r="H327" t="n">
        <v>0</v>
      </c>
      <c r="I327" t="n">
        <v>0</v>
      </c>
      <c r="J327" t="n">
        <v>0</v>
      </c>
      <c r="K327" t="n">
        <v>0</v>
      </c>
      <c r="L327" t="n">
        <v>0</v>
      </c>
      <c r="M327" t="n">
        <v>0</v>
      </c>
      <c r="N327" t="n">
        <v>0</v>
      </c>
      <c r="O327" t="n">
        <v>0</v>
      </c>
      <c r="P327" t="n">
        <v>0</v>
      </c>
      <c r="Q327" t="n">
        <v>0</v>
      </c>
      <c r="R327" s="2" t="inlineStr"/>
    </row>
    <row r="328" ht="15" customHeight="1">
      <c r="A328" t="inlineStr">
        <is>
          <t>A 29826-2025</t>
        </is>
      </c>
      <c r="B328" s="1" t="n">
        <v>45825.85761574074</v>
      </c>
      <c r="C328" s="1" t="n">
        <v>46065</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23406-2024</t>
        </is>
      </c>
      <c r="B329" s="1" t="n">
        <v>45453.58296296297</v>
      </c>
      <c r="C329" s="1" t="n">
        <v>46065</v>
      </c>
      <c r="D329" t="inlineStr">
        <is>
          <t>VÄSTMANLANDS LÄN</t>
        </is>
      </c>
      <c r="E329" t="inlineStr">
        <is>
          <t>SALA</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12246-2023</t>
        </is>
      </c>
      <c r="B330" s="1" t="n">
        <v>44995</v>
      </c>
      <c r="C330" s="1" t="n">
        <v>46065</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31609-2024</t>
        </is>
      </c>
      <c r="B331" s="1" t="n">
        <v>45506</v>
      </c>
      <c r="C331" s="1" t="n">
        <v>46065</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29691-2025</t>
        </is>
      </c>
      <c r="B332" s="1" t="n">
        <v>45825.53645833334</v>
      </c>
      <c r="C332" s="1" t="n">
        <v>46065</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57895-2024</t>
        </is>
      </c>
      <c r="B333" s="1" t="n">
        <v>45631</v>
      </c>
      <c r="C333" s="1" t="n">
        <v>46065</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31597-2024</t>
        </is>
      </c>
      <c r="B334" s="1" t="n">
        <v>45506</v>
      </c>
      <c r="C334" s="1" t="n">
        <v>46065</v>
      </c>
      <c r="D334" t="inlineStr">
        <is>
          <t>VÄSTMANLANDS LÄN</t>
        </is>
      </c>
      <c r="E334" t="inlineStr">
        <is>
          <t>SALA</t>
        </is>
      </c>
      <c r="G334" t="n">
        <v>2.4</v>
      </c>
      <c r="H334" t="n">
        <v>0</v>
      </c>
      <c r="I334" t="n">
        <v>0</v>
      </c>
      <c r="J334" t="n">
        <v>0</v>
      </c>
      <c r="K334" t="n">
        <v>0</v>
      </c>
      <c r="L334" t="n">
        <v>0</v>
      </c>
      <c r="M334" t="n">
        <v>0</v>
      </c>
      <c r="N334" t="n">
        <v>0</v>
      </c>
      <c r="O334" t="n">
        <v>0</v>
      </c>
      <c r="P334" t="n">
        <v>0</v>
      </c>
      <c r="Q334" t="n">
        <v>0</v>
      </c>
      <c r="R334" s="2" t="inlineStr"/>
    </row>
    <row r="335" ht="15" customHeight="1">
      <c r="A335" t="inlineStr">
        <is>
          <t>A 17458-2024</t>
        </is>
      </c>
      <c r="B335" s="1" t="n">
        <v>45415</v>
      </c>
      <c r="C335" s="1" t="n">
        <v>46065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35410-2022</t>
        </is>
      </c>
      <c r="B336" s="1" t="n">
        <v>44798.62576388889</v>
      </c>
      <c r="C336" s="1" t="n">
        <v>46065</v>
      </c>
      <c r="D336" t="inlineStr">
        <is>
          <t>VÄSTMANLANDS LÄN</t>
        </is>
      </c>
      <c r="E336" t="inlineStr">
        <is>
          <t>SALA</t>
        </is>
      </c>
      <c r="G336" t="n">
        <v>1.6</v>
      </c>
      <c r="H336" t="n">
        <v>0</v>
      </c>
      <c r="I336" t="n">
        <v>0</v>
      </c>
      <c r="J336" t="n">
        <v>0</v>
      </c>
      <c r="K336" t="n">
        <v>0</v>
      </c>
      <c r="L336" t="n">
        <v>0</v>
      </c>
      <c r="M336" t="n">
        <v>0</v>
      </c>
      <c r="N336" t="n">
        <v>0</v>
      </c>
      <c r="O336" t="n">
        <v>0</v>
      </c>
      <c r="P336" t="n">
        <v>0</v>
      </c>
      <c r="Q336" t="n">
        <v>0</v>
      </c>
      <c r="R336" s="2" t="inlineStr"/>
    </row>
    <row r="337" ht="15" customHeight="1">
      <c r="A337" t="inlineStr">
        <is>
          <t>A 56543-2024</t>
        </is>
      </c>
      <c r="B337" s="1" t="n">
        <v>45625</v>
      </c>
      <c r="C337" s="1" t="n">
        <v>46065</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48571-2024</t>
        </is>
      </c>
      <c r="B338" s="1" t="n">
        <v>45591</v>
      </c>
      <c r="C338" s="1" t="n">
        <v>46065</v>
      </c>
      <c r="D338" t="inlineStr">
        <is>
          <t>VÄSTMANLANDS LÄN</t>
        </is>
      </c>
      <c r="E338" t="inlineStr">
        <is>
          <t>SALA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30874-2025</t>
        </is>
      </c>
      <c r="B339" s="1" t="n">
        <v>45832.34430555555</v>
      </c>
      <c r="C339" s="1" t="n">
        <v>46065</v>
      </c>
      <c r="D339" t="inlineStr">
        <is>
          <t>VÄSTMANLANDS LÄN</t>
        </is>
      </c>
      <c r="E339" t="inlineStr">
        <is>
          <t>SALA</t>
        </is>
      </c>
      <c r="G339" t="n">
        <v>8.4</v>
      </c>
      <c r="H339" t="n">
        <v>0</v>
      </c>
      <c r="I339" t="n">
        <v>0</v>
      </c>
      <c r="J339" t="n">
        <v>0</v>
      </c>
      <c r="K339" t="n">
        <v>0</v>
      </c>
      <c r="L339" t="n">
        <v>0</v>
      </c>
      <c r="M339" t="n">
        <v>0</v>
      </c>
      <c r="N339" t="n">
        <v>0</v>
      </c>
      <c r="O339" t="n">
        <v>0</v>
      </c>
      <c r="P339" t="n">
        <v>0</v>
      </c>
      <c r="Q339" t="n">
        <v>0</v>
      </c>
      <c r="R339" s="2" t="inlineStr"/>
    </row>
    <row r="340" ht="15" customHeight="1">
      <c r="A340" t="inlineStr">
        <is>
          <t>A 28661-2024</t>
        </is>
      </c>
      <c r="B340" s="1" t="n">
        <v>45478</v>
      </c>
      <c r="C340" s="1" t="n">
        <v>46065</v>
      </c>
      <c r="D340" t="inlineStr">
        <is>
          <t>VÄSTMANLANDS LÄN</t>
        </is>
      </c>
      <c r="E340" t="inlineStr">
        <is>
          <t>SALA</t>
        </is>
      </c>
      <c r="G340" t="n">
        <v>0.6</v>
      </c>
      <c r="H340" t="n">
        <v>0</v>
      </c>
      <c r="I340" t="n">
        <v>0</v>
      </c>
      <c r="J340" t="n">
        <v>0</v>
      </c>
      <c r="K340" t="n">
        <v>0</v>
      </c>
      <c r="L340" t="n">
        <v>0</v>
      </c>
      <c r="M340" t="n">
        <v>0</v>
      </c>
      <c r="N340" t="n">
        <v>0</v>
      </c>
      <c r="O340" t="n">
        <v>0</v>
      </c>
      <c r="P340" t="n">
        <v>0</v>
      </c>
      <c r="Q340" t="n">
        <v>0</v>
      </c>
      <c r="R340" s="2" t="inlineStr"/>
    </row>
    <row r="341" ht="15" customHeight="1">
      <c r="A341" t="inlineStr">
        <is>
          <t>A 30899-2025</t>
        </is>
      </c>
      <c r="B341" s="1" t="n">
        <v>45832.35767361111</v>
      </c>
      <c r="C341" s="1" t="n">
        <v>46065</v>
      </c>
      <c r="D341" t="inlineStr">
        <is>
          <t>VÄSTMANLANDS LÄN</t>
        </is>
      </c>
      <c r="E341" t="inlineStr">
        <is>
          <t>SALA</t>
        </is>
      </c>
      <c r="G341" t="n">
        <v>3.1</v>
      </c>
      <c r="H341" t="n">
        <v>0</v>
      </c>
      <c r="I341" t="n">
        <v>0</v>
      </c>
      <c r="J341" t="n">
        <v>0</v>
      </c>
      <c r="K341" t="n">
        <v>0</v>
      </c>
      <c r="L341" t="n">
        <v>0</v>
      </c>
      <c r="M341" t="n">
        <v>0</v>
      </c>
      <c r="N341" t="n">
        <v>0</v>
      </c>
      <c r="O341" t="n">
        <v>0</v>
      </c>
      <c r="P341" t="n">
        <v>0</v>
      </c>
      <c r="Q341" t="n">
        <v>0</v>
      </c>
      <c r="R341" s="2" t="inlineStr"/>
    </row>
    <row r="342" ht="15" customHeight="1">
      <c r="A342" t="inlineStr">
        <is>
          <t>A 30866-2025</t>
        </is>
      </c>
      <c r="B342" s="1" t="n">
        <v>45832.3246875</v>
      </c>
      <c r="C342" s="1" t="n">
        <v>46065</v>
      </c>
      <c r="D342" t="inlineStr">
        <is>
          <t>VÄSTMANLANDS LÄN</t>
        </is>
      </c>
      <c r="E342" t="inlineStr">
        <is>
          <t>SALA</t>
        </is>
      </c>
      <c r="G342" t="n">
        <v>14.3</v>
      </c>
      <c r="H342" t="n">
        <v>0</v>
      </c>
      <c r="I342" t="n">
        <v>0</v>
      </c>
      <c r="J342" t="n">
        <v>0</v>
      </c>
      <c r="K342" t="n">
        <v>0</v>
      </c>
      <c r="L342" t="n">
        <v>0</v>
      </c>
      <c r="M342" t="n">
        <v>0</v>
      </c>
      <c r="N342" t="n">
        <v>0</v>
      </c>
      <c r="O342" t="n">
        <v>0</v>
      </c>
      <c r="P342" t="n">
        <v>0</v>
      </c>
      <c r="Q342" t="n">
        <v>0</v>
      </c>
      <c r="R342" s="2" t="inlineStr"/>
    </row>
    <row r="343" ht="15" customHeight="1">
      <c r="A343" t="inlineStr">
        <is>
          <t>A 2529-2022</t>
        </is>
      </c>
      <c r="B343" s="1" t="n">
        <v>44579.86452546297</v>
      </c>
      <c r="C343" s="1" t="n">
        <v>46065</v>
      </c>
      <c r="D343" t="inlineStr">
        <is>
          <t>VÄSTMANLANDS LÄN</t>
        </is>
      </c>
      <c r="E343" t="inlineStr">
        <is>
          <t>SALA</t>
        </is>
      </c>
      <c r="G343" t="n">
        <v>1.7</v>
      </c>
      <c r="H343" t="n">
        <v>0</v>
      </c>
      <c r="I343" t="n">
        <v>0</v>
      </c>
      <c r="J343" t="n">
        <v>0</v>
      </c>
      <c r="K343" t="n">
        <v>0</v>
      </c>
      <c r="L343" t="n">
        <v>0</v>
      </c>
      <c r="M343" t="n">
        <v>0</v>
      </c>
      <c r="N343" t="n">
        <v>0</v>
      </c>
      <c r="O343" t="n">
        <v>0</v>
      </c>
      <c r="P343" t="n">
        <v>0</v>
      </c>
      <c r="Q343" t="n">
        <v>0</v>
      </c>
      <c r="R343" s="2" t="inlineStr"/>
    </row>
    <row r="344" ht="15" customHeight="1">
      <c r="A344" t="inlineStr">
        <is>
          <t>A 43362-2023</t>
        </is>
      </c>
      <c r="B344" s="1" t="n">
        <v>45183</v>
      </c>
      <c r="C344" s="1" t="n">
        <v>46065</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56540-2024</t>
        </is>
      </c>
      <c r="B345" s="1" t="n">
        <v>45625</v>
      </c>
      <c r="C345" s="1" t="n">
        <v>46065</v>
      </c>
      <c r="D345" t="inlineStr">
        <is>
          <t>VÄSTMANLANDS LÄN</t>
        </is>
      </c>
      <c r="E345" t="inlineStr">
        <is>
          <t>SALA</t>
        </is>
      </c>
      <c r="G345" t="n">
        <v>1.8</v>
      </c>
      <c r="H345" t="n">
        <v>0</v>
      </c>
      <c r="I345" t="n">
        <v>0</v>
      </c>
      <c r="J345" t="n">
        <v>0</v>
      </c>
      <c r="K345" t="n">
        <v>0</v>
      </c>
      <c r="L345" t="n">
        <v>0</v>
      </c>
      <c r="M345" t="n">
        <v>0</v>
      </c>
      <c r="N345" t="n">
        <v>0</v>
      </c>
      <c r="O345" t="n">
        <v>0</v>
      </c>
      <c r="P345" t="n">
        <v>0</v>
      </c>
      <c r="Q345" t="n">
        <v>0</v>
      </c>
      <c r="R345" s="2" t="inlineStr"/>
    </row>
    <row r="346" ht="15" customHeight="1">
      <c r="A346" t="inlineStr">
        <is>
          <t>A 16767-2024</t>
        </is>
      </c>
      <c r="B346" s="1" t="n">
        <v>45411.38171296296</v>
      </c>
      <c r="C346" s="1" t="n">
        <v>46065</v>
      </c>
      <c r="D346" t="inlineStr">
        <is>
          <t>VÄSTMANLANDS LÄN</t>
        </is>
      </c>
      <c r="E346" t="inlineStr">
        <is>
          <t>SALA</t>
        </is>
      </c>
      <c r="G346" t="n">
        <v>2.5</v>
      </c>
      <c r="H346" t="n">
        <v>0</v>
      </c>
      <c r="I346" t="n">
        <v>0</v>
      </c>
      <c r="J346" t="n">
        <v>0</v>
      </c>
      <c r="K346" t="n">
        <v>0</v>
      </c>
      <c r="L346" t="n">
        <v>0</v>
      </c>
      <c r="M346" t="n">
        <v>0</v>
      </c>
      <c r="N346" t="n">
        <v>0</v>
      </c>
      <c r="O346" t="n">
        <v>0</v>
      </c>
      <c r="P346" t="n">
        <v>0</v>
      </c>
      <c r="Q346" t="n">
        <v>0</v>
      </c>
      <c r="R346" s="2" t="inlineStr"/>
    </row>
    <row r="347" ht="15" customHeight="1">
      <c r="A347" t="inlineStr">
        <is>
          <t>A 31599-2024</t>
        </is>
      </c>
      <c r="B347" s="1" t="n">
        <v>45506</v>
      </c>
      <c r="C347" s="1" t="n">
        <v>46065</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31601-2024</t>
        </is>
      </c>
      <c r="B348" s="1" t="n">
        <v>45506</v>
      </c>
      <c r="C348" s="1" t="n">
        <v>46065</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31608-2024</t>
        </is>
      </c>
      <c r="B349" s="1" t="n">
        <v>45506</v>
      </c>
      <c r="C349" s="1" t="n">
        <v>46065</v>
      </c>
      <c r="D349" t="inlineStr">
        <is>
          <t>VÄSTMANLANDS LÄN</t>
        </is>
      </c>
      <c r="E349" t="inlineStr">
        <is>
          <t>SALA</t>
        </is>
      </c>
      <c r="G349" t="n">
        <v>1.7</v>
      </c>
      <c r="H349" t="n">
        <v>0</v>
      </c>
      <c r="I349" t="n">
        <v>0</v>
      </c>
      <c r="J349" t="n">
        <v>0</v>
      </c>
      <c r="K349" t="n">
        <v>0</v>
      </c>
      <c r="L349" t="n">
        <v>0</v>
      </c>
      <c r="M349" t="n">
        <v>0</v>
      </c>
      <c r="N349" t="n">
        <v>0</v>
      </c>
      <c r="O349" t="n">
        <v>0</v>
      </c>
      <c r="P349" t="n">
        <v>0</v>
      </c>
      <c r="Q349" t="n">
        <v>0</v>
      </c>
      <c r="R349" s="2" t="inlineStr"/>
    </row>
    <row r="350" ht="15" customHeight="1">
      <c r="A350" t="inlineStr">
        <is>
          <t>A 31612-2024</t>
        </is>
      </c>
      <c r="B350" s="1" t="n">
        <v>45506</v>
      </c>
      <c r="C350" s="1" t="n">
        <v>46065</v>
      </c>
      <c r="D350" t="inlineStr">
        <is>
          <t>VÄSTMANLANDS LÄN</t>
        </is>
      </c>
      <c r="E350" t="inlineStr">
        <is>
          <t>SALA</t>
        </is>
      </c>
      <c r="G350" t="n">
        <v>3.2</v>
      </c>
      <c r="H350" t="n">
        <v>0</v>
      </c>
      <c r="I350" t="n">
        <v>0</v>
      </c>
      <c r="J350" t="n">
        <v>0</v>
      </c>
      <c r="K350" t="n">
        <v>0</v>
      </c>
      <c r="L350" t="n">
        <v>0</v>
      </c>
      <c r="M350" t="n">
        <v>0</v>
      </c>
      <c r="N350" t="n">
        <v>0</v>
      </c>
      <c r="O350" t="n">
        <v>0</v>
      </c>
      <c r="P350" t="n">
        <v>0</v>
      </c>
      <c r="Q350" t="n">
        <v>0</v>
      </c>
      <c r="R350" s="2" t="inlineStr"/>
    </row>
    <row r="351" ht="15" customHeight="1">
      <c r="A351" t="inlineStr">
        <is>
          <t>A 31065-2025</t>
        </is>
      </c>
      <c r="B351" s="1" t="n">
        <v>45832.57571759259</v>
      </c>
      <c r="C351" s="1" t="n">
        <v>46065</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21159-2022</t>
        </is>
      </c>
      <c r="B352" s="1" t="n">
        <v>44704</v>
      </c>
      <c r="C352" s="1" t="n">
        <v>46065</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31612-2025</t>
        </is>
      </c>
      <c r="B353" s="1" t="n">
        <v>45833.80056712963</v>
      </c>
      <c r="C353" s="1" t="n">
        <v>46065</v>
      </c>
      <c r="D353" t="inlineStr">
        <is>
          <t>VÄSTMANLANDS LÄN</t>
        </is>
      </c>
      <c r="E353" t="inlineStr">
        <is>
          <t>SALA</t>
        </is>
      </c>
      <c r="G353" t="n">
        <v>6.3</v>
      </c>
      <c r="H353" t="n">
        <v>0</v>
      </c>
      <c r="I353" t="n">
        <v>0</v>
      </c>
      <c r="J353" t="n">
        <v>0</v>
      </c>
      <c r="K353" t="n">
        <v>0</v>
      </c>
      <c r="L353" t="n">
        <v>0</v>
      </c>
      <c r="M353" t="n">
        <v>0</v>
      </c>
      <c r="N353" t="n">
        <v>0</v>
      </c>
      <c r="O353" t="n">
        <v>0</v>
      </c>
      <c r="P353" t="n">
        <v>0</v>
      </c>
      <c r="Q353" t="n">
        <v>0</v>
      </c>
      <c r="R353" s="2" t="inlineStr"/>
    </row>
    <row r="354" ht="15" customHeight="1">
      <c r="A354" t="inlineStr">
        <is>
          <t>A 10579-2022</t>
        </is>
      </c>
      <c r="B354" s="1" t="n">
        <v>44624</v>
      </c>
      <c r="C354" s="1" t="n">
        <v>46065</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31470-2021</t>
        </is>
      </c>
      <c r="B355" s="1" t="n">
        <v>44369</v>
      </c>
      <c r="C355" s="1" t="n">
        <v>46065</v>
      </c>
      <c r="D355" t="inlineStr">
        <is>
          <t>VÄSTMANLANDS LÄN</t>
        </is>
      </c>
      <c r="E355" t="inlineStr">
        <is>
          <t>SALA</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31748-2025</t>
        </is>
      </c>
      <c r="B356" s="1" t="n">
        <v>45834</v>
      </c>
      <c r="C356" s="1" t="n">
        <v>46065</v>
      </c>
      <c r="D356" t="inlineStr">
        <is>
          <t>VÄSTMANLANDS LÄN</t>
        </is>
      </c>
      <c r="E356" t="inlineStr">
        <is>
          <t>SALA</t>
        </is>
      </c>
      <c r="G356" t="n">
        <v>2</v>
      </c>
      <c r="H356" t="n">
        <v>0</v>
      </c>
      <c r="I356" t="n">
        <v>0</v>
      </c>
      <c r="J356" t="n">
        <v>0</v>
      </c>
      <c r="K356" t="n">
        <v>0</v>
      </c>
      <c r="L356" t="n">
        <v>0</v>
      </c>
      <c r="M356" t="n">
        <v>0</v>
      </c>
      <c r="N356" t="n">
        <v>0</v>
      </c>
      <c r="O356" t="n">
        <v>0</v>
      </c>
      <c r="P356" t="n">
        <v>0</v>
      </c>
      <c r="Q356" t="n">
        <v>0</v>
      </c>
      <c r="R356" s="2" t="inlineStr"/>
    </row>
    <row r="357" ht="15" customHeight="1">
      <c r="A357" t="inlineStr">
        <is>
          <t>A 31288-2025</t>
        </is>
      </c>
      <c r="B357" s="1" t="n">
        <v>45833</v>
      </c>
      <c r="C357" s="1" t="n">
        <v>46065</v>
      </c>
      <c r="D357" t="inlineStr">
        <is>
          <t>VÄSTMANLANDS LÄN</t>
        </is>
      </c>
      <c r="E357" t="inlineStr">
        <is>
          <t>SALA</t>
        </is>
      </c>
      <c r="G357" t="n">
        <v>3.1</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46065</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60328-2024</t>
        </is>
      </c>
      <c r="B359" s="1" t="n">
        <v>45643.38416666666</v>
      </c>
      <c r="C359" s="1" t="n">
        <v>46065</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64693-2023</t>
        </is>
      </c>
      <c r="B360" s="1" t="n">
        <v>45281.63850694444</v>
      </c>
      <c r="C360" s="1" t="n">
        <v>46065</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64695-2023</t>
        </is>
      </c>
      <c r="B361" s="1" t="n">
        <v>45281.64099537037</v>
      </c>
      <c r="C361" s="1" t="n">
        <v>46065</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31771-2025</t>
        </is>
      </c>
      <c r="B362" s="1" t="n">
        <v>45834.50910879629</v>
      </c>
      <c r="C362" s="1" t="n">
        <v>46065</v>
      </c>
      <c r="D362" t="inlineStr">
        <is>
          <t>VÄSTMANLANDS LÄN</t>
        </is>
      </c>
      <c r="E362" t="inlineStr">
        <is>
          <t>SALA</t>
        </is>
      </c>
      <c r="G362" t="n">
        <v>5.1</v>
      </c>
      <c r="H362" t="n">
        <v>0</v>
      </c>
      <c r="I362" t="n">
        <v>0</v>
      </c>
      <c r="J362" t="n">
        <v>0</v>
      </c>
      <c r="K362" t="n">
        <v>0</v>
      </c>
      <c r="L362" t="n">
        <v>0</v>
      </c>
      <c r="M362" t="n">
        <v>0</v>
      </c>
      <c r="N362" t="n">
        <v>0</v>
      </c>
      <c r="O362" t="n">
        <v>0</v>
      </c>
      <c r="P362" t="n">
        <v>0</v>
      </c>
      <c r="Q362" t="n">
        <v>0</v>
      </c>
      <c r="R362" s="2" t="inlineStr"/>
    </row>
    <row r="363" ht="15" customHeight="1">
      <c r="A363" t="inlineStr">
        <is>
          <t>A 31554-2025</t>
        </is>
      </c>
      <c r="B363" s="1" t="n">
        <v>45833</v>
      </c>
      <c r="C363" s="1" t="n">
        <v>46065</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31762-2025</t>
        </is>
      </c>
      <c r="B364" s="1" t="n">
        <v>45834.49288194445</v>
      </c>
      <c r="C364" s="1" t="n">
        <v>46065</v>
      </c>
      <c r="D364" t="inlineStr">
        <is>
          <t>VÄSTMANLANDS LÄN</t>
        </is>
      </c>
      <c r="E364" t="inlineStr">
        <is>
          <t>SALA</t>
        </is>
      </c>
      <c r="G364" t="n">
        <v>5.9</v>
      </c>
      <c r="H364" t="n">
        <v>0</v>
      </c>
      <c r="I364" t="n">
        <v>0</v>
      </c>
      <c r="J364" t="n">
        <v>0</v>
      </c>
      <c r="K364" t="n">
        <v>0</v>
      </c>
      <c r="L364" t="n">
        <v>0</v>
      </c>
      <c r="M364" t="n">
        <v>0</v>
      </c>
      <c r="N364" t="n">
        <v>0</v>
      </c>
      <c r="O364" t="n">
        <v>0</v>
      </c>
      <c r="P364" t="n">
        <v>0</v>
      </c>
      <c r="Q364" t="n">
        <v>0</v>
      </c>
      <c r="R364" s="2" t="inlineStr"/>
    </row>
    <row r="365" ht="15" customHeight="1">
      <c r="A365" t="inlineStr">
        <is>
          <t>A 31608-2025</t>
        </is>
      </c>
      <c r="B365" s="1" t="n">
        <v>45833</v>
      </c>
      <c r="C365" s="1" t="n">
        <v>46065</v>
      </c>
      <c r="D365" t="inlineStr">
        <is>
          <t>VÄSTMANLANDS LÄN</t>
        </is>
      </c>
      <c r="E365" t="inlineStr">
        <is>
          <t>SALA</t>
        </is>
      </c>
      <c r="G365" t="n">
        <v>6.1</v>
      </c>
      <c r="H365" t="n">
        <v>0</v>
      </c>
      <c r="I365" t="n">
        <v>0</v>
      </c>
      <c r="J365" t="n">
        <v>0</v>
      </c>
      <c r="K365" t="n">
        <v>0</v>
      </c>
      <c r="L365" t="n">
        <v>0</v>
      </c>
      <c r="M365" t="n">
        <v>0</v>
      </c>
      <c r="N365" t="n">
        <v>0</v>
      </c>
      <c r="O365" t="n">
        <v>0</v>
      </c>
      <c r="P365" t="n">
        <v>0</v>
      </c>
      <c r="Q365" t="n">
        <v>0</v>
      </c>
      <c r="R365" s="2" t="inlineStr"/>
    </row>
    <row r="366" ht="15" customHeight="1">
      <c r="A366" t="inlineStr">
        <is>
          <t>A 31610-2025</t>
        </is>
      </c>
      <c r="B366" s="1" t="n">
        <v>45833.78650462963</v>
      </c>
      <c r="C366" s="1" t="n">
        <v>46065</v>
      </c>
      <c r="D366" t="inlineStr">
        <is>
          <t>VÄSTMANLANDS LÄN</t>
        </is>
      </c>
      <c r="E366" t="inlineStr">
        <is>
          <t>SALA</t>
        </is>
      </c>
      <c r="G366" t="n">
        <v>8</v>
      </c>
      <c r="H366" t="n">
        <v>0</v>
      </c>
      <c r="I366" t="n">
        <v>0</v>
      </c>
      <c r="J366" t="n">
        <v>0</v>
      </c>
      <c r="K366" t="n">
        <v>0</v>
      </c>
      <c r="L366" t="n">
        <v>0</v>
      </c>
      <c r="M366" t="n">
        <v>0</v>
      </c>
      <c r="N366" t="n">
        <v>0</v>
      </c>
      <c r="O366" t="n">
        <v>0</v>
      </c>
      <c r="P366" t="n">
        <v>0</v>
      </c>
      <c r="Q366" t="n">
        <v>0</v>
      </c>
      <c r="R366" s="2" t="inlineStr"/>
    </row>
    <row r="367" ht="15" customHeight="1">
      <c r="A367" t="inlineStr">
        <is>
          <t>A 31296-2025</t>
        </is>
      </c>
      <c r="B367" s="1" t="n">
        <v>45833.36765046296</v>
      </c>
      <c r="C367" s="1" t="n">
        <v>46065</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33273-2023</t>
        </is>
      </c>
      <c r="B368" s="1" t="n">
        <v>45127</v>
      </c>
      <c r="C368" s="1" t="n">
        <v>46065</v>
      </c>
      <c r="D368" t="inlineStr">
        <is>
          <t>VÄSTMANLANDS LÄN</t>
        </is>
      </c>
      <c r="E368" t="inlineStr">
        <is>
          <t>SALA</t>
        </is>
      </c>
      <c r="G368" t="n">
        <v>2.6</v>
      </c>
      <c r="H368" t="n">
        <v>0</v>
      </c>
      <c r="I368" t="n">
        <v>0</v>
      </c>
      <c r="J368" t="n">
        <v>0</v>
      </c>
      <c r="K368" t="n">
        <v>0</v>
      </c>
      <c r="L368" t="n">
        <v>0</v>
      </c>
      <c r="M368" t="n">
        <v>0</v>
      </c>
      <c r="N368" t="n">
        <v>0</v>
      </c>
      <c r="O368" t="n">
        <v>0</v>
      </c>
      <c r="P368" t="n">
        <v>0</v>
      </c>
      <c r="Q368" t="n">
        <v>0</v>
      </c>
      <c r="R368" s="2" t="inlineStr"/>
    </row>
    <row r="369" ht="15" customHeight="1">
      <c r="A369" t="inlineStr">
        <is>
          <t>A 18461-2024</t>
        </is>
      </c>
      <c r="B369" s="1" t="n">
        <v>45425.47435185185</v>
      </c>
      <c r="C369" s="1" t="n">
        <v>46065</v>
      </c>
      <c r="D369" t="inlineStr">
        <is>
          <t>VÄSTMANLANDS LÄN</t>
        </is>
      </c>
      <c r="E369" t="inlineStr">
        <is>
          <t>SALA</t>
        </is>
      </c>
      <c r="G369" t="n">
        <v>1.7</v>
      </c>
      <c r="H369" t="n">
        <v>0</v>
      </c>
      <c r="I369" t="n">
        <v>0</v>
      </c>
      <c r="J369" t="n">
        <v>0</v>
      </c>
      <c r="K369" t="n">
        <v>0</v>
      </c>
      <c r="L369" t="n">
        <v>0</v>
      </c>
      <c r="M369" t="n">
        <v>0</v>
      </c>
      <c r="N369" t="n">
        <v>0</v>
      </c>
      <c r="O369" t="n">
        <v>0</v>
      </c>
      <c r="P369" t="n">
        <v>0</v>
      </c>
      <c r="Q369" t="n">
        <v>0</v>
      </c>
      <c r="R369" s="2" t="inlineStr"/>
    </row>
    <row r="370" ht="15" customHeight="1">
      <c r="A370" t="inlineStr">
        <is>
          <t>A 31573-2025</t>
        </is>
      </c>
      <c r="B370" s="1" t="n">
        <v>45833</v>
      </c>
      <c r="C370" s="1" t="n">
        <v>46065</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32201-2025</t>
        </is>
      </c>
      <c r="B371" s="1" t="n">
        <v>45835</v>
      </c>
      <c r="C371" s="1" t="n">
        <v>46065</v>
      </c>
      <c r="D371" t="inlineStr">
        <is>
          <t>VÄSTMANLANDS LÄN</t>
        </is>
      </c>
      <c r="E371" t="inlineStr">
        <is>
          <t>SALA</t>
        </is>
      </c>
      <c r="F371" t="inlineStr">
        <is>
          <t>Bergvik skog öst AB</t>
        </is>
      </c>
      <c r="G371" t="n">
        <v>1.8</v>
      </c>
      <c r="H371" t="n">
        <v>0</v>
      </c>
      <c r="I371" t="n">
        <v>0</v>
      </c>
      <c r="J371" t="n">
        <v>0</v>
      </c>
      <c r="K371" t="n">
        <v>0</v>
      </c>
      <c r="L371" t="n">
        <v>0</v>
      </c>
      <c r="M371" t="n">
        <v>0</v>
      </c>
      <c r="N371" t="n">
        <v>0</v>
      </c>
      <c r="O371" t="n">
        <v>0</v>
      </c>
      <c r="P371" t="n">
        <v>0</v>
      </c>
      <c r="Q371" t="n">
        <v>0</v>
      </c>
      <c r="R371" s="2" t="inlineStr"/>
    </row>
    <row r="372" ht="15" customHeight="1">
      <c r="A372" t="inlineStr">
        <is>
          <t>A 29230-2022</t>
        </is>
      </c>
      <c r="B372" s="1" t="n">
        <v>44750</v>
      </c>
      <c r="C372" s="1" t="n">
        <v>46065</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32205-2025</t>
        </is>
      </c>
      <c r="B373" s="1" t="n">
        <v>45835</v>
      </c>
      <c r="C373" s="1" t="n">
        <v>46065</v>
      </c>
      <c r="D373" t="inlineStr">
        <is>
          <t>VÄSTMANLANDS LÄN</t>
        </is>
      </c>
      <c r="E373" t="inlineStr">
        <is>
          <t>SALA</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9335-2022</t>
        </is>
      </c>
      <c r="B374" s="1" t="n">
        <v>44616.56579861111</v>
      </c>
      <c r="C374" s="1" t="n">
        <v>46065</v>
      </c>
      <c r="D374" t="inlineStr">
        <is>
          <t>VÄSTMANLANDS LÄN</t>
        </is>
      </c>
      <c r="E374" t="inlineStr">
        <is>
          <t>SALA</t>
        </is>
      </c>
      <c r="G374" t="n">
        <v>1.5</v>
      </c>
      <c r="H374" t="n">
        <v>0</v>
      </c>
      <c r="I374" t="n">
        <v>0</v>
      </c>
      <c r="J374" t="n">
        <v>0</v>
      </c>
      <c r="K374" t="n">
        <v>0</v>
      </c>
      <c r="L374" t="n">
        <v>0</v>
      </c>
      <c r="M374" t="n">
        <v>0</v>
      </c>
      <c r="N374" t="n">
        <v>0</v>
      </c>
      <c r="O374" t="n">
        <v>0</v>
      </c>
      <c r="P374" t="n">
        <v>0</v>
      </c>
      <c r="Q374" t="n">
        <v>0</v>
      </c>
      <c r="R374" s="2" t="inlineStr"/>
    </row>
    <row r="375" ht="15" customHeight="1">
      <c r="A375" t="inlineStr">
        <is>
          <t>A 32210-2025</t>
        </is>
      </c>
      <c r="B375" s="1" t="n">
        <v>45835</v>
      </c>
      <c r="C375" s="1" t="n">
        <v>46065</v>
      </c>
      <c r="D375" t="inlineStr">
        <is>
          <t>VÄSTMANLANDS LÄN</t>
        </is>
      </c>
      <c r="E375" t="inlineStr">
        <is>
          <t>SALA</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32286-2025</t>
        </is>
      </c>
      <c r="B376" s="1" t="n">
        <v>45835</v>
      </c>
      <c r="C376" s="1" t="n">
        <v>46065</v>
      </c>
      <c r="D376" t="inlineStr">
        <is>
          <t>VÄSTMANLANDS LÄN</t>
        </is>
      </c>
      <c r="E376" t="inlineStr">
        <is>
          <t>SALA</t>
        </is>
      </c>
      <c r="G376" t="n">
        <v>6.4</v>
      </c>
      <c r="H376" t="n">
        <v>0</v>
      </c>
      <c r="I376" t="n">
        <v>0</v>
      </c>
      <c r="J376" t="n">
        <v>0</v>
      </c>
      <c r="K376" t="n">
        <v>0</v>
      </c>
      <c r="L376" t="n">
        <v>0</v>
      </c>
      <c r="M376" t="n">
        <v>0</v>
      </c>
      <c r="N376" t="n">
        <v>0</v>
      </c>
      <c r="O376" t="n">
        <v>0</v>
      </c>
      <c r="P376" t="n">
        <v>0</v>
      </c>
      <c r="Q376" t="n">
        <v>0</v>
      </c>
      <c r="R376" s="2" t="inlineStr"/>
    </row>
    <row r="377" ht="15" customHeight="1">
      <c r="A377" t="inlineStr">
        <is>
          <t>A 47479-2024</t>
        </is>
      </c>
      <c r="B377" s="1" t="n">
        <v>45587</v>
      </c>
      <c r="C377" s="1" t="n">
        <v>46065</v>
      </c>
      <c r="D377" t="inlineStr">
        <is>
          <t>VÄSTMANLANDS LÄN</t>
        </is>
      </c>
      <c r="E377" t="inlineStr">
        <is>
          <t>SALA</t>
        </is>
      </c>
      <c r="F377" t="inlineStr">
        <is>
          <t>Kommuner</t>
        </is>
      </c>
      <c r="G377" t="n">
        <v>0.8</v>
      </c>
      <c r="H377" t="n">
        <v>0</v>
      </c>
      <c r="I377" t="n">
        <v>0</v>
      </c>
      <c r="J377" t="n">
        <v>0</v>
      </c>
      <c r="K377" t="n">
        <v>0</v>
      </c>
      <c r="L377" t="n">
        <v>0</v>
      </c>
      <c r="M377" t="n">
        <v>0</v>
      </c>
      <c r="N377" t="n">
        <v>0</v>
      </c>
      <c r="O377" t="n">
        <v>0</v>
      </c>
      <c r="P377" t="n">
        <v>0</v>
      </c>
      <c r="Q377" t="n">
        <v>0</v>
      </c>
      <c r="R377" s="2" t="inlineStr"/>
    </row>
    <row r="378" ht="15" customHeight="1">
      <c r="A378" t="inlineStr">
        <is>
          <t>A 55784-2024</t>
        </is>
      </c>
      <c r="B378" s="1" t="n">
        <v>45623</v>
      </c>
      <c r="C378" s="1" t="n">
        <v>46065</v>
      </c>
      <c r="D378" t="inlineStr">
        <is>
          <t>VÄSTMANLANDS LÄN</t>
        </is>
      </c>
      <c r="E378" t="inlineStr">
        <is>
          <t>SALA</t>
        </is>
      </c>
      <c r="F378" t="inlineStr">
        <is>
          <t>Bergvik skog öst AB</t>
        </is>
      </c>
      <c r="G378" t="n">
        <v>28.4</v>
      </c>
      <c r="H378" t="n">
        <v>0</v>
      </c>
      <c r="I378" t="n">
        <v>0</v>
      </c>
      <c r="J378" t="n">
        <v>0</v>
      </c>
      <c r="K378" t="n">
        <v>0</v>
      </c>
      <c r="L378" t="n">
        <v>0</v>
      </c>
      <c r="M378" t="n">
        <v>0</v>
      </c>
      <c r="N378" t="n">
        <v>0</v>
      </c>
      <c r="O378" t="n">
        <v>0</v>
      </c>
      <c r="P378" t="n">
        <v>0</v>
      </c>
      <c r="Q378" t="n">
        <v>0</v>
      </c>
      <c r="R378" s="2" t="inlineStr"/>
    </row>
    <row r="379" ht="15" customHeight="1">
      <c r="A379" t="inlineStr">
        <is>
          <t>A 52827-2024</t>
        </is>
      </c>
      <c r="B379" s="1" t="n">
        <v>45610</v>
      </c>
      <c r="C379" s="1" t="n">
        <v>46065</v>
      </c>
      <c r="D379" t="inlineStr">
        <is>
          <t>VÄSTMANLANDS LÄN</t>
        </is>
      </c>
      <c r="E379" t="inlineStr">
        <is>
          <t>SALA</t>
        </is>
      </c>
      <c r="G379" t="n">
        <v>0.2</v>
      </c>
      <c r="H379" t="n">
        <v>0</v>
      </c>
      <c r="I379" t="n">
        <v>0</v>
      </c>
      <c r="J379" t="n">
        <v>0</v>
      </c>
      <c r="K379" t="n">
        <v>0</v>
      </c>
      <c r="L379" t="n">
        <v>0</v>
      </c>
      <c r="M379" t="n">
        <v>0</v>
      </c>
      <c r="N379" t="n">
        <v>0</v>
      </c>
      <c r="O379" t="n">
        <v>0</v>
      </c>
      <c r="P379" t="n">
        <v>0</v>
      </c>
      <c r="Q379" t="n">
        <v>0</v>
      </c>
      <c r="R379" s="2" t="inlineStr"/>
    </row>
    <row r="380" ht="15" customHeight="1">
      <c r="A380" t="inlineStr">
        <is>
          <t>A 19065-2022</t>
        </is>
      </c>
      <c r="B380" s="1" t="n">
        <v>44691.44309027777</v>
      </c>
      <c r="C380" s="1" t="n">
        <v>46065</v>
      </c>
      <c r="D380" t="inlineStr">
        <is>
          <t>VÄSTMANLANDS LÄN</t>
        </is>
      </c>
      <c r="E380" t="inlineStr">
        <is>
          <t>SALA</t>
        </is>
      </c>
      <c r="G380" t="n">
        <v>3.4</v>
      </c>
      <c r="H380" t="n">
        <v>0</v>
      </c>
      <c r="I380" t="n">
        <v>0</v>
      </c>
      <c r="J380" t="n">
        <v>0</v>
      </c>
      <c r="K380" t="n">
        <v>0</v>
      </c>
      <c r="L380" t="n">
        <v>0</v>
      </c>
      <c r="M380" t="n">
        <v>0</v>
      </c>
      <c r="N380" t="n">
        <v>0</v>
      </c>
      <c r="O380" t="n">
        <v>0</v>
      </c>
      <c r="P380" t="n">
        <v>0</v>
      </c>
      <c r="Q380" t="n">
        <v>0</v>
      </c>
      <c r="R380" s="2" t="inlineStr"/>
    </row>
    <row r="381" ht="15" customHeight="1">
      <c r="A381" t="inlineStr">
        <is>
          <t>A 22961-2023</t>
        </is>
      </c>
      <c r="B381" s="1" t="n">
        <v>45072</v>
      </c>
      <c r="C381" s="1" t="n">
        <v>46065</v>
      </c>
      <c r="D381" t="inlineStr">
        <is>
          <t>VÄSTMANLANDS LÄN</t>
        </is>
      </c>
      <c r="E381" t="inlineStr">
        <is>
          <t>SALA</t>
        </is>
      </c>
      <c r="G381" t="n">
        <v>2.7</v>
      </c>
      <c r="H381" t="n">
        <v>0</v>
      </c>
      <c r="I381" t="n">
        <v>0</v>
      </c>
      <c r="J381" t="n">
        <v>0</v>
      </c>
      <c r="K381" t="n">
        <v>0</v>
      </c>
      <c r="L381" t="n">
        <v>0</v>
      </c>
      <c r="M381" t="n">
        <v>0</v>
      </c>
      <c r="N381" t="n">
        <v>0</v>
      </c>
      <c r="O381" t="n">
        <v>0</v>
      </c>
      <c r="P381" t="n">
        <v>0</v>
      </c>
      <c r="Q381" t="n">
        <v>0</v>
      </c>
      <c r="R381" s="2" t="inlineStr"/>
    </row>
    <row r="382" ht="15" customHeight="1">
      <c r="A382" t="inlineStr">
        <is>
          <t>A 22963-2023</t>
        </is>
      </c>
      <c r="B382" s="1" t="n">
        <v>45072</v>
      </c>
      <c r="C382" s="1" t="n">
        <v>46065</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32207-2025</t>
        </is>
      </c>
      <c r="B383" s="1" t="n">
        <v>45835</v>
      </c>
      <c r="C383" s="1" t="n">
        <v>46065</v>
      </c>
      <c r="D383" t="inlineStr">
        <is>
          <t>VÄSTMANLANDS LÄN</t>
        </is>
      </c>
      <c r="E383" t="inlineStr">
        <is>
          <t>SALA</t>
        </is>
      </c>
      <c r="F383" t="inlineStr">
        <is>
          <t>Bergvik skog öst AB</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53166-2024</t>
        </is>
      </c>
      <c r="B384" s="1" t="n">
        <v>45611</v>
      </c>
      <c r="C384" s="1" t="n">
        <v>46065</v>
      </c>
      <c r="D384" t="inlineStr">
        <is>
          <t>VÄSTMANLANDS LÄN</t>
        </is>
      </c>
      <c r="E384" t="inlineStr">
        <is>
          <t>SALA</t>
        </is>
      </c>
      <c r="G384" t="n">
        <v>1.5</v>
      </c>
      <c r="H384" t="n">
        <v>0</v>
      </c>
      <c r="I384" t="n">
        <v>0</v>
      </c>
      <c r="J384" t="n">
        <v>0</v>
      </c>
      <c r="K384" t="n">
        <v>0</v>
      </c>
      <c r="L384" t="n">
        <v>0</v>
      </c>
      <c r="M384" t="n">
        <v>0</v>
      </c>
      <c r="N384" t="n">
        <v>0</v>
      </c>
      <c r="O384" t="n">
        <v>0</v>
      </c>
      <c r="P384" t="n">
        <v>0</v>
      </c>
      <c r="Q384" t="n">
        <v>0</v>
      </c>
      <c r="R384" s="2" t="inlineStr"/>
    </row>
    <row r="385" ht="15" customHeight="1">
      <c r="A385" t="inlineStr">
        <is>
          <t>A 11244-2024</t>
        </is>
      </c>
      <c r="B385" s="1" t="n">
        <v>45371</v>
      </c>
      <c r="C385" s="1" t="n">
        <v>46065</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62654-2022</t>
        </is>
      </c>
      <c r="B386" s="1" t="n">
        <v>44917</v>
      </c>
      <c r="C386" s="1" t="n">
        <v>46065</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6135-2023</t>
        </is>
      </c>
      <c r="B387" s="1" t="n">
        <v>44964.62628472222</v>
      </c>
      <c r="C387" s="1" t="n">
        <v>46065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32902-2025</t>
        </is>
      </c>
      <c r="B388" s="1" t="n">
        <v>45839</v>
      </c>
      <c r="C388" s="1" t="n">
        <v>46065</v>
      </c>
      <c r="D388" t="inlineStr">
        <is>
          <t>VÄSTMANLANDS LÄN</t>
        </is>
      </c>
      <c r="E388" t="inlineStr">
        <is>
          <t>SALA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53864-2022</t>
        </is>
      </c>
      <c r="B389" s="1" t="n">
        <v>44880.64016203704</v>
      </c>
      <c r="C389" s="1" t="n">
        <v>46065</v>
      </c>
      <c r="D389" t="inlineStr">
        <is>
          <t>VÄSTMANLANDS LÄN</t>
        </is>
      </c>
      <c r="E389" t="inlineStr">
        <is>
          <t>SALA</t>
        </is>
      </c>
      <c r="G389" t="n">
        <v>5.9</v>
      </c>
      <c r="H389" t="n">
        <v>0</v>
      </c>
      <c r="I389" t="n">
        <v>0</v>
      </c>
      <c r="J389" t="n">
        <v>0</v>
      </c>
      <c r="K389" t="n">
        <v>0</v>
      </c>
      <c r="L389" t="n">
        <v>0</v>
      </c>
      <c r="M389" t="n">
        <v>0</v>
      </c>
      <c r="N389" t="n">
        <v>0</v>
      </c>
      <c r="O389" t="n">
        <v>0</v>
      </c>
      <c r="P389" t="n">
        <v>0</v>
      </c>
      <c r="Q389" t="n">
        <v>0</v>
      </c>
      <c r="R389" s="2" t="inlineStr"/>
    </row>
    <row r="390" ht="15" customHeight="1">
      <c r="A390" t="inlineStr">
        <is>
          <t>A 10585-2022</t>
        </is>
      </c>
      <c r="B390" s="1" t="n">
        <v>44624</v>
      </c>
      <c r="C390" s="1" t="n">
        <v>46065</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44531.4047337963</v>
      </c>
      <c r="C391" s="1" t="n">
        <v>46065</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29542-2023</t>
        </is>
      </c>
      <c r="B392" s="1" t="n">
        <v>45098</v>
      </c>
      <c r="C392" s="1" t="n">
        <v>46065</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27038-2023</t>
        </is>
      </c>
      <c r="B393" s="1" t="n">
        <v>45095</v>
      </c>
      <c r="C393" s="1" t="n">
        <v>46065</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27255-2023</t>
        </is>
      </c>
      <c r="B394" s="1" t="n">
        <v>45096</v>
      </c>
      <c r="C394" s="1" t="n">
        <v>46065</v>
      </c>
      <c r="D394" t="inlineStr">
        <is>
          <t>VÄSTMANLANDS LÄN</t>
        </is>
      </c>
      <c r="E394" t="inlineStr">
        <is>
          <t>SALA</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48117-2024</t>
        </is>
      </c>
      <c r="B395" s="1" t="n">
        <v>45589</v>
      </c>
      <c r="C395" s="1" t="n">
        <v>46065</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17051-2025</t>
        </is>
      </c>
      <c r="B396" s="1" t="n">
        <v>45755</v>
      </c>
      <c r="C396" s="1" t="n">
        <v>46065</v>
      </c>
      <c r="D396" t="inlineStr">
        <is>
          <t>VÄSTMANLANDS LÄN</t>
        </is>
      </c>
      <c r="E396" t="inlineStr">
        <is>
          <t>SALA</t>
        </is>
      </c>
      <c r="G396" t="n">
        <v>2.9</v>
      </c>
      <c r="H396" t="n">
        <v>0</v>
      </c>
      <c r="I396" t="n">
        <v>0</v>
      </c>
      <c r="J396" t="n">
        <v>0</v>
      </c>
      <c r="K396" t="n">
        <v>0</v>
      </c>
      <c r="L396" t="n">
        <v>0</v>
      </c>
      <c r="M396" t="n">
        <v>0</v>
      </c>
      <c r="N396" t="n">
        <v>0</v>
      </c>
      <c r="O396" t="n">
        <v>0</v>
      </c>
      <c r="P396" t="n">
        <v>0</v>
      </c>
      <c r="Q396" t="n">
        <v>0</v>
      </c>
      <c r="R396" s="2" t="inlineStr"/>
    </row>
    <row r="397" ht="15" customHeight="1">
      <c r="A397" t="inlineStr">
        <is>
          <t>A 12225-2023</t>
        </is>
      </c>
      <c r="B397" s="1" t="n">
        <v>44995</v>
      </c>
      <c r="C397" s="1" t="n">
        <v>46065</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12252-2023</t>
        </is>
      </c>
      <c r="B398" s="1" t="n">
        <v>44995</v>
      </c>
      <c r="C398" s="1" t="n">
        <v>46065</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6116-2023</t>
        </is>
      </c>
      <c r="B399" s="1" t="n">
        <v>44964</v>
      </c>
      <c r="C399" s="1" t="n">
        <v>46065</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8285-2025</t>
        </is>
      </c>
      <c r="B400" s="1" t="n">
        <v>45708</v>
      </c>
      <c r="C400" s="1" t="n">
        <v>46065</v>
      </c>
      <c r="D400" t="inlineStr">
        <is>
          <t>VÄSTMANLANDS LÄN</t>
        </is>
      </c>
      <c r="E400" t="inlineStr">
        <is>
          <t>SALA</t>
        </is>
      </c>
      <c r="G400" t="n">
        <v>5.7</v>
      </c>
      <c r="H400" t="n">
        <v>0</v>
      </c>
      <c r="I400" t="n">
        <v>0</v>
      </c>
      <c r="J400" t="n">
        <v>0</v>
      </c>
      <c r="K400" t="n">
        <v>0</v>
      </c>
      <c r="L400" t="n">
        <v>0</v>
      </c>
      <c r="M400" t="n">
        <v>0</v>
      </c>
      <c r="N400" t="n">
        <v>0</v>
      </c>
      <c r="O400" t="n">
        <v>0</v>
      </c>
      <c r="P400" t="n">
        <v>0</v>
      </c>
      <c r="Q400" t="n">
        <v>0</v>
      </c>
      <c r="R400" s="2" t="inlineStr"/>
    </row>
    <row r="401" ht="15" customHeight="1">
      <c r="A401" t="inlineStr">
        <is>
          <t>A 18100-2023</t>
        </is>
      </c>
      <c r="B401" s="1" t="n">
        <v>45040</v>
      </c>
      <c r="C401" s="1" t="n">
        <v>46065</v>
      </c>
      <c r="D401" t="inlineStr">
        <is>
          <t>VÄSTMANLANDS LÄN</t>
        </is>
      </c>
      <c r="E401" t="inlineStr">
        <is>
          <t>SALA</t>
        </is>
      </c>
      <c r="G401" t="n">
        <v>1.8</v>
      </c>
      <c r="H401" t="n">
        <v>0</v>
      </c>
      <c r="I401" t="n">
        <v>0</v>
      </c>
      <c r="J401" t="n">
        <v>0</v>
      </c>
      <c r="K401" t="n">
        <v>0</v>
      </c>
      <c r="L401" t="n">
        <v>0</v>
      </c>
      <c r="M401" t="n">
        <v>0</v>
      </c>
      <c r="N401" t="n">
        <v>0</v>
      </c>
      <c r="O401" t="n">
        <v>0</v>
      </c>
      <c r="P401" t="n">
        <v>0</v>
      </c>
      <c r="Q401" t="n">
        <v>0</v>
      </c>
      <c r="R401" s="2" t="inlineStr"/>
    </row>
    <row r="402" ht="15" customHeight="1">
      <c r="A402" t="inlineStr">
        <is>
          <t>A 13471-2025</t>
        </is>
      </c>
      <c r="B402" s="1" t="n">
        <v>45736.40579861111</v>
      </c>
      <c r="C402" s="1" t="n">
        <v>46065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26854-2024</t>
        </is>
      </c>
      <c r="B403" s="1" t="n">
        <v>45470</v>
      </c>
      <c r="C403" s="1" t="n">
        <v>46065</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37602-2024</t>
        </is>
      </c>
      <c r="B404" s="1" t="n">
        <v>45541</v>
      </c>
      <c r="C404" s="1" t="n">
        <v>46065</v>
      </c>
      <c r="D404" t="inlineStr">
        <is>
          <t>VÄSTMANLANDS LÄN</t>
        </is>
      </c>
      <c r="E404" t="inlineStr">
        <is>
          <t>SALA</t>
        </is>
      </c>
      <c r="G404" t="n">
        <v>1.5</v>
      </c>
      <c r="H404" t="n">
        <v>0</v>
      </c>
      <c r="I404" t="n">
        <v>0</v>
      </c>
      <c r="J404" t="n">
        <v>0</v>
      </c>
      <c r="K404" t="n">
        <v>0</v>
      </c>
      <c r="L404" t="n">
        <v>0</v>
      </c>
      <c r="M404" t="n">
        <v>0</v>
      </c>
      <c r="N404" t="n">
        <v>0</v>
      </c>
      <c r="O404" t="n">
        <v>0</v>
      </c>
      <c r="P404" t="n">
        <v>0</v>
      </c>
      <c r="Q404" t="n">
        <v>0</v>
      </c>
      <c r="R404" s="2" t="inlineStr"/>
    </row>
    <row r="405" ht="15" customHeight="1">
      <c r="A405" t="inlineStr">
        <is>
          <t>A 1985-2022</t>
        </is>
      </c>
      <c r="B405" s="1" t="n">
        <v>44575</v>
      </c>
      <c r="C405" s="1" t="n">
        <v>46065</v>
      </c>
      <c r="D405" t="inlineStr">
        <is>
          <t>VÄSTMANLANDS LÄN</t>
        </is>
      </c>
      <c r="E405" t="inlineStr">
        <is>
          <t>SALA</t>
        </is>
      </c>
      <c r="G405" t="n">
        <v>1.4</v>
      </c>
      <c r="H405" t="n">
        <v>0</v>
      </c>
      <c r="I405" t="n">
        <v>0</v>
      </c>
      <c r="J405" t="n">
        <v>0</v>
      </c>
      <c r="K405" t="n">
        <v>0</v>
      </c>
      <c r="L405" t="n">
        <v>0</v>
      </c>
      <c r="M405" t="n">
        <v>0</v>
      </c>
      <c r="N405" t="n">
        <v>0</v>
      </c>
      <c r="O405" t="n">
        <v>0</v>
      </c>
      <c r="P405" t="n">
        <v>0</v>
      </c>
      <c r="Q405" t="n">
        <v>0</v>
      </c>
      <c r="R405" s="2" t="inlineStr"/>
    </row>
    <row r="406" ht="15" customHeight="1">
      <c r="A406" t="inlineStr">
        <is>
          <t>A 14010-2021</t>
        </is>
      </c>
      <c r="B406" s="1" t="n">
        <v>44277.63396990741</v>
      </c>
      <c r="C406" s="1" t="n">
        <v>46065</v>
      </c>
      <c r="D406" t="inlineStr">
        <is>
          <t>VÄSTMANLANDS LÄN</t>
        </is>
      </c>
      <c r="E406" t="inlineStr">
        <is>
          <t>SALA</t>
        </is>
      </c>
      <c r="G406" t="n">
        <v>3.5</v>
      </c>
      <c r="H406" t="n">
        <v>0</v>
      </c>
      <c r="I406" t="n">
        <v>0</v>
      </c>
      <c r="J406" t="n">
        <v>0</v>
      </c>
      <c r="K406" t="n">
        <v>0</v>
      </c>
      <c r="L406" t="n">
        <v>0</v>
      </c>
      <c r="M406" t="n">
        <v>0</v>
      </c>
      <c r="N406" t="n">
        <v>0</v>
      </c>
      <c r="O406" t="n">
        <v>0</v>
      </c>
      <c r="P406" t="n">
        <v>0</v>
      </c>
      <c r="Q406" t="n">
        <v>0</v>
      </c>
      <c r="R406" s="2" t="inlineStr"/>
    </row>
    <row r="407" ht="15" customHeight="1">
      <c r="A407" t="inlineStr">
        <is>
          <t>A 21455-2023</t>
        </is>
      </c>
      <c r="B407" s="1" t="n">
        <v>45058</v>
      </c>
      <c r="C407" s="1" t="n">
        <v>46065</v>
      </c>
      <c r="D407" t="inlineStr">
        <is>
          <t>VÄSTMANLANDS LÄN</t>
        </is>
      </c>
      <c r="E407" t="inlineStr">
        <is>
          <t>SALA</t>
        </is>
      </c>
      <c r="G407" t="n">
        <v>6.4</v>
      </c>
      <c r="H407" t="n">
        <v>0</v>
      </c>
      <c r="I407" t="n">
        <v>0</v>
      </c>
      <c r="J407" t="n">
        <v>0</v>
      </c>
      <c r="K407" t="n">
        <v>0</v>
      </c>
      <c r="L407" t="n">
        <v>0</v>
      </c>
      <c r="M407" t="n">
        <v>0</v>
      </c>
      <c r="N407" t="n">
        <v>0</v>
      </c>
      <c r="O407" t="n">
        <v>0</v>
      </c>
      <c r="P407" t="n">
        <v>0</v>
      </c>
      <c r="Q407" t="n">
        <v>0</v>
      </c>
      <c r="R407" s="2" t="inlineStr"/>
    </row>
    <row r="408" ht="15" customHeight="1">
      <c r="A408" t="inlineStr">
        <is>
          <t>A 4797-2023</t>
        </is>
      </c>
      <c r="B408" s="1" t="n">
        <v>44957</v>
      </c>
      <c r="C408" s="1" t="n">
        <v>46065</v>
      </c>
      <c r="D408" t="inlineStr">
        <is>
          <t>VÄSTMANLANDS LÄN</t>
        </is>
      </c>
      <c r="E408" t="inlineStr">
        <is>
          <t>SALA</t>
        </is>
      </c>
      <c r="G408" t="n">
        <v>5.7</v>
      </c>
      <c r="H408" t="n">
        <v>0</v>
      </c>
      <c r="I408" t="n">
        <v>0</v>
      </c>
      <c r="J408" t="n">
        <v>0</v>
      </c>
      <c r="K408" t="n">
        <v>0</v>
      </c>
      <c r="L408" t="n">
        <v>0</v>
      </c>
      <c r="M408" t="n">
        <v>0</v>
      </c>
      <c r="N408" t="n">
        <v>0</v>
      </c>
      <c r="O408" t="n">
        <v>0</v>
      </c>
      <c r="P408" t="n">
        <v>0</v>
      </c>
      <c r="Q408" t="n">
        <v>0</v>
      </c>
      <c r="R408" s="2" t="inlineStr"/>
    </row>
    <row r="409" ht="15" customHeight="1">
      <c r="A409" t="inlineStr">
        <is>
          <t>A 4852-2023</t>
        </is>
      </c>
      <c r="B409" s="1" t="n">
        <v>44957.72496527778</v>
      </c>
      <c r="C409" s="1" t="n">
        <v>46065</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36858-2023</t>
        </is>
      </c>
      <c r="B410" s="1" t="n">
        <v>45154.55184027777</v>
      </c>
      <c r="C410" s="1" t="n">
        <v>46065</v>
      </c>
      <c r="D410" t="inlineStr">
        <is>
          <t>VÄSTMANLANDS LÄN</t>
        </is>
      </c>
      <c r="E410" t="inlineStr">
        <is>
          <t>SALA</t>
        </is>
      </c>
      <c r="G410" t="n">
        <v>2.1</v>
      </c>
      <c r="H410" t="n">
        <v>0</v>
      </c>
      <c r="I410" t="n">
        <v>0</v>
      </c>
      <c r="J410" t="n">
        <v>0</v>
      </c>
      <c r="K410" t="n">
        <v>0</v>
      </c>
      <c r="L410" t="n">
        <v>0</v>
      </c>
      <c r="M410" t="n">
        <v>0</v>
      </c>
      <c r="N410" t="n">
        <v>0</v>
      </c>
      <c r="O410" t="n">
        <v>0</v>
      </c>
      <c r="P410" t="n">
        <v>0</v>
      </c>
      <c r="Q410" t="n">
        <v>0</v>
      </c>
      <c r="R410" s="2" t="inlineStr"/>
    </row>
    <row r="411" ht="15" customHeight="1">
      <c r="A411" t="inlineStr">
        <is>
          <t>A 58701-2021</t>
        </is>
      </c>
      <c r="B411" s="1" t="n">
        <v>44489.46454861111</v>
      </c>
      <c r="C411" s="1" t="n">
        <v>46065</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22019-2021</t>
        </is>
      </c>
      <c r="B412" s="1" t="n">
        <v>44323</v>
      </c>
      <c r="C412" s="1" t="n">
        <v>46065</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34069-2025</t>
        </is>
      </c>
      <c r="B413" s="1" t="n">
        <v>45845.43560185185</v>
      </c>
      <c r="C413" s="1" t="n">
        <v>46065</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c r="U413">
        <f>HYPERLINK("https://klasma.github.io/Logging_1981/knärot/A 34069-2025 karta knärot.png", "A 34069-2025")</f>
        <v/>
      </c>
      <c r="V413">
        <f>HYPERLINK("https://klasma.github.io/Logging_1981/klagomål/A 34069-2025 FSC-klagomål.docx", "A 34069-2025")</f>
        <v/>
      </c>
      <c r="W413">
        <f>HYPERLINK("https://klasma.github.io/Logging_1981/klagomålsmail/A 34069-2025 FSC-klagomål mail.docx", "A 34069-2025")</f>
        <v/>
      </c>
      <c r="X413">
        <f>HYPERLINK("https://klasma.github.io/Logging_1981/tillsyn/A 34069-2025 tillsynsbegäran.docx", "A 34069-2025")</f>
        <v/>
      </c>
      <c r="Y413">
        <f>HYPERLINK("https://klasma.github.io/Logging_1981/tillsynsmail/A 34069-2025 tillsynsbegäran mail.docx", "A 34069-2025")</f>
        <v/>
      </c>
    </row>
    <row r="414" ht="15" customHeight="1">
      <c r="A414" t="inlineStr">
        <is>
          <t>A 57404-2024</t>
        </is>
      </c>
      <c r="B414" s="1" t="n">
        <v>45629.71967592592</v>
      </c>
      <c r="C414" s="1" t="n">
        <v>46065</v>
      </c>
      <c r="D414" t="inlineStr">
        <is>
          <t>VÄSTMANLANDS LÄN</t>
        </is>
      </c>
      <c r="E414" t="inlineStr">
        <is>
          <t>SALA</t>
        </is>
      </c>
      <c r="G414" t="n">
        <v>0.3</v>
      </c>
      <c r="H414" t="n">
        <v>0</v>
      </c>
      <c r="I414" t="n">
        <v>0</v>
      </c>
      <c r="J414" t="n">
        <v>0</v>
      </c>
      <c r="K414" t="n">
        <v>0</v>
      </c>
      <c r="L414" t="n">
        <v>0</v>
      </c>
      <c r="M414" t="n">
        <v>0</v>
      </c>
      <c r="N414" t="n">
        <v>0</v>
      </c>
      <c r="O414" t="n">
        <v>0</v>
      </c>
      <c r="P414" t="n">
        <v>0</v>
      </c>
      <c r="Q414" t="n">
        <v>0</v>
      </c>
      <c r="R414" s="2" t="inlineStr"/>
    </row>
    <row r="415" ht="15" customHeight="1">
      <c r="A415" t="inlineStr">
        <is>
          <t>A 21777-2022</t>
        </is>
      </c>
      <c r="B415" s="1" t="n">
        <v>44708.48194444444</v>
      </c>
      <c r="C415" s="1" t="n">
        <v>46065</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17866-2025</t>
        </is>
      </c>
      <c r="B416" s="1" t="n">
        <v>45758</v>
      </c>
      <c r="C416" s="1" t="n">
        <v>46065</v>
      </c>
      <c r="D416" t="inlineStr">
        <is>
          <t>VÄSTMANLANDS LÄN</t>
        </is>
      </c>
      <c r="E416" t="inlineStr">
        <is>
          <t>SALA</t>
        </is>
      </c>
      <c r="F416" t="inlineStr">
        <is>
          <t>Bergvik skog öst AB</t>
        </is>
      </c>
      <c r="G416" t="n">
        <v>2.1</v>
      </c>
      <c r="H416" t="n">
        <v>0</v>
      </c>
      <c r="I416" t="n">
        <v>0</v>
      </c>
      <c r="J416" t="n">
        <v>0</v>
      </c>
      <c r="K416" t="n">
        <v>0</v>
      </c>
      <c r="L416" t="n">
        <v>0</v>
      </c>
      <c r="M416" t="n">
        <v>0</v>
      </c>
      <c r="N416" t="n">
        <v>0</v>
      </c>
      <c r="O416" t="n">
        <v>0</v>
      </c>
      <c r="P416" t="n">
        <v>0</v>
      </c>
      <c r="Q416" t="n">
        <v>0</v>
      </c>
      <c r="R416" s="2" t="inlineStr"/>
    </row>
    <row r="417" ht="15" customHeight="1">
      <c r="A417" t="inlineStr">
        <is>
          <t>A 60034-2024</t>
        </is>
      </c>
      <c r="B417" s="1" t="n">
        <v>45642.46261574074</v>
      </c>
      <c r="C417" s="1" t="n">
        <v>46065</v>
      </c>
      <c r="D417" t="inlineStr">
        <is>
          <t>VÄSTMANLANDS LÄN</t>
        </is>
      </c>
      <c r="E417" t="inlineStr">
        <is>
          <t>SALA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33732-2023</t>
        </is>
      </c>
      <c r="B418" s="1" t="n">
        <v>45133.32409722222</v>
      </c>
      <c r="C418" s="1" t="n">
        <v>46065</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3810-2023</t>
        </is>
      </c>
      <c r="B419" s="1" t="n">
        <v>44951.60454861111</v>
      </c>
      <c r="C419" s="1" t="n">
        <v>46065</v>
      </c>
      <c r="D419" t="inlineStr">
        <is>
          <t>VÄSTMANLANDS LÄN</t>
        </is>
      </c>
      <c r="E419" t="inlineStr">
        <is>
          <t>SALA</t>
        </is>
      </c>
      <c r="G419" t="n">
        <v>4.2</v>
      </c>
      <c r="H419" t="n">
        <v>0</v>
      </c>
      <c r="I419" t="n">
        <v>0</v>
      </c>
      <c r="J419" t="n">
        <v>0</v>
      </c>
      <c r="K419" t="n">
        <v>0</v>
      </c>
      <c r="L419" t="n">
        <v>0</v>
      </c>
      <c r="M419" t="n">
        <v>0</v>
      </c>
      <c r="N419" t="n">
        <v>0</v>
      </c>
      <c r="O419" t="n">
        <v>0</v>
      </c>
      <c r="P419" t="n">
        <v>0</v>
      </c>
      <c r="Q419" t="n">
        <v>0</v>
      </c>
      <c r="R419" s="2" t="inlineStr"/>
    </row>
    <row r="420" ht="15" customHeight="1">
      <c r="A420" t="inlineStr">
        <is>
          <t>A 7166-2025</t>
        </is>
      </c>
      <c r="B420" s="1" t="n">
        <v>45702</v>
      </c>
      <c r="C420" s="1" t="n">
        <v>46065</v>
      </c>
      <c r="D420" t="inlineStr">
        <is>
          <t>VÄSTMANLANDS LÄN</t>
        </is>
      </c>
      <c r="E420" t="inlineStr">
        <is>
          <t>SALA</t>
        </is>
      </c>
      <c r="G420" t="n">
        <v>6.1</v>
      </c>
      <c r="H420" t="n">
        <v>0</v>
      </c>
      <c r="I420" t="n">
        <v>0</v>
      </c>
      <c r="J420" t="n">
        <v>0</v>
      </c>
      <c r="K420" t="n">
        <v>0</v>
      </c>
      <c r="L420" t="n">
        <v>0</v>
      </c>
      <c r="M420" t="n">
        <v>0</v>
      </c>
      <c r="N420" t="n">
        <v>0</v>
      </c>
      <c r="O420" t="n">
        <v>0</v>
      </c>
      <c r="P420" t="n">
        <v>0</v>
      </c>
      <c r="Q420" t="n">
        <v>0</v>
      </c>
      <c r="R420" s="2" t="inlineStr"/>
    </row>
    <row r="421" ht="15" customHeight="1">
      <c r="A421" t="inlineStr">
        <is>
          <t>A 44857-2023</t>
        </is>
      </c>
      <c r="B421" s="1" t="n">
        <v>45190.58479166667</v>
      </c>
      <c r="C421" s="1" t="n">
        <v>46065</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46352-2023</t>
        </is>
      </c>
      <c r="B422" s="1" t="n">
        <v>45192</v>
      </c>
      <c r="C422" s="1" t="n">
        <v>46065</v>
      </c>
      <c r="D422" t="inlineStr">
        <is>
          <t>VÄSTMANLANDS LÄN</t>
        </is>
      </c>
      <c r="E422" t="inlineStr">
        <is>
          <t>SALA</t>
        </is>
      </c>
      <c r="G422" t="n">
        <v>1.9</v>
      </c>
      <c r="H422" t="n">
        <v>0</v>
      </c>
      <c r="I422" t="n">
        <v>0</v>
      </c>
      <c r="J422" t="n">
        <v>0</v>
      </c>
      <c r="K422" t="n">
        <v>0</v>
      </c>
      <c r="L422" t="n">
        <v>0</v>
      </c>
      <c r="M422" t="n">
        <v>0</v>
      </c>
      <c r="N422" t="n">
        <v>0</v>
      </c>
      <c r="O422" t="n">
        <v>0</v>
      </c>
      <c r="P422" t="n">
        <v>0</v>
      </c>
      <c r="Q422" t="n">
        <v>0</v>
      </c>
      <c r="R422" s="2" t="inlineStr"/>
    </row>
    <row r="423" ht="15" customHeight="1">
      <c r="A423" t="inlineStr">
        <is>
          <t>A 22397-2022</t>
        </is>
      </c>
      <c r="B423" s="1" t="n">
        <v>44713</v>
      </c>
      <c r="C423" s="1" t="n">
        <v>46065</v>
      </c>
      <c r="D423" t="inlineStr">
        <is>
          <t>VÄSTMANLANDS LÄN</t>
        </is>
      </c>
      <c r="E423" t="inlineStr">
        <is>
          <t>SALA</t>
        </is>
      </c>
      <c r="G423" t="n">
        <v>2.1</v>
      </c>
      <c r="H423" t="n">
        <v>0</v>
      </c>
      <c r="I423" t="n">
        <v>0</v>
      </c>
      <c r="J423" t="n">
        <v>0</v>
      </c>
      <c r="K423" t="n">
        <v>0</v>
      </c>
      <c r="L423" t="n">
        <v>0</v>
      </c>
      <c r="M423" t="n">
        <v>0</v>
      </c>
      <c r="N423" t="n">
        <v>0</v>
      </c>
      <c r="O423" t="n">
        <v>0</v>
      </c>
      <c r="P423" t="n">
        <v>0</v>
      </c>
      <c r="Q423" t="n">
        <v>0</v>
      </c>
      <c r="R423" s="2" t="inlineStr"/>
    </row>
    <row r="424" ht="15" customHeight="1">
      <c r="A424" t="inlineStr">
        <is>
          <t>A 37337-2024</t>
        </is>
      </c>
      <c r="B424" s="1" t="n">
        <v>45540</v>
      </c>
      <c r="C424" s="1" t="n">
        <v>46065</v>
      </c>
      <c r="D424" t="inlineStr">
        <is>
          <t>VÄSTMANLANDS LÄN</t>
        </is>
      </c>
      <c r="E424" t="inlineStr">
        <is>
          <t>SALA</t>
        </is>
      </c>
      <c r="G424" t="n">
        <v>6.5</v>
      </c>
      <c r="H424" t="n">
        <v>0</v>
      </c>
      <c r="I424" t="n">
        <v>0</v>
      </c>
      <c r="J424" t="n">
        <v>0</v>
      </c>
      <c r="K424" t="n">
        <v>0</v>
      </c>
      <c r="L424" t="n">
        <v>0</v>
      </c>
      <c r="M424" t="n">
        <v>0</v>
      </c>
      <c r="N424" t="n">
        <v>0</v>
      </c>
      <c r="O424" t="n">
        <v>0</v>
      </c>
      <c r="P424" t="n">
        <v>0</v>
      </c>
      <c r="Q424" t="n">
        <v>0</v>
      </c>
      <c r="R424" s="2" t="inlineStr"/>
    </row>
    <row r="425" ht="15" customHeight="1">
      <c r="A425" t="inlineStr">
        <is>
          <t>A 27424-2023</t>
        </is>
      </c>
      <c r="B425" s="1" t="n">
        <v>45097.37690972222</v>
      </c>
      <c r="C425" s="1" t="n">
        <v>46065</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15744-2025</t>
        </is>
      </c>
      <c r="B426" s="1" t="n">
        <v>45748</v>
      </c>
      <c r="C426" s="1" t="n">
        <v>46065</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7469-2025</t>
        </is>
      </c>
      <c r="B427" s="1" t="n">
        <v>45705</v>
      </c>
      <c r="C427" s="1" t="n">
        <v>46065</v>
      </c>
      <c r="D427" t="inlineStr">
        <is>
          <t>VÄSTMANLANDS LÄN</t>
        </is>
      </c>
      <c r="E427" t="inlineStr">
        <is>
          <t>SALA</t>
        </is>
      </c>
      <c r="G427" t="n">
        <v>2.1</v>
      </c>
      <c r="H427" t="n">
        <v>0</v>
      </c>
      <c r="I427" t="n">
        <v>0</v>
      </c>
      <c r="J427" t="n">
        <v>0</v>
      </c>
      <c r="K427" t="n">
        <v>0</v>
      </c>
      <c r="L427" t="n">
        <v>0</v>
      </c>
      <c r="M427" t="n">
        <v>0</v>
      </c>
      <c r="N427" t="n">
        <v>0</v>
      </c>
      <c r="O427" t="n">
        <v>0</v>
      </c>
      <c r="P427" t="n">
        <v>0</v>
      </c>
      <c r="Q427" t="n">
        <v>0</v>
      </c>
      <c r="R427" s="2" t="inlineStr"/>
    </row>
    <row r="428" ht="15" customHeight="1">
      <c r="A428" t="inlineStr">
        <is>
          <t>A 6691-2025</t>
        </is>
      </c>
      <c r="B428" s="1" t="n">
        <v>45700.50625</v>
      </c>
      <c r="C428" s="1" t="n">
        <v>46065</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60036-2024</t>
        </is>
      </c>
      <c r="B429" s="1" t="n">
        <v>45642.46434027778</v>
      </c>
      <c r="C429" s="1" t="n">
        <v>46065</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52503-2024</t>
        </is>
      </c>
      <c r="B430" s="1" t="n">
        <v>45609.58806712963</v>
      </c>
      <c r="C430" s="1" t="n">
        <v>46065</v>
      </c>
      <c r="D430" t="inlineStr">
        <is>
          <t>VÄSTMANLANDS LÄN</t>
        </is>
      </c>
      <c r="E430" t="inlineStr">
        <is>
          <t>SALA</t>
        </is>
      </c>
      <c r="G430" t="n">
        <v>0.8</v>
      </c>
      <c r="H430" t="n">
        <v>0</v>
      </c>
      <c r="I430" t="n">
        <v>0</v>
      </c>
      <c r="J430" t="n">
        <v>0</v>
      </c>
      <c r="K430" t="n">
        <v>0</v>
      </c>
      <c r="L430" t="n">
        <v>0</v>
      </c>
      <c r="M430" t="n">
        <v>0</v>
      </c>
      <c r="N430" t="n">
        <v>0</v>
      </c>
      <c r="O430" t="n">
        <v>0</v>
      </c>
      <c r="P430" t="n">
        <v>0</v>
      </c>
      <c r="Q430" t="n">
        <v>0</v>
      </c>
      <c r="R430" s="2" t="inlineStr"/>
    </row>
    <row r="431" ht="15" customHeight="1">
      <c r="A431" t="inlineStr">
        <is>
          <t>A 2521-2025</t>
        </is>
      </c>
      <c r="B431" s="1" t="n">
        <v>45674</v>
      </c>
      <c r="C431" s="1" t="n">
        <v>46065</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31000-2022</t>
        </is>
      </c>
      <c r="B432" s="1" t="n">
        <v>44768</v>
      </c>
      <c r="C432" s="1" t="n">
        <v>46065</v>
      </c>
      <c r="D432" t="inlineStr">
        <is>
          <t>VÄSTMANLANDS LÄN</t>
        </is>
      </c>
      <c r="E432" t="inlineStr">
        <is>
          <t>SALA</t>
        </is>
      </c>
      <c r="G432" t="n">
        <v>5.7</v>
      </c>
      <c r="H432" t="n">
        <v>0</v>
      </c>
      <c r="I432" t="n">
        <v>0</v>
      </c>
      <c r="J432" t="n">
        <v>0</v>
      </c>
      <c r="K432" t="n">
        <v>0</v>
      </c>
      <c r="L432" t="n">
        <v>0</v>
      </c>
      <c r="M432" t="n">
        <v>0</v>
      </c>
      <c r="N432" t="n">
        <v>0</v>
      </c>
      <c r="O432" t="n">
        <v>0</v>
      </c>
      <c r="P432" t="n">
        <v>0</v>
      </c>
      <c r="Q432" t="n">
        <v>0</v>
      </c>
      <c r="R432" s="2" t="inlineStr"/>
    </row>
    <row r="433" ht="15" customHeight="1">
      <c r="A433" t="inlineStr">
        <is>
          <t>A 43188-2023</t>
        </is>
      </c>
      <c r="B433" s="1" t="n">
        <v>45183</v>
      </c>
      <c r="C433" s="1" t="n">
        <v>46065</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43205-2023</t>
        </is>
      </c>
      <c r="B434" s="1" t="n">
        <v>45183</v>
      </c>
      <c r="C434" s="1" t="n">
        <v>46065</v>
      </c>
      <c r="D434" t="inlineStr">
        <is>
          <t>VÄSTMANLANDS LÄN</t>
        </is>
      </c>
      <c r="E434" t="inlineStr">
        <is>
          <t>SALA</t>
        </is>
      </c>
      <c r="G434" t="n">
        <v>2.1</v>
      </c>
      <c r="H434" t="n">
        <v>0</v>
      </c>
      <c r="I434" t="n">
        <v>0</v>
      </c>
      <c r="J434" t="n">
        <v>0</v>
      </c>
      <c r="K434" t="n">
        <v>0</v>
      </c>
      <c r="L434" t="n">
        <v>0</v>
      </c>
      <c r="M434" t="n">
        <v>0</v>
      </c>
      <c r="N434" t="n">
        <v>0</v>
      </c>
      <c r="O434" t="n">
        <v>0</v>
      </c>
      <c r="P434" t="n">
        <v>0</v>
      </c>
      <c r="Q434" t="n">
        <v>0</v>
      </c>
      <c r="R434" s="2" t="inlineStr"/>
    </row>
    <row r="435" ht="15" customHeight="1">
      <c r="A435" t="inlineStr">
        <is>
          <t>A 28827-2022</t>
        </is>
      </c>
      <c r="B435" s="1" t="n">
        <v>44749.45561342593</v>
      </c>
      <c r="C435" s="1" t="n">
        <v>46065</v>
      </c>
      <c r="D435" t="inlineStr">
        <is>
          <t>VÄSTMANLANDS LÄN</t>
        </is>
      </c>
      <c r="E435" t="inlineStr">
        <is>
          <t>SALA</t>
        </is>
      </c>
      <c r="F435" t="inlineStr">
        <is>
          <t>Kommuner</t>
        </is>
      </c>
      <c r="G435" t="n">
        <v>11.9</v>
      </c>
      <c r="H435" t="n">
        <v>0</v>
      </c>
      <c r="I435" t="n">
        <v>0</v>
      </c>
      <c r="J435" t="n">
        <v>0</v>
      </c>
      <c r="K435" t="n">
        <v>0</v>
      </c>
      <c r="L435" t="n">
        <v>0</v>
      </c>
      <c r="M435" t="n">
        <v>0</v>
      </c>
      <c r="N435" t="n">
        <v>0</v>
      </c>
      <c r="O435" t="n">
        <v>0</v>
      </c>
      <c r="P435" t="n">
        <v>0</v>
      </c>
      <c r="Q435" t="n">
        <v>0</v>
      </c>
      <c r="R435" s="2" t="inlineStr"/>
    </row>
    <row r="436" ht="15" customHeight="1">
      <c r="A436" t="inlineStr">
        <is>
          <t>A 15756-2025</t>
        </is>
      </c>
      <c r="B436" s="1" t="n">
        <v>45748.56810185185</v>
      </c>
      <c r="C436" s="1" t="n">
        <v>46065</v>
      </c>
      <c r="D436" t="inlineStr">
        <is>
          <t>VÄSTMANLANDS LÄN</t>
        </is>
      </c>
      <c r="E436" t="inlineStr">
        <is>
          <t>SALA</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19243-2025</t>
        </is>
      </c>
      <c r="B437" s="1" t="n">
        <v>45769</v>
      </c>
      <c r="C437" s="1" t="n">
        <v>46065</v>
      </c>
      <c r="D437" t="inlineStr">
        <is>
          <t>VÄSTMANLANDS LÄN</t>
        </is>
      </c>
      <c r="E437" t="inlineStr">
        <is>
          <t>SALA</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59297-2023</t>
        </is>
      </c>
      <c r="B438" s="1" t="n">
        <v>45253</v>
      </c>
      <c r="C438" s="1" t="n">
        <v>46065</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6136-2025</t>
        </is>
      </c>
      <c r="B439" s="1" t="n">
        <v>45698.37601851852</v>
      </c>
      <c r="C439" s="1" t="n">
        <v>46065</v>
      </c>
      <c r="D439" t="inlineStr">
        <is>
          <t>VÄSTMANLANDS LÄN</t>
        </is>
      </c>
      <c r="E439" t="inlineStr">
        <is>
          <t>SALA</t>
        </is>
      </c>
      <c r="F439" t="inlineStr">
        <is>
          <t>Bergvik skog öst AB</t>
        </is>
      </c>
      <c r="G439" t="n">
        <v>2.2</v>
      </c>
      <c r="H439" t="n">
        <v>0</v>
      </c>
      <c r="I439" t="n">
        <v>0</v>
      </c>
      <c r="J439" t="n">
        <v>0</v>
      </c>
      <c r="K439" t="n">
        <v>0</v>
      </c>
      <c r="L439" t="n">
        <v>0</v>
      </c>
      <c r="M439" t="n">
        <v>0</v>
      </c>
      <c r="N439" t="n">
        <v>0</v>
      </c>
      <c r="O439" t="n">
        <v>0</v>
      </c>
      <c r="P439" t="n">
        <v>0</v>
      </c>
      <c r="Q439" t="n">
        <v>0</v>
      </c>
      <c r="R439" s="2" t="inlineStr"/>
    </row>
    <row r="440" ht="15" customHeight="1">
      <c r="A440" t="inlineStr">
        <is>
          <t>A 6190-2025</t>
        </is>
      </c>
      <c r="B440" s="1" t="n">
        <v>45698</v>
      </c>
      <c r="C440" s="1" t="n">
        <v>46065</v>
      </c>
      <c r="D440" t="inlineStr">
        <is>
          <t>VÄSTMANLANDS LÄN</t>
        </is>
      </c>
      <c r="E440" t="inlineStr">
        <is>
          <t>SALA</t>
        </is>
      </c>
      <c r="F440" t="inlineStr">
        <is>
          <t>Bergvik skog öst AB</t>
        </is>
      </c>
      <c r="G440" t="n">
        <v>4.6</v>
      </c>
      <c r="H440" t="n">
        <v>0</v>
      </c>
      <c r="I440" t="n">
        <v>0</v>
      </c>
      <c r="J440" t="n">
        <v>0</v>
      </c>
      <c r="K440" t="n">
        <v>0</v>
      </c>
      <c r="L440" t="n">
        <v>0</v>
      </c>
      <c r="M440" t="n">
        <v>0</v>
      </c>
      <c r="N440" t="n">
        <v>0</v>
      </c>
      <c r="O440" t="n">
        <v>0</v>
      </c>
      <c r="P440" t="n">
        <v>0</v>
      </c>
      <c r="Q440" t="n">
        <v>0</v>
      </c>
      <c r="R440" s="2" t="inlineStr"/>
    </row>
    <row r="441" ht="15" customHeight="1">
      <c r="A441" t="inlineStr">
        <is>
          <t>A 31950-2023</t>
        </is>
      </c>
      <c r="B441" s="1" t="n">
        <v>45107</v>
      </c>
      <c r="C441" s="1" t="n">
        <v>46065</v>
      </c>
      <c r="D441" t="inlineStr">
        <is>
          <t>VÄSTMANLANDS LÄN</t>
        </is>
      </c>
      <c r="E441" t="inlineStr">
        <is>
          <t>SALA</t>
        </is>
      </c>
      <c r="G441" t="n">
        <v>0.1</v>
      </c>
      <c r="H441" t="n">
        <v>0</v>
      </c>
      <c r="I441" t="n">
        <v>0</v>
      </c>
      <c r="J441" t="n">
        <v>0</v>
      </c>
      <c r="K441" t="n">
        <v>0</v>
      </c>
      <c r="L441" t="n">
        <v>0</v>
      </c>
      <c r="M441" t="n">
        <v>0</v>
      </c>
      <c r="N441" t="n">
        <v>0</v>
      </c>
      <c r="O441" t="n">
        <v>0</v>
      </c>
      <c r="P441" t="n">
        <v>0</v>
      </c>
      <c r="Q441" t="n">
        <v>0</v>
      </c>
      <c r="R441" s="2" t="inlineStr"/>
    </row>
    <row r="442" ht="15" customHeight="1">
      <c r="A442" t="inlineStr">
        <is>
          <t>A 35715-2025</t>
        </is>
      </c>
      <c r="B442" s="1" t="n">
        <v>45860.42148148148</v>
      </c>
      <c r="C442" s="1" t="n">
        <v>46065</v>
      </c>
      <c r="D442" t="inlineStr">
        <is>
          <t>VÄSTMANLANDS LÄN</t>
        </is>
      </c>
      <c r="E442" t="inlineStr">
        <is>
          <t>SALA</t>
        </is>
      </c>
      <c r="G442" t="n">
        <v>3.8</v>
      </c>
      <c r="H442" t="n">
        <v>0</v>
      </c>
      <c r="I442" t="n">
        <v>0</v>
      </c>
      <c r="J442" t="n">
        <v>0</v>
      </c>
      <c r="K442" t="n">
        <v>0</v>
      </c>
      <c r="L442" t="n">
        <v>0</v>
      </c>
      <c r="M442" t="n">
        <v>0</v>
      </c>
      <c r="N442" t="n">
        <v>0</v>
      </c>
      <c r="O442" t="n">
        <v>0</v>
      </c>
      <c r="P442" t="n">
        <v>0</v>
      </c>
      <c r="Q442" t="n">
        <v>0</v>
      </c>
      <c r="R442" s="2" t="inlineStr"/>
    </row>
    <row r="443" ht="15" customHeight="1">
      <c r="A443" t="inlineStr">
        <is>
          <t>A 35651-2025</t>
        </is>
      </c>
      <c r="B443" s="1" t="n">
        <v>45859.52435185185</v>
      </c>
      <c r="C443" s="1" t="n">
        <v>46065</v>
      </c>
      <c r="D443" t="inlineStr">
        <is>
          <t>VÄSTMANLANDS LÄN</t>
        </is>
      </c>
      <c r="E443" t="inlineStr">
        <is>
          <t>SALA</t>
        </is>
      </c>
      <c r="G443" t="n">
        <v>6.3</v>
      </c>
      <c r="H443" t="n">
        <v>0</v>
      </c>
      <c r="I443" t="n">
        <v>0</v>
      </c>
      <c r="J443" t="n">
        <v>0</v>
      </c>
      <c r="K443" t="n">
        <v>0</v>
      </c>
      <c r="L443" t="n">
        <v>0</v>
      </c>
      <c r="M443" t="n">
        <v>0</v>
      </c>
      <c r="N443" t="n">
        <v>0</v>
      </c>
      <c r="O443" t="n">
        <v>0</v>
      </c>
      <c r="P443" t="n">
        <v>0</v>
      </c>
      <c r="Q443" t="n">
        <v>0</v>
      </c>
      <c r="R443" s="2" t="inlineStr"/>
    </row>
    <row r="444" ht="15" customHeight="1">
      <c r="A444" t="inlineStr">
        <is>
          <t>A 35775-2025</t>
        </is>
      </c>
      <c r="B444" s="1" t="n">
        <v>45860</v>
      </c>
      <c r="C444" s="1" t="n">
        <v>46065</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28863-2022</t>
        </is>
      </c>
      <c r="B445" s="1" t="n">
        <v>44749.50649305555</v>
      </c>
      <c r="C445" s="1" t="n">
        <v>46065</v>
      </c>
      <c r="D445" t="inlineStr">
        <is>
          <t>VÄSTMANLANDS LÄN</t>
        </is>
      </c>
      <c r="E445" t="inlineStr">
        <is>
          <t>SALA</t>
        </is>
      </c>
      <c r="G445" t="n">
        <v>1.6</v>
      </c>
      <c r="H445" t="n">
        <v>0</v>
      </c>
      <c r="I445" t="n">
        <v>0</v>
      </c>
      <c r="J445" t="n">
        <v>0</v>
      </c>
      <c r="K445" t="n">
        <v>0</v>
      </c>
      <c r="L445" t="n">
        <v>0</v>
      </c>
      <c r="M445" t="n">
        <v>0</v>
      </c>
      <c r="N445" t="n">
        <v>0</v>
      </c>
      <c r="O445" t="n">
        <v>0</v>
      </c>
      <c r="P445" t="n">
        <v>0</v>
      </c>
      <c r="Q445" t="n">
        <v>0</v>
      </c>
      <c r="R445" s="2" t="inlineStr"/>
    </row>
    <row r="446" ht="15" customHeight="1">
      <c r="A446" t="inlineStr">
        <is>
          <t>A 35774-2025</t>
        </is>
      </c>
      <c r="B446" s="1" t="n">
        <v>45860.68780092592</v>
      </c>
      <c r="C446" s="1" t="n">
        <v>46065</v>
      </c>
      <c r="D446" t="inlineStr">
        <is>
          <t>VÄSTMANLANDS LÄN</t>
        </is>
      </c>
      <c r="E446" t="inlineStr">
        <is>
          <t>SALA</t>
        </is>
      </c>
      <c r="G446" t="n">
        <v>6.5</v>
      </c>
      <c r="H446" t="n">
        <v>0</v>
      </c>
      <c r="I446" t="n">
        <v>0</v>
      </c>
      <c r="J446" t="n">
        <v>0</v>
      </c>
      <c r="K446" t="n">
        <v>0</v>
      </c>
      <c r="L446" t="n">
        <v>0</v>
      </c>
      <c r="M446" t="n">
        <v>0</v>
      </c>
      <c r="N446" t="n">
        <v>0</v>
      </c>
      <c r="O446" t="n">
        <v>0</v>
      </c>
      <c r="P446" t="n">
        <v>0</v>
      </c>
      <c r="Q446" t="n">
        <v>0</v>
      </c>
      <c r="R446" s="2" t="inlineStr"/>
    </row>
    <row r="447" ht="15" customHeight="1">
      <c r="A447" t="inlineStr">
        <is>
          <t>A 35776-2025</t>
        </is>
      </c>
      <c r="B447" s="1" t="n">
        <v>45860.69211805556</v>
      </c>
      <c r="C447" s="1" t="n">
        <v>46065</v>
      </c>
      <c r="D447" t="inlineStr">
        <is>
          <t>VÄSTMANLANDS LÄN</t>
        </is>
      </c>
      <c r="E447" t="inlineStr">
        <is>
          <t>SALA</t>
        </is>
      </c>
      <c r="G447" t="n">
        <v>14.2</v>
      </c>
      <c r="H447" t="n">
        <v>0</v>
      </c>
      <c r="I447" t="n">
        <v>0</v>
      </c>
      <c r="J447" t="n">
        <v>0</v>
      </c>
      <c r="K447" t="n">
        <v>0</v>
      </c>
      <c r="L447" t="n">
        <v>0</v>
      </c>
      <c r="M447" t="n">
        <v>0</v>
      </c>
      <c r="N447" t="n">
        <v>0</v>
      </c>
      <c r="O447" t="n">
        <v>0</v>
      </c>
      <c r="P447" t="n">
        <v>0</v>
      </c>
      <c r="Q447" t="n">
        <v>0</v>
      </c>
      <c r="R447" s="2" t="inlineStr"/>
    </row>
    <row r="448" ht="15" customHeight="1">
      <c r="A448" t="inlineStr">
        <is>
          <t>A 35779-2025</t>
        </is>
      </c>
      <c r="B448" s="1" t="n">
        <v>45860.69495370371</v>
      </c>
      <c r="C448" s="1" t="n">
        <v>46065</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16693-2023</t>
        </is>
      </c>
      <c r="B449" s="1" t="n">
        <v>45028</v>
      </c>
      <c r="C449" s="1" t="n">
        <v>46065</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23182-2022</t>
        </is>
      </c>
      <c r="B450" s="1" t="n">
        <v>44719.79707175926</v>
      </c>
      <c r="C450" s="1" t="n">
        <v>46065</v>
      </c>
      <c r="D450" t="inlineStr">
        <is>
          <t>VÄSTMANLANDS LÄN</t>
        </is>
      </c>
      <c r="E450" t="inlineStr">
        <is>
          <t>SALA</t>
        </is>
      </c>
      <c r="G450" t="n">
        <v>1.2</v>
      </c>
      <c r="H450" t="n">
        <v>0</v>
      </c>
      <c r="I450" t="n">
        <v>0</v>
      </c>
      <c r="J450" t="n">
        <v>0</v>
      </c>
      <c r="K450" t="n">
        <v>0</v>
      </c>
      <c r="L450" t="n">
        <v>0</v>
      </c>
      <c r="M450" t="n">
        <v>0</v>
      </c>
      <c r="N450" t="n">
        <v>0</v>
      </c>
      <c r="O450" t="n">
        <v>0</v>
      </c>
      <c r="P450" t="n">
        <v>0</v>
      </c>
      <c r="Q450" t="n">
        <v>0</v>
      </c>
      <c r="R450" s="2" t="inlineStr"/>
    </row>
    <row r="451" ht="15" customHeight="1">
      <c r="A451" t="inlineStr">
        <is>
          <t>A 25541-2024</t>
        </is>
      </c>
      <c r="B451" s="1" t="n">
        <v>45463.56337962963</v>
      </c>
      <c r="C451" s="1" t="n">
        <v>46065</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36049-2025</t>
        </is>
      </c>
      <c r="B452" s="1" t="n">
        <v>45866.37065972222</v>
      </c>
      <c r="C452" s="1" t="n">
        <v>46065</v>
      </c>
      <c r="D452" t="inlineStr">
        <is>
          <t>VÄSTMANLANDS LÄN</t>
        </is>
      </c>
      <c r="E452" t="inlineStr">
        <is>
          <t>SALA</t>
        </is>
      </c>
      <c r="F452" t="inlineStr">
        <is>
          <t>Kommuner</t>
        </is>
      </c>
      <c r="G452" t="n">
        <v>1.9</v>
      </c>
      <c r="H452" t="n">
        <v>0</v>
      </c>
      <c r="I452" t="n">
        <v>0</v>
      </c>
      <c r="J452" t="n">
        <v>0</v>
      </c>
      <c r="K452" t="n">
        <v>0</v>
      </c>
      <c r="L452" t="n">
        <v>0</v>
      </c>
      <c r="M452" t="n">
        <v>0</v>
      </c>
      <c r="N452" t="n">
        <v>0</v>
      </c>
      <c r="O452" t="n">
        <v>0</v>
      </c>
      <c r="P452" t="n">
        <v>0</v>
      </c>
      <c r="Q452" t="n">
        <v>0</v>
      </c>
      <c r="R452" s="2" t="inlineStr"/>
    </row>
    <row r="453" ht="15" customHeight="1">
      <c r="A453" t="inlineStr">
        <is>
          <t>A 36031-2025</t>
        </is>
      </c>
      <c r="B453" s="1" t="n">
        <v>45865.46111111111</v>
      </c>
      <c r="C453" s="1" t="n">
        <v>46065</v>
      </c>
      <c r="D453" t="inlineStr">
        <is>
          <t>VÄSTMANLANDS LÄN</t>
        </is>
      </c>
      <c r="E453" t="inlineStr">
        <is>
          <t>SALA</t>
        </is>
      </c>
      <c r="G453" t="n">
        <v>7.2</v>
      </c>
      <c r="H453" t="n">
        <v>0</v>
      </c>
      <c r="I453" t="n">
        <v>0</v>
      </c>
      <c r="J453" t="n">
        <v>0</v>
      </c>
      <c r="K453" t="n">
        <v>0</v>
      </c>
      <c r="L453" t="n">
        <v>0</v>
      </c>
      <c r="M453" t="n">
        <v>0</v>
      </c>
      <c r="N453" t="n">
        <v>0</v>
      </c>
      <c r="O453" t="n">
        <v>0</v>
      </c>
      <c r="P453" t="n">
        <v>0</v>
      </c>
      <c r="Q453" t="n">
        <v>0</v>
      </c>
      <c r="R453" s="2" t="inlineStr"/>
    </row>
    <row r="454" ht="15" customHeight="1">
      <c r="A454" t="inlineStr">
        <is>
          <t>A 36060-2025</t>
        </is>
      </c>
      <c r="B454" s="1" t="n">
        <v>45866.39469907407</v>
      </c>
      <c r="C454" s="1" t="n">
        <v>46065</v>
      </c>
      <c r="D454" t="inlineStr">
        <is>
          <t>VÄSTMANLANDS LÄN</t>
        </is>
      </c>
      <c r="E454" t="inlineStr">
        <is>
          <t>SALA</t>
        </is>
      </c>
      <c r="F454" t="inlineStr">
        <is>
          <t>Kommuner</t>
        </is>
      </c>
      <c r="G454" t="n">
        <v>4.3</v>
      </c>
      <c r="H454" t="n">
        <v>0</v>
      </c>
      <c r="I454" t="n">
        <v>0</v>
      </c>
      <c r="J454" t="n">
        <v>0</v>
      </c>
      <c r="K454" t="n">
        <v>0</v>
      </c>
      <c r="L454" t="n">
        <v>0</v>
      </c>
      <c r="M454" t="n">
        <v>0</v>
      </c>
      <c r="N454" t="n">
        <v>0</v>
      </c>
      <c r="O454" t="n">
        <v>0</v>
      </c>
      <c r="P454" t="n">
        <v>0</v>
      </c>
      <c r="Q454" t="n">
        <v>0</v>
      </c>
      <c r="R454" s="2" t="inlineStr"/>
    </row>
    <row r="455" ht="15" customHeight="1">
      <c r="A455" t="inlineStr">
        <is>
          <t>A 57371-2022</t>
        </is>
      </c>
      <c r="B455" s="1" t="n">
        <v>44896.43832175926</v>
      </c>
      <c r="C455" s="1" t="n">
        <v>46065</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36032-2025</t>
        </is>
      </c>
      <c r="B456" s="1" t="n">
        <v>45865.48740740741</v>
      </c>
      <c r="C456" s="1" t="n">
        <v>46065</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36043-2025</t>
        </is>
      </c>
      <c r="B457" s="1" t="n">
        <v>45866.35333333333</v>
      </c>
      <c r="C457" s="1" t="n">
        <v>46065</v>
      </c>
      <c r="D457" t="inlineStr">
        <is>
          <t>VÄSTMANLANDS LÄN</t>
        </is>
      </c>
      <c r="E457" t="inlineStr">
        <is>
          <t>SALA</t>
        </is>
      </c>
      <c r="F457" t="inlineStr">
        <is>
          <t>Kommuner</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36045-2025</t>
        </is>
      </c>
      <c r="B458" s="1" t="n">
        <v>45866.36200231482</v>
      </c>
      <c r="C458" s="1" t="n">
        <v>46065</v>
      </c>
      <c r="D458" t="inlineStr">
        <is>
          <t>VÄSTMANLANDS LÄN</t>
        </is>
      </c>
      <c r="E458" t="inlineStr">
        <is>
          <t>SALA</t>
        </is>
      </c>
      <c r="F458" t="inlineStr">
        <is>
          <t>Kommuner</t>
        </is>
      </c>
      <c r="G458" t="n">
        <v>1.7</v>
      </c>
      <c r="H458" t="n">
        <v>0</v>
      </c>
      <c r="I458" t="n">
        <v>0</v>
      </c>
      <c r="J458" t="n">
        <v>0</v>
      </c>
      <c r="K458" t="n">
        <v>0</v>
      </c>
      <c r="L458" t="n">
        <v>0</v>
      </c>
      <c r="M458" t="n">
        <v>0</v>
      </c>
      <c r="N458" t="n">
        <v>0</v>
      </c>
      <c r="O458" t="n">
        <v>0</v>
      </c>
      <c r="P458" t="n">
        <v>0</v>
      </c>
      <c r="Q458" t="n">
        <v>0</v>
      </c>
      <c r="R458" s="2" t="inlineStr"/>
    </row>
    <row r="459" ht="15" customHeight="1">
      <c r="A459" t="inlineStr">
        <is>
          <t>A 29213-2022</t>
        </is>
      </c>
      <c r="B459" s="1" t="n">
        <v>44750.57474537037</v>
      </c>
      <c r="C459" s="1" t="n">
        <v>46065</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56964-2023</t>
        </is>
      </c>
      <c r="B460" s="1" t="n">
        <v>45244.63140046296</v>
      </c>
      <c r="C460" s="1" t="n">
        <v>46065</v>
      </c>
      <c r="D460" t="inlineStr">
        <is>
          <t>VÄSTMANLANDS LÄN</t>
        </is>
      </c>
      <c r="E460" t="inlineStr">
        <is>
          <t>SALA</t>
        </is>
      </c>
      <c r="G460" t="n">
        <v>4.6</v>
      </c>
      <c r="H460" t="n">
        <v>0</v>
      </c>
      <c r="I460" t="n">
        <v>0</v>
      </c>
      <c r="J460" t="n">
        <v>0</v>
      </c>
      <c r="K460" t="n">
        <v>0</v>
      </c>
      <c r="L460" t="n">
        <v>0</v>
      </c>
      <c r="M460" t="n">
        <v>0</v>
      </c>
      <c r="N460" t="n">
        <v>0</v>
      </c>
      <c r="O460" t="n">
        <v>0</v>
      </c>
      <c r="P460" t="n">
        <v>0</v>
      </c>
      <c r="Q460" t="n">
        <v>0</v>
      </c>
      <c r="R460" s="2" t="inlineStr"/>
    </row>
    <row r="461" ht="15" customHeight="1">
      <c r="A461" t="inlineStr">
        <is>
          <t>A 17985-2025</t>
        </is>
      </c>
      <c r="B461" s="1" t="n">
        <v>45761</v>
      </c>
      <c r="C461" s="1" t="n">
        <v>46065</v>
      </c>
      <c r="D461" t="inlineStr">
        <is>
          <t>VÄSTMANLANDS LÄN</t>
        </is>
      </c>
      <c r="E461" t="inlineStr">
        <is>
          <t>SALA</t>
        </is>
      </c>
      <c r="G461" t="n">
        <v>12.5</v>
      </c>
      <c r="H461" t="n">
        <v>0</v>
      </c>
      <c r="I461" t="n">
        <v>0</v>
      </c>
      <c r="J461" t="n">
        <v>0</v>
      </c>
      <c r="K461" t="n">
        <v>0</v>
      </c>
      <c r="L461" t="n">
        <v>0</v>
      </c>
      <c r="M461" t="n">
        <v>0</v>
      </c>
      <c r="N461" t="n">
        <v>0</v>
      </c>
      <c r="O461" t="n">
        <v>0</v>
      </c>
      <c r="P461" t="n">
        <v>0</v>
      </c>
      <c r="Q461" t="n">
        <v>0</v>
      </c>
      <c r="R461" s="2" t="inlineStr"/>
    </row>
    <row r="462" ht="15" customHeight="1">
      <c r="A462" t="inlineStr">
        <is>
          <t>A 31869-2025</t>
        </is>
      </c>
      <c r="B462" s="1" t="n">
        <v>45834.64555555556</v>
      </c>
      <c r="C462" s="1" t="n">
        <v>46065</v>
      </c>
      <c r="D462" t="inlineStr">
        <is>
          <t>VÄSTMANLANDS LÄN</t>
        </is>
      </c>
      <c r="E462" t="inlineStr">
        <is>
          <t>SALA</t>
        </is>
      </c>
      <c r="G462" t="n">
        <v>17.5</v>
      </c>
      <c r="H462" t="n">
        <v>0</v>
      </c>
      <c r="I462" t="n">
        <v>0</v>
      </c>
      <c r="J462" t="n">
        <v>0</v>
      </c>
      <c r="K462" t="n">
        <v>0</v>
      </c>
      <c r="L462" t="n">
        <v>0</v>
      </c>
      <c r="M462" t="n">
        <v>0</v>
      </c>
      <c r="N462" t="n">
        <v>0</v>
      </c>
      <c r="O462" t="n">
        <v>0</v>
      </c>
      <c r="P462" t="n">
        <v>0</v>
      </c>
      <c r="Q462" t="n">
        <v>0</v>
      </c>
      <c r="R462" s="2" t="inlineStr"/>
    </row>
    <row r="463" ht="15" customHeight="1">
      <c r="A463" t="inlineStr">
        <is>
          <t>A 31863-2025</t>
        </is>
      </c>
      <c r="B463" s="1" t="n">
        <v>45834.63303240741</v>
      </c>
      <c r="C463" s="1" t="n">
        <v>46065</v>
      </c>
      <c r="D463" t="inlineStr">
        <is>
          <t>VÄSTMANLANDS LÄN</t>
        </is>
      </c>
      <c r="E463" t="inlineStr">
        <is>
          <t>SALA</t>
        </is>
      </c>
      <c r="G463" t="n">
        <v>2.5</v>
      </c>
      <c r="H463" t="n">
        <v>0</v>
      </c>
      <c r="I463" t="n">
        <v>0</v>
      </c>
      <c r="J463" t="n">
        <v>0</v>
      </c>
      <c r="K463" t="n">
        <v>0</v>
      </c>
      <c r="L463" t="n">
        <v>0</v>
      </c>
      <c r="M463" t="n">
        <v>0</v>
      </c>
      <c r="N463" t="n">
        <v>0</v>
      </c>
      <c r="O463" t="n">
        <v>0</v>
      </c>
      <c r="P463" t="n">
        <v>0</v>
      </c>
      <c r="Q463" t="n">
        <v>0</v>
      </c>
      <c r="R463" s="2" t="inlineStr"/>
    </row>
    <row r="464" ht="15" customHeight="1">
      <c r="A464" t="inlineStr">
        <is>
          <t>A 17766-2025</t>
        </is>
      </c>
      <c r="B464" s="1" t="n">
        <v>45758</v>
      </c>
      <c r="C464" s="1" t="n">
        <v>46065</v>
      </c>
      <c r="D464" t="inlineStr">
        <is>
          <t>VÄSTMANLANDS LÄN</t>
        </is>
      </c>
      <c r="E464" t="inlineStr">
        <is>
          <t>SALA</t>
        </is>
      </c>
      <c r="G464" t="n">
        <v>16.5</v>
      </c>
      <c r="H464" t="n">
        <v>0</v>
      </c>
      <c r="I464" t="n">
        <v>0</v>
      </c>
      <c r="J464" t="n">
        <v>0</v>
      </c>
      <c r="K464" t="n">
        <v>0</v>
      </c>
      <c r="L464" t="n">
        <v>0</v>
      </c>
      <c r="M464" t="n">
        <v>0</v>
      </c>
      <c r="N464" t="n">
        <v>0</v>
      </c>
      <c r="O464" t="n">
        <v>0</v>
      </c>
      <c r="P464" t="n">
        <v>0</v>
      </c>
      <c r="Q464" t="n">
        <v>0</v>
      </c>
      <c r="R464" s="2" t="inlineStr"/>
    </row>
    <row r="465" ht="15" customHeight="1">
      <c r="A465" t="inlineStr">
        <is>
          <t>A 7664-2023</t>
        </is>
      </c>
      <c r="B465" s="1" t="n">
        <v>44972</v>
      </c>
      <c r="C465" s="1" t="n">
        <v>46065</v>
      </c>
      <c r="D465" t="inlineStr">
        <is>
          <t>VÄSTMANLANDS LÄN</t>
        </is>
      </c>
      <c r="E465" t="inlineStr">
        <is>
          <t>SALA</t>
        </is>
      </c>
      <c r="G465" t="n">
        <v>1.4</v>
      </c>
      <c r="H465" t="n">
        <v>0</v>
      </c>
      <c r="I465" t="n">
        <v>0</v>
      </c>
      <c r="J465" t="n">
        <v>0</v>
      </c>
      <c r="K465" t="n">
        <v>0</v>
      </c>
      <c r="L465" t="n">
        <v>0</v>
      </c>
      <c r="M465" t="n">
        <v>0</v>
      </c>
      <c r="N465" t="n">
        <v>0</v>
      </c>
      <c r="O465" t="n">
        <v>0</v>
      </c>
      <c r="P465" t="n">
        <v>0</v>
      </c>
      <c r="Q465" t="n">
        <v>0</v>
      </c>
      <c r="R465" s="2" t="inlineStr"/>
    </row>
    <row r="466" ht="15" customHeight="1">
      <c r="A466" t="inlineStr">
        <is>
          <t>A 3546-2025</t>
        </is>
      </c>
      <c r="B466" s="1" t="n">
        <v>45680</v>
      </c>
      <c r="C466" s="1" t="n">
        <v>46065</v>
      </c>
      <c r="D466" t="inlineStr">
        <is>
          <t>VÄSTMANLANDS LÄN</t>
        </is>
      </c>
      <c r="E466" t="inlineStr">
        <is>
          <t>SALA</t>
        </is>
      </c>
      <c r="G466" t="n">
        <v>0.4</v>
      </c>
      <c r="H466" t="n">
        <v>0</v>
      </c>
      <c r="I466" t="n">
        <v>0</v>
      </c>
      <c r="J466" t="n">
        <v>0</v>
      </c>
      <c r="K466" t="n">
        <v>0</v>
      </c>
      <c r="L466" t="n">
        <v>0</v>
      </c>
      <c r="M466" t="n">
        <v>0</v>
      </c>
      <c r="N466" t="n">
        <v>0</v>
      </c>
      <c r="O466" t="n">
        <v>0</v>
      </c>
      <c r="P466" t="n">
        <v>0</v>
      </c>
      <c r="Q466" t="n">
        <v>0</v>
      </c>
      <c r="R466" s="2" t="inlineStr"/>
    </row>
    <row r="467" ht="15" customHeight="1">
      <c r="A467" t="inlineStr">
        <is>
          <t>A 56548-2024</t>
        </is>
      </c>
      <c r="B467" s="1" t="n">
        <v>45625</v>
      </c>
      <c r="C467" s="1" t="n">
        <v>46065</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47086-2022</t>
        </is>
      </c>
      <c r="B468" s="1" t="n">
        <v>44852</v>
      </c>
      <c r="C468" s="1" t="n">
        <v>46065</v>
      </c>
      <c r="D468" t="inlineStr">
        <is>
          <t>VÄSTMANLANDS LÄN</t>
        </is>
      </c>
      <c r="E468" t="inlineStr">
        <is>
          <t>SALA</t>
        </is>
      </c>
      <c r="G468" t="n">
        <v>12.5</v>
      </c>
      <c r="H468" t="n">
        <v>0</v>
      </c>
      <c r="I468" t="n">
        <v>0</v>
      </c>
      <c r="J468" t="n">
        <v>0</v>
      </c>
      <c r="K468" t="n">
        <v>0</v>
      </c>
      <c r="L468" t="n">
        <v>0</v>
      </c>
      <c r="M468" t="n">
        <v>0</v>
      </c>
      <c r="N468" t="n">
        <v>0</v>
      </c>
      <c r="O468" t="n">
        <v>0</v>
      </c>
      <c r="P468" t="n">
        <v>0</v>
      </c>
      <c r="Q468" t="n">
        <v>0</v>
      </c>
      <c r="R468" s="2" t="inlineStr"/>
    </row>
    <row r="469" ht="15" customHeight="1">
      <c r="A469" t="inlineStr">
        <is>
          <t>A 1555-2024</t>
        </is>
      </c>
      <c r="B469" s="1" t="n">
        <v>45306</v>
      </c>
      <c r="C469" s="1" t="n">
        <v>46065</v>
      </c>
      <c r="D469" t="inlineStr">
        <is>
          <t>VÄSTMANLANDS LÄN</t>
        </is>
      </c>
      <c r="E469" t="inlineStr">
        <is>
          <t>SALA</t>
        </is>
      </c>
      <c r="G469" t="n">
        <v>1.3</v>
      </c>
      <c r="H469" t="n">
        <v>0</v>
      </c>
      <c r="I469" t="n">
        <v>0</v>
      </c>
      <c r="J469" t="n">
        <v>0</v>
      </c>
      <c r="K469" t="n">
        <v>0</v>
      </c>
      <c r="L469" t="n">
        <v>0</v>
      </c>
      <c r="M469" t="n">
        <v>0</v>
      </c>
      <c r="N469" t="n">
        <v>0</v>
      </c>
      <c r="O469" t="n">
        <v>0</v>
      </c>
      <c r="P469" t="n">
        <v>0</v>
      </c>
      <c r="Q469" t="n">
        <v>0</v>
      </c>
      <c r="R469" s="2" t="inlineStr"/>
    </row>
    <row r="470" ht="15" customHeight="1">
      <c r="A470" t="inlineStr">
        <is>
          <t>A 13188-2025</t>
        </is>
      </c>
      <c r="B470" s="1" t="n">
        <v>45735.39246527778</v>
      </c>
      <c r="C470" s="1" t="n">
        <v>46065</v>
      </c>
      <c r="D470" t="inlineStr">
        <is>
          <t>VÄSTMANLANDS LÄN</t>
        </is>
      </c>
      <c r="E470" t="inlineStr">
        <is>
          <t>SALA</t>
        </is>
      </c>
      <c r="F470" t="inlineStr">
        <is>
          <t>Naturvårdsverket</t>
        </is>
      </c>
      <c r="G470" t="n">
        <v>18.4</v>
      </c>
      <c r="H470" t="n">
        <v>0</v>
      </c>
      <c r="I470" t="n">
        <v>0</v>
      </c>
      <c r="J470" t="n">
        <v>0</v>
      </c>
      <c r="K470" t="n">
        <v>0</v>
      </c>
      <c r="L470" t="n">
        <v>0</v>
      </c>
      <c r="M470" t="n">
        <v>0</v>
      </c>
      <c r="N470" t="n">
        <v>0</v>
      </c>
      <c r="O470" t="n">
        <v>0</v>
      </c>
      <c r="P470" t="n">
        <v>0</v>
      </c>
      <c r="Q470" t="n">
        <v>0</v>
      </c>
      <c r="R470" s="2" t="inlineStr"/>
    </row>
    <row r="471" ht="15" customHeight="1">
      <c r="A471" t="inlineStr">
        <is>
          <t>A 988-2025</t>
        </is>
      </c>
      <c r="B471" s="1" t="n">
        <v>45666.44038194444</v>
      </c>
      <c r="C471" s="1" t="n">
        <v>46065</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7197-2025</t>
        </is>
      </c>
      <c r="B472" s="1" t="n">
        <v>45702</v>
      </c>
      <c r="C472" s="1" t="n">
        <v>46065</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37017-2025</t>
        </is>
      </c>
      <c r="B473" s="1" t="n">
        <v>45874</v>
      </c>
      <c r="C473" s="1" t="n">
        <v>46065</v>
      </c>
      <c r="D473" t="inlineStr">
        <is>
          <t>VÄSTMANLANDS LÄN</t>
        </is>
      </c>
      <c r="E473" t="inlineStr">
        <is>
          <t>SALA</t>
        </is>
      </c>
      <c r="G473" t="n">
        <v>11.1</v>
      </c>
      <c r="H473" t="n">
        <v>0</v>
      </c>
      <c r="I473" t="n">
        <v>0</v>
      </c>
      <c r="J473" t="n">
        <v>0</v>
      </c>
      <c r="K473" t="n">
        <v>0</v>
      </c>
      <c r="L473" t="n">
        <v>0</v>
      </c>
      <c r="M473" t="n">
        <v>0</v>
      </c>
      <c r="N473" t="n">
        <v>0</v>
      </c>
      <c r="O473" t="n">
        <v>0</v>
      </c>
      <c r="P473" t="n">
        <v>0</v>
      </c>
      <c r="Q473" t="n">
        <v>0</v>
      </c>
      <c r="R473" s="2" t="inlineStr"/>
    </row>
    <row r="474" ht="15" customHeight="1">
      <c r="A474" t="inlineStr">
        <is>
          <t>A 5032-2025</t>
        </is>
      </c>
      <c r="B474" s="1" t="n">
        <v>45691</v>
      </c>
      <c r="C474" s="1" t="n">
        <v>46065</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37103-2025</t>
        </is>
      </c>
      <c r="B475" s="1" t="n">
        <v>45875.47743055555</v>
      </c>
      <c r="C475" s="1" t="n">
        <v>46065</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37246-2025</t>
        </is>
      </c>
      <c r="B476" s="1" t="n">
        <v>45876.39435185185</v>
      </c>
      <c r="C476" s="1" t="n">
        <v>46065</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15099-2025</t>
        </is>
      </c>
      <c r="B477" s="1" t="n">
        <v>45744.3434837963</v>
      </c>
      <c r="C477" s="1" t="n">
        <v>46065</v>
      </c>
      <c r="D477" t="inlineStr">
        <is>
          <t>VÄSTMANLANDS LÄN</t>
        </is>
      </c>
      <c r="E477" t="inlineStr">
        <is>
          <t>SALA</t>
        </is>
      </c>
      <c r="F477" t="inlineStr">
        <is>
          <t>Sveaskog</t>
        </is>
      </c>
      <c r="G477" t="n">
        <v>14.4</v>
      </c>
      <c r="H477" t="n">
        <v>0</v>
      </c>
      <c r="I477" t="n">
        <v>0</v>
      </c>
      <c r="J477" t="n">
        <v>0</v>
      </c>
      <c r="K477" t="n">
        <v>0</v>
      </c>
      <c r="L477" t="n">
        <v>0</v>
      </c>
      <c r="M477" t="n">
        <v>0</v>
      </c>
      <c r="N477" t="n">
        <v>0</v>
      </c>
      <c r="O477" t="n">
        <v>0</v>
      </c>
      <c r="P477" t="n">
        <v>0</v>
      </c>
      <c r="Q477" t="n">
        <v>0</v>
      </c>
      <c r="R477" s="2" t="inlineStr"/>
    </row>
    <row r="478" ht="15" customHeight="1">
      <c r="A478" t="inlineStr">
        <is>
          <t>A 10250-2025</t>
        </is>
      </c>
      <c r="B478" s="1" t="n">
        <v>45720.36165509259</v>
      </c>
      <c r="C478" s="1" t="n">
        <v>46065</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2928-2024</t>
        </is>
      </c>
      <c r="B479" s="1" t="n">
        <v>45315.59041666667</v>
      </c>
      <c r="C479" s="1" t="n">
        <v>46065</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66908-2021</t>
        </is>
      </c>
      <c r="B480" s="1" t="n">
        <v>44522</v>
      </c>
      <c r="C480" s="1" t="n">
        <v>46065</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9962-2025</t>
        </is>
      </c>
      <c r="B481" s="1" t="n">
        <v>45719.37072916667</v>
      </c>
      <c r="C481" s="1" t="n">
        <v>46065</v>
      </c>
      <c r="D481" t="inlineStr">
        <is>
          <t>VÄSTMANLANDS LÄN</t>
        </is>
      </c>
      <c r="E481" t="inlineStr">
        <is>
          <t>SALA</t>
        </is>
      </c>
      <c r="G481" t="n">
        <v>4.5</v>
      </c>
      <c r="H481" t="n">
        <v>0</v>
      </c>
      <c r="I481" t="n">
        <v>0</v>
      </c>
      <c r="J481" t="n">
        <v>0</v>
      </c>
      <c r="K481" t="n">
        <v>0</v>
      </c>
      <c r="L481" t="n">
        <v>0</v>
      </c>
      <c r="M481" t="n">
        <v>0</v>
      </c>
      <c r="N481" t="n">
        <v>0</v>
      </c>
      <c r="O481" t="n">
        <v>0</v>
      </c>
      <c r="P481" t="n">
        <v>0</v>
      </c>
      <c r="Q481" t="n">
        <v>0</v>
      </c>
      <c r="R481" s="2" t="inlineStr"/>
    </row>
    <row r="482" ht="15" customHeight="1">
      <c r="A482" t="inlineStr">
        <is>
          <t>A 37590-2025</t>
        </is>
      </c>
      <c r="B482" s="1" t="n">
        <v>45880.41138888889</v>
      </c>
      <c r="C482" s="1" t="n">
        <v>46065</v>
      </c>
      <c r="D482" t="inlineStr">
        <is>
          <t>VÄSTMANLANDS LÄN</t>
        </is>
      </c>
      <c r="E482" t="inlineStr">
        <is>
          <t>SALA</t>
        </is>
      </c>
      <c r="G482" t="n">
        <v>2.2</v>
      </c>
      <c r="H482" t="n">
        <v>0</v>
      </c>
      <c r="I482" t="n">
        <v>0</v>
      </c>
      <c r="J482" t="n">
        <v>0</v>
      </c>
      <c r="K482" t="n">
        <v>0</v>
      </c>
      <c r="L482" t="n">
        <v>0</v>
      </c>
      <c r="M482" t="n">
        <v>0</v>
      </c>
      <c r="N482" t="n">
        <v>0</v>
      </c>
      <c r="O482" t="n">
        <v>0</v>
      </c>
      <c r="P482" t="n">
        <v>0</v>
      </c>
      <c r="Q482" t="n">
        <v>0</v>
      </c>
      <c r="R482" s="2" t="inlineStr"/>
    </row>
    <row r="483" ht="15" customHeight="1">
      <c r="A483" t="inlineStr">
        <is>
          <t>A 37593-2025</t>
        </is>
      </c>
      <c r="B483" s="1" t="n">
        <v>45880.41325231481</v>
      </c>
      <c r="C483" s="1" t="n">
        <v>46065</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11696-2025</t>
        </is>
      </c>
      <c r="B484" s="1" t="n">
        <v>45727</v>
      </c>
      <c r="C484" s="1" t="n">
        <v>46065</v>
      </c>
      <c r="D484" t="inlineStr">
        <is>
          <t>VÄSTMANLANDS LÄN</t>
        </is>
      </c>
      <c r="E484" t="inlineStr">
        <is>
          <t>SALA</t>
        </is>
      </c>
      <c r="F484" t="inlineStr">
        <is>
          <t>Bergvik skog öst AB</t>
        </is>
      </c>
      <c r="G484" t="n">
        <v>1.6</v>
      </c>
      <c r="H484" t="n">
        <v>0</v>
      </c>
      <c r="I484" t="n">
        <v>0</v>
      </c>
      <c r="J484" t="n">
        <v>0</v>
      </c>
      <c r="K484" t="n">
        <v>0</v>
      </c>
      <c r="L484" t="n">
        <v>0</v>
      </c>
      <c r="M484" t="n">
        <v>0</v>
      </c>
      <c r="N484" t="n">
        <v>0</v>
      </c>
      <c r="O484" t="n">
        <v>0</v>
      </c>
      <c r="P484" t="n">
        <v>0</v>
      </c>
      <c r="Q484" t="n">
        <v>0</v>
      </c>
      <c r="R484" s="2" t="inlineStr"/>
    </row>
    <row r="485" ht="15" customHeight="1">
      <c r="A485" t="inlineStr">
        <is>
          <t>A 14024-2025</t>
        </is>
      </c>
      <c r="B485" s="1" t="n">
        <v>45740.34650462963</v>
      </c>
      <c r="C485" s="1" t="n">
        <v>46065</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44719.79344907407</v>
      </c>
      <c r="C486" s="1" t="n">
        <v>46065</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21053-2022</t>
        </is>
      </c>
      <c r="B487" s="1" t="n">
        <v>44704</v>
      </c>
      <c r="C487" s="1" t="n">
        <v>46065</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3551-2024</t>
        </is>
      </c>
      <c r="B488" s="1" t="n">
        <v>45320.61099537037</v>
      </c>
      <c r="C488" s="1" t="n">
        <v>46065</v>
      </c>
      <c r="D488" t="inlineStr">
        <is>
          <t>VÄSTMANLANDS LÄN</t>
        </is>
      </c>
      <c r="E488" t="inlineStr">
        <is>
          <t>SALA</t>
        </is>
      </c>
      <c r="F488" t="inlineStr">
        <is>
          <t>Kommuner</t>
        </is>
      </c>
      <c r="G488" t="n">
        <v>6</v>
      </c>
      <c r="H488" t="n">
        <v>0</v>
      </c>
      <c r="I488" t="n">
        <v>0</v>
      </c>
      <c r="J488" t="n">
        <v>0</v>
      </c>
      <c r="K488" t="n">
        <v>0</v>
      </c>
      <c r="L488" t="n">
        <v>0</v>
      </c>
      <c r="M488" t="n">
        <v>0</v>
      </c>
      <c r="N488" t="n">
        <v>0</v>
      </c>
      <c r="O488" t="n">
        <v>0</v>
      </c>
      <c r="P488" t="n">
        <v>0</v>
      </c>
      <c r="Q488" t="n">
        <v>0</v>
      </c>
      <c r="R488" s="2" t="inlineStr"/>
    </row>
    <row r="489" ht="15" customHeight="1">
      <c r="A489" t="inlineStr">
        <is>
          <t>A 43509-2021</t>
        </is>
      </c>
      <c r="B489" s="1" t="n">
        <v>44433</v>
      </c>
      <c r="C489" s="1" t="n">
        <v>46065</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62635-2022</t>
        </is>
      </c>
      <c r="B490" s="1" t="n">
        <v>44917</v>
      </c>
      <c r="C490" s="1" t="n">
        <v>46065</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13746-2025</t>
        </is>
      </c>
      <c r="B491" s="1" t="n">
        <v>45737.40944444444</v>
      </c>
      <c r="C491" s="1" t="n">
        <v>46065</v>
      </c>
      <c r="D491" t="inlineStr">
        <is>
          <t>VÄSTMANLANDS LÄN</t>
        </is>
      </c>
      <c r="E491" t="inlineStr">
        <is>
          <t>SALA</t>
        </is>
      </c>
      <c r="G491" t="n">
        <v>2.1</v>
      </c>
      <c r="H491" t="n">
        <v>0</v>
      </c>
      <c r="I491" t="n">
        <v>0</v>
      </c>
      <c r="J491" t="n">
        <v>0</v>
      </c>
      <c r="K491" t="n">
        <v>0</v>
      </c>
      <c r="L491" t="n">
        <v>0</v>
      </c>
      <c r="M491" t="n">
        <v>0</v>
      </c>
      <c r="N491" t="n">
        <v>0</v>
      </c>
      <c r="O491" t="n">
        <v>0</v>
      </c>
      <c r="P491" t="n">
        <v>0</v>
      </c>
      <c r="Q491" t="n">
        <v>0</v>
      </c>
      <c r="R491" s="2" t="inlineStr"/>
    </row>
    <row r="492" ht="15" customHeight="1">
      <c r="A492" t="inlineStr">
        <is>
          <t>A 19304-2025</t>
        </is>
      </c>
      <c r="B492" s="1" t="n">
        <v>45769</v>
      </c>
      <c r="C492" s="1" t="n">
        <v>46065</v>
      </c>
      <c r="D492" t="inlineStr">
        <is>
          <t>VÄSTMANLANDS LÄN</t>
        </is>
      </c>
      <c r="E492" t="inlineStr">
        <is>
          <t>SALA</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43359-2024</t>
        </is>
      </c>
      <c r="B493" s="1" t="n">
        <v>45568.57724537037</v>
      </c>
      <c r="C493" s="1" t="n">
        <v>46065</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56057-2023</t>
        </is>
      </c>
      <c r="B494" s="1" t="n">
        <v>45233</v>
      </c>
      <c r="C494" s="1" t="n">
        <v>46065</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29972-2025</t>
        </is>
      </c>
      <c r="B495" s="1" t="n">
        <v>45826</v>
      </c>
      <c r="C495" s="1" t="n">
        <v>46065</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25897-2024</t>
        </is>
      </c>
      <c r="B496" s="1" t="n">
        <v>45467.54435185185</v>
      </c>
      <c r="C496" s="1" t="n">
        <v>46065</v>
      </c>
      <c r="D496" t="inlineStr">
        <is>
          <t>VÄSTMANLANDS LÄN</t>
        </is>
      </c>
      <c r="E496" t="inlineStr">
        <is>
          <t>SALA</t>
        </is>
      </c>
      <c r="G496" t="n">
        <v>9.9</v>
      </c>
      <c r="H496" t="n">
        <v>0</v>
      </c>
      <c r="I496" t="n">
        <v>0</v>
      </c>
      <c r="J496" t="n">
        <v>0</v>
      </c>
      <c r="K496" t="n">
        <v>0</v>
      </c>
      <c r="L496" t="n">
        <v>0</v>
      </c>
      <c r="M496" t="n">
        <v>0</v>
      </c>
      <c r="N496" t="n">
        <v>0</v>
      </c>
      <c r="O496" t="n">
        <v>0</v>
      </c>
      <c r="P496" t="n">
        <v>0</v>
      </c>
      <c r="Q496" t="n">
        <v>0</v>
      </c>
      <c r="R496" s="2" t="inlineStr"/>
    </row>
    <row r="497" ht="15" customHeight="1">
      <c r="A497" t="inlineStr">
        <is>
          <t>A 18340-2025</t>
        </is>
      </c>
      <c r="B497" s="1" t="n">
        <v>45762</v>
      </c>
      <c r="C497" s="1" t="n">
        <v>46065</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23222-2023</t>
        </is>
      </c>
      <c r="B498" s="1" t="n">
        <v>45075</v>
      </c>
      <c r="C498" s="1" t="n">
        <v>46065</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23224-2023</t>
        </is>
      </c>
      <c r="B499" s="1" t="n">
        <v>45075.65040509259</v>
      </c>
      <c r="C499" s="1" t="n">
        <v>46065</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50479-2022</t>
        </is>
      </c>
      <c r="B500" s="1" t="n">
        <v>44861</v>
      </c>
      <c r="C500" s="1" t="n">
        <v>46065</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55024-2023</t>
        </is>
      </c>
      <c r="B501" s="1" t="n">
        <v>45229</v>
      </c>
      <c r="C501" s="1" t="n">
        <v>46065</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55032-2023</t>
        </is>
      </c>
      <c r="B502" s="1" t="n">
        <v>45229</v>
      </c>
      <c r="C502" s="1" t="n">
        <v>46065</v>
      </c>
      <c r="D502" t="inlineStr">
        <is>
          <t>VÄSTMANLANDS LÄN</t>
        </is>
      </c>
      <c r="E502" t="inlineStr">
        <is>
          <t>SALA</t>
        </is>
      </c>
      <c r="G502" t="n">
        <v>1.5</v>
      </c>
      <c r="H502" t="n">
        <v>0</v>
      </c>
      <c r="I502" t="n">
        <v>0</v>
      </c>
      <c r="J502" t="n">
        <v>0</v>
      </c>
      <c r="K502" t="n">
        <v>0</v>
      </c>
      <c r="L502" t="n">
        <v>0</v>
      </c>
      <c r="M502" t="n">
        <v>0</v>
      </c>
      <c r="N502" t="n">
        <v>0</v>
      </c>
      <c r="O502" t="n">
        <v>0</v>
      </c>
      <c r="P502" t="n">
        <v>0</v>
      </c>
      <c r="Q502" t="n">
        <v>0</v>
      </c>
      <c r="R502" s="2" t="inlineStr"/>
    </row>
    <row r="503" ht="15" customHeight="1">
      <c r="A503" t="inlineStr">
        <is>
          <t>A 16638-2023</t>
        </is>
      </c>
      <c r="B503" s="1" t="n">
        <v>45027</v>
      </c>
      <c r="C503" s="1" t="n">
        <v>46065</v>
      </c>
      <c r="D503" t="inlineStr">
        <is>
          <t>VÄSTMANLANDS LÄN</t>
        </is>
      </c>
      <c r="E503" t="inlineStr">
        <is>
          <t>SALA</t>
        </is>
      </c>
      <c r="G503" t="n">
        <v>14.8</v>
      </c>
      <c r="H503" t="n">
        <v>0</v>
      </c>
      <c r="I503" t="n">
        <v>0</v>
      </c>
      <c r="J503" t="n">
        <v>0</v>
      </c>
      <c r="K503" t="n">
        <v>0</v>
      </c>
      <c r="L503" t="n">
        <v>0</v>
      </c>
      <c r="M503" t="n">
        <v>0</v>
      </c>
      <c r="N503" t="n">
        <v>0</v>
      </c>
      <c r="O503" t="n">
        <v>0</v>
      </c>
      <c r="P503" t="n">
        <v>0</v>
      </c>
      <c r="Q503" t="n">
        <v>0</v>
      </c>
      <c r="R503" s="2" t="inlineStr"/>
    </row>
    <row r="504" ht="15" customHeight="1">
      <c r="A504" t="inlineStr">
        <is>
          <t>A 14919-2025</t>
        </is>
      </c>
      <c r="B504" s="1" t="n">
        <v>45743.54256944444</v>
      </c>
      <c r="C504" s="1" t="n">
        <v>46065</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14920-2025</t>
        </is>
      </c>
      <c r="B505" s="1" t="n">
        <v>45743</v>
      </c>
      <c r="C505" s="1" t="n">
        <v>46065</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29248-2022</t>
        </is>
      </c>
      <c r="B506" s="1" t="n">
        <v>44750</v>
      </c>
      <c r="C506" s="1" t="n">
        <v>46065</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59175-2022</t>
        </is>
      </c>
      <c r="B507" s="1" t="n">
        <v>44904.48502314815</v>
      </c>
      <c r="C507" s="1" t="n">
        <v>46065</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39451-2022</t>
        </is>
      </c>
      <c r="B508" s="1" t="n">
        <v>44818.36606481481</v>
      </c>
      <c r="C508" s="1" t="n">
        <v>46065</v>
      </c>
      <c r="D508" t="inlineStr">
        <is>
          <t>VÄSTMANLANDS LÄN</t>
        </is>
      </c>
      <c r="E508" t="inlineStr">
        <is>
          <t>SALA</t>
        </is>
      </c>
      <c r="G508" t="n">
        <v>9.4</v>
      </c>
      <c r="H508" t="n">
        <v>0</v>
      </c>
      <c r="I508" t="n">
        <v>0</v>
      </c>
      <c r="J508" t="n">
        <v>0</v>
      </c>
      <c r="K508" t="n">
        <v>0</v>
      </c>
      <c r="L508" t="n">
        <v>0</v>
      </c>
      <c r="M508" t="n">
        <v>0</v>
      </c>
      <c r="N508" t="n">
        <v>0</v>
      </c>
      <c r="O508" t="n">
        <v>0</v>
      </c>
      <c r="P508" t="n">
        <v>0</v>
      </c>
      <c r="Q508" t="n">
        <v>0</v>
      </c>
      <c r="R508" s="2" t="inlineStr"/>
    </row>
    <row r="509" ht="15" customHeight="1">
      <c r="A509" t="inlineStr">
        <is>
          <t>A 13855-2023</t>
        </is>
      </c>
      <c r="B509" s="1" t="n">
        <v>45007</v>
      </c>
      <c r="C509" s="1" t="n">
        <v>46065</v>
      </c>
      <c r="D509" t="inlineStr">
        <is>
          <t>VÄSTMANLANDS LÄN</t>
        </is>
      </c>
      <c r="E509" t="inlineStr">
        <is>
          <t>SALA</t>
        </is>
      </c>
      <c r="G509" t="n">
        <v>2.9</v>
      </c>
      <c r="H509" t="n">
        <v>0</v>
      </c>
      <c r="I509" t="n">
        <v>0</v>
      </c>
      <c r="J509" t="n">
        <v>0</v>
      </c>
      <c r="K509" t="n">
        <v>0</v>
      </c>
      <c r="L509" t="n">
        <v>0</v>
      </c>
      <c r="M509" t="n">
        <v>0</v>
      </c>
      <c r="N509" t="n">
        <v>0</v>
      </c>
      <c r="O509" t="n">
        <v>0</v>
      </c>
      <c r="P509" t="n">
        <v>0</v>
      </c>
      <c r="Q509" t="n">
        <v>0</v>
      </c>
      <c r="R509" s="2" t="inlineStr"/>
    </row>
    <row r="510" ht="15" customHeight="1">
      <c r="A510" t="inlineStr">
        <is>
          <t>A 11631-2023</t>
        </is>
      </c>
      <c r="B510" s="1" t="n">
        <v>44994.44001157407</v>
      </c>
      <c r="C510" s="1" t="n">
        <v>46065</v>
      </c>
      <c r="D510" t="inlineStr">
        <is>
          <t>VÄSTMANLANDS LÄN</t>
        </is>
      </c>
      <c r="E510" t="inlineStr">
        <is>
          <t>SALA</t>
        </is>
      </c>
      <c r="F510" t="inlineStr">
        <is>
          <t>Kommuner</t>
        </is>
      </c>
      <c r="G510" t="n">
        <v>1.9</v>
      </c>
      <c r="H510" t="n">
        <v>0</v>
      </c>
      <c r="I510" t="n">
        <v>0</v>
      </c>
      <c r="J510" t="n">
        <v>0</v>
      </c>
      <c r="K510" t="n">
        <v>0</v>
      </c>
      <c r="L510" t="n">
        <v>0</v>
      </c>
      <c r="M510" t="n">
        <v>0</v>
      </c>
      <c r="N510" t="n">
        <v>0</v>
      </c>
      <c r="O510" t="n">
        <v>0</v>
      </c>
      <c r="P510" t="n">
        <v>0</v>
      </c>
      <c r="Q510" t="n">
        <v>0</v>
      </c>
      <c r="R510" s="2" t="inlineStr"/>
    </row>
    <row r="511" ht="15" customHeight="1">
      <c r="A511" t="inlineStr">
        <is>
          <t>A 18877-2023</t>
        </is>
      </c>
      <c r="B511" s="1" t="n">
        <v>45044</v>
      </c>
      <c r="C511" s="1" t="n">
        <v>46065</v>
      </c>
      <c r="D511" t="inlineStr">
        <is>
          <t>VÄSTMANLANDS LÄN</t>
        </is>
      </c>
      <c r="E511" t="inlineStr">
        <is>
          <t>SALA</t>
        </is>
      </c>
      <c r="F511" t="inlineStr">
        <is>
          <t>Kommuner</t>
        </is>
      </c>
      <c r="G511" t="n">
        <v>4.4</v>
      </c>
      <c r="H511" t="n">
        <v>0</v>
      </c>
      <c r="I511" t="n">
        <v>0</v>
      </c>
      <c r="J511" t="n">
        <v>0</v>
      </c>
      <c r="K511" t="n">
        <v>0</v>
      </c>
      <c r="L511" t="n">
        <v>0</v>
      </c>
      <c r="M511" t="n">
        <v>0</v>
      </c>
      <c r="N511" t="n">
        <v>0</v>
      </c>
      <c r="O511" t="n">
        <v>0</v>
      </c>
      <c r="P511" t="n">
        <v>0</v>
      </c>
      <c r="Q511" t="n">
        <v>0</v>
      </c>
      <c r="R511" s="2" t="inlineStr"/>
    </row>
    <row r="512" ht="15" customHeight="1">
      <c r="A512" t="inlineStr">
        <is>
          <t>A 55556-2023</t>
        </is>
      </c>
      <c r="B512" s="1" t="n">
        <v>45232</v>
      </c>
      <c r="C512" s="1" t="n">
        <v>46065</v>
      </c>
      <c r="D512" t="inlineStr">
        <is>
          <t>VÄSTMANLANDS LÄN</t>
        </is>
      </c>
      <c r="E512" t="inlineStr">
        <is>
          <t>SALA</t>
        </is>
      </c>
      <c r="G512" t="n">
        <v>1.3</v>
      </c>
      <c r="H512" t="n">
        <v>0</v>
      </c>
      <c r="I512" t="n">
        <v>0</v>
      </c>
      <c r="J512" t="n">
        <v>0</v>
      </c>
      <c r="K512" t="n">
        <v>0</v>
      </c>
      <c r="L512" t="n">
        <v>0</v>
      </c>
      <c r="M512" t="n">
        <v>0</v>
      </c>
      <c r="N512" t="n">
        <v>0</v>
      </c>
      <c r="O512" t="n">
        <v>0</v>
      </c>
      <c r="P512" t="n">
        <v>0</v>
      </c>
      <c r="Q512" t="n">
        <v>0</v>
      </c>
      <c r="R512" s="2" t="inlineStr"/>
    </row>
    <row r="513" ht="15" customHeight="1">
      <c r="A513" t="inlineStr">
        <is>
          <t>A 62648-2022</t>
        </is>
      </c>
      <c r="B513" s="1" t="n">
        <v>44917</v>
      </c>
      <c r="C513" s="1" t="n">
        <v>46065</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34494-2023</t>
        </is>
      </c>
      <c r="B514" s="1" t="n">
        <v>45133</v>
      </c>
      <c r="C514" s="1" t="n">
        <v>46065</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1934-2023</t>
        </is>
      </c>
      <c r="B515" s="1" t="n">
        <v>44939.43024305555</v>
      </c>
      <c r="C515" s="1" t="n">
        <v>46065</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11927-2025</t>
        </is>
      </c>
      <c r="B516" s="1" t="n">
        <v>45728.5137962963</v>
      </c>
      <c r="C516" s="1" t="n">
        <v>46065</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60823-2024</t>
        </is>
      </c>
      <c r="B517" s="1" t="n">
        <v>45644</v>
      </c>
      <c r="C517" s="1" t="n">
        <v>46065</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96-2024</t>
        </is>
      </c>
      <c r="B518" s="1" t="n">
        <v>45293.85872685185</v>
      </c>
      <c r="C518" s="1" t="n">
        <v>46065</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13752-2025</t>
        </is>
      </c>
      <c r="B519" s="1" t="n">
        <v>45737.41416666667</v>
      </c>
      <c r="C519" s="1" t="n">
        <v>46065</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23374-2023</t>
        </is>
      </c>
      <c r="B520" s="1" t="n">
        <v>45076.4399537037</v>
      </c>
      <c r="C520" s="1" t="n">
        <v>46065</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19398-2025</t>
        </is>
      </c>
      <c r="B521" s="1" t="n">
        <v>45769</v>
      </c>
      <c r="C521" s="1" t="n">
        <v>46065</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61874-2021</t>
        </is>
      </c>
      <c r="B522" s="1" t="n">
        <v>44502</v>
      </c>
      <c r="C522" s="1" t="n">
        <v>46065</v>
      </c>
      <c r="D522" t="inlineStr">
        <is>
          <t>VÄSTMANLANDS LÄN</t>
        </is>
      </c>
      <c r="E522" t="inlineStr">
        <is>
          <t>SALA</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9856-2022</t>
        </is>
      </c>
      <c r="B523" s="1" t="n">
        <v>44620</v>
      </c>
      <c r="C523" s="1" t="n">
        <v>46065</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16159-2024</t>
        </is>
      </c>
      <c r="B524" s="1" t="n">
        <v>45406</v>
      </c>
      <c r="C524" s="1" t="n">
        <v>46065</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22921-2023</t>
        </is>
      </c>
      <c r="B525" s="1" t="n">
        <v>45070</v>
      </c>
      <c r="C525" s="1" t="n">
        <v>46065</v>
      </c>
      <c r="D525" t="inlineStr">
        <is>
          <t>VÄSTMANLANDS LÄN</t>
        </is>
      </c>
      <c r="E525" t="inlineStr">
        <is>
          <t>SALA</t>
        </is>
      </c>
      <c r="G525" t="n">
        <v>1.3</v>
      </c>
      <c r="H525" t="n">
        <v>0</v>
      </c>
      <c r="I525" t="n">
        <v>0</v>
      </c>
      <c r="J525" t="n">
        <v>0</v>
      </c>
      <c r="K525" t="n">
        <v>0</v>
      </c>
      <c r="L525" t="n">
        <v>0</v>
      </c>
      <c r="M525" t="n">
        <v>0</v>
      </c>
      <c r="N525" t="n">
        <v>0</v>
      </c>
      <c r="O525" t="n">
        <v>0</v>
      </c>
      <c r="P525" t="n">
        <v>0</v>
      </c>
      <c r="Q525" t="n">
        <v>0</v>
      </c>
      <c r="R525" s="2" t="inlineStr"/>
    </row>
    <row r="526" ht="15" customHeight="1">
      <c r="A526" t="inlineStr">
        <is>
          <t>A 50241-2023</t>
        </is>
      </c>
      <c r="B526" s="1" t="n">
        <v>45216</v>
      </c>
      <c r="C526" s="1" t="n">
        <v>46065</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3332-2024</t>
        </is>
      </c>
      <c r="B527" s="1" t="n">
        <v>45317</v>
      </c>
      <c r="C527" s="1" t="n">
        <v>46065</v>
      </c>
      <c r="D527" t="inlineStr">
        <is>
          <t>VÄSTMANLANDS LÄN</t>
        </is>
      </c>
      <c r="E527" t="inlineStr">
        <is>
          <t>SALA</t>
        </is>
      </c>
      <c r="G527" t="n">
        <v>2</v>
      </c>
      <c r="H527" t="n">
        <v>0</v>
      </c>
      <c r="I527" t="n">
        <v>0</v>
      </c>
      <c r="J527" t="n">
        <v>0</v>
      </c>
      <c r="K527" t="n">
        <v>0</v>
      </c>
      <c r="L527" t="n">
        <v>0</v>
      </c>
      <c r="M527" t="n">
        <v>0</v>
      </c>
      <c r="N527" t="n">
        <v>0</v>
      </c>
      <c r="O527" t="n">
        <v>0</v>
      </c>
      <c r="P527" t="n">
        <v>0</v>
      </c>
      <c r="Q527" t="n">
        <v>0</v>
      </c>
      <c r="R527" s="2" t="inlineStr"/>
    </row>
    <row r="528" ht="15" customHeight="1">
      <c r="A528" t="inlineStr">
        <is>
          <t>A 16133-2025</t>
        </is>
      </c>
      <c r="B528" s="1" t="n">
        <v>45750</v>
      </c>
      <c r="C528" s="1" t="n">
        <v>46065</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44799.55194444444</v>
      </c>
      <c r="C529" s="1" t="n">
        <v>46065</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17117-2023</t>
        </is>
      </c>
      <c r="B530" s="1" t="n">
        <v>45034</v>
      </c>
      <c r="C530" s="1" t="n">
        <v>46065</v>
      </c>
      <c r="D530" t="inlineStr">
        <is>
          <t>VÄSTMANLANDS LÄN</t>
        </is>
      </c>
      <c r="E530" t="inlineStr">
        <is>
          <t>SALA</t>
        </is>
      </c>
      <c r="G530" t="n">
        <v>0.4</v>
      </c>
      <c r="H530" t="n">
        <v>0</v>
      </c>
      <c r="I530" t="n">
        <v>0</v>
      </c>
      <c r="J530" t="n">
        <v>0</v>
      </c>
      <c r="K530" t="n">
        <v>0</v>
      </c>
      <c r="L530" t="n">
        <v>0</v>
      </c>
      <c r="M530" t="n">
        <v>0</v>
      </c>
      <c r="N530" t="n">
        <v>0</v>
      </c>
      <c r="O530" t="n">
        <v>0</v>
      </c>
      <c r="P530" t="n">
        <v>0</v>
      </c>
      <c r="Q530" t="n">
        <v>0</v>
      </c>
      <c r="R530" s="2" t="inlineStr"/>
    </row>
    <row r="531" ht="15" customHeight="1">
      <c r="A531" t="inlineStr">
        <is>
          <t>A 73673-2021</t>
        </is>
      </c>
      <c r="B531" s="1" t="n">
        <v>44552.46501157407</v>
      </c>
      <c r="C531" s="1" t="n">
        <v>46065</v>
      </c>
      <c r="D531" t="inlineStr">
        <is>
          <t>VÄSTMANLANDS LÄN</t>
        </is>
      </c>
      <c r="E531" t="inlineStr">
        <is>
          <t>SALA</t>
        </is>
      </c>
      <c r="G531" t="n">
        <v>11.4</v>
      </c>
      <c r="H531" t="n">
        <v>0</v>
      </c>
      <c r="I531" t="n">
        <v>0</v>
      </c>
      <c r="J531" t="n">
        <v>0</v>
      </c>
      <c r="K531" t="n">
        <v>0</v>
      </c>
      <c r="L531" t="n">
        <v>0</v>
      </c>
      <c r="M531" t="n">
        <v>0</v>
      </c>
      <c r="N531" t="n">
        <v>0</v>
      </c>
      <c r="O531" t="n">
        <v>0</v>
      </c>
      <c r="P531" t="n">
        <v>0</v>
      </c>
      <c r="Q531" t="n">
        <v>0</v>
      </c>
      <c r="R531" s="2" t="inlineStr"/>
    </row>
    <row r="532" ht="15" customHeight="1">
      <c r="A532" t="inlineStr">
        <is>
          <t>A 38574-2025</t>
        </is>
      </c>
      <c r="B532" s="1" t="n">
        <v>45884.46390046296</v>
      </c>
      <c r="C532" s="1" t="n">
        <v>46065</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16651-2021</t>
        </is>
      </c>
      <c r="B533" s="1" t="n">
        <v>44294.50096064815</v>
      </c>
      <c r="C533" s="1" t="n">
        <v>46065</v>
      </c>
      <c r="D533" t="inlineStr">
        <is>
          <t>VÄSTMANLANDS LÄN</t>
        </is>
      </c>
      <c r="E533" t="inlineStr">
        <is>
          <t>SALA</t>
        </is>
      </c>
      <c r="G533" t="n">
        <v>7.7</v>
      </c>
      <c r="H533" t="n">
        <v>0</v>
      </c>
      <c r="I533" t="n">
        <v>0</v>
      </c>
      <c r="J533" t="n">
        <v>0</v>
      </c>
      <c r="K533" t="n">
        <v>0</v>
      </c>
      <c r="L533" t="n">
        <v>0</v>
      </c>
      <c r="M533" t="n">
        <v>0</v>
      </c>
      <c r="N533" t="n">
        <v>0</v>
      </c>
      <c r="O533" t="n">
        <v>0</v>
      </c>
      <c r="P533" t="n">
        <v>0</v>
      </c>
      <c r="Q533" t="n">
        <v>0</v>
      </c>
      <c r="R533" s="2" t="inlineStr"/>
    </row>
    <row r="534" ht="15" customHeight="1">
      <c r="A534" t="inlineStr">
        <is>
          <t>A 38294-2025</t>
        </is>
      </c>
      <c r="B534" s="1" t="n">
        <v>45883.44854166666</v>
      </c>
      <c r="C534" s="1" t="n">
        <v>46065</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6127-2025</t>
        </is>
      </c>
      <c r="B535" s="1" t="n">
        <v>45698</v>
      </c>
      <c r="C535" s="1" t="n">
        <v>46065</v>
      </c>
      <c r="D535" t="inlineStr">
        <is>
          <t>VÄSTMANLANDS LÄN</t>
        </is>
      </c>
      <c r="E535" t="inlineStr">
        <is>
          <t>SALA</t>
        </is>
      </c>
      <c r="F535" t="inlineStr">
        <is>
          <t>Bergvik skog öst AB</t>
        </is>
      </c>
      <c r="G535" t="n">
        <v>4.3</v>
      </c>
      <c r="H535" t="n">
        <v>0</v>
      </c>
      <c r="I535" t="n">
        <v>0</v>
      </c>
      <c r="J535" t="n">
        <v>0</v>
      </c>
      <c r="K535" t="n">
        <v>0</v>
      </c>
      <c r="L535" t="n">
        <v>0</v>
      </c>
      <c r="M535" t="n">
        <v>0</v>
      </c>
      <c r="N535" t="n">
        <v>0</v>
      </c>
      <c r="O535" t="n">
        <v>0</v>
      </c>
      <c r="P535" t="n">
        <v>0</v>
      </c>
      <c r="Q535" t="n">
        <v>0</v>
      </c>
      <c r="R535" s="2" t="inlineStr"/>
    </row>
    <row r="536" ht="15" customHeight="1">
      <c r="A536" t="inlineStr">
        <is>
          <t>A 15272-2025</t>
        </is>
      </c>
      <c r="B536" s="1" t="n">
        <v>45744</v>
      </c>
      <c r="C536" s="1" t="n">
        <v>46065</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59909-2024</t>
        </is>
      </c>
      <c r="B537" s="1" t="n">
        <v>45641</v>
      </c>
      <c r="C537" s="1" t="n">
        <v>46065</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57883-2024</t>
        </is>
      </c>
      <c r="B538" s="1" t="n">
        <v>45630</v>
      </c>
      <c r="C538" s="1" t="n">
        <v>46065</v>
      </c>
      <c r="D538" t="inlineStr">
        <is>
          <t>VÄSTMANLANDS LÄN</t>
        </is>
      </c>
      <c r="E538" t="inlineStr">
        <is>
          <t>SALA</t>
        </is>
      </c>
      <c r="G538" t="n">
        <v>5.4</v>
      </c>
      <c r="H538" t="n">
        <v>0</v>
      </c>
      <c r="I538" t="n">
        <v>0</v>
      </c>
      <c r="J538" t="n">
        <v>0</v>
      </c>
      <c r="K538" t="n">
        <v>0</v>
      </c>
      <c r="L538" t="n">
        <v>0</v>
      </c>
      <c r="M538" t="n">
        <v>0</v>
      </c>
      <c r="N538" t="n">
        <v>0</v>
      </c>
      <c r="O538" t="n">
        <v>0</v>
      </c>
      <c r="P538" t="n">
        <v>0</v>
      </c>
      <c r="Q538" t="n">
        <v>0</v>
      </c>
      <c r="R538" s="2" t="inlineStr"/>
    </row>
    <row r="539" ht="15" customHeight="1">
      <c r="A539" t="inlineStr">
        <is>
          <t>A 30028-2024</t>
        </is>
      </c>
      <c r="B539" s="1" t="n">
        <v>45485</v>
      </c>
      <c r="C539" s="1" t="n">
        <v>46065</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50876-2023</t>
        </is>
      </c>
      <c r="B540" s="1" t="n">
        <v>45211</v>
      </c>
      <c r="C540" s="1" t="n">
        <v>46065</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37624-2024</t>
        </is>
      </c>
      <c r="B541" s="1" t="n">
        <v>45541</v>
      </c>
      <c r="C541" s="1" t="n">
        <v>46065</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40398-2021</t>
        </is>
      </c>
      <c r="B542" s="1" t="n">
        <v>44419</v>
      </c>
      <c r="C542" s="1" t="n">
        <v>46065</v>
      </c>
      <c r="D542" t="inlineStr">
        <is>
          <t>VÄSTMANLANDS LÄN</t>
        </is>
      </c>
      <c r="E542" t="inlineStr">
        <is>
          <t>SALA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6351-2023</t>
        </is>
      </c>
      <c r="B543" s="1" t="n">
        <v>44965</v>
      </c>
      <c r="C543" s="1" t="n">
        <v>46065</v>
      </c>
      <c r="D543" t="inlineStr">
        <is>
          <t>VÄSTMANLANDS LÄN</t>
        </is>
      </c>
      <c r="E543" t="inlineStr">
        <is>
          <t>SALA</t>
        </is>
      </c>
      <c r="F543" t="inlineStr">
        <is>
          <t>Kommuner</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33309-2022</t>
        </is>
      </c>
      <c r="B544" s="1" t="n">
        <v>44788.40986111111</v>
      </c>
      <c r="C544" s="1" t="n">
        <v>46065</v>
      </c>
      <c r="D544" t="inlineStr">
        <is>
          <t>VÄSTMANLANDS LÄN</t>
        </is>
      </c>
      <c r="E544" t="inlineStr">
        <is>
          <t>SALA</t>
        </is>
      </c>
      <c r="G544" t="n">
        <v>2.6</v>
      </c>
      <c r="H544" t="n">
        <v>0</v>
      </c>
      <c r="I544" t="n">
        <v>0</v>
      </c>
      <c r="J544" t="n">
        <v>0</v>
      </c>
      <c r="K544" t="n">
        <v>0</v>
      </c>
      <c r="L544" t="n">
        <v>0</v>
      </c>
      <c r="M544" t="n">
        <v>0</v>
      </c>
      <c r="N544" t="n">
        <v>0</v>
      </c>
      <c r="O544" t="n">
        <v>0</v>
      </c>
      <c r="P544" t="n">
        <v>0</v>
      </c>
      <c r="Q544" t="n">
        <v>0</v>
      </c>
      <c r="R544" s="2" t="inlineStr"/>
    </row>
    <row r="545" ht="15" customHeight="1">
      <c r="A545" t="inlineStr">
        <is>
          <t>A 7377-2023</t>
        </is>
      </c>
      <c r="B545" s="1" t="n">
        <v>44971</v>
      </c>
      <c r="C545" s="1" t="n">
        <v>46065</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27262-2024</t>
        </is>
      </c>
      <c r="B546" s="1" t="n">
        <v>45471</v>
      </c>
      <c r="C546" s="1" t="n">
        <v>46065</v>
      </c>
      <c r="D546" t="inlineStr">
        <is>
          <t>VÄSTMANLANDS LÄN</t>
        </is>
      </c>
      <c r="E546" t="inlineStr">
        <is>
          <t>SALA</t>
        </is>
      </c>
      <c r="G546" t="n">
        <v>0.8</v>
      </c>
      <c r="H546" t="n">
        <v>0</v>
      </c>
      <c r="I546" t="n">
        <v>0</v>
      </c>
      <c r="J546" t="n">
        <v>0</v>
      </c>
      <c r="K546" t="n">
        <v>0</v>
      </c>
      <c r="L546" t="n">
        <v>0</v>
      </c>
      <c r="M546" t="n">
        <v>0</v>
      </c>
      <c r="N546" t="n">
        <v>0</v>
      </c>
      <c r="O546" t="n">
        <v>0</v>
      </c>
      <c r="P546" t="n">
        <v>0</v>
      </c>
      <c r="Q546" t="n">
        <v>0</v>
      </c>
      <c r="R546" s="2" t="inlineStr"/>
    </row>
    <row r="547" ht="15" customHeight="1">
      <c r="A547" t="inlineStr">
        <is>
          <t>A 15584-2021</t>
        </is>
      </c>
      <c r="B547" s="1" t="n">
        <v>44285</v>
      </c>
      <c r="C547" s="1" t="n">
        <v>46065</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23119-2022</t>
        </is>
      </c>
      <c r="B548" s="1" t="n">
        <v>44719.56697916667</v>
      </c>
      <c r="C548" s="1" t="n">
        <v>46065</v>
      </c>
      <c r="D548" t="inlineStr">
        <is>
          <t>VÄSTMANLANDS LÄN</t>
        </is>
      </c>
      <c r="E548" t="inlineStr">
        <is>
          <t>SALA</t>
        </is>
      </c>
      <c r="G548" t="n">
        <v>7</v>
      </c>
      <c r="H548" t="n">
        <v>0</v>
      </c>
      <c r="I548" t="n">
        <v>0</v>
      </c>
      <c r="J548" t="n">
        <v>0</v>
      </c>
      <c r="K548" t="n">
        <v>0</v>
      </c>
      <c r="L548" t="n">
        <v>0</v>
      </c>
      <c r="M548" t="n">
        <v>0</v>
      </c>
      <c r="N548" t="n">
        <v>0</v>
      </c>
      <c r="O548" t="n">
        <v>0</v>
      </c>
      <c r="P548" t="n">
        <v>0</v>
      </c>
      <c r="Q548" t="n">
        <v>0</v>
      </c>
      <c r="R548" s="2" t="inlineStr"/>
    </row>
    <row r="549" ht="15" customHeight="1">
      <c r="A549" t="inlineStr">
        <is>
          <t>A 27229-2022</t>
        </is>
      </c>
      <c r="B549" s="1" t="n">
        <v>44741</v>
      </c>
      <c r="C549" s="1" t="n">
        <v>46065</v>
      </c>
      <c r="D549" t="inlineStr">
        <is>
          <t>VÄSTMANLANDS LÄN</t>
        </is>
      </c>
      <c r="E549" t="inlineStr">
        <is>
          <t>SALA</t>
        </is>
      </c>
      <c r="F549" t="inlineStr">
        <is>
          <t>Kommuner</t>
        </is>
      </c>
      <c r="G549" t="n">
        <v>1.4</v>
      </c>
      <c r="H549" t="n">
        <v>0</v>
      </c>
      <c r="I549" t="n">
        <v>0</v>
      </c>
      <c r="J549" t="n">
        <v>0</v>
      </c>
      <c r="K549" t="n">
        <v>0</v>
      </c>
      <c r="L549" t="n">
        <v>0</v>
      </c>
      <c r="M549" t="n">
        <v>0</v>
      </c>
      <c r="N549" t="n">
        <v>0</v>
      </c>
      <c r="O549" t="n">
        <v>0</v>
      </c>
      <c r="P549" t="n">
        <v>0</v>
      </c>
      <c r="Q549" t="n">
        <v>0</v>
      </c>
      <c r="R549" s="2" t="inlineStr"/>
    </row>
    <row r="550" ht="15" customHeight="1">
      <c r="A550" t="inlineStr">
        <is>
          <t>A 43751-2021</t>
        </is>
      </c>
      <c r="B550" s="1" t="n">
        <v>44433</v>
      </c>
      <c r="C550" s="1" t="n">
        <v>46065</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59483-2022</t>
        </is>
      </c>
      <c r="B551" s="1" t="n">
        <v>44907.45679398148</v>
      </c>
      <c r="C551" s="1" t="n">
        <v>46065</v>
      </c>
      <c r="D551" t="inlineStr">
        <is>
          <t>VÄSTMANLANDS LÄN</t>
        </is>
      </c>
      <c r="E551" t="inlineStr">
        <is>
          <t>SALA</t>
        </is>
      </c>
      <c r="G551" t="n">
        <v>5.2</v>
      </c>
      <c r="H551" t="n">
        <v>0</v>
      </c>
      <c r="I551" t="n">
        <v>0</v>
      </c>
      <c r="J551" t="n">
        <v>0</v>
      </c>
      <c r="K551" t="n">
        <v>0</v>
      </c>
      <c r="L551" t="n">
        <v>0</v>
      </c>
      <c r="M551" t="n">
        <v>0</v>
      </c>
      <c r="N551" t="n">
        <v>0</v>
      </c>
      <c r="O551" t="n">
        <v>0</v>
      </c>
      <c r="P551" t="n">
        <v>0</v>
      </c>
      <c r="Q551" t="n">
        <v>0</v>
      </c>
      <c r="R551" s="2" t="inlineStr"/>
    </row>
    <row r="552" ht="15" customHeight="1">
      <c r="A552" t="inlineStr">
        <is>
          <t>A 39182-2025</t>
        </is>
      </c>
      <c r="B552" s="1" t="n">
        <v>45888.66204861111</v>
      </c>
      <c r="C552" s="1" t="n">
        <v>46065</v>
      </c>
      <c r="D552" t="inlineStr">
        <is>
          <t>VÄSTMANLANDS LÄN</t>
        </is>
      </c>
      <c r="E552" t="inlineStr">
        <is>
          <t>SALA</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73673-2021</t>
        </is>
      </c>
      <c r="B553" s="1" t="n">
        <v>44552.46501157407</v>
      </c>
      <c r="C553" s="1" t="n">
        <v>46065</v>
      </c>
      <c r="D553" t="inlineStr">
        <is>
          <t>VÄSTMANLANDS LÄN</t>
        </is>
      </c>
      <c r="E553" t="inlineStr">
        <is>
          <t>SALA</t>
        </is>
      </c>
      <c r="G553" t="n">
        <v>11.4</v>
      </c>
      <c r="H553" t="n">
        <v>0</v>
      </c>
      <c r="I553" t="n">
        <v>0</v>
      </c>
      <c r="J553" t="n">
        <v>0</v>
      </c>
      <c r="K553" t="n">
        <v>0</v>
      </c>
      <c r="L553" t="n">
        <v>0</v>
      </c>
      <c r="M553" t="n">
        <v>0</v>
      </c>
      <c r="N553" t="n">
        <v>0</v>
      </c>
      <c r="O553" t="n">
        <v>0</v>
      </c>
      <c r="P553" t="n">
        <v>0</v>
      </c>
      <c r="Q553" t="n">
        <v>0</v>
      </c>
      <c r="R553" s="2" t="inlineStr"/>
    </row>
    <row r="554" ht="15" customHeight="1">
      <c r="A554" t="inlineStr">
        <is>
          <t>A 4853-2023</t>
        </is>
      </c>
      <c r="B554" s="1" t="n">
        <v>44957.73234953704</v>
      </c>
      <c r="C554" s="1" t="n">
        <v>46065</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46279-2021</t>
        </is>
      </c>
      <c r="B555" s="1" t="n">
        <v>44442.57797453704</v>
      </c>
      <c r="C555" s="1" t="n">
        <v>46065</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24755-2021</t>
        </is>
      </c>
      <c r="B556" s="1" t="n">
        <v>44340</v>
      </c>
      <c r="C556" s="1" t="n">
        <v>46065</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34867-2023</t>
        </is>
      </c>
      <c r="B557" s="1" t="n">
        <v>45142.33481481481</v>
      </c>
      <c r="C557" s="1" t="n">
        <v>46065</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31864-2025</t>
        </is>
      </c>
      <c r="B558" s="1" t="n">
        <v>45834.63819444444</v>
      </c>
      <c r="C558" s="1" t="n">
        <v>46065</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1993-2022</t>
        </is>
      </c>
      <c r="B559" s="1" t="n">
        <v>44575</v>
      </c>
      <c r="C559" s="1" t="n">
        <v>46065</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25748-2022</t>
        </is>
      </c>
      <c r="B560" s="1" t="n">
        <v>44732</v>
      </c>
      <c r="C560" s="1" t="n">
        <v>46065</v>
      </c>
      <c r="D560" t="inlineStr">
        <is>
          <t>VÄSTMANLANDS LÄN</t>
        </is>
      </c>
      <c r="E560" t="inlineStr">
        <is>
          <t>SALA</t>
        </is>
      </c>
      <c r="G560" t="n">
        <v>7.7</v>
      </c>
      <c r="H560" t="n">
        <v>0</v>
      </c>
      <c r="I560" t="n">
        <v>0</v>
      </c>
      <c r="J560" t="n">
        <v>0</v>
      </c>
      <c r="K560" t="n">
        <v>0</v>
      </c>
      <c r="L560" t="n">
        <v>0</v>
      </c>
      <c r="M560" t="n">
        <v>0</v>
      </c>
      <c r="N560" t="n">
        <v>0</v>
      </c>
      <c r="O560" t="n">
        <v>0</v>
      </c>
      <c r="P560" t="n">
        <v>0</v>
      </c>
      <c r="Q560" t="n">
        <v>0</v>
      </c>
      <c r="R560" s="2" t="inlineStr"/>
    </row>
    <row r="561" ht="15" customHeight="1">
      <c r="A561" t="inlineStr">
        <is>
          <t>A 1793-2023</t>
        </is>
      </c>
      <c r="B561" s="1" t="n">
        <v>44937</v>
      </c>
      <c r="C561" s="1" t="n">
        <v>46065</v>
      </c>
      <c r="D561" t="inlineStr">
        <is>
          <t>VÄSTMANLANDS LÄN</t>
        </is>
      </c>
      <c r="E561" t="inlineStr">
        <is>
          <t>SALA</t>
        </is>
      </c>
      <c r="G561" t="n">
        <v>2.6</v>
      </c>
      <c r="H561" t="n">
        <v>0</v>
      </c>
      <c r="I561" t="n">
        <v>0</v>
      </c>
      <c r="J561" t="n">
        <v>0</v>
      </c>
      <c r="K561" t="n">
        <v>0</v>
      </c>
      <c r="L561" t="n">
        <v>0</v>
      </c>
      <c r="M561" t="n">
        <v>0</v>
      </c>
      <c r="N561" t="n">
        <v>0</v>
      </c>
      <c r="O561" t="n">
        <v>0</v>
      </c>
      <c r="P561" t="n">
        <v>0</v>
      </c>
      <c r="Q561" t="n">
        <v>0</v>
      </c>
      <c r="R561" s="2" t="inlineStr"/>
    </row>
    <row r="562" ht="15" customHeight="1">
      <c r="A562" t="inlineStr">
        <is>
          <t>A 39167-2025</t>
        </is>
      </c>
      <c r="B562" s="1" t="n">
        <v>45888</v>
      </c>
      <c r="C562" s="1" t="n">
        <v>46065</v>
      </c>
      <c r="D562" t="inlineStr">
        <is>
          <t>VÄSTMANLANDS LÄN</t>
        </is>
      </c>
      <c r="E562" t="inlineStr">
        <is>
          <t>SALA</t>
        </is>
      </c>
      <c r="G562" t="n">
        <v>5.5</v>
      </c>
      <c r="H562" t="n">
        <v>0</v>
      </c>
      <c r="I562" t="n">
        <v>0</v>
      </c>
      <c r="J562" t="n">
        <v>0</v>
      </c>
      <c r="K562" t="n">
        <v>0</v>
      </c>
      <c r="L562" t="n">
        <v>0</v>
      </c>
      <c r="M562" t="n">
        <v>0</v>
      </c>
      <c r="N562" t="n">
        <v>0</v>
      </c>
      <c r="O562" t="n">
        <v>0</v>
      </c>
      <c r="P562" t="n">
        <v>0</v>
      </c>
      <c r="Q562" t="n">
        <v>0</v>
      </c>
      <c r="R562" s="2" t="inlineStr"/>
    </row>
    <row r="563" ht="15" customHeight="1">
      <c r="A563" t="inlineStr">
        <is>
          <t>A 49512-2024</t>
        </is>
      </c>
      <c r="B563" s="1" t="n">
        <v>45591</v>
      </c>
      <c r="C563" s="1" t="n">
        <v>46065</v>
      </c>
      <c r="D563" t="inlineStr">
        <is>
          <t>VÄSTMANLANDS LÄN</t>
        </is>
      </c>
      <c r="E563" t="inlineStr">
        <is>
          <t>SALA</t>
        </is>
      </c>
      <c r="G563" t="n">
        <v>8.1</v>
      </c>
      <c r="H563" t="n">
        <v>0</v>
      </c>
      <c r="I563" t="n">
        <v>0</v>
      </c>
      <c r="J563" t="n">
        <v>0</v>
      </c>
      <c r="K563" t="n">
        <v>0</v>
      </c>
      <c r="L563" t="n">
        <v>0</v>
      </c>
      <c r="M563" t="n">
        <v>0</v>
      </c>
      <c r="N563" t="n">
        <v>0</v>
      </c>
      <c r="O563" t="n">
        <v>0</v>
      </c>
      <c r="P563" t="n">
        <v>0</v>
      </c>
      <c r="Q563" t="n">
        <v>0</v>
      </c>
      <c r="R563" s="2" t="inlineStr"/>
    </row>
    <row r="564" ht="15" customHeight="1">
      <c r="A564" t="inlineStr">
        <is>
          <t>A 13128-2023</t>
        </is>
      </c>
      <c r="B564" s="1" t="n">
        <v>45002</v>
      </c>
      <c r="C564" s="1" t="n">
        <v>46065</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52498-2022</t>
        </is>
      </c>
      <c r="B565" s="1" t="n">
        <v>44874.50152777778</v>
      </c>
      <c r="C565" s="1" t="n">
        <v>46065</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42447-2022</t>
        </is>
      </c>
      <c r="B566" s="1" t="n">
        <v>44831</v>
      </c>
      <c r="C566" s="1" t="n">
        <v>46065</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37958-2024</t>
        </is>
      </c>
      <c r="B567" s="1" t="n">
        <v>45544</v>
      </c>
      <c r="C567" s="1" t="n">
        <v>46065</v>
      </c>
      <c r="D567" t="inlineStr">
        <is>
          <t>VÄSTMANLANDS LÄN</t>
        </is>
      </c>
      <c r="E567" t="inlineStr">
        <is>
          <t>SALA</t>
        </is>
      </c>
      <c r="G567" t="n">
        <v>5.6</v>
      </c>
      <c r="H567" t="n">
        <v>0</v>
      </c>
      <c r="I567" t="n">
        <v>0</v>
      </c>
      <c r="J567" t="n">
        <v>0</v>
      </c>
      <c r="K567" t="n">
        <v>0</v>
      </c>
      <c r="L567" t="n">
        <v>0</v>
      </c>
      <c r="M567" t="n">
        <v>0</v>
      </c>
      <c r="N567" t="n">
        <v>0</v>
      </c>
      <c r="O567" t="n">
        <v>0</v>
      </c>
      <c r="P567" t="n">
        <v>0</v>
      </c>
      <c r="Q567" t="n">
        <v>0</v>
      </c>
      <c r="R567" s="2" t="inlineStr"/>
    </row>
    <row r="568" ht="15" customHeight="1">
      <c r="A568" t="inlineStr">
        <is>
          <t>A 11183-2023</t>
        </is>
      </c>
      <c r="B568" s="1" t="n">
        <v>44992.57782407408</v>
      </c>
      <c r="C568" s="1" t="n">
        <v>46065</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11190-2023</t>
        </is>
      </c>
      <c r="B569" s="1" t="n">
        <v>44992</v>
      </c>
      <c r="C569" s="1" t="n">
        <v>46065</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18431-2023</t>
        </is>
      </c>
      <c r="B570" s="1" t="n">
        <v>45042</v>
      </c>
      <c r="C570" s="1" t="n">
        <v>46065</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57650-2024</t>
        </is>
      </c>
      <c r="B571" s="1" t="n">
        <v>45630</v>
      </c>
      <c r="C571" s="1" t="n">
        <v>46065</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40556-2025</t>
        </is>
      </c>
      <c r="B572" s="1" t="n">
        <v>45896.44944444444</v>
      </c>
      <c r="C572" s="1" t="n">
        <v>46065</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40559-2025</t>
        </is>
      </c>
      <c r="B573" s="1" t="n">
        <v>45896.45037037037</v>
      </c>
      <c r="C573" s="1" t="n">
        <v>46065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10255-2024</t>
        </is>
      </c>
      <c r="B574" s="1" t="n">
        <v>45365</v>
      </c>
      <c r="C574" s="1" t="n">
        <v>46065</v>
      </c>
      <c r="D574" t="inlineStr">
        <is>
          <t>VÄSTMANLANDS LÄN</t>
        </is>
      </c>
      <c r="E574" t="inlineStr">
        <is>
          <t>SALA</t>
        </is>
      </c>
      <c r="F574" t="inlineStr">
        <is>
          <t>Kommuner</t>
        </is>
      </c>
      <c r="G574" t="n">
        <v>0.8</v>
      </c>
      <c r="H574" t="n">
        <v>0</v>
      </c>
      <c r="I574" t="n">
        <v>0</v>
      </c>
      <c r="J574" t="n">
        <v>0</v>
      </c>
      <c r="K574" t="n">
        <v>0</v>
      </c>
      <c r="L574" t="n">
        <v>0</v>
      </c>
      <c r="M574" t="n">
        <v>0</v>
      </c>
      <c r="N574" t="n">
        <v>0</v>
      </c>
      <c r="O574" t="n">
        <v>0</v>
      </c>
      <c r="P574" t="n">
        <v>0</v>
      </c>
      <c r="Q574" t="n">
        <v>0</v>
      </c>
      <c r="R574" s="2" t="inlineStr"/>
    </row>
    <row r="575" ht="15" customHeight="1">
      <c r="A575" t="inlineStr">
        <is>
          <t>A 40620-2025</t>
        </is>
      </c>
      <c r="B575" s="1" t="n">
        <v>45896.58609953704</v>
      </c>
      <c r="C575" s="1" t="n">
        <v>46065</v>
      </c>
      <c r="D575" t="inlineStr">
        <is>
          <t>VÄSTMANLANDS LÄN</t>
        </is>
      </c>
      <c r="E575" t="inlineStr">
        <is>
          <t>SALA</t>
        </is>
      </c>
      <c r="G575" t="n">
        <v>6.7</v>
      </c>
      <c r="H575" t="n">
        <v>0</v>
      </c>
      <c r="I575" t="n">
        <v>0</v>
      </c>
      <c r="J575" t="n">
        <v>0</v>
      </c>
      <c r="K575" t="n">
        <v>0</v>
      </c>
      <c r="L575" t="n">
        <v>0</v>
      </c>
      <c r="M575" t="n">
        <v>0</v>
      </c>
      <c r="N575" t="n">
        <v>0</v>
      </c>
      <c r="O575" t="n">
        <v>0</v>
      </c>
      <c r="P575" t="n">
        <v>0</v>
      </c>
      <c r="Q575" t="n">
        <v>0</v>
      </c>
      <c r="R575" s="2" t="inlineStr"/>
    </row>
    <row r="576" ht="15" customHeight="1">
      <c r="A576" t="inlineStr">
        <is>
          <t>A 28696-2023</t>
        </is>
      </c>
      <c r="B576" s="1" t="n">
        <v>45103.71759259259</v>
      </c>
      <c r="C576" s="1" t="n">
        <v>46065</v>
      </c>
      <c r="D576" t="inlineStr">
        <is>
          <t>VÄSTMANLANDS LÄN</t>
        </is>
      </c>
      <c r="E576" t="inlineStr">
        <is>
          <t>SALA</t>
        </is>
      </c>
      <c r="F576" t="inlineStr">
        <is>
          <t>Kommuner</t>
        </is>
      </c>
      <c r="G576" t="n">
        <v>5.9</v>
      </c>
      <c r="H576" t="n">
        <v>0</v>
      </c>
      <c r="I576" t="n">
        <v>0</v>
      </c>
      <c r="J576" t="n">
        <v>0</v>
      </c>
      <c r="K576" t="n">
        <v>0</v>
      </c>
      <c r="L576" t="n">
        <v>0</v>
      </c>
      <c r="M576" t="n">
        <v>0</v>
      </c>
      <c r="N576" t="n">
        <v>0</v>
      </c>
      <c r="O576" t="n">
        <v>0</v>
      </c>
      <c r="P576" t="n">
        <v>0</v>
      </c>
      <c r="Q576" t="n">
        <v>0</v>
      </c>
      <c r="R576" s="2" t="inlineStr"/>
    </row>
    <row r="577" ht="15" customHeight="1">
      <c r="A577" t="inlineStr">
        <is>
          <t>A 31072-2021</t>
        </is>
      </c>
      <c r="B577" s="1" t="n">
        <v>44368</v>
      </c>
      <c r="C577" s="1" t="n">
        <v>46065</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16543-2023</t>
        </is>
      </c>
      <c r="B578" s="1" t="n">
        <v>45029</v>
      </c>
      <c r="C578" s="1" t="n">
        <v>46065</v>
      </c>
      <c r="D578" t="inlineStr">
        <is>
          <t>VÄSTMANLANDS LÄN</t>
        </is>
      </c>
      <c r="E578" t="inlineStr">
        <is>
          <t>SALA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41230-2025</t>
        </is>
      </c>
      <c r="B579" s="1" t="n">
        <v>45898</v>
      </c>
      <c r="C579" s="1" t="n">
        <v>46065</v>
      </c>
      <c r="D579" t="inlineStr">
        <is>
          <t>VÄSTMANLANDS LÄN</t>
        </is>
      </c>
      <c r="E579" t="inlineStr">
        <is>
          <t>SALA</t>
        </is>
      </c>
      <c r="G579" t="n">
        <v>2.3</v>
      </c>
      <c r="H579" t="n">
        <v>0</v>
      </c>
      <c r="I579" t="n">
        <v>0</v>
      </c>
      <c r="J579" t="n">
        <v>0</v>
      </c>
      <c r="K579" t="n">
        <v>0</v>
      </c>
      <c r="L579" t="n">
        <v>0</v>
      </c>
      <c r="M579" t="n">
        <v>0</v>
      </c>
      <c r="N579" t="n">
        <v>0</v>
      </c>
      <c r="O579" t="n">
        <v>0</v>
      </c>
      <c r="P579" t="n">
        <v>0</v>
      </c>
      <c r="Q579" t="n">
        <v>0</v>
      </c>
      <c r="R579" s="2" t="inlineStr"/>
    </row>
    <row r="580" ht="15" customHeight="1">
      <c r="A580" t="inlineStr">
        <is>
          <t>A 22523-2023</t>
        </is>
      </c>
      <c r="B580" s="1" t="n">
        <v>45069</v>
      </c>
      <c r="C580" s="1" t="n">
        <v>46065</v>
      </c>
      <c r="D580" t="inlineStr">
        <is>
          <t>VÄSTMANLANDS LÄN</t>
        </is>
      </c>
      <c r="E580" t="inlineStr">
        <is>
          <t>SALA</t>
        </is>
      </c>
      <c r="G580" t="n">
        <v>2.4</v>
      </c>
      <c r="H580" t="n">
        <v>0</v>
      </c>
      <c r="I580" t="n">
        <v>0</v>
      </c>
      <c r="J580" t="n">
        <v>0</v>
      </c>
      <c r="K580" t="n">
        <v>0</v>
      </c>
      <c r="L580" t="n">
        <v>0</v>
      </c>
      <c r="M580" t="n">
        <v>0</v>
      </c>
      <c r="N580" t="n">
        <v>0</v>
      </c>
      <c r="O580" t="n">
        <v>0</v>
      </c>
      <c r="P580" t="n">
        <v>0</v>
      </c>
      <c r="Q580" t="n">
        <v>0</v>
      </c>
      <c r="R580" s="2" t="inlineStr"/>
    </row>
    <row r="581" ht="15" customHeight="1">
      <c r="A581" t="inlineStr">
        <is>
          <t>A 4663-2022</t>
        </is>
      </c>
      <c r="B581" s="1" t="n">
        <v>44592.45429398148</v>
      </c>
      <c r="C581" s="1" t="n">
        <v>46065</v>
      </c>
      <c r="D581" t="inlineStr">
        <is>
          <t>VÄSTMANLANDS LÄN</t>
        </is>
      </c>
      <c r="E581" t="inlineStr">
        <is>
          <t>SALA</t>
        </is>
      </c>
      <c r="G581" t="n">
        <v>2.5</v>
      </c>
      <c r="H581" t="n">
        <v>0</v>
      </c>
      <c r="I581" t="n">
        <v>0</v>
      </c>
      <c r="J581" t="n">
        <v>0</v>
      </c>
      <c r="K581" t="n">
        <v>0</v>
      </c>
      <c r="L581" t="n">
        <v>0</v>
      </c>
      <c r="M581" t="n">
        <v>0</v>
      </c>
      <c r="N581" t="n">
        <v>0</v>
      </c>
      <c r="O581" t="n">
        <v>0</v>
      </c>
      <c r="P581" t="n">
        <v>0</v>
      </c>
      <c r="Q581" t="n">
        <v>0</v>
      </c>
      <c r="R581" s="2" t="inlineStr"/>
    </row>
    <row r="582" ht="15" customHeight="1">
      <c r="A582" t="inlineStr">
        <is>
          <t>A 6132-2025</t>
        </is>
      </c>
      <c r="B582" s="1" t="n">
        <v>45698</v>
      </c>
      <c r="C582" s="1" t="n">
        <v>46065</v>
      </c>
      <c r="D582" t="inlineStr">
        <is>
          <t>VÄSTMANLANDS LÄN</t>
        </is>
      </c>
      <c r="E582" t="inlineStr">
        <is>
          <t>SALA</t>
        </is>
      </c>
      <c r="F582" t="inlineStr">
        <is>
          <t>Bergvik skog öst AB</t>
        </is>
      </c>
      <c r="G582" t="n">
        <v>1.5</v>
      </c>
      <c r="H582" t="n">
        <v>0</v>
      </c>
      <c r="I582" t="n">
        <v>0</v>
      </c>
      <c r="J582" t="n">
        <v>0</v>
      </c>
      <c r="K582" t="n">
        <v>0</v>
      </c>
      <c r="L582" t="n">
        <v>0</v>
      </c>
      <c r="M582" t="n">
        <v>0</v>
      </c>
      <c r="N582" t="n">
        <v>0</v>
      </c>
      <c r="O582" t="n">
        <v>0</v>
      </c>
      <c r="P582" t="n">
        <v>0</v>
      </c>
      <c r="Q582" t="n">
        <v>0</v>
      </c>
      <c r="R582" s="2" t="inlineStr"/>
    </row>
    <row r="583" ht="15" customHeight="1">
      <c r="A583" t="inlineStr">
        <is>
          <t>A 41431-2025</t>
        </is>
      </c>
      <c r="B583" s="1" t="n">
        <v>45901.39347222223</v>
      </c>
      <c r="C583" s="1" t="n">
        <v>46065</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41414-2025</t>
        </is>
      </c>
      <c r="B584" s="1" t="n">
        <v>45901.360625</v>
      </c>
      <c r="C584" s="1" t="n">
        <v>46065</v>
      </c>
      <c r="D584" t="inlineStr">
        <is>
          <t>VÄSTMANLANDS LÄN</t>
        </is>
      </c>
      <c r="E584" t="inlineStr">
        <is>
          <t>SALA</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31859-2023</t>
        </is>
      </c>
      <c r="B585" s="1" t="n">
        <v>45118</v>
      </c>
      <c r="C585" s="1" t="n">
        <v>46065</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c r="U585">
        <f>HYPERLINK("https://klasma.github.io/Logging_1981/knärot/A 31859-2023 karta knärot.png", "A 31859-2023")</f>
        <v/>
      </c>
      <c r="V585">
        <f>HYPERLINK("https://klasma.github.io/Logging_1981/klagomål/A 31859-2023 FSC-klagomål.docx", "A 31859-2023")</f>
        <v/>
      </c>
      <c r="W585">
        <f>HYPERLINK("https://klasma.github.io/Logging_1981/klagomålsmail/A 31859-2023 FSC-klagomål mail.docx", "A 31859-2023")</f>
        <v/>
      </c>
      <c r="X585">
        <f>HYPERLINK("https://klasma.github.io/Logging_1981/tillsyn/A 31859-2023 tillsynsbegäran.docx", "A 31859-2023")</f>
        <v/>
      </c>
      <c r="Y585">
        <f>HYPERLINK("https://klasma.github.io/Logging_1981/tillsynsmail/A 31859-2023 tillsynsbegäran mail.docx", "A 31859-2023")</f>
        <v/>
      </c>
    </row>
    <row r="586" ht="15" customHeight="1">
      <c r="A586" t="inlineStr">
        <is>
          <t>A 53164-2024</t>
        </is>
      </c>
      <c r="B586" s="1" t="n">
        <v>45611.64887731482</v>
      </c>
      <c r="C586" s="1" t="n">
        <v>46065</v>
      </c>
      <c r="D586" t="inlineStr">
        <is>
          <t>VÄSTMANLANDS LÄN</t>
        </is>
      </c>
      <c r="E586" t="inlineStr">
        <is>
          <t>SALA</t>
        </is>
      </c>
      <c r="G586" t="n">
        <v>2.6</v>
      </c>
      <c r="H586" t="n">
        <v>0</v>
      </c>
      <c r="I586" t="n">
        <v>0</v>
      </c>
      <c r="J586" t="n">
        <v>0</v>
      </c>
      <c r="K586" t="n">
        <v>0</v>
      </c>
      <c r="L586" t="n">
        <v>0</v>
      </c>
      <c r="M586" t="n">
        <v>0</v>
      </c>
      <c r="N586" t="n">
        <v>0</v>
      </c>
      <c r="O586" t="n">
        <v>0</v>
      </c>
      <c r="P586" t="n">
        <v>0</v>
      </c>
      <c r="Q586" t="n">
        <v>0</v>
      </c>
      <c r="R586" s="2" t="inlineStr"/>
    </row>
    <row r="587" ht="15" customHeight="1">
      <c r="A587" t="inlineStr">
        <is>
          <t>A 61681-2024</t>
        </is>
      </c>
      <c r="B587" s="1" t="n">
        <v>45647</v>
      </c>
      <c r="C587" s="1" t="n">
        <v>46065</v>
      </c>
      <c r="D587" t="inlineStr">
        <is>
          <t>VÄSTMANLANDS LÄN</t>
        </is>
      </c>
      <c r="E587" t="inlineStr">
        <is>
          <t>SALA</t>
        </is>
      </c>
      <c r="F587" t="inlineStr">
        <is>
          <t>Kommuner</t>
        </is>
      </c>
      <c r="G587" t="n">
        <v>1</v>
      </c>
      <c r="H587" t="n">
        <v>0</v>
      </c>
      <c r="I587" t="n">
        <v>0</v>
      </c>
      <c r="J587" t="n">
        <v>0</v>
      </c>
      <c r="K587" t="n">
        <v>0</v>
      </c>
      <c r="L587" t="n">
        <v>0</v>
      </c>
      <c r="M587" t="n">
        <v>0</v>
      </c>
      <c r="N587" t="n">
        <v>0</v>
      </c>
      <c r="O587" t="n">
        <v>0</v>
      </c>
      <c r="P587" t="n">
        <v>0</v>
      </c>
      <c r="Q587" t="n">
        <v>0</v>
      </c>
      <c r="R587" s="2" t="inlineStr"/>
    </row>
    <row r="588" ht="15" customHeight="1">
      <c r="A588" t="inlineStr">
        <is>
          <t>A 54960-2024</t>
        </is>
      </c>
      <c r="B588" s="1" t="n">
        <v>45619.85208333333</v>
      </c>
      <c r="C588" s="1" t="n">
        <v>46065</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61717-2024</t>
        </is>
      </c>
      <c r="B589" s="1" t="n">
        <v>45648</v>
      </c>
      <c r="C589" s="1" t="n">
        <v>46065</v>
      </c>
      <c r="D589" t="inlineStr">
        <is>
          <t>VÄSTMANLANDS LÄN</t>
        </is>
      </c>
      <c r="E589" t="inlineStr">
        <is>
          <t>SALA</t>
        </is>
      </c>
      <c r="G589" t="n">
        <v>3.7</v>
      </c>
      <c r="H589" t="n">
        <v>0</v>
      </c>
      <c r="I589" t="n">
        <v>0</v>
      </c>
      <c r="J589" t="n">
        <v>0</v>
      </c>
      <c r="K589" t="n">
        <v>0</v>
      </c>
      <c r="L589" t="n">
        <v>0</v>
      </c>
      <c r="M589" t="n">
        <v>0</v>
      </c>
      <c r="N589" t="n">
        <v>0</v>
      </c>
      <c r="O589" t="n">
        <v>0</v>
      </c>
      <c r="P589" t="n">
        <v>0</v>
      </c>
      <c r="Q589" t="n">
        <v>0</v>
      </c>
      <c r="R589" s="2" t="inlineStr"/>
    </row>
    <row r="590" ht="15" customHeight="1">
      <c r="A590" t="inlineStr">
        <is>
          <t>A 31082-2021</t>
        </is>
      </c>
      <c r="B590" s="1" t="n">
        <v>44368</v>
      </c>
      <c r="C590" s="1" t="n">
        <v>46065</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20352-2022</t>
        </is>
      </c>
      <c r="B591" s="1" t="n">
        <v>44699.37318287037</v>
      </c>
      <c r="C591" s="1" t="n">
        <v>46065</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21968-2024</t>
        </is>
      </c>
      <c r="B592" s="1" t="n">
        <v>45443</v>
      </c>
      <c r="C592" s="1" t="n">
        <v>46065</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27657-2023</t>
        </is>
      </c>
      <c r="B593" s="1" t="n">
        <v>45097.76631944445</v>
      </c>
      <c r="C593" s="1" t="n">
        <v>46065</v>
      </c>
      <c r="D593" t="inlineStr">
        <is>
          <t>VÄSTMANLANDS LÄN</t>
        </is>
      </c>
      <c r="E593" t="inlineStr">
        <is>
          <t>SALA</t>
        </is>
      </c>
      <c r="G593" t="n">
        <v>0.1</v>
      </c>
      <c r="H593" t="n">
        <v>0</v>
      </c>
      <c r="I593" t="n">
        <v>0</v>
      </c>
      <c r="J593" t="n">
        <v>0</v>
      </c>
      <c r="K593" t="n">
        <v>0</v>
      </c>
      <c r="L593" t="n">
        <v>0</v>
      </c>
      <c r="M593" t="n">
        <v>0</v>
      </c>
      <c r="N593" t="n">
        <v>0</v>
      </c>
      <c r="O593" t="n">
        <v>0</v>
      </c>
      <c r="P593" t="n">
        <v>0</v>
      </c>
      <c r="Q593" t="n">
        <v>0</v>
      </c>
      <c r="R593" s="2" t="inlineStr"/>
    </row>
    <row r="594" ht="15" customHeight="1">
      <c r="A594" t="inlineStr">
        <is>
          <t>A 2766-2024</t>
        </is>
      </c>
      <c r="B594" s="1" t="n">
        <v>45314.60950231482</v>
      </c>
      <c r="C594" s="1" t="n">
        <v>46065</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42421-2025</t>
        </is>
      </c>
      <c r="B595" s="1" t="n">
        <v>45905.40067129629</v>
      </c>
      <c r="C595" s="1" t="n">
        <v>46065</v>
      </c>
      <c r="D595" t="inlineStr">
        <is>
          <t>VÄSTMANLANDS LÄN</t>
        </is>
      </c>
      <c r="E595" t="inlineStr">
        <is>
          <t>SALA</t>
        </is>
      </c>
      <c r="G595" t="n">
        <v>1.3</v>
      </c>
      <c r="H595" t="n">
        <v>0</v>
      </c>
      <c r="I595" t="n">
        <v>0</v>
      </c>
      <c r="J595" t="n">
        <v>0</v>
      </c>
      <c r="K595" t="n">
        <v>0</v>
      </c>
      <c r="L595" t="n">
        <v>0</v>
      </c>
      <c r="M595" t="n">
        <v>0</v>
      </c>
      <c r="N595" t="n">
        <v>0</v>
      </c>
      <c r="O595" t="n">
        <v>0</v>
      </c>
      <c r="P595" t="n">
        <v>0</v>
      </c>
      <c r="Q595" t="n">
        <v>0</v>
      </c>
      <c r="R595" s="2" t="inlineStr"/>
    </row>
    <row r="596" ht="15" customHeight="1">
      <c r="A596" t="inlineStr">
        <is>
          <t>A 60550-2024</t>
        </is>
      </c>
      <c r="B596" s="1" t="n">
        <v>45643</v>
      </c>
      <c r="C596" s="1" t="n">
        <v>46065</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14690-2025</t>
        </is>
      </c>
      <c r="B597" s="1" t="n">
        <v>45742.58212962963</v>
      </c>
      <c r="C597" s="1" t="n">
        <v>46065</v>
      </c>
      <c r="D597" t="inlineStr">
        <is>
          <t>VÄSTMANLANDS LÄN</t>
        </is>
      </c>
      <c r="E597" t="inlineStr">
        <is>
          <t>SALA</t>
        </is>
      </c>
      <c r="G597" t="n">
        <v>3.4</v>
      </c>
      <c r="H597" t="n">
        <v>0</v>
      </c>
      <c r="I597" t="n">
        <v>0</v>
      </c>
      <c r="J597" t="n">
        <v>0</v>
      </c>
      <c r="K597" t="n">
        <v>0</v>
      </c>
      <c r="L597" t="n">
        <v>0</v>
      </c>
      <c r="M597" t="n">
        <v>0</v>
      </c>
      <c r="N597" t="n">
        <v>0</v>
      </c>
      <c r="O597" t="n">
        <v>0</v>
      </c>
      <c r="P597" t="n">
        <v>0</v>
      </c>
      <c r="Q597" t="n">
        <v>0</v>
      </c>
      <c r="R597" s="2" t="inlineStr"/>
    </row>
    <row r="598" ht="15" customHeight="1">
      <c r="A598" t="inlineStr">
        <is>
          <t>A 24175-2024</t>
        </is>
      </c>
      <c r="B598" s="1" t="n">
        <v>45456</v>
      </c>
      <c r="C598" s="1" t="n">
        <v>46065</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43028-2025</t>
        </is>
      </c>
      <c r="B599" s="1" t="n">
        <v>45909.53472222222</v>
      </c>
      <c r="C599" s="1" t="n">
        <v>46065</v>
      </c>
      <c r="D599" t="inlineStr">
        <is>
          <t>VÄSTMANLANDS LÄN</t>
        </is>
      </c>
      <c r="E599" t="inlineStr">
        <is>
          <t>SALA</t>
        </is>
      </c>
      <c r="G599" t="n">
        <v>3.8</v>
      </c>
      <c r="H599" t="n">
        <v>0</v>
      </c>
      <c r="I599" t="n">
        <v>0</v>
      </c>
      <c r="J599" t="n">
        <v>0</v>
      </c>
      <c r="K599" t="n">
        <v>0</v>
      </c>
      <c r="L599" t="n">
        <v>0</v>
      </c>
      <c r="M599" t="n">
        <v>0</v>
      </c>
      <c r="N599" t="n">
        <v>0</v>
      </c>
      <c r="O599" t="n">
        <v>0</v>
      </c>
      <c r="P599" t="n">
        <v>0</v>
      </c>
      <c r="Q599" t="n">
        <v>0</v>
      </c>
      <c r="R599" s="2" t="inlineStr"/>
    </row>
    <row r="600" ht="15" customHeight="1">
      <c r="A600" t="inlineStr">
        <is>
          <t>A 62449-2023</t>
        </is>
      </c>
      <c r="B600" s="1" t="n">
        <v>45268.49008101852</v>
      </c>
      <c r="C600" s="1" t="n">
        <v>46065</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43328-2025</t>
        </is>
      </c>
      <c r="B601" s="1" t="n">
        <v>45910</v>
      </c>
      <c r="C601" s="1" t="n">
        <v>46065</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54910-2023</t>
        </is>
      </c>
      <c r="B602" s="1" t="n">
        <v>45229</v>
      </c>
      <c r="C602" s="1" t="n">
        <v>46065</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43031-2025</t>
        </is>
      </c>
      <c r="B603" s="1" t="n">
        <v>45909.53856481481</v>
      </c>
      <c r="C603" s="1" t="n">
        <v>46065</v>
      </c>
      <c r="D603" t="inlineStr">
        <is>
          <t>VÄSTMANLANDS LÄN</t>
        </is>
      </c>
      <c r="E603" t="inlineStr">
        <is>
          <t>SALA</t>
        </is>
      </c>
      <c r="G603" t="n">
        <v>0.2</v>
      </c>
      <c r="H603" t="n">
        <v>0</v>
      </c>
      <c r="I603" t="n">
        <v>0</v>
      </c>
      <c r="J603" t="n">
        <v>0</v>
      </c>
      <c r="K603" t="n">
        <v>0</v>
      </c>
      <c r="L603" t="n">
        <v>0</v>
      </c>
      <c r="M603" t="n">
        <v>0</v>
      </c>
      <c r="N603" t="n">
        <v>0</v>
      </c>
      <c r="O603" t="n">
        <v>0</v>
      </c>
      <c r="P603" t="n">
        <v>0</v>
      </c>
      <c r="Q603" t="n">
        <v>0</v>
      </c>
      <c r="R603" s="2" t="inlineStr"/>
    </row>
    <row r="604" ht="15" customHeight="1">
      <c r="A604" t="inlineStr">
        <is>
          <t>A 17495-2024</t>
        </is>
      </c>
      <c r="B604" s="1" t="n">
        <v>45415</v>
      </c>
      <c r="C604" s="1" t="n">
        <v>46065</v>
      </c>
      <c r="D604" t="inlineStr">
        <is>
          <t>VÄSTMANLANDS LÄN</t>
        </is>
      </c>
      <c r="E604" t="inlineStr">
        <is>
          <t>SALA</t>
        </is>
      </c>
      <c r="G604" t="n">
        <v>3.1</v>
      </c>
      <c r="H604" t="n">
        <v>0</v>
      </c>
      <c r="I604" t="n">
        <v>0</v>
      </c>
      <c r="J604" t="n">
        <v>0</v>
      </c>
      <c r="K604" t="n">
        <v>0</v>
      </c>
      <c r="L604" t="n">
        <v>0</v>
      </c>
      <c r="M604" t="n">
        <v>0</v>
      </c>
      <c r="N604" t="n">
        <v>0</v>
      </c>
      <c r="O604" t="n">
        <v>0</v>
      </c>
      <c r="P604" t="n">
        <v>0</v>
      </c>
      <c r="Q604" t="n">
        <v>0</v>
      </c>
      <c r="R604" s="2" t="inlineStr"/>
    </row>
    <row r="605" ht="15" customHeight="1">
      <c r="A605" t="inlineStr">
        <is>
          <t>A 37263-2025</t>
        </is>
      </c>
      <c r="B605" s="1" t="n">
        <v>45876.4584837963</v>
      </c>
      <c r="C605" s="1" t="n">
        <v>46065</v>
      </c>
      <c r="D605" t="inlineStr">
        <is>
          <t>VÄSTMANLANDS LÄN</t>
        </is>
      </c>
      <c r="E605" t="inlineStr">
        <is>
          <t>SALA</t>
        </is>
      </c>
      <c r="G605" t="n">
        <v>2.3</v>
      </c>
      <c r="H605" t="n">
        <v>0</v>
      </c>
      <c r="I605" t="n">
        <v>0</v>
      </c>
      <c r="J605" t="n">
        <v>0</v>
      </c>
      <c r="K605" t="n">
        <v>0</v>
      </c>
      <c r="L605" t="n">
        <v>0</v>
      </c>
      <c r="M605" t="n">
        <v>0</v>
      </c>
      <c r="N605" t="n">
        <v>0</v>
      </c>
      <c r="O605" t="n">
        <v>0</v>
      </c>
      <c r="P605" t="n">
        <v>0</v>
      </c>
      <c r="Q605" t="n">
        <v>0</v>
      </c>
      <c r="R605" s="2" t="inlineStr"/>
    </row>
    <row r="606" ht="15" customHeight="1">
      <c r="A606" t="inlineStr">
        <is>
          <t>A 40554-2025</t>
        </is>
      </c>
      <c r="B606" s="1" t="n">
        <v>45896.44506944445</v>
      </c>
      <c r="C606" s="1" t="n">
        <v>46065</v>
      </c>
      <c r="D606" t="inlineStr">
        <is>
          <t>VÄSTMANLANDS LÄN</t>
        </is>
      </c>
      <c r="E606" t="inlineStr">
        <is>
          <t>SALA</t>
        </is>
      </c>
      <c r="G606" t="n">
        <v>0.9</v>
      </c>
      <c r="H606" t="n">
        <v>0</v>
      </c>
      <c r="I606" t="n">
        <v>0</v>
      </c>
      <c r="J606" t="n">
        <v>0</v>
      </c>
      <c r="K606" t="n">
        <v>0</v>
      </c>
      <c r="L606" t="n">
        <v>0</v>
      </c>
      <c r="M606" t="n">
        <v>0</v>
      </c>
      <c r="N606" t="n">
        <v>0</v>
      </c>
      <c r="O606" t="n">
        <v>0</v>
      </c>
      <c r="P606" t="n">
        <v>0</v>
      </c>
      <c r="Q606" t="n">
        <v>0</v>
      </c>
      <c r="R606" s="2" t="inlineStr"/>
    </row>
    <row r="607" ht="15" customHeight="1">
      <c r="A607" t="inlineStr">
        <is>
          <t>A 43129-2025</t>
        </is>
      </c>
      <c r="B607" s="1" t="n">
        <v>45909</v>
      </c>
      <c r="C607" s="1" t="n">
        <v>46065</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43130-2025</t>
        </is>
      </c>
      <c r="B608" s="1" t="n">
        <v>45909</v>
      </c>
      <c r="C608" s="1" t="n">
        <v>46065</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43128-2025</t>
        </is>
      </c>
      <c r="B609" s="1" t="n">
        <v>45909</v>
      </c>
      <c r="C609" s="1" t="n">
        <v>46065</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43127-2025</t>
        </is>
      </c>
      <c r="B610" s="1" t="n">
        <v>45909</v>
      </c>
      <c r="C610" s="1" t="n">
        <v>46065</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19222-2025</t>
        </is>
      </c>
      <c r="B611" s="1" t="n">
        <v>45769</v>
      </c>
      <c r="C611" s="1" t="n">
        <v>46065</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19241-2025</t>
        </is>
      </c>
      <c r="B612" s="1" t="n">
        <v>45769</v>
      </c>
      <c r="C612" s="1" t="n">
        <v>46065</v>
      </c>
      <c r="D612" t="inlineStr">
        <is>
          <t>VÄSTMANLANDS LÄN</t>
        </is>
      </c>
      <c r="E612" t="inlineStr">
        <is>
          <t>SALA</t>
        </is>
      </c>
      <c r="G612" t="n">
        <v>3.6</v>
      </c>
      <c r="H612" t="n">
        <v>0</v>
      </c>
      <c r="I612" t="n">
        <v>0</v>
      </c>
      <c r="J612" t="n">
        <v>0</v>
      </c>
      <c r="K612" t="n">
        <v>0</v>
      </c>
      <c r="L612" t="n">
        <v>0</v>
      </c>
      <c r="M612" t="n">
        <v>0</v>
      </c>
      <c r="N612" t="n">
        <v>0</v>
      </c>
      <c r="O612" t="n">
        <v>0</v>
      </c>
      <c r="P612" t="n">
        <v>0</v>
      </c>
      <c r="Q612" t="n">
        <v>0</v>
      </c>
      <c r="R612" s="2" t="inlineStr"/>
    </row>
    <row r="613" ht="15" customHeight="1">
      <c r="A613" t="inlineStr">
        <is>
          <t>A 44100-2025</t>
        </is>
      </c>
      <c r="B613" s="1" t="n">
        <v>45915.56707175926</v>
      </c>
      <c r="C613" s="1" t="n">
        <v>46065</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26416-2023</t>
        </is>
      </c>
      <c r="B614" s="1" t="n">
        <v>45092.38087962963</v>
      </c>
      <c r="C614" s="1" t="n">
        <v>46065</v>
      </c>
      <c r="D614" t="inlineStr">
        <is>
          <t>VÄSTMANLANDS LÄN</t>
        </is>
      </c>
      <c r="E614" t="inlineStr">
        <is>
          <t>SALA</t>
        </is>
      </c>
      <c r="G614" t="n">
        <v>2.9</v>
      </c>
      <c r="H614" t="n">
        <v>0</v>
      </c>
      <c r="I614" t="n">
        <v>0</v>
      </c>
      <c r="J614" t="n">
        <v>0</v>
      </c>
      <c r="K614" t="n">
        <v>0</v>
      </c>
      <c r="L614" t="n">
        <v>0</v>
      </c>
      <c r="M614" t="n">
        <v>0</v>
      </c>
      <c r="N614" t="n">
        <v>0</v>
      </c>
      <c r="O614" t="n">
        <v>0</v>
      </c>
      <c r="P614" t="n">
        <v>0</v>
      </c>
      <c r="Q614" t="n">
        <v>0</v>
      </c>
      <c r="R614" s="2" t="inlineStr"/>
    </row>
    <row r="615" ht="15" customHeight="1">
      <c r="A615" t="inlineStr">
        <is>
          <t>A 44486-2025</t>
        </is>
      </c>
      <c r="B615" s="1" t="n">
        <v>45916.65517361111</v>
      </c>
      <c r="C615" s="1" t="n">
        <v>46065</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26692-2023</t>
        </is>
      </c>
      <c r="B616" s="1" t="n">
        <v>45093.360625</v>
      </c>
      <c r="C616" s="1" t="n">
        <v>46065</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44524-2025</t>
        </is>
      </c>
      <c r="B617" s="1" t="n">
        <v>45916.72920138889</v>
      </c>
      <c r="C617" s="1" t="n">
        <v>46065</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15681-2025</t>
        </is>
      </c>
      <c r="B618" s="1" t="n">
        <v>45748.45454861111</v>
      </c>
      <c r="C618" s="1" t="n">
        <v>46065</v>
      </c>
      <c r="D618" t="inlineStr">
        <is>
          <t>VÄSTMANLANDS LÄN</t>
        </is>
      </c>
      <c r="E618" t="inlineStr">
        <is>
          <t>SALA</t>
        </is>
      </c>
      <c r="F618" t="inlineStr">
        <is>
          <t>Bergvik skog öst AB</t>
        </is>
      </c>
      <c r="G618" t="n">
        <v>4.3</v>
      </c>
      <c r="H618" t="n">
        <v>0</v>
      </c>
      <c r="I618" t="n">
        <v>0</v>
      </c>
      <c r="J618" t="n">
        <v>0</v>
      </c>
      <c r="K618" t="n">
        <v>0</v>
      </c>
      <c r="L618" t="n">
        <v>0</v>
      </c>
      <c r="M618" t="n">
        <v>0</v>
      </c>
      <c r="N618" t="n">
        <v>0</v>
      </c>
      <c r="O618" t="n">
        <v>0</v>
      </c>
      <c r="P618" t="n">
        <v>0</v>
      </c>
      <c r="Q618" t="n">
        <v>0</v>
      </c>
      <c r="R618" s="2" t="inlineStr"/>
    </row>
    <row r="619" ht="15" customHeight="1">
      <c r="A619" t="inlineStr">
        <is>
          <t>A 43122-2025</t>
        </is>
      </c>
      <c r="B619" s="1" t="n">
        <v>45909</v>
      </c>
      <c r="C619" s="1" t="n">
        <v>46065</v>
      </c>
      <c r="D619" t="inlineStr">
        <is>
          <t>VÄSTMANLANDS LÄN</t>
        </is>
      </c>
      <c r="E619" t="inlineStr">
        <is>
          <t>SALA</t>
        </is>
      </c>
      <c r="G619" t="n">
        <v>3.2</v>
      </c>
      <c r="H619" t="n">
        <v>0</v>
      </c>
      <c r="I619" t="n">
        <v>0</v>
      </c>
      <c r="J619" t="n">
        <v>0</v>
      </c>
      <c r="K619" t="n">
        <v>0</v>
      </c>
      <c r="L619" t="n">
        <v>0</v>
      </c>
      <c r="M619" t="n">
        <v>0</v>
      </c>
      <c r="N619" t="n">
        <v>0</v>
      </c>
      <c r="O619" t="n">
        <v>0</v>
      </c>
      <c r="P619" t="n">
        <v>0</v>
      </c>
      <c r="Q619" t="n">
        <v>0</v>
      </c>
      <c r="R619" s="2" t="inlineStr"/>
    </row>
    <row r="620" ht="15" customHeight="1">
      <c r="A620" t="inlineStr">
        <is>
          <t>A 45371-2025</t>
        </is>
      </c>
      <c r="B620" s="1" t="n">
        <v>45922.39001157408</v>
      </c>
      <c r="C620" s="1" t="n">
        <v>46065</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2925-2024</t>
        </is>
      </c>
      <c r="B621" s="1" t="n">
        <v>45315.58909722222</v>
      </c>
      <c r="C621" s="1" t="n">
        <v>46065</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45177-2025</t>
        </is>
      </c>
      <c r="B622" s="1" t="n">
        <v>45919.52444444445</v>
      </c>
      <c r="C622" s="1" t="n">
        <v>46065</v>
      </c>
      <c r="D622" t="inlineStr">
        <is>
          <t>VÄSTMANLANDS LÄN</t>
        </is>
      </c>
      <c r="E622" t="inlineStr">
        <is>
          <t>SALA</t>
        </is>
      </c>
      <c r="G622" t="n">
        <v>2.4</v>
      </c>
      <c r="H622" t="n">
        <v>0</v>
      </c>
      <c r="I622" t="n">
        <v>0</v>
      </c>
      <c r="J622" t="n">
        <v>0</v>
      </c>
      <c r="K622" t="n">
        <v>0</v>
      </c>
      <c r="L622" t="n">
        <v>0</v>
      </c>
      <c r="M622" t="n">
        <v>0</v>
      </c>
      <c r="N622" t="n">
        <v>0</v>
      </c>
      <c r="O622" t="n">
        <v>0</v>
      </c>
      <c r="P622" t="n">
        <v>0</v>
      </c>
      <c r="Q622" t="n">
        <v>0</v>
      </c>
      <c r="R622" s="2" t="inlineStr"/>
    </row>
    <row r="623" ht="15" customHeight="1">
      <c r="A623" t="inlineStr">
        <is>
          <t>A 44746-2024</t>
        </is>
      </c>
      <c r="B623" s="1" t="n">
        <v>45574.59813657407</v>
      </c>
      <c r="C623" s="1" t="n">
        <v>46065</v>
      </c>
      <c r="D623" t="inlineStr">
        <is>
          <t>VÄSTMANLANDS LÄN</t>
        </is>
      </c>
      <c r="E623" t="inlineStr">
        <is>
          <t>SALA</t>
        </is>
      </c>
      <c r="G623" t="n">
        <v>6.7</v>
      </c>
      <c r="H623" t="n">
        <v>0</v>
      </c>
      <c r="I623" t="n">
        <v>0</v>
      </c>
      <c r="J623" t="n">
        <v>0</v>
      </c>
      <c r="K623" t="n">
        <v>0</v>
      </c>
      <c r="L623" t="n">
        <v>0</v>
      </c>
      <c r="M623" t="n">
        <v>0</v>
      </c>
      <c r="N623" t="n">
        <v>0</v>
      </c>
      <c r="O623" t="n">
        <v>0</v>
      </c>
      <c r="P623" t="n">
        <v>0</v>
      </c>
      <c r="Q623" t="n">
        <v>0</v>
      </c>
      <c r="R623" s="2" t="inlineStr"/>
    </row>
    <row r="624" ht="15" customHeight="1">
      <c r="A624" t="inlineStr">
        <is>
          <t>A 44713-2023</t>
        </is>
      </c>
      <c r="B624" s="1" t="n">
        <v>45184</v>
      </c>
      <c r="C624" s="1" t="n">
        <v>46065</v>
      </c>
      <c r="D624" t="inlineStr">
        <is>
          <t>VÄSTMANLANDS LÄN</t>
        </is>
      </c>
      <c r="E624" t="inlineStr">
        <is>
          <t>SALA</t>
        </is>
      </c>
      <c r="F624" t="inlineStr">
        <is>
          <t>Kyrkan</t>
        </is>
      </c>
      <c r="G624" t="n">
        <v>7.6</v>
      </c>
      <c r="H624" t="n">
        <v>0</v>
      </c>
      <c r="I624" t="n">
        <v>0</v>
      </c>
      <c r="J624" t="n">
        <v>0</v>
      </c>
      <c r="K624" t="n">
        <v>0</v>
      </c>
      <c r="L624" t="n">
        <v>0</v>
      </c>
      <c r="M624" t="n">
        <v>0</v>
      </c>
      <c r="N624" t="n">
        <v>0</v>
      </c>
      <c r="O624" t="n">
        <v>0</v>
      </c>
      <c r="P624" t="n">
        <v>0</v>
      </c>
      <c r="Q624" t="n">
        <v>0</v>
      </c>
      <c r="R624" s="2" t="inlineStr"/>
    </row>
    <row r="625" ht="15" customHeight="1">
      <c r="A625" t="inlineStr">
        <is>
          <t>A 23431-2024</t>
        </is>
      </c>
      <c r="B625" s="1" t="n">
        <v>45453</v>
      </c>
      <c r="C625" s="1" t="n">
        <v>46065</v>
      </c>
      <c r="D625" t="inlineStr">
        <is>
          <t>VÄSTMANLANDS LÄN</t>
        </is>
      </c>
      <c r="E625" t="inlineStr">
        <is>
          <t>SALA</t>
        </is>
      </c>
      <c r="G625" t="n">
        <v>1.6</v>
      </c>
      <c r="H625" t="n">
        <v>0</v>
      </c>
      <c r="I625" t="n">
        <v>0</v>
      </c>
      <c r="J625" t="n">
        <v>0</v>
      </c>
      <c r="K625" t="n">
        <v>0</v>
      </c>
      <c r="L625" t="n">
        <v>0</v>
      </c>
      <c r="M625" t="n">
        <v>0</v>
      </c>
      <c r="N625" t="n">
        <v>0</v>
      </c>
      <c r="O625" t="n">
        <v>0</v>
      </c>
      <c r="P625" t="n">
        <v>0</v>
      </c>
      <c r="Q625" t="n">
        <v>0</v>
      </c>
      <c r="R625" s="2" t="inlineStr"/>
    </row>
    <row r="626" ht="15" customHeight="1">
      <c r="A626" t="inlineStr">
        <is>
          <t>A 45914-2025</t>
        </is>
      </c>
      <c r="B626" s="1" t="n">
        <v>45923.82582175926</v>
      </c>
      <c r="C626" s="1" t="n">
        <v>46065</v>
      </c>
      <c r="D626" t="inlineStr">
        <is>
          <t>VÄSTMANLANDS LÄN</t>
        </is>
      </c>
      <c r="E626" t="inlineStr">
        <is>
          <t>SALA</t>
        </is>
      </c>
      <c r="F626" t="inlineStr">
        <is>
          <t>Kommuner</t>
        </is>
      </c>
      <c r="G626" t="n">
        <v>18.2</v>
      </c>
      <c r="H626" t="n">
        <v>0</v>
      </c>
      <c r="I626" t="n">
        <v>0</v>
      </c>
      <c r="J626" t="n">
        <v>0</v>
      </c>
      <c r="K626" t="n">
        <v>0</v>
      </c>
      <c r="L626" t="n">
        <v>0</v>
      </c>
      <c r="M626" t="n">
        <v>0</v>
      </c>
      <c r="N626" t="n">
        <v>0</v>
      </c>
      <c r="O626" t="n">
        <v>0</v>
      </c>
      <c r="P626" t="n">
        <v>0</v>
      </c>
      <c r="Q626" t="n">
        <v>0</v>
      </c>
      <c r="R626" s="2" t="inlineStr"/>
    </row>
    <row r="627" ht="15" customHeight="1">
      <c r="A627" t="inlineStr">
        <is>
          <t>A 45909-2025</t>
        </is>
      </c>
      <c r="B627" s="1" t="n">
        <v>45923.75078703704</v>
      </c>
      <c r="C627" s="1" t="n">
        <v>46065</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46597-2025</t>
        </is>
      </c>
      <c r="B628" s="1" t="n">
        <v>45926.40113425926</v>
      </c>
      <c r="C628" s="1" t="n">
        <v>46065</v>
      </c>
      <c r="D628" t="inlineStr">
        <is>
          <t>VÄSTMANLANDS LÄN</t>
        </is>
      </c>
      <c r="E628" t="inlineStr">
        <is>
          <t>SALA</t>
        </is>
      </c>
      <c r="G628" t="n">
        <v>3.4</v>
      </c>
      <c r="H628" t="n">
        <v>0</v>
      </c>
      <c r="I628" t="n">
        <v>0</v>
      </c>
      <c r="J628" t="n">
        <v>0</v>
      </c>
      <c r="K628" t="n">
        <v>0</v>
      </c>
      <c r="L628" t="n">
        <v>0</v>
      </c>
      <c r="M628" t="n">
        <v>0</v>
      </c>
      <c r="N628" t="n">
        <v>0</v>
      </c>
      <c r="O628" t="n">
        <v>0</v>
      </c>
      <c r="P628" t="n">
        <v>0</v>
      </c>
      <c r="Q628" t="n">
        <v>0</v>
      </c>
      <c r="R628" s="2" t="inlineStr"/>
    </row>
    <row r="629" ht="15" customHeight="1">
      <c r="A629" t="inlineStr">
        <is>
          <t>A 21168-2025</t>
        </is>
      </c>
      <c r="B629" s="1" t="n">
        <v>45777</v>
      </c>
      <c r="C629" s="1" t="n">
        <v>46065</v>
      </c>
      <c r="D629" t="inlineStr">
        <is>
          <t>VÄSTMANLANDS LÄN</t>
        </is>
      </c>
      <c r="E629" t="inlineStr">
        <is>
          <t>SALA</t>
        </is>
      </c>
      <c r="G629" t="n">
        <v>4.5</v>
      </c>
      <c r="H629" t="n">
        <v>0</v>
      </c>
      <c r="I629" t="n">
        <v>0</v>
      </c>
      <c r="J629" t="n">
        <v>0</v>
      </c>
      <c r="K629" t="n">
        <v>0</v>
      </c>
      <c r="L629" t="n">
        <v>0</v>
      </c>
      <c r="M629" t="n">
        <v>0</v>
      </c>
      <c r="N629" t="n">
        <v>0</v>
      </c>
      <c r="O629" t="n">
        <v>0</v>
      </c>
      <c r="P629" t="n">
        <v>0</v>
      </c>
      <c r="Q629" t="n">
        <v>0</v>
      </c>
      <c r="R629" s="2" t="inlineStr"/>
    </row>
    <row r="630" ht="15" customHeight="1">
      <c r="A630" t="inlineStr">
        <is>
          <t>A 46661-2025</t>
        </is>
      </c>
      <c r="B630" s="1" t="n">
        <v>45926</v>
      </c>
      <c r="C630" s="1" t="n">
        <v>46065</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21751-2025</t>
        </is>
      </c>
      <c r="B631" s="1" t="n">
        <v>45783.61372685185</v>
      </c>
      <c r="C631" s="1" t="n">
        <v>46065</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46915-2025</t>
        </is>
      </c>
      <c r="B632" s="1" t="n">
        <v>45929.42114583333</v>
      </c>
      <c r="C632" s="1" t="n">
        <v>46065</v>
      </c>
      <c r="D632" t="inlineStr">
        <is>
          <t>VÄSTMANLANDS LÄN</t>
        </is>
      </c>
      <c r="E632" t="inlineStr">
        <is>
          <t>SALA</t>
        </is>
      </c>
      <c r="G632" t="n">
        <v>1.5</v>
      </c>
      <c r="H632" t="n">
        <v>0</v>
      </c>
      <c r="I632" t="n">
        <v>0</v>
      </c>
      <c r="J632" t="n">
        <v>0</v>
      </c>
      <c r="K632" t="n">
        <v>0</v>
      </c>
      <c r="L632" t="n">
        <v>0</v>
      </c>
      <c r="M632" t="n">
        <v>0</v>
      </c>
      <c r="N632" t="n">
        <v>0</v>
      </c>
      <c r="O632" t="n">
        <v>0</v>
      </c>
      <c r="P632" t="n">
        <v>0</v>
      </c>
      <c r="Q632" t="n">
        <v>0</v>
      </c>
      <c r="R632" s="2" t="inlineStr"/>
    </row>
    <row r="633" ht="15" customHeight="1">
      <c r="A633" t="inlineStr">
        <is>
          <t>A 21754-2025</t>
        </is>
      </c>
      <c r="B633" s="1" t="n">
        <v>45783.61837962963</v>
      </c>
      <c r="C633" s="1" t="n">
        <v>46065</v>
      </c>
      <c r="D633" t="inlineStr">
        <is>
          <t>VÄSTMANLANDS LÄN</t>
        </is>
      </c>
      <c r="E633" t="inlineStr">
        <is>
          <t>SALA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37587-2024</t>
        </is>
      </c>
      <c r="B634" s="1" t="n">
        <v>45541</v>
      </c>
      <c r="C634" s="1" t="n">
        <v>46065</v>
      </c>
      <c r="D634" t="inlineStr">
        <is>
          <t>VÄSTMANLANDS LÄN</t>
        </is>
      </c>
      <c r="E634" t="inlineStr">
        <is>
          <t>SALA</t>
        </is>
      </c>
      <c r="G634" t="n">
        <v>1.2</v>
      </c>
      <c r="H634" t="n">
        <v>0</v>
      </c>
      <c r="I634" t="n">
        <v>0</v>
      </c>
      <c r="J634" t="n">
        <v>0</v>
      </c>
      <c r="K634" t="n">
        <v>0</v>
      </c>
      <c r="L634" t="n">
        <v>0</v>
      </c>
      <c r="M634" t="n">
        <v>0</v>
      </c>
      <c r="N634" t="n">
        <v>0</v>
      </c>
      <c r="O634" t="n">
        <v>0</v>
      </c>
      <c r="P634" t="n">
        <v>0</v>
      </c>
      <c r="Q634" t="n">
        <v>0</v>
      </c>
      <c r="R634" s="2" t="inlineStr"/>
    </row>
    <row r="635" ht="15" customHeight="1">
      <c r="A635" t="inlineStr">
        <is>
          <t>A 48057-2025</t>
        </is>
      </c>
      <c r="B635" s="1" t="n">
        <v>45932.67947916667</v>
      </c>
      <c r="C635" s="1" t="n">
        <v>46065</v>
      </c>
      <c r="D635" t="inlineStr">
        <is>
          <t>VÄSTMANLANDS LÄN</t>
        </is>
      </c>
      <c r="E635" t="inlineStr">
        <is>
          <t>SALA</t>
        </is>
      </c>
      <c r="G635" t="n">
        <v>4.3</v>
      </c>
      <c r="H635" t="n">
        <v>0</v>
      </c>
      <c r="I635" t="n">
        <v>0</v>
      </c>
      <c r="J635" t="n">
        <v>0</v>
      </c>
      <c r="K635" t="n">
        <v>0</v>
      </c>
      <c r="L635" t="n">
        <v>0</v>
      </c>
      <c r="M635" t="n">
        <v>0</v>
      </c>
      <c r="N635" t="n">
        <v>0</v>
      </c>
      <c r="O635" t="n">
        <v>0</v>
      </c>
      <c r="P635" t="n">
        <v>0</v>
      </c>
      <c r="Q635" t="n">
        <v>0</v>
      </c>
      <c r="R635" s="2" t="inlineStr"/>
    </row>
    <row r="636" ht="15" customHeight="1">
      <c r="A636" t="inlineStr">
        <is>
          <t>A 47577-2025</t>
        </is>
      </c>
      <c r="B636" s="1" t="n">
        <v>45931.4047337963</v>
      </c>
      <c r="C636" s="1" t="n">
        <v>46065</v>
      </c>
      <c r="D636" t="inlineStr">
        <is>
          <t>VÄSTMANLANDS LÄN</t>
        </is>
      </c>
      <c r="E636" t="inlineStr">
        <is>
          <t>SALA</t>
        </is>
      </c>
      <c r="G636" t="n">
        <v>3.7</v>
      </c>
      <c r="H636" t="n">
        <v>0</v>
      </c>
      <c r="I636" t="n">
        <v>0</v>
      </c>
      <c r="J636" t="n">
        <v>0</v>
      </c>
      <c r="K636" t="n">
        <v>0</v>
      </c>
      <c r="L636" t="n">
        <v>0</v>
      </c>
      <c r="M636" t="n">
        <v>0</v>
      </c>
      <c r="N636" t="n">
        <v>0</v>
      </c>
      <c r="O636" t="n">
        <v>0</v>
      </c>
      <c r="P636" t="n">
        <v>0</v>
      </c>
      <c r="Q636" t="n">
        <v>0</v>
      </c>
      <c r="R636" s="2" t="inlineStr"/>
    </row>
    <row r="637" ht="15" customHeight="1">
      <c r="A637" t="inlineStr">
        <is>
          <t>A 22353-2025</t>
        </is>
      </c>
      <c r="B637" s="1" t="n">
        <v>45786</v>
      </c>
      <c r="C637" s="1" t="n">
        <v>46065</v>
      </c>
      <c r="D637" t="inlineStr">
        <is>
          <t>VÄSTMANLANDS LÄN</t>
        </is>
      </c>
      <c r="E637" t="inlineStr">
        <is>
          <t>SALA</t>
        </is>
      </c>
      <c r="G637" t="n">
        <v>2.5</v>
      </c>
      <c r="H637" t="n">
        <v>0</v>
      </c>
      <c r="I637" t="n">
        <v>0</v>
      </c>
      <c r="J637" t="n">
        <v>0</v>
      </c>
      <c r="K637" t="n">
        <v>0</v>
      </c>
      <c r="L637" t="n">
        <v>0</v>
      </c>
      <c r="M637" t="n">
        <v>0</v>
      </c>
      <c r="N637" t="n">
        <v>0</v>
      </c>
      <c r="O637" t="n">
        <v>0</v>
      </c>
      <c r="P637" t="n">
        <v>0</v>
      </c>
      <c r="Q637" t="n">
        <v>0</v>
      </c>
      <c r="R637" s="2" t="inlineStr"/>
    </row>
    <row r="638" ht="15" customHeight="1">
      <c r="A638" t="inlineStr">
        <is>
          <t>A 64724-2023</t>
        </is>
      </c>
      <c r="B638" s="1" t="n">
        <v>45281.7602662037</v>
      </c>
      <c r="C638" s="1" t="n">
        <v>46065</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48710-2025</t>
        </is>
      </c>
      <c r="B639" s="1" t="n">
        <v>45936.63184027778</v>
      </c>
      <c r="C639" s="1" t="n">
        <v>46065</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22370-2025</t>
        </is>
      </c>
      <c r="B640" s="1" t="n">
        <v>45786</v>
      </c>
      <c r="C640" s="1" t="n">
        <v>46065</v>
      </c>
      <c r="D640" t="inlineStr">
        <is>
          <t>VÄSTMANLANDS LÄN</t>
        </is>
      </c>
      <c r="E640" t="inlineStr">
        <is>
          <t>SALA</t>
        </is>
      </c>
      <c r="G640" t="n">
        <v>3.2</v>
      </c>
      <c r="H640" t="n">
        <v>0</v>
      </c>
      <c r="I640" t="n">
        <v>0</v>
      </c>
      <c r="J640" t="n">
        <v>0</v>
      </c>
      <c r="K640" t="n">
        <v>0</v>
      </c>
      <c r="L640" t="n">
        <v>0</v>
      </c>
      <c r="M640" t="n">
        <v>0</v>
      </c>
      <c r="N640" t="n">
        <v>0</v>
      </c>
      <c r="O640" t="n">
        <v>0</v>
      </c>
      <c r="P640" t="n">
        <v>0</v>
      </c>
      <c r="Q640" t="n">
        <v>0</v>
      </c>
      <c r="R640" s="2" t="inlineStr"/>
    </row>
    <row r="641" ht="15" customHeight="1">
      <c r="A641" t="inlineStr">
        <is>
          <t>A 22383-2025</t>
        </is>
      </c>
      <c r="B641" s="1" t="n">
        <v>45786</v>
      </c>
      <c r="C641" s="1" t="n">
        <v>46065</v>
      </c>
      <c r="D641" t="inlineStr">
        <is>
          <t>VÄSTMANLANDS LÄN</t>
        </is>
      </c>
      <c r="E641" t="inlineStr">
        <is>
          <t>SALA</t>
        </is>
      </c>
      <c r="G641" t="n">
        <v>2.2</v>
      </c>
      <c r="H641" t="n">
        <v>0</v>
      </c>
      <c r="I641" t="n">
        <v>0</v>
      </c>
      <c r="J641" t="n">
        <v>0</v>
      </c>
      <c r="K641" t="n">
        <v>0</v>
      </c>
      <c r="L641" t="n">
        <v>0</v>
      </c>
      <c r="M641" t="n">
        <v>0</v>
      </c>
      <c r="N641" t="n">
        <v>0</v>
      </c>
      <c r="O641" t="n">
        <v>0</v>
      </c>
      <c r="P641" t="n">
        <v>0</v>
      </c>
      <c r="Q641" t="n">
        <v>0</v>
      </c>
      <c r="R641" s="2" t="inlineStr"/>
    </row>
    <row r="642" ht="15" customHeight="1">
      <c r="A642" t="inlineStr">
        <is>
          <t>A 7176-2023</t>
        </is>
      </c>
      <c r="B642" s="1" t="n">
        <v>44970</v>
      </c>
      <c r="C642" s="1" t="n">
        <v>46065</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22624-2025</t>
        </is>
      </c>
      <c r="B643" s="1" t="n">
        <v>45789.43327546296</v>
      </c>
      <c r="C643" s="1" t="n">
        <v>46065</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48910-2025</t>
        </is>
      </c>
      <c r="B644" s="1" t="n">
        <v>45937.48649305556</v>
      </c>
      <c r="C644" s="1" t="n">
        <v>46065</v>
      </c>
      <c r="D644" t="inlineStr">
        <is>
          <t>VÄSTMANLANDS LÄN</t>
        </is>
      </c>
      <c r="E644" t="inlineStr">
        <is>
          <t>SALA</t>
        </is>
      </c>
      <c r="G644" t="n">
        <v>7.8</v>
      </c>
      <c r="H644" t="n">
        <v>0</v>
      </c>
      <c r="I644" t="n">
        <v>0</v>
      </c>
      <c r="J644" t="n">
        <v>0</v>
      </c>
      <c r="K644" t="n">
        <v>0</v>
      </c>
      <c r="L644" t="n">
        <v>0</v>
      </c>
      <c r="M644" t="n">
        <v>0</v>
      </c>
      <c r="N644" t="n">
        <v>0</v>
      </c>
      <c r="O644" t="n">
        <v>0</v>
      </c>
      <c r="P644" t="n">
        <v>0</v>
      </c>
      <c r="Q644" t="n">
        <v>0</v>
      </c>
      <c r="R644" s="2" t="inlineStr"/>
    </row>
    <row r="645" ht="15" customHeight="1">
      <c r="A645" t="inlineStr">
        <is>
          <t>A 49640-2025</t>
        </is>
      </c>
      <c r="B645" s="1" t="n">
        <v>45939.61459490741</v>
      </c>
      <c r="C645" s="1" t="n">
        <v>46065</v>
      </c>
      <c r="D645" t="inlineStr">
        <is>
          <t>VÄSTMANLANDS LÄN</t>
        </is>
      </c>
      <c r="E645" t="inlineStr">
        <is>
          <t>SALA</t>
        </is>
      </c>
      <c r="F645" t="inlineStr">
        <is>
          <t>Kommuner</t>
        </is>
      </c>
      <c r="G645" t="n">
        <v>18.8</v>
      </c>
      <c r="H645" t="n">
        <v>0</v>
      </c>
      <c r="I645" t="n">
        <v>0</v>
      </c>
      <c r="J645" t="n">
        <v>0</v>
      </c>
      <c r="K645" t="n">
        <v>0</v>
      </c>
      <c r="L645" t="n">
        <v>0</v>
      </c>
      <c r="M645" t="n">
        <v>0</v>
      </c>
      <c r="N645" t="n">
        <v>0</v>
      </c>
      <c r="O645" t="n">
        <v>0</v>
      </c>
      <c r="P645" t="n">
        <v>0</v>
      </c>
      <c r="Q645" t="n">
        <v>0</v>
      </c>
      <c r="R645" s="2" t="inlineStr"/>
    </row>
    <row r="646" ht="15" customHeight="1">
      <c r="A646" t="inlineStr">
        <is>
          <t>A 31405-2024</t>
        </is>
      </c>
      <c r="B646" s="1" t="n">
        <v>45505.5490625</v>
      </c>
      <c r="C646" s="1" t="n">
        <v>46065</v>
      </c>
      <c r="D646" t="inlineStr">
        <is>
          <t>VÄSTMANLANDS LÄN</t>
        </is>
      </c>
      <c r="E646" t="inlineStr">
        <is>
          <t>SALA</t>
        </is>
      </c>
      <c r="G646" t="n">
        <v>5.2</v>
      </c>
      <c r="H646" t="n">
        <v>0</v>
      </c>
      <c r="I646" t="n">
        <v>0</v>
      </c>
      <c r="J646" t="n">
        <v>0</v>
      </c>
      <c r="K646" t="n">
        <v>0</v>
      </c>
      <c r="L646" t="n">
        <v>0</v>
      </c>
      <c r="M646" t="n">
        <v>0</v>
      </c>
      <c r="N646" t="n">
        <v>0</v>
      </c>
      <c r="O646" t="n">
        <v>0</v>
      </c>
      <c r="P646" t="n">
        <v>0</v>
      </c>
      <c r="Q646" t="n">
        <v>0</v>
      </c>
      <c r="R646" s="2" t="inlineStr"/>
    </row>
    <row r="647" ht="15" customHeight="1">
      <c r="A647" t="inlineStr">
        <is>
          <t>A 49585-2025</t>
        </is>
      </c>
      <c r="B647" s="1" t="n">
        <v>45939.5043287037</v>
      </c>
      <c r="C647" s="1" t="n">
        <v>46065</v>
      </c>
      <c r="D647" t="inlineStr">
        <is>
          <t>VÄSTMANLANDS LÄN</t>
        </is>
      </c>
      <c r="E647" t="inlineStr">
        <is>
          <t>SALA</t>
        </is>
      </c>
      <c r="G647" t="n">
        <v>2.2</v>
      </c>
      <c r="H647" t="n">
        <v>0</v>
      </c>
      <c r="I647" t="n">
        <v>0</v>
      </c>
      <c r="J647" t="n">
        <v>0</v>
      </c>
      <c r="K647" t="n">
        <v>0</v>
      </c>
      <c r="L647" t="n">
        <v>0</v>
      </c>
      <c r="M647" t="n">
        <v>0</v>
      </c>
      <c r="N647" t="n">
        <v>0</v>
      </c>
      <c r="O647" t="n">
        <v>0</v>
      </c>
      <c r="P647" t="n">
        <v>0</v>
      </c>
      <c r="Q647" t="n">
        <v>0</v>
      </c>
      <c r="R647" s="2" t="inlineStr"/>
    </row>
    <row r="648" ht="15" customHeight="1">
      <c r="A648" t="inlineStr">
        <is>
          <t>A 22616-2025</t>
        </is>
      </c>
      <c r="B648" s="1" t="n">
        <v>45789.42752314815</v>
      </c>
      <c r="C648" s="1" t="n">
        <v>46065</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43600-2024</t>
        </is>
      </c>
      <c r="B649" s="1" t="n">
        <v>45569</v>
      </c>
      <c r="C649" s="1" t="n">
        <v>46065</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13130-2025</t>
        </is>
      </c>
      <c r="B650" s="1" t="n">
        <v>45734</v>
      </c>
      <c r="C650" s="1" t="n">
        <v>46065</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50128-2025</t>
        </is>
      </c>
      <c r="B651" s="1" t="n">
        <v>45943.55318287037</v>
      </c>
      <c r="C651" s="1" t="n">
        <v>46065</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50249-2025</t>
        </is>
      </c>
      <c r="B652" s="1" t="n">
        <v>45944.31508101852</v>
      </c>
      <c r="C652" s="1" t="n">
        <v>46065</v>
      </c>
      <c r="D652" t="inlineStr">
        <is>
          <t>VÄSTMANLANDS LÄN</t>
        </is>
      </c>
      <c r="E652" t="inlineStr">
        <is>
          <t>SALA</t>
        </is>
      </c>
      <c r="G652" t="n">
        <v>2.3</v>
      </c>
      <c r="H652" t="n">
        <v>0</v>
      </c>
      <c r="I652" t="n">
        <v>0</v>
      </c>
      <c r="J652" t="n">
        <v>0</v>
      </c>
      <c r="K652" t="n">
        <v>0</v>
      </c>
      <c r="L652" t="n">
        <v>0</v>
      </c>
      <c r="M652" t="n">
        <v>0</v>
      </c>
      <c r="N652" t="n">
        <v>0</v>
      </c>
      <c r="O652" t="n">
        <v>0</v>
      </c>
      <c r="P652" t="n">
        <v>0</v>
      </c>
      <c r="Q652" t="n">
        <v>0</v>
      </c>
      <c r="R652" s="2" t="inlineStr"/>
    </row>
    <row r="653" ht="15" customHeight="1">
      <c r="A653" t="inlineStr">
        <is>
          <t>A 50119-2025</t>
        </is>
      </c>
      <c r="B653" s="1" t="n">
        <v>45943.54883101852</v>
      </c>
      <c r="C653" s="1" t="n">
        <v>46065</v>
      </c>
      <c r="D653" t="inlineStr">
        <is>
          <t>VÄSTMANLANDS LÄN</t>
        </is>
      </c>
      <c r="E653" t="inlineStr">
        <is>
          <t>SALA</t>
        </is>
      </c>
      <c r="G653" t="n">
        <v>3.3</v>
      </c>
      <c r="H653" t="n">
        <v>0</v>
      </c>
      <c r="I653" t="n">
        <v>0</v>
      </c>
      <c r="J653" t="n">
        <v>0</v>
      </c>
      <c r="K653" t="n">
        <v>0</v>
      </c>
      <c r="L653" t="n">
        <v>0</v>
      </c>
      <c r="M653" t="n">
        <v>0</v>
      </c>
      <c r="N653" t="n">
        <v>0</v>
      </c>
      <c r="O653" t="n">
        <v>0</v>
      </c>
      <c r="P653" t="n">
        <v>0</v>
      </c>
      <c r="Q653" t="n">
        <v>0</v>
      </c>
      <c r="R653" s="2" t="inlineStr"/>
    </row>
    <row r="654" ht="15" customHeight="1">
      <c r="A654" t="inlineStr">
        <is>
          <t>A 50059-2025</t>
        </is>
      </c>
      <c r="B654" s="1" t="n">
        <v>45943.44125</v>
      </c>
      <c r="C654" s="1" t="n">
        <v>46065</v>
      </c>
      <c r="D654" t="inlineStr">
        <is>
          <t>VÄSTMANLANDS LÄN</t>
        </is>
      </c>
      <c r="E654" t="inlineStr">
        <is>
          <t>SALA</t>
        </is>
      </c>
      <c r="G654" t="n">
        <v>4.4</v>
      </c>
      <c r="H654" t="n">
        <v>0</v>
      </c>
      <c r="I654" t="n">
        <v>0</v>
      </c>
      <c r="J654" t="n">
        <v>0</v>
      </c>
      <c r="K654" t="n">
        <v>0</v>
      </c>
      <c r="L654" t="n">
        <v>0</v>
      </c>
      <c r="M654" t="n">
        <v>0</v>
      </c>
      <c r="N654" t="n">
        <v>0</v>
      </c>
      <c r="O654" t="n">
        <v>0</v>
      </c>
      <c r="P654" t="n">
        <v>0</v>
      </c>
      <c r="Q654" t="n">
        <v>0</v>
      </c>
      <c r="R654" s="2" t="inlineStr"/>
    </row>
    <row r="655" ht="15" customHeight="1">
      <c r="A655" t="inlineStr">
        <is>
          <t>A 51626-2025</t>
        </is>
      </c>
      <c r="B655" s="1" t="n">
        <v>45951.41769675926</v>
      </c>
      <c r="C655" s="1" t="n">
        <v>46065</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51690-2025</t>
        </is>
      </c>
      <c r="B656" s="1" t="n">
        <v>45951.53462962963</v>
      </c>
      <c r="C656" s="1" t="n">
        <v>46065</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51809-2025</t>
        </is>
      </c>
      <c r="B657" s="1" t="n">
        <v>45951.80116898148</v>
      </c>
      <c r="C657" s="1" t="n">
        <v>46065</v>
      </c>
      <c r="D657" t="inlineStr">
        <is>
          <t>VÄSTMANLANDS LÄN</t>
        </is>
      </c>
      <c r="E657" t="inlineStr">
        <is>
          <t>SALA</t>
        </is>
      </c>
      <c r="F657" t="inlineStr">
        <is>
          <t>Kommuner</t>
        </is>
      </c>
      <c r="G657" t="n">
        <v>3.5</v>
      </c>
      <c r="H657" t="n">
        <v>0</v>
      </c>
      <c r="I657" t="n">
        <v>0</v>
      </c>
      <c r="J657" t="n">
        <v>0</v>
      </c>
      <c r="K657" t="n">
        <v>0</v>
      </c>
      <c r="L657" t="n">
        <v>0</v>
      </c>
      <c r="M657" t="n">
        <v>0</v>
      </c>
      <c r="N657" t="n">
        <v>0</v>
      </c>
      <c r="O657" t="n">
        <v>0</v>
      </c>
      <c r="P657" t="n">
        <v>0</v>
      </c>
      <c r="Q657" t="n">
        <v>0</v>
      </c>
      <c r="R657" s="2" t="inlineStr"/>
    </row>
    <row r="658" ht="15" customHeight="1">
      <c r="A658" t="inlineStr">
        <is>
          <t>A 51803-2025</t>
        </is>
      </c>
      <c r="B658" s="1" t="n">
        <v>45951.76818287037</v>
      </c>
      <c r="C658" s="1" t="n">
        <v>46065</v>
      </c>
      <c r="D658" t="inlineStr">
        <is>
          <t>VÄSTMANLANDS LÄN</t>
        </is>
      </c>
      <c r="E658" t="inlineStr">
        <is>
          <t>SALA</t>
        </is>
      </c>
      <c r="F658" t="inlineStr">
        <is>
          <t>Kommuner</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51805-2025</t>
        </is>
      </c>
      <c r="B659" s="1" t="n">
        <v>45951.78359953704</v>
      </c>
      <c r="C659" s="1" t="n">
        <v>46065</v>
      </c>
      <c r="D659" t="inlineStr">
        <is>
          <t>VÄSTMANLANDS LÄN</t>
        </is>
      </c>
      <c r="E659" t="inlineStr">
        <is>
          <t>SALA</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51804-2025</t>
        </is>
      </c>
      <c r="B660" s="1" t="n">
        <v>45951.77697916667</v>
      </c>
      <c r="C660" s="1" t="n">
        <v>46065</v>
      </c>
      <c r="D660" t="inlineStr">
        <is>
          <t>VÄSTMANLANDS LÄN</t>
        </is>
      </c>
      <c r="E660" t="inlineStr">
        <is>
          <t>SALA</t>
        </is>
      </c>
      <c r="F660" t="inlineStr">
        <is>
          <t>Kommuner</t>
        </is>
      </c>
      <c r="G660" t="n">
        <v>2</v>
      </c>
      <c r="H660" t="n">
        <v>0</v>
      </c>
      <c r="I660" t="n">
        <v>0</v>
      </c>
      <c r="J660" t="n">
        <v>0</v>
      </c>
      <c r="K660" t="n">
        <v>0</v>
      </c>
      <c r="L660" t="n">
        <v>0</v>
      </c>
      <c r="M660" t="n">
        <v>0</v>
      </c>
      <c r="N660" t="n">
        <v>0</v>
      </c>
      <c r="O660" t="n">
        <v>0</v>
      </c>
      <c r="P660" t="n">
        <v>0</v>
      </c>
      <c r="Q660" t="n">
        <v>0</v>
      </c>
      <c r="R660" s="2" t="inlineStr"/>
    </row>
    <row r="661" ht="15" customHeight="1">
      <c r="A661" t="inlineStr">
        <is>
          <t>A 51808-2025</t>
        </is>
      </c>
      <c r="B661" s="1" t="n">
        <v>45951.79302083333</v>
      </c>
      <c r="C661" s="1" t="n">
        <v>46065</v>
      </c>
      <c r="D661" t="inlineStr">
        <is>
          <t>VÄSTMANLANDS LÄN</t>
        </is>
      </c>
      <c r="E661" t="inlineStr">
        <is>
          <t>SALA</t>
        </is>
      </c>
      <c r="F661" t="inlineStr">
        <is>
          <t>Kommuner</t>
        </is>
      </c>
      <c r="G661" t="n">
        <v>3</v>
      </c>
      <c r="H661" t="n">
        <v>0</v>
      </c>
      <c r="I661" t="n">
        <v>0</v>
      </c>
      <c r="J661" t="n">
        <v>0</v>
      </c>
      <c r="K661" t="n">
        <v>0</v>
      </c>
      <c r="L661" t="n">
        <v>0</v>
      </c>
      <c r="M661" t="n">
        <v>0</v>
      </c>
      <c r="N661" t="n">
        <v>0</v>
      </c>
      <c r="O661" t="n">
        <v>0</v>
      </c>
      <c r="P661" t="n">
        <v>0</v>
      </c>
      <c r="Q661" t="n">
        <v>0</v>
      </c>
      <c r="R661" s="2" t="inlineStr"/>
    </row>
    <row r="662" ht="15" customHeight="1">
      <c r="A662" t="inlineStr">
        <is>
          <t>A 51764-2025</t>
        </is>
      </c>
      <c r="B662" s="1" t="n">
        <v>45951.63636574074</v>
      </c>
      <c r="C662" s="1" t="n">
        <v>46065</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24169-2025</t>
        </is>
      </c>
      <c r="B663" s="1" t="n">
        <v>45796</v>
      </c>
      <c r="C663" s="1" t="n">
        <v>46065</v>
      </c>
      <c r="D663" t="inlineStr">
        <is>
          <t>VÄSTMANLANDS LÄN</t>
        </is>
      </c>
      <c r="E663" t="inlineStr">
        <is>
          <t>SALA</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22126-2025</t>
        </is>
      </c>
      <c r="B664" s="1" t="n">
        <v>45785</v>
      </c>
      <c r="C664" s="1" t="n">
        <v>46065</v>
      </c>
      <c r="D664" t="inlineStr">
        <is>
          <t>VÄSTMANLANDS LÄN</t>
        </is>
      </c>
      <c r="E664" t="inlineStr">
        <is>
          <t>SALA</t>
        </is>
      </c>
      <c r="G664" t="n">
        <v>10.6</v>
      </c>
      <c r="H664" t="n">
        <v>0</v>
      </c>
      <c r="I664" t="n">
        <v>0</v>
      </c>
      <c r="J664" t="n">
        <v>0</v>
      </c>
      <c r="K664" t="n">
        <v>0</v>
      </c>
      <c r="L664" t="n">
        <v>0</v>
      </c>
      <c r="M664" t="n">
        <v>0</v>
      </c>
      <c r="N664" t="n">
        <v>0</v>
      </c>
      <c r="O664" t="n">
        <v>0</v>
      </c>
      <c r="P664" t="n">
        <v>0</v>
      </c>
      <c r="Q664" t="n">
        <v>0</v>
      </c>
      <c r="R664" s="2" t="inlineStr"/>
    </row>
    <row r="665" ht="15" customHeight="1">
      <c r="A665" t="inlineStr">
        <is>
          <t>A 23810-2025</t>
        </is>
      </c>
      <c r="B665" s="1" t="n">
        <v>45793.56989583333</v>
      </c>
      <c r="C665" s="1" t="n">
        <v>46065</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24944-2023</t>
        </is>
      </c>
      <c r="B666" s="1" t="n">
        <v>45085</v>
      </c>
      <c r="C666" s="1" t="n">
        <v>46065</v>
      </c>
      <c r="D666" t="inlineStr">
        <is>
          <t>VÄSTMANLANDS LÄN</t>
        </is>
      </c>
      <c r="E666" t="inlineStr">
        <is>
          <t>SALA</t>
        </is>
      </c>
      <c r="G666" t="n">
        <v>3.8</v>
      </c>
      <c r="H666" t="n">
        <v>0</v>
      </c>
      <c r="I666" t="n">
        <v>0</v>
      </c>
      <c r="J666" t="n">
        <v>0</v>
      </c>
      <c r="K666" t="n">
        <v>0</v>
      </c>
      <c r="L666" t="n">
        <v>0</v>
      </c>
      <c r="M666" t="n">
        <v>0</v>
      </c>
      <c r="N666" t="n">
        <v>0</v>
      </c>
      <c r="O666" t="n">
        <v>0</v>
      </c>
      <c r="P666" t="n">
        <v>0</v>
      </c>
      <c r="Q666" t="n">
        <v>0</v>
      </c>
      <c r="R666" s="2" t="inlineStr"/>
    </row>
    <row r="667" ht="15" customHeight="1">
      <c r="A667" t="inlineStr">
        <is>
          <t>A 23804-2025</t>
        </is>
      </c>
      <c r="B667" s="1" t="n">
        <v>45793.55995370371</v>
      </c>
      <c r="C667" s="1" t="n">
        <v>46065</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11210-2025</t>
        </is>
      </c>
      <c r="B668" s="1" t="n">
        <v>45726</v>
      </c>
      <c r="C668" s="1" t="n">
        <v>46065</v>
      </c>
      <c r="D668" t="inlineStr">
        <is>
          <t>VÄSTMANLANDS LÄN</t>
        </is>
      </c>
      <c r="E668" t="inlineStr">
        <is>
          <t>SALA</t>
        </is>
      </c>
      <c r="G668" t="n">
        <v>4.1</v>
      </c>
      <c r="H668" t="n">
        <v>0</v>
      </c>
      <c r="I668" t="n">
        <v>0</v>
      </c>
      <c r="J668" t="n">
        <v>0</v>
      </c>
      <c r="K668" t="n">
        <v>0</v>
      </c>
      <c r="L668" t="n">
        <v>0</v>
      </c>
      <c r="M668" t="n">
        <v>0</v>
      </c>
      <c r="N668" t="n">
        <v>0</v>
      </c>
      <c r="O668" t="n">
        <v>0</v>
      </c>
      <c r="P668" t="n">
        <v>0</v>
      </c>
      <c r="Q668" t="n">
        <v>0</v>
      </c>
      <c r="R668" s="2" t="inlineStr"/>
    </row>
    <row r="669" ht="15" customHeight="1">
      <c r="A669" t="inlineStr">
        <is>
          <t>A 19297-2025</t>
        </is>
      </c>
      <c r="B669" s="1" t="n">
        <v>45769.56261574074</v>
      </c>
      <c r="C669" s="1" t="n">
        <v>46065</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53744-2025</t>
        </is>
      </c>
      <c r="B670" s="1" t="n">
        <v>45960.64863425926</v>
      </c>
      <c r="C670" s="1" t="n">
        <v>46065</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24460-2025</t>
        </is>
      </c>
      <c r="B671" s="1" t="n">
        <v>45798</v>
      </c>
      <c r="C671" s="1" t="n">
        <v>46065</v>
      </c>
      <c r="D671" t="inlineStr">
        <is>
          <t>VÄSTMANLANDS LÄN</t>
        </is>
      </c>
      <c r="E671" t="inlineStr">
        <is>
          <t>SALA</t>
        </is>
      </c>
      <c r="F671" t="inlineStr">
        <is>
          <t>Bergvik skog öst AB</t>
        </is>
      </c>
      <c r="G671" t="n">
        <v>2.6</v>
      </c>
      <c r="H671" t="n">
        <v>0</v>
      </c>
      <c r="I671" t="n">
        <v>0</v>
      </c>
      <c r="J671" t="n">
        <v>0</v>
      </c>
      <c r="K671" t="n">
        <v>0</v>
      </c>
      <c r="L671" t="n">
        <v>0</v>
      </c>
      <c r="M671" t="n">
        <v>0</v>
      </c>
      <c r="N671" t="n">
        <v>0</v>
      </c>
      <c r="O671" t="n">
        <v>0</v>
      </c>
      <c r="P671" t="n">
        <v>0</v>
      </c>
      <c r="Q671" t="n">
        <v>0</v>
      </c>
      <c r="R671" s="2" t="inlineStr"/>
    </row>
    <row r="672" ht="15" customHeight="1">
      <c r="A672" t="inlineStr">
        <is>
          <t>A 53725-2025</t>
        </is>
      </c>
      <c r="B672" s="1" t="n">
        <v>45960.63394675926</v>
      </c>
      <c r="C672" s="1" t="n">
        <v>46065</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53724-2025</t>
        </is>
      </c>
      <c r="B673" s="1" t="n">
        <v>45960.63174768518</v>
      </c>
      <c r="C673" s="1" t="n">
        <v>46065</v>
      </c>
      <c r="D673" t="inlineStr">
        <is>
          <t>VÄSTMANLANDS LÄN</t>
        </is>
      </c>
      <c r="E673" t="inlineStr">
        <is>
          <t>SALA</t>
        </is>
      </c>
      <c r="G673" t="n">
        <v>2.8</v>
      </c>
      <c r="H673" t="n">
        <v>0</v>
      </c>
      <c r="I673" t="n">
        <v>0</v>
      </c>
      <c r="J673" t="n">
        <v>0</v>
      </c>
      <c r="K673" t="n">
        <v>0</v>
      </c>
      <c r="L673" t="n">
        <v>0</v>
      </c>
      <c r="M673" t="n">
        <v>0</v>
      </c>
      <c r="N673" t="n">
        <v>0</v>
      </c>
      <c r="O673" t="n">
        <v>0</v>
      </c>
      <c r="P673" t="n">
        <v>0</v>
      </c>
      <c r="Q673" t="n">
        <v>0</v>
      </c>
      <c r="R673" s="2" t="inlineStr"/>
    </row>
    <row r="674" ht="15" customHeight="1">
      <c r="A674" t="inlineStr">
        <is>
          <t>A 55065-2024</t>
        </is>
      </c>
      <c r="B674" s="1" t="n">
        <v>45618</v>
      </c>
      <c r="C674" s="1" t="n">
        <v>46065</v>
      </c>
      <c r="D674" t="inlineStr">
        <is>
          <t>VÄSTMANLANDS LÄN</t>
        </is>
      </c>
      <c r="E674" t="inlineStr">
        <is>
          <t>SALA</t>
        </is>
      </c>
      <c r="G674" t="n">
        <v>3.5</v>
      </c>
      <c r="H674" t="n">
        <v>0</v>
      </c>
      <c r="I674" t="n">
        <v>0</v>
      </c>
      <c r="J674" t="n">
        <v>0</v>
      </c>
      <c r="K674" t="n">
        <v>0</v>
      </c>
      <c r="L674" t="n">
        <v>0</v>
      </c>
      <c r="M674" t="n">
        <v>0</v>
      </c>
      <c r="N674" t="n">
        <v>0</v>
      </c>
      <c r="O674" t="n">
        <v>0</v>
      </c>
      <c r="P674" t="n">
        <v>0</v>
      </c>
      <c r="Q674" t="n">
        <v>0</v>
      </c>
      <c r="R674" s="2" t="inlineStr"/>
    </row>
    <row r="675" ht="15" customHeight="1">
      <c r="A675" t="inlineStr">
        <is>
          <t>A 24463-2025</t>
        </is>
      </c>
      <c r="B675" s="1" t="n">
        <v>45798</v>
      </c>
      <c r="C675" s="1" t="n">
        <v>46065</v>
      </c>
      <c r="D675" t="inlineStr">
        <is>
          <t>VÄSTMANLANDS LÄN</t>
        </is>
      </c>
      <c r="E675" t="inlineStr">
        <is>
          <t>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38636-2024</t>
        </is>
      </c>
      <c r="B676" s="1" t="n">
        <v>45546</v>
      </c>
      <c r="C676" s="1" t="n">
        <v>46065</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54201-2025</t>
        </is>
      </c>
      <c r="B677" s="1" t="n">
        <v>45964.58055555556</v>
      </c>
      <c r="C677" s="1" t="n">
        <v>46065</v>
      </c>
      <c r="D677" t="inlineStr">
        <is>
          <t>VÄSTMANLANDS LÄN</t>
        </is>
      </c>
      <c r="E677" t="inlineStr">
        <is>
          <t>SALA</t>
        </is>
      </c>
      <c r="G677" t="n">
        <v>1.7</v>
      </c>
      <c r="H677" t="n">
        <v>0</v>
      </c>
      <c r="I677" t="n">
        <v>0</v>
      </c>
      <c r="J677" t="n">
        <v>0</v>
      </c>
      <c r="K677" t="n">
        <v>0</v>
      </c>
      <c r="L677" t="n">
        <v>0</v>
      </c>
      <c r="M677" t="n">
        <v>0</v>
      </c>
      <c r="N677" t="n">
        <v>0</v>
      </c>
      <c r="O677" t="n">
        <v>0</v>
      </c>
      <c r="P677" t="n">
        <v>0</v>
      </c>
      <c r="Q677" t="n">
        <v>0</v>
      </c>
      <c r="R677" s="2" t="inlineStr"/>
    </row>
    <row r="678" ht="15" customHeight="1">
      <c r="A678" t="inlineStr">
        <is>
          <t>A 24907-2025</t>
        </is>
      </c>
      <c r="B678" s="1" t="n">
        <v>45799</v>
      </c>
      <c r="C678" s="1" t="n">
        <v>46065</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24910-2025</t>
        </is>
      </c>
      <c r="B679" s="1" t="n">
        <v>45799.53775462963</v>
      </c>
      <c r="C679" s="1" t="n">
        <v>46065</v>
      </c>
      <c r="D679" t="inlineStr">
        <is>
          <t>VÄSTMANLANDS LÄN</t>
        </is>
      </c>
      <c r="E679" t="inlineStr">
        <is>
          <t>SALA</t>
        </is>
      </c>
      <c r="G679" t="n">
        <v>3.5</v>
      </c>
      <c r="H679" t="n">
        <v>0</v>
      </c>
      <c r="I679" t="n">
        <v>0</v>
      </c>
      <c r="J679" t="n">
        <v>0</v>
      </c>
      <c r="K679" t="n">
        <v>0</v>
      </c>
      <c r="L679" t="n">
        <v>0</v>
      </c>
      <c r="M679" t="n">
        <v>0</v>
      </c>
      <c r="N679" t="n">
        <v>0</v>
      </c>
      <c r="O679" t="n">
        <v>0</v>
      </c>
      <c r="P679" t="n">
        <v>0</v>
      </c>
      <c r="Q679" t="n">
        <v>0</v>
      </c>
      <c r="R679" s="2" t="inlineStr"/>
    </row>
    <row r="680" ht="15" customHeight="1">
      <c r="A680" t="inlineStr">
        <is>
          <t>A 54344-2025</t>
        </is>
      </c>
      <c r="B680" s="1" t="n">
        <v>45965.36462962963</v>
      </c>
      <c r="C680" s="1" t="n">
        <v>46065</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54590-2025</t>
        </is>
      </c>
      <c r="B681" s="1" t="n">
        <v>45965.74199074074</v>
      </c>
      <c r="C681" s="1" t="n">
        <v>46065</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10909-2024</t>
        </is>
      </c>
      <c r="B682" s="1" t="n">
        <v>45370</v>
      </c>
      <c r="C682" s="1" t="n">
        <v>46065</v>
      </c>
      <c r="D682" t="inlineStr">
        <is>
          <t>VÄSTMANLANDS LÄN</t>
        </is>
      </c>
      <c r="E682" t="inlineStr">
        <is>
          <t>SALA</t>
        </is>
      </c>
      <c r="G682" t="n">
        <v>3.3</v>
      </c>
      <c r="H682" t="n">
        <v>0</v>
      </c>
      <c r="I682" t="n">
        <v>0</v>
      </c>
      <c r="J682" t="n">
        <v>0</v>
      </c>
      <c r="K682" t="n">
        <v>0</v>
      </c>
      <c r="L682" t="n">
        <v>0</v>
      </c>
      <c r="M682" t="n">
        <v>0</v>
      </c>
      <c r="N682" t="n">
        <v>0</v>
      </c>
      <c r="O682" t="n">
        <v>0</v>
      </c>
      <c r="P682" t="n">
        <v>0</v>
      </c>
      <c r="Q682" t="n">
        <v>0</v>
      </c>
      <c r="R682" s="2" t="inlineStr"/>
    </row>
    <row r="683" ht="15" customHeight="1">
      <c r="A683" t="inlineStr">
        <is>
          <t>A 54893-2025</t>
        </is>
      </c>
      <c r="B683" s="1" t="n">
        <v>45967.36383101852</v>
      </c>
      <c r="C683" s="1" t="n">
        <v>46065</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19033-2025</t>
        </is>
      </c>
      <c r="B684" s="1" t="n">
        <v>45764.65796296296</v>
      </c>
      <c r="C684" s="1" t="n">
        <v>46065</v>
      </c>
      <c r="D684" t="inlineStr">
        <is>
          <t>VÄSTMANLANDS LÄN</t>
        </is>
      </c>
      <c r="E684" t="inlineStr">
        <is>
          <t>SALA</t>
        </is>
      </c>
      <c r="F684" t="inlineStr">
        <is>
          <t>Bergvik skog öst AB</t>
        </is>
      </c>
      <c r="G684" t="n">
        <v>1.4</v>
      </c>
      <c r="H684" t="n">
        <v>0</v>
      </c>
      <c r="I684" t="n">
        <v>0</v>
      </c>
      <c r="J684" t="n">
        <v>0</v>
      </c>
      <c r="K684" t="n">
        <v>0</v>
      </c>
      <c r="L684" t="n">
        <v>0</v>
      </c>
      <c r="M684" t="n">
        <v>0</v>
      </c>
      <c r="N684" t="n">
        <v>0</v>
      </c>
      <c r="O684" t="n">
        <v>0</v>
      </c>
      <c r="P684" t="n">
        <v>0</v>
      </c>
      <c r="Q684" t="n">
        <v>0</v>
      </c>
      <c r="R684" s="2" t="inlineStr"/>
    </row>
    <row r="685" ht="15" customHeight="1">
      <c r="A685" t="inlineStr">
        <is>
          <t>A 55997-2025</t>
        </is>
      </c>
      <c r="B685" s="1" t="n">
        <v>45973.56833333334</v>
      </c>
      <c r="C685" s="1" t="n">
        <v>46065</v>
      </c>
      <c r="D685" t="inlineStr">
        <is>
          <t>VÄSTMANLANDS LÄN</t>
        </is>
      </c>
      <c r="E685" t="inlineStr">
        <is>
          <t>SALA</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55714-2025</t>
        </is>
      </c>
      <c r="B686" s="1" t="n">
        <v>45972.49131944445</v>
      </c>
      <c r="C686" s="1" t="n">
        <v>46065</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56614-2025</t>
        </is>
      </c>
      <c r="B687" s="1" t="n">
        <v>45975.59288194445</v>
      </c>
      <c r="C687" s="1" t="n">
        <v>46065</v>
      </c>
      <c r="D687" t="inlineStr">
        <is>
          <t>VÄSTMANLANDS LÄN</t>
        </is>
      </c>
      <c r="E687" t="inlineStr">
        <is>
          <t>SALA</t>
        </is>
      </c>
      <c r="G687" t="n">
        <v>1.4</v>
      </c>
      <c r="H687" t="n">
        <v>0</v>
      </c>
      <c r="I687" t="n">
        <v>0</v>
      </c>
      <c r="J687" t="n">
        <v>0</v>
      </c>
      <c r="K687" t="n">
        <v>0</v>
      </c>
      <c r="L687" t="n">
        <v>0</v>
      </c>
      <c r="M687" t="n">
        <v>0</v>
      </c>
      <c r="N687" t="n">
        <v>0</v>
      </c>
      <c r="O687" t="n">
        <v>0</v>
      </c>
      <c r="P687" t="n">
        <v>0</v>
      </c>
      <c r="Q687" t="n">
        <v>0</v>
      </c>
      <c r="R687" s="2" t="inlineStr"/>
    </row>
    <row r="688" ht="15" customHeight="1">
      <c r="A688" t="inlineStr">
        <is>
          <t>A 56611-2025</t>
        </is>
      </c>
      <c r="B688" s="1" t="n">
        <v>45975</v>
      </c>
      <c r="C688" s="1" t="n">
        <v>46065</v>
      </c>
      <c r="D688" t="inlineStr">
        <is>
          <t>VÄSTMANLANDS LÄN</t>
        </is>
      </c>
      <c r="E688" t="inlineStr">
        <is>
          <t>SALA</t>
        </is>
      </c>
      <c r="G688" t="n">
        <v>2.8</v>
      </c>
      <c r="H688" t="n">
        <v>0</v>
      </c>
      <c r="I688" t="n">
        <v>0</v>
      </c>
      <c r="J688" t="n">
        <v>0</v>
      </c>
      <c r="K688" t="n">
        <v>0</v>
      </c>
      <c r="L688" t="n">
        <v>0</v>
      </c>
      <c r="M688" t="n">
        <v>0</v>
      </c>
      <c r="N688" t="n">
        <v>0</v>
      </c>
      <c r="O688" t="n">
        <v>0</v>
      </c>
      <c r="P688" t="n">
        <v>0</v>
      </c>
      <c r="Q688" t="n">
        <v>0</v>
      </c>
      <c r="R688" s="2" t="inlineStr"/>
    </row>
    <row r="689" ht="15" customHeight="1">
      <c r="A689" t="inlineStr">
        <is>
          <t>A 57014-2025</t>
        </is>
      </c>
      <c r="B689" s="1" t="n">
        <v>45978</v>
      </c>
      <c r="C689" s="1" t="n">
        <v>46065</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56502-2025</t>
        </is>
      </c>
      <c r="B690" s="1" t="n">
        <v>45975</v>
      </c>
      <c r="C690" s="1" t="n">
        <v>46065</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56593-2025</t>
        </is>
      </c>
      <c r="B691" s="1" t="n">
        <v>45975</v>
      </c>
      <c r="C691" s="1" t="n">
        <v>46065</v>
      </c>
      <c r="D691" t="inlineStr">
        <is>
          <t>VÄSTMANLANDS LÄN</t>
        </is>
      </c>
      <c r="E691" t="inlineStr">
        <is>
          <t>SALA</t>
        </is>
      </c>
      <c r="F691" t="inlineStr">
        <is>
          <t>Kyrkan</t>
        </is>
      </c>
      <c r="G691" t="n">
        <v>0.1</v>
      </c>
      <c r="H691" t="n">
        <v>0</v>
      </c>
      <c r="I691" t="n">
        <v>0</v>
      </c>
      <c r="J691" t="n">
        <v>0</v>
      </c>
      <c r="K691" t="n">
        <v>0</v>
      </c>
      <c r="L691" t="n">
        <v>0</v>
      </c>
      <c r="M691" t="n">
        <v>0</v>
      </c>
      <c r="N691" t="n">
        <v>0</v>
      </c>
      <c r="O691" t="n">
        <v>0</v>
      </c>
      <c r="P691" t="n">
        <v>0</v>
      </c>
      <c r="Q691" t="n">
        <v>0</v>
      </c>
      <c r="R691" s="2" t="inlineStr"/>
    </row>
    <row r="692" ht="15" customHeight="1">
      <c r="A692" t="inlineStr">
        <is>
          <t>A 56645-2025</t>
        </is>
      </c>
      <c r="B692" s="1" t="n">
        <v>45975.63063657407</v>
      </c>
      <c r="C692" s="1" t="n">
        <v>46065</v>
      </c>
      <c r="D692" t="inlineStr">
        <is>
          <t>VÄSTMANLANDS LÄN</t>
        </is>
      </c>
      <c r="E692" t="inlineStr">
        <is>
          <t>SALA</t>
        </is>
      </c>
      <c r="F692" t="inlineStr">
        <is>
          <t>Bergvik skog öst AB</t>
        </is>
      </c>
      <c r="G692" t="n">
        <v>5.3</v>
      </c>
      <c r="H692" t="n">
        <v>0</v>
      </c>
      <c r="I692" t="n">
        <v>0</v>
      </c>
      <c r="J692" t="n">
        <v>0</v>
      </c>
      <c r="K692" t="n">
        <v>0</v>
      </c>
      <c r="L692" t="n">
        <v>0</v>
      </c>
      <c r="M692" t="n">
        <v>0</v>
      </c>
      <c r="N692" t="n">
        <v>0</v>
      </c>
      <c r="O692" t="n">
        <v>0</v>
      </c>
      <c r="P692" t="n">
        <v>0</v>
      </c>
      <c r="Q692" t="n">
        <v>0</v>
      </c>
      <c r="R692" s="2" t="inlineStr"/>
    </row>
    <row r="693" ht="15" customHeight="1">
      <c r="A693" t="inlineStr">
        <is>
          <t>A 57412-2025</t>
        </is>
      </c>
      <c r="B693" s="1" t="n">
        <v>45980.44883101852</v>
      </c>
      <c r="C693" s="1" t="n">
        <v>46065</v>
      </c>
      <c r="D693" t="inlineStr">
        <is>
          <t>VÄSTMANLANDS LÄN</t>
        </is>
      </c>
      <c r="E693" t="inlineStr">
        <is>
          <t>SALA</t>
        </is>
      </c>
      <c r="F693" t="inlineStr">
        <is>
          <t>Bergvik skog öst AB</t>
        </is>
      </c>
      <c r="G693" t="n">
        <v>4.5</v>
      </c>
      <c r="H693" t="n">
        <v>0</v>
      </c>
      <c r="I693" t="n">
        <v>0</v>
      </c>
      <c r="J693" t="n">
        <v>0</v>
      </c>
      <c r="K693" t="n">
        <v>0</v>
      </c>
      <c r="L693" t="n">
        <v>0</v>
      </c>
      <c r="M693" t="n">
        <v>0</v>
      </c>
      <c r="N693" t="n">
        <v>0</v>
      </c>
      <c r="O693" t="n">
        <v>0</v>
      </c>
      <c r="P693" t="n">
        <v>0</v>
      </c>
      <c r="Q693" t="n">
        <v>0</v>
      </c>
      <c r="R693" s="2" t="inlineStr"/>
    </row>
    <row r="694" ht="15" customHeight="1">
      <c r="A694" t="inlineStr">
        <is>
          <t>A 57414-2025</t>
        </is>
      </c>
      <c r="B694" s="1" t="n">
        <v>45980.45003472222</v>
      </c>
      <c r="C694" s="1" t="n">
        <v>46065</v>
      </c>
      <c r="D694" t="inlineStr">
        <is>
          <t>VÄSTMANLANDS LÄN</t>
        </is>
      </c>
      <c r="E694" t="inlineStr">
        <is>
          <t>SALA</t>
        </is>
      </c>
      <c r="F694" t="inlineStr">
        <is>
          <t>Bergvik skog öst AB</t>
        </is>
      </c>
      <c r="G694" t="n">
        <v>2</v>
      </c>
      <c r="H694" t="n">
        <v>0</v>
      </c>
      <c r="I694" t="n">
        <v>0</v>
      </c>
      <c r="J694" t="n">
        <v>0</v>
      </c>
      <c r="K694" t="n">
        <v>0</v>
      </c>
      <c r="L694" t="n">
        <v>0</v>
      </c>
      <c r="M694" t="n">
        <v>0</v>
      </c>
      <c r="N694" t="n">
        <v>0</v>
      </c>
      <c r="O694" t="n">
        <v>0</v>
      </c>
      <c r="P694" t="n">
        <v>0</v>
      </c>
      <c r="Q694" t="n">
        <v>0</v>
      </c>
      <c r="R694" s="2" t="inlineStr"/>
    </row>
    <row r="695" ht="15" customHeight="1">
      <c r="A695" t="inlineStr">
        <is>
          <t>A 57415-2025</t>
        </is>
      </c>
      <c r="B695" s="1" t="n">
        <v>45980.45099537037</v>
      </c>
      <c r="C695" s="1" t="n">
        <v>46065</v>
      </c>
      <c r="D695" t="inlineStr">
        <is>
          <t>VÄSTMANLANDS LÄN</t>
        </is>
      </c>
      <c r="E695" t="inlineStr">
        <is>
          <t>SALA</t>
        </is>
      </c>
      <c r="F695" t="inlineStr">
        <is>
          <t>Bergvik skog öst AB</t>
        </is>
      </c>
      <c r="G695" t="n">
        <v>1.4</v>
      </c>
      <c r="H695" t="n">
        <v>0</v>
      </c>
      <c r="I695" t="n">
        <v>0</v>
      </c>
      <c r="J695" t="n">
        <v>0</v>
      </c>
      <c r="K695" t="n">
        <v>0</v>
      </c>
      <c r="L695" t="n">
        <v>0</v>
      </c>
      <c r="M695" t="n">
        <v>0</v>
      </c>
      <c r="N695" t="n">
        <v>0</v>
      </c>
      <c r="O695" t="n">
        <v>0</v>
      </c>
      <c r="P695" t="n">
        <v>0</v>
      </c>
      <c r="Q695" t="n">
        <v>0</v>
      </c>
      <c r="R695" s="2" t="inlineStr"/>
    </row>
    <row r="696" ht="15" customHeight="1">
      <c r="A696" t="inlineStr">
        <is>
          <t>A 58357-2025</t>
        </is>
      </c>
      <c r="B696" s="1" t="n">
        <v>45985.51518518518</v>
      </c>
      <c r="C696" s="1" t="n">
        <v>46065</v>
      </c>
      <c r="D696" t="inlineStr">
        <is>
          <t>VÄSTMANLANDS LÄN</t>
        </is>
      </c>
      <c r="E696" t="inlineStr">
        <is>
          <t>SALA</t>
        </is>
      </c>
      <c r="G696" t="n">
        <v>3</v>
      </c>
      <c r="H696" t="n">
        <v>0</v>
      </c>
      <c r="I696" t="n">
        <v>0</v>
      </c>
      <c r="J696" t="n">
        <v>0</v>
      </c>
      <c r="K696" t="n">
        <v>0</v>
      </c>
      <c r="L696" t="n">
        <v>0</v>
      </c>
      <c r="M696" t="n">
        <v>0</v>
      </c>
      <c r="N696" t="n">
        <v>0</v>
      </c>
      <c r="O696" t="n">
        <v>0</v>
      </c>
      <c r="P696" t="n">
        <v>0</v>
      </c>
      <c r="Q696" t="n">
        <v>0</v>
      </c>
      <c r="R696" s="2" t="inlineStr"/>
    </row>
    <row r="697" ht="15" customHeight="1">
      <c r="A697" t="inlineStr">
        <is>
          <t>A 55760-2025</t>
        </is>
      </c>
      <c r="B697" s="1" t="n">
        <v>45972</v>
      </c>
      <c r="C697" s="1" t="n">
        <v>46065</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58365-2025</t>
        </is>
      </c>
      <c r="B698" s="1" t="n">
        <v>45985.52288194445</v>
      </c>
      <c r="C698" s="1" t="n">
        <v>46065</v>
      </c>
      <c r="D698" t="inlineStr">
        <is>
          <t>VÄSTMANLANDS LÄN</t>
        </is>
      </c>
      <c r="E698" t="inlineStr">
        <is>
          <t>SALA</t>
        </is>
      </c>
      <c r="G698" t="n">
        <v>3.9</v>
      </c>
      <c r="H698" t="n">
        <v>0</v>
      </c>
      <c r="I698" t="n">
        <v>0</v>
      </c>
      <c r="J698" t="n">
        <v>0</v>
      </c>
      <c r="K698" t="n">
        <v>0</v>
      </c>
      <c r="L698" t="n">
        <v>0</v>
      </c>
      <c r="M698" t="n">
        <v>0</v>
      </c>
      <c r="N698" t="n">
        <v>0</v>
      </c>
      <c r="O698" t="n">
        <v>0</v>
      </c>
      <c r="P698" t="n">
        <v>0</v>
      </c>
      <c r="Q698" t="n">
        <v>0</v>
      </c>
      <c r="R698" s="2" t="inlineStr"/>
    </row>
    <row r="699" ht="15" customHeight="1">
      <c r="A699" t="inlineStr">
        <is>
          <t>A 58282-2025</t>
        </is>
      </c>
      <c r="B699" s="1" t="n">
        <v>45985.44309027777</v>
      </c>
      <c r="C699" s="1" t="n">
        <v>46065</v>
      </c>
      <c r="D699" t="inlineStr">
        <is>
          <t>VÄSTMANLANDS LÄN</t>
        </is>
      </c>
      <c r="E699" t="inlineStr">
        <is>
          <t>SALA</t>
        </is>
      </c>
      <c r="G699" t="n">
        <v>8.9</v>
      </c>
      <c r="H699" t="n">
        <v>0</v>
      </c>
      <c r="I699" t="n">
        <v>0</v>
      </c>
      <c r="J699" t="n">
        <v>0</v>
      </c>
      <c r="K699" t="n">
        <v>0</v>
      </c>
      <c r="L699" t="n">
        <v>0</v>
      </c>
      <c r="M699" t="n">
        <v>0</v>
      </c>
      <c r="N699" t="n">
        <v>0</v>
      </c>
      <c r="O699" t="n">
        <v>0</v>
      </c>
      <c r="P699" t="n">
        <v>0</v>
      </c>
      <c r="Q699" t="n">
        <v>0</v>
      </c>
      <c r="R699" s="2" t="inlineStr"/>
    </row>
    <row r="700" ht="15" customHeight="1">
      <c r="A700" t="inlineStr">
        <is>
          <t>A 58359-2025</t>
        </is>
      </c>
      <c r="B700" s="1" t="n">
        <v>45985.51594907408</v>
      </c>
      <c r="C700" s="1" t="n">
        <v>46065</v>
      </c>
      <c r="D700" t="inlineStr">
        <is>
          <t>VÄSTMANLANDS LÄN</t>
        </is>
      </c>
      <c r="E700" t="inlineStr">
        <is>
          <t>SALA</t>
        </is>
      </c>
      <c r="G700" t="n">
        <v>3.7</v>
      </c>
      <c r="H700" t="n">
        <v>0</v>
      </c>
      <c r="I700" t="n">
        <v>0</v>
      </c>
      <c r="J700" t="n">
        <v>0</v>
      </c>
      <c r="K700" t="n">
        <v>0</v>
      </c>
      <c r="L700" t="n">
        <v>0</v>
      </c>
      <c r="M700" t="n">
        <v>0</v>
      </c>
      <c r="N700" t="n">
        <v>0</v>
      </c>
      <c r="O700" t="n">
        <v>0</v>
      </c>
      <c r="P700" t="n">
        <v>0</v>
      </c>
      <c r="Q700" t="n">
        <v>0</v>
      </c>
      <c r="R700" s="2" t="inlineStr"/>
    </row>
    <row r="701" ht="15" customHeight="1">
      <c r="A701" t="inlineStr">
        <is>
          <t>A 58364-2025</t>
        </is>
      </c>
      <c r="B701" s="1" t="n">
        <v>45985.5228125</v>
      </c>
      <c r="C701" s="1" t="n">
        <v>46065</v>
      </c>
      <c r="D701" t="inlineStr">
        <is>
          <t>VÄSTMANLANDS LÄN</t>
        </is>
      </c>
      <c r="E701" t="inlineStr">
        <is>
          <t>SALA</t>
        </is>
      </c>
      <c r="G701" t="n">
        <v>2.1</v>
      </c>
      <c r="H701" t="n">
        <v>0</v>
      </c>
      <c r="I701" t="n">
        <v>0</v>
      </c>
      <c r="J701" t="n">
        <v>0</v>
      </c>
      <c r="K701" t="n">
        <v>0</v>
      </c>
      <c r="L701" t="n">
        <v>0</v>
      </c>
      <c r="M701" t="n">
        <v>0</v>
      </c>
      <c r="N701" t="n">
        <v>0</v>
      </c>
      <c r="O701" t="n">
        <v>0</v>
      </c>
      <c r="P701" t="n">
        <v>0</v>
      </c>
      <c r="Q701" t="n">
        <v>0</v>
      </c>
      <c r="R701" s="2" t="inlineStr"/>
    </row>
    <row r="702" ht="15" customHeight="1">
      <c r="A702" t="inlineStr">
        <is>
          <t>A 910-2026</t>
        </is>
      </c>
      <c r="B702" s="1" t="n">
        <v>46030.4771412037</v>
      </c>
      <c r="C702" s="1" t="n">
        <v>46065</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51247-2025</t>
        </is>
      </c>
      <c r="B703" s="1" t="n">
        <v>45947.86487268518</v>
      </c>
      <c r="C703" s="1" t="n">
        <v>46065</v>
      </c>
      <c r="D703" t="inlineStr">
        <is>
          <t>VÄSTMANLANDS LÄN</t>
        </is>
      </c>
      <c r="E703" t="inlineStr">
        <is>
          <t>SALA</t>
        </is>
      </c>
      <c r="G703" t="n">
        <v>10.4</v>
      </c>
      <c r="H703" t="n">
        <v>0</v>
      </c>
      <c r="I703" t="n">
        <v>0</v>
      </c>
      <c r="J703" t="n">
        <v>0</v>
      </c>
      <c r="K703" t="n">
        <v>0</v>
      </c>
      <c r="L703" t="n">
        <v>0</v>
      </c>
      <c r="M703" t="n">
        <v>0</v>
      </c>
      <c r="N703" t="n">
        <v>0</v>
      </c>
      <c r="O703" t="n">
        <v>0</v>
      </c>
      <c r="P703" t="n">
        <v>0</v>
      </c>
      <c r="Q703" t="n">
        <v>0</v>
      </c>
      <c r="R703" s="2" t="inlineStr"/>
    </row>
    <row r="704" ht="15" customHeight="1">
      <c r="A704" t="inlineStr">
        <is>
          <t>A 914-2026</t>
        </is>
      </c>
      <c r="B704" s="1" t="n">
        <v>46030.47952546296</v>
      </c>
      <c r="C704" s="1" t="n">
        <v>46065</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948-2026</t>
        </is>
      </c>
      <c r="B705" s="1" t="n">
        <v>46030.53986111111</v>
      </c>
      <c r="C705" s="1" t="n">
        <v>46065</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59817-2025</t>
        </is>
      </c>
      <c r="B706" s="1" t="n">
        <v>45992.63711805556</v>
      </c>
      <c r="C706" s="1" t="n">
        <v>46065</v>
      </c>
      <c r="D706" t="inlineStr">
        <is>
          <t>VÄSTMANLANDS LÄN</t>
        </is>
      </c>
      <c r="E706" t="inlineStr">
        <is>
          <t>SALA</t>
        </is>
      </c>
      <c r="G706" t="n">
        <v>6.9</v>
      </c>
      <c r="H706" t="n">
        <v>0</v>
      </c>
      <c r="I706" t="n">
        <v>0</v>
      </c>
      <c r="J706" t="n">
        <v>0</v>
      </c>
      <c r="K706" t="n">
        <v>0</v>
      </c>
      <c r="L706" t="n">
        <v>0</v>
      </c>
      <c r="M706" t="n">
        <v>0</v>
      </c>
      <c r="N706" t="n">
        <v>0</v>
      </c>
      <c r="O706" t="n">
        <v>0</v>
      </c>
      <c r="P706" t="n">
        <v>0</v>
      </c>
      <c r="Q706" t="n">
        <v>0</v>
      </c>
      <c r="R706" s="2" t="inlineStr"/>
    </row>
    <row r="707" ht="15" customHeight="1">
      <c r="A707" t="inlineStr">
        <is>
          <t>A 59390-2025</t>
        </is>
      </c>
      <c r="B707" s="1" t="n">
        <v>45989.4640162037</v>
      </c>
      <c r="C707" s="1" t="n">
        <v>46065</v>
      </c>
      <c r="D707" t="inlineStr">
        <is>
          <t>VÄSTMANLANDS LÄN</t>
        </is>
      </c>
      <c r="E707" t="inlineStr">
        <is>
          <t>SALA</t>
        </is>
      </c>
      <c r="G707" t="n">
        <v>1.8</v>
      </c>
      <c r="H707" t="n">
        <v>0</v>
      </c>
      <c r="I707" t="n">
        <v>0</v>
      </c>
      <c r="J707" t="n">
        <v>0</v>
      </c>
      <c r="K707" t="n">
        <v>0</v>
      </c>
      <c r="L707" t="n">
        <v>0</v>
      </c>
      <c r="M707" t="n">
        <v>0</v>
      </c>
      <c r="N707" t="n">
        <v>0</v>
      </c>
      <c r="O707" t="n">
        <v>0</v>
      </c>
      <c r="P707" t="n">
        <v>0</v>
      </c>
      <c r="Q707" t="n">
        <v>0</v>
      </c>
      <c r="R707" s="2" t="inlineStr"/>
    </row>
    <row r="708" ht="15" customHeight="1">
      <c r="A708" t="inlineStr">
        <is>
          <t>A 59385-2025</t>
        </is>
      </c>
      <c r="B708" s="1" t="n">
        <v>45989.45746527778</v>
      </c>
      <c r="C708" s="1" t="n">
        <v>46065</v>
      </c>
      <c r="D708" t="inlineStr">
        <is>
          <t>VÄSTMANLANDS LÄN</t>
        </is>
      </c>
      <c r="E708" t="inlineStr">
        <is>
          <t>SALA</t>
        </is>
      </c>
      <c r="G708" t="n">
        <v>0.4</v>
      </c>
      <c r="H708" t="n">
        <v>0</v>
      </c>
      <c r="I708" t="n">
        <v>0</v>
      </c>
      <c r="J708" t="n">
        <v>0</v>
      </c>
      <c r="K708" t="n">
        <v>0</v>
      </c>
      <c r="L708" t="n">
        <v>0</v>
      </c>
      <c r="M708" t="n">
        <v>0</v>
      </c>
      <c r="N708" t="n">
        <v>0</v>
      </c>
      <c r="O708" t="n">
        <v>0</v>
      </c>
      <c r="P708" t="n">
        <v>0</v>
      </c>
      <c r="Q708" t="n">
        <v>0</v>
      </c>
      <c r="R708" s="2" t="inlineStr"/>
    </row>
    <row r="709" ht="15" customHeight="1">
      <c r="A709" t="inlineStr">
        <is>
          <t>A 1705-2026</t>
        </is>
      </c>
      <c r="B709" s="1" t="n">
        <v>46034.59930555556</v>
      </c>
      <c r="C709" s="1" t="n">
        <v>46065</v>
      </c>
      <c r="D709" t="inlineStr">
        <is>
          <t>VÄSTMANLANDS LÄN</t>
        </is>
      </c>
      <c r="E709" t="inlineStr">
        <is>
          <t>SALA</t>
        </is>
      </c>
      <c r="G709" t="n">
        <v>0.4</v>
      </c>
      <c r="H709" t="n">
        <v>0</v>
      </c>
      <c r="I709" t="n">
        <v>0</v>
      </c>
      <c r="J709" t="n">
        <v>0</v>
      </c>
      <c r="K709" t="n">
        <v>0</v>
      </c>
      <c r="L709" t="n">
        <v>0</v>
      </c>
      <c r="M709" t="n">
        <v>0</v>
      </c>
      <c r="N709" t="n">
        <v>0</v>
      </c>
      <c r="O709" t="n">
        <v>0</v>
      </c>
      <c r="P709" t="n">
        <v>0</v>
      </c>
      <c r="Q709" t="n">
        <v>0</v>
      </c>
      <c r="R709" s="2" t="inlineStr"/>
    </row>
    <row r="710" ht="15" customHeight="1">
      <c r="A710" t="inlineStr">
        <is>
          <t>A 60017-2025</t>
        </is>
      </c>
      <c r="B710" s="1" t="n">
        <v>45993.59998842593</v>
      </c>
      <c r="C710" s="1" t="n">
        <v>46065</v>
      </c>
      <c r="D710" t="inlineStr">
        <is>
          <t>VÄSTMANLANDS LÄN</t>
        </is>
      </c>
      <c r="E710" t="inlineStr">
        <is>
          <t>SALA</t>
        </is>
      </c>
      <c r="G710" t="n">
        <v>4.4</v>
      </c>
      <c r="H710" t="n">
        <v>0</v>
      </c>
      <c r="I710" t="n">
        <v>0</v>
      </c>
      <c r="J710" t="n">
        <v>0</v>
      </c>
      <c r="K710" t="n">
        <v>0</v>
      </c>
      <c r="L710" t="n">
        <v>0</v>
      </c>
      <c r="M710" t="n">
        <v>0</v>
      </c>
      <c r="N710" t="n">
        <v>0</v>
      </c>
      <c r="O710" t="n">
        <v>0</v>
      </c>
      <c r="P710" t="n">
        <v>0</v>
      </c>
      <c r="Q710" t="n">
        <v>0</v>
      </c>
      <c r="R710" s="2" t="inlineStr"/>
    </row>
    <row r="711" ht="15" customHeight="1">
      <c r="A711" t="inlineStr">
        <is>
          <t>A 60258-2025</t>
        </is>
      </c>
      <c r="B711" s="1" t="n">
        <v>45994.6064699074</v>
      </c>
      <c r="C711" s="1" t="n">
        <v>46065</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60241-2025</t>
        </is>
      </c>
      <c r="B712" s="1" t="n">
        <v>45994.58454861111</v>
      </c>
      <c r="C712" s="1" t="n">
        <v>46065</v>
      </c>
      <c r="D712" t="inlineStr">
        <is>
          <t>VÄSTMANLANDS LÄN</t>
        </is>
      </c>
      <c r="E712" t="inlineStr">
        <is>
          <t>SALA</t>
        </is>
      </c>
      <c r="G712" t="n">
        <v>1.6</v>
      </c>
      <c r="H712" t="n">
        <v>0</v>
      </c>
      <c r="I712" t="n">
        <v>0</v>
      </c>
      <c r="J712" t="n">
        <v>0</v>
      </c>
      <c r="K712" t="n">
        <v>0</v>
      </c>
      <c r="L712" t="n">
        <v>0</v>
      </c>
      <c r="M712" t="n">
        <v>0</v>
      </c>
      <c r="N712" t="n">
        <v>0</v>
      </c>
      <c r="O712" t="n">
        <v>0</v>
      </c>
      <c r="P712" t="n">
        <v>0</v>
      </c>
      <c r="Q712" t="n">
        <v>0</v>
      </c>
      <c r="R712" s="2" t="inlineStr"/>
    </row>
    <row r="713" ht="15" customHeight="1">
      <c r="A713" t="inlineStr">
        <is>
          <t>A 59870-2025</t>
        </is>
      </c>
      <c r="B713" s="1" t="n">
        <v>45992.92226851852</v>
      </c>
      <c r="C713" s="1" t="n">
        <v>46065</v>
      </c>
      <c r="D713" t="inlineStr">
        <is>
          <t>VÄSTMANLANDS LÄN</t>
        </is>
      </c>
      <c r="E713" t="inlineStr">
        <is>
          <t>SALA</t>
        </is>
      </c>
      <c r="G713" t="n">
        <v>3.4</v>
      </c>
      <c r="H713" t="n">
        <v>0</v>
      </c>
      <c r="I713" t="n">
        <v>0</v>
      </c>
      <c r="J713" t="n">
        <v>0</v>
      </c>
      <c r="K713" t="n">
        <v>0</v>
      </c>
      <c r="L713" t="n">
        <v>0</v>
      </c>
      <c r="M713" t="n">
        <v>0</v>
      </c>
      <c r="N713" t="n">
        <v>0</v>
      </c>
      <c r="O713" t="n">
        <v>0</v>
      </c>
      <c r="P713" t="n">
        <v>0</v>
      </c>
      <c r="Q713" t="n">
        <v>0</v>
      </c>
      <c r="R713" s="2" t="inlineStr"/>
    </row>
    <row r="714" ht="15" customHeight="1">
      <c r="A714" t="inlineStr">
        <is>
          <t>A 60259-2025</t>
        </is>
      </c>
      <c r="B714" s="1" t="n">
        <v>45994.60913194445</v>
      </c>
      <c r="C714" s="1" t="n">
        <v>46065</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60246-2025</t>
        </is>
      </c>
      <c r="B715" s="1" t="n">
        <v>45994.58931712963</v>
      </c>
      <c r="C715" s="1" t="n">
        <v>46065</v>
      </c>
      <c r="D715" t="inlineStr">
        <is>
          <t>VÄSTMANLANDS LÄN</t>
        </is>
      </c>
      <c r="E715" t="inlineStr">
        <is>
          <t>SALA</t>
        </is>
      </c>
      <c r="G715" t="n">
        <v>0.7</v>
      </c>
      <c r="H715" t="n">
        <v>0</v>
      </c>
      <c r="I715" t="n">
        <v>0</v>
      </c>
      <c r="J715" t="n">
        <v>0</v>
      </c>
      <c r="K715" t="n">
        <v>0</v>
      </c>
      <c r="L715" t="n">
        <v>0</v>
      </c>
      <c r="M715" t="n">
        <v>0</v>
      </c>
      <c r="N715" t="n">
        <v>0</v>
      </c>
      <c r="O715" t="n">
        <v>0</v>
      </c>
      <c r="P715" t="n">
        <v>0</v>
      </c>
      <c r="Q715" t="n">
        <v>0</v>
      </c>
      <c r="R715" s="2" t="inlineStr"/>
    </row>
    <row r="716" ht="15" customHeight="1">
      <c r="A716" t="inlineStr">
        <is>
          <t>A 60254-2025</t>
        </is>
      </c>
      <c r="B716" s="1" t="n">
        <v>45994.60146990741</v>
      </c>
      <c r="C716" s="1" t="n">
        <v>46065</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59926-2025</t>
        </is>
      </c>
      <c r="B717" s="1" t="n">
        <v>45993.39221064815</v>
      </c>
      <c r="C717" s="1" t="n">
        <v>46065</v>
      </c>
      <c r="D717" t="inlineStr">
        <is>
          <t>VÄSTMANLANDS LÄN</t>
        </is>
      </c>
      <c r="E717" t="inlineStr">
        <is>
          <t>SALA</t>
        </is>
      </c>
      <c r="G717" t="n">
        <v>7.1</v>
      </c>
      <c r="H717" t="n">
        <v>0</v>
      </c>
      <c r="I717" t="n">
        <v>0</v>
      </c>
      <c r="J717" t="n">
        <v>0</v>
      </c>
      <c r="K717" t="n">
        <v>0</v>
      </c>
      <c r="L717" t="n">
        <v>0</v>
      </c>
      <c r="M717" t="n">
        <v>0</v>
      </c>
      <c r="N717" t="n">
        <v>0</v>
      </c>
      <c r="O717" t="n">
        <v>0</v>
      </c>
      <c r="P717" t="n">
        <v>0</v>
      </c>
      <c r="Q717" t="n">
        <v>0</v>
      </c>
      <c r="R717" s="2" t="inlineStr"/>
    </row>
    <row r="718" ht="15" customHeight="1">
      <c r="A718" t="inlineStr">
        <is>
          <t>A 60629-2025</t>
        </is>
      </c>
      <c r="B718" s="1" t="n">
        <v>45996.41972222222</v>
      </c>
      <c r="C718" s="1" t="n">
        <v>46065</v>
      </c>
      <c r="D718" t="inlineStr">
        <is>
          <t>VÄSTMANLANDS LÄN</t>
        </is>
      </c>
      <c r="E718" t="inlineStr">
        <is>
          <t>SALA</t>
        </is>
      </c>
      <c r="G718" t="n">
        <v>4.3</v>
      </c>
      <c r="H718" t="n">
        <v>0</v>
      </c>
      <c r="I718" t="n">
        <v>0</v>
      </c>
      <c r="J718" t="n">
        <v>0</v>
      </c>
      <c r="K718" t="n">
        <v>0</v>
      </c>
      <c r="L718" t="n">
        <v>0</v>
      </c>
      <c r="M718" t="n">
        <v>0</v>
      </c>
      <c r="N718" t="n">
        <v>0</v>
      </c>
      <c r="O718" t="n">
        <v>0</v>
      </c>
      <c r="P718" t="n">
        <v>0</v>
      </c>
      <c r="Q718" t="n">
        <v>0</v>
      </c>
      <c r="R718" s="2" t="inlineStr"/>
    </row>
    <row r="719" ht="15" customHeight="1">
      <c r="A719" t="inlineStr">
        <is>
          <t>A 61522-2025</t>
        </is>
      </c>
      <c r="B719" s="1" t="n">
        <v>46001.68684027778</v>
      </c>
      <c r="C719" s="1" t="n">
        <v>46065</v>
      </c>
      <c r="D719" t="inlineStr">
        <is>
          <t>VÄSTMANLANDS LÄN</t>
        </is>
      </c>
      <c r="E719" t="inlineStr">
        <is>
          <t>SALA</t>
        </is>
      </c>
      <c r="G719" t="n">
        <v>5.7</v>
      </c>
      <c r="H719" t="n">
        <v>0</v>
      </c>
      <c r="I719" t="n">
        <v>0</v>
      </c>
      <c r="J719" t="n">
        <v>0</v>
      </c>
      <c r="K719" t="n">
        <v>0</v>
      </c>
      <c r="L719" t="n">
        <v>0</v>
      </c>
      <c r="M719" t="n">
        <v>0</v>
      </c>
      <c r="N719" t="n">
        <v>0</v>
      </c>
      <c r="O719" t="n">
        <v>0</v>
      </c>
      <c r="P719" t="n">
        <v>0</v>
      </c>
      <c r="Q719" t="n">
        <v>0</v>
      </c>
      <c r="R719" s="2" t="inlineStr"/>
    </row>
    <row r="720" ht="15" customHeight="1">
      <c r="A720" t="inlineStr">
        <is>
          <t>A 4712-2026</t>
        </is>
      </c>
      <c r="B720" s="1" t="n">
        <v>46048.46082175926</v>
      </c>
      <c r="C720" s="1" t="n">
        <v>46065</v>
      </c>
      <c r="D720" t="inlineStr">
        <is>
          <t>VÄSTMANLANDS LÄN</t>
        </is>
      </c>
      <c r="E720" t="inlineStr">
        <is>
          <t>SALA</t>
        </is>
      </c>
      <c r="G720" t="n">
        <v>4.1</v>
      </c>
      <c r="H720" t="n">
        <v>0</v>
      </c>
      <c r="I720" t="n">
        <v>0</v>
      </c>
      <c r="J720" t="n">
        <v>0</v>
      </c>
      <c r="K720" t="n">
        <v>0</v>
      </c>
      <c r="L720" t="n">
        <v>0</v>
      </c>
      <c r="M720" t="n">
        <v>0</v>
      </c>
      <c r="N720" t="n">
        <v>0</v>
      </c>
      <c r="O720" t="n">
        <v>0</v>
      </c>
      <c r="P720" t="n">
        <v>0</v>
      </c>
      <c r="Q720" t="n">
        <v>0</v>
      </c>
      <c r="R720" s="2" t="inlineStr"/>
    </row>
    <row r="721" ht="15" customHeight="1">
      <c r="A721" t="inlineStr">
        <is>
          <t>A 4664-2026</t>
        </is>
      </c>
      <c r="B721" s="1" t="n">
        <v>46048.41061342593</v>
      </c>
      <c r="C721" s="1" t="n">
        <v>46065</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4624-2026</t>
        </is>
      </c>
      <c r="B722" s="1" t="n">
        <v>46048.38107638889</v>
      </c>
      <c r="C722" s="1" t="n">
        <v>46065</v>
      </c>
      <c r="D722" t="inlineStr">
        <is>
          <t>VÄSTMANLANDS LÄN</t>
        </is>
      </c>
      <c r="E722" t="inlineStr">
        <is>
          <t>SALA</t>
        </is>
      </c>
      <c r="G722" t="n">
        <v>12.3</v>
      </c>
      <c r="H722" t="n">
        <v>0</v>
      </c>
      <c r="I722" t="n">
        <v>0</v>
      </c>
      <c r="J722" t="n">
        <v>0</v>
      </c>
      <c r="K722" t="n">
        <v>0</v>
      </c>
      <c r="L722" t="n">
        <v>0</v>
      </c>
      <c r="M722" t="n">
        <v>0</v>
      </c>
      <c r="N722" t="n">
        <v>0</v>
      </c>
      <c r="O722" t="n">
        <v>0</v>
      </c>
      <c r="P722" t="n">
        <v>0</v>
      </c>
      <c r="Q722" t="n">
        <v>0</v>
      </c>
      <c r="R722" s="2" t="inlineStr"/>
    </row>
    <row r="723" ht="15" customHeight="1">
      <c r="A723" t="inlineStr">
        <is>
          <t>A 4681-2026</t>
        </is>
      </c>
      <c r="B723" s="1" t="n">
        <v>46048.43016203704</v>
      </c>
      <c r="C723" s="1" t="n">
        <v>46065</v>
      </c>
      <c r="D723" t="inlineStr">
        <is>
          <t>VÄSTMANLANDS LÄN</t>
        </is>
      </c>
      <c r="E723" t="inlineStr">
        <is>
          <t>SALA</t>
        </is>
      </c>
      <c r="G723" t="n">
        <v>2.5</v>
      </c>
      <c r="H723" t="n">
        <v>0</v>
      </c>
      <c r="I723" t="n">
        <v>0</v>
      </c>
      <c r="J723" t="n">
        <v>0</v>
      </c>
      <c r="K723" t="n">
        <v>0</v>
      </c>
      <c r="L723" t="n">
        <v>0</v>
      </c>
      <c r="M723" t="n">
        <v>0</v>
      </c>
      <c r="N723" t="n">
        <v>0</v>
      </c>
      <c r="O723" t="n">
        <v>0</v>
      </c>
      <c r="P723" t="n">
        <v>0</v>
      </c>
      <c r="Q723" t="n">
        <v>0</v>
      </c>
      <c r="R723" s="2" t="inlineStr"/>
    </row>
    <row r="724" ht="15" customHeight="1">
      <c r="A724" t="inlineStr">
        <is>
          <t>A 62523-2025</t>
        </is>
      </c>
      <c r="B724" s="1" t="n">
        <v>46007.61512731481</v>
      </c>
      <c r="C724" s="1" t="n">
        <v>46065</v>
      </c>
      <c r="D724" t="inlineStr">
        <is>
          <t>VÄSTMANLANDS LÄN</t>
        </is>
      </c>
      <c r="E724" t="inlineStr">
        <is>
          <t>SALA</t>
        </is>
      </c>
      <c r="G724" t="n">
        <v>1.5</v>
      </c>
      <c r="H724" t="n">
        <v>0</v>
      </c>
      <c r="I724" t="n">
        <v>0</v>
      </c>
      <c r="J724" t="n">
        <v>0</v>
      </c>
      <c r="K724" t="n">
        <v>0</v>
      </c>
      <c r="L724" t="n">
        <v>0</v>
      </c>
      <c r="M724" t="n">
        <v>0</v>
      </c>
      <c r="N724" t="n">
        <v>0</v>
      </c>
      <c r="O724" t="n">
        <v>0</v>
      </c>
      <c r="P724" t="n">
        <v>0</v>
      </c>
      <c r="Q724" t="n">
        <v>0</v>
      </c>
      <c r="R724" s="2" t="inlineStr"/>
    </row>
    <row r="725" ht="15" customHeight="1">
      <c r="A725" t="inlineStr">
        <is>
          <t>A 5219-2026</t>
        </is>
      </c>
      <c r="B725" s="1" t="n">
        <v>46049.76225694444</v>
      </c>
      <c r="C725" s="1" t="n">
        <v>46065</v>
      </c>
      <c r="D725" t="inlineStr">
        <is>
          <t>VÄSTMANLANDS LÄN</t>
        </is>
      </c>
      <c r="E725" t="inlineStr">
        <is>
          <t>SALA</t>
        </is>
      </c>
      <c r="G725" t="n">
        <v>1.9</v>
      </c>
      <c r="H725" t="n">
        <v>0</v>
      </c>
      <c r="I725" t="n">
        <v>0</v>
      </c>
      <c r="J725" t="n">
        <v>0</v>
      </c>
      <c r="K725" t="n">
        <v>0</v>
      </c>
      <c r="L725" t="n">
        <v>0</v>
      </c>
      <c r="M725" t="n">
        <v>0</v>
      </c>
      <c r="N725" t="n">
        <v>0</v>
      </c>
      <c r="O725" t="n">
        <v>0</v>
      </c>
      <c r="P725" t="n">
        <v>0</v>
      </c>
      <c r="Q725" t="n">
        <v>0</v>
      </c>
      <c r="R725" s="2" t="inlineStr"/>
    </row>
    <row r="726" ht="15" customHeight="1">
      <c r="A726" t="inlineStr">
        <is>
          <t>A 5418-2026</t>
        </is>
      </c>
      <c r="B726" s="1" t="n">
        <v>46050.53740740741</v>
      </c>
      <c r="C726" s="1" t="n">
        <v>46065</v>
      </c>
      <c r="D726" t="inlineStr">
        <is>
          <t>VÄSTMANLANDS LÄN</t>
        </is>
      </c>
      <c r="E726" t="inlineStr">
        <is>
          <t>SALA</t>
        </is>
      </c>
      <c r="G726" t="n">
        <v>0.9</v>
      </c>
      <c r="H726" t="n">
        <v>0</v>
      </c>
      <c r="I726" t="n">
        <v>0</v>
      </c>
      <c r="J726" t="n">
        <v>0</v>
      </c>
      <c r="K726" t="n">
        <v>0</v>
      </c>
      <c r="L726" t="n">
        <v>0</v>
      </c>
      <c r="M726" t="n">
        <v>0</v>
      </c>
      <c r="N726" t="n">
        <v>0</v>
      </c>
      <c r="O726" t="n">
        <v>0</v>
      </c>
      <c r="P726" t="n">
        <v>0</v>
      </c>
      <c r="Q726" t="n">
        <v>0</v>
      </c>
      <c r="R726" s="2" t="inlineStr"/>
    </row>
    <row r="727" ht="15" customHeight="1">
      <c r="A727" t="inlineStr">
        <is>
          <t>A 5525-2026</t>
        </is>
      </c>
      <c r="B727" s="1" t="n">
        <v>46050.65055555556</v>
      </c>
      <c r="C727" s="1" t="n">
        <v>46065</v>
      </c>
      <c r="D727" t="inlineStr">
        <is>
          <t>VÄSTMANLANDS LÄN</t>
        </is>
      </c>
      <c r="E727" t="inlineStr">
        <is>
          <t>SALA</t>
        </is>
      </c>
      <c r="G727" t="n">
        <v>13.1</v>
      </c>
      <c r="H727" t="n">
        <v>0</v>
      </c>
      <c r="I727" t="n">
        <v>0</v>
      </c>
      <c r="J727" t="n">
        <v>0</v>
      </c>
      <c r="K727" t="n">
        <v>0</v>
      </c>
      <c r="L727" t="n">
        <v>0</v>
      </c>
      <c r="M727" t="n">
        <v>0</v>
      </c>
      <c r="N727" t="n">
        <v>0</v>
      </c>
      <c r="O727" t="n">
        <v>0</v>
      </c>
      <c r="P727" t="n">
        <v>0</v>
      </c>
      <c r="Q727" t="n">
        <v>0</v>
      </c>
      <c r="R727" s="2" t="inlineStr"/>
    </row>
    <row r="728" ht="15" customHeight="1">
      <c r="A728" t="inlineStr">
        <is>
          <t>A 63055-2025</t>
        </is>
      </c>
      <c r="B728" s="1" t="n">
        <v>46009.63619212963</v>
      </c>
      <c r="C728" s="1" t="n">
        <v>46065</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63353-2025</t>
        </is>
      </c>
      <c r="B729" s="1" t="n">
        <v>46010.66670138889</v>
      </c>
      <c r="C729" s="1" t="n">
        <v>46065</v>
      </c>
      <c r="D729" t="inlineStr">
        <is>
          <t>VÄSTMANLANDS LÄN</t>
        </is>
      </c>
      <c r="E729" t="inlineStr">
        <is>
          <t>SALA</t>
        </is>
      </c>
      <c r="G729" t="n">
        <v>1.9</v>
      </c>
      <c r="H729" t="n">
        <v>0</v>
      </c>
      <c r="I729" t="n">
        <v>0</v>
      </c>
      <c r="J729" t="n">
        <v>0</v>
      </c>
      <c r="K729" t="n">
        <v>0</v>
      </c>
      <c r="L729" t="n">
        <v>0</v>
      </c>
      <c r="M729" t="n">
        <v>0</v>
      </c>
      <c r="N729" t="n">
        <v>0</v>
      </c>
      <c r="O729" t="n">
        <v>0</v>
      </c>
      <c r="P729" t="n">
        <v>0</v>
      </c>
      <c r="Q729" t="n">
        <v>0</v>
      </c>
      <c r="R729" s="2" t="inlineStr"/>
    </row>
    <row r="730" ht="15" customHeight="1">
      <c r="A730" t="inlineStr">
        <is>
          <t>A 5894-2026</t>
        </is>
      </c>
      <c r="B730" s="1" t="n">
        <v>46052.42412037037</v>
      </c>
      <c r="C730" s="1" t="n">
        <v>46065</v>
      </c>
      <c r="D730" t="inlineStr">
        <is>
          <t>VÄSTMANLANDS LÄN</t>
        </is>
      </c>
      <c r="E730" t="inlineStr">
        <is>
          <t>SALA</t>
        </is>
      </c>
      <c r="G730" t="n">
        <v>0.9</v>
      </c>
      <c r="H730" t="n">
        <v>0</v>
      </c>
      <c r="I730" t="n">
        <v>0</v>
      </c>
      <c r="J730" t="n">
        <v>0</v>
      </c>
      <c r="K730" t="n">
        <v>0</v>
      </c>
      <c r="L730" t="n">
        <v>0</v>
      </c>
      <c r="M730" t="n">
        <v>0</v>
      </c>
      <c r="N730" t="n">
        <v>0</v>
      </c>
      <c r="O730" t="n">
        <v>0</v>
      </c>
      <c r="P730" t="n">
        <v>0</v>
      </c>
      <c r="Q730" t="n">
        <v>0</v>
      </c>
      <c r="R730" s="2" t="inlineStr"/>
    </row>
    <row r="731" ht="15" customHeight="1">
      <c r="A731" t="inlineStr">
        <is>
          <t>A 63051-2025</t>
        </is>
      </c>
      <c r="B731" s="1" t="n">
        <v>46009.63134259259</v>
      </c>
      <c r="C731" s="1" t="n">
        <v>46065</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63046-2025</t>
        </is>
      </c>
      <c r="B732" s="1" t="n">
        <v>46009.62373842593</v>
      </c>
      <c r="C732" s="1" t="n">
        <v>46065</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63269-2025</t>
        </is>
      </c>
      <c r="B733" s="1" t="n">
        <v>46010</v>
      </c>
      <c r="C733" s="1" t="n">
        <v>46065</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17722-2025</t>
        </is>
      </c>
      <c r="B734" s="1" t="n">
        <v>45758</v>
      </c>
      <c r="C734" s="1" t="n">
        <v>46065</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6021-2026</t>
        </is>
      </c>
      <c r="B735" s="1" t="n">
        <v>46050</v>
      </c>
      <c r="C735" s="1" t="n">
        <v>46065</v>
      </c>
      <c r="D735" t="inlineStr">
        <is>
          <t>VÄSTMANLANDS LÄN</t>
        </is>
      </c>
      <c r="E735" t="inlineStr">
        <is>
          <t>SALA</t>
        </is>
      </c>
      <c r="G735" t="n">
        <v>1.9</v>
      </c>
      <c r="H735" t="n">
        <v>0</v>
      </c>
      <c r="I735" t="n">
        <v>0</v>
      </c>
      <c r="J735" t="n">
        <v>0</v>
      </c>
      <c r="K735" t="n">
        <v>0</v>
      </c>
      <c r="L735" t="n">
        <v>0</v>
      </c>
      <c r="M735" t="n">
        <v>0</v>
      </c>
      <c r="N735" t="n">
        <v>0</v>
      </c>
      <c r="O735" t="n">
        <v>0</v>
      </c>
      <c r="P735" t="n">
        <v>0</v>
      </c>
      <c r="Q735" t="n">
        <v>0</v>
      </c>
      <c r="R735" s="2" t="inlineStr"/>
    </row>
    <row r="736" ht="15" customHeight="1">
      <c r="A736" t="inlineStr">
        <is>
          <t>A 7327-2026</t>
        </is>
      </c>
      <c r="B736" s="1" t="n">
        <v>46058.68371527778</v>
      </c>
      <c r="C736" s="1" t="n">
        <v>46065</v>
      </c>
      <c r="D736" t="inlineStr">
        <is>
          <t>VÄSTMANLANDS LÄN</t>
        </is>
      </c>
      <c r="E736" t="inlineStr">
        <is>
          <t>SALA</t>
        </is>
      </c>
      <c r="G736" t="n">
        <v>5.8</v>
      </c>
      <c r="H736" t="n">
        <v>0</v>
      </c>
      <c r="I736" t="n">
        <v>0</v>
      </c>
      <c r="J736" t="n">
        <v>0</v>
      </c>
      <c r="K736" t="n">
        <v>0</v>
      </c>
      <c r="L736" t="n">
        <v>0</v>
      </c>
      <c r="M736" t="n">
        <v>0</v>
      </c>
      <c r="N736" t="n">
        <v>0</v>
      </c>
      <c r="O736" t="n">
        <v>0</v>
      </c>
      <c r="P736" t="n">
        <v>0</v>
      </c>
      <c r="Q736" t="n">
        <v>0</v>
      </c>
      <c r="R736" s="2" t="inlineStr"/>
    </row>
    <row r="737" ht="15" customHeight="1">
      <c r="A737" t="inlineStr">
        <is>
          <t>A 7332-2026</t>
        </is>
      </c>
      <c r="B737" s="1" t="n">
        <v>46058.68884259259</v>
      </c>
      <c r="C737" s="1" t="n">
        <v>46065</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7329-2026</t>
        </is>
      </c>
      <c r="B738" s="1" t="n">
        <v>46058.68678240741</v>
      </c>
      <c r="C738" s="1" t="n">
        <v>46065</v>
      </c>
      <c r="D738" t="inlineStr">
        <is>
          <t>VÄSTMANLANDS LÄN</t>
        </is>
      </c>
      <c r="E738" t="inlineStr">
        <is>
          <t>SALA</t>
        </is>
      </c>
      <c r="G738" t="n">
        <v>3.1</v>
      </c>
      <c r="H738" t="n">
        <v>0</v>
      </c>
      <c r="I738" t="n">
        <v>0</v>
      </c>
      <c r="J738" t="n">
        <v>0</v>
      </c>
      <c r="K738" t="n">
        <v>0</v>
      </c>
      <c r="L738" t="n">
        <v>0</v>
      </c>
      <c r="M738" t="n">
        <v>0</v>
      </c>
      <c r="N738" t="n">
        <v>0</v>
      </c>
      <c r="O738" t="n">
        <v>0</v>
      </c>
      <c r="P738" t="n">
        <v>0</v>
      </c>
      <c r="Q738" t="n">
        <v>0</v>
      </c>
      <c r="R738" s="2" t="inlineStr"/>
    </row>
    <row r="739" ht="15" customHeight="1">
      <c r="A739" t="inlineStr">
        <is>
          <t>A 7324-2026</t>
        </is>
      </c>
      <c r="B739" s="1" t="n">
        <v>46058.68023148148</v>
      </c>
      <c r="C739" s="1" t="n">
        <v>46065</v>
      </c>
      <c r="D739" t="inlineStr">
        <is>
          <t>VÄSTMANLANDS LÄN</t>
        </is>
      </c>
      <c r="E739" t="inlineStr">
        <is>
          <t>SALA</t>
        </is>
      </c>
      <c r="G739" t="n">
        <v>0.9</v>
      </c>
      <c r="H739" t="n">
        <v>0</v>
      </c>
      <c r="I739" t="n">
        <v>0</v>
      </c>
      <c r="J739" t="n">
        <v>0</v>
      </c>
      <c r="K739" t="n">
        <v>0</v>
      </c>
      <c r="L739" t="n">
        <v>0</v>
      </c>
      <c r="M739" t="n">
        <v>0</v>
      </c>
      <c r="N739" t="n">
        <v>0</v>
      </c>
      <c r="O739" t="n">
        <v>0</v>
      </c>
      <c r="P739" t="n">
        <v>0</v>
      </c>
      <c r="Q739" t="n">
        <v>0</v>
      </c>
      <c r="R739" s="2" t="inlineStr"/>
    </row>
    <row r="740" ht="15" customHeight="1">
      <c r="A740" t="inlineStr">
        <is>
          <t>A 7584-2026</t>
        </is>
      </c>
      <c r="B740" s="1" t="n">
        <v>46061.81653935185</v>
      </c>
      <c r="C740" s="1" t="n">
        <v>46065</v>
      </c>
      <c r="D740" t="inlineStr">
        <is>
          <t>VÄSTMANLANDS LÄN</t>
        </is>
      </c>
      <c r="E740" t="inlineStr">
        <is>
          <t>SALA</t>
        </is>
      </c>
      <c r="G740" t="n">
        <v>16.7</v>
      </c>
      <c r="H740" t="n">
        <v>0</v>
      </c>
      <c r="I740" t="n">
        <v>0</v>
      </c>
      <c r="J740" t="n">
        <v>0</v>
      </c>
      <c r="K740" t="n">
        <v>0</v>
      </c>
      <c r="L740" t="n">
        <v>0</v>
      </c>
      <c r="M740" t="n">
        <v>0</v>
      </c>
      <c r="N740" t="n">
        <v>0</v>
      </c>
      <c r="O740" t="n">
        <v>0</v>
      </c>
      <c r="P740" t="n">
        <v>0</v>
      </c>
      <c r="Q740" t="n">
        <v>0</v>
      </c>
      <c r="R740" s="2" t="inlineStr"/>
    </row>
    <row r="741" ht="15" customHeight="1">
      <c r="A741" t="inlineStr">
        <is>
          <t>A 7590-2026</t>
        </is>
      </c>
      <c r="B741" s="1" t="n">
        <v>46061.85252314815</v>
      </c>
      <c r="C741" s="1" t="n">
        <v>46065</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7596-2026</t>
        </is>
      </c>
      <c r="B742" s="1" t="n">
        <v>46061.90922453703</v>
      </c>
      <c r="C742" s="1" t="n">
        <v>46065</v>
      </c>
      <c r="D742" t="inlineStr">
        <is>
          <t>VÄSTMANLANDS LÄN</t>
        </is>
      </c>
      <c r="E742" t="inlineStr">
        <is>
          <t>SALA</t>
        </is>
      </c>
      <c r="G742" t="n">
        <v>3.1</v>
      </c>
      <c r="H742" t="n">
        <v>0</v>
      </c>
      <c r="I742" t="n">
        <v>0</v>
      </c>
      <c r="J742" t="n">
        <v>0</v>
      </c>
      <c r="K742" t="n">
        <v>0</v>
      </c>
      <c r="L742" t="n">
        <v>0</v>
      </c>
      <c r="M742" t="n">
        <v>0</v>
      </c>
      <c r="N742" t="n">
        <v>0</v>
      </c>
      <c r="O742" t="n">
        <v>0</v>
      </c>
      <c r="P742" t="n">
        <v>0</v>
      </c>
      <c r="Q742" t="n">
        <v>0</v>
      </c>
      <c r="R742" s="2" t="inlineStr"/>
    </row>
    <row r="743" ht="15" customHeight="1">
      <c r="A743" t="inlineStr">
        <is>
          <t>A 7588-2026</t>
        </is>
      </c>
      <c r="B743" s="1" t="n">
        <v>46061.83528935185</v>
      </c>
      <c r="C743" s="1" t="n">
        <v>46065</v>
      </c>
      <c r="D743" t="inlineStr">
        <is>
          <t>VÄSTMANLANDS LÄN</t>
        </is>
      </c>
      <c r="E743" t="inlineStr">
        <is>
          <t>SALA</t>
        </is>
      </c>
      <c r="G743" t="n">
        <v>2.8</v>
      </c>
      <c r="H743" t="n">
        <v>0</v>
      </c>
      <c r="I743" t="n">
        <v>0</v>
      </c>
      <c r="J743" t="n">
        <v>0</v>
      </c>
      <c r="K743" t="n">
        <v>0</v>
      </c>
      <c r="L743" t="n">
        <v>0</v>
      </c>
      <c r="M743" t="n">
        <v>0</v>
      </c>
      <c r="N743" t="n">
        <v>0</v>
      </c>
      <c r="O743" t="n">
        <v>0</v>
      </c>
      <c r="P743" t="n">
        <v>0</v>
      </c>
      <c r="Q743" t="n">
        <v>0</v>
      </c>
      <c r="R743" s="2" t="inlineStr"/>
    </row>
    <row r="744" ht="15" customHeight="1">
      <c r="A744" t="inlineStr">
        <is>
          <t>A 7654-2026</t>
        </is>
      </c>
      <c r="B744" s="1" t="n">
        <v>46062.38828703704</v>
      </c>
      <c r="C744" s="1" t="n">
        <v>46065</v>
      </c>
      <c r="D744" t="inlineStr">
        <is>
          <t>VÄSTMANLANDS LÄN</t>
        </is>
      </c>
      <c r="E744" t="inlineStr">
        <is>
          <t>SALA</t>
        </is>
      </c>
      <c r="G744" t="n">
        <v>4.5</v>
      </c>
      <c r="H744" t="n">
        <v>0</v>
      </c>
      <c r="I744" t="n">
        <v>0</v>
      </c>
      <c r="J744" t="n">
        <v>0</v>
      </c>
      <c r="K744" t="n">
        <v>0</v>
      </c>
      <c r="L744" t="n">
        <v>0</v>
      </c>
      <c r="M744" t="n">
        <v>0</v>
      </c>
      <c r="N744" t="n">
        <v>0</v>
      </c>
      <c r="O744" t="n">
        <v>0</v>
      </c>
      <c r="P744" t="n">
        <v>0</v>
      </c>
      <c r="Q744" t="n">
        <v>0</v>
      </c>
      <c r="R744" s="2" t="inlineStr"/>
    </row>
    <row r="745" ht="15" customHeight="1">
      <c r="A745" t="inlineStr">
        <is>
          <t>A 7498-2026</t>
        </is>
      </c>
      <c r="B745" s="1" t="n">
        <v>46059.55550925926</v>
      </c>
      <c r="C745" s="1" t="n">
        <v>46065</v>
      </c>
      <c r="D745" t="inlineStr">
        <is>
          <t>VÄSTMANLANDS LÄN</t>
        </is>
      </c>
      <c r="E745" t="inlineStr">
        <is>
          <t>SALA</t>
        </is>
      </c>
      <c r="G745" t="n">
        <v>1.9</v>
      </c>
      <c r="H745" t="n">
        <v>0</v>
      </c>
      <c r="I745" t="n">
        <v>0</v>
      </c>
      <c r="J745" t="n">
        <v>0</v>
      </c>
      <c r="K745" t="n">
        <v>0</v>
      </c>
      <c r="L745" t="n">
        <v>0</v>
      </c>
      <c r="M745" t="n">
        <v>0</v>
      </c>
      <c r="N745" t="n">
        <v>0</v>
      </c>
      <c r="O745" t="n">
        <v>0</v>
      </c>
      <c r="P745" t="n">
        <v>0</v>
      </c>
      <c r="Q745" t="n">
        <v>0</v>
      </c>
      <c r="R745" s="2" t="inlineStr"/>
    </row>
    <row r="746" ht="15" customHeight="1">
      <c r="A746" t="inlineStr">
        <is>
          <t>A 7676-2026</t>
        </is>
      </c>
      <c r="B746" s="1" t="n">
        <v>46062.42498842593</v>
      </c>
      <c r="C746" s="1" t="n">
        <v>46065</v>
      </c>
      <c r="D746" t="inlineStr">
        <is>
          <t>VÄSTMANLANDS LÄN</t>
        </is>
      </c>
      <c r="E746" t="inlineStr">
        <is>
          <t>SALA</t>
        </is>
      </c>
      <c r="G746" t="n">
        <v>2.1</v>
      </c>
      <c r="H746" t="n">
        <v>0</v>
      </c>
      <c r="I746" t="n">
        <v>0</v>
      </c>
      <c r="J746" t="n">
        <v>0</v>
      </c>
      <c r="K746" t="n">
        <v>0</v>
      </c>
      <c r="L746" t="n">
        <v>0</v>
      </c>
      <c r="M746" t="n">
        <v>0</v>
      </c>
      <c r="N746" t="n">
        <v>0</v>
      </c>
      <c r="O746" t="n">
        <v>0</v>
      </c>
      <c r="P746" t="n">
        <v>0</v>
      </c>
      <c r="Q746" t="n">
        <v>0</v>
      </c>
      <c r="R746" s="2" t="inlineStr"/>
    </row>
    <row r="747" ht="15" customHeight="1">
      <c r="A747" t="inlineStr">
        <is>
          <t>A 63749-2025</t>
        </is>
      </c>
      <c r="B747" s="1" t="n">
        <v>46017.75243055556</v>
      </c>
      <c r="C747" s="1" t="n">
        <v>46065</v>
      </c>
      <c r="D747" t="inlineStr">
        <is>
          <t>VÄSTMANLANDS LÄN</t>
        </is>
      </c>
      <c r="E747" t="inlineStr">
        <is>
          <t>SALA</t>
        </is>
      </c>
      <c r="G747" t="n">
        <v>1.5</v>
      </c>
      <c r="H747" t="n">
        <v>0</v>
      </c>
      <c r="I747" t="n">
        <v>0</v>
      </c>
      <c r="J747" t="n">
        <v>0</v>
      </c>
      <c r="K747" t="n">
        <v>0</v>
      </c>
      <c r="L747" t="n">
        <v>0</v>
      </c>
      <c r="M747" t="n">
        <v>0</v>
      </c>
      <c r="N747" t="n">
        <v>0</v>
      </c>
      <c r="O747" t="n">
        <v>0</v>
      </c>
      <c r="P747" t="n">
        <v>0</v>
      </c>
      <c r="Q747" t="n">
        <v>0</v>
      </c>
      <c r="R747" s="2" t="inlineStr"/>
    </row>
    <row r="748" ht="15" customHeight="1">
      <c r="A748" t="inlineStr">
        <is>
          <t>A 4214-2026</t>
        </is>
      </c>
      <c r="B748" s="1" t="n">
        <v>46044.76459490741</v>
      </c>
      <c r="C748" s="1" t="n">
        <v>46065</v>
      </c>
      <c r="D748" t="inlineStr">
        <is>
          <t>VÄSTMANLANDS LÄN</t>
        </is>
      </c>
      <c r="E748" t="inlineStr">
        <is>
          <t>SALA</t>
        </is>
      </c>
      <c r="G748" t="n">
        <v>1.7</v>
      </c>
      <c r="H748" t="n">
        <v>0</v>
      </c>
      <c r="I748" t="n">
        <v>0</v>
      </c>
      <c r="J748" t="n">
        <v>0</v>
      </c>
      <c r="K748" t="n">
        <v>0</v>
      </c>
      <c r="L748" t="n">
        <v>0</v>
      </c>
      <c r="M748" t="n">
        <v>0</v>
      </c>
      <c r="N748" t="n">
        <v>0</v>
      </c>
      <c r="O748" t="n">
        <v>0</v>
      </c>
      <c r="P748" t="n">
        <v>0</v>
      </c>
      <c r="Q748" t="n">
        <v>0</v>
      </c>
      <c r="R748" s="2" t="inlineStr"/>
    </row>
    <row r="749" ht="15" customHeight="1">
      <c r="A749" t="inlineStr">
        <is>
          <t>A 63748-2025</t>
        </is>
      </c>
      <c r="B749" s="1" t="n">
        <v>46017.71640046296</v>
      </c>
      <c r="C749" s="1" t="n">
        <v>46065</v>
      </c>
      <c r="D749" t="inlineStr">
        <is>
          <t>VÄSTMANLANDS LÄN</t>
        </is>
      </c>
      <c r="E749" t="inlineStr">
        <is>
          <t>SALA</t>
        </is>
      </c>
      <c r="G749" t="n">
        <v>1.6</v>
      </c>
      <c r="H749" t="n">
        <v>0</v>
      </c>
      <c r="I749" t="n">
        <v>0</v>
      </c>
      <c r="J749" t="n">
        <v>0</v>
      </c>
      <c r="K749" t="n">
        <v>0</v>
      </c>
      <c r="L749" t="n">
        <v>0</v>
      </c>
      <c r="M749" t="n">
        <v>0</v>
      </c>
      <c r="N749" t="n">
        <v>0</v>
      </c>
      <c r="O749" t="n">
        <v>0</v>
      </c>
      <c r="P749" t="n">
        <v>0</v>
      </c>
      <c r="Q749" t="n">
        <v>0</v>
      </c>
      <c r="R749" s="2" t="inlineStr"/>
    </row>
    <row r="750" ht="15" customHeight="1">
      <c r="A750" t="inlineStr">
        <is>
          <t>A 7593-2026</t>
        </is>
      </c>
      <c r="B750" s="1" t="n">
        <v>46061.88057870371</v>
      </c>
      <c r="C750" s="1" t="n">
        <v>46065</v>
      </c>
      <c r="D750" t="inlineStr">
        <is>
          <t>VÄSTMANLANDS LÄN</t>
        </is>
      </c>
      <c r="E750" t="inlineStr">
        <is>
          <t>SALA</t>
        </is>
      </c>
      <c r="G750" t="n">
        <v>7.5</v>
      </c>
      <c r="H750" t="n">
        <v>0</v>
      </c>
      <c r="I750" t="n">
        <v>0</v>
      </c>
      <c r="J750" t="n">
        <v>0</v>
      </c>
      <c r="K750" t="n">
        <v>0</v>
      </c>
      <c r="L750" t="n">
        <v>0</v>
      </c>
      <c r="M750" t="n">
        <v>0</v>
      </c>
      <c r="N750" t="n">
        <v>0</v>
      </c>
      <c r="O750" t="n">
        <v>0</v>
      </c>
      <c r="P750" t="n">
        <v>0</v>
      </c>
      <c r="Q750" t="n">
        <v>0</v>
      </c>
      <c r="R750" s="2" t="inlineStr"/>
    </row>
    <row r="751" ht="15" customHeight="1">
      <c r="A751" t="inlineStr">
        <is>
          <t>A 7597-2026</t>
        </is>
      </c>
      <c r="B751" s="1" t="n">
        <v>46061.91765046296</v>
      </c>
      <c r="C751" s="1" t="n">
        <v>46065</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7595-2026</t>
        </is>
      </c>
      <c r="B752" s="1" t="n">
        <v>46061.90009259259</v>
      </c>
      <c r="C752" s="1" t="n">
        <v>46065</v>
      </c>
      <c r="D752" t="inlineStr">
        <is>
          <t>VÄSTMANLANDS LÄN</t>
        </is>
      </c>
      <c r="E752" t="inlineStr">
        <is>
          <t>SALA</t>
        </is>
      </c>
      <c r="G752" t="n">
        <v>1.2</v>
      </c>
      <c r="H752" t="n">
        <v>0</v>
      </c>
      <c r="I752" t="n">
        <v>0</v>
      </c>
      <c r="J752" t="n">
        <v>0</v>
      </c>
      <c r="K752" t="n">
        <v>0</v>
      </c>
      <c r="L752" t="n">
        <v>0</v>
      </c>
      <c r="M752" t="n">
        <v>0</v>
      </c>
      <c r="N752" t="n">
        <v>0</v>
      </c>
      <c r="O752" t="n">
        <v>0</v>
      </c>
      <c r="P752" t="n">
        <v>0</v>
      </c>
      <c r="Q752" t="n">
        <v>0</v>
      </c>
      <c r="R752" s="2" t="inlineStr"/>
    </row>
    <row r="753" ht="15" customHeight="1">
      <c r="A753" t="inlineStr">
        <is>
          <t>A 7661-2026</t>
        </is>
      </c>
      <c r="B753" s="1" t="n">
        <v>46062.39614583334</v>
      </c>
      <c r="C753" s="1" t="n">
        <v>46065</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7680-2026</t>
        </is>
      </c>
      <c r="B754" s="1" t="n">
        <v>46062.43087962963</v>
      </c>
      <c r="C754" s="1" t="n">
        <v>46065</v>
      </c>
      <c r="D754" t="inlineStr">
        <is>
          <t>VÄSTMANLANDS LÄN</t>
        </is>
      </c>
      <c r="E754" t="inlineStr">
        <is>
          <t>SALA</t>
        </is>
      </c>
      <c r="G754" t="n">
        <v>2.7</v>
      </c>
      <c r="H754" t="n">
        <v>0</v>
      </c>
      <c r="I754" t="n">
        <v>0</v>
      </c>
      <c r="J754" t="n">
        <v>0</v>
      </c>
      <c r="K754" t="n">
        <v>0</v>
      </c>
      <c r="L754" t="n">
        <v>0</v>
      </c>
      <c r="M754" t="n">
        <v>0</v>
      </c>
      <c r="N754" t="n">
        <v>0</v>
      </c>
      <c r="O754" t="n">
        <v>0</v>
      </c>
      <c r="P754" t="n">
        <v>0</v>
      </c>
      <c r="Q754" t="n">
        <v>0</v>
      </c>
      <c r="R754" s="2" t="inlineStr"/>
    </row>
    <row r="755" ht="15" customHeight="1">
      <c r="A755" t="inlineStr">
        <is>
          <t>A 7850-2026</t>
        </is>
      </c>
      <c r="B755" s="1" t="n">
        <v>46062.66236111111</v>
      </c>
      <c r="C755" s="1" t="n">
        <v>46065</v>
      </c>
      <c r="D755" t="inlineStr">
        <is>
          <t>VÄSTMANLANDS LÄN</t>
        </is>
      </c>
      <c r="E755" t="inlineStr">
        <is>
          <t>SALA</t>
        </is>
      </c>
      <c r="G755" t="n">
        <v>2.3</v>
      </c>
      <c r="H755" t="n">
        <v>0</v>
      </c>
      <c r="I755" t="n">
        <v>0</v>
      </c>
      <c r="J755" t="n">
        <v>0</v>
      </c>
      <c r="K755" t="n">
        <v>0</v>
      </c>
      <c r="L755" t="n">
        <v>0</v>
      </c>
      <c r="M755" t="n">
        <v>0</v>
      </c>
      <c r="N755" t="n">
        <v>0</v>
      </c>
      <c r="O755" t="n">
        <v>0</v>
      </c>
      <c r="P755" t="n">
        <v>0</v>
      </c>
      <c r="Q755" t="n">
        <v>0</v>
      </c>
      <c r="R755" s="2" t="inlineStr"/>
    </row>
    <row r="756" ht="15" customHeight="1">
      <c r="A756" t="inlineStr">
        <is>
          <t>A 7611-2026</t>
        </is>
      </c>
      <c r="B756" s="1" t="n">
        <v>46062.32387731481</v>
      </c>
      <c r="C756" s="1" t="n">
        <v>46065</v>
      </c>
      <c r="D756" t="inlineStr">
        <is>
          <t>VÄSTMANLANDS LÄN</t>
        </is>
      </c>
      <c r="E756" t="inlineStr">
        <is>
          <t>SALA</t>
        </is>
      </c>
      <c r="G756" t="n">
        <v>1.9</v>
      </c>
      <c r="H756" t="n">
        <v>0</v>
      </c>
      <c r="I756" t="n">
        <v>0</v>
      </c>
      <c r="J756" t="n">
        <v>0</v>
      </c>
      <c r="K756" t="n">
        <v>0</v>
      </c>
      <c r="L756" t="n">
        <v>0</v>
      </c>
      <c r="M756" t="n">
        <v>0</v>
      </c>
      <c r="N756" t="n">
        <v>0</v>
      </c>
      <c r="O756" t="n">
        <v>0</v>
      </c>
      <c r="P756" t="n">
        <v>0</v>
      </c>
      <c r="Q756" t="n">
        <v>0</v>
      </c>
      <c r="R756" s="2" t="inlineStr"/>
    </row>
    <row r="757">
      <c r="A757" t="inlineStr">
        <is>
          <t>A 4683-2026</t>
        </is>
      </c>
      <c r="B757" s="1" t="n">
        <v>46048.43489583334</v>
      </c>
      <c r="C757" s="1" t="n">
        <v>46065</v>
      </c>
      <c r="D757" t="inlineStr">
        <is>
          <t>VÄSTMANLANDS LÄN</t>
        </is>
      </c>
      <c r="E757" t="inlineStr">
        <is>
          <t>SALA</t>
        </is>
      </c>
      <c r="G757" t="n">
        <v>0.6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2026-02-12T11:06:22Z</dcterms:created>
  <dcterms:modified xmlns:dcterms="http://purl.org/dc/terms/" xmlns:xsi="http://www.w3.org/2001/XMLSchema-instance" xsi:type="dcterms:W3CDTF">2026-02-12T11:06:23Z</dcterms:modified>
</cp:coreProperties>
</file>