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46163</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46163</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7643-2026</t>
        </is>
      </c>
      <c r="B9" s="1" t="n">
        <v>46062.37700231482</v>
      </c>
      <c r="C9" s="1" t="n">
        <v>46163</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46163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46163</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46163</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46163</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46163</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46163</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34752-2023</t>
        </is>
      </c>
      <c r="B16" s="1" t="n">
        <v>45141</v>
      </c>
      <c r="C16" s="1" t="n">
        <v>46163</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46163</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46163</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46163</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46163</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46163</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46163</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21044-2026</t>
        </is>
      </c>
      <c r="B24" s="1" t="n">
        <v>46146.36681712963</v>
      </c>
      <c r="C24" s="1" t="n">
        <v>46163</v>
      </c>
      <c r="D24" t="inlineStr">
        <is>
          <t>VÄSTMANLANDS LÄN</t>
        </is>
      </c>
      <c r="E24" t="inlineStr">
        <is>
          <t>SALA</t>
        </is>
      </c>
      <c r="G24" t="n">
        <v>41.2</v>
      </c>
      <c r="H24" t="n">
        <v>1</v>
      </c>
      <c r="I24" t="n">
        <v>0</v>
      </c>
      <c r="J24" t="n">
        <v>2</v>
      </c>
      <c r="K24" t="n">
        <v>1</v>
      </c>
      <c r="L24" t="n">
        <v>0</v>
      </c>
      <c r="M24" t="n">
        <v>0</v>
      </c>
      <c r="N24" t="n">
        <v>0</v>
      </c>
      <c r="O24" t="n">
        <v>3</v>
      </c>
      <c r="P24" t="n">
        <v>1</v>
      </c>
      <c r="Q24" t="n">
        <v>3</v>
      </c>
      <c r="R24" s="2" t="inlineStr">
        <is>
          <t>Knärot
Garnlav
Motaggsvamp</t>
        </is>
      </c>
      <c r="S24">
        <f>HYPERLINK("https://klasma.github.io/Logging_1981/artfynd/A 21044-2026 artfynd.xlsx", "A 21044-2026")</f>
        <v/>
      </c>
      <c r="T24">
        <f>HYPERLINK("https://klasma.github.io/Logging_1981/kartor/A 21044-2026 karta.png", "A 21044-2026")</f>
        <v/>
      </c>
      <c r="U24">
        <f>HYPERLINK("https://klasma.github.io/Logging_1981/knärot/A 21044-2026 karta knärot.png", "A 21044-2026")</f>
        <v/>
      </c>
      <c r="V24">
        <f>HYPERLINK("https://klasma.github.io/Logging_1981/klagomål/A 21044-2026 FSC-klagomål.docx", "A 21044-2026")</f>
        <v/>
      </c>
      <c r="W24">
        <f>HYPERLINK("https://klasma.github.io/Logging_1981/klagomålsmail/A 21044-2026 FSC-klagomål mail.docx", "A 21044-2026")</f>
        <v/>
      </c>
      <c r="X24">
        <f>HYPERLINK("https://klasma.github.io/Logging_1981/tillsyn/A 21044-2026 tillsynsbegäran.docx", "A 21044-2026")</f>
        <v/>
      </c>
      <c r="Y24">
        <f>HYPERLINK("https://klasma.github.io/Logging_1981/tillsynsmail/A 21044-2026 tillsynsbegäran mail.docx", "A 21044-2026")</f>
        <v/>
      </c>
    </row>
    <row r="25" ht="15" customHeight="1">
      <c r="A25" t="inlineStr">
        <is>
          <t>A 3930-2026</t>
        </is>
      </c>
      <c r="B25" s="1" t="n">
        <v>46043</v>
      </c>
      <c r="C25" s="1" t="n">
        <v>46163</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4264-2024</t>
        </is>
      </c>
      <c r="B26" s="1" t="n">
        <v>45324</v>
      </c>
      <c r="C26" s="1" t="n">
        <v>46163</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46163</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46163</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46163</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46163</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13029-2023</t>
        </is>
      </c>
      <c r="B31" s="1" t="n">
        <v>45001</v>
      </c>
      <c r="C31" s="1" t="n">
        <v>46163</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46163</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46163</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46163</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14485-2026</t>
        </is>
      </c>
      <c r="B35" s="1" t="n">
        <v>46100.59055555556</v>
      </c>
      <c r="C35" s="1" t="n">
        <v>46163</v>
      </c>
      <c r="D35" t="inlineStr">
        <is>
          <t>VÄSTMANLANDS LÄN</t>
        </is>
      </c>
      <c r="E35" t="inlineStr">
        <is>
          <t>SALA</t>
        </is>
      </c>
      <c r="F35" t="inlineStr">
        <is>
          <t>Sveaskog</t>
        </is>
      </c>
      <c r="G35" t="n">
        <v>13.6</v>
      </c>
      <c r="H35" t="n">
        <v>1</v>
      </c>
      <c r="I35" t="n">
        <v>0</v>
      </c>
      <c r="J35" t="n">
        <v>2</v>
      </c>
      <c r="K35" t="n">
        <v>0</v>
      </c>
      <c r="L35" t="n">
        <v>0</v>
      </c>
      <c r="M35" t="n">
        <v>0</v>
      </c>
      <c r="N35" t="n">
        <v>0</v>
      </c>
      <c r="O35" t="n">
        <v>2</v>
      </c>
      <c r="P35" t="n">
        <v>0</v>
      </c>
      <c r="Q35" t="n">
        <v>2</v>
      </c>
      <c r="R35" s="2" t="inlineStr">
        <is>
          <t>Motaggsvamp
Talltita</t>
        </is>
      </c>
      <c r="S35">
        <f>HYPERLINK("https://klasma.github.io/Logging_1981/artfynd/A 14485-2026 artfynd.xlsx", "A 14485-2026")</f>
        <v/>
      </c>
      <c r="T35">
        <f>HYPERLINK("https://klasma.github.io/Logging_1981/kartor/A 14485-2026 karta.png", "A 14485-2026")</f>
        <v/>
      </c>
      <c r="V35">
        <f>HYPERLINK("https://klasma.github.io/Logging_1981/klagomål/A 14485-2026 FSC-klagomål.docx", "A 14485-2026")</f>
        <v/>
      </c>
      <c r="W35">
        <f>HYPERLINK("https://klasma.github.io/Logging_1981/klagomålsmail/A 14485-2026 FSC-klagomål mail.docx", "A 14485-2026")</f>
        <v/>
      </c>
      <c r="X35">
        <f>HYPERLINK("https://klasma.github.io/Logging_1981/tillsyn/A 14485-2026 tillsynsbegäran.docx", "A 14485-2026")</f>
        <v/>
      </c>
      <c r="Y35">
        <f>HYPERLINK("https://klasma.github.io/Logging_1981/tillsynsmail/A 14485-2026 tillsynsbegäran mail.docx", "A 14485-2026")</f>
        <v/>
      </c>
      <c r="Z35">
        <f>HYPERLINK("https://klasma.github.io/Logging_1981/fåglar/A 14485-2026 prioriterade fågelarter.docx", "A 14485-2026")</f>
        <v/>
      </c>
    </row>
    <row r="36" ht="15" customHeight="1">
      <c r="A36" t="inlineStr">
        <is>
          <t>A 59826-2025</t>
        </is>
      </c>
      <c r="B36" s="1" t="n">
        <v>45992.65416666667</v>
      </c>
      <c r="C36" s="1" t="n">
        <v>46163</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11846-2024</t>
        </is>
      </c>
      <c r="B37" s="1" t="n">
        <v>45376.4047337963</v>
      </c>
      <c r="C37" s="1" t="n">
        <v>46163</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63584-2025</t>
        </is>
      </c>
      <c r="B38" s="1" t="n">
        <v>46013.77002314815</v>
      </c>
      <c r="C38" s="1" t="n">
        <v>46163</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12444-2024</t>
        </is>
      </c>
      <c r="B39" s="1" t="n">
        <v>45379.46285879629</v>
      </c>
      <c r="C39" s="1" t="n">
        <v>46163</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24872-2025</t>
        </is>
      </c>
      <c r="B40" s="1" t="n">
        <v>45799.49038194444</v>
      </c>
      <c r="C40" s="1" t="n">
        <v>46163</v>
      </c>
      <c r="D40" t="inlineStr">
        <is>
          <t>VÄSTMANLANDS LÄN</t>
        </is>
      </c>
      <c r="E40" t="inlineStr">
        <is>
          <t>SALA</t>
        </is>
      </c>
      <c r="G40" t="n">
        <v>13.9</v>
      </c>
      <c r="H40" t="n">
        <v>1</v>
      </c>
      <c r="I40" t="n">
        <v>0</v>
      </c>
      <c r="J40" t="n">
        <v>1</v>
      </c>
      <c r="K40" t="n">
        <v>1</v>
      </c>
      <c r="L40" t="n">
        <v>0</v>
      </c>
      <c r="M40" t="n">
        <v>0</v>
      </c>
      <c r="N40" t="n">
        <v>0</v>
      </c>
      <c r="O40" t="n">
        <v>2</v>
      </c>
      <c r="P40" t="n">
        <v>1</v>
      </c>
      <c r="Q40" t="n">
        <v>2</v>
      </c>
      <c r="R40" s="2" t="inlineStr">
        <is>
          <t>Knärot
Motaggsvamp</t>
        </is>
      </c>
      <c r="S40">
        <f>HYPERLINK("https://klasma.github.io/Logging_1981/artfynd/A 24872-2025 artfynd.xlsx", "A 24872-2025")</f>
        <v/>
      </c>
      <c r="T40">
        <f>HYPERLINK("https://klasma.github.io/Logging_1981/kartor/A 24872-2025 karta.png", "A 24872-2025")</f>
        <v/>
      </c>
      <c r="U40">
        <f>HYPERLINK("https://klasma.github.io/Logging_1981/knärot/A 24872-2025 karta knärot.png", "A 24872-2025")</f>
        <v/>
      </c>
      <c r="V40">
        <f>HYPERLINK("https://klasma.github.io/Logging_1981/klagomål/A 24872-2025 FSC-klagomål.docx", "A 24872-2025")</f>
        <v/>
      </c>
      <c r="W40">
        <f>HYPERLINK("https://klasma.github.io/Logging_1981/klagomålsmail/A 24872-2025 FSC-klagomål mail.docx", "A 24872-2025")</f>
        <v/>
      </c>
      <c r="X40">
        <f>HYPERLINK("https://klasma.github.io/Logging_1981/tillsyn/A 24872-2025 tillsynsbegäran.docx", "A 24872-2025")</f>
        <v/>
      </c>
      <c r="Y40">
        <f>HYPERLINK("https://klasma.github.io/Logging_1981/tillsynsmail/A 24872-2025 tillsynsbegäran mail.docx", "A 24872-2025")</f>
        <v/>
      </c>
    </row>
    <row r="41" ht="15" customHeight="1">
      <c r="A41" t="inlineStr">
        <is>
          <t>A 44970-2021</t>
        </is>
      </c>
      <c r="B41" s="1" t="n">
        <v>44438.74399305556</v>
      </c>
      <c r="C41" s="1" t="n">
        <v>46163</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46163</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46163</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46163</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7672-2026</t>
        </is>
      </c>
      <c r="B45" s="1" t="n">
        <v>46062.42077546296</v>
      </c>
      <c r="C45" s="1" t="n">
        <v>46163</v>
      </c>
      <c r="D45" t="inlineStr">
        <is>
          <t>VÄSTMANLANDS LÄN</t>
        </is>
      </c>
      <c r="E45" t="inlineStr">
        <is>
          <t>SALA</t>
        </is>
      </c>
      <c r="G45" t="n">
        <v>2.9</v>
      </c>
      <c r="H45" t="n">
        <v>1</v>
      </c>
      <c r="I45" t="n">
        <v>0</v>
      </c>
      <c r="J45" t="n">
        <v>0</v>
      </c>
      <c r="K45" t="n">
        <v>0</v>
      </c>
      <c r="L45" t="n">
        <v>0</v>
      </c>
      <c r="M45" t="n">
        <v>0</v>
      </c>
      <c r="N45" t="n">
        <v>0</v>
      </c>
      <c r="O45" t="n">
        <v>0</v>
      </c>
      <c r="P45" t="n">
        <v>0</v>
      </c>
      <c r="Q45" t="n">
        <v>1</v>
      </c>
      <c r="R45" s="2" t="inlineStr">
        <is>
          <t>Nattviol</t>
        </is>
      </c>
      <c r="S45">
        <f>HYPERLINK("https://klasma.github.io/Logging_1981/artfynd/A 7672-2026 artfynd.xlsx", "A 7672-2026")</f>
        <v/>
      </c>
      <c r="T45">
        <f>HYPERLINK("https://klasma.github.io/Logging_1981/kartor/A 7672-2026 karta.png", "A 7672-2026")</f>
        <v/>
      </c>
      <c r="V45">
        <f>HYPERLINK("https://klasma.github.io/Logging_1981/klagomål/A 7672-2026 FSC-klagomål.docx", "A 7672-2026")</f>
        <v/>
      </c>
      <c r="W45">
        <f>HYPERLINK("https://klasma.github.io/Logging_1981/klagomålsmail/A 7672-2026 FSC-klagomål mail.docx", "A 7672-2026")</f>
        <v/>
      </c>
      <c r="X45">
        <f>HYPERLINK("https://klasma.github.io/Logging_1981/tillsyn/A 7672-2026 tillsynsbegäran.docx", "A 7672-2026")</f>
        <v/>
      </c>
      <c r="Y45">
        <f>HYPERLINK("https://klasma.github.io/Logging_1981/tillsynsmail/A 7672-2026 tillsynsbegäran mail.docx", "A 7672-2026")</f>
        <v/>
      </c>
    </row>
    <row r="46" ht="15" customHeight="1">
      <c r="A46" t="inlineStr">
        <is>
          <t>A 32594-2025</t>
        </is>
      </c>
      <c r="B46" s="1" t="n">
        <v>45838</v>
      </c>
      <c r="C46" s="1" t="n">
        <v>46163</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14775-2023</t>
        </is>
      </c>
      <c r="B47" s="1" t="n">
        <v>45014</v>
      </c>
      <c r="C47" s="1" t="n">
        <v>46163</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22350-2024</t>
        </is>
      </c>
      <c r="B48" s="1" t="n">
        <v>45446</v>
      </c>
      <c r="C48" s="1" t="n">
        <v>46163</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12509-2023</t>
        </is>
      </c>
      <c r="B49" s="1" t="n">
        <v>44999.95988425926</v>
      </c>
      <c r="C49" s="1" t="n">
        <v>46163</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38255-2025</t>
        </is>
      </c>
      <c r="B50" s="1" t="n">
        <v>45883.38020833334</v>
      </c>
      <c r="C50" s="1" t="n">
        <v>46163</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60852-2024</t>
        </is>
      </c>
      <c r="B51" s="1" t="n">
        <v>45644</v>
      </c>
      <c r="C51" s="1" t="n">
        <v>46163</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19361-2025</t>
        </is>
      </c>
      <c r="B52" s="1" t="n">
        <v>45769.63357638889</v>
      </c>
      <c r="C52" s="1" t="n">
        <v>46163</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46163</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48705-2025</t>
        </is>
      </c>
      <c r="B54" s="1" t="n">
        <v>45936.62290509259</v>
      </c>
      <c r="C54" s="1" t="n">
        <v>46163</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43175-2023</t>
        </is>
      </c>
      <c r="B55" s="1" t="n">
        <v>45183</v>
      </c>
      <c r="C55" s="1" t="n">
        <v>46163</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18896-2026</t>
        </is>
      </c>
      <c r="B56" s="1" t="n">
        <v>46129</v>
      </c>
      <c r="C56" s="1" t="n">
        <v>46163</v>
      </c>
      <c r="D56" t="inlineStr">
        <is>
          <t>VÄSTMANLANDS LÄN</t>
        </is>
      </c>
      <c r="E56" t="inlineStr">
        <is>
          <t>SALA</t>
        </is>
      </c>
      <c r="F56" t="inlineStr">
        <is>
          <t>Kommuner</t>
        </is>
      </c>
      <c r="G56" t="n">
        <v>1.1</v>
      </c>
      <c r="H56" t="n">
        <v>0</v>
      </c>
      <c r="I56" t="n">
        <v>0</v>
      </c>
      <c r="J56" t="n">
        <v>1</v>
      </c>
      <c r="K56" t="n">
        <v>0</v>
      </c>
      <c r="L56" t="n">
        <v>0</v>
      </c>
      <c r="M56" t="n">
        <v>0</v>
      </c>
      <c r="N56" t="n">
        <v>0</v>
      </c>
      <c r="O56" t="n">
        <v>1</v>
      </c>
      <c r="P56" t="n">
        <v>0</v>
      </c>
      <c r="Q56" t="n">
        <v>1</v>
      </c>
      <c r="R56" s="2" t="inlineStr">
        <is>
          <t>Ullticka</t>
        </is>
      </c>
      <c r="S56">
        <f>HYPERLINK("https://klasma.github.io/Logging_1981/artfynd/A 18896-2026 artfynd.xlsx", "A 18896-2026")</f>
        <v/>
      </c>
      <c r="T56">
        <f>HYPERLINK("https://klasma.github.io/Logging_1981/kartor/A 18896-2026 karta.png", "A 18896-2026")</f>
        <v/>
      </c>
      <c r="V56">
        <f>HYPERLINK("https://klasma.github.io/Logging_1981/klagomål/A 18896-2026 FSC-klagomål.docx", "A 18896-2026")</f>
        <v/>
      </c>
      <c r="W56">
        <f>HYPERLINK("https://klasma.github.io/Logging_1981/klagomålsmail/A 18896-2026 FSC-klagomål mail.docx", "A 18896-2026")</f>
        <v/>
      </c>
      <c r="X56">
        <f>HYPERLINK("https://klasma.github.io/Logging_1981/tillsyn/A 18896-2026 tillsynsbegäran.docx", "A 18896-2026")</f>
        <v/>
      </c>
      <c r="Y56">
        <f>HYPERLINK("https://klasma.github.io/Logging_1981/tillsynsmail/A 18896-2026 tillsynsbegäran mail.docx", "A 18896-2026")</f>
        <v/>
      </c>
    </row>
    <row r="57" ht="15" customHeight="1">
      <c r="A57" t="inlineStr">
        <is>
          <t>A 50268-2025</t>
        </is>
      </c>
      <c r="B57" s="1" t="n">
        <v>45944.35162037037</v>
      </c>
      <c r="C57" s="1" t="n">
        <v>46163</v>
      </c>
      <c r="D57" t="inlineStr">
        <is>
          <t>VÄSTMANLANDS LÄN</t>
        </is>
      </c>
      <c r="E57" t="inlineStr">
        <is>
          <t>SALA</t>
        </is>
      </c>
      <c r="G57" t="n">
        <v>0.7</v>
      </c>
      <c r="H57" t="n">
        <v>1</v>
      </c>
      <c r="I57" t="n">
        <v>0</v>
      </c>
      <c r="J57" t="n">
        <v>0</v>
      </c>
      <c r="K57" t="n">
        <v>0</v>
      </c>
      <c r="L57" t="n">
        <v>0</v>
      </c>
      <c r="M57" t="n">
        <v>0</v>
      </c>
      <c r="N57" t="n">
        <v>0</v>
      </c>
      <c r="O57" t="n">
        <v>0</v>
      </c>
      <c r="P57" t="n">
        <v>0</v>
      </c>
      <c r="Q57" t="n">
        <v>1</v>
      </c>
      <c r="R57" s="2" t="inlineStr">
        <is>
          <t>Fläcknycklar</t>
        </is>
      </c>
      <c r="S57">
        <f>HYPERLINK("https://klasma.github.io/Logging_1981/artfynd/A 50268-2025 artfynd.xlsx", "A 50268-2025")</f>
        <v/>
      </c>
      <c r="T57">
        <f>HYPERLINK("https://klasma.github.io/Logging_1981/kartor/A 50268-2025 karta.png", "A 50268-2025")</f>
        <v/>
      </c>
      <c r="V57">
        <f>HYPERLINK("https://klasma.github.io/Logging_1981/klagomål/A 50268-2025 FSC-klagomål.docx", "A 50268-2025")</f>
        <v/>
      </c>
      <c r="W57">
        <f>HYPERLINK("https://klasma.github.io/Logging_1981/klagomålsmail/A 50268-2025 FSC-klagomål mail.docx", "A 50268-2025")</f>
        <v/>
      </c>
      <c r="X57">
        <f>HYPERLINK("https://klasma.github.io/Logging_1981/tillsyn/A 50268-2025 tillsynsbegäran.docx", "A 50268-2025")</f>
        <v/>
      </c>
      <c r="Y57">
        <f>HYPERLINK("https://klasma.github.io/Logging_1981/tillsynsmail/A 50268-2025 tillsynsbegäran mail.docx", "A 50268-2025")</f>
        <v/>
      </c>
    </row>
    <row r="58" ht="15" customHeight="1">
      <c r="A58" t="inlineStr">
        <is>
          <t>A 53052-2025</t>
        </is>
      </c>
      <c r="B58" s="1" t="n">
        <v>45958.36266203703</v>
      </c>
      <c r="C58" s="1" t="n">
        <v>46163</v>
      </c>
      <c r="D58" t="inlineStr">
        <is>
          <t>VÄSTMANLANDS LÄN</t>
        </is>
      </c>
      <c r="E58" t="inlineStr">
        <is>
          <t>SALA</t>
        </is>
      </c>
      <c r="F58" t="inlineStr">
        <is>
          <t>Sveaskog</t>
        </is>
      </c>
      <c r="G58" t="n">
        <v>1.1</v>
      </c>
      <c r="H58" t="n">
        <v>0</v>
      </c>
      <c r="I58" t="n">
        <v>0</v>
      </c>
      <c r="J58" t="n">
        <v>1</v>
      </c>
      <c r="K58" t="n">
        <v>0</v>
      </c>
      <c r="L58" t="n">
        <v>0</v>
      </c>
      <c r="M58" t="n">
        <v>0</v>
      </c>
      <c r="N58" t="n">
        <v>0</v>
      </c>
      <c r="O58" t="n">
        <v>1</v>
      </c>
      <c r="P58" t="n">
        <v>0</v>
      </c>
      <c r="Q58" t="n">
        <v>1</v>
      </c>
      <c r="R58" s="2" t="inlineStr">
        <is>
          <t>Motaggsvamp</t>
        </is>
      </c>
      <c r="S58">
        <f>HYPERLINK("https://klasma.github.io/Logging_1981/artfynd/A 53052-2025 artfynd.xlsx", "A 53052-2025")</f>
        <v/>
      </c>
      <c r="T58">
        <f>HYPERLINK("https://klasma.github.io/Logging_1981/kartor/A 53052-2025 karta.png", "A 53052-2025")</f>
        <v/>
      </c>
      <c r="V58">
        <f>HYPERLINK("https://klasma.github.io/Logging_1981/klagomål/A 53052-2025 FSC-klagomål.docx", "A 53052-2025")</f>
        <v/>
      </c>
      <c r="W58">
        <f>HYPERLINK("https://klasma.github.io/Logging_1981/klagomålsmail/A 53052-2025 FSC-klagomål mail.docx", "A 53052-2025")</f>
        <v/>
      </c>
      <c r="X58">
        <f>HYPERLINK("https://klasma.github.io/Logging_1981/tillsyn/A 53052-2025 tillsynsbegäran.docx", "A 53052-2025")</f>
        <v/>
      </c>
      <c r="Y58">
        <f>HYPERLINK("https://klasma.github.io/Logging_1981/tillsynsmail/A 53052-2025 tillsynsbegäran mail.docx", "A 53052-2025")</f>
        <v/>
      </c>
    </row>
    <row r="59" ht="15" customHeight="1">
      <c r="A59" t="inlineStr">
        <is>
          <t>A 55550-2023</t>
        </is>
      </c>
      <c r="B59" s="1" t="n">
        <v>45232</v>
      </c>
      <c r="C59" s="1" t="n">
        <v>46163</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55995-2025</t>
        </is>
      </c>
      <c r="B60" s="1" t="n">
        <v>45973.56733796297</v>
      </c>
      <c r="C60" s="1" t="n">
        <v>46163</v>
      </c>
      <c r="D60" t="inlineStr">
        <is>
          <t>VÄSTMANLANDS LÄN</t>
        </is>
      </c>
      <c r="E60" t="inlineStr">
        <is>
          <t>SALA</t>
        </is>
      </c>
      <c r="F60" t="inlineStr">
        <is>
          <t>Sveaskog</t>
        </is>
      </c>
      <c r="G60" t="n">
        <v>4.5</v>
      </c>
      <c r="H60" t="n">
        <v>1</v>
      </c>
      <c r="I60" t="n">
        <v>0</v>
      </c>
      <c r="J60" t="n">
        <v>0</v>
      </c>
      <c r="K60" t="n">
        <v>0</v>
      </c>
      <c r="L60" t="n">
        <v>0</v>
      </c>
      <c r="M60" t="n">
        <v>0</v>
      </c>
      <c r="N60" t="n">
        <v>0</v>
      </c>
      <c r="O60" t="n">
        <v>0</v>
      </c>
      <c r="P60" t="n">
        <v>0</v>
      </c>
      <c r="Q60" t="n">
        <v>1</v>
      </c>
      <c r="R60" s="2" t="inlineStr">
        <is>
          <t>Fläcknycklar</t>
        </is>
      </c>
      <c r="S60">
        <f>HYPERLINK("https://klasma.github.io/Logging_1981/artfynd/A 55995-2025 artfynd.xlsx", "A 55995-2025")</f>
        <v/>
      </c>
      <c r="T60">
        <f>HYPERLINK("https://klasma.github.io/Logging_1981/kartor/A 55995-2025 karta.png", "A 55995-2025")</f>
        <v/>
      </c>
      <c r="V60">
        <f>HYPERLINK("https://klasma.github.io/Logging_1981/klagomål/A 55995-2025 FSC-klagomål.docx", "A 55995-2025")</f>
        <v/>
      </c>
      <c r="W60">
        <f>HYPERLINK("https://klasma.github.io/Logging_1981/klagomålsmail/A 55995-2025 FSC-klagomål mail.docx", "A 55995-2025")</f>
        <v/>
      </c>
      <c r="X60">
        <f>HYPERLINK("https://klasma.github.io/Logging_1981/tillsyn/A 55995-2025 tillsynsbegäran.docx", "A 55995-2025")</f>
        <v/>
      </c>
      <c r="Y60">
        <f>HYPERLINK("https://klasma.github.io/Logging_1981/tillsynsmail/A 55995-2025 tillsynsbegäran mail.docx", "A 55995-2025")</f>
        <v/>
      </c>
    </row>
    <row r="61" ht="15" customHeight="1">
      <c r="A61" t="inlineStr">
        <is>
          <t>A 14488-2026</t>
        </is>
      </c>
      <c r="B61" s="1" t="n">
        <v>46100.59216435185</v>
      </c>
      <c r="C61" s="1" t="n">
        <v>46163</v>
      </c>
      <c r="D61" t="inlineStr">
        <is>
          <t>VÄSTMANLANDS LÄN</t>
        </is>
      </c>
      <c r="E61" t="inlineStr">
        <is>
          <t>SALA</t>
        </is>
      </c>
      <c r="F61" t="inlineStr">
        <is>
          <t>Sveaskog</t>
        </is>
      </c>
      <c r="G61" t="n">
        <v>1.5</v>
      </c>
      <c r="H61" t="n">
        <v>1</v>
      </c>
      <c r="I61" t="n">
        <v>0</v>
      </c>
      <c r="J61" t="n">
        <v>0</v>
      </c>
      <c r="K61" t="n">
        <v>0</v>
      </c>
      <c r="L61" t="n">
        <v>0</v>
      </c>
      <c r="M61" t="n">
        <v>0</v>
      </c>
      <c r="N61" t="n">
        <v>0</v>
      </c>
      <c r="O61" t="n">
        <v>0</v>
      </c>
      <c r="P61" t="n">
        <v>0</v>
      </c>
      <c r="Q61" t="n">
        <v>1</v>
      </c>
      <c r="R61" s="2" t="inlineStr">
        <is>
          <t>Mattlummer</t>
        </is>
      </c>
      <c r="S61">
        <f>HYPERLINK("https://klasma.github.io/Logging_1981/artfynd/A 14488-2026 artfynd.xlsx", "A 14488-2026")</f>
        <v/>
      </c>
      <c r="T61">
        <f>HYPERLINK("https://klasma.github.io/Logging_1981/kartor/A 14488-2026 karta.png", "A 14488-2026")</f>
        <v/>
      </c>
      <c r="V61">
        <f>HYPERLINK("https://klasma.github.io/Logging_1981/klagomål/A 14488-2026 FSC-klagomål.docx", "A 14488-2026")</f>
        <v/>
      </c>
      <c r="W61">
        <f>HYPERLINK("https://klasma.github.io/Logging_1981/klagomålsmail/A 14488-2026 FSC-klagomål mail.docx", "A 14488-2026")</f>
        <v/>
      </c>
      <c r="X61">
        <f>HYPERLINK("https://klasma.github.io/Logging_1981/tillsyn/A 14488-2026 tillsynsbegäran.docx", "A 14488-2026")</f>
        <v/>
      </c>
      <c r="Y61">
        <f>HYPERLINK("https://klasma.github.io/Logging_1981/tillsynsmail/A 14488-2026 tillsynsbegäran mail.docx", "A 14488-2026")</f>
        <v/>
      </c>
    </row>
    <row r="62" ht="15" customHeight="1">
      <c r="A62" t="inlineStr">
        <is>
          <t>A 14487-2026</t>
        </is>
      </c>
      <c r="B62" s="1" t="n">
        <v>46100.59162037037</v>
      </c>
      <c r="C62" s="1" t="n">
        <v>46163</v>
      </c>
      <c r="D62" t="inlineStr">
        <is>
          <t>VÄSTMANLANDS LÄN</t>
        </is>
      </c>
      <c r="E62" t="inlineStr">
        <is>
          <t>SALA</t>
        </is>
      </c>
      <c r="F62" t="inlineStr">
        <is>
          <t>Sveaskog</t>
        </is>
      </c>
      <c r="G62" t="n">
        <v>6.7</v>
      </c>
      <c r="H62" t="n">
        <v>0</v>
      </c>
      <c r="I62" t="n">
        <v>0</v>
      </c>
      <c r="J62" t="n">
        <v>1</v>
      </c>
      <c r="K62" t="n">
        <v>0</v>
      </c>
      <c r="L62" t="n">
        <v>0</v>
      </c>
      <c r="M62" t="n">
        <v>0</v>
      </c>
      <c r="N62" t="n">
        <v>0</v>
      </c>
      <c r="O62" t="n">
        <v>1</v>
      </c>
      <c r="P62" t="n">
        <v>0</v>
      </c>
      <c r="Q62" t="n">
        <v>1</v>
      </c>
      <c r="R62" s="2" t="inlineStr">
        <is>
          <t>Motaggsvamp</t>
        </is>
      </c>
      <c r="S62">
        <f>HYPERLINK("https://klasma.github.io/Logging_1981/artfynd/A 14487-2026 artfynd.xlsx", "A 14487-2026")</f>
        <v/>
      </c>
      <c r="T62">
        <f>HYPERLINK("https://klasma.github.io/Logging_1981/kartor/A 14487-2026 karta.png", "A 14487-2026")</f>
        <v/>
      </c>
      <c r="V62">
        <f>HYPERLINK("https://klasma.github.io/Logging_1981/klagomål/A 14487-2026 FSC-klagomål.docx", "A 14487-2026")</f>
        <v/>
      </c>
      <c r="W62">
        <f>HYPERLINK("https://klasma.github.io/Logging_1981/klagomålsmail/A 14487-2026 FSC-klagomål mail.docx", "A 14487-2026")</f>
        <v/>
      </c>
      <c r="X62">
        <f>HYPERLINK("https://klasma.github.io/Logging_1981/tillsyn/A 14487-2026 tillsynsbegäran.docx", "A 14487-2026")</f>
        <v/>
      </c>
      <c r="Y62">
        <f>HYPERLINK("https://klasma.github.io/Logging_1981/tillsynsmail/A 14487-2026 tillsynsbegäran mail.docx", "A 14487-2026")</f>
        <v/>
      </c>
    </row>
    <row r="63" ht="15" customHeight="1">
      <c r="A63" t="inlineStr">
        <is>
          <t>A 41270-2024</t>
        </is>
      </c>
      <c r="B63" s="1" t="n">
        <v>45559</v>
      </c>
      <c r="C63" s="1" t="n">
        <v>46163</v>
      </c>
      <c r="D63" t="inlineStr">
        <is>
          <t>VÄSTMANLANDS LÄN</t>
        </is>
      </c>
      <c r="E63" t="inlineStr">
        <is>
          <t>SALA</t>
        </is>
      </c>
      <c r="G63" t="n">
        <v>15.2</v>
      </c>
      <c r="H63" t="n">
        <v>1</v>
      </c>
      <c r="I63" t="n">
        <v>0</v>
      </c>
      <c r="J63" t="n">
        <v>1</v>
      </c>
      <c r="K63" t="n">
        <v>0</v>
      </c>
      <c r="L63" t="n">
        <v>0</v>
      </c>
      <c r="M63" t="n">
        <v>0</v>
      </c>
      <c r="N63" t="n">
        <v>0</v>
      </c>
      <c r="O63" t="n">
        <v>1</v>
      </c>
      <c r="P63" t="n">
        <v>0</v>
      </c>
      <c r="Q63" t="n">
        <v>1</v>
      </c>
      <c r="R63" s="2" t="inlineStr">
        <is>
          <t>Havsörn</t>
        </is>
      </c>
      <c r="S63">
        <f>HYPERLINK("https://klasma.github.io/Logging_1981/artfynd/A 41270-2024 artfynd.xlsx", "A 41270-2024")</f>
        <v/>
      </c>
      <c r="T63">
        <f>HYPERLINK("https://klasma.github.io/Logging_1981/kartor/A 41270-2024 karta.png", "A 41270-2024")</f>
        <v/>
      </c>
      <c r="V63">
        <f>HYPERLINK("https://klasma.github.io/Logging_1981/klagomål/A 41270-2024 FSC-klagomål.docx", "A 41270-2024")</f>
        <v/>
      </c>
      <c r="W63">
        <f>HYPERLINK("https://klasma.github.io/Logging_1981/klagomålsmail/A 41270-2024 FSC-klagomål mail.docx", "A 41270-2024")</f>
        <v/>
      </c>
      <c r="X63">
        <f>HYPERLINK("https://klasma.github.io/Logging_1981/tillsyn/A 41270-2024 tillsynsbegäran.docx", "A 41270-2024")</f>
        <v/>
      </c>
      <c r="Y63">
        <f>HYPERLINK("https://klasma.github.io/Logging_1981/tillsynsmail/A 41270-2024 tillsynsbegäran mail.docx", "A 41270-2024")</f>
        <v/>
      </c>
      <c r="Z63">
        <f>HYPERLINK("https://klasma.github.io/Logging_1981/fåglar/A 41270-2024 prioriterade fågelarter.docx", "A 41270-2024")</f>
        <v/>
      </c>
    </row>
    <row r="64" ht="15" customHeight="1">
      <c r="A64" t="inlineStr">
        <is>
          <t>A 43068-2024</t>
        </is>
      </c>
      <c r="B64" s="1" t="n">
        <v>45567</v>
      </c>
      <c r="C64" s="1" t="n">
        <v>46163</v>
      </c>
      <c r="D64" t="inlineStr">
        <is>
          <t>VÄSTMANLANDS LÄN</t>
        </is>
      </c>
      <c r="E64" t="inlineStr">
        <is>
          <t>SALA</t>
        </is>
      </c>
      <c r="G64" t="n">
        <v>1.1</v>
      </c>
      <c r="H64" t="n">
        <v>0</v>
      </c>
      <c r="I64" t="n">
        <v>1</v>
      </c>
      <c r="J64" t="n">
        <v>0</v>
      </c>
      <c r="K64" t="n">
        <v>0</v>
      </c>
      <c r="L64" t="n">
        <v>0</v>
      </c>
      <c r="M64" t="n">
        <v>0</v>
      </c>
      <c r="N64" t="n">
        <v>0</v>
      </c>
      <c r="O64" t="n">
        <v>0</v>
      </c>
      <c r="P64" t="n">
        <v>0</v>
      </c>
      <c r="Q64" t="n">
        <v>1</v>
      </c>
      <c r="R64" s="2" t="inlineStr">
        <is>
          <t>Vedticka</t>
        </is>
      </c>
      <c r="S64">
        <f>HYPERLINK("https://klasma.github.io/Logging_1981/artfynd/A 43068-2024 artfynd.xlsx", "A 43068-2024")</f>
        <v/>
      </c>
      <c r="T64">
        <f>HYPERLINK("https://klasma.github.io/Logging_1981/kartor/A 43068-2024 karta.png", "A 43068-2024")</f>
        <v/>
      </c>
      <c r="V64">
        <f>HYPERLINK("https://klasma.github.io/Logging_1981/klagomål/A 43068-2024 FSC-klagomål.docx", "A 43068-2024")</f>
        <v/>
      </c>
      <c r="W64">
        <f>HYPERLINK("https://klasma.github.io/Logging_1981/klagomålsmail/A 43068-2024 FSC-klagomål mail.docx", "A 43068-2024")</f>
        <v/>
      </c>
      <c r="X64">
        <f>HYPERLINK("https://klasma.github.io/Logging_1981/tillsyn/A 43068-2024 tillsynsbegäran.docx", "A 43068-2024")</f>
        <v/>
      </c>
      <c r="Y64">
        <f>HYPERLINK("https://klasma.github.io/Logging_1981/tillsynsmail/A 43068-2024 tillsynsbegäran mail.docx", "A 43068-2024")</f>
        <v/>
      </c>
    </row>
    <row r="65" ht="15" customHeight="1">
      <c r="A65" t="inlineStr">
        <is>
          <t>A 7919-2022</t>
        </is>
      </c>
      <c r="B65" s="1" t="n">
        <v>44608</v>
      </c>
      <c r="C65" s="1" t="n">
        <v>46163</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29985-2022</t>
        </is>
      </c>
      <c r="B66" s="1" t="n">
        <v>44756</v>
      </c>
      <c r="C66" s="1" t="n">
        <v>46163</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7731-2023</t>
        </is>
      </c>
      <c r="B67" s="1" t="n">
        <v>44973</v>
      </c>
      <c r="C67" s="1" t="n">
        <v>46163</v>
      </c>
      <c r="D67" t="inlineStr">
        <is>
          <t>VÄSTMANLANDS LÄN</t>
        </is>
      </c>
      <c r="E67" t="inlineStr">
        <is>
          <t>SALA</t>
        </is>
      </c>
      <c r="F67" t="inlineStr">
        <is>
          <t>Bergvik skog öst AB</t>
        </is>
      </c>
      <c r="G67" t="n">
        <v>1.7</v>
      </c>
      <c r="H67" t="n">
        <v>1</v>
      </c>
      <c r="I67" t="n">
        <v>0</v>
      </c>
      <c r="J67" t="n">
        <v>1</v>
      </c>
      <c r="K67" t="n">
        <v>0</v>
      </c>
      <c r="L67" t="n">
        <v>0</v>
      </c>
      <c r="M67" t="n">
        <v>0</v>
      </c>
      <c r="N67" t="n">
        <v>0</v>
      </c>
      <c r="O67" t="n">
        <v>1</v>
      </c>
      <c r="P67" t="n">
        <v>0</v>
      </c>
      <c r="Q67" t="n">
        <v>1</v>
      </c>
      <c r="R67" s="2" t="inlineStr">
        <is>
          <t>Ävjepilört</t>
        </is>
      </c>
      <c r="S67">
        <f>HYPERLINK("https://klasma.github.io/Logging_1981/artfynd/A 7731-2023 artfynd.xlsx", "A 7731-2023")</f>
        <v/>
      </c>
      <c r="T67">
        <f>HYPERLINK("https://klasma.github.io/Logging_1981/kartor/A 7731-2023 karta.png", "A 7731-2023")</f>
        <v/>
      </c>
      <c r="V67">
        <f>HYPERLINK("https://klasma.github.io/Logging_1981/klagomål/A 7731-2023 FSC-klagomål.docx", "A 7731-2023")</f>
        <v/>
      </c>
      <c r="W67">
        <f>HYPERLINK("https://klasma.github.io/Logging_1981/klagomålsmail/A 7731-2023 FSC-klagomål mail.docx", "A 7731-2023")</f>
        <v/>
      </c>
      <c r="X67">
        <f>HYPERLINK("https://klasma.github.io/Logging_1981/tillsyn/A 7731-2023 tillsynsbegäran.docx", "A 7731-2023")</f>
        <v/>
      </c>
      <c r="Y67">
        <f>HYPERLINK("https://klasma.github.io/Logging_1981/tillsynsmail/A 7731-2023 tillsynsbegäran mail.docx", "A 7731-2023")</f>
        <v/>
      </c>
    </row>
    <row r="68" ht="15" customHeight="1">
      <c r="A68" t="inlineStr">
        <is>
          <t>A 56704-2022</t>
        </is>
      </c>
      <c r="B68" s="1" t="n">
        <v>44893.78075231481</v>
      </c>
      <c r="C68" s="1" t="n">
        <v>46163</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21738-2025</t>
        </is>
      </c>
      <c r="B69" s="1" t="n">
        <v>45783.59173611111</v>
      </c>
      <c r="C69" s="1" t="n">
        <v>46163</v>
      </c>
      <c r="D69" t="inlineStr">
        <is>
          <t>VÄSTMANLANDS LÄN</t>
        </is>
      </c>
      <c r="E69" t="inlineStr">
        <is>
          <t>SALA</t>
        </is>
      </c>
      <c r="G69" t="n">
        <v>2.1</v>
      </c>
      <c r="H69" t="n">
        <v>0</v>
      </c>
      <c r="I69" t="n">
        <v>0</v>
      </c>
      <c r="J69" t="n">
        <v>1</v>
      </c>
      <c r="K69" t="n">
        <v>0</v>
      </c>
      <c r="L69" t="n">
        <v>0</v>
      </c>
      <c r="M69" t="n">
        <v>0</v>
      </c>
      <c r="N69" t="n">
        <v>0</v>
      </c>
      <c r="O69" t="n">
        <v>1</v>
      </c>
      <c r="P69" t="n">
        <v>0</v>
      </c>
      <c r="Q69" t="n">
        <v>1</v>
      </c>
      <c r="R69" s="2" t="inlineStr">
        <is>
          <t>Motaggsvamp</t>
        </is>
      </c>
      <c r="S69">
        <f>HYPERLINK("https://klasma.github.io/Logging_1981/artfynd/A 21738-2025 artfynd.xlsx", "A 21738-2025")</f>
        <v/>
      </c>
      <c r="T69">
        <f>HYPERLINK("https://klasma.github.io/Logging_1981/kartor/A 21738-2025 karta.png", "A 21738-2025")</f>
        <v/>
      </c>
      <c r="V69">
        <f>HYPERLINK("https://klasma.github.io/Logging_1981/klagomål/A 21738-2025 FSC-klagomål.docx", "A 21738-2025")</f>
        <v/>
      </c>
      <c r="W69">
        <f>HYPERLINK("https://klasma.github.io/Logging_1981/klagomålsmail/A 21738-2025 FSC-klagomål mail.docx", "A 21738-2025")</f>
        <v/>
      </c>
      <c r="X69">
        <f>HYPERLINK("https://klasma.github.io/Logging_1981/tillsyn/A 21738-2025 tillsynsbegäran.docx", "A 21738-2025")</f>
        <v/>
      </c>
      <c r="Y69">
        <f>HYPERLINK("https://klasma.github.io/Logging_1981/tillsynsmail/A 21738-2025 tillsynsbegäran mail.docx", "A 21738-2025")</f>
        <v/>
      </c>
    </row>
    <row r="70" ht="15" customHeight="1">
      <c r="A70" t="inlineStr">
        <is>
          <t>A 22950-2025</t>
        </is>
      </c>
      <c r="B70" s="1" t="n">
        <v>45790.50728009259</v>
      </c>
      <c r="C70" s="1" t="n">
        <v>46163</v>
      </c>
      <c r="D70" t="inlineStr">
        <is>
          <t>VÄSTMANLANDS LÄN</t>
        </is>
      </c>
      <c r="E70" t="inlineStr">
        <is>
          <t>SALA</t>
        </is>
      </c>
      <c r="G70" t="n">
        <v>6.2</v>
      </c>
      <c r="H70" t="n">
        <v>1</v>
      </c>
      <c r="I70" t="n">
        <v>0</v>
      </c>
      <c r="J70" t="n">
        <v>1</v>
      </c>
      <c r="K70" t="n">
        <v>0</v>
      </c>
      <c r="L70" t="n">
        <v>0</v>
      </c>
      <c r="M70" t="n">
        <v>0</v>
      </c>
      <c r="N70" t="n">
        <v>0</v>
      </c>
      <c r="O70" t="n">
        <v>1</v>
      </c>
      <c r="P70" t="n">
        <v>0</v>
      </c>
      <c r="Q70" t="n">
        <v>1</v>
      </c>
      <c r="R70" s="2" t="inlineStr">
        <is>
          <t>Svartvit flugsnappare</t>
        </is>
      </c>
      <c r="S70">
        <f>HYPERLINK("https://klasma.github.io/Logging_1981/artfynd/A 22950-2025 artfynd.xlsx", "A 22950-2025")</f>
        <v/>
      </c>
      <c r="T70">
        <f>HYPERLINK("https://klasma.github.io/Logging_1981/kartor/A 22950-2025 karta.png", "A 22950-2025")</f>
        <v/>
      </c>
      <c r="V70">
        <f>HYPERLINK("https://klasma.github.io/Logging_1981/klagomål/A 22950-2025 FSC-klagomål.docx", "A 22950-2025")</f>
        <v/>
      </c>
      <c r="W70">
        <f>HYPERLINK("https://klasma.github.io/Logging_1981/klagomålsmail/A 22950-2025 FSC-klagomål mail.docx", "A 22950-2025")</f>
        <v/>
      </c>
      <c r="X70">
        <f>HYPERLINK("https://klasma.github.io/Logging_1981/tillsyn/A 22950-2025 tillsynsbegäran.docx", "A 22950-2025")</f>
        <v/>
      </c>
      <c r="Y70">
        <f>HYPERLINK("https://klasma.github.io/Logging_1981/tillsynsmail/A 22950-2025 tillsynsbegäran mail.docx", "A 22950-2025")</f>
        <v/>
      </c>
      <c r="Z70">
        <f>HYPERLINK("https://klasma.github.io/Logging_1981/fåglar/A 22950-2025 prioriterade fågelarter.docx", "A 22950-2025")</f>
        <v/>
      </c>
    </row>
    <row r="71" ht="15" customHeight="1">
      <c r="A71" t="inlineStr">
        <is>
          <t>A 73124-2021</t>
        </is>
      </c>
      <c r="B71" s="1" t="n">
        <v>44550</v>
      </c>
      <c r="C71" s="1" t="n">
        <v>46163</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46163</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46163</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46163</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46163</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46163</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46163</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46163</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46163</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46163</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46163</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73683-2021</t>
        </is>
      </c>
      <c r="B82" s="1" t="n">
        <v>44552.47971064815</v>
      </c>
      <c r="C82" s="1" t="n">
        <v>46163</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24888-2021</t>
        </is>
      </c>
      <c r="B83" s="1" t="n">
        <v>44341</v>
      </c>
      <c r="C83" s="1" t="n">
        <v>46163</v>
      </c>
      <c r="D83" t="inlineStr">
        <is>
          <t>VÄSTMANLANDS LÄN</t>
        </is>
      </c>
      <c r="E83" t="inlineStr">
        <is>
          <t>SALA</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3050-2022</t>
        </is>
      </c>
      <c r="B84" s="1" t="n">
        <v>44582</v>
      </c>
      <c r="C84" s="1" t="n">
        <v>46163</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74277-2021</t>
        </is>
      </c>
      <c r="B85" s="1" t="n">
        <v>44558.76385416667</v>
      </c>
      <c r="C85" s="1" t="n">
        <v>46163</v>
      </c>
      <c r="D85" t="inlineStr">
        <is>
          <t>VÄSTMANLANDS LÄN</t>
        </is>
      </c>
      <c r="E85" t="inlineStr">
        <is>
          <t>SALA</t>
        </is>
      </c>
      <c r="F85" t="inlineStr">
        <is>
          <t>Kommuner</t>
        </is>
      </c>
      <c r="G85" t="n">
        <v>24.4</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46163</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62842-2021</t>
        </is>
      </c>
      <c r="B87" s="1" t="n">
        <v>44504.55927083334</v>
      </c>
      <c r="C87" s="1" t="n">
        <v>46163</v>
      </c>
      <c r="D87" t="inlineStr">
        <is>
          <t>VÄSTMANLANDS LÄN</t>
        </is>
      </c>
      <c r="E87" t="inlineStr">
        <is>
          <t>SALA</t>
        </is>
      </c>
      <c r="G87" t="n">
        <v>5.3</v>
      </c>
      <c r="H87" t="n">
        <v>0</v>
      </c>
      <c r="I87" t="n">
        <v>0</v>
      </c>
      <c r="J87" t="n">
        <v>0</v>
      </c>
      <c r="K87" t="n">
        <v>0</v>
      </c>
      <c r="L87" t="n">
        <v>0</v>
      </c>
      <c r="M87" t="n">
        <v>0</v>
      </c>
      <c r="N87" t="n">
        <v>0</v>
      </c>
      <c r="O87" t="n">
        <v>0</v>
      </c>
      <c r="P87" t="n">
        <v>0</v>
      </c>
      <c r="Q87" t="n">
        <v>0</v>
      </c>
      <c r="R87" s="2" t="inlineStr"/>
    </row>
    <row r="88" ht="15" customHeight="1">
      <c r="A88" t="inlineStr">
        <is>
          <t>A 62850-2021</t>
        </is>
      </c>
      <c r="B88" s="1" t="n">
        <v>44504</v>
      </c>
      <c r="C88" s="1" t="n">
        <v>46163</v>
      </c>
      <c r="D88" t="inlineStr">
        <is>
          <t>VÄSTMANLANDS LÄN</t>
        </is>
      </c>
      <c r="E88" t="inlineStr">
        <is>
          <t>SALA</t>
        </is>
      </c>
      <c r="G88" t="n">
        <v>5.2</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46163</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46163</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46163</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46163</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46163</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46163</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46163</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46163</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46163</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46163</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46163</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46163</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939-2022</t>
        </is>
      </c>
      <c r="B101" s="1" t="n">
        <v>44571</v>
      </c>
      <c r="C101" s="1" t="n">
        <v>46163</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46163</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46163</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46163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46163</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46163</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46163</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46163</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46163</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46163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46163</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46163</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65835-2021</t>
        </is>
      </c>
      <c r="B114" s="1" t="n">
        <v>44517</v>
      </c>
      <c r="C114" s="1" t="n">
        <v>46163</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31904-2021</t>
        </is>
      </c>
      <c r="B115" s="1" t="n">
        <v>44370.46853009259</v>
      </c>
      <c r="C115" s="1" t="n">
        <v>46163</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61897-2021</t>
        </is>
      </c>
      <c r="B116" s="1" t="n">
        <v>44502</v>
      </c>
      <c r="C116" s="1" t="n">
        <v>46163</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46163</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46163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46163</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46163</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46163</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46163</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46163</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46163</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46163</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46163</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46163</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46163</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46163</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46163</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46163</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46163</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46163</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46163</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46163</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46163</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46163</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46163</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46163</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46163</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46163</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46163</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46163</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46163</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46163</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46163</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46163</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46163</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46163</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46163</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46163</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46163</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46163</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46163</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46163</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46163</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46163</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46163</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46163</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46163</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46163</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46163</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46163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46163</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46163</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46163</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46163</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46163</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46163</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46163</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46163</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57000-2021</t>
        </is>
      </c>
      <c r="B175" s="1" t="n">
        <v>44482.46760416667</v>
      </c>
      <c r="C175" s="1" t="n">
        <v>46163</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46163</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46163</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46163</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35462-2024</t>
        </is>
      </c>
      <c r="B179" s="1" t="n">
        <v>45531</v>
      </c>
      <c r="C179" s="1" t="n">
        <v>46163</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14024-2025</t>
        </is>
      </c>
      <c r="B180" s="1" t="n">
        <v>45740.34650462963</v>
      </c>
      <c r="C180" s="1" t="n">
        <v>46163</v>
      </c>
      <c r="D180" t="inlineStr">
        <is>
          <t>VÄSTMANLANDS LÄN</t>
        </is>
      </c>
      <c r="E180" t="inlineStr">
        <is>
          <t>SALA</t>
        </is>
      </c>
      <c r="G180" t="n">
        <v>1.1</v>
      </c>
      <c r="H180" t="n">
        <v>0</v>
      </c>
      <c r="I180" t="n">
        <v>0</v>
      </c>
      <c r="J180" t="n">
        <v>0</v>
      </c>
      <c r="K180" t="n">
        <v>0</v>
      </c>
      <c r="L180" t="n">
        <v>0</v>
      </c>
      <c r="M180" t="n">
        <v>0</v>
      </c>
      <c r="N180" t="n">
        <v>0</v>
      </c>
      <c r="O180" t="n">
        <v>0</v>
      </c>
      <c r="P180" t="n">
        <v>0</v>
      </c>
      <c r="Q180" t="n">
        <v>0</v>
      </c>
      <c r="R180" s="2" t="inlineStr"/>
    </row>
    <row r="181" ht="15" customHeight="1">
      <c r="A181" t="inlineStr">
        <is>
          <t>A 17458-2024</t>
        </is>
      </c>
      <c r="B181" s="1" t="n">
        <v>45415</v>
      </c>
      <c r="C181" s="1" t="n">
        <v>46163</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46163</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46163</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46163</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46163</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6097-2022</t>
        </is>
      </c>
      <c r="B186" s="1" t="n">
        <v>44599</v>
      </c>
      <c r="C186" s="1" t="n">
        <v>46163</v>
      </c>
      <c r="D186" t="inlineStr">
        <is>
          <t>VÄSTMANLANDS LÄN</t>
        </is>
      </c>
      <c r="E186" t="inlineStr">
        <is>
          <t>SALA</t>
        </is>
      </c>
      <c r="G186" t="n">
        <v>0.6</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46163</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46163</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46163</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12246-2023</t>
        </is>
      </c>
      <c r="B190" s="1" t="n">
        <v>44995</v>
      </c>
      <c r="C190" s="1" t="n">
        <v>46163</v>
      </c>
      <c r="D190" t="inlineStr">
        <is>
          <t>VÄSTMANLANDS LÄN</t>
        </is>
      </c>
      <c r="E190" t="inlineStr">
        <is>
          <t>SALA</t>
        </is>
      </c>
      <c r="G190" t="n">
        <v>2.4</v>
      </c>
      <c r="H190" t="n">
        <v>0</v>
      </c>
      <c r="I190" t="n">
        <v>0</v>
      </c>
      <c r="J190" t="n">
        <v>0</v>
      </c>
      <c r="K190" t="n">
        <v>0</v>
      </c>
      <c r="L190" t="n">
        <v>0</v>
      </c>
      <c r="M190" t="n">
        <v>0</v>
      </c>
      <c r="N190" t="n">
        <v>0</v>
      </c>
      <c r="O190" t="n">
        <v>0</v>
      </c>
      <c r="P190" t="n">
        <v>0</v>
      </c>
      <c r="Q190" t="n">
        <v>0</v>
      </c>
      <c r="R190" s="2" t="inlineStr"/>
    </row>
    <row r="191" ht="15" customHeight="1">
      <c r="A191" t="inlineStr">
        <is>
          <t>A 33732-2023</t>
        </is>
      </c>
      <c r="B191" s="1" t="n">
        <v>45133.32409722222</v>
      </c>
      <c r="C191" s="1" t="n">
        <v>46163</v>
      </c>
      <c r="D191" t="inlineStr">
        <is>
          <t>VÄSTMANLANDS LÄN</t>
        </is>
      </c>
      <c r="E191" t="inlineStr">
        <is>
          <t>SALA</t>
        </is>
      </c>
      <c r="G191" t="n">
        <v>2</v>
      </c>
      <c r="H191" t="n">
        <v>0</v>
      </c>
      <c r="I191" t="n">
        <v>0</v>
      </c>
      <c r="J191" t="n">
        <v>0</v>
      </c>
      <c r="K191" t="n">
        <v>0</v>
      </c>
      <c r="L191" t="n">
        <v>0</v>
      </c>
      <c r="M191" t="n">
        <v>0</v>
      </c>
      <c r="N191" t="n">
        <v>0</v>
      </c>
      <c r="O191" t="n">
        <v>0</v>
      </c>
      <c r="P191" t="n">
        <v>0</v>
      </c>
      <c r="Q191" t="n">
        <v>0</v>
      </c>
      <c r="R191" s="2" t="inlineStr"/>
    </row>
    <row r="192" ht="15" customHeight="1">
      <c r="A192" t="inlineStr">
        <is>
          <t>A 42447-2022</t>
        </is>
      </c>
      <c r="B192" s="1" t="n">
        <v>44831</v>
      </c>
      <c r="C192" s="1" t="n">
        <v>46163</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59909-2024</t>
        </is>
      </c>
      <c r="B193" s="1" t="n">
        <v>45641</v>
      </c>
      <c r="C193" s="1" t="n">
        <v>46163</v>
      </c>
      <c r="D193" t="inlineStr">
        <is>
          <t>VÄSTMANLANDS LÄN</t>
        </is>
      </c>
      <c r="E193" t="inlineStr">
        <is>
          <t>SALA</t>
        </is>
      </c>
      <c r="G193" t="n">
        <v>2.1</v>
      </c>
      <c r="H193" t="n">
        <v>0</v>
      </c>
      <c r="I193" t="n">
        <v>0</v>
      </c>
      <c r="J193" t="n">
        <v>0</v>
      </c>
      <c r="K193" t="n">
        <v>0</v>
      </c>
      <c r="L193" t="n">
        <v>0</v>
      </c>
      <c r="M193" t="n">
        <v>0</v>
      </c>
      <c r="N193" t="n">
        <v>0</v>
      </c>
      <c r="O193" t="n">
        <v>0</v>
      </c>
      <c r="P193" t="n">
        <v>0</v>
      </c>
      <c r="Q193" t="n">
        <v>0</v>
      </c>
      <c r="R193" s="2" t="inlineStr"/>
    </row>
    <row r="194" ht="15" customHeight="1">
      <c r="A194" t="inlineStr">
        <is>
          <t>A 69232-2021</t>
        </is>
      </c>
      <c r="B194" s="1" t="n">
        <v>44531.39696759259</v>
      </c>
      <c r="C194" s="1" t="n">
        <v>46163</v>
      </c>
      <c r="D194" t="inlineStr">
        <is>
          <t>VÄSTMANLANDS LÄN</t>
        </is>
      </c>
      <c r="E194" t="inlineStr">
        <is>
          <t>SALA</t>
        </is>
      </c>
      <c r="G194" t="n">
        <v>2.3</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46163</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51464-2024</t>
        </is>
      </c>
      <c r="B196" s="1" t="n">
        <v>45604.49768518518</v>
      </c>
      <c r="C196" s="1" t="n">
        <v>46163</v>
      </c>
      <c r="D196" t="inlineStr">
        <is>
          <t>VÄSTMANLANDS LÄN</t>
        </is>
      </c>
      <c r="E196" t="inlineStr">
        <is>
          <t>SALA</t>
        </is>
      </c>
      <c r="G196" t="n">
        <v>3.9</v>
      </c>
      <c r="H196" t="n">
        <v>0</v>
      </c>
      <c r="I196" t="n">
        <v>0</v>
      </c>
      <c r="J196" t="n">
        <v>0</v>
      </c>
      <c r="K196" t="n">
        <v>0</v>
      </c>
      <c r="L196" t="n">
        <v>0</v>
      </c>
      <c r="M196" t="n">
        <v>0</v>
      </c>
      <c r="N196" t="n">
        <v>0</v>
      </c>
      <c r="O196" t="n">
        <v>0</v>
      </c>
      <c r="P196" t="n">
        <v>0</v>
      </c>
      <c r="Q196" t="n">
        <v>0</v>
      </c>
      <c r="R196" s="2" t="inlineStr"/>
    </row>
    <row r="197" ht="15" customHeight="1">
      <c r="A197" t="inlineStr">
        <is>
          <t>A 19398-2025</t>
        </is>
      </c>
      <c r="B197" s="1" t="n">
        <v>45769</v>
      </c>
      <c r="C197" s="1" t="n">
        <v>46163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54603-2024</t>
        </is>
      </c>
      <c r="B198" s="1" t="n">
        <v>45617.68224537037</v>
      </c>
      <c r="C198" s="1" t="n">
        <v>46163</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4797-2023</t>
        </is>
      </c>
      <c r="B199" s="1" t="n">
        <v>44957</v>
      </c>
      <c r="C199" s="1" t="n">
        <v>46163</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1638-2023</t>
        </is>
      </c>
      <c r="B200" s="1" t="n">
        <v>44937</v>
      </c>
      <c r="C200" s="1" t="n">
        <v>46163</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61517-2024</t>
        </is>
      </c>
      <c r="B201" s="1" t="n">
        <v>45645</v>
      </c>
      <c r="C201" s="1" t="n">
        <v>46163</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15972-2024</t>
        </is>
      </c>
      <c r="B202" s="1" t="n">
        <v>45405.56498842593</v>
      </c>
      <c r="C202" s="1" t="n">
        <v>46163</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1555-2024</t>
        </is>
      </c>
      <c r="B203" s="1" t="n">
        <v>45306</v>
      </c>
      <c r="C203" s="1" t="n">
        <v>46163</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37958-2024</t>
        </is>
      </c>
      <c r="B204" s="1" t="n">
        <v>45544</v>
      </c>
      <c r="C204" s="1" t="n">
        <v>46163</v>
      </c>
      <c r="D204" t="inlineStr">
        <is>
          <t>VÄSTMANLANDS LÄN</t>
        </is>
      </c>
      <c r="E204" t="inlineStr">
        <is>
          <t>SALA</t>
        </is>
      </c>
      <c r="G204" t="n">
        <v>5.6</v>
      </c>
      <c r="H204" t="n">
        <v>0</v>
      </c>
      <c r="I204" t="n">
        <v>0</v>
      </c>
      <c r="J204" t="n">
        <v>0</v>
      </c>
      <c r="K204" t="n">
        <v>0</v>
      </c>
      <c r="L204" t="n">
        <v>0</v>
      </c>
      <c r="M204" t="n">
        <v>0</v>
      </c>
      <c r="N204" t="n">
        <v>0</v>
      </c>
      <c r="O204" t="n">
        <v>0</v>
      </c>
      <c r="P204" t="n">
        <v>0</v>
      </c>
      <c r="Q204" t="n">
        <v>0</v>
      </c>
      <c r="R204" s="2" t="inlineStr"/>
    </row>
    <row r="205" ht="15" customHeight="1">
      <c r="A205" t="inlineStr">
        <is>
          <t>A 15756-2025</t>
        </is>
      </c>
      <c r="B205" s="1" t="n">
        <v>45748.56810185185</v>
      </c>
      <c r="C205" s="1" t="n">
        <v>46163</v>
      </c>
      <c r="D205" t="inlineStr">
        <is>
          <t>VÄSTMANLANDS LÄN</t>
        </is>
      </c>
      <c r="E205" t="inlineStr">
        <is>
          <t>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31000-2022</t>
        </is>
      </c>
      <c r="B206" s="1" t="n">
        <v>44768</v>
      </c>
      <c r="C206" s="1" t="n">
        <v>46163</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37183-2024</t>
        </is>
      </c>
      <c r="B207" s="1" t="n">
        <v>45539</v>
      </c>
      <c r="C207" s="1" t="n">
        <v>46163</v>
      </c>
      <c r="D207" t="inlineStr">
        <is>
          <t>VÄSTMANLANDS LÄN</t>
        </is>
      </c>
      <c r="E207" t="inlineStr">
        <is>
          <t>SALA</t>
        </is>
      </c>
      <c r="G207" t="n">
        <v>1.2</v>
      </c>
      <c r="H207" t="n">
        <v>0</v>
      </c>
      <c r="I207" t="n">
        <v>0</v>
      </c>
      <c r="J207" t="n">
        <v>0</v>
      </c>
      <c r="K207" t="n">
        <v>0</v>
      </c>
      <c r="L207" t="n">
        <v>0</v>
      </c>
      <c r="M207" t="n">
        <v>0</v>
      </c>
      <c r="N207" t="n">
        <v>0</v>
      </c>
      <c r="O207" t="n">
        <v>0</v>
      </c>
      <c r="P207" t="n">
        <v>0</v>
      </c>
      <c r="Q207" t="n">
        <v>0</v>
      </c>
      <c r="R207" s="2" t="inlineStr"/>
    </row>
    <row r="208" ht="15" customHeight="1">
      <c r="A208" t="inlineStr">
        <is>
          <t>A 27229-2022</t>
        </is>
      </c>
      <c r="B208" s="1" t="n">
        <v>44741</v>
      </c>
      <c r="C208" s="1" t="n">
        <v>46163</v>
      </c>
      <c r="D208" t="inlineStr">
        <is>
          <t>VÄSTMANLANDS LÄN</t>
        </is>
      </c>
      <c r="E208" t="inlineStr">
        <is>
          <t>SALA</t>
        </is>
      </c>
      <c r="F208" t="inlineStr">
        <is>
          <t>Kommuner</t>
        </is>
      </c>
      <c r="G208" t="n">
        <v>1.4</v>
      </c>
      <c r="H208" t="n">
        <v>0</v>
      </c>
      <c r="I208" t="n">
        <v>0</v>
      </c>
      <c r="J208" t="n">
        <v>0</v>
      </c>
      <c r="K208" t="n">
        <v>0</v>
      </c>
      <c r="L208" t="n">
        <v>0</v>
      </c>
      <c r="M208" t="n">
        <v>0</v>
      </c>
      <c r="N208" t="n">
        <v>0</v>
      </c>
      <c r="O208" t="n">
        <v>0</v>
      </c>
      <c r="P208" t="n">
        <v>0</v>
      </c>
      <c r="Q208" t="n">
        <v>0</v>
      </c>
      <c r="R208" s="2" t="inlineStr"/>
    </row>
    <row r="209" ht="15" customHeight="1">
      <c r="A209" t="inlineStr">
        <is>
          <t>A 22397-2022</t>
        </is>
      </c>
      <c r="B209" s="1" t="n">
        <v>44713</v>
      </c>
      <c r="C209" s="1" t="n">
        <v>46163</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1793-2023</t>
        </is>
      </c>
      <c r="B210" s="1" t="n">
        <v>44937</v>
      </c>
      <c r="C210" s="1" t="n">
        <v>46163</v>
      </c>
      <c r="D210" t="inlineStr">
        <is>
          <t>VÄSTMANLANDS LÄN</t>
        </is>
      </c>
      <c r="E210" t="inlineStr">
        <is>
          <t>SALA</t>
        </is>
      </c>
      <c r="G210" t="n">
        <v>2.6</v>
      </c>
      <c r="H210" t="n">
        <v>0</v>
      </c>
      <c r="I210" t="n">
        <v>0</v>
      </c>
      <c r="J210" t="n">
        <v>0</v>
      </c>
      <c r="K210" t="n">
        <v>0</v>
      </c>
      <c r="L210" t="n">
        <v>0</v>
      </c>
      <c r="M210" t="n">
        <v>0</v>
      </c>
      <c r="N210" t="n">
        <v>0</v>
      </c>
      <c r="O210" t="n">
        <v>0</v>
      </c>
      <c r="P210" t="n">
        <v>0</v>
      </c>
      <c r="Q210" t="n">
        <v>0</v>
      </c>
      <c r="R210" s="2" t="inlineStr"/>
    </row>
    <row r="211" ht="15" customHeight="1">
      <c r="A211" t="inlineStr">
        <is>
          <t>A 28863-2022</t>
        </is>
      </c>
      <c r="B211" s="1" t="n">
        <v>44749.50649305555</v>
      </c>
      <c r="C211" s="1" t="n">
        <v>46163</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29248-2022</t>
        </is>
      </c>
      <c r="B212" s="1" t="n">
        <v>44750</v>
      </c>
      <c r="C212" s="1" t="n">
        <v>46163</v>
      </c>
      <c r="D212" t="inlineStr">
        <is>
          <t>VÄSTMANLANDS LÄN</t>
        </is>
      </c>
      <c r="E212" t="inlineStr">
        <is>
          <t>SALA</t>
        </is>
      </c>
      <c r="G212" t="n">
        <v>1.6</v>
      </c>
      <c r="H212" t="n">
        <v>0</v>
      </c>
      <c r="I212" t="n">
        <v>0</v>
      </c>
      <c r="J212" t="n">
        <v>0</v>
      </c>
      <c r="K212" t="n">
        <v>0</v>
      </c>
      <c r="L212" t="n">
        <v>0</v>
      </c>
      <c r="M212" t="n">
        <v>0</v>
      </c>
      <c r="N212" t="n">
        <v>0</v>
      </c>
      <c r="O212" t="n">
        <v>0</v>
      </c>
      <c r="P212" t="n">
        <v>0</v>
      </c>
      <c r="Q212" t="n">
        <v>0</v>
      </c>
      <c r="R212" s="2" t="inlineStr"/>
    </row>
    <row r="213" ht="15" customHeight="1">
      <c r="A213" t="inlineStr">
        <is>
          <t>A 14919-2025</t>
        </is>
      </c>
      <c r="B213" s="1" t="n">
        <v>45743.54256944444</v>
      </c>
      <c r="C213" s="1" t="n">
        <v>46163</v>
      </c>
      <c r="D213" t="inlineStr">
        <is>
          <t>VÄSTMANLANDS LÄN</t>
        </is>
      </c>
      <c r="E213" t="inlineStr">
        <is>
          <t>SALA</t>
        </is>
      </c>
      <c r="G213" t="n">
        <v>0.6</v>
      </c>
      <c r="H213" t="n">
        <v>0</v>
      </c>
      <c r="I213" t="n">
        <v>0</v>
      </c>
      <c r="J213" t="n">
        <v>0</v>
      </c>
      <c r="K213" t="n">
        <v>0</v>
      </c>
      <c r="L213" t="n">
        <v>0</v>
      </c>
      <c r="M213" t="n">
        <v>0</v>
      </c>
      <c r="N213" t="n">
        <v>0</v>
      </c>
      <c r="O213" t="n">
        <v>0</v>
      </c>
      <c r="P213" t="n">
        <v>0</v>
      </c>
      <c r="Q213" t="n">
        <v>0</v>
      </c>
      <c r="R213" s="2" t="inlineStr"/>
    </row>
    <row r="214" ht="15" customHeight="1">
      <c r="A214" t="inlineStr">
        <is>
          <t>A 14920-2025</t>
        </is>
      </c>
      <c r="B214" s="1" t="n">
        <v>45743</v>
      </c>
      <c r="C214" s="1" t="n">
        <v>46163</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40398-2021</t>
        </is>
      </c>
      <c r="B215" s="1" t="n">
        <v>44419</v>
      </c>
      <c r="C215" s="1" t="n">
        <v>46163</v>
      </c>
      <c r="D215" t="inlineStr">
        <is>
          <t>VÄSTMANLANDS LÄN</t>
        </is>
      </c>
      <c r="E215" t="inlineStr">
        <is>
          <t>SALA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2900-2023</t>
        </is>
      </c>
      <c r="B216" s="1" t="n">
        <v>44943</v>
      </c>
      <c r="C216" s="1" t="n">
        <v>46163</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6030-2024</t>
        </is>
      </c>
      <c r="B217" s="1" t="n">
        <v>45336.62782407407</v>
      </c>
      <c r="C217" s="1" t="n">
        <v>46163</v>
      </c>
      <c r="D217" t="inlineStr">
        <is>
          <t>VÄSTMANLANDS LÄN</t>
        </is>
      </c>
      <c r="E217" t="inlineStr">
        <is>
          <t>SALA</t>
        </is>
      </c>
      <c r="G217" t="n">
        <v>3.9</v>
      </c>
      <c r="H217" t="n">
        <v>0</v>
      </c>
      <c r="I217" t="n">
        <v>0</v>
      </c>
      <c r="J217" t="n">
        <v>0</v>
      </c>
      <c r="K217" t="n">
        <v>0</v>
      </c>
      <c r="L217" t="n">
        <v>0</v>
      </c>
      <c r="M217" t="n">
        <v>0</v>
      </c>
      <c r="N217" t="n">
        <v>0</v>
      </c>
      <c r="O217" t="n">
        <v>0</v>
      </c>
      <c r="P217" t="n">
        <v>0</v>
      </c>
      <c r="Q217" t="n">
        <v>0</v>
      </c>
      <c r="R217" s="2" t="inlineStr"/>
    </row>
    <row r="218" ht="15" customHeight="1">
      <c r="A218" t="inlineStr">
        <is>
          <t>A 52630-2022</t>
        </is>
      </c>
      <c r="B218" s="1" t="n">
        <v>44874</v>
      </c>
      <c r="C218" s="1" t="n">
        <v>46163</v>
      </c>
      <c r="D218" t="inlineStr">
        <is>
          <t>VÄSTMANLANDS LÄN</t>
        </is>
      </c>
      <c r="E218" t="inlineStr">
        <is>
          <t>SALA</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43362-2023</t>
        </is>
      </c>
      <c r="B219" s="1" t="n">
        <v>45183</v>
      </c>
      <c r="C219" s="1" t="n">
        <v>46163</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14690-2025</t>
        </is>
      </c>
      <c r="B220" s="1" t="n">
        <v>45742.58212962963</v>
      </c>
      <c r="C220" s="1" t="n">
        <v>46163</v>
      </c>
      <c r="D220" t="inlineStr">
        <is>
          <t>VÄSTMANLANDS LÄN</t>
        </is>
      </c>
      <c r="E220" t="inlineStr">
        <is>
          <t>SALA</t>
        </is>
      </c>
      <c r="G220" t="n">
        <v>3.4</v>
      </c>
      <c r="H220" t="n">
        <v>0</v>
      </c>
      <c r="I220" t="n">
        <v>0</v>
      </c>
      <c r="J220" t="n">
        <v>0</v>
      </c>
      <c r="K220" t="n">
        <v>0</v>
      </c>
      <c r="L220" t="n">
        <v>0</v>
      </c>
      <c r="M220" t="n">
        <v>0</v>
      </c>
      <c r="N220" t="n">
        <v>0</v>
      </c>
      <c r="O220" t="n">
        <v>0</v>
      </c>
      <c r="P220" t="n">
        <v>0</v>
      </c>
      <c r="Q220" t="n">
        <v>0</v>
      </c>
      <c r="R220" s="2" t="inlineStr"/>
    </row>
    <row r="221" ht="15" customHeight="1">
      <c r="A221" t="inlineStr">
        <is>
          <t>A 2521-2025</t>
        </is>
      </c>
      <c r="B221" s="1" t="n">
        <v>45674</v>
      </c>
      <c r="C221" s="1" t="n">
        <v>46163</v>
      </c>
      <c r="D221" t="inlineStr">
        <is>
          <t>VÄSTMANLANDS LÄN</t>
        </is>
      </c>
      <c r="E221" t="inlineStr">
        <is>
          <t>SALA</t>
        </is>
      </c>
      <c r="G221" t="n">
        <v>3.5</v>
      </c>
      <c r="H221" t="n">
        <v>0</v>
      </c>
      <c r="I221" t="n">
        <v>0</v>
      </c>
      <c r="J221" t="n">
        <v>0</v>
      </c>
      <c r="K221" t="n">
        <v>0</v>
      </c>
      <c r="L221" t="n">
        <v>0</v>
      </c>
      <c r="M221" t="n">
        <v>0</v>
      </c>
      <c r="N221" t="n">
        <v>0</v>
      </c>
      <c r="O221" t="n">
        <v>0</v>
      </c>
      <c r="P221" t="n">
        <v>0</v>
      </c>
      <c r="Q221" t="n">
        <v>0</v>
      </c>
      <c r="R221" s="2" t="inlineStr"/>
    </row>
    <row r="222" ht="15" customHeight="1">
      <c r="A222" t="inlineStr">
        <is>
          <t>A 26761-2023</t>
        </is>
      </c>
      <c r="B222" s="1" t="n">
        <v>45093</v>
      </c>
      <c r="C222" s="1" t="n">
        <v>46163</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60548-2024</t>
        </is>
      </c>
      <c r="B223" s="1" t="n">
        <v>45643.80978009259</v>
      </c>
      <c r="C223" s="1" t="n">
        <v>46163</v>
      </c>
      <c r="D223" t="inlineStr">
        <is>
          <t>VÄSTMANLANDS LÄN</t>
        </is>
      </c>
      <c r="E223" t="inlineStr">
        <is>
          <t>SALA</t>
        </is>
      </c>
      <c r="G223" t="n">
        <v>1.6</v>
      </c>
      <c r="H223" t="n">
        <v>0</v>
      </c>
      <c r="I223" t="n">
        <v>0</v>
      </c>
      <c r="J223" t="n">
        <v>0</v>
      </c>
      <c r="K223" t="n">
        <v>0</v>
      </c>
      <c r="L223" t="n">
        <v>0</v>
      </c>
      <c r="M223" t="n">
        <v>0</v>
      </c>
      <c r="N223" t="n">
        <v>0</v>
      </c>
      <c r="O223" t="n">
        <v>0</v>
      </c>
      <c r="P223" t="n">
        <v>0</v>
      </c>
      <c r="Q223" t="n">
        <v>0</v>
      </c>
      <c r="R223" s="2" t="inlineStr"/>
    </row>
    <row r="224" ht="15" customHeight="1">
      <c r="A224" t="inlineStr">
        <is>
          <t>A 55035-2023</t>
        </is>
      </c>
      <c r="B224" s="1" t="n">
        <v>45229</v>
      </c>
      <c r="C224" s="1" t="n">
        <v>46163</v>
      </c>
      <c r="D224" t="inlineStr">
        <is>
          <t>VÄSTMANLANDS LÄN</t>
        </is>
      </c>
      <c r="E224" t="inlineStr">
        <is>
          <t>SALA</t>
        </is>
      </c>
      <c r="G224" t="n">
        <v>1.1</v>
      </c>
      <c r="H224" t="n">
        <v>0</v>
      </c>
      <c r="I224" t="n">
        <v>0</v>
      </c>
      <c r="J224" t="n">
        <v>0</v>
      </c>
      <c r="K224" t="n">
        <v>0</v>
      </c>
      <c r="L224" t="n">
        <v>0</v>
      </c>
      <c r="M224" t="n">
        <v>0</v>
      </c>
      <c r="N224" t="n">
        <v>0</v>
      </c>
      <c r="O224" t="n">
        <v>0</v>
      </c>
      <c r="P224" t="n">
        <v>0</v>
      </c>
      <c r="Q224" t="n">
        <v>0</v>
      </c>
      <c r="R224" s="2" t="inlineStr"/>
    </row>
    <row r="225" ht="15" customHeight="1">
      <c r="A225" t="inlineStr">
        <is>
          <t>A 60249-2023</t>
        </is>
      </c>
      <c r="B225" s="1" t="n">
        <v>45258</v>
      </c>
      <c r="C225" s="1" t="n">
        <v>46163</v>
      </c>
      <c r="D225" t="inlineStr">
        <is>
          <t>VÄSTMANLANDS LÄN</t>
        </is>
      </c>
      <c r="E225" t="inlineStr">
        <is>
          <t>SALA</t>
        </is>
      </c>
      <c r="G225" t="n">
        <v>2</v>
      </c>
      <c r="H225" t="n">
        <v>0</v>
      </c>
      <c r="I225" t="n">
        <v>0</v>
      </c>
      <c r="J225" t="n">
        <v>0</v>
      </c>
      <c r="K225" t="n">
        <v>0</v>
      </c>
      <c r="L225" t="n">
        <v>0</v>
      </c>
      <c r="M225" t="n">
        <v>0</v>
      </c>
      <c r="N225" t="n">
        <v>0</v>
      </c>
      <c r="O225" t="n">
        <v>0</v>
      </c>
      <c r="P225" t="n">
        <v>0</v>
      </c>
      <c r="Q225" t="n">
        <v>0</v>
      </c>
      <c r="R225" s="2" t="inlineStr"/>
    </row>
    <row r="226" ht="15" customHeight="1">
      <c r="A226" t="inlineStr">
        <is>
          <t>A 31597-2024</t>
        </is>
      </c>
      <c r="B226" s="1" t="n">
        <v>45506</v>
      </c>
      <c r="C226" s="1" t="n">
        <v>46163</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31599-2024</t>
        </is>
      </c>
      <c r="B227" s="1" t="n">
        <v>45506</v>
      </c>
      <c r="C227" s="1" t="n">
        <v>46163</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31601-2024</t>
        </is>
      </c>
      <c r="B228" s="1" t="n">
        <v>45506</v>
      </c>
      <c r="C228" s="1" t="n">
        <v>46163</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56949-2023</t>
        </is>
      </c>
      <c r="B229" s="1" t="n">
        <v>45244.61589120371</v>
      </c>
      <c r="C229" s="1" t="n">
        <v>46163</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31608-2024</t>
        </is>
      </c>
      <c r="B230" s="1" t="n">
        <v>45506</v>
      </c>
      <c r="C230" s="1" t="n">
        <v>46163</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31612-2024</t>
        </is>
      </c>
      <c r="B231" s="1" t="n">
        <v>45506</v>
      </c>
      <c r="C231" s="1" t="n">
        <v>46163</v>
      </c>
      <c r="D231" t="inlineStr">
        <is>
          <t>VÄSTMANLANDS LÄN</t>
        </is>
      </c>
      <c r="E231" t="inlineStr">
        <is>
          <t>SALA</t>
        </is>
      </c>
      <c r="G231" t="n">
        <v>3.2</v>
      </c>
      <c r="H231" t="n">
        <v>0</v>
      </c>
      <c r="I231" t="n">
        <v>0</v>
      </c>
      <c r="J231" t="n">
        <v>0</v>
      </c>
      <c r="K231" t="n">
        <v>0</v>
      </c>
      <c r="L231" t="n">
        <v>0</v>
      </c>
      <c r="M231" t="n">
        <v>0</v>
      </c>
      <c r="N231" t="n">
        <v>0</v>
      </c>
      <c r="O231" t="n">
        <v>0</v>
      </c>
      <c r="P231" t="n">
        <v>0</v>
      </c>
      <c r="Q231" t="n">
        <v>0</v>
      </c>
      <c r="R231" s="2" t="inlineStr"/>
    </row>
    <row r="232" ht="15" customHeight="1">
      <c r="A232" t="inlineStr">
        <is>
          <t>A 96-2024</t>
        </is>
      </c>
      <c r="B232" s="1" t="n">
        <v>45293.85872685185</v>
      </c>
      <c r="C232" s="1" t="n">
        <v>46163</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54118-2023</t>
        </is>
      </c>
      <c r="B233" s="1" t="n">
        <v>45232</v>
      </c>
      <c r="C233" s="1" t="n">
        <v>46163</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52500-2024</t>
        </is>
      </c>
      <c r="B234" s="1" t="n">
        <v>45609</v>
      </c>
      <c r="C234" s="1" t="n">
        <v>46163</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34814-2021</t>
        </is>
      </c>
      <c r="B235" s="1" t="n">
        <v>44383</v>
      </c>
      <c r="C235" s="1" t="n">
        <v>46163</v>
      </c>
      <c r="D235" t="inlineStr">
        <is>
          <t>VÄSTMANLANDS LÄN</t>
        </is>
      </c>
      <c r="E235" t="inlineStr">
        <is>
          <t>SALA</t>
        </is>
      </c>
      <c r="F235" t="inlineStr">
        <is>
          <t>Sveaskog</t>
        </is>
      </c>
      <c r="G235" t="n">
        <v>0.5</v>
      </c>
      <c r="H235" t="n">
        <v>0</v>
      </c>
      <c r="I235" t="n">
        <v>0</v>
      </c>
      <c r="J235" t="n">
        <v>0</v>
      </c>
      <c r="K235" t="n">
        <v>0</v>
      </c>
      <c r="L235" t="n">
        <v>0</v>
      </c>
      <c r="M235" t="n">
        <v>0</v>
      </c>
      <c r="N235" t="n">
        <v>0</v>
      </c>
      <c r="O235" t="n">
        <v>0</v>
      </c>
      <c r="P235" t="n">
        <v>0</v>
      </c>
      <c r="Q235" t="n">
        <v>0</v>
      </c>
      <c r="R235" s="2" t="inlineStr"/>
    </row>
    <row r="236" ht="15" customHeight="1">
      <c r="A236" t="inlineStr">
        <is>
          <t>A 3733-2023</t>
        </is>
      </c>
      <c r="B236" s="1" t="n">
        <v>44951.42501157407</v>
      </c>
      <c r="C236" s="1" t="n">
        <v>46163</v>
      </c>
      <c r="D236" t="inlineStr">
        <is>
          <t>VÄSTMANLANDS LÄN</t>
        </is>
      </c>
      <c r="E236" t="inlineStr">
        <is>
          <t>SALA</t>
        </is>
      </c>
      <c r="G236" t="n">
        <v>3.1</v>
      </c>
      <c r="H236" t="n">
        <v>0</v>
      </c>
      <c r="I236" t="n">
        <v>0</v>
      </c>
      <c r="J236" t="n">
        <v>0</v>
      </c>
      <c r="K236" t="n">
        <v>0</v>
      </c>
      <c r="L236" t="n">
        <v>0</v>
      </c>
      <c r="M236" t="n">
        <v>0</v>
      </c>
      <c r="N236" t="n">
        <v>0</v>
      </c>
      <c r="O236" t="n">
        <v>0</v>
      </c>
      <c r="P236" t="n">
        <v>0</v>
      </c>
      <c r="Q236" t="n">
        <v>0</v>
      </c>
      <c r="R236" s="2" t="inlineStr"/>
    </row>
    <row r="237" ht="15" customHeight="1">
      <c r="A237" t="inlineStr">
        <is>
          <t>A 6136-2025</t>
        </is>
      </c>
      <c r="B237" s="1" t="n">
        <v>45698.37601851852</v>
      </c>
      <c r="C237" s="1" t="n">
        <v>46163</v>
      </c>
      <c r="D237" t="inlineStr">
        <is>
          <t>VÄSTMANLANDS LÄN</t>
        </is>
      </c>
      <c r="E237" t="inlineStr">
        <is>
          <t>SALA</t>
        </is>
      </c>
      <c r="F237" t="inlineStr">
        <is>
          <t>Bergvik skog öst AB</t>
        </is>
      </c>
      <c r="G237" t="n">
        <v>2.2</v>
      </c>
      <c r="H237" t="n">
        <v>0</v>
      </c>
      <c r="I237" t="n">
        <v>0</v>
      </c>
      <c r="J237" t="n">
        <v>0</v>
      </c>
      <c r="K237" t="n">
        <v>0</v>
      </c>
      <c r="L237" t="n">
        <v>0</v>
      </c>
      <c r="M237" t="n">
        <v>0</v>
      </c>
      <c r="N237" t="n">
        <v>0</v>
      </c>
      <c r="O237" t="n">
        <v>0</v>
      </c>
      <c r="P237" t="n">
        <v>0</v>
      </c>
      <c r="Q237" t="n">
        <v>0</v>
      </c>
      <c r="R237" s="2" t="inlineStr"/>
    </row>
    <row r="238" ht="15" customHeight="1">
      <c r="A238" t="inlineStr">
        <is>
          <t>A 25748-2022</t>
        </is>
      </c>
      <c r="B238" s="1" t="n">
        <v>44732</v>
      </c>
      <c r="C238" s="1" t="n">
        <v>46163</v>
      </c>
      <c r="D238" t="inlineStr">
        <is>
          <t>VÄSTMANLANDS LÄN</t>
        </is>
      </c>
      <c r="E238" t="inlineStr">
        <is>
          <t>SALA</t>
        </is>
      </c>
      <c r="G238" t="n">
        <v>7.7</v>
      </c>
      <c r="H238" t="n">
        <v>0</v>
      </c>
      <c r="I238" t="n">
        <v>0</v>
      </c>
      <c r="J238" t="n">
        <v>0</v>
      </c>
      <c r="K238" t="n">
        <v>0</v>
      </c>
      <c r="L238" t="n">
        <v>0</v>
      </c>
      <c r="M238" t="n">
        <v>0</v>
      </c>
      <c r="N238" t="n">
        <v>0</v>
      </c>
      <c r="O238" t="n">
        <v>0</v>
      </c>
      <c r="P238" t="n">
        <v>0</v>
      </c>
      <c r="Q238" t="n">
        <v>0</v>
      </c>
      <c r="R238" s="2" t="inlineStr"/>
    </row>
    <row r="239" ht="15" customHeight="1">
      <c r="A239" t="inlineStr">
        <is>
          <t>A 6190-2025</t>
        </is>
      </c>
      <c r="B239" s="1" t="n">
        <v>45698</v>
      </c>
      <c r="C239" s="1" t="n">
        <v>46163</v>
      </c>
      <c r="D239" t="inlineStr">
        <is>
          <t>VÄSTMANLANDS LÄN</t>
        </is>
      </c>
      <c r="E239" t="inlineStr">
        <is>
          <t>SALA</t>
        </is>
      </c>
      <c r="F239" t="inlineStr">
        <is>
          <t>Bergvik skog öst AB</t>
        </is>
      </c>
      <c r="G239" t="n">
        <v>4.6</v>
      </c>
      <c r="H239" t="n">
        <v>0</v>
      </c>
      <c r="I239" t="n">
        <v>0</v>
      </c>
      <c r="J239" t="n">
        <v>0</v>
      </c>
      <c r="K239" t="n">
        <v>0</v>
      </c>
      <c r="L239" t="n">
        <v>0</v>
      </c>
      <c r="M239" t="n">
        <v>0</v>
      </c>
      <c r="N239" t="n">
        <v>0</v>
      </c>
      <c r="O239" t="n">
        <v>0</v>
      </c>
      <c r="P239" t="n">
        <v>0</v>
      </c>
      <c r="Q239" t="n">
        <v>0</v>
      </c>
      <c r="R239" s="2" t="inlineStr"/>
    </row>
    <row r="240" ht="15" customHeight="1">
      <c r="A240" t="inlineStr">
        <is>
          <t>A 16760-2024</t>
        </is>
      </c>
      <c r="B240" s="1" t="n">
        <v>45411</v>
      </c>
      <c r="C240" s="1" t="n">
        <v>46163</v>
      </c>
      <c r="D240" t="inlineStr">
        <is>
          <t>VÄSTMANLANDS LÄN</t>
        </is>
      </c>
      <c r="E240" t="inlineStr">
        <is>
          <t>SALA</t>
        </is>
      </c>
      <c r="G240" t="n">
        <v>2.6</v>
      </c>
      <c r="H240" t="n">
        <v>0</v>
      </c>
      <c r="I240" t="n">
        <v>0</v>
      </c>
      <c r="J240" t="n">
        <v>0</v>
      </c>
      <c r="K240" t="n">
        <v>0</v>
      </c>
      <c r="L240" t="n">
        <v>0</v>
      </c>
      <c r="M240" t="n">
        <v>0</v>
      </c>
      <c r="N240" t="n">
        <v>0</v>
      </c>
      <c r="O240" t="n">
        <v>0</v>
      </c>
      <c r="P240" t="n">
        <v>0</v>
      </c>
      <c r="Q240" t="n">
        <v>0</v>
      </c>
      <c r="R240" s="2" t="inlineStr"/>
    </row>
    <row r="241" ht="15" customHeight="1">
      <c r="A241" t="inlineStr">
        <is>
          <t>A 6127-2025</t>
        </is>
      </c>
      <c r="B241" s="1" t="n">
        <v>45698</v>
      </c>
      <c r="C241" s="1" t="n">
        <v>46163</v>
      </c>
      <c r="D241" t="inlineStr">
        <is>
          <t>VÄSTMANLANDS LÄN</t>
        </is>
      </c>
      <c r="E241" t="inlineStr">
        <is>
          <t>SALA</t>
        </is>
      </c>
      <c r="F241" t="inlineStr">
        <is>
          <t>Bergvik skog öst AB</t>
        </is>
      </c>
      <c r="G241" t="n">
        <v>4.3</v>
      </c>
      <c r="H241" t="n">
        <v>0</v>
      </c>
      <c r="I241" t="n">
        <v>0</v>
      </c>
      <c r="J241" t="n">
        <v>0</v>
      </c>
      <c r="K241" t="n">
        <v>0</v>
      </c>
      <c r="L241" t="n">
        <v>0</v>
      </c>
      <c r="M241" t="n">
        <v>0</v>
      </c>
      <c r="N241" t="n">
        <v>0</v>
      </c>
      <c r="O241" t="n">
        <v>0</v>
      </c>
      <c r="P241" t="n">
        <v>0</v>
      </c>
      <c r="Q241" t="n">
        <v>0</v>
      </c>
      <c r="R241" s="2" t="inlineStr"/>
    </row>
    <row r="242" ht="15" customHeight="1">
      <c r="A242" t="inlineStr">
        <is>
          <t>A 988-2025</t>
        </is>
      </c>
      <c r="B242" s="1" t="n">
        <v>45666.44038194444</v>
      </c>
      <c r="C242" s="1" t="n">
        <v>46163</v>
      </c>
      <c r="D242" t="inlineStr">
        <is>
          <t>VÄSTMANLANDS LÄN</t>
        </is>
      </c>
      <c r="E242" t="inlineStr">
        <is>
          <t>SALA</t>
        </is>
      </c>
      <c r="G242" t="n">
        <v>1.3</v>
      </c>
      <c r="H242" t="n">
        <v>0</v>
      </c>
      <c r="I242" t="n">
        <v>0</v>
      </c>
      <c r="J242" t="n">
        <v>0</v>
      </c>
      <c r="K242" t="n">
        <v>0</v>
      </c>
      <c r="L242" t="n">
        <v>0</v>
      </c>
      <c r="M242" t="n">
        <v>0</v>
      </c>
      <c r="N242" t="n">
        <v>0</v>
      </c>
      <c r="O242" t="n">
        <v>0</v>
      </c>
      <c r="P242" t="n">
        <v>0</v>
      </c>
      <c r="Q242" t="n">
        <v>0</v>
      </c>
      <c r="R242" s="2" t="inlineStr"/>
    </row>
    <row r="243" ht="15" customHeight="1">
      <c r="A243" t="inlineStr">
        <is>
          <t>A 60328-2024</t>
        </is>
      </c>
      <c r="B243" s="1" t="n">
        <v>45643.38416666666</v>
      </c>
      <c r="C243" s="1" t="n">
        <v>46163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25897-2024</t>
        </is>
      </c>
      <c r="B244" s="1" t="n">
        <v>45467.54435185185</v>
      </c>
      <c r="C244" s="1" t="n">
        <v>46163</v>
      </c>
      <c r="D244" t="inlineStr">
        <is>
          <t>VÄSTMANLANDS LÄN</t>
        </is>
      </c>
      <c r="E244" t="inlineStr">
        <is>
          <t>SALA</t>
        </is>
      </c>
      <c r="G244" t="n">
        <v>9.9</v>
      </c>
      <c r="H244" t="n">
        <v>0</v>
      </c>
      <c r="I244" t="n">
        <v>0</v>
      </c>
      <c r="J244" t="n">
        <v>0</v>
      </c>
      <c r="K244" t="n">
        <v>0</v>
      </c>
      <c r="L244" t="n">
        <v>0</v>
      </c>
      <c r="M244" t="n">
        <v>0</v>
      </c>
      <c r="N244" t="n">
        <v>0</v>
      </c>
      <c r="O244" t="n">
        <v>0</v>
      </c>
      <c r="P244" t="n">
        <v>0</v>
      </c>
      <c r="Q244" t="n">
        <v>0</v>
      </c>
      <c r="R244" s="2" t="inlineStr"/>
    </row>
    <row r="245" ht="15" customHeight="1">
      <c r="A245" t="inlineStr">
        <is>
          <t>A 31072-2021</t>
        </is>
      </c>
      <c r="B245" s="1" t="n">
        <v>44368</v>
      </c>
      <c r="C245" s="1" t="n">
        <v>46163</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35016-2024</t>
        </is>
      </c>
      <c r="B246" s="1" t="n">
        <v>45527.59115740741</v>
      </c>
      <c r="C246" s="1" t="n">
        <v>46163</v>
      </c>
      <c r="D246" t="inlineStr">
        <is>
          <t>VÄSTMANLANDS LÄN</t>
        </is>
      </c>
      <c r="E246" t="inlineStr">
        <is>
          <t>SALA</t>
        </is>
      </c>
      <c r="G246" t="n">
        <v>0.4</v>
      </c>
      <c r="H246" t="n">
        <v>0</v>
      </c>
      <c r="I246" t="n">
        <v>0</v>
      </c>
      <c r="J246" t="n">
        <v>0</v>
      </c>
      <c r="K246" t="n">
        <v>0</v>
      </c>
      <c r="L246" t="n">
        <v>0</v>
      </c>
      <c r="M246" t="n">
        <v>0</v>
      </c>
      <c r="N246" t="n">
        <v>0</v>
      </c>
      <c r="O246" t="n">
        <v>0</v>
      </c>
      <c r="P246" t="n">
        <v>0</v>
      </c>
      <c r="Q246" t="n">
        <v>0</v>
      </c>
      <c r="R246" s="2" t="inlineStr"/>
    </row>
    <row r="247" ht="15" customHeight="1">
      <c r="A247" t="inlineStr">
        <is>
          <t>A 57371-2022</t>
        </is>
      </c>
      <c r="B247" s="1" t="n">
        <v>44896.43832175926</v>
      </c>
      <c r="C247" s="1" t="n">
        <v>46163</v>
      </c>
      <c r="D247" t="inlineStr">
        <is>
          <t>VÄSTMANLANDS LÄN</t>
        </is>
      </c>
      <c r="E247" t="inlineStr">
        <is>
          <t>SALA</t>
        </is>
      </c>
      <c r="G247" t="n">
        <v>0.7</v>
      </c>
      <c r="H247" t="n">
        <v>0</v>
      </c>
      <c r="I247" t="n">
        <v>0</v>
      </c>
      <c r="J247" t="n">
        <v>0</v>
      </c>
      <c r="K247" t="n">
        <v>0</v>
      </c>
      <c r="L247" t="n">
        <v>0</v>
      </c>
      <c r="M247" t="n">
        <v>0</v>
      </c>
      <c r="N247" t="n">
        <v>0</v>
      </c>
      <c r="O247" t="n">
        <v>0</v>
      </c>
      <c r="P247" t="n">
        <v>0</v>
      </c>
      <c r="Q247" t="n">
        <v>0</v>
      </c>
      <c r="R247" s="2" t="inlineStr"/>
    </row>
    <row r="248" ht="15" customHeight="1">
      <c r="A248" t="inlineStr">
        <is>
          <t>A 29691-2025</t>
        </is>
      </c>
      <c r="B248" s="1" t="n">
        <v>45825.53645833334</v>
      </c>
      <c r="C248" s="1" t="n">
        <v>46163</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60541-2024</t>
        </is>
      </c>
      <c r="B249" s="1" t="n">
        <v>45643</v>
      </c>
      <c r="C249" s="1" t="n">
        <v>46163</v>
      </c>
      <c r="D249" t="inlineStr">
        <is>
          <t>VÄSTMANLANDS LÄN</t>
        </is>
      </c>
      <c r="E249" t="inlineStr">
        <is>
          <t>SALA</t>
        </is>
      </c>
      <c r="G249" t="n">
        <v>10.6</v>
      </c>
      <c r="H249" t="n">
        <v>0</v>
      </c>
      <c r="I249" t="n">
        <v>0</v>
      </c>
      <c r="J249" t="n">
        <v>0</v>
      </c>
      <c r="K249" t="n">
        <v>0</v>
      </c>
      <c r="L249" t="n">
        <v>0</v>
      </c>
      <c r="M249" t="n">
        <v>0</v>
      </c>
      <c r="N249" t="n">
        <v>0</v>
      </c>
      <c r="O249" t="n">
        <v>0</v>
      </c>
      <c r="P249" t="n">
        <v>0</v>
      </c>
      <c r="Q249" t="n">
        <v>0</v>
      </c>
      <c r="R249" s="2" t="inlineStr"/>
    </row>
    <row r="250" ht="15" customHeight="1">
      <c r="A250" t="inlineStr">
        <is>
          <t>A 55784-2024</t>
        </is>
      </c>
      <c r="B250" s="1" t="n">
        <v>45623</v>
      </c>
      <c r="C250" s="1" t="n">
        <v>46163</v>
      </c>
      <c r="D250" t="inlineStr">
        <is>
          <t>VÄSTMANLANDS LÄN</t>
        </is>
      </c>
      <c r="E250" t="inlineStr">
        <is>
          <t>SALA</t>
        </is>
      </c>
      <c r="F250" t="inlineStr">
        <is>
          <t>Bergvik skog öst AB</t>
        </is>
      </c>
      <c r="G250" t="n">
        <v>28.4</v>
      </c>
      <c r="H250" t="n">
        <v>0</v>
      </c>
      <c r="I250" t="n">
        <v>0</v>
      </c>
      <c r="J250" t="n">
        <v>0</v>
      </c>
      <c r="K250" t="n">
        <v>0</v>
      </c>
      <c r="L250" t="n">
        <v>0</v>
      </c>
      <c r="M250" t="n">
        <v>0</v>
      </c>
      <c r="N250" t="n">
        <v>0</v>
      </c>
      <c r="O250" t="n">
        <v>0</v>
      </c>
      <c r="P250" t="n">
        <v>0</v>
      </c>
      <c r="Q250" t="n">
        <v>0</v>
      </c>
      <c r="R250" s="2" t="inlineStr"/>
    </row>
    <row r="251" ht="15" customHeight="1">
      <c r="A251" t="inlineStr">
        <is>
          <t>A 29826-2025</t>
        </is>
      </c>
      <c r="B251" s="1" t="n">
        <v>45825.85761574074</v>
      </c>
      <c r="C251" s="1" t="n">
        <v>46163</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19803-2024</t>
        </is>
      </c>
      <c r="B252" s="1" t="n">
        <v>45432</v>
      </c>
      <c r="C252" s="1" t="n">
        <v>46163</v>
      </c>
      <c r="D252" t="inlineStr">
        <is>
          <t>VÄSTMANLANDS LÄN</t>
        </is>
      </c>
      <c r="E252" t="inlineStr">
        <is>
          <t>SALA</t>
        </is>
      </c>
      <c r="G252" t="n">
        <v>3.1</v>
      </c>
      <c r="H252" t="n">
        <v>0</v>
      </c>
      <c r="I252" t="n">
        <v>0</v>
      </c>
      <c r="J252" t="n">
        <v>0</v>
      </c>
      <c r="K252" t="n">
        <v>0</v>
      </c>
      <c r="L252" t="n">
        <v>0</v>
      </c>
      <c r="M252" t="n">
        <v>0</v>
      </c>
      <c r="N252" t="n">
        <v>0</v>
      </c>
      <c r="O252" t="n">
        <v>0</v>
      </c>
      <c r="P252" t="n">
        <v>0</v>
      </c>
      <c r="Q252" t="n">
        <v>0</v>
      </c>
      <c r="R252" s="2" t="inlineStr"/>
    </row>
    <row r="253" ht="15" customHeight="1">
      <c r="A253" t="inlineStr">
        <is>
          <t>A 38574-2025</t>
        </is>
      </c>
      <c r="B253" s="1" t="n">
        <v>45884.46390046296</v>
      </c>
      <c r="C253" s="1" t="n">
        <v>46163</v>
      </c>
      <c r="D253" t="inlineStr">
        <is>
          <t>VÄSTMANLANDS LÄN</t>
        </is>
      </c>
      <c r="E253" t="inlineStr">
        <is>
          <t>SALA</t>
        </is>
      </c>
      <c r="G253" t="n">
        <v>2.1</v>
      </c>
      <c r="H253" t="n">
        <v>0</v>
      </c>
      <c r="I253" t="n">
        <v>0</v>
      </c>
      <c r="J253" t="n">
        <v>0</v>
      </c>
      <c r="K253" t="n">
        <v>0</v>
      </c>
      <c r="L253" t="n">
        <v>0</v>
      </c>
      <c r="M253" t="n">
        <v>0</v>
      </c>
      <c r="N253" t="n">
        <v>0</v>
      </c>
      <c r="O253" t="n">
        <v>0</v>
      </c>
      <c r="P253" t="n">
        <v>0</v>
      </c>
      <c r="Q253" t="n">
        <v>0</v>
      </c>
      <c r="R253" s="2" t="inlineStr"/>
    </row>
    <row r="254" ht="15" customHeight="1">
      <c r="A254" t="inlineStr">
        <is>
          <t>A 7196-2025</t>
        </is>
      </c>
      <c r="B254" s="1" t="n">
        <v>45702</v>
      </c>
      <c r="C254" s="1" t="n">
        <v>46163</v>
      </c>
      <c r="D254" t="inlineStr">
        <is>
          <t>VÄSTMANLANDS LÄN</t>
        </is>
      </c>
      <c r="E254" t="inlineStr">
        <is>
          <t>SALA</t>
        </is>
      </c>
      <c r="G254" t="n">
        <v>1.3</v>
      </c>
      <c r="H254" t="n">
        <v>0</v>
      </c>
      <c r="I254" t="n">
        <v>0</v>
      </c>
      <c r="J254" t="n">
        <v>0</v>
      </c>
      <c r="K254" t="n">
        <v>0</v>
      </c>
      <c r="L254" t="n">
        <v>0</v>
      </c>
      <c r="M254" t="n">
        <v>0</v>
      </c>
      <c r="N254" t="n">
        <v>0</v>
      </c>
      <c r="O254" t="n">
        <v>0</v>
      </c>
      <c r="P254" t="n">
        <v>0</v>
      </c>
      <c r="Q254" t="n">
        <v>0</v>
      </c>
      <c r="R254" s="2" t="inlineStr"/>
    </row>
    <row r="255" ht="15" customHeight="1">
      <c r="A255" t="inlineStr">
        <is>
          <t>A 7327-2026</t>
        </is>
      </c>
      <c r="B255" s="1" t="n">
        <v>46058.68371527778</v>
      </c>
      <c r="C255" s="1" t="n">
        <v>46163</v>
      </c>
      <c r="D255" t="inlineStr">
        <is>
          <t>VÄSTMANLANDS LÄN</t>
        </is>
      </c>
      <c r="E255" t="inlineStr">
        <is>
          <t>SALA</t>
        </is>
      </c>
      <c r="G255" t="n">
        <v>5.8</v>
      </c>
      <c r="H255" t="n">
        <v>0</v>
      </c>
      <c r="I255" t="n">
        <v>0</v>
      </c>
      <c r="J255" t="n">
        <v>0</v>
      </c>
      <c r="K255" t="n">
        <v>0</v>
      </c>
      <c r="L255" t="n">
        <v>0</v>
      </c>
      <c r="M255" t="n">
        <v>0</v>
      </c>
      <c r="N255" t="n">
        <v>0</v>
      </c>
      <c r="O255" t="n">
        <v>0</v>
      </c>
      <c r="P255" t="n">
        <v>0</v>
      </c>
      <c r="Q255" t="n">
        <v>0</v>
      </c>
      <c r="R255" s="2" t="inlineStr"/>
    </row>
    <row r="256" ht="15" customHeight="1">
      <c r="A256" t="inlineStr">
        <is>
          <t>A 7332-2026</t>
        </is>
      </c>
      <c r="B256" s="1" t="n">
        <v>46058.68884259259</v>
      </c>
      <c r="C256" s="1" t="n">
        <v>46163</v>
      </c>
      <c r="D256" t="inlineStr">
        <is>
          <t>VÄSTMANLANDS LÄN</t>
        </is>
      </c>
      <c r="E256" t="inlineStr">
        <is>
          <t>SALA</t>
        </is>
      </c>
      <c r="G256" t="n">
        <v>1.1</v>
      </c>
      <c r="H256" t="n">
        <v>0</v>
      </c>
      <c r="I256" t="n">
        <v>0</v>
      </c>
      <c r="J256" t="n">
        <v>0</v>
      </c>
      <c r="K256" t="n">
        <v>0</v>
      </c>
      <c r="L256" t="n">
        <v>0</v>
      </c>
      <c r="M256" t="n">
        <v>0</v>
      </c>
      <c r="N256" t="n">
        <v>0</v>
      </c>
      <c r="O256" t="n">
        <v>0</v>
      </c>
      <c r="P256" t="n">
        <v>0</v>
      </c>
      <c r="Q256" t="n">
        <v>0</v>
      </c>
      <c r="R256" s="2" t="inlineStr"/>
    </row>
    <row r="257" ht="15" customHeight="1">
      <c r="A257" t="inlineStr">
        <is>
          <t>A 40597-2022</t>
        </is>
      </c>
      <c r="B257" s="1" t="n">
        <v>44823.84862268518</v>
      </c>
      <c r="C257" s="1" t="n">
        <v>46163</v>
      </c>
      <c r="D257" t="inlineStr">
        <is>
          <t>VÄSTMANLANDS LÄN</t>
        </is>
      </c>
      <c r="E257" t="inlineStr">
        <is>
          <t>SALA</t>
        </is>
      </c>
      <c r="G257" t="n">
        <v>3.5</v>
      </c>
      <c r="H257" t="n">
        <v>0</v>
      </c>
      <c r="I257" t="n">
        <v>0</v>
      </c>
      <c r="J257" t="n">
        <v>0</v>
      </c>
      <c r="K257" t="n">
        <v>0</v>
      </c>
      <c r="L257" t="n">
        <v>0</v>
      </c>
      <c r="M257" t="n">
        <v>0</v>
      </c>
      <c r="N257" t="n">
        <v>0</v>
      </c>
      <c r="O257" t="n">
        <v>0</v>
      </c>
      <c r="P257" t="n">
        <v>0</v>
      </c>
      <c r="Q257" t="n">
        <v>0</v>
      </c>
      <c r="R257" s="2" t="inlineStr"/>
    </row>
    <row r="258" ht="15" customHeight="1">
      <c r="A258" t="inlineStr">
        <is>
          <t>A 7324-2026</t>
        </is>
      </c>
      <c r="B258" s="1" t="n">
        <v>46058.68023148148</v>
      </c>
      <c r="C258" s="1" t="n">
        <v>46163</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7329-2026</t>
        </is>
      </c>
      <c r="B259" s="1" t="n">
        <v>46058.68678240741</v>
      </c>
      <c r="C259" s="1" t="n">
        <v>46163</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31608-2025</t>
        </is>
      </c>
      <c r="B260" s="1" t="n">
        <v>45833</v>
      </c>
      <c r="C260" s="1" t="n">
        <v>46163</v>
      </c>
      <c r="D260" t="inlineStr">
        <is>
          <t>VÄSTMANLANDS LÄN</t>
        </is>
      </c>
      <c r="E260" t="inlineStr">
        <is>
          <t>SALA</t>
        </is>
      </c>
      <c r="G260" t="n">
        <v>6.1</v>
      </c>
      <c r="H260" t="n">
        <v>0</v>
      </c>
      <c r="I260" t="n">
        <v>0</v>
      </c>
      <c r="J260" t="n">
        <v>0</v>
      </c>
      <c r="K260" t="n">
        <v>0</v>
      </c>
      <c r="L260" t="n">
        <v>0</v>
      </c>
      <c r="M260" t="n">
        <v>0</v>
      </c>
      <c r="N260" t="n">
        <v>0</v>
      </c>
      <c r="O260" t="n">
        <v>0</v>
      </c>
      <c r="P260" t="n">
        <v>0</v>
      </c>
      <c r="Q260" t="n">
        <v>0</v>
      </c>
      <c r="R260" s="2" t="inlineStr"/>
    </row>
    <row r="261" ht="15" customHeight="1">
      <c r="A261" t="inlineStr">
        <is>
          <t>A 31864-2025</t>
        </is>
      </c>
      <c r="B261" s="1" t="n">
        <v>45834.63819444444</v>
      </c>
      <c r="C261" s="1" t="n">
        <v>46163</v>
      </c>
      <c r="D261" t="inlineStr">
        <is>
          <t>VÄSTMANLANDS LÄN</t>
        </is>
      </c>
      <c r="E261" t="inlineStr">
        <is>
          <t>SALA</t>
        </is>
      </c>
      <c r="G261" t="n">
        <v>6.3</v>
      </c>
      <c r="H261" t="n">
        <v>0</v>
      </c>
      <c r="I261" t="n">
        <v>0</v>
      </c>
      <c r="J261" t="n">
        <v>0</v>
      </c>
      <c r="K261" t="n">
        <v>0</v>
      </c>
      <c r="L261" t="n">
        <v>0</v>
      </c>
      <c r="M261" t="n">
        <v>0</v>
      </c>
      <c r="N261" t="n">
        <v>0</v>
      </c>
      <c r="O261" t="n">
        <v>0</v>
      </c>
      <c r="P261" t="n">
        <v>0</v>
      </c>
      <c r="Q261" t="n">
        <v>0</v>
      </c>
      <c r="R261" s="2" t="inlineStr"/>
    </row>
    <row r="262" ht="15" customHeight="1">
      <c r="A262" t="inlineStr">
        <is>
          <t>A 30866-2025</t>
        </is>
      </c>
      <c r="B262" s="1" t="n">
        <v>45832.3246875</v>
      </c>
      <c r="C262" s="1" t="n">
        <v>46163</v>
      </c>
      <c r="D262" t="inlineStr">
        <is>
          <t>VÄSTMANLANDS LÄN</t>
        </is>
      </c>
      <c r="E262" t="inlineStr">
        <is>
          <t>SALA</t>
        </is>
      </c>
      <c r="G262" t="n">
        <v>14.3</v>
      </c>
      <c r="H262" t="n">
        <v>0</v>
      </c>
      <c r="I262" t="n">
        <v>0</v>
      </c>
      <c r="J262" t="n">
        <v>0</v>
      </c>
      <c r="K262" t="n">
        <v>0</v>
      </c>
      <c r="L262" t="n">
        <v>0</v>
      </c>
      <c r="M262" t="n">
        <v>0</v>
      </c>
      <c r="N262" t="n">
        <v>0</v>
      </c>
      <c r="O262" t="n">
        <v>0</v>
      </c>
      <c r="P262" t="n">
        <v>0</v>
      </c>
      <c r="Q262" t="n">
        <v>0</v>
      </c>
      <c r="R262" s="2" t="inlineStr"/>
    </row>
    <row r="263" ht="15" customHeight="1">
      <c r="A263" t="inlineStr">
        <is>
          <t>A 30874-2025</t>
        </is>
      </c>
      <c r="B263" s="1" t="n">
        <v>45832.34430555555</v>
      </c>
      <c r="C263" s="1" t="n">
        <v>46163</v>
      </c>
      <c r="D263" t="inlineStr">
        <is>
          <t>VÄSTMANLANDS LÄN</t>
        </is>
      </c>
      <c r="E263" t="inlineStr">
        <is>
          <t>SALA</t>
        </is>
      </c>
      <c r="G263" t="n">
        <v>8.4</v>
      </c>
      <c r="H263" t="n">
        <v>0</v>
      </c>
      <c r="I263" t="n">
        <v>0</v>
      </c>
      <c r="J263" t="n">
        <v>0</v>
      </c>
      <c r="K263" t="n">
        <v>0</v>
      </c>
      <c r="L263" t="n">
        <v>0</v>
      </c>
      <c r="M263" t="n">
        <v>0</v>
      </c>
      <c r="N263" t="n">
        <v>0</v>
      </c>
      <c r="O263" t="n">
        <v>0</v>
      </c>
      <c r="P263" t="n">
        <v>0</v>
      </c>
      <c r="Q263" t="n">
        <v>0</v>
      </c>
      <c r="R263" s="2" t="inlineStr"/>
    </row>
    <row r="264" ht="15" customHeight="1">
      <c r="A264" t="inlineStr">
        <is>
          <t>A 31573-2025</t>
        </is>
      </c>
      <c r="B264" s="1" t="n">
        <v>45833</v>
      </c>
      <c r="C264" s="1" t="n">
        <v>46163</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31288-2025</t>
        </is>
      </c>
      <c r="B265" s="1" t="n">
        <v>45833</v>
      </c>
      <c r="C265" s="1" t="n">
        <v>46163</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31554-2025</t>
        </is>
      </c>
      <c r="B266" s="1" t="n">
        <v>45833</v>
      </c>
      <c r="C266" s="1" t="n">
        <v>46163</v>
      </c>
      <c r="D266" t="inlineStr">
        <is>
          <t>VÄSTMANLANDS LÄN</t>
        </is>
      </c>
      <c r="E266" t="inlineStr">
        <is>
          <t>SALA</t>
        </is>
      </c>
      <c r="G266" t="n">
        <v>1.5</v>
      </c>
      <c r="H266" t="n">
        <v>0</v>
      </c>
      <c r="I266" t="n">
        <v>0</v>
      </c>
      <c r="J266" t="n">
        <v>0</v>
      </c>
      <c r="K266" t="n">
        <v>0</v>
      </c>
      <c r="L266" t="n">
        <v>0</v>
      </c>
      <c r="M266" t="n">
        <v>0</v>
      </c>
      <c r="N266" t="n">
        <v>0</v>
      </c>
      <c r="O266" t="n">
        <v>0</v>
      </c>
      <c r="P266" t="n">
        <v>0</v>
      </c>
      <c r="Q266" t="n">
        <v>0</v>
      </c>
      <c r="R266" s="2" t="inlineStr"/>
    </row>
    <row r="267" ht="15" customHeight="1">
      <c r="A267" t="inlineStr">
        <is>
          <t>A 30899-2025</t>
        </is>
      </c>
      <c r="B267" s="1" t="n">
        <v>45832.35767361111</v>
      </c>
      <c r="C267" s="1" t="n">
        <v>46163</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64925-2023</t>
        </is>
      </c>
      <c r="B268" s="1" t="n">
        <v>45282</v>
      </c>
      <c r="C268" s="1" t="n">
        <v>46163</v>
      </c>
      <c r="D268" t="inlineStr">
        <is>
          <t>VÄSTMANLANDS LÄN</t>
        </is>
      </c>
      <c r="E268" t="inlineStr">
        <is>
          <t>SALA</t>
        </is>
      </c>
      <c r="G268" t="n">
        <v>2.5</v>
      </c>
      <c r="H268" t="n">
        <v>0</v>
      </c>
      <c r="I268" t="n">
        <v>0</v>
      </c>
      <c r="J268" t="n">
        <v>0</v>
      </c>
      <c r="K268" t="n">
        <v>0</v>
      </c>
      <c r="L268" t="n">
        <v>0</v>
      </c>
      <c r="M268" t="n">
        <v>0</v>
      </c>
      <c r="N268" t="n">
        <v>0</v>
      </c>
      <c r="O268" t="n">
        <v>0</v>
      </c>
      <c r="P268" t="n">
        <v>0</v>
      </c>
      <c r="Q268" t="n">
        <v>0</v>
      </c>
      <c r="R268" s="2" t="inlineStr"/>
    </row>
    <row r="269" ht="15" customHeight="1">
      <c r="A269" t="inlineStr">
        <is>
          <t>A 7654-2026</t>
        </is>
      </c>
      <c r="B269" s="1" t="n">
        <v>46062.38828703704</v>
      </c>
      <c r="C269" s="1" t="n">
        <v>46163</v>
      </c>
      <c r="D269" t="inlineStr">
        <is>
          <t>VÄSTMANLANDS LÄN</t>
        </is>
      </c>
      <c r="E269" t="inlineStr">
        <is>
          <t>SALA</t>
        </is>
      </c>
      <c r="G269" t="n">
        <v>4.5</v>
      </c>
      <c r="H269" t="n">
        <v>0</v>
      </c>
      <c r="I269" t="n">
        <v>0</v>
      </c>
      <c r="J269" t="n">
        <v>0</v>
      </c>
      <c r="K269" t="n">
        <v>0</v>
      </c>
      <c r="L269" t="n">
        <v>0</v>
      </c>
      <c r="M269" t="n">
        <v>0</v>
      </c>
      <c r="N269" t="n">
        <v>0</v>
      </c>
      <c r="O269" t="n">
        <v>0</v>
      </c>
      <c r="P269" t="n">
        <v>0</v>
      </c>
      <c r="Q269" t="n">
        <v>0</v>
      </c>
      <c r="R269" s="2" t="inlineStr"/>
    </row>
    <row r="270" ht="15" customHeight="1">
      <c r="A270" t="inlineStr">
        <is>
          <t>A 7588-2026</t>
        </is>
      </c>
      <c r="B270" s="1" t="n">
        <v>46061.83528935185</v>
      </c>
      <c r="C270" s="1" t="n">
        <v>46163</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31065-2025</t>
        </is>
      </c>
      <c r="B271" s="1" t="n">
        <v>45832.57571759259</v>
      </c>
      <c r="C271" s="1" t="n">
        <v>46163</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23406-2024</t>
        </is>
      </c>
      <c r="B272" s="1" t="n">
        <v>45453.58296296297</v>
      </c>
      <c r="C272" s="1" t="n">
        <v>46163</v>
      </c>
      <c r="D272" t="inlineStr">
        <is>
          <t>VÄSTMANLANDS LÄN</t>
        </is>
      </c>
      <c r="E272" t="inlineStr">
        <is>
          <t>SALA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16133-2025</t>
        </is>
      </c>
      <c r="B273" s="1" t="n">
        <v>45750</v>
      </c>
      <c r="C273" s="1" t="n">
        <v>46163</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31296-2025</t>
        </is>
      </c>
      <c r="B274" s="1" t="n">
        <v>45833.36765046296</v>
      </c>
      <c r="C274" s="1" t="n">
        <v>46163</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15099-2025</t>
        </is>
      </c>
      <c r="B275" s="1" t="n">
        <v>45744.3434837963</v>
      </c>
      <c r="C275" s="1" t="n">
        <v>46163</v>
      </c>
      <c r="D275" t="inlineStr">
        <is>
          <t>VÄSTMANLANDS LÄN</t>
        </is>
      </c>
      <c r="E275" t="inlineStr">
        <is>
          <t>SALA</t>
        </is>
      </c>
      <c r="F275" t="inlineStr">
        <is>
          <t>Sveaskog</t>
        </is>
      </c>
      <c r="G275" t="n">
        <v>14.4</v>
      </c>
      <c r="H275" t="n">
        <v>0</v>
      </c>
      <c r="I275" t="n">
        <v>0</v>
      </c>
      <c r="J275" t="n">
        <v>0</v>
      </c>
      <c r="K275" t="n">
        <v>0</v>
      </c>
      <c r="L275" t="n">
        <v>0</v>
      </c>
      <c r="M275" t="n">
        <v>0</v>
      </c>
      <c r="N275" t="n">
        <v>0</v>
      </c>
      <c r="O275" t="n">
        <v>0</v>
      </c>
      <c r="P275" t="n">
        <v>0</v>
      </c>
      <c r="Q275" t="n">
        <v>0</v>
      </c>
      <c r="R275" s="2" t="inlineStr"/>
    </row>
    <row r="276" ht="15" customHeight="1">
      <c r="A276" t="inlineStr">
        <is>
          <t>A 39167-2025</t>
        </is>
      </c>
      <c r="B276" s="1" t="n">
        <v>45888</v>
      </c>
      <c r="C276" s="1" t="n">
        <v>46163</v>
      </c>
      <c r="D276" t="inlineStr">
        <is>
          <t>VÄSTMANLANDS LÄN</t>
        </is>
      </c>
      <c r="E276" t="inlineStr">
        <is>
          <t>SALA</t>
        </is>
      </c>
      <c r="G276" t="n">
        <v>5.5</v>
      </c>
      <c r="H276" t="n">
        <v>0</v>
      </c>
      <c r="I276" t="n">
        <v>0</v>
      </c>
      <c r="J276" t="n">
        <v>0</v>
      </c>
      <c r="K276" t="n">
        <v>0</v>
      </c>
      <c r="L276" t="n">
        <v>0</v>
      </c>
      <c r="M276" t="n">
        <v>0</v>
      </c>
      <c r="N276" t="n">
        <v>0</v>
      </c>
      <c r="O276" t="n">
        <v>0</v>
      </c>
      <c r="P276" t="n">
        <v>0</v>
      </c>
      <c r="Q276" t="n">
        <v>0</v>
      </c>
      <c r="R276" s="2" t="inlineStr"/>
    </row>
    <row r="277" ht="15" customHeight="1">
      <c r="A277" t="inlineStr">
        <is>
          <t>A 39182-2025</t>
        </is>
      </c>
      <c r="B277" s="1" t="n">
        <v>45888.66204861111</v>
      </c>
      <c r="C277" s="1" t="n">
        <v>46163</v>
      </c>
      <c r="D277" t="inlineStr">
        <is>
          <t>VÄSTMANLANDS LÄN</t>
        </is>
      </c>
      <c r="E277" t="inlineStr">
        <is>
          <t>SALA</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31748-2025</t>
        </is>
      </c>
      <c r="B278" s="1" t="n">
        <v>45834</v>
      </c>
      <c r="C278" s="1" t="n">
        <v>46163</v>
      </c>
      <c r="D278" t="inlineStr">
        <is>
          <t>VÄSTMANLANDS LÄN</t>
        </is>
      </c>
      <c r="E278" t="inlineStr">
        <is>
          <t>SALA</t>
        </is>
      </c>
      <c r="G278" t="n">
        <v>2</v>
      </c>
      <c r="H278" t="n">
        <v>0</v>
      </c>
      <c r="I278" t="n">
        <v>0</v>
      </c>
      <c r="J278" t="n">
        <v>0</v>
      </c>
      <c r="K278" t="n">
        <v>0</v>
      </c>
      <c r="L278" t="n">
        <v>0</v>
      </c>
      <c r="M278" t="n">
        <v>0</v>
      </c>
      <c r="N278" t="n">
        <v>0</v>
      </c>
      <c r="O278" t="n">
        <v>0</v>
      </c>
      <c r="P278" t="n">
        <v>0</v>
      </c>
      <c r="Q278" t="n">
        <v>0</v>
      </c>
      <c r="R278" s="2" t="inlineStr"/>
    </row>
    <row r="279" ht="15" customHeight="1">
      <c r="A279" t="inlineStr">
        <is>
          <t>A 32210-2025</t>
        </is>
      </c>
      <c r="B279" s="1" t="n">
        <v>45835</v>
      </c>
      <c r="C279" s="1" t="n">
        <v>46163</v>
      </c>
      <c r="D279" t="inlineStr">
        <is>
          <t>VÄSTMANLANDS LÄN</t>
        </is>
      </c>
      <c r="E279" t="inlineStr">
        <is>
          <t>SALA</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31610-2025</t>
        </is>
      </c>
      <c r="B280" s="1" t="n">
        <v>45833.78650462963</v>
      </c>
      <c r="C280" s="1" t="n">
        <v>46163</v>
      </c>
      <c r="D280" t="inlineStr">
        <is>
          <t>VÄSTMANLANDS LÄN</t>
        </is>
      </c>
      <c r="E280" t="inlineStr">
        <is>
          <t>SALA</t>
        </is>
      </c>
      <c r="G280" t="n">
        <v>8</v>
      </c>
      <c r="H280" t="n">
        <v>0</v>
      </c>
      <c r="I280" t="n">
        <v>0</v>
      </c>
      <c r="J280" t="n">
        <v>0</v>
      </c>
      <c r="K280" t="n">
        <v>0</v>
      </c>
      <c r="L280" t="n">
        <v>0</v>
      </c>
      <c r="M280" t="n">
        <v>0</v>
      </c>
      <c r="N280" t="n">
        <v>0</v>
      </c>
      <c r="O280" t="n">
        <v>0</v>
      </c>
      <c r="P280" t="n">
        <v>0</v>
      </c>
      <c r="Q280" t="n">
        <v>0</v>
      </c>
      <c r="R280" s="2" t="inlineStr"/>
    </row>
    <row r="281" ht="15" customHeight="1">
      <c r="A281" t="inlineStr">
        <is>
          <t>A 32201-2025</t>
        </is>
      </c>
      <c r="B281" s="1" t="n">
        <v>45835</v>
      </c>
      <c r="C281" s="1" t="n">
        <v>46163</v>
      </c>
      <c r="D281" t="inlineStr">
        <is>
          <t>VÄSTMANLANDS LÄN</t>
        </is>
      </c>
      <c r="E281" t="inlineStr">
        <is>
          <t>SALA</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31612-2025</t>
        </is>
      </c>
      <c r="B282" s="1" t="n">
        <v>45833.80056712963</v>
      </c>
      <c r="C282" s="1" t="n">
        <v>46163</v>
      </c>
      <c r="D282" t="inlineStr">
        <is>
          <t>VÄSTMANLANDS LÄN</t>
        </is>
      </c>
      <c r="E282" t="inlineStr">
        <is>
          <t>SALA</t>
        </is>
      </c>
      <c r="G282" t="n">
        <v>6.3</v>
      </c>
      <c r="H282" t="n">
        <v>0</v>
      </c>
      <c r="I282" t="n">
        <v>0</v>
      </c>
      <c r="J282" t="n">
        <v>0</v>
      </c>
      <c r="K282" t="n">
        <v>0</v>
      </c>
      <c r="L282" t="n">
        <v>0</v>
      </c>
      <c r="M282" t="n">
        <v>0</v>
      </c>
      <c r="N282" t="n">
        <v>0</v>
      </c>
      <c r="O282" t="n">
        <v>0</v>
      </c>
      <c r="P282" t="n">
        <v>0</v>
      </c>
      <c r="Q282" t="n">
        <v>0</v>
      </c>
      <c r="R282" s="2" t="inlineStr"/>
    </row>
    <row r="283" ht="15" customHeight="1">
      <c r="A283" t="inlineStr">
        <is>
          <t>A 60036-2024</t>
        </is>
      </c>
      <c r="B283" s="1" t="n">
        <v>45642.46434027778</v>
      </c>
      <c r="C283" s="1" t="n">
        <v>46163</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52827-2024</t>
        </is>
      </c>
      <c r="B284" s="1" t="n">
        <v>45610</v>
      </c>
      <c r="C284" s="1" t="n">
        <v>46163</v>
      </c>
      <c r="D284" t="inlineStr">
        <is>
          <t>VÄSTMANLANDS LÄN</t>
        </is>
      </c>
      <c r="E284" t="inlineStr">
        <is>
          <t>SALA</t>
        </is>
      </c>
      <c r="G284" t="n">
        <v>0.2</v>
      </c>
      <c r="H284" t="n">
        <v>0</v>
      </c>
      <c r="I284" t="n">
        <v>0</v>
      </c>
      <c r="J284" t="n">
        <v>0</v>
      </c>
      <c r="K284" t="n">
        <v>0</v>
      </c>
      <c r="L284" t="n">
        <v>0</v>
      </c>
      <c r="M284" t="n">
        <v>0</v>
      </c>
      <c r="N284" t="n">
        <v>0</v>
      </c>
      <c r="O284" t="n">
        <v>0</v>
      </c>
      <c r="P284" t="n">
        <v>0</v>
      </c>
      <c r="Q284" t="n">
        <v>0</v>
      </c>
      <c r="R284" s="2" t="inlineStr"/>
    </row>
    <row r="285" ht="15" customHeight="1">
      <c r="A285" t="inlineStr">
        <is>
          <t>A 32207-2025</t>
        </is>
      </c>
      <c r="B285" s="1" t="n">
        <v>45835</v>
      </c>
      <c r="C285" s="1" t="n">
        <v>46163</v>
      </c>
      <c r="D285" t="inlineStr">
        <is>
          <t>VÄSTMANLANDS LÄN</t>
        </is>
      </c>
      <c r="E285" t="inlineStr">
        <is>
          <t>SALA</t>
        </is>
      </c>
      <c r="F285" t="inlineStr">
        <is>
          <t>Bergvik skog öst AB</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31762-2025</t>
        </is>
      </c>
      <c r="B286" s="1" t="n">
        <v>45834.49288194445</v>
      </c>
      <c r="C286" s="1" t="n">
        <v>46163</v>
      </c>
      <c r="D286" t="inlineStr">
        <is>
          <t>VÄSTMANLANDS LÄN</t>
        </is>
      </c>
      <c r="E286" t="inlineStr">
        <is>
          <t>SALA</t>
        </is>
      </c>
      <c r="G286" t="n">
        <v>5.9</v>
      </c>
      <c r="H286" t="n">
        <v>0</v>
      </c>
      <c r="I286" t="n">
        <v>0</v>
      </c>
      <c r="J286" t="n">
        <v>0</v>
      </c>
      <c r="K286" t="n">
        <v>0</v>
      </c>
      <c r="L286" t="n">
        <v>0</v>
      </c>
      <c r="M286" t="n">
        <v>0</v>
      </c>
      <c r="N286" t="n">
        <v>0</v>
      </c>
      <c r="O286" t="n">
        <v>0</v>
      </c>
      <c r="P286" t="n">
        <v>0</v>
      </c>
      <c r="Q286" t="n">
        <v>0</v>
      </c>
      <c r="R286" s="2" t="inlineStr"/>
    </row>
    <row r="287" ht="15" customHeight="1">
      <c r="A287" t="inlineStr">
        <is>
          <t>A 31771-2025</t>
        </is>
      </c>
      <c r="B287" s="1" t="n">
        <v>45834.50910879629</v>
      </c>
      <c r="C287" s="1" t="n">
        <v>46163</v>
      </c>
      <c r="D287" t="inlineStr">
        <is>
          <t>VÄSTMANLANDS LÄN</t>
        </is>
      </c>
      <c r="E287" t="inlineStr">
        <is>
          <t>SALA</t>
        </is>
      </c>
      <c r="G287" t="n">
        <v>5.1</v>
      </c>
      <c r="H287" t="n">
        <v>0</v>
      </c>
      <c r="I287" t="n">
        <v>0</v>
      </c>
      <c r="J287" t="n">
        <v>0</v>
      </c>
      <c r="K287" t="n">
        <v>0</v>
      </c>
      <c r="L287" t="n">
        <v>0</v>
      </c>
      <c r="M287" t="n">
        <v>0</v>
      </c>
      <c r="N287" t="n">
        <v>0</v>
      </c>
      <c r="O287" t="n">
        <v>0</v>
      </c>
      <c r="P287" t="n">
        <v>0</v>
      </c>
      <c r="Q287" t="n">
        <v>0</v>
      </c>
      <c r="R287" s="2" t="inlineStr"/>
    </row>
    <row r="288" ht="15" customHeight="1">
      <c r="A288" t="inlineStr">
        <is>
          <t>A 32205-2025</t>
        </is>
      </c>
      <c r="B288" s="1" t="n">
        <v>45835</v>
      </c>
      <c r="C288" s="1" t="n">
        <v>46163</v>
      </c>
      <c r="D288" t="inlineStr">
        <is>
          <t>VÄSTMANLANDS LÄN</t>
        </is>
      </c>
      <c r="E288" t="inlineStr">
        <is>
          <t>SALA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32286-2025</t>
        </is>
      </c>
      <c r="B289" s="1" t="n">
        <v>45835</v>
      </c>
      <c r="C289" s="1" t="n">
        <v>46163</v>
      </c>
      <c r="D289" t="inlineStr">
        <is>
          <t>VÄSTMANLANDS LÄN</t>
        </is>
      </c>
      <c r="E289" t="inlineStr">
        <is>
          <t>SALA</t>
        </is>
      </c>
      <c r="G289" t="n">
        <v>6.4</v>
      </c>
      <c r="H289" t="n">
        <v>0</v>
      </c>
      <c r="I289" t="n">
        <v>0</v>
      </c>
      <c r="J289" t="n">
        <v>0</v>
      </c>
      <c r="K289" t="n">
        <v>0</v>
      </c>
      <c r="L289" t="n">
        <v>0</v>
      </c>
      <c r="M289" t="n">
        <v>0</v>
      </c>
      <c r="N289" t="n">
        <v>0</v>
      </c>
      <c r="O289" t="n">
        <v>0</v>
      </c>
      <c r="P289" t="n">
        <v>0</v>
      </c>
      <c r="Q289" t="n">
        <v>0</v>
      </c>
      <c r="R289" s="2" t="inlineStr"/>
    </row>
    <row r="290" ht="15" customHeight="1">
      <c r="A290" t="inlineStr">
        <is>
          <t>A 7611-2026</t>
        </is>
      </c>
      <c r="B290" s="1" t="n">
        <v>46062.32387731481</v>
      </c>
      <c r="C290" s="1" t="n">
        <v>46163</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16328-2025</t>
        </is>
      </c>
      <c r="B291" s="1" t="n">
        <v>45751</v>
      </c>
      <c r="C291" s="1" t="n">
        <v>46163</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7676-2026</t>
        </is>
      </c>
      <c r="B292" s="1" t="n">
        <v>46062.42498842593</v>
      </c>
      <c r="C292" s="1" t="n">
        <v>46163</v>
      </c>
      <c r="D292" t="inlineStr">
        <is>
          <t>VÄSTMANLANDS LÄN</t>
        </is>
      </c>
      <c r="E292" t="inlineStr">
        <is>
          <t>SALA</t>
        </is>
      </c>
      <c r="G292" t="n">
        <v>2.1</v>
      </c>
      <c r="H292" t="n">
        <v>0</v>
      </c>
      <c r="I292" t="n">
        <v>0</v>
      </c>
      <c r="J292" t="n">
        <v>0</v>
      </c>
      <c r="K292" t="n">
        <v>0</v>
      </c>
      <c r="L292" t="n">
        <v>0</v>
      </c>
      <c r="M292" t="n">
        <v>0</v>
      </c>
      <c r="N292" t="n">
        <v>0</v>
      </c>
      <c r="O292" t="n">
        <v>0</v>
      </c>
      <c r="P292" t="n">
        <v>0</v>
      </c>
      <c r="Q292" t="n">
        <v>0</v>
      </c>
      <c r="R292" s="2" t="inlineStr"/>
    </row>
    <row r="293" ht="15" customHeight="1">
      <c r="A293" t="inlineStr">
        <is>
          <t>A 7593-2026</t>
        </is>
      </c>
      <c r="B293" s="1" t="n">
        <v>46061.88057870371</v>
      </c>
      <c r="C293" s="1" t="n">
        <v>46163</v>
      </c>
      <c r="D293" t="inlineStr">
        <is>
          <t>VÄSTMANLANDS LÄN</t>
        </is>
      </c>
      <c r="E293" t="inlineStr">
        <is>
          <t>SALA</t>
        </is>
      </c>
      <c r="G293" t="n">
        <v>7.5</v>
      </c>
      <c r="H293" t="n">
        <v>0</v>
      </c>
      <c r="I293" t="n">
        <v>0</v>
      </c>
      <c r="J293" t="n">
        <v>0</v>
      </c>
      <c r="K293" t="n">
        <v>0</v>
      </c>
      <c r="L293" t="n">
        <v>0</v>
      </c>
      <c r="M293" t="n">
        <v>0</v>
      </c>
      <c r="N293" t="n">
        <v>0</v>
      </c>
      <c r="O293" t="n">
        <v>0</v>
      </c>
      <c r="P293" t="n">
        <v>0</v>
      </c>
      <c r="Q293" t="n">
        <v>0</v>
      </c>
      <c r="R293" s="2" t="inlineStr"/>
    </row>
    <row r="294" ht="15" customHeight="1">
      <c r="A294" t="inlineStr">
        <is>
          <t>A 7597-2026</t>
        </is>
      </c>
      <c r="B294" s="1" t="n">
        <v>46061.91765046296</v>
      </c>
      <c r="C294" s="1" t="n">
        <v>46163</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32902-2025</t>
        </is>
      </c>
      <c r="B295" s="1" t="n">
        <v>45839</v>
      </c>
      <c r="C295" s="1" t="n">
        <v>46163</v>
      </c>
      <c r="D295" t="inlineStr">
        <is>
          <t>VÄSTMANLANDS LÄN</t>
        </is>
      </c>
      <c r="E295" t="inlineStr">
        <is>
          <t>SALA</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7661-2026</t>
        </is>
      </c>
      <c r="B296" s="1" t="n">
        <v>46062.39614583334</v>
      </c>
      <c r="C296" s="1" t="n">
        <v>46163</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52498-2022</t>
        </is>
      </c>
      <c r="B297" s="1" t="n">
        <v>44874.50152777778</v>
      </c>
      <c r="C297" s="1" t="n">
        <v>46163</v>
      </c>
      <c r="D297" t="inlineStr">
        <is>
          <t>VÄSTMANLANDS LÄN</t>
        </is>
      </c>
      <c r="E297" t="inlineStr">
        <is>
          <t>SALA</t>
        </is>
      </c>
      <c r="G297" t="n">
        <v>2.1</v>
      </c>
      <c r="H297" t="n">
        <v>0</v>
      </c>
      <c r="I297" t="n">
        <v>0</v>
      </c>
      <c r="J297" t="n">
        <v>0</v>
      </c>
      <c r="K297" t="n">
        <v>0</v>
      </c>
      <c r="L297" t="n">
        <v>0</v>
      </c>
      <c r="M297" t="n">
        <v>0</v>
      </c>
      <c r="N297" t="n">
        <v>0</v>
      </c>
      <c r="O297" t="n">
        <v>0</v>
      </c>
      <c r="P297" t="n">
        <v>0</v>
      </c>
      <c r="Q297" t="n">
        <v>0</v>
      </c>
      <c r="R297" s="2" t="inlineStr"/>
    </row>
    <row r="298" ht="15" customHeight="1">
      <c r="A298" t="inlineStr">
        <is>
          <t>A 7584-2026</t>
        </is>
      </c>
      <c r="B298" s="1" t="n">
        <v>46061.81653935185</v>
      </c>
      <c r="C298" s="1" t="n">
        <v>46163</v>
      </c>
      <c r="D298" t="inlineStr">
        <is>
          <t>VÄSTMANLANDS LÄN</t>
        </is>
      </c>
      <c r="E298" t="inlineStr">
        <is>
          <t>SALA</t>
        </is>
      </c>
      <c r="G298" t="n">
        <v>16.7</v>
      </c>
      <c r="H298" t="n">
        <v>0</v>
      </c>
      <c r="I298" t="n">
        <v>0</v>
      </c>
      <c r="J298" t="n">
        <v>0</v>
      </c>
      <c r="K298" t="n">
        <v>0</v>
      </c>
      <c r="L298" t="n">
        <v>0</v>
      </c>
      <c r="M298" t="n">
        <v>0</v>
      </c>
      <c r="N298" t="n">
        <v>0</v>
      </c>
      <c r="O298" t="n">
        <v>0</v>
      </c>
      <c r="P298" t="n">
        <v>0</v>
      </c>
      <c r="Q298" t="n">
        <v>0</v>
      </c>
      <c r="R298" s="2" t="inlineStr"/>
    </row>
    <row r="299" ht="15" customHeight="1">
      <c r="A299" t="inlineStr">
        <is>
          <t>A 7590-2026</t>
        </is>
      </c>
      <c r="B299" s="1" t="n">
        <v>46061.85252314815</v>
      </c>
      <c r="C299" s="1" t="n">
        <v>46163</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7596-2026</t>
        </is>
      </c>
      <c r="B300" s="1" t="n">
        <v>46061.90922453703</v>
      </c>
      <c r="C300" s="1" t="n">
        <v>46163</v>
      </c>
      <c r="D300" t="inlineStr">
        <is>
          <t>VÄSTMANLANDS LÄN</t>
        </is>
      </c>
      <c r="E300" t="inlineStr">
        <is>
          <t>SALA</t>
        </is>
      </c>
      <c r="G300" t="n">
        <v>3.1</v>
      </c>
      <c r="H300" t="n">
        <v>0</v>
      </c>
      <c r="I300" t="n">
        <v>0</v>
      </c>
      <c r="J300" t="n">
        <v>0</v>
      </c>
      <c r="K300" t="n">
        <v>0</v>
      </c>
      <c r="L300" t="n">
        <v>0</v>
      </c>
      <c r="M300" t="n">
        <v>0</v>
      </c>
      <c r="N300" t="n">
        <v>0</v>
      </c>
      <c r="O300" t="n">
        <v>0</v>
      </c>
      <c r="P300" t="n">
        <v>0</v>
      </c>
      <c r="Q300" t="n">
        <v>0</v>
      </c>
      <c r="R300" s="2" t="inlineStr"/>
    </row>
    <row r="301" ht="15" customHeight="1">
      <c r="A301" t="inlineStr">
        <is>
          <t>A 66908-2021</t>
        </is>
      </c>
      <c r="B301" s="1" t="n">
        <v>44522</v>
      </c>
      <c r="C301" s="1" t="n">
        <v>46163</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73835-2021</t>
        </is>
      </c>
      <c r="B302" s="1" t="n">
        <v>44552.92112268518</v>
      </c>
      <c r="C302" s="1" t="n">
        <v>46163</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3810-2023</t>
        </is>
      </c>
      <c r="B303" s="1" t="n">
        <v>44951.60454861111</v>
      </c>
      <c r="C303" s="1" t="n">
        <v>46163</v>
      </c>
      <c r="D303" t="inlineStr">
        <is>
          <t>VÄSTMANLANDS LÄN</t>
        </is>
      </c>
      <c r="E303" t="inlineStr">
        <is>
          <t>SALA</t>
        </is>
      </c>
      <c r="G303" t="n">
        <v>4.2</v>
      </c>
      <c r="H303" t="n">
        <v>0</v>
      </c>
      <c r="I303" t="n">
        <v>0</v>
      </c>
      <c r="J303" t="n">
        <v>0</v>
      </c>
      <c r="K303" t="n">
        <v>0</v>
      </c>
      <c r="L303" t="n">
        <v>0</v>
      </c>
      <c r="M303" t="n">
        <v>0</v>
      </c>
      <c r="N303" t="n">
        <v>0</v>
      </c>
      <c r="O303" t="n">
        <v>0</v>
      </c>
      <c r="P303" t="n">
        <v>0</v>
      </c>
      <c r="Q303" t="n">
        <v>0</v>
      </c>
      <c r="R303" s="2" t="inlineStr"/>
    </row>
    <row r="304" ht="15" customHeight="1">
      <c r="A304" t="inlineStr">
        <is>
          <t>A 40559-2025</t>
        </is>
      </c>
      <c r="B304" s="1" t="n">
        <v>45896.45037037037</v>
      </c>
      <c r="C304" s="1" t="n">
        <v>46163</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7850-2026</t>
        </is>
      </c>
      <c r="B305" s="1" t="n">
        <v>46062.66236111111</v>
      </c>
      <c r="C305" s="1" t="n">
        <v>46163</v>
      </c>
      <c r="D305" t="inlineStr">
        <is>
          <t>VÄSTMANLANDS LÄN</t>
        </is>
      </c>
      <c r="E305" t="inlineStr">
        <is>
          <t>SALA</t>
        </is>
      </c>
      <c r="G305" t="n">
        <v>2.3</v>
      </c>
      <c r="H305" t="n">
        <v>0</v>
      </c>
      <c r="I305" t="n">
        <v>0</v>
      </c>
      <c r="J305" t="n">
        <v>0</v>
      </c>
      <c r="K305" t="n">
        <v>0</v>
      </c>
      <c r="L305" t="n">
        <v>0</v>
      </c>
      <c r="M305" t="n">
        <v>0</v>
      </c>
      <c r="N305" t="n">
        <v>0</v>
      </c>
      <c r="O305" t="n">
        <v>0</v>
      </c>
      <c r="P305" t="n">
        <v>0</v>
      </c>
      <c r="Q305" t="n">
        <v>0</v>
      </c>
      <c r="R305" s="2" t="inlineStr"/>
    </row>
    <row r="306" ht="15" customHeight="1">
      <c r="A306" t="inlineStr">
        <is>
          <t>A 40556-2025</t>
        </is>
      </c>
      <c r="B306" s="1" t="n">
        <v>45896.44944444444</v>
      </c>
      <c r="C306" s="1" t="n">
        <v>46163</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40620-2025</t>
        </is>
      </c>
      <c r="B307" s="1" t="n">
        <v>45896.58609953704</v>
      </c>
      <c r="C307" s="1" t="n">
        <v>46163</v>
      </c>
      <c r="D307" t="inlineStr">
        <is>
          <t>VÄSTMANLANDS LÄN</t>
        </is>
      </c>
      <c r="E307" t="inlineStr">
        <is>
          <t>SALA</t>
        </is>
      </c>
      <c r="G307" t="n">
        <v>6.7</v>
      </c>
      <c r="H307" t="n">
        <v>0</v>
      </c>
      <c r="I307" t="n">
        <v>0</v>
      </c>
      <c r="J307" t="n">
        <v>0</v>
      </c>
      <c r="K307" t="n">
        <v>0</v>
      </c>
      <c r="L307" t="n">
        <v>0</v>
      </c>
      <c r="M307" t="n">
        <v>0</v>
      </c>
      <c r="N307" t="n">
        <v>0</v>
      </c>
      <c r="O307" t="n">
        <v>0</v>
      </c>
      <c r="P307" t="n">
        <v>0</v>
      </c>
      <c r="Q307" t="n">
        <v>0</v>
      </c>
      <c r="R307" s="2" t="inlineStr"/>
    </row>
    <row r="308" ht="15" customHeight="1">
      <c r="A308" t="inlineStr">
        <is>
          <t>A 12252-2023</t>
        </is>
      </c>
      <c r="B308" s="1" t="n">
        <v>44995</v>
      </c>
      <c r="C308" s="1" t="n">
        <v>46163</v>
      </c>
      <c r="D308" t="inlineStr">
        <is>
          <t>VÄSTMANLANDS LÄN</t>
        </is>
      </c>
      <c r="E308" t="inlineStr">
        <is>
          <t>SALA</t>
        </is>
      </c>
      <c r="G308" t="n">
        <v>2.6</v>
      </c>
      <c r="H308" t="n">
        <v>0</v>
      </c>
      <c r="I308" t="n">
        <v>0</v>
      </c>
      <c r="J308" t="n">
        <v>0</v>
      </c>
      <c r="K308" t="n">
        <v>0</v>
      </c>
      <c r="L308" t="n">
        <v>0</v>
      </c>
      <c r="M308" t="n">
        <v>0</v>
      </c>
      <c r="N308" t="n">
        <v>0</v>
      </c>
      <c r="O308" t="n">
        <v>0</v>
      </c>
      <c r="P308" t="n">
        <v>0</v>
      </c>
      <c r="Q308" t="n">
        <v>0</v>
      </c>
      <c r="R308" s="2" t="inlineStr"/>
    </row>
    <row r="309" ht="15" customHeight="1">
      <c r="A309" t="inlineStr">
        <is>
          <t>A 7595-2026</t>
        </is>
      </c>
      <c r="B309" s="1" t="n">
        <v>46061.90009259259</v>
      </c>
      <c r="C309" s="1" t="n">
        <v>46163</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7680-2026</t>
        </is>
      </c>
      <c r="B310" s="1" t="n">
        <v>46062.43087962963</v>
      </c>
      <c r="C310" s="1" t="n">
        <v>46163</v>
      </c>
      <c r="D310" t="inlineStr">
        <is>
          <t>VÄSTMANLANDS LÄN</t>
        </is>
      </c>
      <c r="E310" t="inlineStr">
        <is>
          <t>SALA</t>
        </is>
      </c>
      <c r="G310" t="n">
        <v>2.7</v>
      </c>
      <c r="H310" t="n">
        <v>0</v>
      </c>
      <c r="I310" t="n">
        <v>0</v>
      </c>
      <c r="J310" t="n">
        <v>0</v>
      </c>
      <c r="K310" t="n">
        <v>0</v>
      </c>
      <c r="L310" t="n">
        <v>0</v>
      </c>
      <c r="M310" t="n">
        <v>0</v>
      </c>
      <c r="N310" t="n">
        <v>0</v>
      </c>
      <c r="O310" t="n">
        <v>0</v>
      </c>
      <c r="P310" t="n">
        <v>0</v>
      </c>
      <c r="Q310" t="n">
        <v>0</v>
      </c>
      <c r="R310" s="2" t="inlineStr"/>
    </row>
    <row r="311" ht="15" customHeight="1">
      <c r="A311" t="inlineStr">
        <is>
          <t>A 25260-2023</t>
        </is>
      </c>
      <c r="B311" s="1" t="n">
        <v>45086</v>
      </c>
      <c r="C311" s="1" t="n">
        <v>46163</v>
      </c>
      <c r="D311" t="inlineStr">
        <is>
          <t>VÄSTMANLANDS LÄN</t>
        </is>
      </c>
      <c r="E311" t="inlineStr">
        <is>
          <t>SALA</t>
        </is>
      </c>
      <c r="F311" t="inlineStr">
        <is>
          <t>Sveaskog</t>
        </is>
      </c>
      <c r="G311" t="n">
        <v>3.2</v>
      </c>
      <c r="H311" t="n">
        <v>0</v>
      </c>
      <c r="I311" t="n">
        <v>0</v>
      </c>
      <c r="J311" t="n">
        <v>0</v>
      </c>
      <c r="K311" t="n">
        <v>0</v>
      </c>
      <c r="L311" t="n">
        <v>0</v>
      </c>
      <c r="M311" t="n">
        <v>0</v>
      </c>
      <c r="N311" t="n">
        <v>0</v>
      </c>
      <c r="O311" t="n">
        <v>0</v>
      </c>
      <c r="P311" t="n">
        <v>0</v>
      </c>
      <c r="Q311" t="n">
        <v>0</v>
      </c>
      <c r="R311" s="2" t="inlineStr"/>
    </row>
    <row r="312" ht="15" customHeight="1">
      <c r="A312" t="inlineStr">
        <is>
          <t>A 34069-2025</t>
        </is>
      </c>
      <c r="B312" s="1" t="n">
        <v>45845.43560185185</v>
      </c>
      <c r="C312" s="1" t="n">
        <v>46163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c r="U312">
        <f>HYPERLINK("https://klasma.github.io/Logging_1981/knärot/A 34069-2025 karta knärot.png", "A 34069-2025")</f>
        <v/>
      </c>
      <c r="V312">
        <f>HYPERLINK("https://klasma.github.io/Logging_1981/klagomål/A 34069-2025 FSC-klagomål.docx", "A 34069-2025")</f>
        <v/>
      </c>
      <c r="W312">
        <f>HYPERLINK("https://klasma.github.io/Logging_1981/klagomålsmail/A 34069-2025 FSC-klagomål mail.docx", "A 34069-2025")</f>
        <v/>
      </c>
      <c r="X312">
        <f>HYPERLINK("https://klasma.github.io/Logging_1981/tillsyn/A 34069-2025 tillsynsbegäran.docx", "A 34069-2025")</f>
        <v/>
      </c>
      <c r="Y312">
        <f>HYPERLINK("https://klasma.github.io/Logging_1981/tillsynsmail/A 34069-2025 tillsynsbegäran mail.docx", "A 34069-2025")</f>
        <v/>
      </c>
    </row>
    <row r="313" ht="15" customHeight="1">
      <c r="A313" t="inlineStr">
        <is>
          <t>A 57404-2024</t>
        </is>
      </c>
      <c r="B313" s="1" t="n">
        <v>45629.71967592592</v>
      </c>
      <c r="C313" s="1" t="n">
        <v>46163</v>
      </c>
      <c r="D313" t="inlineStr">
        <is>
          <t>VÄSTMANLANDS LÄN</t>
        </is>
      </c>
      <c r="E313" t="inlineStr">
        <is>
          <t>SALA</t>
        </is>
      </c>
      <c r="G313" t="n">
        <v>0.3</v>
      </c>
      <c r="H313" t="n">
        <v>0</v>
      </c>
      <c r="I313" t="n">
        <v>0</v>
      </c>
      <c r="J313" t="n">
        <v>0</v>
      </c>
      <c r="K313" t="n">
        <v>0</v>
      </c>
      <c r="L313" t="n">
        <v>0</v>
      </c>
      <c r="M313" t="n">
        <v>0</v>
      </c>
      <c r="N313" t="n">
        <v>0</v>
      </c>
      <c r="O313" t="n">
        <v>0</v>
      </c>
      <c r="P313" t="n">
        <v>0</v>
      </c>
      <c r="Q313" t="n">
        <v>0</v>
      </c>
      <c r="R313" s="2" t="inlineStr"/>
    </row>
    <row r="314" ht="15" customHeight="1">
      <c r="A314" t="inlineStr">
        <is>
          <t>A 15744-2025</t>
        </is>
      </c>
      <c r="B314" s="1" t="n">
        <v>45748</v>
      </c>
      <c r="C314" s="1" t="n">
        <v>46163</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13128-2023</t>
        </is>
      </c>
      <c r="B315" s="1" t="n">
        <v>45002</v>
      </c>
      <c r="C315" s="1" t="n">
        <v>46163</v>
      </c>
      <c r="D315" t="inlineStr">
        <is>
          <t>VÄSTMANLANDS LÄN</t>
        </is>
      </c>
      <c r="E315" t="inlineStr">
        <is>
          <t>SALA</t>
        </is>
      </c>
      <c r="G315" t="n">
        <v>7.9</v>
      </c>
      <c r="H315" t="n">
        <v>0</v>
      </c>
      <c r="I315" t="n">
        <v>0</v>
      </c>
      <c r="J315" t="n">
        <v>0</v>
      </c>
      <c r="K315" t="n">
        <v>0</v>
      </c>
      <c r="L315" t="n">
        <v>0</v>
      </c>
      <c r="M315" t="n">
        <v>0</v>
      </c>
      <c r="N315" t="n">
        <v>0</v>
      </c>
      <c r="O315" t="n">
        <v>0</v>
      </c>
      <c r="P315" t="n">
        <v>0</v>
      </c>
      <c r="Q315" t="n">
        <v>0</v>
      </c>
      <c r="R315" s="2" t="inlineStr"/>
    </row>
    <row r="316" ht="15" customHeight="1">
      <c r="A316" t="inlineStr">
        <is>
          <t>A 41230-2025</t>
        </is>
      </c>
      <c r="B316" s="1" t="n">
        <v>45898</v>
      </c>
      <c r="C316" s="1" t="n">
        <v>46163</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24864-2024</t>
        </is>
      </c>
      <c r="B317" s="1" t="n">
        <v>45461.48888888889</v>
      </c>
      <c r="C317" s="1" t="n">
        <v>46163</v>
      </c>
      <c r="D317" t="inlineStr">
        <is>
          <t>VÄSTMANLANDS LÄN</t>
        </is>
      </c>
      <c r="E317" t="inlineStr">
        <is>
          <t>SALA</t>
        </is>
      </c>
      <c r="G317" t="n">
        <v>0.6</v>
      </c>
      <c r="H317" t="n">
        <v>0</v>
      </c>
      <c r="I317" t="n">
        <v>0</v>
      </c>
      <c r="J317" t="n">
        <v>0</v>
      </c>
      <c r="K317" t="n">
        <v>0</v>
      </c>
      <c r="L317" t="n">
        <v>0</v>
      </c>
      <c r="M317" t="n">
        <v>0</v>
      </c>
      <c r="N317" t="n">
        <v>0</v>
      </c>
      <c r="O317" t="n">
        <v>0</v>
      </c>
      <c r="P317" t="n">
        <v>0</v>
      </c>
      <c r="Q317" t="n">
        <v>0</v>
      </c>
      <c r="R317" s="2" t="inlineStr"/>
    </row>
    <row r="318" ht="15" customHeight="1">
      <c r="A318" t="inlineStr">
        <is>
          <t>A 41414-2025</t>
        </is>
      </c>
      <c r="B318" s="1" t="n">
        <v>45901.360625</v>
      </c>
      <c r="C318" s="1" t="n">
        <v>46163</v>
      </c>
      <c r="D318" t="inlineStr">
        <is>
          <t>VÄSTMANLANDS LÄN</t>
        </is>
      </c>
      <c r="E318" t="inlineStr">
        <is>
          <t>SALA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61717-2024</t>
        </is>
      </c>
      <c r="B319" s="1" t="n">
        <v>45648</v>
      </c>
      <c r="C319" s="1" t="n">
        <v>46163</v>
      </c>
      <c r="D319" t="inlineStr">
        <is>
          <t>VÄSTMANLANDS LÄN</t>
        </is>
      </c>
      <c r="E319" t="inlineStr">
        <is>
          <t>SALA</t>
        </is>
      </c>
      <c r="G319" t="n">
        <v>3.7</v>
      </c>
      <c r="H319" t="n">
        <v>0</v>
      </c>
      <c r="I319" t="n">
        <v>0</v>
      </c>
      <c r="J319" t="n">
        <v>0</v>
      </c>
      <c r="K319" t="n">
        <v>0</v>
      </c>
      <c r="L319" t="n">
        <v>0</v>
      </c>
      <c r="M319" t="n">
        <v>0</v>
      </c>
      <c r="N319" t="n">
        <v>0</v>
      </c>
      <c r="O319" t="n">
        <v>0</v>
      </c>
      <c r="P319" t="n">
        <v>0</v>
      </c>
      <c r="Q319" t="n">
        <v>0</v>
      </c>
      <c r="R319" s="2" t="inlineStr"/>
    </row>
    <row r="320" ht="15" customHeight="1">
      <c r="A320" t="inlineStr">
        <is>
          <t>A 53164-2024</t>
        </is>
      </c>
      <c r="B320" s="1" t="n">
        <v>45611.64887731482</v>
      </c>
      <c r="C320" s="1" t="n">
        <v>46163</v>
      </c>
      <c r="D320" t="inlineStr">
        <is>
          <t>VÄSTMANLANDS LÄN</t>
        </is>
      </c>
      <c r="E320" t="inlineStr">
        <is>
          <t>SALA</t>
        </is>
      </c>
      <c r="G320" t="n">
        <v>2.6</v>
      </c>
      <c r="H320" t="n">
        <v>0</v>
      </c>
      <c r="I320" t="n">
        <v>0</v>
      </c>
      <c r="J320" t="n">
        <v>0</v>
      </c>
      <c r="K320" t="n">
        <v>0</v>
      </c>
      <c r="L320" t="n">
        <v>0</v>
      </c>
      <c r="M320" t="n">
        <v>0</v>
      </c>
      <c r="N320" t="n">
        <v>0</v>
      </c>
      <c r="O320" t="n">
        <v>0</v>
      </c>
      <c r="P320" t="n">
        <v>0</v>
      </c>
      <c r="Q320" t="n">
        <v>0</v>
      </c>
      <c r="R320" s="2" t="inlineStr"/>
    </row>
    <row r="321" ht="15" customHeight="1">
      <c r="A321" t="inlineStr">
        <is>
          <t>A 41431-2025</t>
        </is>
      </c>
      <c r="B321" s="1" t="n">
        <v>45901.39347222223</v>
      </c>
      <c r="C321" s="1" t="n">
        <v>46163</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24755-2021</t>
        </is>
      </c>
      <c r="B322" s="1" t="n">
        <v>44340</v>
      </c>
      <c r="C322" s="1" t="n">
        <v>46163</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35775-2025</t>
        </is>
      </c>
      <c r="B323" s="1" t="n">
        <v>45860</v>
      </c>
      <c r="C323" s="1" t="n">
        <v>46163</v>
      </c>
      <c r="D323" t="inlineStr">
        <is>
          <t>VÄSTMANLANDS LÄN</t>
        </is>
      </c>
      <c r="E323" t="inlineStr">
        <is>
          <t>SALA</t>
        </is>
      </c>
      <c r="G323" t="n">
        <v>2.6</v>
      </c>
      <c r="H323" t="n">
        <v>0</v>
      </c>
      <c r="I323" t="n">
        <v>0</v>
      </c>
      <c r="J323" t="n">
        <v>0</v>
      </c>
      <c r="K323" t="n">
        <v>0</v>
      </c>
      <c r="L323" t="n">
        <v>0</v>
      </c>
      <c r="M323" t="n">
        <v>0</v>
      </c>
      <c r="N323" t="n">
        <v>0</v>
      </c>
      <c r="O323" t="n">
        <v>0</v>
      </c>
      <c r="P323" t="n">
        <v>0</v>
      </c>
      <c r="Q323" t="n">
        <v>0</v>
      </c>
      <c r="R323" s="2" t="inlineStr"/>
    </row>
    <row r="324" ht="15" customHeight="1">
      <c r="A324" t="inlineStr">
        <is>
          <t>A 35779-2025</t>
        </is>
      </c>
      <c r="B324" s="1" t="n">
        <v>45860.69495370371</v>
      </c>
      <c r="C324" s="1" t="n">
        <v>46163</v>
      </c>
      <c r="D324" t="inlineStr">
        <is>
          <t>VÄSTMANLANDS LÄN</t>
        </is>
      </c>
      <c r="E324" t="inlineStr">
        <is>
          <t>SALA</t>
        </is>
      </c>
      <c r="G324" t="n">
        <v>2.4</v>
      </c>
      <c r="H324" t="n">
        <v>0</v>
      </c>
      <c r="I324" t="n">
        <v>0</v>
      </c>
      <c r="J324" t="n">
        <v>0</v>
      </c>
      <c r="K324" t="n">
        <v>0</v>
      </c>
      <c r="L324" t="n">
        <v>0</v>
      </c>
      <c r="M324" t="n">
        <v>0</v>
      </c>
      <c r="N324" t="n">
        <v>0</v>
      </c>
      <c r="O324" t="n">
        <v>0</v>
      </c>
      <c r="P324" t="n">
        <v>0</v>
      </c>
      <c r="Q324" t="n">
        <v>0</v>
      </c>
      <c r="R324" s="2" t="inlineStr"/>
    </row>
    <row r="325" ht="15" customHeight="1">
      <c r="A325" t="inlineStr">
        <is>
          <t>A 35776-2025</t>
        </is>
      </c>
      <c r="B325" s="1" t="n">
        <v>45860.69211805556</v>
      </c>
      <c r="C325" s="1" t="n">
        <v>46163</v>
      </c>
      <c r="D325" t="inlineStr">
        <is>
          <t>VÄSTMANLANDS LÄN</t>
        </is>
      </c>
      <c r="E325" t="inlineStr">
        <is>
          <t>SALA</t>
        </is>
      </c>
      <c r="G325" t="n">
        <v>14.2</v>
      </c>
      <c r="H325" t="n">
        <v>0</v>
      </c>
      <c r="I325" t="n">
        <v>0</v>
      </c>
      <c r="J325" t="n">
        <v>0</v>
      </c>
      <c r="K325" t="n">
        <v>0</v>
      </c>
      <c r="L325" t="n">
        <v>0</v>
      </c>
      <c r="M325" t="n">
        <v>0</v>
      </c>
      <c r="N325" t="n">
        <v>0</v>
      </c>
      <c r="O325" t="n">
        <v>0</v>
      </c>
      <c r="P325" t="n">
        <v>0</v>
      </c>
      <c r="Q325" t="n">
        <v>0</v>
      </c>
      <c r="R325" s="2" t="inlineStr"/>
    </row>
    <row r="326" ht="15" customHeight="1">
      <c r="A326" t="inlineStr">
        <is>
          <t>A 35715-2025</t>
        </is>
      </c>
      <c r="B326" s="1" t="n">
        <v>45860.42148148148</v>
      </c>
      <c r="C326" s="1" t="n">
        <v>46163</v>
      </c>
      <c r="D326" t="inlineStr">
        <is>
          <t>VÄSTMANLANDS LÄN</t>
        </is>
      </c>
      <c r="E326" t="inlineStr">
        <is>
          <t>SALA</t>
        </is>
      </c>
      <c r="G326" t="n">
        <v>3.8</v>
      </c>
      <c r="H326" t="n">
        <v>0</v>
      </c>
      <c r="I326" t="n">
        <v>0</v>
      </c>
      <c r="J326" t="n">
        <v>0</v>
      </c>
      <c r="K326" t="n">
        <v>0</v>
      </c>
      <c r="L326" t="n">
        <v>0</v>
      </c>
      <c r="M326" t="n">
        <v>0</v>
      </c>
      <c r="N326" t="n">
        <v>0</v>
      </c>
      <c r="O326" t="n">
        <v>0</v>
      </c>
      <c r="P326" t="n">
        <v>0</v>
      </c>
      <c r="Q326" t="n">
        <v>0</v>
      </c>
      <c r="R326" s="2" t="inlineStr"/>
    </row>
    <row r="327" ht="15" customHeight="1">
      <c r="A327" t="inlineStr">
        <is>
          <t>A 35651-2025</t>
        </is>
      </c>
      <c r="B327" s="1" t="n">
        <v>45859.52435185185</v>
      </c>
      <c r="C327" s="1" t="n">
        <v>46163</v>
      </c>
      <c r="D327" t="inlineStr">
        <is>
          <t>VÄSTMANLANDS LÄN</t>
        </is>
      </c>
      <c r="E327" t="inlineStr">
        <is>
          <t>SALA</t>
        </is>
      </c>
      <c r="G327" t="n">
        <v>6.3</v>
      </c>
      <c r="H327" t="n">
        <v>0</v>
      </c>
      <c r="I327" t="n">
        <v>0</v>
      </c>
      <c r="J327" t="n">
        <v>0</v>
      </c>
      <c r="K327" t="n">
        <v>0</v>
      </c>
      <c r="L327" t="n">
        <v>0</v>
      </c>
      <c r="M327" t="n">
        <v>0</v>
      </c>
      <c r="N327" t="n">
        <v>0</v>
      </c>
      <c r="O327" t="n">
        <v>0</v>
      </c>
      <c r="P327" t="n">
        <v>0</v>
      </c>
      <c r="Q327" t="n">
        <v>0</v>
      </c>
      <c r="R327" s="2" t="inlineStr"/>
    </row>
    <row r="328" ht="15" customHeight="1">
      <c r="A328" t="inlineStr">
        <is>
          <t>A 35774-2025</t>
        </is>
      </c>
      <c r="B328" s="1" t="n">
        <v>45860.68780092592</v>
      </c>
      <c r="C328" s="1" t="n">
        <v>46163</v>
      </c>
      <c r="D328" t="inlineStr">
        <is>
          <t>VÄSTMANLANDS LÄN</t>
        </is>
      </c>
      <c r="E328" t="inlineStr">
        <is>
          <t>SALA</t>
        </is>
      </c>
      <c r="G328" t="n">
        <v>6.5</v>
      </c>
      <c r="H328" t="n">
        <v>0</v>
      </c>
      <c r="I328" t="n">
        <v>0</v>
      </c>
      <c r="J328" t="n">
        <v>0</v>
      </c>
      <c r="K328" t="n">
        <v>0</v>
      </c>
      <c r="L328" t="n">
        <v>0</v>
      </c>
      <c r="M328" t="n">
        <v>0</v>
      </c>
      <c r="N328" t="n">
        <v>0</v>
      </c>
      <c r="O328" t="n">
        <v>0</v>
      </c>
      <c r="P328" t="n">
        <v>0</v>
      </c>
      <c r="Q328" t="n">
        <v>0</v>
      </c>
      <c r="R328" s="2" t="inlineStr"/>
    </row>
    <row r="329" ht="15" customHeight="1">
      <c r="A329" t="inlineStr">
        <is>
          <t>A 21968-2024</t>
        </is>
      </c>
      <c r="B329" s="1" t="n">
        <v>45443</v>
      </c>
      <c r="C329" s="1" t="n">
        <v>46163</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42421-2025</t>
        </is>
      </c>
      <c r="B330" s="1" t="n">
        <v>45905.40067129629</v>
      </c>
      <c r="C330" s="1" t="n">
        <v>46163</v>
      </c>
      <c r="D330" t="inlineStr">
        <is>
          <t>VÄSTMANLANDS LÄN</t>
        </is>
      </c>
      <c r="E330" t="inlineStr">
        <is>
          <t>SALA</t>
        </is>
      </c>
      <c r="G330" t="n">
        <v>1.3</v>
      </c>
      <c r="H330" t="n">
        <v>0</v>
      </c>
      <c r="I330" t="n">
        <v>0</v>
      </c>
      <c r="J330" t="n">
        <v>0</v>
      </c>
      <c r="K330" t="n">
        <v>0</v>
      </c>
      <c r="L330" t="n">
        <v>0</v>
      </c>
      <c r="M330" t="n">
        <v>0</v>
      </c>
      <c r="N330" t="n">
        <v>0</v>
      </c>
      <c r="O330" t="n">
        <v>0</v>
      </c>
      <c r="P330" t="n">
        <v>0</v>
      </c>
      <c r="Q330" t="n">
        <v>0</v>
      </c>
      <c r="R330" s="2" t="inlineStr"/>
    </row>
    <row r="331" ht="15" customHeight="1">
      <c r="A331" t="inlineStr">
        <is>
          <t>A 36060-2025</t>
        </is>
      </c>
      <c r="B331" s="1" t="n">
        <v>45866.39469907407</v>
      </c>
      <c r="C331" s="1" t="n">
        <v>46163</v>
      </c>
      <c r="D331" t="inlineStr">
        <is>
          <t>VÄSTMANLANDS LÄN</t>
        </is>
      </c>
      <c r="E331" t="inlineStr">
        <is>
          <t>SALA</t>
        </is>
      </c>
      <c r="F331" t="inlineStr">
        <is>
          <t>Kommuner</t>
        </is>
      </c>
      <c r="G331" t="n">
        <v>4.3</v>
      </c>
      <c r="H331" t="n">
        <v>0</v>
      </c>
      <c r="I331" t="n">
        <v>0</v>
      </c>
      <c r="J331" t="n">
        <v>0</v>
      </c>
      <c r="K331" t="n">
        <v>0</v>
      </c>
      <c r="L331" t="n">
        <v>0</v>
      </c>
      <c r="M331" t="n">
        <v>0</v>
      </c>
      <c r="N331" t="n">
        <v>0</v>
      </c>
      <c r="O331" t="n">
        <v>0</v>
      </c>
      <c r="P331" t="n">
        <v>0</v>
      </c>
      <c r="Q331" t="n">
        <v>0</v>
      </c>
      <c r="R331" s="2" t="inlineStr"/>
    </row>
    <row r="332" ht="15" customHeight="1">
      <c r="A332" t="inlineStr">
        <is>
          <t>A 36031-2025</t>
        </is>
      </c>
      <c r="B332" s="1" t="n">
        <v>45865.46111111111</v>
      </c>
      <c r="C332" s="1" t="n">
        <v>46163</v>
      </c>
      <c r="D332" t="inlineStr">
        <is>
          <t>VÄSTMANLANDS LÄN</t>
        </is>
      </c>
      <c r="E332" t="inlineStr">
        <is>
          <t>SALA</t>
        </is>
      </c>
      <c r="G332" t="n">
        <v>7.2</v>
      </c>
      <c r="H332" t="n">
        <v>0</v>
      </c>
      <c r="I332" t="n">
        <v>0</v>
      </c>
      <c r="J332" t="n">
        <v>0</v>
      </c>
      <c r="K332" t="n">
        <v>0</v>
      </c>
      <c r="L332" t="n">
        <v>0</v>
      </c>
      <c r="M332" t="n">
        <v>0</v>
      </c>
      <c r="N332" t="n">
        <v>0</v>
      </c>
      <c r="O332" t="n">
        <v>0</v>
      </c>
      <c r="P332" t="n">
        <v>0</v>
      </c>
      <c r="Q332" t="n">
        <v>0</v>
      </c>
      <c r="R332" s="2" t="inlineStr"/>
    </row>
    <row r="333" ht="15" customHeight="1">
      <c r="A333" t="inlineStr">
        <is>
          <t>A 36043-2025</t>
        </is>
      </c>
      <c r="B333" s="1" t="n">
        <v>45866.35333333333</v>
      </c>
      <c r="C333" s="1" t="n">
        <v>46163</v>
      </c>
      <c r="D333" t="inlineStr">
        <is>
          <t>VÄSTMANLANDS LÄN</t>
        </is>
      </c>
      <c r="E333" t="inlineStr">
        <is>
          <t>SALA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36032-2025</t>
        </is>
      </c>
      <c r="B334" s="1" t="n">
        <v>45865.48740740741</v>
      </c>
      <c r="C334" s="1" t="n">
        <v>46163</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36049-2025</t>
        </is>
      </c>
      <c r="B335" s="1" t="n">
        <v>45866.37065972222</v>
      </c>
      <c r="C335" s="1" t="n">
        <v>46163</v>
      </c>
      <c r="D335" t="inlineStr">
        <is>
          <t>VÄSTMANLANDS LÄN</t>
        </is>
      </c>
      <c r="E335" t="inlineStr">
        <is>
          <t>SALA</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28696-2023</t>
        </is>
      </c>
      <c r="B336" s="1" t="n">
        <v>45103.71759259259</v>
      </c>
      <c r="C336" s="1" t="n">
        <v>46163</v>
      </c>
      <c r="D336" t="inlineStr">
        <is>
          <t>VÄSTMANLANDS LÄN</t>
        </is>
      </c>
      <c r="E336" t="inlineStr">
        <is>
          <t>SALA</t>
        </is>
      </c>
      <c r="F336" t="inlineStr">
        <is>
          <t>Kommuner</t>
        </is>
      </c>
      <c r="G336" t="n">
        <v>5.9</v>
      </c>
      <c r="H336" t="n">
        <v>0</v>
      </c>
      <c r="I336" t="n">
        <v>0</v>
      </c>
      <c r="J336" t="n">
        <v>0</v>
      </c>
      <c r="K336" t="n">
        <v>0</v>
      </c>
      <c r="L336" t="n">
        <v>0</v>
      </c>
      <c r="M336" t="n">
        <v>0</v>
      </c>
      <c r="N336" t="n">
        <v>0</v>
      </c>
      <c r="O336" t="n">
        <v>0</v>
      </c>
      <c r="P336" t="n">
        <v>0</v>
      </c>
      <c r="Q336" t="n">
        <v>0</v>
      </c>
      <c r="R336" s="2" t="inlineStr"/>
    </row>
    <row r="337" ht="15" customHeight="1">
      <c r="A337" t="inlineStr">
        <is>
          <t>A 17495-2024</t>
        </is>
      </c>
      <c r="B337" s="1" t="n">
        <v>45415</v>
      </c>
      <c r="C337" s="1" t="n">
        <v>46163</v>
      </c>
      <c r="D337" t="inlineStr">
        <is>
          <t>VÄSTMANLANDS LÄN</t>
        </is>
      </c>
      <c r="E337" t="inlineStr">
        <is>
          <t>SALA</t>
        </is>
      </c>
      <c r="G337" t="n">
        <v>3.1</v>
      </c>
      <c r="H337" t="n">
        <v>0</v>
      </c>
      <c r="I337" t="n">
        <v>0</v>
      </c>
      <c r="J337" t="n">
        <v>0</v>
      </c>
      <c r="K337" t="n">
        <v>0</v>
      </c>
      <c r="L337" t="n">
        <v>0</v>
      </c>
      <c r="M337" t="n">
        <v>0</v>
      </c>
      <c r="N337" t="n">
        <v>0</v>
      </c>
      <c r="O337" t="n">
        <v>0</v>
      </c>
      <c r="P337" t="n">
        <v>0</v>
      </c>
      <c r="Q337" t="n">
        <v>0</v>
      </c>
      <c r="R337" s="2" t="inlineStr"/>
    </row>
    <row r="338" ht="15" customHeight="1">
      <c r="A338" t="inlineStr">
        <is>
          <t>A 37263-2025</t>
        </is>
      </c>
      <c r="B338" s="1" t="n">
        <v>45876.4584837963</v>
      </c>
      <c r="C338" s="1" t="n">
        <v>46163</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6691-2025</t>
        </is>
      </c>
      <c r="B339" s="1" t="n">
        <v>45700.50625</v>
      </c>
      <c r="C339" s="1" t="n">
        <v>46163</v>
      </c>
      <c r="D339" t="inlineStr">
        <is>
          <t>VÄSTMANLANDS LÄN</t>
        </is>
      </c>
      <c r="E339" t="inlineStr">
        <is>
          <t>SALA</t>
        </is>
      </c>
      <c r="G339" t="n">
        <v>2.1</v>
      </c>
      <c r="H339" t="n">
        <v>0</v>
      </c>
      <c r="I339" t="n">
        <v>0</v>
      </c>
      <c r="J339" t="n">
        <v>0</v>
      </c>
      <c r="K339" t="n">
        <v>0</v>
      </c>
      <c r="L339" t="n">
        <v>0</v>
      </c>
      <c r="M339" t="n">
        <v>0</v>
      </c>
      <c r="N339" t="n">
        <v>0</v>
      </c>
      <c r="O339" t="n">
        <v>0</v>
      </c>
      <c r="P339" t="n">
        <v>0</v>
      </c>
      <c r="Q339" t="n">
        <v>0</v>
      </c>
      <c r="R339" s="2" t="inlineStr"/>
    </row>
    <row r="340" ht="15" customHeight="1">
      <c r="A340" t="inlineStr">
        <is>
          <t>A 43127-2025</t>
        </is>
      </c>
      <c r="B340" s="1" t="n">
        <v>45909</v>
      </c>
      <c r="C340" s="1" t="n">
        <v>46163</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1934-2023</t>
        </is>
      </c>
      <c r="B341" s="1" t="n">
        <v>44939.43024305555</v>
      </c>
      <c r="C341" s="1" t="n">
        <v>46163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36045-2025</t>
        </is>
      </c>
      <c r="B342" s="1" t="n">
        <v>45866.36200231482</v>
      </c>
      <c r="C342" s="1" t="n">
        <v>46163</v>
      </c>
      <c r="D342" t="inlineStr">
        <is>
          <t>VÄSTMANLANDS LÄN</t>
        </is>
      </c>
      <c r="E342" t="inlineStr">
        <is>
          <t>SALA</t>
        </is>
      </c>
      <c r="F342" t="inlineStr">
        <is>
          <t>Kommuner</t>
        </is>
      </c>
      <c r="G342" t="n">
        <v>1.7</v>
      </c>
      <c r="H342" t="n">
        <v>0</v>
      </c>
      <c r="I342" t="n">
        <v>0</v>
      </c>
      <c r="J342" t="n">
        <v>0</v>
      </c>
      <c r="K342" t="n">
        <v>0</v>
      </c>
      <c r="L342" t="n">
        <v>0</v>
      </c>
      <c r="M342" t="n">
        <v>0</v>
      </c>
      <c r="N342" t="n">
        <v>0</v>
      </c>
      <c r="O342" t="n">
        <v>0</v>
      </c>
      <c r="P342" t="n">
        <v>0</v>
      </c>
      <c r="Q342" t="n">
        <v>0</v>
      </c>
      <c r="R342" s="2" t="inlineStr"/>
    </row>
    <row r="343" ht="15" customHeight="1">
      <c r="A343" t="inlineStr">
        <is>
          <t>A 35519-2024</t>
        </is>
      </c>
      <c r="B343" s="1" t="n">
        <v>45531</v>
      </c>
      <c r="C343" s="1" t="n">
        <v>46163</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43128-2025</t>
        </is>
      </c>
      <c r="B344" s="1" t="n">
        <v>45909</v>
      </c>
      <c r="C344" s="1" t="n">
        <v>46163</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40554-2025</t>
        </is>
      </c>
      <c r="B345" s="1" t="n">
        <v>45896.44506944445</v>
      </c>
      <c r="C345" s="1" t="n">
        <v>46163</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43129-2025</t>
        </is>
      </c>
      <c r="B346" s="1" t="n">
        <v>45909</v>
      </c>
      <c r="C346" s="1" t="n">
        <v>46163</v>
      </c>
      <c r="D346" t="inlineStr">
        <is>
          <t>VÄSTMANLANDS LÄN</t>
        </is>
      </c>
      <c r="E346" t="inlineStr">
        <is>
          <t>SALA</t>
        </is>
      </c>
      <c r="G346" t="n">
        <v>2.4</v>
      </c>
      <c r="H346" t="n">
        <v>0</v>
      </c>
      <c r="I346" t="n">
        <v>0</v>
      </c>
      <c r="J346" t="n">
        <v>0</v>
      </c>
      <c r="K346" t="n">
        <v>0</v>
      </c>
      <c r="L346" t="n">
        <v>0</v>
      </c>
      <c r="M346" t="n">
        <v>0</v>
      </c>
      <c r="N346" t="n">
        <v>0</v>
      </c>
      <c r="O346" t="n">
        <v>0</v>
      </c>
      <c r="P346" t="n">
        <v>0</v>
      </c>
      <c r="Q346" t="n">
        <v>0</v>
      </c>
      <c r="R346" s="2" t="inlineStr"/>
    </row>
    <row r="347" ht="15" customHeight="1">
      <c r="A347" t="inlineStr">
        <is>
          <t>A 43130-2025</t>
        </is>
      </c>
      <c r="B347" s="1" t="n">
        <v>45909</v>
      </c>
      <c r="C347" s="1" t="n">
        <v>46163</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43028-2025</t>
        </is>
      </c>
      <c r="B348" s="1" t="n">
        <v>45909.53472222222</v>
      </c>
      <c r="C348" s="1" t="n">
        <v>46163</v>
      </c>
      <c r="D348" t="inlineStr">
        <is>
          <t>VÄSTMANLANDS LÄN</t>
        </is>
      </c>
      <c r="E348" t="inlineStr">
        <is>
          <t>SALA</t>
        </is>
      </c>
      <c r="G348" t="n">
        <v>3.8</v>
      </c>
      <c r="H348" t="n">
        <v>0</v>
      </c>
      <c r="I348" t="n">
        <v>0</v>
      </c>
      <c r="J348" t="n">
        <v>0</v>
      </c>
      <c r="K348" t="n">
        <v>0</v>
      </c>
      <c r="L348" t="n">
        <v>0</v>
      </c>
      <c r="M348" t="n">
        <v>0</v>
      </c>
      <c r="N348" t="n">
        <v>0</v>
      </c>
      <c r="O348" t="n">
        <v>0</v>
      </c>
      <c r="P348" t="n">
        <v>0</v>
      </c>
      <c r="Q348" t="n">
        <v>0</v>
      </c>
      <c r="R348" s="2" t="inlineStr"/>
    </row>
    <row r="349" ht="15" customHeight="1">
      <c r="A349" t="inlineStr">
        <is>
          <t>A 43031-2025</t>
        </is>
      </c>
      <c r="B349" s="1" t="n">
        <v>45909.53856481481</v>
      </c>
      <c r="C349" s="1" t="n">
        <v>46163</v>
      </c>
      <c r="D349" t="inlineStr">
        <is>
          <t>VÄSTMANLANDS LÄN</t>
        </is>
      </c>
      <c r="E349" t="inlineStr">
        <is>
          <t>SALA</t>
        </is>
      </c>
      <c r="G349" t="n">
        <v>0.2</v>
      </c>
      <c r="H349" t="n">
        <v>0</v>
      </c>
      <c r="I349" t="n">
        <v>0</v>
      </c>
      <c r="J349" t="n">
        <v>0</v>
      </c>
      <c r="K349" t="n">
        <v>0</v>
      </c>
      <c r="L349" t="n">
        <v>0</v>
      </c>
      <c r="M349" t="n">
        <v>0</v>
      </c>
      <c r="N349" t="n">
        <v>0</v>
      </c>
      <c r="O349" t="n">
        <v>0</v>
      </c>
      <c r="P349" t="n">
        <v>0</v>
      </c>
      <c r="Q349" t="n">
        <v>0</v>
      </c>
      <c r="R349" s="2" t="inlineStr"/>
    </row>
    <row r="350" ht="15" customHeight="1">
      <c r="A350" t="inlineStr">
        <is>
          <t>A 17766-2025</t>
        </is>
      </c>
      <c r="B350" s="1" t="n">
        <v>45758</v>
      </c>
      <c r="C350" s="1" t="n">
        <v>46163</v>
      </c>
      <c r="D350" t="inlineStr">
        <is>
          <t>VÄSTMANLANDS LÄN</t>
        </is>
      </c>
      <c r="E350" t="inlineStr">
        <is>
          <t>SALA</t>
        </is>
      </c>
      <c r="G350" t="n">
        <v>16.5</v>
      </c>
      <c r="H350" t="n">
        <v>0</v>
      </c>
      <c r="I350" t="n">
        <v>0</v>
      </c>
      <c r="J350" t="n">
        <v>0</v>
      </c>
      <c r="K350" t="n">
        <v>0</v>
      </c>
      <c r="L350" t="n">
        <v>0</v>
      </c>
      <c r="M350" t="n">
        <v>0</v>
      </c>
      <c r="N350" t="n">
        <v>0</v>
      </c>
      <c r="O350" t="n">
        <v>0</v>
      </c>
      <c r="P350" t="n">
        <v>0</v>
      </c>
      <c r="Q350" t="n">
        <v>0</v>
      </c>
      <c r="R350" s="2" t="inlineStr"/>
    </row>
    <row r="351" ht="15" customHeight="1">
      <c r="A351" t="inlineStr">
        <is>
          <t>A 50241-2023</t>
        </is>
      </c>
      <c r="B351" s="1" t="n">
        <v>45216</v>
      </c>
      <c r="C351" s="1" t="n">
        <v>46163</v>
      </c>
      <c r="D351" t="inlineStr">
        <is>
          <t>VÄSTMANLANDS LÄN</t>
        </is>
      </c>
      <c r="E351" t="inlineStr">
        <is>
          <t>SALA</t>
        </is>
      </c>
      <c r="G351" t="n">
        <v>1.9</v>
      </c>
      <c r="H351" t="n">
        <v>0</v>
      </c>
      <c r="I351" t="n">
        <v>0</v>
      </c>
      <c r="J351" t="n">
        <v>0</v>
      </c>
      <c r="K351" t="n">
        <v>0</v>
      </c>
      <c r="L351" t="n">
        <v>0</v>
      </c>
      <c r="M351" t="n">
        <v>0</v>
      </c>
      <c r="N351" t="n">
        <v>0</v>
      </c>
      <c r="O351" t="n">
        <v>0</v>
      </c>
      <c r="P351" t="n">
        <v>0</v>
      </c>
      <c r="Q351" t="n">
        <v>0</v>
      </c>
      <c r="R351" s="2" t="inlineStr"/>
    </row>
    <row r="352" ht="15" customHeight="1">
      <c r="A352" t="inlineStr">
        <is>
          <t>A 31863-2025</t>
        </is>
      </c>
      <c r="B352" s="1" t="n">
        <v>45834.63303240741</v>
      </c>
      <c r="C352" s="1" t="n">
        <v>46163</v>
      </c>
      <c r="D352" t="inlineStr">
        <is>
          <t>VÄSTMANLANDS LÄN</t>
        </is>
      </c>
      <c r="E352" t="inlineStr">
        <is>
          <t>SALA</t>
        </is>
      </c>
      <c r="G352" t="n">
        <v>2.5</v>
      </c>
      <c r="H352" t="n">
        <v>0</v>
      </c>
      <c r="I352" t="n">
        <v>0</v>
      </c>
      <c r="J352" t="n">
        <v>0</v>
      </c>
      <c r="K352" t="n">
        <v>0</v>
      </c>
      <c r="L352" t="n">
        <v>0</v>
      </c>
      <c r="M352" t="n">
        <v>0</v>
      </c>
      <c r="N352" t="n">
        <v>0</v>
      </c>
      <c r="O352" t="n">
        <v>0</v>
      </c>
      <c r="P352" t="n">
        <v>0</v>
      </c>
      <c r="Q352" t="n">
        <v>0</v>
      </c>
      <c r="R352" s="2" t="inlineStr"/>
    </row>
    <row r="353" ht="15" customHeight="1">
      <c r="A353" t="inlineStr">
        <is>
          <t>A 30971-2022</t>
        </is>
      </c>
      <c r="B353" s="1" t="n">
        <v>44768.46725694444</v>
      </c>
      <c r="C353" s="1" t="n">
        <v>46163</v>
      </c>
      <c r="D353" t="inlineStr">
        <is>
          <t>VÄSTMANLANDS LÄN</t>
        </is>
      </c>
      <c r="E353" t="inlineStr">
        <is>
          <t>SALA</t>
        </is>
      </c>
      <c r="G353" t="n">
        <v>2.4</v>
      </c>
      <c r="H353" t="n">
        <v>0</v>
      </c>
      <c r="I353" t="n">
        <v>0</v>
      </c>
      <c r="J353" t="n">
        <v>0</v>
      </c>
      <c r="K353" t="n">
        <v>0</v>
      </c>
      <c r="L353" t="n">
        <v>0</v>
      </c>
      <c r="M353" t="n">
        <v>0</v>
      </c>
      <c r="N353" t="n">
        <v>0</v>
      </c>
      <c r="O353" t="n">
        <v>0</v>
      </c>
      <c r="P353" t="n">
        <v>0</v>
      </c>
      <c r="Q353" t="n">
        <v>0</v>
      </c>
      <c r="R353" s="2" t="inlineStr"/>
    </row>
    <row r="354" ht="15" customHeight="1">
      <c r="A354" t="inlineStr">
        <is>
          <t>A 35637-2022</t>
        </is>
      </c>
      <c r="B354" s="1" t="n">
        <v>44799.55194444444</v>
      </c>
      <c r="C354" s="1" t="n">
        <v>46163</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19304-2025</t>
        </is>
      </c>
      <c r="B355" s="1" t="n">
        <v>45769</v>
      </c>
      <c r="C355" s="1" t="n">
        <v>46163</v>
      </c>
      <c r="D355" t="inlineStr">
        <is>
          <t>VÄSTMANLANDS LÄN</t>
        </is>
      </c>
      <c r="E355" t="inlineStr">
        <is>
          <t>SALA</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43328-2025</t>
        </is>
      </c>
      <c r="B356" s="1" t="n">
        <v>45910</v>
      </c>
      <c r="C356" s="1" t="n">
        <v>46163</v>
      </c>
      <c r="D356" t="inlineStr">
        <is>
          <t>VÄSTMANLANDS LÄN</t>
        </is>
      </c>
      <c r="E356" t="inlineStr">
        <is>
          <t>SALA</t>
        </is>
      </c>
      <c r="G356" t="n">
        <v>0.8</v>
      </c>
      <c r="H356" t="n">
        <v>0</v>
      </c>
      <c r="I356" t="n">
        <v>0</v>
      </c>
      <c r="J356" t="n">
        <v>0</v>
      </c>
      <c r="K356" t="n">
        <v>0</v>
      </c>
      <c r="L356" t="n">
        <v>0</v>
      </c>
      <c r="M356" t="n">
        <v>0</v>
      </c>
      <c r="N356" t="n">
        <v>0</v>
      </c>
      <c r="O356" t="n">
        <v>0</v>
      </c>
      <c r="P356" t="n">
        <v>0</v>
      </c>
      <c r="Q356" t="n">
        <v>0</v>
      </c>
      <c r="R356" s="2" t="inlineStr"/>
    </row>
    <row r="357" ht="15" customHeight="1">
      <c r="A357" t="inlineStr">
        <is>
          <t>A 27038-2023</t>
        </is>
      </c>
      <c r="B357" s="1" t="n">
        <v>45095</v>
      </c>
      <c r="C357" s="1" t="n">
        <v>46163</v>
      </c>
      <c r="D357" t="inlineStr">
        <is>
          <t>VÄSTMANLANDS LÄN</t>
        </is>
      </c>
      <c r="E357" t="inlineStr">
        <is>
          <t>SALA</t>
        </is>
      </c>
      <c r="G357" t="n">
        <v>0.8</v>
      </c>
      <c r="H357" t="n">
        <v>0</v>
      </c>
      <c r="I357" t="n">
        <v>0</v>
      </c>
      <c r="J357" t="n">
        <v>0</v>
      </c>
      <c r="K357" t="n">
        <v>0</v>
      </c>
      <c r="L357" t="n">
        <v>0</v>
      </c>
      <c r="M357" t="n">
        <v>0</v>
      </c>
      <c r="N357" t="n">
        <v>0</v>
      </c>
      <c r="O357" t="n">
        <v>0</v>
      </c>
      <c r="P357" t="n">
        <v>0</v>
      </c>
      <c r="Q357" t="n">
        <v>0</v>
      </c>
      <c r="R357" s="2" t="inlineStr"/>
    </row>
    <row r="358" ht="15" customHeight="1">
      <c r="A358" t="inlineStr">
        <is>
          <t>A 3546-2025</t>
        </is>
      </c>
      <c r="B358" s="1" t="n">
        <v>45680</v>
      </c>
      <c r="C358" s="1" t="n">
        <v>46163</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31869-2025</t>
        </is>
      </c>
      <c r="B359" s="1" t="n">
        <v>45834.64555555556</v>
      </c>
      <c r="C359" s="1" t="n">
        <v>46163</v>
      </c>
      <c r="D359" t="inlineStr">
        <is>
          <t>VÄSTMANLANDS LÄN</t>
        </is>
      </c>
      <c r="E359" t="inlineStr">
        <is>
          <t>SALA</t>
        </is>
      </c>
      <c r="G359" t="n">
        <v>17.5</v>
      </c>
      <c r="H359" t="n">
        <v>0</v>
      </c>
      <c r="I359" t="n">
        <v>0</v>
      </c>
      <c r="J359" t="n">
        <v>0</v>
      </c>
      <c r="K359" t="n">
        <v>0</v>
      </c>
      <c r="L359" t="n">
        <v>0</v>
      </c>
      <c r="M359" t="n">
        <v>0</v>
      </c>
      <c r="N359" t="n">
        <v>0</v>
      </c>
      <c r="O359" t="n">
        <v>0</v>
      </c>
      <c r="P359" t="n">
        <v>0</v>
      </c>
      <c r="Q359" t="n">
        <v>0</v>
      </c>
      <c r="R359" s="2" t="inlineStr"/>
    </row>
    <row r="360" ht="15" customHeight="1">
      <c r="A360" t="inlineStr">
        <is>
          <t>A 7664-2023</t>
        </is>
      </c>
      <c r="B360" s="1" t="n">
        <v>44972</v>
      </c>
      <c r="C360" s="1" t="n">
        <v>46163</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23182-2022</t>
        </is>
      </c>
      <c r="B361" s="1" t="n">
        <v>44719.79707175926</v>
      </c>
      <c r="C361" s="1" t="n">
        <v>46163</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17985-2025</t>
        </is>
      </c>
      <c r="B362" s="1" t="n">
        <v>45761</v>
      </c>
      <c r="C362" s="1" t="n">
        <v>46163</v>
      </c>
      <c r="D362" t="inlineStr">
        <is>
          <t>VÄSTMANLANDS LÄN</t>
        </is>
      </c>
      <c r="E362" t="inlineStr">
        <is>
          <t>SALA</t>
        </is>
      </c>
      <c r="G362" t="n">
        <v>12.5</v>
      </c>
      <c r="H362" t="n">
        <v>0</v>
      </c>
      <c r="I362" t="n">
        <v>0</v>
      </c>
      <c r="J362" t="n">
        <v>0</v>
      </c>
      <c r="K362" t="n">
        <v>0</v>
      </c>
      <c r="L362" t="n">
        <v>0</v>
      </c>
      <c r="M362" t="n">
        <v>0</v>
      </c>
      <c r="N362" t="n">
        <v>0</v>
      </c>
      <c r="O362" t="n">
        <v>0</v>
      </c>
      <c r="P362" t="n">
        <v>0</v>
      </c>
      <c r="Q362" t="n">
        <v>0</v>
      </c>
      <c r="R362" s="2" t="inlineStr"/>
    </row>
    <row r="363" ht="15" customHeight="1">
      <c r="A363" t="inlineStr">
        <is>
          <t>A 31859-2023</t>
        </is>
      </c>
      <c r="B363" s="1" t="n">
        <v>45118</v>
      </c>
      <c r="C363" s="1" t="n">
        <v>46163</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c r="U363">
        <f>HYPERLINK("https://klasma.github.io/Logging_1981/knärot/A 31859-2023 karta knärot.png", "A 31859-2023")</f>
        <v/>
      </c>
      <c r="V363">
        <f>HYPERLINK("https://klasma.github.io/Logging_1981/klagomål/A 31859-2023 FSC-klagomål.docx", "A 31859-2023")</f>
        <v/>
      </c>
      <c r="W363">
        <f>HYPERLINK("https://klasma.github.io/Logging_1981/klagomålsmail/A 31859-2023 FSC-klagomål mail.docx", "A 31859-2023")</f>
        <v/>
      </c>
      <c r="X363">
        <f>HYPERLINK("https://klasma.github.io/Logging_1981/tillsyn/A 31859-2023 tillsynsbegäran.docx", "A 31859-2023")</f>
        <v/>
      </c>
      <c r="Y363">
        <f>HYPERLINK("https://klasma.github.io/Logging_1981/tillsynsmail/A 31859-2023 tillsynsbegäran mail.docx", "A 31859-2023")</f>
        <v/>
      </c>
    </row>
    <row r="364" ht="15" customHeight="1">
      <c r="A364" t="inlineStr">
        <is>
          <t>A 7469-2025</t>
        </is>
      </c>
      <c r="B364" s="1" t="n">
        <v>45705</v>
      </c>
      <c r="C364" s="1" t="n">
        <v>46163</v>
      </c>
      <c r="D364" t="inlineStr">
        <is>
          <t>VÄSTMANLANDS LÄN</t>
        </is>
      </c>
      <c r="E364" t="inlineStr">
        <is>
          <t>SALA</t>
        </is>
      </c>
      <c r="G364" t="n">
        <v>2.1</v>
      </c>
      <c r="H364" t="n">
        <v>0</v>
      </c>
      <c r="I364" t="n">
        <v>0</v>
      </c>
      <c r="J364" t="n">
        <v>0</v>
      </c>
      <c r="K364" t="n">
        <v>0</v>
      </c>
      <c r="L364" t="n">
        <v>0</v>
      </c>
      <c r="M364" t="n">
        <v>0</v>
      </c>
      <c r="N364" t="n">
        <v>0</v>
      </c>
      <c r="O364" t="n">
        <v>0</v>
      </c>
      <c r="P364" t="n">
        <v>0</v>
      </c>
      <c r="Q364" t="n">
        <v>0</v>
      </c>
      <c r="R364" s="2" t="inlineStr"/>
    </row>
    <row r="365" ht="15" customHeight="1">
      <c r="A365" t="inlineStr">
        <is>
          <t>A 37103-2025</t>
        </is>
      </c>
      <c r="B365" s="1" t="n">
        <v>45875.47743055555</v>
      </c>
      <c r="C365" s="1" t="n">
        <v>46163</v>
      </c>
      <c r="D365" t="inlineStr">
        <is>
          <t>VÄSTMANLANDS LÄN</t>
        </is>
      </c>
      <c r="E365" t="inlineStr">
        <is>
          <t>SALA</t>
        </is>
      </c>
      <c r="G365" t="n">
        <v>1.9</v>
      </c>
      <c r="H365" t="n">
        <v>0</v>
      </c>
      <c r="I365" t="n">
        <v>0</v>
      </c>
      <c r="J365" t="n">
        <v>0</v>
      </c>
      <c r="K365" t="n">
        <v>0</v>
      </c>
      <c r="L365" t="n">
        <v>0</v>
      </c>
      <c r="M365" t="n">
        <v>0</v>
      </c>
      <c r="N365" t="n">
        <v>0</v>
      </c>
      <c r="O365" t="n">
        <v>0</v>
      </c>
      <c r="P365" t="n">
        <v>0</v>
      </c>
      <c r="Q365" t="n">
        <v>0</v>
      </c>
      <c r="R365" s="2" t="inlineStr"/>
    </row>
    <row r="366" ht="15" customHeight="1">
      <c r="A366" t="inlineStr">
        <is>
          <t>A 44100-2025</t>
        </is>
      </c>
      <c r="B366" s="1" t="n">
        <v>45915.56707175926</v>
      </c>
      <c r="C366" s="1" t="n">
        <v>46163</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37017-2025</t>
        </is>
      </c>
      <c r="B367" s="1" t="n">
        <v>45874</v>
      </c>
      <c r="C367" s="1" t="n">
        <v>46163</v>
      </c>
      <c r="D367" t="inlineStr">
        <is>
          <t>VÄSTMANLANDS LÄN</t>
        </is>
      </c>
      <c r="E367" t="inlineStr">
        <is>
          <t>SALA</t>
        </is>
      </c>
      <c r="G367" t="n">
        <v>11.1</v>
      </c>
      <c r="H367" t="n">
        <v>0</v>
      </c>
      <c r="I367" t="n">
        <v>0</v>
      </c>
      <c r="J367" t="n">
        <v>0</v>
      </c>
      <c r="K367" t="n">
        <v>0</v>
      </c>
      <c r="L367" t="n">
        <v>0</v>
      </c>
      <c r="M367" t="n">
        <v>0</v>
      </c>
      <c r="N367" t="n">
        <v>0</v>
      </c>
      <c r="O367" t="n">
        <v>0</v>
      </c>
      <c r="P367" t="n">
        <v>0</v>
      </c>
      <c r="Q367" t="n">
        <v>0</v>
      </c>
      <c r="R367" s="2" t="inlineStr"/>
    </row>
    <row r="368" ht="15" customHeight="1">
      <c r="A368" t="inlineStr">
        <is>
          <t>A 60034-2024</t>
        </is>
      </c>
      <c r="B368" s="1" t="n">
        <v>45642.46261574074</v>
      </c>
      <c r="C368" s="1" t="n">
        <v>46163</v>
      </c>
      <c r="D368" t="inlineStr">
        <is>
          <t>VÄSTMANLANDS LÄN</t>
        </is>
      </c>
      <c r="E368" t="inlineStr">
        <is>
          <t>SALA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37246-2025</t>
        </is>
      </c>
      <c r="B369" s="1" t="n">
        <v>45876.39435185185</v>
      </c>
      <c r="C369" s="1" t="n">
        <v>46163</v>
      </c>
      <c r="D369" t="inlineStr">
        <is>
          <t>VÄSTMANLANDS LÄN</t>
        </is>
      </c>
      <c r="E369" t="inlineStr">
        <is>
          <t>SALA</t>
        </is>
      </c>
      <c r="G369" t="n">
        <v>2.3</v>
      </c>
      <c r="H369" t="n">
        <v>0</v>
      </c>
      <c r="I369" t="n">
        <v>0</v>
      </c>
      <c r="J369" t="n">
        <v>0</v>
      </c>
      <c r="K369" t="n">
        <v>0</v>
      </c>
      <c r="L369" t="n">
        <v>0</v>
      </c>
      <c r="M369" t="n">
        <v>0</v>
      </c>
      <c r="N369" t="n">
        <v>0</v>
      </c>
      <c r="O369" t="n">
        <v>0</v>
      </c>
      <c r="P369" t="n">
        <v>0</v>
      </c>
      <c r="Q369" t="n">
        <v>0</v>
      </c>
      <c r="R369" s="2" t="inlineStr"/>
    </row>
    <row r="370" ht="15" customHeight="1">
      <c r="A370" t="inlineStr">
        <is>
          <t>A 44524-2025</t>
        </is>
      </c>
      <c r="B370" s="1" t="n">
        <v>45916.72920138889</v>
      </c>
      <c r="C370" s="1" t="n">
        <v>46163</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34867-2023</t>
        </is>
      </c>
      <c r="B371" s="1" t="n">
        <v>45142.33481481481</v>
      </c>
      <c r="C371" s="1" t="n">
        <v>46163</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37590-2025</t>
        </is>
      </c>
      <c r="B372" s="1" t="n">
        <v>45880.41138888889</v>
      </c>
      <c r="C372" s="1" t="n">
        <v>46163</v>
      </c>
      <c r="D372" t="inlineStr">
        <is>
          <t>VÄSTMANLANDS LÄN</t>
        </is>
      </c>
      <c r="E372" t="inlineStr">
        <is>
          <t>SALA</t>
        </is>
      </c>
      <c r="G372" t="n">
        <v>2.2</v>
      </c>
      <c r="H372" t="n">
        <v>0</v>
      </c>
      <c r="I372" t="n">
        <v>0</v>
      </c>
      <c r="J372" t="n">
        <v>0</v>
      </c>
      <c r="K372" t="n">
        <v>0</v>
      </c>
      <c r="L372" t="n">
        <v>0</v>
      </c>
      <c r="M372" t="n">
        <v>0</v>
      </c>
      <c r="N372" t="n">
        <v>0</v>
      </c>
      <c r="O372" t="n">
        <v>0</v>
      </c>
      <c r="P372" t="n">
        <v>0</v>
      </c>
      <c r="Q372" t="n">
        <v>0</v>
      </c>
      <c r="R372" s="2" t="inlineStr"/>
    </row>
    <row r="373" ht="15" customHeight="1">
      <c r="A373" t="inlineStr">
        <is>
          <t>A 37593-2025</t>
        </is>
      </c>
      <c r="B373" s="1" t="n">
        <v>45880.41325231481</v>
      </c>
      <c r="C373" s="1" t="n">
        <v>46163</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44486-2025</t>
        </is>
      </c>
      <c r="B374" s="1" t="n">
        <v>45916.65517361111</v>
      </c>
      <c r="C374" s="1" t="n">
        <v>46163</v>
      </c>
      <c r="D374" t="inlineStr">
        <is>
          <t>VÄSTMANLANDS LÄN</t>
        </is>
      </c>
      <c r="E374" t="inlineStr">
        <is>
          <t>SALA</t>
        </is>
      </c>
      <c r="G374" t="n">
        <v>1.7</v>
      </c>
      <c r="H374" t="n">
        <v>0</v>
      </c>
      <c r="I374" t="n">
        <v>0</v>
      </c>
      <c r="J374" t="n">
        <v>0</v>
      </c>
      <c r="K374" t="n">
        <v>0</v>
      </c>
      <c r="L374" t="n">
        <v>0</v>
      </c>
      <c r="M374" t="n">
        <v>0</v>
      </c>
      <c r="N374" t="n">
        <v>0</v>
      </c>
      <c r="O374" t="n">
        <v>0</v>
      </c>
      <c r="P374" t="n">
        <v>0</v>
      </c>
      <c r="Q374" t="n">
        <v>0</v>
      </c>
      <c r="R374" s="2" t="inlineStr"/>
    </row>
    <row r="375" ht="15" customHeight="1">
      <c r="A375" t="inlineStr">
        <is>
          <t>A 11631-2023</t>
        </is>
      </c>
      <c r="B375" s="1" t="n">
        <v>44994.44001157407</v>
      </c>
      <c r="C375" s="1" t="n">
        <v>46163</v>
      </c>
      <c r="D375" t="inlineStr">
        <is>
          <t>VÄSTMANLANDS LÄN</t>
        </is>
      </c>
      <c r="E375" t="inlineStr">
        <is>
          <t>SALA</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45177-2025</t>
        </is>
      </c>
      <c r="B376" s="1" t="n">
        <v>45919.52444444445</v>
      </c>
      <c r="C376" s="1" t="n">
        <v>46163</v>
      </c>
      <c r="D376" t="inlineStr">
        <is>
          <t>VÄSTMANLANDS LÄN</t>
        </is>
      </c>
      <c r="E376" t="inlineStr">
        <is>
          <t>SALA</t>
        </is>
      </c>
      <c r="G376" t="n">
        <v>2.4</v>
      </c>
      <c r="H376" t="n">
        <v>0</v>
      </c>
      <c r="I376" t="n">
        <v>0</v>
      </c>
      <c r="J376" t="n">
        <v>0</v>
      </c>
      <c r="K376" t="n">
        <v>0</v>
      </c>
      <c r="L376" t="n">
        <v>0</v>
      </c>
      <c r="M376" t="n">
        <v>0</v>
      </c>
      <c r="N376" t="n">
        <v>0</v>
      </c>
      <c r="O376" t="n">
        <v>0</v>
      </c>
      <c r="P376" t="n">
        <v>0</v>
      </c>
      <c r="Q376" t="n">
        <v>0</v>
      </c>
      <c r="R376" s="2" t="inlineStr"/>
    </row>
    <row r="377" ht="15" customHeight="1">
      <c r="A377" t="inlineStr">
        <is>
          <t>A 38294-2025</t>
        </is>
      </c>
      <c r="B377" s="1" t="n">
        <v>45883.44854166666</v>
      </c>
      <c r="C377" s="1" t="n">
        <v>46163</v>
      </c>
      <c r="D377" t="inlineStr">
        <is>
          <t>VÄSTMANLANDS LÄN</t>
        </is>
      </c>
      <c r="E377" t="inlineStr">
        <is>
          <t>SALA</t>
        </is>
      </c>
      <c r="G377" t="n">
        <v>1.5</v>
      </c>
      <c r="H377" t="n">
        <v>0</v>
      </c>
      <c r="I377" t="n">
        <v>0</v>
      </c>
      <c r="J377" t="n">
        <v>0</v>
      </c>
      <c r="K377" t="n">
        <v>0</v>
      </c>
      <c r="L377" t="n">
        <v>0</v>
      </c>
      <c r="M377" t="n">
        <v>0</v>
      </c>
      <c r="N377" t="n">
        <v>0</v>
      </c>
      <c r="O377" t="n">
        <v>0</v>
      </c>
      <c r="P377" t="n">
        <v>0</v>
      </c>
      <c r="Q377" t="n">
        <v>0</v>
      </c>
      <c r="R377" s="2" t="inlineStr"/>
    </row>
    <row r="378" ht="15" customHeight="1">
      <c r="A378" t="inlineStr">
        <is>
          <t>A 43122-2025</t>
        </is>
      </c>
      <c r="B378" s="1" t="n">
        <v>45909</v>
      </c>
      <c r="C378" s="1" t="n">
        <v>46163</v>
      </c>
      <c r="D378" t="inlineStr">
        <is>
          <t>VÄSTMANLANDS LÄN</t>
        </is>
      </c>
      <c r="E378" t="inlineStr">
        <is>
          <t>SALA</t>
        </is>
      </c>
      <c r="G378" t="n">
        <v>3.2</v>
      </c>
      <c r="H378" t="n">
        <v>0</v>
      </c>
      <c r="I378" t="n">
        <v>0</v>
      </c>
      <c r="J378" t="n">
        <v>0</v>
      </c>
      <c r="K378" t="n">
        <v>0</v>
      </c>
      <c r="L378" t="n">
        <v>0</v>
      </c>
      <c r="M378" t="n">
        <v>0</v>
      </c>
      <c r="N378" t="n">
        <v>0</v>
      </c>
      <c r="O378" t="n">
        <v>0</v>
      </c>
      <c r="P378" t="n">
        <v>0</v>
      </c>
      <c r="Q378" t="n">
        <v>0</v>
      </c>
      <c r="R378" s="2" t="inlineStr"/>
    </row>
    <row r="379" ht="15" customHeight="1">
      <c r="A379" t="inlineStr">
        <is>
          <t>A 43359-2024</t>
        </is>
      </c>
      <c r="B379" s="1" t="n">
        <v>45568.57724537037</v>
      </c>
      <c r="C379" s="1" t="n">
        <v>46163</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29972-2025</t>
        </is>
      </c>
      <c r="B380" s="1" t="n">
        <v>45826</v>
      </c>
      <c r="C380" s="1" t="n">
        <v>46163</v>
      </c>
      <c r="D380" t="inlineStr">
        <is>
          <t>VÄSTMANLANDS LÄN</t>
        </is>
      </c>
      <c r="E380" t="inlineStr">
        <is>
          <t>SALA</t>
        </is>
      </c>
      <c r="G380" t="n">
        <v>2.7</v>
      </c>
      <c r="H380" t="n">
        <v>0</v>
      </c>
      <c r="I380" t="n">
        <v>0</v>
      </c>
      <c r="J380" t="n">
        <v>0</v>
      </c>
      <c r="K380" t="n">
        <v>0</v>
      </c>
      <c r="L380" t="n">
        <v>0</v>
      </c>
      <c r="M380" t="n">
        <v>0</v>
      </c>
      <c r="N380" t="n">
        <v>0</v>
      </c>
      <c r="O380" t="n">
        <v>0</v>
      </c>
      <c r="P380" t="n">
        <v>0</v>
      </c>
      <c r="Q380" t="n">
        <v>0</v>
      </c>
      <c r="R380" s="2" t="inlineStr"/>
    </row>
    <row r="381" ht="15" customHeight="1">
      <c r="A381" t="inlineStr">
        <is>
          <t>A 8775-2024</t>
        </is>
      </c>
      <c r="B381" s="1" t="n">
        <v>45356</v>
      </c>
      <c r="C381" s="1" t="n">
        <v>46163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48710-2024</t>
        </is>
      </c>
      <c r="B382" s="1" t="n">
        <v>45593.53636574074</v>
      </c>
      <c r="C382" s="1" t="n">
        <v>46163</v>
      </c>
      <c r="D382" t="inlineStr">
        <is>
          <t>VÄSTMANLANDS LÄN</t>
        </is>
      </c>
      <c r="E382" t="inlineStr">
        <is>
          <t>SALA</t>
        </is>
      </c>
      <c r="G382" t="n">
        <v>6.5</v>
      </c>
      <c r="H382" t="n">
        <v>0</v>
      </c>
      <c r="I382" t="n">
        <v>0</v>
      </c>
      <c r="J382" t="n">
        <v>0</v>
      </c>
      <c r="K382" t="n">
        <v>0</v>
      </c>
      <c r="L382" t="n">
        <v>0</v>
      </c>
      <c r="M382" t="n">
        <v>0</v>
      </c>
      <c r="N382" t="n">
        <v>0</v>
      </c>
      <c r="O382" t="n">
        <v>0</v>
      </c>
      <c r="P382" t="n">
        <v>0</v>
      </c>
      <c r="Q382" t="n">
        <v>0</v>
      </c>
      <c r="R382" s="2" t="inlineStr"/>
    </row>
    <row r="383" ht="15" customHeight="1">
      <c r="A383" t="inlineStr">
        <is>
          <t>A 16404-2022</t>
        </is>
      </c>
      <c r="B383" s="1" t="n">
        <v>44671</v>
      </c>
      <c r="C383" s="1" t="n">
        <v>46163</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45371-2025</t>
        </is>
      </c>
      <c r="B384" s="1" t="n">
        <v>45922.39001157408</v>
      </c>
      <c r="C384" s="1" t="n">
        <v>46163</v>
      </c>
      <c r="D384" t="inlineStr">
        <is>
          <t>VÄSTMANLANDS LÄN</t>
        </is>
      </c>
      <c r="E384" t="inlineStr">
        <is>
          <t>SALA</t>
        </is>
      </c>
      <c r="G384" t="n">
        <v>2.1</v>
      </c>
      <c r="H384" t="n">
        <v>0</v>
      </c>
      <c r="I384" t="n">
        <v>0</v>
      </c>
      <c r="J384" t="n">
        <v>0</v>
      </c>
      <c r="K384" t="n">
        <v>0</v>
      </c>
      <c r="L384" t="n">
        <v>0</v>
      </c>
      <c r="M384" t="n">
        <v>0</v>
      </c>
      <c r="N384" t="n">
        <v>0</v>
      </c>
      <c r="O384" t="n">
        <v>0</v>
      </c>
      <c r="P384" t="n">
        <v>0</v>
      </c>
      <c r="Q384" t="n">
        <v>0</v>
      </c>
      <c r="R384" s="2" t="inlineStr"/>
    </row>
    <row r="385" ht="15" customHeight="1">
      <c r="A385" t="inlineStr">
        <is>
          <t>A 46279-2021</t>
        </is>
      </c>
      <c r="B385" s="1" t="n">
        <v>44442.57797453704</v>
      </c>
      <c r="C385" s="1" t="n">
        <v>46163</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24248-2023</t>
        </is>
      </c>
      <c r="B386" s="1" t="n">
        <v>45079</v>
      </c>
      <c r="C386" s="1" t="n">
        <v>46163</v>
      </c>
      <c r="D386" t="inlineStr">
        <is>
          <t>VÄSTMANLANDS LÄN</t>
        </is>
      </c>
      <c r="E386" t="inlineStr">
        <is>
          <t>SALA</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45914-2025</t>
        </is>
      </c>
      <c r="B387" s="1" t="n">
        <v>45923.82582175926</v>
      </c>
      <c r="C387" s="1" t="n">
        <v>46163</v>
      </c>
      <c r="D387" t="inlineStr">
        <is>
          <t>VÄSTMANLANDS LÄN</t>
        </is>
      </c>
      <c r="E387" t="inlineStr">
        <is>
          <t>SALA</t>
        </is>
      </c>
      <c r="F387" t="inlineStr">
        <is>
          <t>Kommuner</t>
        </is>
      </c>
      <c r="G387" t="n">
        <v>18.2</v>
      </c>
      <c r="H387" t="n">
        <v>0</v>
      </c>
      <c r="I387" t="n">
        <v>0</v>
      </c>
      <c r="J387" t="n">
        <v>0</v>
      </c>
      <c r="K387" t="n">
        <v>0</v>
      </c>
      <c r="L387" t="n">
        <v>0</v>
      </c>
      <c r="M387" t="n">
        <v>0</v>
      </c>
      <c r="N387" t="n">
        <v>0</v>
      </c>
      <c r="O387" t="n">
        <v>0</v>
      </c>
      <c r="P387" t="n">
        <v>0</v>
      </c>
      <c r="Q387" t="n">
        <v>0</v>
      </c>
      <c r="R387" s="2" t="inlineStr"/>
      <c r="U387">
        <f>HYPERLINK("https://klasma.github.io/Logging_1981/knärot/A 45914-2025 karta knärot.png", "A 45914-2025")</f>
        <v/>
      </c>
      <c r="V387">
        <f>HYPERLINK("https://klasma.github.io/Logging_1981/klagomål/A 45914-2025 FSC-klagomål.docx", "A 45914-2025")</f>
        <v/>
      </c>
      <c r="W387">
        <f>HYPERLINK("https://klasma.github.io/Logging_1981/klagomålsmail/A 45914-2025 FSC-klagomål mail.docx", "A 45914-2025")</f>
        <v/>
      </c>
      <c r="X387">
        <f>HYPERLINK("https://klasma.github.io/Logging_1981/tillsyn/A 45914-2025 tillsynsbegäran.docx", "A 45914-2025")</f>
        <v/>
      </c>
      <c r="Y387">
        <f>HYPERLINK("https://klasma.github.io/Logging_1981/tillsynsmail/A 45914-2025 tillsynsbegäran mail.docx", "A 45914-2025")</f>
        <v/>
      </c>
    </row>
    <row r="388" ht="15" customHeight="1">
      <c r="A388" t="inlineStr">
        <is>
          <t>A 10559-2024</t>
        </is>
      </c>
      <c r="B388" s="1" t="n">
        <v>45366</v>
      </c>
      <c r="C388" s="1" t="n">
        <v>46163</v>
      </c>
      <c r="D388" t="inlineStr">
        <is>
          <t>VÄSTMANLANDS LÄN</t>
        </is>
      </c>
      <c r="E388" t="inlineStr">
        <is>
          <t>SALA</t>
        </is>
      </c>
      <c r="G388" t="n">
        <v>0.3</v>
      </c>
      <c r="H388" t="n">
        <v>0</v>
      </c>
      <c r="I388" t="n">
        <v>0</v>
      </c>
      <c r="J388" t="n">
        <v>0</v>
      </c>
      <c r="K388" t="n">
        <v>0</v>
      </c>
      <c r="L388" t="n">
        <v>0</v>
      </c>
      <c r="M388" t="n">
        <v>0</v>
      </c>
      <c r="N388" t="n">
        <v>0</v>
      </c>
      <c r="O388" t="n">
        <v>0</v>
      </c>
      <c r="P388" t="n">
        <v>0</v>
      </c>
      <c r="Q388" t="n">
        <v>0</v>
      </c>
      <c r="R388" s="2" t="inlineStr"/>
    </row>
    <row r="389" ht="15" customHeight="1">
      <c r="A389" t="inlineStr">
        <is>
          <t>A 45909-2025</t>
        </is>
      </c>
      <c r="B389" s="1" t="n">
        <v>45923.75078703704</v>
      </c>
      <c r="C389" s="1" t="n">
        <v>46163</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40214-2023</t>
        </is>
      </c>
      <c r="B390" s="1" t="n">
        <v>45169.45173611111</v>
      </c>
      <c r="C390" s="1" t="n">
        <v>46163</v>
      </c>
      <c r="D390" t="inlineStr">
        <is>
          <t>VÄSTMANLANDS LÄN</t>
        </is>
      </c>
      <c r="E390" t="inlineStr">
        <is>
          <t>SALA</t>
        </is>
      </c>
      <c r="G390" t="n">
        <v>5.5</v>
      </c>
      <c r="H390" t="n">
        <v>0</v>
      </c>
      <c r="I390" t="n">
        <v>0</v>
      </c>
      <c r="J390" t="n">
        <v>0</v>
      </c>
      <c r="K390" t="n">
        <v>0</v>
      </c>
      <c r="L390" t="n">
        <v>0</v>
      </c>
      <c r="M390" t="n">
        <v>0</v>
      </c>
      <c r="N390" t="n">
        <v>0</v>
      </c>
      <c r="O390" t="n">
        <v>0</v>
      </c>
      <c r="P390" t="n">
        <v>0</v>
      </c>
      <c r="Q390" t="n">
        <v>0</v>
      </c>
      <c r="R390" s="2" t="inlineStr"/>
    </row>
    <row r="391" ht="15" customHeight="1">
      <c r="A391" t="inlineStr">
        <is>
          <t>A 9856-2022</t>
        </is>
      </c>
      <c r="B391" s="1" t="n">
        <v>44620</v>
      </c>
      <c r="C391" s="1" t="n">
        <v>46163</v>
      </c>
      <c r="D391" t="inlineStr">
        <is>
          <t>VÄSTMANLANDS LÄN</t>
        </is>
      </c>
      <c r="E391" t="inlineStr">
        <is>
          <t>SALA</t>
        </is>
      </c>
      <c r="G391" t="n">
        <v>2.4</v>
      </c>
      <c r="H391" t="n">
        <v>0</v>
      </c>
      <c r="I391" t="n">
        <v>0</v>
      </c>
      <c r="J391" t="n">
        <v>0</v>
      </c>
      <c r="K391" t="n">
        <v>0</v>
      </c>
      <c r="L391" t="n">
        <v>0</v>
      </c>
      <c r="M391" t="n">
        <v>0</v>
      </c>
      <c r="N391" t="n">
        <v>0</v>
      </c>
      <c r="O391" t="n">
        <v>0</v>
      </c>
      <c r="P391" t="n">
        <v>0</v>
      </c>
      <c r="Q391" t="n">
        <v>0</v>
      </c>
      <c r="R391" s="2" t="inlineStr"/>
    </row>
    <row r="392" ht="15" customHeight="1">
      <c r="A392" t="inlineStr">
        <is>
          <t>A 18100-2023</t>
        </is>
      </c>
      <c r="B392" s="1" t="n">
        <v>45040</v>
      </c>
      <c r="C392" s="1" t="n">
        <v>46163</v>
      </c>
      <c r="D392" t="inlineStr">
        <is>
          <t>VÄSTMANLANDS LÄN</t>
        </is>
      </c>
      <c r="E392" t="inlineStr">
        <is>
          <t>SALA</t>
        </is>
      </c>
      <c r="G392" t="n">
        <v>1.8</v>
      </c>
      <c r="H392" t="n">
        <v>0</v>
      </c>
      <c r="I392" t="n">
        <v>0</v>
      </c>
      <c r="J392" t="n">
        <v>0</v>
      </c>
      <c r="K392" t="n">
        <v>0</v>
      </c>
      <c r="L392" t="n">
        <v>0</v>
      </c>
      <c r="M392" t="n">
        <v>0</v>
      </c>
      <c r="N392" t="n">
        <v>0</v>
      </c>
      <c r="O392" t="n">
        <v>0</v>
      </c>
      <c r="P392" t="n">
        <v>0</v>
      </c>
      <c r="Q392" t="n">
        <v>0</v>
      </c>
      <c r="R392" s="2" t="inlineStr"/>
    </row>
    <row r="393" ht="15" customHeight="1">
      <c r="A393" t="inlineStr">
        <is>
          <t>A 46915-2025</t>
        </is>
      </c>
      <c r="B393" s="1" t="n">
        <v>45929.42114583333</v>
      </c>
      <c r="C393" s="1" t="n">
        <v>46163</v>
      </c>
      <c r="D393" t="inlineStr">
        <is>
          <t>VÄSTMANLANDS LÄN</t>
        </is>
      </c>
      <c r="E393" t="inlineStr">
        <is>
          <t>SALA</t>
        </is>
      </c>
      <c r="G393" t="n">
        <v>1.5</v>
      </c>
      <c r="H393" t="n">
        <v>0</v>
      </c>
      <c r="I393" t="n">
        <v>0</v>
      </c>
      <c r="J393" t="n">
        <v>0</v>
      </c>
      <c r="K393" t="n">
        <v>0</v>
      </c>
      <c r="L393" t="n">
        <v>0</v>
      </c>
      <c r="M393" t="n">
        <v>0</v>
      </c>
      <c r="N393" t="n">
        <v>0</v>
      </c>
      <c r="O393" t="n">
        <v>0</v>
      </c>
      <c r="P393" t="n">
        <v>0</v>
      </c>
      <c r="Q393" t="n">
        <v>0</v>
      </c>
      <c r="R393" s="2" t="inlineStr"/>
    </row>
    <row r="394" ht="15" customHeight="1">
      <c r="A394" t="inlineStr">
        <is>
          <t>A 10239-2026</t>
        </is>
      </c>
      <c r="B394" s="1" t="n">
        <v>46076.54824074074</v>
      </c>
      <c r="C394" s="1" t="n">
        <v>46163</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73673-2021</t>
        </is>
      </c>
      <c r="B395" s="1" t="n">
        <v>44552.46501157407</v>
      </c>
      <c r="C395" s="1" t="n">
        <v>46163</v>
      </c>
      <c r="D395" t="inlineStr">
        <is>
          <t>VÄSTMANLANDS LÄN</t>
        </is>
      </c>
      <c r="E395" t="inlineStr">
        <is>
          <t>SALA</t>
        </is>
      </c>
      <c r="G395" t="n">
        <v>11.4</v>
      </c>
      <c r="H395" t="n">
        <v>0</v>
      </c>
      <c r="I395" t="n">
        <v>0</v>
      </c>
      <c r="J395" t="n">
        <v>0</v>
      </c>
      <c r="K395" t="n">
        <v>0</v>
      </c>
      <c r="L395" t="n">
        <v>0</v>
      </c>
      <c r="M395" t="n">
        <v>0</v>
      </c>
      <c r="N395" t="n">
        <v>0</v>
      </c>
      <c r="O395" t="n">
        <v>0</v>
      </c>
      <c r="P395" t="n">
        <v>0</v>
      </c>
      <c r="Q395" t="n">
        <v>0</v>
      </c>
      <c r="R395" s="2" t="inlineStr"/>
    </row>
    <row r="396" ht="15" customHeight="1">
      <c r="A396" t="inlineStr">
        <is>
          <t>A 23374-2023</t>
        </is>
      </c>
      <c r="B396" s="1" t="n">
        <v>45076.4399537037</v>
      </c>
      <c r="C396" s="1" t="n">
        <v>46163</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6134-2024</t>
        </is>
      </c>
      <c r="B397" s="1" t="n">
        <v>45337</v>
      </c>
      <c r="C397" s="1" t="n">
        <v>46163</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48117-2024</t>
        </is>
      </c>
      <c r="B398" s="1" t="n">
        <v>45589</v>
      </c>
      <c r="C398" s="1" t="n">
        <v>46163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10245-2026</t>
        </is>
      </c>
      <c r="B399" s="1" t="n">
        <v>46076.55144675926</v>
      </c>
      <c r="C399" s="1" t="n">
        <v>46163</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10252-2026</t>
        </is>
      </c>
      <c r="B400" s="1" t="n">
        <v>46076.55700231482</v>
      </c>
      <c r="C400" s="1" t="n">
        <v>46163</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31082-2021</t>
        </is>
      </c>
      <c r="B401" s="1" t="n">
        <v>44368</v>
      </c>
      <c r="C401" s="1" t="n">
        <v>46163</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46597-2025</t>
        </is>
      </c>
      <c r="B402" s="1" t="n">
        <v>45926.40113425926</v>
      </c>
      <c r="C402" s="1" t="n">
        <v>46163</v>
      </c>
      <c r="D402" t="inlineStr">
        <is>
          <t>VÄSTMANLANDS LÄN</t>
        </is>
      </c>
      <c r="E402" t="inlineStr">
        <is>
          <t>SALA</t>
        </is>
      </c>
      <c r="G402" t="n">
        <v>3.4</v>
      </c>
      <c r="H402" t="n">
        <v>0</v>
      </c>
      <c r="I402" t="n">
        <v>0</v>
      </c>
      <c r="J402" t="n">
        <v>0</v>
      </c>
      <c r="K402" t="n">
        <v>0</v>
      </c>
      <c r="L402" t="n">
        <v>0</v>
      </c>
      <c r="M402" t="n">
        <v>0</v>
      </c>
      <c r="N402" t="n">
        <v>0</v>
      </c>
      <c r="O402" t="n">
        <v>0</v>
      </c>
      <c r="P402" t="n">
        <v>0</v>
      </c>
      <c r="Q402" t="n">
        <v>0</v>
      </c>
      <c r="R402" s="2" t="inlineStr"/>
    </row>
    <row r="403" ht="15" customHeight="1">
      <c r="A403" t="inlineStr">
        <is>
          <t>A 31470-2021</t>
        </is>
      </c>
      <c r="B403" s="1" t="n">
        <v>44369</v>
      </c>
      <c r="C403" s="1" t="n">
        <v>46163</v>
      </c>
      <c r="D403" t="inlineStr">
        <is>
          <t>VÄSTMANLANDS LÄN</t>
        </is>
      </c>
      <c r="E403" t="inlineStr">
        <is>
          <t>SALA</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47577-2025</t>
        </is>
      </c>
      <c r="B404" s="1" t="n">
        <v>45931.4047337963</v>
      </c>
      <c r="C404" s="1" t="n">
        <v>46163</v>
      </c>
      <c r="D404" t="inlineStr">
        <is>
          <t>VÄSTMANLANDS LÄN</t>
        </is>
      </c>
      <c r="E404" t="inlineStr">
        <is>
          <t>SALA</t>
        </is>
      </c>
      <c r="G404" t="n">
        <v>3.7</v>
      </c>
      <c r="H404" t="n">
        <v>0</v>
      </c>
      <c r="I404" t="n">
        <v>0</v>
      </c>
      <c r="J404" t="n">
        <v>0</v>
      </c>
      <c r="K404" t="n">
        <v>0</v>
      </c>
      <c r="L404" t="n">
        <v>0</v>
      </c>
      <c r="M404" t="n">
        <v>0</v>
      </c>
      <c r="N404" t="n">
        <v>0</v>
      </c>
      <c r="O404" t="n">
        <v>0</v>
      </c>
      <c r="P404" t="n">
        <v>0</v>
      </c>
      <c r="Q404" t="n">
        <v>0</v>
      </c>
      <c r="R404" s="2" t="inlineStr"/>
    </row>
    <row r="405" ht="15" customHeight="1">
      <c r="A405" t="inlineStr">
        <is>
          <t>A 24175-2024</t>
        </is>
      </c>
      <c r="B405" s="1" t="n">
        <v>45456</v>
      </c>
      <c r="C405" s="1" t="n">
        <v>46163</v>
      </c>
      <c r="D405" t="inlineStr">
        <is>
          <t>VÄSTMANLANDS LÄN</t>
        </is>
      </c>
      <c r="E405" t="inlineStr">
        <is>
          <t>SALA</t>
        </is>
      </c>
      <c r="G405" t="n">
        <v>0.6</v>
      </c>
      <c r="H405" t="n">
        <v>0</v>
      </c>
      <c r="I405" t="n">
        <v>0</v>
      </c>
      <c r="J405" t="n">
        <v>0</v>
      </c>
      <c r="K405" t="n">
        <v>0</v>
      </c>
      <c r="L405" t="n">
        <v>0</v>
      </c>
      <c r="M405" t="n">
        <v>0</v>
      </c>
      <c r="N405" t="n">
        <v>0</v>
      </c>
      <c r="O405" t="n">
        <v>0</v>
      </c>
      <c r="P405" t="n">
        <v>0</v>
      </c>
      <c r="Q405" t="n">
        <v>0</v>
      </c>
      <c r="R405" s="2" t="inlineStr"/>
    </row>
    <row r="406" ht="15" customHeight="1">
      <c r="A406" t="inlineStr">
        <is>
          <t>A 28328-2023</t>
        </is>
      </c>
      <c r="B406" s="1" t="n">
        <v>45099.71063657408</v>
      </c>
      <c r="C406" s="1" t="n">
        <v>46163</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46661-2025</t>
        </is>
      </c>
      <c r="B407" s="1" t="n">
        <v>45926</v>
      </c>
      <c r="C407" s="1" t="n">
        <v>46163</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61715-2024</t>
        </is>
      </c>
      <c r="B408" s="1" t="n">
        <v>45648.89519675926</v>
      </c>
      <c r="C408" s="1" t="n">
        <v>46163</v>
      </c>
      <c r="D408" t="inlineStr">
        <is>
          <t>VÄSTMANLANDS LÄN</t>
        </is>
      </c>
      <c r="E408" t="inlineStr">
        <is>
          <t>SALA</t>
        </is>
      </c>
      <c r="G408" t="n">
        <v>2.5</v>
      </c>
      <c r="H408" t="n">
        <v>0</v>
      </c>
      <c r="I408" t="n">
        <v>0</v>
      </c>
      <c r="J408" t="n">
        <v>0</v>
      </c>
      <c r="K408" t="n">
        <v>0</v>
      </c>
      <c r="L408" t="n">
        <v>0</v>
      </c>
      <c r="M408" t="n">
        <v>0</v>
      </c>
      <c r="N408" t="n">
        <v>0</v>
      </c>
      <c r="O408" t="n">
        <v>0</v>
      </c>
      <c r="P408" t="n">
        <v>0</v>
      </c>
      <c r="Q408" t="n">
        <v>0</v>
      </c>
      <c r="R408" s="2" t="inlineStr"/>
    </row>
    <row r="409" ht="15" customHeight="1">
      <c r="A409" t="inlineStr">
        <is>
          <t>A 18382-2026</t>
        </is>
      </c>
      <c r="B409" s="1" t="n">
        <v>46126.63601851852</v>
      </c>
      <c r="C409" s="1" t="n">
        <v>46163</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38195-2021</t>
        </is>
      </c>
      <c r="B410" s="1" t="n">
        <v>44405</v>
      </c>
      <c r="C410" s="1" t="n">
        <v>46163</v>
      </c>
      <c r="D410" t="inlineStr">
        <is>
          <t>VÄSTMANLANDS LÄN</t>
        </is>
      </c>
      <c r="E410" t="inlineStr">
        <is>
          <t>SALA</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6132-2025</t>
        </is>
      </c>
      <c r="B411" s="1" t="n">
        <v>45698</v>
      </c>
      <c r="C411" s="1" t="n">
        <v>46163</v>
      </c>
      <c r="D411" t="inlineStr">
        <is>
          <t>VÄSTMANLANDS LÄN</t>
        </is>
      </c>
      <c r="E411" t="inlineStr">
        <is>
          <t>SALA</t>
        </is>
      </c>
      <c r="F411" t="inlineStr">
        <is>
          <t>Bergvik skog öst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21777-2022</t>
        </is>
      </c>
      <c r="B412" s="1" t="n">
        <v>44708.48194444444</v>
      </c>
      <c r="C412" s="1" t="n">
        <v>46163</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12144-2026</t>
        </is>
      </c>
      <c r="B413" s="1" t="n">
        <v>46086.58008101852</v>
      </c>
      <c r="C413" s="1" t="n">
        <v>46163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48057-2025</t>
        </is>
      </c>
      <c r="B414" s="1" t="n">
        <v>45932.67947916667</v>
      </c>
      <c r="C414" s="1" t="n">
        <v>46163</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11389-2024</t>
        </is>
      </c>
      <c r="B415" s="1" t="n">
        <v>45372.45016203704</v>
      </c>
      <c r="C415" s="1" t="n">
        <v>46163</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18592-2026</t>
        </is>
      </c>
      <c r="B416" s="1" t="n">
        <v>46127.64232638889</v>
      </c>
      <c r="C416" s="1" t="n">
        <v>46163</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48710-2025</t>
        </is>
      </c>
      <c r="B417" s="1" t="n">
        <v>45936.63184027778</v>
      </c>
      <c r="C417" s="1" t="n">
        <v>46163</v>
      </c>
      <c r="D417" t="inlineStr">
        <is>
          <t>VÄSTMANLANDS LÄN</t>
        </is>
      </c>
      <c r="E417" t="inlineStr">
        <is>
          <t>SALA</t>
        </is>
      </c>
      <c r="G417" t="n">
        <v>2.7</v>
      </c>
      <c r="H417" t="n">
        <v>0</v>
      </c>
      <c r="I417" t="n">
        <v>0</v>
      </c>
      <c r="J417" t="n">
        <v>0</v>
      </c>
      <c r="K417" t="n">
        <v>0</v>
      </c>
      <c r="L417" t="n">
        <v>0</v>
      </c>
      <c r="M417" t="n">
        <v>0</v>
      </c>
      <c r="N417" t="n">
        <v>0</v>
      </c>
      <c r="O417" t="n">
        <v>0</v>
      </c>
      <c r="P417" t="n">
        <v>0</v>
      </c>
      <c r="Q417" t="n">
        <v>0</v>
      </c>
      <c r="R417" s="2" t="inlineStr"/>
    </row>
    <row r="418" ht="15" customHeight="1">
      <c r="A418" t="inlineStr">
        <is>
          <t>A 2925-2024</t>
        </is>
      </c>
      <c r="B418" s="1" t="n">
        <v>45315.58909722222</v>
      </c>
      <c r="C418" s="1" t="n">
        <v>46163</v>
      </c>
      <c r="D418" t="inlineStr">
        <is>
          <t>VÄSTMANLANDS LÄN</t>
        </is>
      </c>
      <c r="E418" t="inlineStr">
        <is>
          <t>SALA</t>
        </is>
      </c>
      <c r="G418" t="n">
        <v>1.3</v>
      </c>
      <c r="H418" t="n">
        <v>0</v>
      </c>
      <c r="I418" t="n">
        <v>0</v>
      </c>
      <c r="J418" t="n">
        <v>0</v>
      </c>
      <c r="K418" t="n">
        <v>0</v>
      </c>
      <c r="L418" t="n">
        <v>0</v>
      </c>
      <c r="M418" t="n">
        <v>0</v>
      </c>
      <c r="N418" t="n">
        <v>0</v>
      </c>
      <c r="O418" t="n">
        <v>0</v>
      </c>
      <c r="P418" t="n">
        <v>0</v>
      </c>
      <c r="Q418" t="n">
        <v>0</v>
      </c>
      <c r="R418" s="2" t="inlineStr"/>
    </row>
    <row r="419" ht="15" customHeight="1">
      <c r="A419" t="inlineStr">
        <is>
          <t>A 39439-2021</t>
        </is>
      </c>
      <c r="B419" s="1" t="n">
        <v>44414</v>
      </c>
      <c r="C419" s="1" t="n">
        <v>46163</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48910-2025</t>
        </is>
      </c>
      <c r="B420" s="1" t="n">
        <v>45937.48649305556</v>
      </c>
      <c r="C420" s="1" t="n">
        <v>46163</v>
      </c>
      <c r="D420" t="inlineStr">
        <is>
          <t>VÄSTMANLANDS LÄN</t>
        </is>
      </c>
      <c r="E420" t="inlineStr">
        <is>
          <t>SALA</t>
        </is>
      </c>
      <c r="G420" t="n">
        <v>7.8</v>
      </c>
      <c r="H420" t="n">
        <v>0</v>
      </c>
      <c r="I420" t="n">
        <v>0</v>
      </c>
      <c r="J420" t="n">
        <v>0</v>
      </c>
      <c r="K420" t="n">
        <v>0</v>
      </c>
      <c r="L420" t="n">
        <v>0</v>
      </c>
      <c r="M420" t="n">
        <v>0</v>
      </c>
      <c r="N420" t="n">
        <v>0</v>
      </c>
      <c r="O420" t="n">
        <v>0</v>
      </c>
      <c r="P420" t="n">
        <v>0</v>
      </c>
      <c r="Q420" t="n">
        <v>0</v>
      </c>
      <c r="R420" s="2" t="inlineStr"/>
    </row>
    <row r="421" ht="15" customHeight="1">
      <c r="A421" t="inlineStr">
        <is>
          <t>A 49585-2025</t>
        </is>
      </c>
      <c r="B421" s="1" t="n">
        <v>45939.5043287037</v>
      </c>
      <c r="C421" s="1" t="n">
        <v>46163</v>
      </c>
      <c r="D421" t="inlineStr">
        <is>
          <t>VÄSTMANLANDS LÄN</t>
        </is>
      </c>
      <c r="E421" t="inlineStr">
        <is>
          <t>SALA</t>
        </is>
      </c>
      <c r="G421" t="n">
        <v>2.2</v>
      </c>
      <c r="H421" t="n">
        <v>0</v>
      </c>
      <c r="I421" t="n">
        <v>0</v>
      </c>
      <c r="J421" t="n">
        <v>0</v>
      </c>
      <c r="K421" t="n">
        <v>0</v>
      </c>
      <c r="L421" t="n">
        <v>0</v>
      </c>
      <c r="M421" t="n">
        <v>0</v>
      </c>
      <c r="N421" t="n">
        <v>0</v>
      </c>
      <c r="O421" t="n">
        <v>0</v>
      </c>
      <c r="P421" t="n">
        <v>0</v>
      </c>
      <c r="Q421" t="n">
        <v>0</v>
      </c>
      <c r="R421" s="2" t="inlineStr"/>
    </row>
    <row r="422" ht="15" customHeight="1">
      <c r="A422" t="inlineStr">
        <is>
          <t>A 12497-2026</t>
        </is>
      </c>
      <c r="B422" s="1" t="n">
        <v>46090.57240740741</v>
      </c>
      <c r="C422" s="1" t="n">
        <v>46163</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3332-2024</t>
        </is>
      </c>
      <c r="B423" s="1" t="n">
        <v>45317</v>
      </c>
      <c r="C423" s="1" t="n">
        <v>46163</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44579.86452546297</v>
      </c>
      <c r="C424" s="1" t="n">
        <v>46163</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13471-2025</t>
        </is>
      </c>
      <c r="B425" s="1" t="n">
        <v>45736.40579861111</v>
      </c>
      <c r="C425" s="1" t="n">
        <v>46163</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15681-2025</t>
        </is>
      </c>
      <c r="B426" s="1" t="n">
        <v>45748.45454861111</v>
      </c>
      <c r="C426" s="1" t="n">
        <v>46163</v>
      </c>
      <c r="D426" t="inlineStr">
        <is>
          <t>VÄSTMANLANDS LÄN</t>
        </is>
      </c>
      <c r="E426" t="inlineStr">
        <is>
          <t>SALA</t>
        </is>
      </c>
      <c r="F426" t="inlineStr">
        <is>
          <t>Bergvik skog öst AB</t>
        </is>
      </c>
      <c r="G426" t="n">
        <v>4.3</v>
      </c>
      <c r="H426" t="n">
        <v>0</v>
      </c>
      <c r="I426" t="n">
        <v>0</v>
      </c>
      <c r="J426" t="n">
        <v>0</v>
      </c>
      <c r="K426" t="n">
        <v>0</v>
      </c>
      <c r="L426" t="n">
        <v>0</v>
      </c>
      <c r="M426" t="n">
        <v>0</v>
      </c>
      <c r="N426" t="n">
        <v>0</v>
      </c>
      <c r="O426" t="n">
        <v>0</v>
      </c>
      <c r="P426" t="n">
        <v>0</v>
      </c>
      <c r="Q426" t="n">
        <v>0</v>
      </c>
      <c r="R426" s="2" t="inlineStr"/>
    </row>
    <row r="427" ht="15" customHeight="1">
      <c r="A427" t="inlineStr">
        <is>
          <t>A 18431-2023</t>
        </is>
      </c>
      <c r="B427" s="1" t="n">
        <v>45042</v>
      </c>
      <c r="C427" s="1" t="n">
        <v>46163</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27424-2023</t>
        </is>
      </c>
      <c r="B428" s="1" t="n">
        <v>45097.37690972222</v>
      </c>
      <c r="C428" s="1" t="n">
        <v>46163</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58701-2021</t>
        </is>
      </c>
      <c r="B429" s="1" t="n">
        <v>44489.46454861111</v>
      </c>
      <c r="C429" s="1" t="n">
        <v>46163</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19044-2026</t>
        </is>
      </c>
      <c r="B430" s="1" t="n">
        <v>46132.33789351852</v>
      </c>
      <c r="C430" s="1" t="n">
        <v>46163</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11244-2024</t>
        </is>
      </c>
      <c r="B431" s="1" t="n">
        <v>45371</v>
      </c>
      <c r="C431" s="1" t="n">
        <v>46163</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49640-2025</t>
        </is>
      </c>
      <c r="B432" s="1" t="n">
        <v>45939.61459490741</v>
      </c>
      <c r="C432" s="1" t="n">
        <v>46163</v>
      </c>
      <c r="D432" t="inlineStr">
        <is>
          <t>VÄSTMANLANDS LÄN</t>
        </is>
      </c>
      <c r="E432" t="inlineStr">
        <is>
          <t>SALA</t>
        </is>
      </c>
      <c r="F432" t="inlineStr">
        <is>
          <t>Kommuner</t>
        </is>
      </c>
      <c r="G432" t="n">
        <v>18.8</v>
      </c>
      <c r="H432" t="n">
        <v>0</v>
      </c>
      <c r="I432" t="n">
        <v>0</v>
      </c>
      <c r="J432" t="n">
        <v>0</v>
      </c>
      <c r="K432" t="n">
        <v>0</v>
      </c>
      <c r="L432" t="n">
        <v>0</v>
      </c>
      <c r="M432" t="n">
        <v>0</v>
      </c>
      <c r="N432" t="n">
        <v>0</v>
      </c>
      <c r="O432" t="n">
        <v>0</v>
      </c>
      <c r="P432" t="n">
        <v>0</v>
      </c>
      <c r="Q432" t="n">
        <v>0</v>
      </c>
      <c r="R432" s="2" t="inlineStr"/>
    </row>
    <row r="433" ht="15" customHeight="1">
      <c r="A433" t="inlineStr">
        <is>
          <t>A 12225-2023</t>
        </is>
      </c>
      <c r="B433" s="1" t="n">
        <v>44995</v>
      </c>
      <c r="C433" s="1" t="n">
        <v>46163</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61874-2021</t>
        </is>
      </c>
      <c r="B434" s="1" t="n">
        <v>44502</v>
      </c>
      <c r="C434" s="1" t="n">
        <v>46163</v>
      </c>
      <c r="D434" t="inlineStr">
        <is>
          <t>VÄSTMANLANDS LÄN</t>
        </is>
      </c>
      <c r="E434" t="inlineStr">
        <is>
          <t>SALA</t>
        </is>
      </c>
      <c r="F434" t="inlineStr">
        <is>
          <t>Kyrkan</t>
        </is>
      </c>
      <c r="G434" t="n">
        <v>1.3</v>
      </c>
      <c r="H434" t="n">
        <v>0</v>
      </c>
      <c r="I434" t="n">
        <v>0</v>
      </c>
      <c r="J434" t="n">
        <v>0</v>
      </c>
      <c r="K434" t="n">
        <v>0</v>
      </c>
      <c r="L434" t="n">
        <v>0</v>
      </c>
      <c r="M434" t="n">
        <v>0</v>
      </c>
      <c r="N434" t="n">
        <v>0</v>
      </c>
      <c r="O434" t="n">
        <v>0</v>
      </c>
      <c r="P434" t="n">
        <v>0</v>
      </c>
      <c r="Q434" t="n">
        <v>0</v>
      </c>
      <c r="R434" s="2" t="inlineStr"/>
    </row>
    <row r="435" ht="15" customHeight="1">
      <c r="A435" t="inlineStr">
        <is>
          <t>A 50128-2025</t>
        </is>
      </c>
      <c r="B435" s="1" t="n">
        <v>45943.55318287037</v>
      </c>
      <c r="C435" s="1" t="n">
        <v>46163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50119-2025</t>
        </is>
      </c>
      <c r="B436" s="1" t="n">
        <v>45943.54883101852</v>
      </c>
      <c r="C436" s="1" t="n">
        <v>46163</v>
      </c>
      <c r="D436" t="inlineStr">
        <is>
          <t>VÄSTMANLANDS LÄN</t>
        </is>
      </c>
      <c r="E436" t="inlineStr">
        <is>
          <t>SALA</t>
        </is>
      </c>
      <c r="G436" t="n">
        <v>3.3</v>
      </c>
      <c r="H436" t="n">
        <v>0</v>
      </c>
      <c r="I436" t="n">
        <v>0</v>
      </c>
      <c r="J436" t="n">
        <v>0</v>
      </c>
      <c r="K436" t="n">
        <v>0</v>
      </c>
      <c r="L436" t="n">
        <v>0</v>
      </c>
      <c r="M436" t="n">
        <v>0</v>
      </c>
      <c r="N436" t="n">
        <v>0</v>
      </c>
      <c r="O436" t="n">
        <v>0</v>
      </c>
      <c r="P436" t="n">
        <v>0</v>
      </c>
      <c r="Q436" t="n">
        <v>0</v>
      </c>
      <c r="R436" s="2" t="inlineStr"/>
    </row>
    <row r="437" ht="15" customHeight="1">
      <c r="A437" t="inlineStr">
        <is>
          <t>A 62651-2022</t>
        </is>
      </c>
      <c r="B437" s="1" t="n">
        <v>44917</v>
      </c>
      <c r="C437" s="1" t="n">
        <v>46163</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50059-2025</t>
        </is>
      </c>
      <c r="B438" s="1" t="n">
        <v>45943.44125</v>
      </c>
      <c r="C438" s="1" t="n">
        <v>46163</v>
      </c>
      <c r="D438" t="inlineStr">
        <is>
          <t>VÄSTMANLANDS LÄN</t>
        </is>
      </c>
      <c r="E438" t="inlineStr">
        <is>
          <t>SALA</t>
        </is>
      </c>
      <c r="G438" t="n">
        <v>4.4</v>
      </c>
      <c r="H438" t="n">
        <v>0</v>
      </c>
      <c r="I438" t="n">
        <v>0</v>
      </c>
      <c r="J438" t="n">
        <v>0</v>
      </c>
      <c r="K438" t="n">
        <v>0</v>
      </c>
      <c r="L438" t="n">
        <v>0</v>
      </c>
      <c r="M438" t="n">
        <v>0</v>
      </c>
      <c r="N438" t="n">
        <v>0</v>
      </c>
      <c r="O438" t="n">
        <v>0</v>
      </c>
      <c r="P438" t="n">
        <v>0</v>
      </c>
      <c r="Q438" t="n">
        <v>0</v>
      </c>
      <c r="R438" s="2" t="inlineStr"/>
    </row>
    <row r="439" ht="15" customHeight="1">
      <c r="A439" t="inlineStr">
        <is>
          <t>A 50249-2025</t>
        </is>
      </c>
      <c r="B439" s="1" t="n">
        <v>45944.31508101852</v>
      </c>
      <c r="C439" s="1" t="n">
        <v>46163</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15968-2024</t>
        </is>
      </c>
      <c r="B440" s="1" t="n">
        <v>45405.56021990741</v>
      </c>
      <c r="C440" s="1" t="n">
        <v>46163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60730-2023</t>
        </is>
      </c>
      <c r="B441" s="1" t="n">
        <v>45260</v>
      </c>
      <c r="C441" s="1" t="n">
        <v>46163</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60731-2023</t>
        </is>
      </c>
      <c r="B442" s="1" t="n">
        <v>45260</v>
      </c>
      <c r="C442" s="1" t="n">
        <v>46163</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18461-2024</t>
        </is>
      </c>
      <c r="B443" s="1" t="n">
        <v>45425.47435185185</v>
      </c>
      <c r="C443" s="1" t="n">
        <v>46163</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4663-2022</t>
        </is>
      </c>
      <c r="B444" s="1" t="n">
        <v>44592.45429398148</v>
      </c>
      <c r="C444" s="1" t="n">
        <v>46163</v>
      </c>
      <c r="D444" t="inlineStr">
        <is>
          <t>VÄSTMANLANDS LÄN</t>
        </is>
      </c>
      <c r="E444" t="inlineStr">
        <is>
          <t>SALA</t>
        </is>
      </c>
      <c r="G444" t="n">
        <v>2.5</v>
      </c>
      <c r="H444" t="n">
        <v>0</v>
      </c>
      <c r="I444" t="n">
        <v>0</v>
      </c>
      <c r="J444" t="n">
        <v>0</v>
      </c>
      <c r="K444" t="n">
        <v>0</v>
      </c>
      <c r="L444" t="n">
        <v>0</v>
      </c>
      <c r="M444" t="n">
        <v>0</v>
      </c>
      <c r="N444" t="n">
        <v>0</v>
      </c>
      <c r="O444" t="n">
        <v>0</v>
      </c>
      <c r="P444" t="n">
        <v>0</v>
      </c>
      <c r="Q444" t="n">
        <v>0</v>
      </c>
      <c r="R444" s="2" t="inlineStr"/>
    </row>
    <row r="445" ht="15" customHeight="1">
      <c r="A445" t="inlineStr">
        <is>
          <t>A 6032-2025</t>
        </is>
      </c>
      <c r="B445" s="1" t="n">
        <v>45695.6371875</v>
      </c>
      <c r="C445" s="1" t="n">
        <v>46163</v>
      </c>
      <c r="D445" t="inlineStr">
        <is>
          <t>VÄSTMANLANDS LÄN</t>
        </is>
      </c>
      <c r="E445" t="inlineStr">
        <is>
          <t>SALA</t>
        </is>
      </c>
      <c r="F445" t="inlineStr">
        <is>
          <t>Bergvik skog öst AB</t>
        </is>
      </c>
      <c r="G445" t="n">
        <v>8.1</v>
      </c>
      <c r="H445" t="n">
        <v>0</v>
      </c>
      <c r="I445" t="n">
        <v>0</v>
      </c>
      <c r="J445" t="n">
        <v>0</v>
      </c>
      <c r="K445" t="n">
        <v>0</v>
      </c>
      <c r="L445" t="n">
        <v>0</v>
      </c>
      <c r="M445" t="n">
        <v>0</v>
      </c>
      <c r="N445" t="n">
        <v>0</v>
      </c>
      <c r="O445" t="n">
        <v>0</v>
      </c>
      <c r="P445" t="n">
        <v>0</v>
      </c>
      <c r="Q445" t="n">
        <v>0</v>
      </c>
      <c r="R445" s="2" t="inlineStr"/>
    </row>
    <row r="446" ht="15" customHeight="1">
      <c r="A446" t="inlineStr">
        <is>
          <t>A 19376-2026</t>
        </is>
      </c>
      <c r="B446" s="1" t="n">
        <v>46133.54998842593</v>
      </c>
      <c r="C446" s="1" t="n">
        <v>46163</v>
      </c>
      <c r="D446" t="inlineStr">
        <is>
          <t>VÄSTMANLANDS LÄN</t>
        </is>
      </c>
      <c r="E446" t="inlineStr">
        <is>
          <t>SALA</t>
        </is>
      </c>
      <c r="G446" t="n">
        <v>3.8</v>
      </c>
      <c r="H446" t="n">
        <v>0</v>
      </c>
      <c r="I446" t="n">
        <v>0</v>
      </c>
      <c r="J446" t="n">
        <v>0</v>
      </c>
      <c r="K446" t="n">
        <v>0</v>
      </c>
      <c r="L446" t="n">
        <v>0</v>
      </c>
      <c r="M446" t="n">
        <v>0</v>
      </c>
      <c r="N446" t="n">
        <v>0</v>
      </c>
      <c r="O446" t="n">
        <v>0</v>
      </c>
      <c r="P446" t="n">
        <v>0</v>
      </c>
      <c r="Q446" t="n">
        <v>0</v>
      </c>
      <c r="R446" s="2" t="inlineStr"/>
    </row>
    <row r="447" ht="15" customHeight="1">
      <c r="A447" t="inlineStr">
        <is>
          <t>A 2766-2024</t>
        </is>
      </c>
      <c r="B447" s="1" t="n">
        <v>45314.60950231482</v>
      </c>
      <c r="C447" s="1" t="n">
        <v>46163</v>
      </c>
      <c r="D447" t="inlineStr">
        <is>
          <t>VÄSTMANLANDS LÄN</t>
        </is>
      </c>
      <c r="E447" t="inlineStr">
        <is>
          <t>SALA</t>
        </is>
      </c>
      <c r="G447" t="n">
        <v>2.8</v>
      </c>
      <c r="H447" t="n">
        <v>0</v>
      </c>
      <c r="I447" t="n">
        <v>0</v>
      </c>
      <c r="J447" t="n">
        <v>0</v>
      </c>
      <c r="K447" t="n">
        <v>0</v>
      </c>
      <c r="L447" t="n">
        <v>0</v>
      </c>
      <c r="M447" t="n">
        <v>0</v>
      </c>
      <c r="N447" t="n">
        <v>0</v>
      </c>
      <c r="O447" t="n">
        <v>0</v>
      </c>
      <c r="P447" t="n">
        <v>0</v>
      </c>
      <c r="Q447" t="n">
        <v>0</v>
      </c>
      <c r="R447" s="2" t="inlineStr"/>
    </row>
    <row r="448" ht="15" customHeight="1">
      <c r="A448" t="inlineStr">
        <is>
          <t>A 51764-2025</t>
        </is>
      </c>
      <c r="B448" s="1" t="n">
        <v>45951.63636574074</v>
      </c>
      <c r="C448" s="1" t="n">
        <v>46163</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6351-2023</t>
        </is>
      </c>
      <c r="B449" s="1" t="n">
        <v>44965</v>
      </c>
      <c r="C449" s="1" t="n">
        <v>46163</v>
      </c>
      <c r="D449" t="inlineStr">
        <is>
          <t>VÄSTMANLANDS LÄN</t>
        </is>
      </c>
      <c r="E449" t="inlineStr">
        <is>
          <t>SALA</t>
        </is>
      </c>
      <c r="F449" t="inlineStr">
        <is>
          <t>Kommuner</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51626-2025</t>
        </is>
      </c>
      <c r="B450" s="1" t="n">
        <v>45951.41769675926</v>
      </c>
      <c r="C450" s="1" t="n">
        <v>46163</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45187-2024</t>
        </is>
      </c>
      <c r="B451" s="1" t="n">
        <v>45575</v>
      </c>
      <c r="C451" s="1" t="n">
        <v>46163</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51690-2025</t>
        </is>
      </c>
      <c r="B452" s="1" t="n">
        <v>45951.53462962963</v>
      </c>
      <c r="C452" s="1" t="n">
        <v>46163</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51804-2025</t>
        </is>
      </c>
      <c r="B453" s="1" t="n">
        <v>45951.77697916667</v>
      </c>
      <c r="C453" s="1" t="n">
        <v>46163</v>
      </c>
      <c r="D453" t="inlineStr">
        <is>
          <t>VÄSTMANLANDS LÄN</t>
        </is>
      </c>
      <c r="E453" t="inlineStr">
        <is>
          <t>SALA</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51808-2025</t>
        </is>
      </c>
      <c r="B454" s="1" t="n">
        <v>45951.79302083333</v>
      </c>
      <c r="C454" s="1" t="n">
        <v>46163</v>
      </c>
      <c r="D454" t="inlineStr">
        <is>
          <t>VÄSTMANLANDS LÄN</t>
        </is>
      </c>
      <c r="E454" t="inlineStr">
        <is>
          <t>SALA</t>
        </is>
      </c>
      <c r="F454" t="inlineStr">
        <is>
          <t>Kommuner</t>
        </is>
      </c>
      <c r="G454" t="n">
        <v>3</v>
      </c>
      <c r="H454" t="n">
        <v>0</v>
      </c>
      <c r="I454" t="n">
        <v>0</v>
      </c>
      <c r="J454" t="n">
        <v>0</v>
      </c>
      <c r="K454" t="n">
        <v>0</v>
      </c>
      <c r="L454" t="n">
        <v>0</v>
      </c>
      <c r="M454" t="n">
        <v>0</v>
      </c>
      <c r="N454" t="n">
        <v>0</v>
      </c>
      <c r="O454" t="n">
        <v>0</v>
      </c>
      <c r="P454" t="n">
        <v>0</v>
      </c>
      <c r="Q454" t="n">
        <v>0</v>
      </c>
      <c r="R454" s="2" t="inlineStr"/>
    </row>
    <row r="455" ht="15" customHeight="1">
      <c r="A455" t="inlineStr">
        <is>
          <t>A 51803-2025</t>
        </is>
      </c>
      <c r="B455" s="1" t="n">
        <v>45951.76818287037</v>
      </c>
      <c r="C455" s="1" t="n">
        <v>46163</v>
      </c>
      <c r="D455" t="inlineStr">
        <is>
          <t>VÄSTMANLANDS LÄN</t>
        </is>
      </c>
      <c r="E455" t="inlineStr">
        <is>
          <t>SALA</t>
        </is>
      </c>
      <c r="F455" t="inlineStr">
        <is>
          <t>Kommuner</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51805-2025</t>
        </is>
      </c>
      <c r="B456" s="1" t="n">
        <v>45951.78359953704</v>
      </c>
      <c r="C456" s="1" t="n">
        <v>46163</v>
      </c>
      <c r="D456" t="inlineStr">
        <is>
          <t>VÄSTMANLANDS LÄN</t>
        </is>
      </c>
      <c r="E456" t="inlineStr">
        <is>
          <t>SALA</t>
        </is>
      </c>
      <c r="F456" t="inlineStr">
        <is>
          <t>Kommuner</t>
        </is>
      </c>
      <c r="G456" t="n">
        <v>1.3</v>
      </c>
      <c r="H456" t="n">
        <v>0</v>
      </c>
      <c r="I456" t="n">
        <v>0</v>
      </c>
      <c r="J456" t="n">
        <v>0</v>
      </c>
      <c r="K456" t="n">
        <v>0</v>
      </c>
      <c r="L456" t="n">
        <v>0</v>
      </c>
      <c r="M456" t="n">
        <v>0</v>
      </c>
      <c r="N456" t="n">
        <v>0</v>
      </c>
      <c r="O456" t="n">
        <v>0</v>
      </c>
      <c r="P456" t="n">
        <v>0</v>
      </c>
      <c r="Q456" t="n">
        <v>0</v>
      </c>
      <c r="R456" s="2" t="inlineStr"/>
    </row>
    <row r="457" ht="15" customHeight="1">
      <c r="A457" t="inlineStr">
        <is>
          <t>A 51809-2025</t>
        </is>
      </c>
      <c r="B457" s="1" t="n">
        <v>45951.80116898148</v>
      </c>
      <c r="C457" s="1" t="n">
        <v>46163</v>
      </c>
      <c r="D457" t="inlineStr">
        <is>
          <t>VÄSTMANLANDS LÄN</t>
        </is>
      </c>
      <c r="E457" t="inlineStr">
        <is>
          <t>SALA</t>
        </is>
      </c>
      <c r="F457" t="inlineStr">
        <is>
          <t>Kommuner</t>
        </is>
      </c>
      <c r="G457" t="n">
        <v>3.5</v>
      </c>
      <c r="H457" t="n">
        <v>0</v>
      </c>
      <c r="I457" t="n">
        <v>0</v>
      </c>
      <c r="J457" t="n">
        <v>0</v>
      </c>
      <c r="K457" t="n">
        <v>0</v>
      </c>
      <c r="L457" t="n">
        <v>0</v>
      </c>
      <c r="M457" t="n">
        <v>0</v>
      </c>
      <c r="N457" t="n">
        <v>0</v>
      </c>
      <c r="O457" t="n">
        <v>0</v>
      </c>
      <c r="P457" t="n">
        <v>0</v>
      </c>
      <c r="Q457" t="n">
        <v>0</v>
      </c>
      <c r="R457" s="2" t="inlineStr"/>
    </row>
    <row r="458" ht="15" customHeight="1">
      <c r="A458" t="inlineStr">
        <is>
          <t>A 33527-2023</t>
        </is>
      </c>
      <c r="B458" s="1" t="n">
        <v>45131</v>
      </c>
      <c r="C458" s="1" t="n">
        <v>46163</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7377-2023</t>
        </is>
      </c>
      <c r="B459" s="1" t="n">
        <v>44971</v>
      </c>
      <c r="C459" s="1" t="n">
        <v>46163</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21159-2022</t>
        </is>
      </c>
      <c r="B460" s="1" t="n">
        <v>44704</v>
      </c>
      <c r="C460" s="1" t="n">
        <v>46163</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13032-2026</t>
        </is>
      </c>
      <c r="B461" s="1" t="n">
        <v>46092.90436342593</v>
      </c>
      <c r="C461" s="1" t="n">
        <v>46163</v>
      </c>
      <c r="D461" t="inlineStr">
        <is>
          <t>VÄSTMANLANDS LÄN</t>
        </is>
      </c>
      <c r="E461" t="inlineStr">
        <is>
          <t>SALA</t>
        </is>
      </c>
      <c r="G461" t="n">
        <v>3.4</v>
      </c>
      <c r="H461" t="n">
        <v>0</v>
      </c>
      <c r="I461" t="n">
        <v>0</v>
      </c>
      <c r="J461" t="n">
        <v>0</v>
      </c>
      <c r="K461" t="n">
        <v>0</v>
      </c>
      <c r="L461" t="n">
        <v>0</v>
      </c>
      <c r="M461" t="n">
        <v>0</v>
      </c>
      <c r="N461" t="n">
        <v>0</v>
      </c>
      <c r="O461" t="n">
        <v>0</v>
      </c>
      <c r="P461" t="n">
        <v>0</v>
      </c>
      <c r="Q461" t="n">
        <v>0</v>
      </c>
      <c r="R461" s="2" t="inlineStr"/>
    </row>
    <row r="462" ht="15" customHeight="1">
      <c r="A462" t="inlineStr">
        <is>
          <t>A 56688-2024</t>
        </is>
      </c>
      <c r="B462" s="1" t="n">
        <v>45627.66478009259</v>
      </c>
      <c r="C462" s="1" t="n">
        <v>46163</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46163</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66307-2021</t>
        </is>
      </c>
      <c r="B464" s="1" t="n">
        <v>44518.48670138889</v>
      </c>
      <c r="C464" s="1" t="n">
        <v>46163</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53725-2025</t>
        </is>
      </c>
      <c r="B465" s="1" t="n">
        <v>45960.63394675926</v>
      </c>
      <c r="C465" s="1" t="n">
        <v>46163</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27262-2024</t>
        </is>
      </c>
      <c r="B466" s="1" t="n">
        <v>45471</v>
      </c>
      <c r="C466" s="1" t="n">
        <v>46163</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10913-2025</t>
        </is>
      </c>
      <c r="B467" s="1" t="n">
        <v>45722.73423611111</v>
      </c>
      <c r="C467" s="1" t="n">
        <v>46163</v>
      </c>
      <c r="D467" t="inlineStr">
        <is>
          <t>VÄSTMANLANDS LÄN</t>
        </is>
      </c>
      <c r="E467" t="inlineStr">
        <is>
          <t>SALA</t>
        </is>
      </c>
      <c r="G467" t="n">
        <v>7.6</v>
      </c>
      <c r="H467" t="n">
        <v>0</v>
      </c>
      <c r="I467" t="n">
        <v>0</v>
      </c>
      <c r="J467" t="n">
        <v>0</v>
      </c>
      <c r="K467" t="n">
        <v>0</v>
      </c>
      <c r="L467" t="n">
        <v>0</v>
      </c>
      <c r="M467" t="n">
        <v>0</v>
      </c>
      <c r="N467" t="n">
        <v>0</v>
      </c>
      <c r="O467" t="n">
        <v>0</v>
      </c>
      <c r="P467" t="n">
        <v>0</v>
      </c>
      <c r="Q467" t="n">
        <v>0</v>
      </c>
      <c r="R467" s="2" t="inlineStr"/>
    </row>
    <row r="468" ht="15" customHeight="1">
      <c r="A468" t="inlineStr">
        <is>
          <t>A 14000-2026</t>
        </is>
      </c>
      <c r="B468" s="1" t="n">
        <v>46098.64246527778</v>
      </c>
      <c r="C468" s="1" t="n">
        <v>46163</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38636-2024</t>
        </is>
      </c>
      <c r="B469" s="1" t="n">
        <v>45546</v>
      </c>
      <c r="C469" s="1" t="n">
        <v>46163</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53744-2025</t>
        </is>
      </c>
      <c r="B470" s="1" t="n">
        <v>45960.64863425926</v>
      </c>
      <c r="C470" s="1" t="n">
        <v>46163</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53724-2025</t>
        </is>
      </c>
      <c r="B471" s="1" t="n">
        <v>45960.63174768518</v>
      </c>
      <c r="C471" s="1" t="n">
        <v>46163</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35410-2022</t>
        </is>
      </c>
      <c r="B472" s="1" t="n">
        <v>44798.62576388889</v>
      </c>
      <c r="C472" s="1" t="n">
        <v>46163</v>
      </c>
      <c r="D472" t="inlineStr">
        <is>
          <t>VÄSTMANLANDS LÄN</t>
        </is>
      </c>
      <c r="E472" t="inlineStr">
        <is>
          <t>SALA</t>
        </is>
      </c>
      <c r="G472" t="n">
        <v>1.6</v>
      </c>
      <c r="H472" t="n">
        <v>0</v>
      </c>
      <c r="I472" t="n">
        <v>0</v>
      </c>
      <c r="J472" t="n">
        <v>0</v>
      </c>
      <c r="K472" t="n">
        <v>0</v>
      </c>
      <c r="L472" t="n">
        <v>0</v>
      </c>
      <c r="M472" t="n">
        <v>0</v>
      </c>
      <c r="N472" t="n">
        <v>0</v>
      </c>
      <c r="O472" t="n">
        <v>0</v>
      </c>
      <c r="P472" t="n">
        <v>0</v>
      </c>
      <c r="Q472" t="n">
        <v>0</v>
      </c>
      <c r="R472" s="2" t="inlineStr"/>
    </row>
    <row r="473" ht="15" customHeight="1">
      <c r="A473" t="inlineStr">
        <is>
          <t>A 1118-2024</t>
        </is>
      </c>
      <c r="B473" s="1" t="n">
        <v>45302</v>
      </c>
      <c r="C473" s="1" t="n">
        <v>46163</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53864-2022</t>
        </is>
      </c>
      <c r="B474" s="1" t="n">
        <v>44880.64016203704</v>
      </c>
      <c r="C474" s="1" t="n">
        <v>46163</v>
      </c>
      <c r="D474" t="inlineStr">
        <is>
          <t>VÄSTMANLANDS LÄN</t>
        </is>
      </c>
      <c r="E474" t="inlineStr">
        <is>
          <t>SALA</t>
        </is>
      </c>
      <c r="G474" t="n">
        <v>5.9</v>
      </c>
      <c r="H474" t="n">
        <v>0</v>
      </c>
      <c r="I474" t="n">
        <v>0</v>
      </c>
      <c r="J474" t="n">
        <v>0</v>
      </c>
      <c r="K474" t="n">
        <v>0</v>
      </c>
      <c r="L474" t="n">
        <v>0</v>
      </c>
      <c r="M474" t="n">
        <v>0</v>
      </c>
      <c r="N474" t="n">
        <v>0</v>
      </c>
      <c r="O474" t="n">
        <v>0</v>
      </c>
      <c r="P474" t="n">
        <v>0</v>
      </c>
      <c r="Q474" t="n">
        <v>0</v>
      </c>
      <c r="R474" s="2" t="inlineStr"/>
    </row>
    <row r="475" ht="15" customHeight="1">
      <c r="A475" t="inlineStr">
        <is>
          <t>A 54344-2025</t>
        </is>
      </c>
      <c r="B475" s="1" t="n">
        <v>45965.36462962963</v>
      </c>
      <c r="C475" s="1" t="n">
        <v>46163</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40085-2024</t>
        </is>
      </c>
      <c r="B476" s="1" t="n">
        <v>45554</v>
      </c>
      <c r="C476" s="1" t="n">
        <v>46163</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54590-2025</t>
        </is>
      </c>
      <c r="B477" s="1" t="n">
        <v>45965.74199074074</v>
      </c>
      <c r="C477" s="1" t="n">
        <v>46163</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54201-2025</t>
        </is>
      </c>
      <c r="B478" s="1" t="n">
        <v>45964.58055555556</v>
      </c>
      <c r="C478" s="1" t="n">
        <v>46163</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3551-2024</t>
        </is>
      </c>
      <c r="B479" s="1" t="n">
        <v>45320.61099537037</v>
      </c>
      <c r="C479" s="1" t="n">
        <v>46163</v>
      </c>
      <c r="D479" t="inlineStr">
        <is>
          <t>VÄSTMANLANDS LÄN</t>
        </is>
      </c>
      <c r="E479" t="inlineStr">
        <is>
          <t>SALA</t>
        </is>
      </c>
      <c r="F479" t="inlineStr">
        <is>
          <t>Kommuner</t>
        </is>
      </c>
      <c r="G479" t="n">
        <v>6</v>
      </c>
      <c r="H479" t="n">
        <v>0</v>
      </c>
      <c r="I479" t="n">
        <v>0</v>
      </c>
      <c r="J479" t="n">
        <v>0</v>
      </c>
      <c r="K479" t="n">
        <v>0</v>
      </c>
      <c r="L479" t="n">
        <v>0</v>
      </c>
      <c r="M479" t="n">
        <v>0</v>
      </c>
      <c r="N479" t="n">
        <v>0</v>
      </c>
      <c r="O479" t="n">
        <v>0</v>
      </c>
      <c r="P479" t="n">
        <v>0</v>
      </c>
      <c r="Q479" t="n">
        <v>0</v>
      </c>
      <c r="R479" s="2" t="inlineStr"/>
    </row>
    <row r="480" ht="15" customHeight="1">
      <c r="A480" t="inlineStr">
        <is>
          <t>A 13996-2026</t>
        </is>
      </c>
      <c r="B480" s="1" t="n">
        <v>46098.63159722222</v>
      </c>
      <c r="C480" s="1" t="n">
        <v>46163</v>
      </c>
      <c r="D480" t="inlineStr">
        <is>
          <t>VÄSTMANLANDS LÄN</t>
        </is>
      </c>
      <c r="E480" t="inlineStr">
        <is>
          <t>SALA</t>
        </is>
      </c>
      <c r="G480" t="n">
        <v>2.5</v>
      </c>
      <c r="H480" t="n">
        <v>0</v>
      </c>
      <c r="I480" t="n">
        <v>0</v>
      </c>
      <c r="J480" t="n">
        <v>0</v>
      </c>
      <c r="K480" t="n">
        <v>0</v>
      </c>
      <c r="L480" t="n">
        <v>0</v>
      </c>
      <c r="M480" t="n">
        <v>0</v>
      </c>
      <c r="N480" t="n">
        <v>0</v>
      </c>
      <c r="O480" t="n">
        <v>0</v>
      </c>
      <c r="P480" t="n">
        <v>0</v>
      </c>
      <c r="Q480" t="n">
        <v>0</v>
      </c>
      <c r="R480" s="2" t="inlineStr"/>
    </row>
    <row r="481" ht="15" customHeight="1">
      <c r="A481" t="inlineStr">
        <is>
          <t>A 54893-2025</t>
        </is>
      </c>
      <c r="B481" s="1" t="n">
        <v>45967.36383101852</v>
      </c>
      <c r="C481" s="1" t="n">
        <v>46163</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13639-2026</t>
        </is>
      </c>
      <c r="B482" s="1" t="n">
        <v>46097</v>
      </c>
      <c r="C482" s="1" t="n">
        <v>46163</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22961-2023</t>
        </is>
      </c>
      <c r="B483" s="1" t="n">
        <v>45072</v>
      </c>
      <c r="C483" s="1" t="n">
        <v>46163</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22963-2023</t>
        </is>
      </c>
      <c r="B484" s="1" t="n">
        <v>45072</v>
      </c>
      <c r="C484" s="1" t="n">
        <v>46163</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19033-2025</t>
        </is>
      </c>
      <c r="B485" s="1" t="n">
        <v>45764.65796296296</v>
      </c>
      <c r="C485" s="1" t="n">
        <v>46163</v>
      </c>
      <c r="D485" t="inlineStr">
        <is>
          <t>VÄSTMANLANDS LÄN</t>
        </is>
      </c>
      <c r="E485" t="inlineStr">
        <is>
          <t>SALA</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54960-2024</t>
        </is>
      </c>
      <c r="B486" s="1" t="n">
        <v>45619.85208333333</v>
      </c>
      <c r="C486" s="1" t="n">
        <v>46163</v>
      </c>
      <c r="D486" t="inlineStr">
        <is>
          <t>VÄSTMANLANDS LÄN</t>
        </is>
      </c>
      <c r="E486" t="inlineStr">
        <is>
          <t>SALA</t>
        </is>
      </c>
      <c r="G486" t="n">
        <v>2.6</v>
      </c>
      <c r="H486" t="n">
        <v>0</v>
      </c>
      <c r="I486" t="n">
        <v>0</v>
      </c>
      <c r="J486" t="n">
        <v>0</v>
      </c>
      <c r="K486" t="n">
        <v>0</v>
      </c>
      <c r="L486" t="n">
        <v>0</v>
      </c>
      <c r="M486" t="n">
        <v>0</v>
      </c>
      <c r="N486" t="n">
        <v>0</v>
      </c>
      <c r="O486" t="n">
        <v>0</v>
      </c>
      <c r="P486" t="n">
        <v>0</v>
      </c>
      <c r="Q486" t="n">
        <v>0</v>
      </c>
      <c r="R486" s="2" t="inlineStr"/>
    </row>
    <row r="487" ht="15" customHeight="1">
      <c r="A487" t="inlineStr">
        <is>
          <t>A 27228-2023</t>
        </is>
      </c>
      <c r="B487" s="1" t="n">
        <v>45096.59189814814</v>
      </c>
      <c r="C487" s="1" t="n">
        <v>46163</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26507-2023</t>
        </is>
      </c>
      <c r="B488" s="1" t="n">
        <v>45092</v>
      </c>
      <c r="C488" s="1" t="n">
        <v>46163</v>
      </c>
      <c r="D488" t="inlineStr">
        <is>
          <t>VÄSTMANLANDS LÄN</t>
        </is>
      </c>
      <c r="E488" t="inlineStr">
        <is>
          <t>SALA</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6183-2025</t>
        </is>
      </c>
      <c r="B489" s="1" t="n">
        <v>45698</v>
      </c>
      <c r="C489" s="1" t="n">
        <v>46163</v>
      </c>
      <c r="D489" t="inlineStr">
        <is>
          <t>VÄSTMANLANDS LÄN</t>
        </is>
      </c>
      <c r="E489" t="inlineStr">
        <is>
          <t>SALA</t>
        </is>
      </c>
      <c r="F489" t="inlineStr">
        <is>
          <t>Bergvik skog öst AB</t>
        </is>
      </c>
      <c r="G489" t="n">
        <v>2.3</v>
      </c>
      <c r="H489" t="n">
        <v>0</v>
      </c>
      <c r="I489" t="n">
        <v>0</v>
      </c>
      <c r="J489" t="n">
        <v>0</v>
      </c>
      <c r="K489" t="n">
        <v>0</v>
      </c>
      <c r="L489" t="n">
        <v>0</v>
      </c>
      <c r="M489" t="n">
        <v>0</v>
      </c>
      <c r="N489" t="n">
        <v>0</v>
      </c>
      <c r="O489" t="n">
        <v>0</v>
      </c>
      <c r="P489" t="n">
        <v>0</v>
      </c>
      <c r="Q489" t="n">
        <v>0</v>
      </c>
      <c r="R489" s="2" t="inlineStr"/>
    </row>
    <row r="490" ht="15" customHeight="1">
      <c r="A490" t="inlineStr">
        <is>
          <t>A 16543-2023</t>
        </is>
      </c>
      <c r="B490" s="1" t="n">
        <v>45029</v>
      </c>
      <c r="C490" s="1" t="n">
        <v>46163</v>
      </c>
      <c r="D490" t="inlineStr">
        <is>
          <t>VÄSTMANLANDS LÄN</t>
        </is>
      </c>
      <c r="E490" t="inlineStr">
        <is>
          <t>SALA</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55997-2025</t>
        </is>
      </c>
      <c r="B491" s="1" t="n">
        <v>45973.56833333334</v>
      </c>
      <c r="C491" s="1" t="n">
        <v>46163</v>
      </c>
      <c r="D491" t="inlineStr">
        <is>
          <t>VÄSTMANLANDS LÄN</t>
        </is>
      </c>
      <c r="E491" t="inlineStr">
        <is>
          <t>SALA</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43176-2023</t>
        </is>
      </c>
      <c r="B492" s="1" t="n">
        <v>45183</v>
      </c>
      <c r="C492" s="1" t="n">
        <v>46163</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37624-2024</t>
        </is>
      </c>
      <c r="B493" s="1" t="n">
        <v>45541</v>
      </c>
      <c r="C493" s="1" t="n">
        <v>46163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57895-2024</t>
        </is>
      </c>
      <c r="B494" s="1" t="n">
        <v>45631</v>
      </c>
      <c r="C494" s="1" t="n">
        <v>46163</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47086-2022</t>
        </is>
      </c>
      <c r="B495" s="1" t="n">
        <v>44852</v>
      </c>
      <c r="C495" s="1" t="n">
        <v>46163</v>
      </c>
      <c r="D495" t="inlineStr">
        <is>
          <t>VÄSTMANLANDS LÄN</t>
        </is>
      </c>
      <c r="E495" t="inlineStr">
        <is>
          <t>SALA</t>
        </is>
      </c>
      <c r="G495" t="n">
        <v>12.5</v>
      </c>
      <c r="H495" t="n">
        <v>0</v>
      </c>
      <c r="I495" t="n">
        <v>0</v>
      </c>
      <c r="J495" t="n">
        <v>0</v>
      </c>
      <c r="K495" t="n">
        <v>0</v>
      </c>
      <c r="L495" t="n">
        <v>0</v>
      </c>
      <c r="M495" t="n">
        <v>0</v>
      </c>
      <c r="N495" t="n">
        <v>0</v>
      </c>
      <c r="O495" t="n">
        <v>0</v>
      </c>
      <c r="P495" t="n">
        <v>0</v>
      </c>
      <c r="Q495" t="n">
        <v>0</v>
      </c>
      <c r="R495" s="2" t="inlineStr"/>
    </row>
    <row r="496" ht="15" customHeight="1">
      <c r="A496" t="inlineStr">
        <is>
          <t>A 55714-2025</t>
        </is>
      </c>
      <c r="B496" s="1" t="n">
        <v>45972.49131944445</v>
      </c>
      <c r="C496" s="1" t="n">
        <v>46163</v>
      </c>
      <c r="D496" t="inlineStr">
        <is>
          <t>VÄSTMANLANDS LÄN</t>
        </is>
      </c>
      <c r="E496" t="inlineStr">
        <is>
          <t>SALA</t>
        </is>
      </c>
      <c r="G496" t="n">
        <v>6.6</v>
      </c>
      <c r="H496" t="n">
        <v>0</v>
      </c>
      <c r="I496" t="n">
        <v>0</v>
      </c>
      <c r="J496" t="n">
        <v>0</v>
      </c>
      <c r="K496" t="n">
        <v>0</v>
      </c>
      <c r="L496" t="n">
        <v>0</v>
      </c>
      <c r="M496" t="n">
        <v>0</v>
      </c>
      <c r="N496" t="n">
        <v>0</v>
      </c>
      <c r="O496" t="n">
        <v>0</v>
      </c>
      <c r="P496" t="n">
        <v>0</v>
      </c>
      <c r="Q496" t="n">
        <v>0</v>
      </c>
      <c r="R496" s="2" t="inlineStr"/>
    </row>
    <row r="497" ht="15" customHeight="1">
      <c r="A497" t="inlineStr">
        <is>
          <t>A 56593-2025</t>
        </is>
      </c>
      <c r="B497" s="1" t="n">
        <v>45975</v>
      </c>
      <c r="C497" s="1" t="n">
        <v>46163</v>
      </c>
      <c r="D497" t="inlineStr">
        <is>
          <t>VÄSTMANLANDS LÄN</t>
        </is>
      </c>
      <c r="E497" t="inlineStr">
        <is>
          <t>SALA</t>
        </is>
      </c>
      <c r="F497" t="inlineStr">
        <is>
          <t>Kyrkan</t>
        </is>
      </c>
      <c r="G497" t="n">
        <v>0.1</v>
      </c>
      <c r="H497" t="n">
        <v>0</v>
      </c>
      <c r="I497" t="n">
        <v>0</v>
      </c>
      <c r="J497" t="n">
        <v>0</v>
      </c>
      <c r="K497" t="n">
        <v>0</v>
      </c>
      <c r="L497" t="n">
        <v>0</v>
      </c>
      <c r="M497" t="n">
        <v>0</v>
      </c>
      <c r="N497" t="n">
        <v>0</v>
      </c>
      <c r="O497" t="n">
        <v>0</v>
      </c>
      <c r="P497" t="n">
        <v>0</v>
      </c>
      <c r="Q497" t="n">
        <v>0</v>
      </c>
      <c r="R497" s="2" t="inlineStr"/>
    </row>
    <row r="498" ht="15" customHeight="1">
      <c r="A498" t="inlineStr">
        <is>
          <t>A 56645-2025</t>
        </is>
      </c>
      <c r="B498" s="1" t="n">
        <v>45975.63063657407</v>
      </c>
      <c r="C498" s="1" t="n">
        <v>46163</v>
      </c>
      <c r="D498" t="inlineStr">
        <is>
          <t>VÄSTMANLANDS LÄN</t>
        </is>
      </c>
      <c r="E498" t="inlineStr">
        <is>
          <t>SALA</t>
        </is>
      </c>
      <c r="F498" t="inlineStr">
        <is>
          <t>Bergvik skog öst AB</t>
        </is>
      </c>
      <c r="G498" t="n">
        <v>5.3</v>
      </c>
      <c r="H498" t="n">
        <v>0</v>
      </c>
      <c r="I498" t="n">
        <v>0</v>
      </c>
      <c r="J498" t="n">
        <v>0</v>
      </c>
      <c r="K498" t="n">
        <v>0</v>
      </c>
      <c r="L498" t="n">
        <v>0</v>
      </c>
      <c r="M498" t="n">
        <v>0</v>
      </c>
      <c r="N498" t="n">
        <v>0</v>
      </c>
      <c r="O498" t="n">
        <v>0</v>
      </c>
      <c r="P498" t="n">
        <v>0</v>
      </c>
      <c r="Q498" t="n">
        <v>0</v>
      </c>
      <c r="R498" s="2" t="inlineStr"/>
    </row>
    <row r="499" ht="15" customHeight="1">
      <c r="A499" t="inlineStr">
        <is>
          <t>A 56502-2025</t>
        </is>
      </c>
      <c r="B499" s="1" t="n">
        <v>45975</v>
      </c>
      <c r="C499" s="1" t="n">
        <v>46163</v>
      </c>
      <c r="D499" t="inlineStr">
        <is>
          <t>VÄSTMANLANDS LÄN</t>
        </is>
      </c>
      <c r="E499" t="inlineStr">
        <is>
          <t>SALA</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56614-2025</t>
        </is>
      </c>
      <c r="B500" s="1" t="n">
        <v>45975.59288194445</v>
      </c>
      <c r="C500" s="1" t="n">
        <v>46163</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56611-2025</t>
        </is>
      </c>
      <c r="B501" s="1" t="n">
        <v>45975</v>
      </c>
      <c r="C501" s="1" t="n">
        <v>46163</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56687-2024</t>
        </is>
      </c>
      <c r="B502" s="1" t="n">
        <v>45627.63271990741</v>
      </c>
      <c r="C502" s="1" t="n">
        <v>46163</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54347-2024</t>
        </is>
      </c>
      <c r="B503" s="1" t="n">
        <v>45617.39325231482</v>
      </c>
      <c r="C503" s="1" t="n">
        <v>46163</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64693-2023</t>
        </is>
      </c>
      <c r="B504" s="1" t="n">
        <v>45281.63850694444</v>
      </c>
      <c r="C504" s="1" t="n">
        <v>46163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64695-2023</t>
        </is>
      </c>
      <c r="B505" s="1" t="n">
        <v>45281.64099537037</v>
      </c>
      <c r="C505" s="1" t="n">
        <v>46163</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27486-2022</t>
        </is>
      </c>
      <c r="B506" s="1" t="n">
        <v>44742.60846064815</v>
      </c>
      <c r="C506" s="1" t="n">
        <v>46163</v>
      </c>
      <c r="D506" t="inlineStr">
        <is>
          <t>VÄSTMANLANDS LÄN</t>
        </is>
      </c>
      <c r="E506" t="inlineStr">
        <is>
          <t>SALA</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35003-2024</t>
        </is>
      </c>
      <c r="B507" s="1" t="n">
        <v>45527.56790509259</v>
      </c>
      <c r="C507" s="1" t="n">
        <v>46163</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48688-2024</t>
        </is>
      </c>
      <c r="B508" s="1" t="n">
        <v>45593.50541666667</v>
      </c>
      <c r="C508" s="1" t="n">
        <v>46163</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14481-2026</t>
        </is>
      </c>
      <c r="B509" s="1" t="n">
        <v>46100.58707175926</v>
      </c>
      <c r="C509" s="1" t="n">
        <v>46163</v>
      </c>
      <c r="D509" t="inlineStr">
        <is>
          <t>VÄSTMANLANDS LÄN</t>
        </is>
      </c>
      <c r="E509" t="inlineStr">
        <is>
          <t>SALA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14482-2026</t>
        </is>
      </c>
      <c r="B510" s="1" t="n">
        <v>46100.588125</v>
      </c>
      <c r="C510" s="1" t="n">
        <v>46163</v>
      </c>
      <c r="D510" t="inlineStr">
        <is>
          <t>VÄSTMANLANDS LÄN</t>
        </is>
      </c>
      <c r="E510" t="inlineStr">
        <is>
          <t>SALA</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14484-2026</t>
        </is>
      </c>
      <c r="B511" s="1" t="n">
        <v>46100.5887962963</v>
      </c>
      <c r="C511" s="1" t="n">
        <v>46163</v>
      </c>
      <c r="D511" t="inlineStr">
        <is>
          <t>VÄSTMANLANDS LÄN</t>
        </is>
      </c>
      <c r="E511" t="inlineStr">
        <is>
          <t>SALA</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14490-2026</t>
        </is>
      </c>
      <c r="B512" s="1" t="n">
        <v>46100.59277777778</v>
      </c>
      <c r="C512" s="1" t="n">
        <v>46163</v>
      </c>
      <c r="D512" t="inlineStr">
        <is>
          <t>VÄSTMANLANDS LÄN</t>
        </is>
      </c>
      <c r="E512" t="inlineStr">
        <is>
          <t>SALA</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57014-2025</t>
        </is>
      </c>
      <c r="B513" s="1" t="n">
        <v>45978</v>
      </c>
      <c r="C513" s="1" t="n">
        <v>46163</v>
      </c>
      <c r="D513" t="inlineStr">
        <is>
          <t>VÄSTMANLANDS LÄN</t>
        </is>
      </c>
      <c r="E513" t="inlineStr">
        <is>
          <t>SALA</t>
        </is>
      </c>
      <c r="G513" t="n">
        <v>2.2</v>
      </c>
      <c r="H513" t="n">
        <v>0</v>
      </c>
      <c r="I513" t="n">
        <v>0</v>
      </c>
      <c r="J513" t="n">
        <v>0</v>
      </c>
      <c r="K513" t="n">
        <v>0</v>
      </c>
      <c r="L513" t="n">
        <v>0</v>
      </c>
      <c r="M513" t="n">
        <v>0</v>
      </c>
      <c r="N513" t="n">
        <v>0</v>
      </c>
      <c r="O513" t="n">
        <v>0</v>
      </c>
      <c r="P513" t="n">
        <v>0</v>
      </c>
      <c r="Q513" t="n">
        <v>0</v>
      </c>
      <c r="R513" s="2" t="inlineStr"/>
    </row>
    <row r="514" ht="15" customHeight="1">
      <c r="A514" t="inlineStr">
        <is>
          <t>A 63933-2023</t>
        </is>
      </c>
      <c r="B514" s="1" t="n">
        <v>45278</v>
      </c>
      <c r="C514" s="1" t="n">
        <v>46163</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44746-2024</t>
        </is>
      </c>
      <c r="B515" s="1" t="n">
        <v>45574.59813657407</v>
      </c>
      <c r="C515" s="1" t="n">
        <v>46163</v>
      </c>
      <c r="D515" t="inlineStr">
        <is>
          <t>VÄSTMANLANDS LÄN</t>
        </is>
      </c>
      <c r="E515" t="inlineStr">
        <is>
          <t>SALA</t>
        </is>
      </c>
      <c r="G515" t="n">
        <v>6.7</v>
      </c>
      <c r="H515" t="n">
        <v>0</v>
      </c>
      <c r="I515" t="n">
        <v>0</v>
      </c>
      <c r="J515" t="n">
        <v>0</v>
      </c>
      <c r="K515" t="n">
        <v>0</v>
      </c>
      <c r="L515" t="n">
        <v>0</v>
      </c>
      <c r="M515" t="n">
        <v>0</v>
      </c>
      <c r="N515" t="n">
        <v>0</v>
      </c>
      <c r="O515" t="n">
        <v>0</v>
      </c>
      <c r="P515" t="n">
        <v>0</v>
      </c>
      <c r="Q515" t="n">
        <v>0</v>
      </c>
      <c r="R515" s="2" t="inlineStr"/>
    </row>
    <row r="516" ht="15" customHeight="1">
      <c r="A516" t="inlineStr">
        <is>
          <t>A 33273-2023</t>
        </is>
      </c>
      <c r="B516" s="1" t="n">
        <v>45127</v>
      </c>
      <c r="C516" s="1" t="n">
        <v>46163</v>
      </c>
      <c r="D516" t="inlineStr">
        <is>
          <t>VÄSTMANLANDS LÄN</t>
        </is>
      </c>
      <c r="E516" t="inlineStr">
        <is>
          <t>SALA</t>
        </is>
      </c>
      <c r="G516" t="n">
        <v>2.6</v>
      </c>
      <c r="H516" t="n">
        <v>0</v>
      </c>
      <c r="I516" t="n">
        <v>0</v>
      </c>
      <c r="J516" t="n">
        <v>0</v>
      </c>
      <c r="K516" t="n">
        <v>0</v>
      </c>
      <c r="L516" t="n">
        <v>0</v>
      </c>
      <c r="M516" t="n">
        <v>0</v>
      </c>
      <c r="N516" t="n">
        <v>0</v>
      </c>
      <c r="O516" t="n">
        <v>0</v>
      </c>
      <c r="P516" t="n">
        <v>0</v>
      </c>
      <c r="Q516" t="n">
        <v>0</v>
      </c>
      <c r="R516" s="2" t="inlineStr"/>
    </row>
    <row r="517" ht="15" customHeight="1">
      <c r="A517" t="inlineStr">
        <is>
          <t>A 11696-2025</t>
        </is>
      </c>
      <c r="B517" s="1" t="n">
        <v>45727</v>
      </c>
      <c r="C517" s="1" t="n">
        <v>46163</v>
      </c>
      <c r="D517" t="inlineStr">
        <is>
          <t>VÄSTMANLANDS LÄN</t>
        </is>
      </c>
      <c r="E517" t="inlineStr">
        <is>
          <t>SALA</t>
        </is>
      </c>
      <c r="F517" t="inlineStr">
        <is>
          <t>Bergvik skog öst AB</t>
        </is>
      </c>
      <c r="G517" t="n">
        <v>1.6</v>
      </c>
      <c r="H517" t="n">
        <v>0</v>
      </c>
      <c r="I517" t="n">
        <v>0</v>
      </c>
      <c r="J517" t="n">
        <v>0</v>
      </c>
      <c r="K517" t="n">
        <v>0</v>
      </c>
      <c r="L517" t="n">
        <v>0</v>
      </c>
      <c r="M517" t="n">
        <v>0</v>
      </c>
      <c r="N517" t="n">
        <v>0</v>
      </c>
      <c r="O517" t="n">
        <v>0</v>
      </c>
      <c r="P517" t="n">
        <v>0</v>
      </c>
      <c r="Q517" t="n">
        <v>0</v>
      </c>
      <c r="R517" s="2" t="inlineStr"/>
    </row>
    <row r="518" ht="15" customHeight="1">
      <c r="A518" t="inlineStr">
        <is>
          <t>A 57414-2025</t>
        </is>
      </c>
      <c r="B518" s="1" t="n">
        <v>45980.45003472222</v>
      </c>
      <c r="C518" s="1" t="n">
        <v>46163</v>
      </c>
      <c r="D518" t="inlineStr">
        <is>
          <t>VÄSTMANLANDS LÄN</t>
        </is>
      </c>
      <c r="E518" t="inlineStr">
        <is>
          <t>SALA</t>
        </is>
      </c>
      <c r="F518" t="inlineStr">
        <is>
          <t>Bergvik skog öst AB</t>
        </is>
      </c>
      <c r="G518" t="n">
        <v>2</v>
      </c>
      <c r="H518" t="n">
        <v>0</v>
      </c>
      <c r="I518" t="n">
        <v>0</v>
      </c>
      <c r="J518" t="n">
        <v>0</v>
      </c>
      <c r="K518" t="n">
        <v>0</v>
      </c>
      <c r="L518" t="n">
        <v>0</v>
      </c>
      <c r="M518" t="n">
        <v>0</v>
      </c>
      <c r="N518" t="n">
        <v>0</v>
      </c>
      <c r="O518" t="n">
        <v>0</v>
      </c>
      <c r="P518" t="n">
        <v>0</v>
      </c>
      <c r="Q518" t="n">
        <v>0</v>
      </c>
      <c r="R518" s="2" t="inlineStr"/>
    </row>
    <row r="519" ht="15" customHeight="1">
      <c r="A519" t="inlineStr">
        <is>
          <t>A 57415-2025</t>
        </is>
      </c>
      <c r="B519" s="1" t="n">
        <v>45980.45099537037</v>
      </c>
      <c r="C519" s="1" t="n">
        <v>46163</v>
      </c>
      <c r="D519" t="inlineStr">
        <is>
          <t>VÄSTMANLANDS LÄN</t>
        </is>
      </c>
      <c r="E519" t="inlineStr">
        <is>
          <t>SALA</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57412-2025</t>
        </is>
      </c>
      <c r="B520" s="1" t="n">
        <v>45980.44883101852</v>
      </c>
      <c r="C520" s="1" t="n">
        <v>46163</v>
      </c>
      <c r="D520" t="inlineStr">
        <is>
          <t>VÄSTMANLANDS LÄN</t>
        </is>
      </c>
      <c r="E520" t="inlineStr">
        <is>
          <t>SALA</t>
        </is>
      </c>
      <c r="F520" t="inlineStr">
        <is>
          <t>Bergvik skog öst AB</t>
        </is>
      </c>
      <c r="G520" t="n">
        <v>4.5</v>
      </c>
      <c r="H520" t="n">
        <v>0</v>
      </c>
      <c r="I520" t="n">
        <v>0</v>
      </c>
      <c r="J520" t="n">
        <v>0</v>
      </c>
      <c r="K520" t="n">
        <v>0</v>
      </c>
      <c r="L520" t="n">
        <v>0</v>
      </c>
      <c r="M520" t="n">
        <v>0</v>
      </c>
      <c r="N520" t="n">
        <v>0</v>
      </c>
      <c r="O520" t="n">
        <v>0</v>
      </c>
      <c r="P520" t="n">
        <v>0</v>
      </c>
      <c r="Q520" t="n">
        <v>0</v>
      </c>
      <c r="R520" s="2" t="inlineStr"/>
    </row>
    <row r="521" ht="15" customHeight="1">
      <c r="A521" t="inlineStr">
        <is>
          <t>A 58359-2025</t>
        </is>
      </c>
      <c r="B521" s="1" t="n">
        <v>45985.51594907408</v>
      </c>
      <c r="C521" s="1" t="n">
        <v>46163</v>
      </c>
      <c r="D521" t="inlineStr">
        <is>
          <t>VÄSTMANLANDS LÄN</t>
        </is>
      </c>
      <c r="E521" t="inlineStr">
        <is>
          <t>SALA</t>
        </is>
      </c>
      <c r="G521" t="n">
        <v>3.7</v>
      </c>
      <c r="H521" t="n">
        <v>0</v>
      </c>
      <c r="I521" t="n">
        <v>0</v>
      </c>
      <c r="J521" t="n">
        <v>0</v>
      </c>
      <c r="K521" t="n">
        <v>0</v>
      </c>
      <c r="L521" t="n">
        <v>0</v>
      </c>
      <c r="M521" t="n">
        <v>0</v>
      </c>
      <c r="N521" t="n">
        <v>0</v>
      </c>
      <c r="O521" t="n">
        <v>0</v>
      </c>
      <c r="P521" t="n">
        <v>0</v>
      </c>
      <c r="Q521" t="n">
        <v>0</v>
      </c>
      <c r="R521" s="2" t="inlineStr"/>
    </row>
    <row r="522" ht="15" customHeight="1">
      <c r="A522" t="inlineStr">
        <is>
          <t>A 58364-2025</t>
        </is>
      </c>
      <c r="B522" s="1" t="n">
        <v>45985.5228125</v>
      </c>
      <c r="C522" s="1" t="n">
        <v>46163</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58282-2025</t>
        </is>
      </c>
      <c r="B523" s="1" t="n">
        <v>45985.44309027777</v>
      </c>
      <c r="C523" s="1" t="n">
        <v>46163</v>
      </c>
      <c r="D523" t="inlineStr">
        <is>
          <t>VÄSTMANLANDS LÄN</t>
        </is>
      </c>
      <c r="E523" t="inlineStr">
        <is>
          <t>SALA</t>
        </is>
      </c>
      <c r="G523" t="n">
        <v>8.9</v>
      </c>
      <c r="H523" t="n">
        <v>0</v>
      </c>
      <c r="I523" t="n">
        <v>0</v>
      </c>
      <c r="J523" t="n">
        <v>0</v>
      </c>
      <c r="K523" t="n">
        <v>0</v>
      </c>
      <c r="L523" t="n">
        <v>0</v>
      </c>
      <c r="M523" t="n">
        <v>0</v>
      </c>
      <c r="N523" t="n">
        <v>0</v>
      </c>
      <c r="O523" t="n">
        <v>0</v>
      </c>
      <c r="P523" t="n">
        <v>0</v>
      </c>
      <c r="Q523" t="n">
        <v>0</v>
      </c>
      <c r="R523" s="2" t="inlineStr"/>
    </row>
    <row r="524" ht="15" customHeight="1">
      <c r="A524" t="inlineStr">
        <is>
          <t>A 60545-2024</t>
        </is>
      </c>
      <c r="B524" s="1" t="n">
        <v>45643</v>
      </c>
      <c r="C524" s="1" t="n">
        <v>46163</v>
      </c>
      <c r="D524" t="inlineStr">
        <is>
          <t>VÄSTMANLANDS LÄN</t>
        </is>
      </c>
      <c r="E524" t="inlineStr">
        <is>
          <t>SALA</t>
        </is>
      </c>
      <c r="G524" t="n">
        <v>3.3</v>
      </c>
      <c r="H524" t="n">
        <v>0</v>
      </c>
      <c r="I524" t="n">
        <v>0</v>
      </c>
      <c r="J524" t="n">
        <v>0</v>
      </c>
      <c r="K524" t="n">
        <v>0</v>
      </c>
      <c r="L524" t="n">
        <v>0</v>
      </c>
      <c r="M524" t="n">
        <v>0</v>
      </c>
      <c r="N524" t="n">
        <v>0</v>
      </c>
      <c r="O524" t="n">
        <v>0</v>
      </c>
      <c r="P524" t="n">
        <v>0</v>
      </c>
      <c r="Q524" t="n">
        <v>0</v>
      </c>
      <c r="R524" s="2" t="inlineStr"/>
    </row>
    <row r="525" ht="15" customHeight="1">
      <c r="A525" t="inlineStr">
        <is>
          <t>A 60547-2024</t>
        </is>
      </c>
      <c r="B525" s="1" t="n">
        <v>45643</v>
      </c>
      <c r="C525" s="1" t="n">
        <v>46163</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55760-2025</t>
        </is>
      </c>
      <c r="B526" s="1" t="n">
        <v>45972</v>
      </c>
      <c r="C526" s="1" t="n">
        <v>46163</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58357-2025</t>
        </is>
      </c>
      <c r="B527" s="1" t="n">
        <v>45985.51518518518</v>
      </c>
      <c r="C527" s="1" t="n">
        <v>46163</v>
      </c>
      <c r="D527" t="inlineStr">
        <is>
          <t>VÄSTMANLANDS LÄN</t>
        </is>
      </c>
      <c r="E527" t="inlineStr">
        <is>
          <t>SALA</t>
        </is>
      </c>
      <c r="G527" t="n">
        <v>3</v>
      </c>
      <c r="H527" t="n">
        <v>0</v>
      </c>
      <c r="I527" t="n">
        <v>0</v>
      </c>
      <c r="J527" t="n">
        <v>0</v>
      </c>
      <c r="K527" t="n">
        <v>0</v>
      </c>
      <c r="L527" t="n">
        <v>0</v>
      </c>
      <c r="M527" t="n">
        <v>0</v>
      </c>
      <c r="N527" t="n">
        <v>0</v>
      </c>
      <c r="O527" t="n">
        <v>0</v>
      </c>
      <c r="P527" t="n">
        <v>0</v>
      </c>
      <c r="Q527" t="n">
        <v>0</v>
      </c>
      <c r="R527" s="2" t="inlineStr"/>
    </row>
    <row r="528" ht="15" customHeight="1">
      <c r="A528" t="inlineStr">
        <is>
          <t>A 58365-2025</t>
        </is>
      </c>
      <c r="B528" s="1" t="n">
        <v>45985.52288194445</v>
      </c>
      <c r="C528" s="1" t="n">
        <v>46163</v>
      </c>
      <c r="D528" t="inlineStr">
        <is>
          <t>VÄSTMANLANDS LÄN</t>
        </is>
      </c>
      <c r="E528" t="inlineStr">
        <is>
          <t>SALA</t>
        </is>
      </c>
      <c r="G528" t="n">
        <v>3.9</v>
      </c>
      <c r="H528" t="n">
        <v>0</v>
      </c>
      <c r="I528" t="n">
        <v>0</v>
      </c>
      <c r="J528" t="n">
        <v>0</v>
      </c>
      <c r="K528" t="n">
        <v>0</v>
      </c>
      <c r="L528" t="n">
        <v>0</v>
      </c>
      <c r="M528" t="n">
        <v>0</v>
      </c>
      <c r="N528" t="n">
        <v>0</v>
      </c>
      <c r="O528" t="n">
        <v>0</v>
      </c>
      <c r="P528" t="n">
        <v>0</v>
      </c>
      <c r="Q528" t="n">
        <v>0</v>
      </c>
      <c r="R528" s="2" t="inlineStr"/>
    </row>
    <row r="529" ht="15" customHeight="1">
      <c r="A529" t="inlineStr">
        <is>
          <t>A 1985-2022</t>
        </is>
      </c>
      <c r="B529" s="1" t="n">
        <v>44575</v>
      </c>
      <c r="C529" s="1" t="n">
        <v>46163</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27261-2024</t>
        </is>
      </c>
      <c r="B530" s="1" t="n">
        <v>45471</v>
      </c>
      <c r="C530" s="1" t="n">
        <v>46163</v>
      </c>
      <c r="D530" t="inlineStr">
        <is>
          <t>VÄSTMANLANDS LÄN</t>
        </is>
      </c>
      <c r="E530" t="inlineStr">
        <is>
          <t>SALA</t>
        </is>
      </c>
      <c r="G530" t="n">
        <v>6.1</v>
      </c>
      <c r="H530" t="n">
        <v>0</v>
      </c>
      <c r="I530" t="n">
        <v>0</v>
      </c>
      <c r="J530" t="n">
        <v>0</v>
      </c>
      <c r="K530" t="n">
        <v>0</v>
      </c>
      <c r="L530" t="n">
        <v>0</v>
      </c>
      <c r="M530" t="n">
        <v>0</v>
      </c>
      <c r="N530" t="n">
        <v>0</v>
      </c>
      <c r="O530" t="n">
        <v>0</v>
      </c>
      <c r="P530" t="n">
        <v>0</v>
      </c>
      <c r="Q530" t="n">
        <v>0</v>
      </c>
      <c r="R530" s="2" t="inlineStr"/>
    </row>
    <row r="531" ht="15" customHeight="1">
      <c r="A531" t="inlineStr">
        <is>
          <t>A 35976-2024</t>
        </is>
      </c>
      <c r="B531" s="1" t="n">
        <v>45533.49555555556</v>
      </c>
      <c r="C531" s="1" t="n">
        <v>46163</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55556-2023</t>
        </is>
      </c>
      <c r="B532" s="1" t="n">
        <v>45232</v>
      </c>
      <c r="C532" s="1" t="n">
        <v>46163</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57650-2024</t>
        </is>
      </c>
      <c r="B533" s="1" t="n">
        <v>45630</v>
      </c>
      <c r="C533" s="1" t="n">
        <v>46163</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50479-2022</t>
        </is>
      </c>
      <c r="B534" s="1" t="n">
        <v>44861</v>
      </c>
      <c r="C534" s="1" t="n">
        <v>46163</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59385-2025</t>
        </is>
      </c>
      <c r="B535" s="1" t="n">
        <v>45989.45746527778</v>
      </c>
      <c r="C535" s="1" t="n">
        <v>46163</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59390-2025</t>
        </is>
      </c>
      <c r="B536" s="1" t="n">
        <v>45989.4640162037</v>
      </c>
      <c r="C536" s="1" t="n">
        <v>46163</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45790-2023</t>
        </is>
      </c>
      <c r="B537" s="1" t="n">
        <v>45195.45958333334</v>
      </c>
      <c r="C537" s="1" t="n">
        <v>46163</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51247-2025</t>
        </is>
      </c>
      <c r="B538" s="1" t="n">
        <v>45947.86487268518</v>
      </c>
      <c r="C538" s="1" t="n">
        <v>46163</v>
      </c>
      <c r="D538" t="inlineStr">
        <is>
          <t>VÄSTMANLANDS LÄN</t>
        </is>
      </c>
      <c r="E538" t="inlineStr">
        <is>
          <t>SALA</t>
        </is>
      </c>
      <c r="G538" t="n">
        <v>10.4</v>
      </c>
      <c r="H538" t="n">
        <v>0</v>
      </c>
      <c r="I538" t="n">
        <v>0</v>
      </c>
      <c r="J538" t="n">
        <v>0</v>
      </c>
      <c r="K538" t="n">
        <v>0</v>
      </c>
      <c r="L538" t="n">
        <v>0</v>
      </c>
      <c r="M538" t="n">
        <v>0</v>
      </c>
      <c r="N538" t="n">
        <v>0</v>
      </c>
      <c r="O538" t="n">
        <v>0</v>
      </c>
      <c r="P538" t="n">
        <v>0</v>
      </c>
      <c r="Q538" t="n">
        <v>0</v>
      </c>
      <c r="R538" s="2" t="inlineStr"/>
    </row>
    <row r="539" ht="15" customHeight="1">
      <c r="A539" t="inlineStr">
        <is>
          <t>A 21435-2026</t>
        </is>
      </c>
      <c r="B539" s="1" t="n">
        <v>46148.40625</v>
      </c>
      <c r="C539" s="1" t="n">
        <v>46163</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59817-2025</t>
        </is>
      </c>
      <c r="B540" s="1" t="n">
        <v>45992.63711805556</v>
      </c>
      <c r="C540" s="1" t="n">
        <v>46163</v>
      </c>
      <c r="D540" t="inlineStr">
        <is>
          <t>VÄSTMANLANDS LÄN</t>
        </is>
      </c>
      <c r="E540" t="inlineStr">
        <is>
          <t>SALA</t>
        </is>
      </c>
      <c r="G540" t="n">
        <v>6.9</v>
      </c>
      <c r="H540" t="n">
        <v>0</v>
      </c>
      <c r="I540" t="n">
        <v>0</v>
      </c>
      <c r="J540" t="n">
        <v>0</v>
      </c>
      <c r="K540" t="n">
        <v>0</v>
      </c>
      <c r="L540" t="n">
        <v>0</v>
      </c>
      <c r="M540" t="n">
        <v>0</v>
      </c>
      <c r="N540" t="n">
        <v>0</v>
      </c>
      <c r="O540" t="n">
        <v>0</v>
      </c>
      <c r="P540" t="n">
        <v>0</v>
      </c>
      <c r="Q540" t="n">
        <v>0</v>
      </c>
      <c r="R540" s="2" t="inlineStr"/>
    </row>
    <row r="541" ht="15" customHeight="1">
      <c r="A541" t="inlineStr">
        <is>
          <t>A 2928-2024</t>
        </is>
      </c>
      <c r="B541" s="1" t="n">
        <v>45315.59041666667</v>
      </c>
      <c r="C541" s="1" t="n">
        <v>46163</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73673-2021</t>
        </is>
      </c>
      <c r="B542" s="1" t="n">
        <v>44552.46501157407</v>
      </c>
      <c r="C542" s="1" t="n">
        <v>46163</v>
      </c>
      <c r="D542" t="inlineStr">
        <is>
          <t>VÄSTMANLANDS LÄN</t>
        </is>
      </c>
      <c r="E542" t="inlineStr">
        <is>
          <t>SALA</t>
        </is>
      </c>
      <c r="G542" t="n">
        <v>11.4</v>
      </c>
      <c r="H542" t="n">
        <v>0</v>
      </c>
      <c r="I542" t="n">
        <v>0</v>
      </c>
      <c r="J542" t="n">
        <v>0</v>
      </c>
      <c r="K542" t="n">
        <v>0</v>
      </c>
      <c r="L542" t="n">
        <v>0</v>
      </c>
      <c r="M542" t="n">
        <v>0</v>
      </c>
      <c r="N542" t="n">
        <v>0</v>
      </c>
      <c r="O542" t="n">
        <v>0</v>
      </c>
      <c r="P542" t="n">
        <v>0</v>
      </c>
      <c r="Q542" t="n">
        <v>0</v>
      </c>
      <c r="R542" s="2" t="inlineStr"/>
    </row>
    <row r="543" ht="15" customHeight="1">
      <c r="A543" t="inlineStr">
        <is>
          <t>A 59870-2025</t>
        </is>
      </c>
      <c r="B543" s="1" t="n">
        <v>45992.92226851852</v>
      </c>
      <c r="C543" s="1" t="n">
        <v>46163</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59926-2025</t>
        </is>
      </c>
      <c r="B544" s="1" t="n">
        <v>45993.39221064815</v>
      </c>
      <c r="C544" s="1" t="n">
        <v>46163</v>
      </c>
      <c r="D544" t="inlineStr">
        <is>
          <t>VÄSTMANLANDS LÄN</t>
        </is>
      </c>
      <c r="E544" t="inlineStr">
        <is>
          <t>SALA</t>
        </is>
      </c>
      <c r="G544" t="n">
        <v>7.1</v>
      </c>
      <c r="H544" t="n">
        <v>0</v>
      </c>
      <c r="I544" t="n">
        <v>0</v>
      </c>
      <c r="J544" t="n">
        <v>0</v>
      </c>
      <c r="K544" t="n">
        <v>0</v>
      </c>
      <c r="L544" t="n">
        <v>0</v>
      </c>
      <c r="M544" t="n">
        <v>0</v>
      </c>
      <c r="N544" t="n">
        <v>0</v>
      </c>
      <c r="O544" t="n">
        <v>0</v>
      </c>
      <c r="P544" t="n">
        <v>0</v>
      </c>
      <c r="Q544" t="n">
        <v>0</v>
      </c>
      <c r="R544" s="2" t="inlineStr"/>
    </row>
    <row r="545" ht="15" customHeight="1">
      <c r="A545" t="inlineStr">
        <is>
          <t>A 60017-2025</t>
        </is>
      </c>
      <c r="B545" s="1" t="n">
        <v>45993.59998842593</v>
      </c>
      <c r="C545" s="1" t="n">
        <v>46163</v>
      </c>
      <c r="D545" t="inlineStr">
        <is>
          <t>VÄSTMANLANDS LÄN</t>
        </is>
      </c>
      <c r="E545" t="inlineStr">
        <is>
          <t>SALA</t>
        </is>
      </c>
      <c r="G545" t="n">
        <v>4.4</v>
      </c>
      <c r="H545" t="n">
        <v>0</v>
      </c>
      <c r="I545" t="n">
        <v>0</v>
      </c>
      <c r="J545" t="n">
        <v>0</v>
      </c>
      <c r="K545" t="n">
        <v>0</v>
      </c>
      <c r="L545" t="n">
        <v>0</v>
      </c>
      <c r="M545" t="n">
        <v>0</v>
      </c>
      <c r="N545" t="n">
        <v>0</v>
      </c>
      <c r="O545" t="n">
        <v>0</v>
      </c>
      <c r="P545" t="n">
        <v>0</v>
      </c>
      <c r="Q545" t="n">
        <v>0</v>
      </c>
      <c r="R545" s="2" t="inlineStr"/>
    </row>
    <row r="546" ht="15" customHeight="1">
      <c r="A546" t="inlineStr">
        <is>
          <t>A 11617-2026</t>
        </is>
      </c>
      <c r="B546" s="1" t="n">
        <v>46084</v>
      </c>
      <c r="C546" s="1" t="n">
        <v>46163</v>
      </c>
      <c r="D546" t="inlineStr">
        <is>
          <t>VÄSTMANLANDS LÄN</t>
        </is>
      </c>
      <c r="E546" t="inlineStr">
        <is>
          <t>SALA</t>
        </is>
      </c>
      <c r="F546" t="inlineStr">
        <is>
          <t>Kyrkan</t>
        </is>
      </c>
      <c r="G546" t="n">
        <v>3.7</v>
      </c>
      <c r="H546" t="n">
        <v>0</v>
      </c>
      <c r="I546" t="n">
        <v>0</v>
      </c>
      <c r="J546" t="n">
        <v>0</v>
      </c>
      <c r="K546" t="n">
        <v>0</v>
      </c>
      <c r="L546" t="n">
        <v>0</v>
      </c>
      <c r="M546" t="n">
        <v>0</v>
      </c>
      <c r="N546" t="n">
        <v>0</v>
      </c>
      <c r="O546" t="n">
        <v>0</v>
      </c>
      <c r="P546" t="n">
        <v>0</v>
      </c>
      <c r="Q546" t="n">
        <v>0</v>
      </c>
      <c r="R546" s="2" t="inlineStr"/>
    </row>
    <row r="547" ht="15" customHeight="1">
      <c r="A547" t="inlineStr">
        <is>
          <t>A 40871-2021</t>
        </is>
      </c>
      <c r="B547" s="1" t="n">
        <v>44421</v>
      </c>
      <c r="C547" s="1" t="n">
        <v>46163</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60254-2025</t>
        </is>
      </c>
      <c r="B548" s="1" t="n">
        <v>45994.60146990741</v>
      </c>
      <c r="C548" s="1" t="n">
        <v>46163</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60259-2025</t>
        </is>
      </c>
      <c r="B549" s="1" t="n">
        <v>45994.60913194445</v>
      </c>
      <c r="C549" s="1" t="n">
        <v>46163</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14271-2025</t>
        </is>
      </c>
      <c r="B550" s="1" t="n">
        <v>45740.64129629629</v>
      </c>
      <c r="C550" s="1" t="n">
        <v>46163</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15630-2026</t>
        </is>
      </c>
      <c r="B551" s="1" t="n">
        <v>46106.62283564815</v>
      </c>
      <c r="C551" s="1" t="n">
        <v>46163</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60241-2025</t>
        </is>
      </c>
      <c r="B552" s="1" t="n">
        <v>45994.58454861111</v>
      </c>
      <c r="C552" s="1" t="n">
        <v>46163</v>
      </c>
      <c r="D552" t="inlineStr">
        <is>
          <t>VÄSTMANLANDS LÄN</t>
        </is>
      </c>
      <c r="E552" t="inlineStr">
        <is>
          <t>SALA</t>
        </is>
      </c>
      <c r="G552" t="n">
        <v>1.6</v>
      </c>
      <c r="H552" t="n">
        <v>0</v>
      </c>
      <c r="I552" t="n">
        <v>0</v>
      </c>
      <c r="J552" t="n">
        <v>0</v>
      </c>
      <c r="K552" t="n">
        <v>0</v>
      </c>
      <c r="L552" t="n">
        <v>0</v>
      </c>
      <c r="M552" t="n">
        <v>0</v>
      </c>
      <c r="N552" t="n">
        <v>0</v>
      </c>
      <c r="O552" t="n">
        <v>0</v>
      </c>
      <c r="P552" t="n">
        <v>0</v>
      </c>
      <c r="Q552" t="n">
        <v>0</v>
      </c>
      <c r="R552" s="2" t="inlineStr"/>
    </row>
    <row r="553" ht="15" customHeight="1">
      <c r="A553" t="inlineStr">
        <is>
          <t>A 60258-2025</t>
        </is>
      </c>
      <c r="B553" s="1" t="n">
        <v>45994.6064699074</v>
      </c>
      <c r="C553" s="1" t="n">
        <v>46163</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60246-2025</t>
        </is>
      </c>
      <c r="B554" s="1" t="n">
        <v>45994.58931712963</v>
      </c>
      <c r="C554" s="1" t="n">
        <v>46163</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60629-2025</t>
        </is>
      </c>
      <c r="B555" s="1" t="n">
        <v>45996.41972222222</v>
      </c>
      <c r="C555" s="1" t="n">
        <v>46163</v>
      </c>
      <c r="D555" t="inlineStr">
        <is>
          <t>VÄSTMANLANDS LÄN</t>
        </is>
      </c>
      <c r="E555" t="inlineStr">
        <is>
          <t>SALA</t>
        </is>
      </c>
      <c r="G555" t="n">
        <v>4.3</v>
      </c>
      <c r="H555" t="n">
        <v>0</v>
      </c>
      <c r="I555" t="n">
        <v>0</v>
      </c>
      <c r="J555" t="n">
        <v>0</v>
      </c>
      <c r="K555" t="n">
        <v>0</v>
      </c>
      <c r="L555" t="n">
        <v>0</v>
      </c>
      <c r="M555" t="n">
        <v>0</v>
      </c>
      <c r="N555" t="n">
        <v>0</v>
      </c>
      <c r="O555" t="n">
        <v>0</v>
      </c>
      <c r="P555" t="n">
        <v>0</v>
      </c>
      <c r="Q555" t="n">
        <v>0</v>
      </c>
      <c r="R555" s="2" t="inlineStr"/>
    </row>
    <row r="556" ht="15" customHeight="1">
      <c r="A556" t="inlineStr">
        <is>
          <t>A 54199-2024</t>
        </is>
      </c>
      <c r="B556" s="1" t="n">
        <v>45616.64703703704</v>
      </c>
      <c r="C556" s="1" t="n">
        <v>46163</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6312-2025</t>
        </is>
      </c>
      <c r="B557" s="1" t="n">
        <v>45698</v>
      </c>
      <c r="C557" s="1" t="n">
        <v>46163</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44857-2023</t>
        </is>
      </c>
      <c r="B558" s="1" t="n">
        <v>45190.58479166667</v>
      </c>
      <c r="C558" s="1" t="n">
        <v>46163</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62654-2022</t>
        </is>
      </c>
      <c r="B559" s="1" t="n">
        <v>44917</v>
      </c>
      <c r="C559" s="1" t="n">
        <v>46163</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43188-2023</t>
        </is>
      </c>
      <c r="B560" s="1" t="n">
        <v>45183</v>
      </c>
      <c r="C560" s="1" t="n">
        <v>46163</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43205-2023</t>
        </is>
      </c>
      <c r="B561" s="1" t="n">
        <v>45183</v>
      </c>
      <c r="C561" s="1" t="n">
        <v>46163</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61892-2021</t>
        </is>
      </c>
      <c r="B562" s="1" t="n">
        <v>44502</v>
      </c>
      <c r="C562" s="1" t="n">
        <v>46163</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61522-2025</t>
        </is>
      </c>
      <c r="B563" s="1" t="n">
        <v>46001.68684027778</v>
      </c>
      <c r="C563" s="1" t="n">
        <v>46163</v>
      </c>
      <c r="D563" t="inlineStr">
        <is>
          <t>VÄSTMANLANDS LÄN</t>
        </is>
      </c>
      <c r="E563" t="inlineStr">
        <is>
          <t>SALA</t>
        </is>
      </c>
      <c r="G563" t="n">
        <v>5.7</v>
      </c>
      <c r="H563" t="n">
        <v>0</v>
      </c>
      <c r="I563" t="n">
        <v>0</v>
      </c>
      <c r="J563" t="n">
        <v>0</v>
      </c>
      <c r="K563" t="n">
        <v>0</v>
      </c>
      <c r="L563" t="n">
        <v>0</v>
      </c>
      <c r="M563" t="n">
        <v>0</v>
      </c>
      <c r="N563" t="n">
        <v>0</v>
      </c>
      <c r="O563" t="n">
        <v>0</v>
      </c>
      <c r="P563" t="n">
        <v>0</v>
      </c>
      <c r="Q563" t="n">
        <v>0</v>
      </c>
      <c r="R563" s="2" t="inlineStr"/>
    </row>
    <row r="564" ht="15" customHeight="1">
      <c r="A564" t="inlineStr">
        <is>
          <t>A 29213-2022</t>
        </is>
      </c>
      <c r="B564" s="1" t="n">
        <v>44750.57474537037</v>
      </c>
      <c r="C564" s="1" t="n">
        <v>46163</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59483-2022</t>
        </is>
      </c>
      <c r="B565" s="1" t="n">
        <v>44907.45679398148</v>
      </c>
      <c r="C565" s="1" t="n">
        <v>46163</v>
      </c>
      <c r="D565" t="inlineStr">
        <is>
          <t>VÄSTMANLANDS LÄN</t>
        </is>
      </c>
      <c r="E565" t="inlineStr">
        <is>
          <t>SALA</t>
        </is>
      </c>
      <c r="G565" t="n">
        <v>5.2</v>
      </c>
      <c r="H565" t="n">
        <v>0</v>
      </c>
      <c r="I565" t="n">
        <v>0</v>
      </c>
      <c r="J565" t="n">
        <v>0</v>
      </c>
      <c r="K565" t="n">
        <v>0</v>
      </c>
      <c r="L565" t="n">
        <v>0</v>
      </c>
      <c r="M565" t="n">
        <v>0</v>
      </c>
      <c r="N565" t="n">
        <v>0</v>
      </c>
      <c r="O565" t="n">
        <v>0</v>
      </c>
      <c r="P565" t="n">
        <v>0</v>
      </c>
      <c r="Q565" t="n">
        <v>0</v>
      </c>
      <c r="R565" s="2" t="inlineStr"/>
    </row>
    <row r="566" ht="15" customHeight="1">
      <c r="A566" t="inlineStr">
        <is>
          <t>A 15823-2026</t>
        </is>
      </c>
      <c r="B566" s="1" t="n">
        <v>46107.54096064815</v>
      </c>
      <c r="C566" s="1" t="n">
        <v>46163</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16160-2024</t>
        </is>
      </c>
      <c r="B567" s="1" t="n">
        <v>45406</v>
      </c>
      <c r="C567" s="1" t="n">
        <v>46163</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39597-2022</t>
        </is>
      </c>
      <c r="B568" s="1" t="n">
        <v>44818</v>
      </c>
      <c r="C568" s="1" t="n">
        <v>46163</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62523-2025</t>
        </is>
      </c>
      <c r="B569" s="1" t="n">
        <v>46007.61512731481</v>
      </c>
      <c r="C569" s="1" t="n">
        <v>46163</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22921-2023</t>
        </is>
      </c>
      <c r="B570" s="1" t="n">
        <v>45070</v>
      </c>
      <c r="C570" s="1" t="n">
        <v>46163</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16354-2026</t>
        </is>
      </c>
      <c r="B571" s="1" t="n">
        <v>46111.5968287037</v>
      </c>
      <c r="C571" s="1" t="n">
        <v>46163</v>
      </c>
      <c r="D571" t="inlineStr">
        <is>
          <t>VÄSTMANLANDS LÄN</t>
        </is>
      </c>
      <c r="E571" t="inlineStr">
        <is>
          <t>SALA</t>
        </is>
      </c>
      <c r="G571" t="n">
        <v>5.2</v>
      </c>
      <c r="H571" t="n">
        <v>0</v>
      </c>
      <c r="I571" t="n">
        <v>0</v>
      </c>
      <c r="J571" t="n">
        <v>0</v>
      </c>
      <c r="K571" t="n">
        <v>0</v>
      </c>
      <c r="L571" t="n">
        <v>0</v>
      </c>
      <c r="M571" t="n">
        <v>0</v>
      </c>
      <c r="N571" t="n">
        <v>0</v>
      </c>
      <c r="O571" t="n">
        <v>0</v>
      </c>
      <c r="P571" t="n">
        <v>0</v>
      </c>
      <c r="Q571" t="n">
        <v>0</v>
      </c>
      <c r="R571" s="2" t="inlineStr"/>
    </row>
    <row r="572" ht="15" customHeight="1">
      <c r="A572" t="inlineStr">
        <is>
          <t>A 16367-2026</t>
        </is>
      </c>
      <c r="B572" s="1" t="n">
        <v>46111.61380787037</v>
      </c>
      <c r="C572" s="1" t="n">
        <v>46163</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36858-2023</t>
        </is>
      </c>
      <c r="B573" s="1" t="n">
        <v>45154.55184027777</v>
      </c>
      <c r="C573" s="1" t="n">
        <v>46163</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55024-2023</t>
        </is>
      </c>
      <c r="B574" s="1" t="n">
        <v>45229</v>
      </c>
      <c r="C574" s="1" t="n">
        <v>46163</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55032-2023</t>
        </is>
      </c>
      <c r="B575" s="1" t="n">
        <v>45229</v>
      </c>
      <c r="C575" s="1" t="n">
        <v>46163</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63055-2025</t>
        </is>
      </c>
      <c r="B576" s="1" t="n">
        <v>46009.63619212963</v>
      </c>
      <c r="C576" s="1" t="n">
        <v>46163</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63051-2025</t>
        </is>
      </c>
      <c r="B577" s="1" t="n">
        <v>46009.63134259259</v>
      </c>
      <c r="C577" s="1" t="n">
        <v>46163</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20352-2022</t>
        </is>
      </c>
      <c r="B578" s="1" t="n">
        <v>44699.37318287037</v>
      </c>
      <c r="C578" s="1" t="n">
        <v>46163</v>
      </c>
      <c r="D578" t="inlineStr">
        <is>
          <t>VÄSTMANLANDS LÄN</t>
        </is>
      </c>
      <c r="E578" t="inlineStr">
        <is>
          <t>SALA</t>
        </is>
      </c>
      <c r="G578" t="n">
        <v>1.3</v>
      </c>
      <c r="H578" t="n">
        <v>0</v>
      </c>
      <c r="I578" t="n">
        <v>0</v>
      </c>
      <c r="J578" t="n">
        <v>0</v>
      </c>
      <c r="K578" t="n">
        <v>0</v>
      </c>
      <c r="L578" t="n">
        <v>0</v>
      </c>
      <c r="M578" t="n">
        <v>0</v>
      </c>
      <c r="N578" t="n">
        <v>0</v>
      </c>
      <c r="O578" t="n">
        <v>0</v>
      </c>
      <c r="P578" t="n">
        <v>0</v>
      </c>
      <c r="Q578" t="n">
        <v>0</v>
      </c>
      <c r="R578" s="2" t="inlineStr"/>
    </row>
    <row r="579" ht="15" customHeight="1">
      <c r="A579" t="inlineStr">
        <is>
          <t>A 5032-2025</t>
        </is>
      </c>
      <c r="B579" s="1" t="n">
        <v>45691</v>
      </c>
      <c r="C579" s="1" t="n">
        <v>46163</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63046-2025</t>
        </is>
      </c>
      <c r="B580" s="1" t="n">
        <v>46009.62373842593</v>
      </c>
      <c r="C580" s="1" t="n">
        <v>46163</v>
      </c>
      <c r="D580" t="inlineStr">
        <is>
          <t>VÄSTMANLANDS LÄN</t>
        </is>
      </c>
      <c r="E580" t="inlineStr">
        <is>
          <t>SALA</t>
        </is>
      </c>
      <c r="G580" t="n">
        <v>1.1</v>
      </c>
      <c r="H580" t="n">
        <v>0</v>
      </c>
      <c r="I580" t="n">
        <v>0</v>
      </c>
      <c r="J580" t="n">
        <v>0</v>
      </c>
      <c r="K580" t="n">
        <v>0</v>
      </c>
      <c r="L580" t="n">
        <v>0</v>
      </c>
      <c r="M580" t="n">
        <v>0</v>
      </c>
      <c r="N580" t="n">
        <v>0</v>
      </c>
      <c r="O580" t="n">
        <v>0</v>
      </c>
      <c r="P580" t="n">
        <v>0</v>
      </c>
      <c r="Q580" t="n">
        <v>0</v>
      </c>
      <c r="R580" s="2" t="inlineStr"/>
    </row>
    <row r="581" ht="15" customHeight="1">
      <c r="A581" t="inlineStr">
        <is>
          <t>A 17117-2023</t>
        </is>
      </c>
      <c r="B581" s="1" t="n">
        <v>45034</v>
      </c>
      <c r="C581" s="1" t="n">
        <v>46163</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19243-2025</t>
        </is>
      </c>
      <c r="B582" s="1" t="n">
        <v>45769</v>
      </c>
      <c r="C582" s="1" t="n">
        <v>46163</v>
      </c>
      <c r="D582" t="inlineStr">
        <is>
          <t>VÄSTMANLANDS LÄN</t>
        </is>
      </c>
      <c r="E582" t="inlineStr">
        <is>
          <t>SALA</t>
        </is>
      </c>
      <c r="F582" t="inlineStr">
        <is>
          <t>Bergvik skog öst AB</t>
        </is>
      </c>
      <c r="G582" t="n">
        <v>1.5</v>
      </c>
      <c r="H582" t="n">
        <v>0</v>
      </c>
      <c r="I582" t="n">
        <v>0</v>
      </c>
      <c r="J582" t="n">
        <v>0</v>
      </c>
      <c r="K582" t="n">
        <v>0</v>
      </c>
      <c r="L582" t="n">
        <v>0</v>
      </c>
      <c r="M582" t="n">
        <v>0</v>
      </c>
      <c r="N582" t="n">
        <v>0</v>
      </c>
      <c r="O582" t="n">
        <v>0</v>
      </c>
      <c r="P582" t="n">
        <v>0</v>
      </c>
      <c r="Q582" t="n">
        <v>0</v>
      </c>
      <c r="R582" s="2" t="inlineStr"/>
    </row>
    <row r="583" ht="15" customHeight="1">
      <c r="A583" t="inlineStr">
        <is>
          <t>A 63353-2025</t>
        </is>
      </c>
      <c r="B583" s="1" t="n">
        <v>46010.66670138889</v>
      </c>
      <c r="C583" s="1" t="n">
        <v>46163</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16369-2026</t>
        </is>
      </c>
      <c r="B584" s="1" t="n">
        <v>46111</v>
      </c>
      <c r="C584" s="1" t="n">
        <v>46163</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63269-2025</t>
        </is>
      </c>
      <c r="B585" s="1" t="n">
        <v>46010</v>
      </c>
      <c r="C585" s="1" t="n">
        <v>46163</v>
      </c>
      <c r="D585" t="inlineStr">
        <is>
          <t>VÄSTMANLANDS LÄN</t>
        </is>
      </c>
      <c r="E585" t="inlineStr">
        <is>
          <t>SALA</t>
        </is>
      </c>
      <c r="G585" t="n">
        <v>6.4</v>
      </c>
      <c r="H585" t="n">
        <v>0</v>
      </c>
      <c r="I585" t="n">
        <v>0</v>
      </c>
      <c r="J585" t="n">
        <v>0</v>
      </c>
      <c r="K585" t="n">
        <v>0</v>
      </c>
      <c r="L585" t="n">
        <v>0</v>
      </c>
      <c r="M585" t="n">
        <v>0</v>
      </c>
      <c r="N585" t="n">
        <v>0</v>
      </c>
      <c r="O585" t="n">
        <v>0</v>
      </c>
      <c r="P585" t="n">
        <v>0</v>
      </c>
      <c r="Q585" t="n">
        <v>0</v>
      </c>
      <c r="R585" s="2" t="inlineStr"/>
    </row>
    <row r="586" ht="15" customHeight="1">
      <c r="A586" t="inlineStr">
        <is>
          <t>A 16598-2026</t>
        </is>
      </c>
      <c r="B586" s="1" t="n">
        <v>46112.59598379629</v>
      </c>
      <c r="C586" s="1" t="n">
        <v>46163</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16364-2026</t>
        </is>
      </c>
      <c r="B587" s="1" t="n">
        <v>46111.6115625</v>
      </c>
      <c r="C587" s="1" t="n">
        <v>46163</v>
      </c>
      <c r="D587" t="inlineStr">
        <is>
          <t>VÄSTMANLANDS LÄN</t>
        </is>
      </c>
      <c r="E587" t="inlineStr">
        <is>
          <t>SALA</t>
        </is>
      </c>
      <c r="G587" t="n">
        <v>4.7</v>
      </c>
      <c r="H587" t="n">
        <v>0</v>
      </c>
      <c r="I587" t="n">
        <v>0</v>
      </c>
      <c r="J587" t="n">
        <v>0</v>
      </c>
      <c r="K587" t="n">
        <v>0</v>
      </c>
      <c r="L587" t="n">
        <v>0</v>
      </c>
      <c r="M587" t="n">
        <v>0</v>
      </c>
      <c r="N587" t="n">
        <v>0</v>
      </c>
      <c r="O587" t="n">
        <v>0</v>
      </c>
      <c r="P587" t="n">
        <v>0</v>
      </c>
      <c r="Q587" t="n">
        <v>0</v>
      </c>
      <c r="R587" s="2" t="inlineStr"/>
    </row>
    <row r="588" ht="15" customHeight="1">
      <c r="A588" t="inlineStr">
        <is>
          <t>A 17722-2025</t>
        </is>
      </c>
      <c r="B588" s="1" t="n">
        <v>45758</v>
      </c>
      <c r="C588" s="1" t="n">
        <v>46163</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63749-2025</t>
        </is>
      </c>
      <c r="B589" s="1" t="n">
        <v>46017.75243055556</v>
      </c>
      <c r="C589" s="1" t="n">
        <v>46163</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63748-2025</t>
        </is>
      </c>
      <c r="B590" s="1" t="n">
        <v>46017.71640046296</v>
      </c>
      <c r="C590" s="1" t="n">
        <v>46163</v>
      </c>
      <c r="D590" t="inlineStr">
        <is>
          <t>VÄSTMANLANDS LÄN</t>
        </is>
      </c>
      <c r="E590" t="inlineStr">
        <is>
          <t>SALA</t>
        </is>
      </c>
      <c r="G590" t="n">
        <v>1.6</v>
      </c>
      <c r="H590" t="n">
        <v>0</v>
      </c>
      <c r="I590" t="n">
        <v>0</v>
      </c>
      <c r="J590" t="n">
        <v>0</v>
      </c>
      <c r="K590" t="n">
        <v>0</v>
      </c>
      <c r="L590" t="n">
        <v>0</v>
      </c>
      <c r="M590" t="n">
        <v>0</v>
      </c>
      <c r="N590" t="n">
        <v>0</v>
      </c>
      <c r="O590" t="n">
        <v>0</v>
      </c>
      <c r="P590" t="n">
        <v>0</v>
      </c>
      <c r="Q590" t="n">
        <v>0</v>
      </c>
      <c r="R590" s="2" t="inlineStr"/>
    </row>
    <row r="591" ht="15" customHeight="1">
      <c r="A591" t="inlineStr">
        <is>
          <t>A 7166-2025</t>
        </is>
      </c>
      <c r="B591" s="1" t="n">
        <v>45702</v>
      </c>
      <c r="C591" s="1" t="n">
        <v>46163</v>
      </c>
      <c r="D591" t="inlineStr">
        <is>
          <t>VÄSTMANLANDS LÄN</t>
        </is>
      </c>
      <c r="E591" t="inlineStr">
        <is>
          <t>SALA</t>
        </is>
      </c>
      <c r="G591" t="n">
        <v>6.1</v>
      </c>
      <c r="H591" t="n">
        <v>0</v>
      </c>
      <c r="I591" t="n">
        <v>0</v>
      </c>
      <c r="J591" t="n">
        <v>0</v>
      </c>
      <c r="K591" t="n">
        <v>0</v>
      </c>
      <c r="L591" t="n">
        <v>0</v>
      </c>
      <c r="M591" t="n">
        <v>0</v>
      </c>
      <c r="N591" t="n">
        <v>0</v>
      </c>
      <c r="O591" t="n">
        <v>0</v>
      </c>
      <c r="P591" t="n">
        <v>0</v>
      </c>
      <c r="Q591" t="n">
        <v>0</v>
      </c>
      <c r="R591" s="2" t="inlineStr"/>
    </row>
    <row r="592" ht="15" customHeight="1">
      <c r="A592" t="inlineStr">
        <is>
          <t>A 36393-2023</t>
        </is>
      </c>
      <c r="B592" s="1" t="n">
        <v>45152</v>
      </c>
      <c r="C592" s="1" t="n">
        <v>46163</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26416-2023</t>
        </is>
      </c>
      <c r="B593" s="1" t="n">
        <v>45092.38087962963</v>
      </c>
      <c r="C593" s="1" t="n">
        <v>46163</v>
      </c>
      <c r="D593" t="inlineStr">
        <is>
          <t>VÄSTMANLANDS LÄN</t>
        </is>
      </c>
      <c r="E593" t="inlineStr">
        <is>
          <t>SALA</t>
        </is>
      </c>
      <c r="G593" t="n">
        <v>2.9</v>
      </c>
      <c r="H593" t="n">
        <v>0</v>
      </c>
      <c r="I593" t="n">
        <v>0</v>
      </c>
      <c r="J593" t="n">
        <v>0</v>
      </c>
      <c r="K593" t="n">
        <v>0</v>
      </c>
      <c r="L593" t="n">
        <v>0</v>
      </c>
      <c r="M593" t="n">
        <v>0</v>
      </c>
      <c r="N593" t="n">
        <v>0</v>
      </c>
      <c r="O593" t="n">
        <v>0</v>
      </c>
      <c r="P593" t="n">
        <v>0</v>
      </c>
      <c r="Q593" t="n">
        <v>0</v>
      </c>
      <c r="R593" s="2" t="inlineStr"/>
    </row>
    <row r="594" ht="15" customHeight="1">
      <c r="A594" t="inlineStr">
        <is>
          <t>A 28661-2024</t>
        </is>
      </c>
      <c r="B594" s="1" t="n">
        <v>45478</v>
      </c>
      <c r="C594" s="1" t="n">
        <v>46163</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20838-2026</t>
        </is>
      </c>
      <c r="B595" s="1" t="n">
        <v>46142.34188657408</v>
      </c>
      <c r="C595" s="1" t="n">
        <v>46163</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27255-2023</t>
        </is>
      </c>
      <c r="B596" s="1" t="n">
        <v>45096</v>
      </c>
      <c r="C596" s="1" t="n">
        <v>46163</v>
      </c>
      <c r="D596" t="inlineStr">
        <is>
          <t>VÄSTMANLANDS LÄN</t>
        </is>
      </c>
      <c r="E596" t="inlineStr">
        <is>
          <t>SALA</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7197-2025</t>
        </is>
      </c>
      <c r="B597" s="1" t="n">
        <v>45702</v>
      </c>
      <c r="C597" s="1" t="n">
        <v>46163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22869-2026</t>
        </is>
      </c>
      <c r="B598" s="1" t="n">
        <v>46160.43599537037</v>
      </c>
      <c r="C598" s="1" t="n">
        <v>46163</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13752-2025</t>
        </is>
      </c>
      <c r="B599" s="1" t="n">
        <v>45737.41416666667</v>
      </c>
      <c r="C599" s="1" t="n">
        <v>46163</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910-2026</t>
        </is>
      </c>
      <c r="B600" s="1" t="n">
        <v>46030.4771412037</v>
      </c>
      <c r="C600" s="1" t="n">
        <v>46163</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914-2026</t>
        </is>
      </c>
      <c r="B601" s="1" t="n">
        <v>46030.47952546296</v>
      </c>
      <c r="C601" s="1" t="n">
        <v>46163</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2927-2024</t>
        </is>
      </c>
      <c r="B602" s="1" t="n">
        <v>45315.58989583333</v>
      </c>
      <c r="C602" s="1" t="n">
        <v>46163</v>
      </c>
      <c r="D602" t="inlineStr">
        <is>
          <t>VÄSTMANLANDS LÄN</t>
        </is>
      </c>
      <c r="E602" t="inlineStr">
        <is>
          <t>SALA</t>
        </is>
      </c>
      <c r="G602" t="n">
        <v>2.5</v>
      </c>
      <c r="H602" t="n">
        <v>0</v>
      </c>
      <c r="I602" t="n">
        <v>0</v>
      </c>
      <c r="J602" t="n">
        <v>0</v>
      </c>
      <c r="K602" t="n">
        <v>0</v>
      </c>
      <c r="L602" t="n">
        <v>0</v>
      </c>
      <c r="M602" t="n">
        <v>0</v>
      </c>
      <c r="N602" t="n">
        <v>0</v>
      </c>
      <c r="O602" t="n">
        <v>0</v>
      </c>
      <c r="P602" t="n">
        <v>0</v>
      </c>
      <c r="Q602" t="n">
        <v>0</v>
      </c>
      <c r="R602" s="2" t="inlineStr"/>
    </row>
    <row r="603" ht="15" customHeight="1">
      <c r="A603" t="inlineStr">
        <is>
          <t>A 948-2026</t>
        </is>
      </c>
      <c r="B603" s="1" t="n">
        <v>46030.53986111111</v>
      </c>
      <c r="C603" s="1" t="n">
        <v>46163</v>
      </c>
      <c r="D603" t="inlineStr">
        <is>
          <t>VÄSTMANLANDS LÄN</t>
        </is>
      </c>
      <c r="E603" t="inlineStr">
        <is>
          <t>SALA</t>
        </is>
      </c>
      <c r="G603" t="n">
        <v>0.8</v>
      </c>
      <c r="H603" t="n">
        <v>0</v>
      </c>
      <c r="I603" t="n">
        <v>0</v>
      </c>
      <c r="J603" t="n">
        <v>0</v>
      </c>
      <c r="K603" t="n">
        <v>0</v>
      </c>
      <c r="L603" t="n">
        <v>0</v>
      </c>
      <c r="M603" t="n">
        <v>0</v>
      </c>
      <c r="N603" t="n">
        <v>0</v>
      </c>
      <c r="O603" t="n">
        <v>0</v>
      </c>
      <c r="P603" t="n">
        <v>0</v>
      </c>
      <c r="Q603" t="n">
        <v>0</v>
      </c>
      <c r="R603" s="2" t="inlineStr"/>
    </row>
    <row r="604" ht="15" customHeight="1">
      <c r="A604" t="inlineStr">
        <is>
          <t>A 26854-2024</t>
        </is>
      </c>
      <c r="B604" s="1" t="n">
        <v>45470</v>
      </c>
      <c r="C604" s="1" t="n">
        <v>46163</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48570-2024</t>
        </is>
      </c>
      <c r="B605" s="1" t="n">
        <v>45591</v>
      </c>
      <c r="C605" s="1" t="n">
        <v>46163</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1705-2026</t>
        </is>
      </c>
      <c r="B606" s="1" t="n">
        <v>46034.59930555556</v>
      </c>
      <c r="C606" s="1" t="n">
        <v>46163</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57883-2024</t>
        </is>
      </c>
      <c r="B607" s="1" t="n">
        <v>45630</v>
      </c>
      <c r="C607" s="1" t="n">
        <v>46163</v>
      </c>
      <c r="D607" t="inlineStr">
        <is>
          <t>VÄSTMANLANDS LÄN</t>
        </is>
      </c>
      <c r="E607" t="inlineStr">
        <is>
          <t>SALA</t>
        </is>
      </c>
      <c r="G607" t="n">
        <v>5.4</v>
      </c>
      <c r="H607" t="n">
        <v>0</v>
      </c>
      <c r="I607" t="n">
        <v>0</v>
      </c>
      <c r="J607" t="n">
        <v>0</v>
      </c>
      <c r="K607" t="n">
        <v>0</v>
      </c>
      <c r="L607" t="n">
        <v>0</v>
      </c>
      <c r="M607" t="n">
        <v>0</v>
      </c>
      <c r="N607" t="n">
        <v>0</v>
      </c>
      <c r="O607" t="n">
        <v>0</v>
      </c>
      <c r="P607" t="n">
        <v>0</v>
      </c>
      <c r="Q607" t="n">
        <v>0</v>
      </c>
      <c r="R607" s="2" t="inlineStr"/>
    </row>
    <row r="608" ht="15" customHeight="1">
      <c r="A608" t="inlineStr">
        <is>
          <t>A 16769-2024</t>
        </is>
      </c>
      <c r="B608" s="1" t="n">
        <v>45411.38738425926</v>
      </c>
      <c r="C608" s="1" t="n">
        <v>46163</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18877-2023</t>
        </is>
      </c>
      <c r="B609" s="1" t="n">
        <v>45044</v>
      </c>
      <c r="C609" s="1" t="n">
        <v>46163</v>
      </c>
      <c r="D609" t="inlineStr">
        <is>
          <t>VÄSTMANLANDS LÄN</t>
        </is>
      </c>
      <c r="E609" t="inlineStr">
        <is>
          <t>SALA</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44544-2024</t>
        </is>
      </c>
      <c r="B610" s="1" t="n">
        <v>45574.46119212963</v>
      </c>
      <c r="C610" s="1" t="n">
        <v>46163</v>
      </c>
      <c r="D610" t="inlineStr">
        <is>
          <t>VÄSTMANLANDS LÄN</t>
        </is>
      </c>
      <c r="E610" t="inlineStr">
        <is>
          <t>SALA</t>
        </is>
      </c>
      <c r="G610" t="n">
        <v>3.3</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46163</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56547-2022</t>
        </is>
      </c>
      <c r="B612" s="1" t="n">
        <v>44893.48284722222</v>
      </c>
      <c r="C612" s="1" t="n">
        <v>46163</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29542-2023</t>
        </is>
      </c>
      <c r="B613" s="1" t="n">
        <v>45098</v>
      </c>
      <c r="C613" s="1" t="n">
        <v>46163</v>
      </c>
      <c r="D613" t="inlineStr">
        <is>
          <t>VÄSTMANLANDS LÄN</t>
        </is>
      </c>
      <c r="E613" t="inlineStr">
        <is>
          <t>SALA</t>
        </is>
      </c>
      <c r="G613" t="n">
        <v>4.8</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46163</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46163</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46163</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46163</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68864-2021</t>
        </is>
      </c>
      <c r="B618" s="1" t="n">
        <v>44530</v>
      </c>
      <c r="C618" s="1" t="n">
        <v>46163</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19065-2022</t>
        </is>
      </c>
      <c r="B619" s="1" t="n">
        <v>44691.44309027777</v>
      </c>
      <c r="C619" s="1" t="n">
        <v>46163</v>
      </c>
      <c r="D619" t="inlineStr">
        <is>
          <t>VÄSTMANLANDS LÄN</t>
        </is>
      </c>
      <c r="E619" t="inlineStr">
        <is>
          <t>SALA</t>
        </is>
      </c>
      <c r="G619" t="n">
        <v>3.4</v>
      </c>
      <c r="H619" t="n">
        <v>0</v>
      </c>
      <c r="I619" t="n">
        <v>0</v>
      </c>
      <c r="J619" t="n">
        <v>0</v>
      </c>
      <c r="K619" t="n">
        <v>0</v>
      </c>
      <c r="L619" t="n">
        <v>0</v>
      </c>
      <c r="M619" t="n">
        <v>0</v>
      </c>
      <c r="N619" t="n">
        <v>0</v>
      </c>
      <c r="O619" t="n">
        <v>0</v>
      </c>
      <c r="P619" t="n">
        <v>0</v>
      </c>
      <c r="Q619" t="n">
        <v>0</v>
      </c>
      <c r="R619" s="2" t="inlineStr"/>
    </row>
    <row r="620" ht="15" customHeight="1">
      <c r="A620" t="inlineStr">
        <is>
          <t>A 37612-2024</t>
        </is>
      </c>
      <c r="B620" s="1" t="n">
        <v>45541</v>
      </c>
      <c r="C620" s="1" t="n">
        <v>46163</v>
      </c>
      <c r="D620" t="inlineStr">
        <is>
          <t>VÄSTMANLANDS LÄN</t>
        </is>
      </c>
      <c r="E620" t="inlineStr">
        <is>
          <t>SALA</t>
        </is>
      </c>
      <c r="G620" t="n">
        <v>2.2</v>
      </c>
      <c r="H620" t="n">
        <v>0</v>
      </c>
      <c r="I620" t="n">
        <v>0</v>
      </c>
      <c r="J620" t="n">
        <v>0</v>
      </c>
      <c r="K620" t="n">
        <v>0</v>
      </c>
      <c r="L620" t="n">
        <v>0</v>
      </c>
      <c r="M620" t="n">
        <v>0</v>
      </c>
      <c r="N620" t="n">
        <v>0</v>
      </c>
      <c r="O620" t="n">
        <v>0</v>
      </c>
      <c r="P620" t="n">
        <v>0</v>
      </c>
      <c r="Q620" t="n">
        <v>0</v>
      </c>
      <c r="R620" s="2" t="inlineStr"/>
    </row>
    <row r="621" ht="15" customHeight="1">
      <c r="A621" t="inlineStr">
        <is>
          <t>A 37615-2024</t>
        </is>
      </c>
      <c r="B621" s="1" t="n">
        <v>45541.50673611111</v>
      </c>
      <c r="C621" s="1" t="n">
        <v>46163</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18158-2025</t>
        </is>
      </c>
      <c r="B622" s="1" t="n">
        <v>45761</v>
      </c>
      <c r="C622" s="1" t="n">
        <v>46163</v>
      </c>
      <c r="D622" t="inlineStr">
        <is>
          <t>VÄSTMANLANDS LÄN</t>
        </is>
      </c>
      <c r="E622" t="inlineStr">
        <is>
          <t>SALA</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4214-2026</t>
        </is>
      </c>
      <c r="B623" s="1" t="n">
        <v>46044.76459490741</v>
      </c>
      <c r="C623" s="1" t="n">
        <v>46163</v>
      </c>
      <c r="D623" t="inlineStr">
        <is>
          <t>VÄSTMANLANDS LÄN</t>
        </is>
      </c>
      <c r="E623" t="inlineStr">
        <is>
          <t>SALA</t>
        </is>
      </c>
      <c r="G623" t="n">
        <v>1.7</v>
      </c>
      <c r="H623" t="n">
        <v>0</v>
      </c>
      <c r="I623" t="n">
        <v>0</v>
      </c>
      <c r="J623" t="n">
        <v>0</v>
      </c>
      <c r="K623" t="n">
        <v>0</v>
      </c>
      <c r="L623" t="n">
        <v>0</v>
      </c>
      <c r="M623" t="n">
        <v>0</v>
      </c>
      <c r="N623" t="n">
        <v>0</v>
      </c>
      <c r="O623" t="n">
        <v>0</v>
      </c>
      <c r="P623" t="n">
        <v>0</v>
      </c>
      <c r="Q623" t="n">
        <v>0</v>
      </c>
      <c r="R623" s="2" t="inlineStr"/>
    </row>
    <row r="624" ht="15" customHeight="1">
      <c r="A624" t="inlineStr">
        <is>
          <t>A 4712-2026</t>
        </is>
      </c>
      <c r="B624" s="1" t="n">
        <v>46048.46082175926</v>
      </c>
      <c r="C624" s="1" t="n">
        <v>46163</v>
      </c>
      <c r="D624" t="inlineStr">
        <is>
          <t>VÄSTMANLANDS LÄN</t>
        </is>
      </c>
      <c r="E624" t="inlineStr">
        <is>
          <t>SALA</t>
        </is>
      </c>
      <c r="G624" t="n">
        <v>4.1</v>
      </c>
      <c r="H624" t="n">
        <v>0</v>
      </c>
      <c r="I624" t="n">
        <v>0</v>
      </c>
      <c r="J624" t="n">
        <v>0</v>
      </c>
      <c r="K624" t="n">
        <v>0</v>
      </c>
      <c r="L624" t="n">
        <v>0</v>
      </c>
      <c r="M624" t="n">
        <v>0</v>
      </c>
      <c r="N624" t="n">
        <v>0</v>
      </c>
      <c r="O624" t="n">
        <v>0</v>
      </c>
      <c r="P624" t="n">
        <v>0</v>
      </c>
      <c r="Q624" t="n">
        <v>0</v>
      </c>
      <c r="R624" s="2" t="inlineStr"/>
    </row>
    <row r="625" ht="15" customHeight="1">
      <c r="A625" t="inlineStr">
        <is>
          <t>A 9962-2025</t>
        </is>
      </c>
      <c r="B625" s="1" t="n">
        <v>45719.37072916667</v>
      </c>
      <c r="C625" s="1" t="n">
        <v>46163</v>
      </c>
      <c r="D625" t="inlineStr">
        <is>
          <t>VÄSTMANLANDS LÄN</t>
        </is>
      </c>
      <c r="E625" t="inlineStr">
        <is>
          <t>SALA</t>
        </is>
      </c>
      <c r="G625" t="n">
        <v>4.5</v>
      </c>
      <c r="H625" t="n">
        <v>0</v>
      </c>
      <c r="I625" t="n">
        <v>0</v>
      </c>
      <c r="J625" t="n">
        <v>0</v>
      </c>
      <c r="K625" t="n">
        <v>0</v>
      </c>
      <c r="L625" t="n">
        <v>0</v>
      </c>
      <c r="M625" t="n">
        <v>0</v>
      </c>
      <c r="N625" t="n">
        <v>0</v>
      </c>
      <c r="O625" t="n">
        <v>0</v>
      </c>
      <c r="P625" t="n">
        <v>0</v>
      </c>
      <c r="Q625" t="n">
        <v>0</v>
      </c>
      <c r="R625" s="2" t="inlineStr"/>
    </row>
    <row r="626" ht="15" customHeight="1">
      <c r="A626" t="inlineStr">
        <is>
          <t>A 4664-2026</t>
        </is>
      </c>
      <c r="B626" s="1" t="n">
        <v>46048.41061342593</v>
      </c>
      <c r="C626" s="1" t="n">
        <v>46163</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37602-2024</t>
        </is>
      </c>
      <c r="B627" s="1" t="n">
        <v>45541</v>
      </c>
      <c r="C627" s="1" t="n">
        <v>46163</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4683-2026</t>
        </is>
      </c>
      <c r="B628" s="1" t="n">
        <v>46048.43489583334</v>
      </c>
      <c r="C628" s="1" t="n">
        <v>46163</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4681-2026</t>
        </is>
      </c>
      <c r="B629" s="1" t="n">
        <v>46048.43016203704</v>
      </c>
      <c r="C629" s="1" t="n">
        <v>46163</v>
      </c>
      <c r="D629" t="inlineStr">
        <is>
          <t>VÄSTMANLANDS LÄN</t>
        </is>
      </c>
      <c r="E629" t="inlineStr">
        <is>
          <t>SALA</t>
        </is>
      </c>
      <c r="G629" t="n">
        <v>2.5</v>
      </c>
      <c r="H629" t="n">
        <v>0</v>
      </c>
      <c r="I629" t="n">
        <v>0</v>
      </c>
      <c r="J629" t="n">
        <v>0</v>
      </c>
      <c r="K629" t="n">
        <v>0</v>
      </c>
      <c r="L629" t="n">
        <v>0</v>
      </c>
      <c r="M629" t="n">
        <v>0</v>
      </c>
      <c r="N629" t="n">
        <v>0</v>
      </c>
      <c r="O629" t="n">
        <v>0</v>
      </c>
      <c r="P629" t="n">
        <v>0</v>
      </c>
      <c r="Q629" t="n">
        <v>0</v>
      </c>
      <c r="R629" s="2" t="inlineStr"/>
    </row>
    <row r="630" ht="15" customHeight="1">
      <c r="A630" t="inlineStr">
        <is>
          <t>A 18762-2024</t>
        </is>
      </c>
      <c r="B630" s="1" t="n">
        <v>45426.55240740741</v>
      </c>
      <c r="C630" s="1" t="n">
        <v>46163</v>
      </c>
      <c r="D630" t="inlineStr">
        <is>
          <t>VÄSTMANLANDS LÄN</t>
        </is>
      </c>
      <c r="E630" t="inlineStr">
        <is>
          <t>SALA</t>
        </is>
      </c>
      <c r="G630" t="n">
        <v>6.2</v>
      </c>
      <c r="H630" t="n">
        <v>0</v>
      </c>
      <c r="I630" t="n">
        <v>0</v>
      </c>
      <c r="J630" t="n">
        <v>0</v>
      </c>
      <c r="K630" t="n">
        <v>0</v>
      </c>
      <c r="L630" t="n">
        <v>0</v>
      </c>
      <c r="M630" t="n">
        <v>0</v>
      </c>
      <c r="N630" t="n">
        <v>0</v>
      </c>
      <c r="O630" t="n">
        <v>0</v>
      </c>
      <c r="P630" t="n">
        <v>0</v>
      </c>
      <c r="Q630" t="n">
        <v>0</v>
      </c>
      <c r="R630" s="2" t="inlineStr"/>
    </row>
    <row r="631" ht="15" customHeight="1">
      <c r="A631" t="inlineStr">
        <is>
          <t>A 4624-2026</t>
        </is>
      </c>
      <c r="B631" s="1" t="n">
        <v>46048.38107638889</v>
      </c>
      <c r="C631" s="1" t="n">
        <v>46163</v>
      </c>
      <c r="D631" t="inlineStr">
        <is>
          <t>VÄSTMANLANDS LÄN</t>
        </is>
      </c>
      <c r="E631" t="inlineStr">
        <is>
          <t>SALA</t>
        </is>
      </c>
      <c r="G631" t="n">
        <v>12.3</v>
      </c>
      <c r="H631" t="n">
        <v>0</v>
      </c>
      <c r="I631" t="n">
        <v>0</v>
      </c>
      <c r="J631" t="n">
        <v>0</v>
      </c>
      <c r="K631" t="n">
        <v>0</v>
      </c>
      <c r="L631" t="n">
        <v>0</v>
      </c>
      <c r="M631" t="n">
        <v>0</v>
      </c>
      <c r="N631" t="n">
        <v>0</v>
      </c>
      <c r="O631" t="n">
        <v>0</v>
      </c>
      <c r="P631" t="n">
        <v>0</v>
      </c>
      <c r="Q631" t="n">
        <v>0</v>
      </c>
      <c r="R631" s="2" t="inlineStr"/>
    </row>
    <row r="632" ht="15" customHeight="1">
      <c r="A632" t="inlineStr">
        <is>
          <t>A 39011-2023</t>
        </is>
      </c>
      <c r="B632" s="1" t="n">
        <v>45162</v>
      </c>
      <c r="C632" s="1" t="n">
        <v>46163</v>
      </c>
      <c r="D632" t="inlineStr">
        <is>
          <t>VÄSTMANLANDS LÄN</t>
        </is>
      </c>
      <c r="E632" t="inlineStr">
        <is>
          <t>SALA</t>
        </is>
      </c>
      <c r="G632" t="n">
        <v>1.6</v>
      </c>
      <c r="H632" t="n">
        <v>0</v>
      </c>
      <c r="I632" t="n">
        <v>0</v>
      </c>
      <c r="J632" t="n">
        <v>0</v>
      </c>
      <c r="K632" t="n">
        <v>0</v>
      </c>
      <c r="L632" t="n">
        <v>0</v>
      </c>
      <c r="M632" t="n">
        <v>0</v>
      </c>
      <c r="N632" t="n">
        <v>0</v>
      </c>
      <c r="O632" t="n">
        <v>0</v>
      </c>
      <c r="P632" t="n">
        <v>0</v>
      </c>
      <c r="Q632" t="n">
        <v>0</v>
      </c>
      <c r="R632" s="2" t="inlineStr"/>
    </row>
    <row r="633" ht="15" customHeight="1">
      <c r="A633" t="inlineStr">
        <is>
          <t>A 5525-2026</t>
        </is>
      </c>
      <c r="B633" s="1" t="n">
        <v>46050.65055555556</v>
      </c>
      <c r="C633" s="1" t="n">
        <v>46163</v>
      </c>
      <c r="D633" t="inlineStr">
        <is>
          <t>VÄSTMANLANDS LÄN</t>
        </is>
      </c>
      <c r="E633" t="inlineStr">
        <is>
          <t>SALA</t>
        </is>
      </c>
      <c r="G633" t="n">
        <v>13.1</v>
      </c>
      <c r="H633" t="n">
        <v>0</v>
      </c>
      <c r="I633" t="n">
        <v>0</v>
      </c>
      <c r="J633" t="n">
        <v>0</v>
      </c>
      <c r="K633" t="n">
        <v>0</v>
      </c>
      <c r="L633" t="n">
        <v>0</v>
      </c>
      <c r="M633" t="n">
        <v>0</v>
      </c>
      <c r="N633" t="n">
        <v>0</v>
      </c>
      <c r="O633" t="n">
        <v>0</v>
      </c>
      <c r="P633" t="n">
        <v>0</v>
      </c>
      <c r="Q633" t="n">
        <v>0</v>
      </c>
      <c r="R633" s="2" t="inlineStr"/>
    </row>
    <row r="634" ht="15" customHeight="1">
      <c r="A634" t="inlineStr">
        <is>
          <t>A 46352-2023</t>
        </is>
      </c>
      <c r="B634" s="1" t="n">
        <v>45192</v>
      </c>
      <c r="C634" s="1" t="n">
        <v>46163</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43751-2021</t>
        </is>
      </c>
      <c r="B635" s="1" t="n">
        <v>44433</v>
      </c>
      <c r="C635" s="1" t="n">
        <v>46163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1128-2025</t>
        </is>
      </c>
      <c r="B636" s="1" t="n">
        <v>45666.68469907407</v>
      </c>
      <c r="C636" s="1" t="n">
        <v>46163</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5219-2026</t>
        </is>
      </c>
      <c r="B637" s="1" t="n">
        <v>46049.76225694444</v>
      </c>
      <c r="C637" s="1" t="n">
        <v>46163</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5418-2026</t>
        </is>
      </c>
      <c r="B638" s="1" t="n">
        <v>46050.53740740741</v>
      </c>
      <c r="C638" s="1" t="n">
        <v>46163</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31950-2023</t>
        </is>
      </c>
      <c r="B639" s="1" t="n">
        <v>45107</v>
      </c>
      <c r="C639" s="1" t="n">
        <v>46163</v>
      </c>
      <c r="D639" t="inlineStr">
        <is>
          <t>VÄSTMANLANDS LÄN</t>
        </is>
      </c>
      <c r="E639" t="inlineStr">
        <is>
          <t>SALA</t>
        </is>
      </c>
      <c r="G639" t="n">
        <v>0.1</v>
      </c>
      <c r="H639" t="n">
        <v>0</v>
      </c>
      <c r="I639" t="n">
        <v>0</v>
      </c>
      <c r="J639" t="n">
        <v>0</v>
      </c>
      <c r="K639" t="n">
        <v>0</v>
      </c>
      <c r="L639" t="n">
        <v>0</v>
      </c>
      <c r="M639" t="n">
        <v>0</v>
      </c>
      <c r="N639" t="n">
        <v>0</v>
      </c>
      <c r="O639" t="n">
        <v>0</v>
      </c>
      <c r="P639" t="n">
        <v>0</v>
      </c>
      <c r="Q639" t="n">
        <v>0</v>
      </c>
      <c r="R639" s="2" t="inlineStr"/>
    </row>
    <row r="640" ht="15" customHeight="1">
      <c r="A640" t="inlineStr">
        <is>
          <t>A 56540-2024</t>
        </is>
      </c>
      <c r="B640" s="1" t="n">
        <v>45625</v>
      </c>
      <c r="C640" s="1" t="n">
        <v>46163</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46163</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25860-2024</t>
        </is>
      </c>
      <c r="B642" s="1" t="n">
        <v>45467.46278935186</v>
      </c>
      <c r="C642" s="1" t="n">
        <v>46163</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5894-2026</t>
        </is>
      </c>
      <c r="B643" s="1" t="n">
        <v>46052.42412037037</v>
      </c>
      <c r="C643" s="1" t="n">
        <v>46163</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56916-2022</t>
        </is>
      </c>
      <c r="B644" s="1" t="n">
        <v>44888</v>
      </c>
      <c r="C644" s="1" t="n">
        <v>46163</v>
      </c>
      <c r="D644" t="inlineStr">
        <is>
          <t>VÄSTMANLANDS LÄN</t>
        </is>
      </c>
      <c r="E644" t="inlineStr">
        <is>
          <t>SALA</t>
        </is>
      </c>
      <c r="G644" t="n">
        <v>1.7</v>
      </c>
      <c r="H644" t="n">
        <v>0</v>
      </c>
      <c r="I644" t="n">
        <v>0</v>
      </c>
      <c r="J644" t="n">
        <v>0</v>
      </c>
      <c r="K644" t="n">
        <v>0</v>
      </c>
      <c r="L644" t="n">
        <v>0</v>
      </c>
      <c r="M644" t="n">
        <v>0</v>
      </c>
      <c r="N644" t="n">
        <v>0</v>
      </c>
      <c r="O644" t="n">
        <v>0</v>
      </c>
      <c r="P644" t="n">
        <v>0</v>
      </c>
      <c r="Q644" t="n">
        <v>0</v>
      </c>
      <c r="R644" s="2" t="inlineStr"/>
    </row>
    <row r="645" ht="15" customHeight="1">
      <c r="A645" t="inlineStr">
        <is>
          <t>A 6021-2026</t>
        </is>
      </c>
      <c r="B645" s="1" t="n">
        <v>46050</v>
      </c>
      <c r="C645" s="1" t="n">
        <v>46163</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71471-2021</t>
        </is>
      </c>
      <c r="B646" s="1" t="n">
        <v>44540.53421296296</v>
      </c>
      <c r="C646" s="1" t="n">
        <v>46163</v>
      </c>
      <c r="D646" t="inlineStr">
        <is>
          <t>VÄSTMANLANDS LÄN</t>
        </is>
      </c>
      <c r="E646" t="inlineStr">
        <is>
          <t>SALA</t>
        </is>
      </c>
      <c r="G646" t="n">
        <v>13</v>
      </c>
      <c r="H646" t="n">
        <v>0</v>
      </c>
      <c r="I646" t="n">
        <v>0</v>
      </c>
      <c r="J646" t="n">
        <v>0</v>
      </c>
      <c r="K646" t="n">
        <v>0</v>
      </c>
      <c r="L646" t="n">
        <v>0</v>
      </c>
      <c r="M646" t="n">
        <v>0</v>
      </c>
      <c r="N646" t="n">
        <v>0</v>
      </c>
      <c r="O646" t="n">
        <v>0</v>
      </c>
      <c r="P646" t="n">
        <v>0</v>
      </c>
      <c r="Q646" t="n">
        <v>0</v>
      </c>
      <c r="R646" s="2" t="inlineStr"/>
    </row>
    <row r="647" ht="15" customHeight="1">
      <c r="A647" t="inlineStr">
        <is>
          <t>A 13987-2023</t>
        </is>
      </c>
      <c r="B647" s="1" t="n">
        <v>45007</v>
      </c>
      <c r="C647" s="1" t="n">
        <v>46163</v>
      </c>
      <c r="D647" t="inlineStr">
        <is>
          <t>VÄSTMANLANDS LÄN</t>
        </is>
      </c>
      <c r="E647" t="inlineStr">
        <is>
          <t>SALA</t>
        </is>
      </c>
      <c r="G647" t="n">
        <v>3.2</v>
      </c>
      <c r="H647" t="n">
        <v>0</v>
      </c>
      <c r="I647" t="n">
        <v>0</v>
      </c>
      <c r="J647" t="n">
        <v>0</v>
      </c>
      <c r="K647" t="n">
        <v>0</v>
      </c>
      <c r="L647" t="n">
        <v>0</v>
      </c>
      <c r="M647" t="n">
        <v>0</v>
      </c>
      <c r="N647" t="n">
        <v>0</v>
      </c>
      <c r="O647" t="n">
        <v>0</v>
      </c>
      <c r="P647" t="n">
        <v>0</v>
      </c>
      <c r="Q647" t="n">
        <v>0</v>
      </c>
      <c r="R647" s="2" t="inlineStr"/>
    </row>
    <row r="648" ht="15" customHeight="1">
      <c r="A648" t="inlineStr">
        <is>
          <t>A 13990-2023</t>
        </is>
      </c>
      <c r="B648" s="1" t="n">
        <v>45007</v>
      </c>
      <c r="C648" s="1" t="n">
        <v>46163</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1993-2022</t>
        </is>
      </c>
      <c r="B649" s="1" t="n">
        <v>44575</v>
      </c>
      <c r="C649" s="1" t="n">
        <v>46163</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17051-2025</t>
        </is>
      </c>
      <c r="B650" s="1" t="n">
        <v>45755</v>
      </c>
      <c r="C650" s="1" t="n">
        <v>46163</v>
      </c>
      <c r="D650" t="inlineStr">
        <is>
          <t>VÄSTMANLANDS LÄN</t>
        </is>
      </c>
      <c r="E650" t="inlineStr">
        <is>
          <t>SALA</t>
        </is>
      </c>
      <c r="G650" t="n">
        <v>2.9</v>
      </c>
      <c r="H650" t="n">
        <v>0</v>
      </c>
      <c r="I650" t="n">
        <v>0</v>
      </c>
      <c r="J650" t="n">
        <v>0</v>
      </c>
      <c r="K650" t="n">
        <v>0</v>
      </c>
      <c r="L650" t="n">
        <v>0</v>
      </c>
      <c r="M650" t="n">
        <v>0</v>
      </c>
      <c r="N650" t="n">
        <v>0</v>
      </c>
      <c r="O650" t="n">
        <v>0</v>
      </c>
      <c r="P650" t="n">
        <v>0</v>
      </c>
      <c r="Q650" t="n">
        <v>0</v>
      </c>
      <c r="R650" s="2" t="inlineStr"/>
    </row>
    <row r="651" ht="15" customHeight="1">
      <c r="A651" t="inlineStr">
        <is>
          <t>A 43509-2021</t>
        </is>
      </c>
      <c r="B651" s="1" t="n">
        <v>44433</v>
      </c>
      <c r="C651" s="1" t="n">
        <v>46163</v>
      </c>
      <c r="D651" t="inlineStr">
        <is>
          <t>VÄSTMANLANDS LÄN</t>
        </is>
      </c>
      <c r="E651" t="inlineStr">
        <is>
          <t>SALA</t>
        </is>
      </c>
      <c r="G651" t="n">
        <v>0.8</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46163</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56964-2023</t>
        </is>
      </c>
      <c r="B653" s="1" t="n">
        <v>45244.63140046296</v>
      </c>
      <c r="C653" s="1" t="n">
        <v>46163</v>
      </c>
      <c r="D653" t="inlineStr">
        <is>
          <t>VÄSTMANLANDS LÄN</t>
        </is>
      </c>
      <c r="E653" t="inlineStr">
        <is>
          <t>SALA</t>
        </is>
      </c>
      <c r="G653" t="n">
        <v>4.6</v>
      </c>
      <c r="H653" t="n">
        <v>0</v>
      </c>
      <c r="I653" t="n">
        <v>0</v>
      </c>
      <c r="J653" t="n">
        <v>0</v>
      </c>
      <c r="K653" t="n">
        <v>0</v>
      </c>
      <c r="L653" t="n">
        <v>0</v>
      </c>
      <c r="M653" t="n">
        <v>0</v>
      </c>
      <c r="N653" t="n">
        <v>0</v>
      </c>
      <c r="O653" t="n">
        <v>0</v>
      </c>
      <c r="P653" t="n">
        <v>0</v>
      </c>
      <c r="Q653" t="n">
        <v>0</v>
      </c>
      <c r="R653" s="2" t="inlineStr"/>
    </row>
    <row r="654" ht="15" customHeight="1">
      <c r="A654" t="inlineStr">
        <is>
          <t>A 37337-2024</t>
        </is>
      </c>
      <c r="B654" s="1" t="n">
        <v>45540</v>
      </c>
      <c r="C654" s="1" t="n">
        <v>46163</v>
      </c>
      <c r="D654" t="inlineStr">
        <is>
          <t>VÄSTMANLANDS LÄN</t>
        </is>
      </c>
      <c r="E654" t="inlineStr">
        <is>
          <t>SALA</t>
        </is>
      </c>
      <c r="G654" t="n">
        <v>6.5</v>
      </c>
      <c r="H654" t="n">
        <v>0</v>
      </c>
      <c r="I654" t="n">
        <v>0</v>
      </c>
      <c r="J654" t="n">
        <v>0</v>
      </c>
      <c r="K654" t="n">
        <v>0</v>
      </c>
      <c r="L654" t="n">
        <v>0</v>
      </c>
      <c r="M654" t="n">
        <v>0</v>
      </c>
      <c r="N654" t="n">
        <v>0</v>
      </c>
      <c r="O654" t="n">
        <v>0</v>
      </c>
      <c r="P654" t="n">
        <v>0</v>
      </c>
      <c r="Q654" t="n">
        <v>0</v>
      </c>
      <c r="R654" s="2" t="inlineStr"/>
    </row>
    <row r="655" ht="15" customHeight="1">
      <c r="A655" t="inlineStr">
        <is>
          <t>A 17120-2023</t>
        </is>
      </c>
      <c r="B655" s="1" t="n">
        <v>45034</v>
      </c>
      <c r="C655" s="1" t="n">
        <v>46163</v>
      </c>
      <c r="D655" t="inlineStr">
        <is>
          <t>VÄSTMANLANDS LÄN</t>
        </is>
      </c>
      <c r="E655" t="inlineStr">
        <is>
          <t>SALA</t>
        </is>
      </c>
      <c r="G655" t="n">
        <v>0.1</v>
      </c>
      <c r="H655" t="n">
        <v>0</v>
      </c>
      <c r="I655" t="n">
        <v>0</v>
      </c>
      <c r="J655" t="n">
        <v>0</v>
      </c>
      <c r="K655" t="n">
        <v>0</v>
      </c>
      <c r="L655" t="n">
        <v>0</v>
      </c>
      <c r="M655" t="n">
        <v>0</v>
      </c>
      <c r="N655" t="n">
        <v>0</v>
      </c>
      <c r="O655" t="n">
        <v>0</v>
      </c>
      <c r="P655" t="n">
        <v>0</v>
      </c>
      <c r="Q655" t="n">
        <v>0</v>
      </c>
      <c r="R655" s="2" t="inlineStr"/>
    </row>
    <row r="656" ht="15" customHeight="1">
      <c r="A656" t="inlineStr">
        <is>
          <t>A 34494-2023</t>
        </is>
      </c>
      <c r="B656" s="1" t="n">
        <v>45133</v>
      </c>
      <c r="C656" s="1" t="n">
        <v>46163</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10579-2022</t>
        </is>
      </c>
      <c r="B657" s="1" t="n">
        <v>44624</v>
      </c>
      <c r="C657" s="1" t="n">
        <v>46163</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9335-2022</t>
        </is>
      </c>
      <c r="B658" s="1" t="n">
        <v>44616.56579861111</v>
      </c>
      <c r="C658" s="1" t="n">
        <v>46163</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45313-2024</t>
        </is>
      </c>
      <c r="B659" s="1" t="n">
        <v>45576</v>
      </c>
      <c r="C659" s="1" t="n">
        <v>46163</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23119-2022</t>
        </is>
      </c>
      <c r="B660" s="1" t="n">
        <v>44719.56697916667</v>
      </c>
      <c r="C660" s="1" t="n">
        <v>46163</v>
      </c>
      <c r="D660" t="inlineStr">
        <is>
          <t>VÄSTMANLANDS LÄN</t>
        </is>
      </c>
      <c r="E660" t="inlineStr">
        <is>
          <t>SALA</t>
        </is>
      </c>
      <c r="G660" t="n">
        <v>7</v>
      </c>
      <c r="H660" t="n">
        <v>0</v>
      </c>
      <c r="I660" t="n">
        <v>0</v>
      </c>
      <c r="J660" t="n">
        <v>0</v>
      </c>
      <c r="K660" t="n">
        <v>0</v>
      </c>
      <c r="L660" t="n">
        <v>0</v>
      </c>
      <c r="M660" t="n">
        <v>0</v>
      </c>
      <c r="N660" t="n">
        <v>0</v>
      </c>
      <c r="O660" t="n">
        <v>0</v>
      </c>
      <c r="P660" t="n">
        <v>0</v>
      </c>
      <c r="Q660" t="n">
        <v>0</v>
      </c>
      <c r="R660" s="2" t="inlineStr"/>
    </row>
    <row r="661" ht="15" customHeight="1">
      <c r="A661" t="inlineStr">
        <is>
          <t>A 1196-2023</t>
        </is>
      </c>
      <c r="B661" s="1" t="n">
        <v>44935.82290509259</v>
      </c>
      <c r="C661" s="1" t="n">
        <v>46163</v>
      </c>
      <c r="D661" t="inlineStr">
        <is>
          <t>VÄSTMANLANDS LÄN</t>
        </is>
      </c>
      <c r="E661" t="inlineStr">
        <is>
          <t>SALA</t>
        </is>
      </c>
      <c r="G661" t="n">
        <v>4.1</v>
      </c>
      <c r="H661" t="n">
        <v>0</v>
      </c>
      <c r="I661" t="n">
        <v>0</v>
      </c>
      <c r="J661" t="n">
        <v>0</v>
      </c>
      <c r="K661" t="n">
        <v>0</v>
      </c>
      <c r="L661" t="n">
        <v>0</v>
      </c>
      <c r="M661" t="n">
        <v>0</v>
      </c>
      <c r="N661" t="n">
        <v>0</v>
      </c>
      <c r="O661" t="n">
        <v>0</v>
      </c>
      <c r="P661" t="n">
        <v>0</v>
      </c>
      <c r="Q661" t="n">
        <v>0</v>
      </c>
      <c r="R661" s="2" t="inlineStr"/>
    </row>
    <row r="662" ht="15" customHeight="1">
      <c r="A662" t="inlineStr">
        <is>
          <t>A 52503-2024</t>
        </is>
      </c>
      <c r="B662" s="1" t="n">
        <v>45609.58806712963</v>
      </c>
      <c r="C662" s="1" t="n">
        <v>46163</v>
      </c>
      <c r="D662" t="inlineStr">
        <is>
          <t>VÄSTMANLANDS LÄN</t>
        </is>
      </c>
      <c r="E662" t="inlineStr">
        <is>
          <t>SALA</t>
        </is>
      </c>
      <c r="G662" t="n">
        <v>0.8</v>
      </c>
      <c r="H662" t="n">
        <v>0</v>
      </c>
      <c r="I662" t="n">
        <v>0</v>
      </c>
      <c r="J662" t="n">
        <v>0</v>
      </c>
      <c r="K662" t="n">
        <v>0</v>
      </c>
      <c r="L662" t="n">
        <v>0</v>
      </c>
      <c r="M662" t="n">
        <v>0</v>
      </c>
      <c r="N662" t="n">
        <v>0</v>
      </c>
      <c r="O662" t="n">
        <v>0</v>
      </c>
      <c r="P662" t="n">
        <v>0</v>
      </c>
      <c r="Q662" t="n">
        <v>0</v>
      </c>
      <c r="R662" s="2" t="inlineStr"/>
    </row>
    <row r="663" ht="15" customHeight="1">
      <c r="A663" t="inlineStr">
        <is>
          <t>A 7953-2024</t>
        </is>
      </c>
      <c r="B663" s="1" t="n">
        <v>45350</v>
      </c>
      <c r="C663" s="1" t="n">
        <v>46163</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30028-2024</t>
        </is>
      </c>
      <c r="B664" s="1" t="n">
        <v>45485</v>
      </c>
      <c r="C664" s="1" t="n">
        <v>46163</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7950-2025</t>
        </is>
      </c>
      <c r="B665" s="1" t="n">
        <v>45707.41799768519</v>
      </c>
      <c r="C665" s="1" t="n">
        <v>46163</v>
      </c>
      <c r="D665" t="inlineStr">
        <is>
          <t>VÄSTMANLANDS LÄN</t>
        </is>
      </c>
      <c r="E665" t="inlineStr">
        <is>
          <t>SALA</t>
        </is>
      </c>
      <c r="G665" t="n">
        <v>3.2</v>
      </c>
      <c r="H665" t="n">
        <v>0</v>
      </c>
      <c r="I665" t="n">
        <v>0</v>
      </c>
      <c r="J665" t="n">
        <v>0</v>
      </c>
      <c r="K665" t="n">
        <v>0</v>
      </c>
      <c r="L665" t="n">
        <v>0</v>
      </c>
      <c r="M665" t="n">
        <v>0</v>
      </c>
      <c r="N665" t="n">
        <v>0</v>
      </c>
      <c r="O665" t="n">
        <v>0</v>
      </c>
      <c r="P665" t="n">
        <v>0</v>
      </c>
      <c r="Q665" t="n">
        <v>0</v>
      </c>
      <c r="R665" s="2" t="inlineStr"/>
    </row>
    <row r="666" ht="15" customHeight="1">
      <c r="A666" t="inlineStr">
        <is>
          <t>A 27657-2023</t>
        </is>
      </c>
      <c r="B666" s="1" t="n">
        <v>45097.76631944445</v>
      </c>
      <c r="C666" s="1" t="n">
        <v>46163</v>
      </c>
      <c r="D666" t="inlineStr">
        <is>
          <t>VÄSTMANLANDS LÄN</t>
        </is>
      </c>
      <c r="E666" t="inlineStr">
        <is>
          <t>SALA</t>
        </is>
      </c>
      <c r="G666" t="n">
        <v>0.1</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46163</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33309-2022</t>
        </is>
      </c>
      <c r="B668" s="1" t="n">
        <v>44788.40986111111</v>
      </c>
      <c r="C668" s="1" t="n">
        <v>46163</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47909-2022</t>
        </is>
      </c>
      <c r="B669" s="1" t="n">
        <v>44855</v>
      </c>
      <c r="C669" s="1" t="n">
        <v>46163</v>
      </c>
      <c r="D669" t="inlineStr">
        <is>
          <t>VÄSTMANLANDS LÄN</t>
        </is>
      </c>
      <c r="E669" t="inlineStr">
        <is>
          <t>SALA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15272-2025</t>
        </is>
      </c>
      <c r="B670" s="1" t="n">
        <v>45744</v>
      </c>
      <c r="C670" s="1" t="n">
        <v>46163</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11183-2023</t>
        </is>
      </c>
      <c r="B671" s="1" t="n">
        <v>44992.57782407408</v>
      </c>
      <c r="C671" s="1" t="n">
        <v>46163</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11190-2023</t>
        </is>
      </c>
      <c r="B672" s="1" t="n">
        <v>44992</v>
      </c>
      <c r="C672" s="1" t="n">
        <v>46163</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53838-2022</t>
        </is>
      </c>
      <c r="B673" s="1" t="n">
        <v>44880.59363425926</v>
      </c>
      <c r="C673" s="1" t="n">
        <v>46163</v>
      </c>
      <c r="D673" t="inlineStr">
        <is>
          <t>VÄSTMANLANDS LÄN</t>
        </is>
      </c>
      <c r="E673" t="inlineStr">
        <is>
          <t>SALA</t>
        </is>
      </c>
      <c r="G673" t="n">
        <v>3.9</v>
      </c>
      <c r="H673" t="n">
        <v>0</v>
      </c>
      <c r="I673" t="n">
        <v>0</v>
      </c>
      <c r="J673" t="n">
        <v>0</v>
      </c>
      <c r="K673" t="n">
        <v>0</v>
      </c>
      <c r="L673" t="n">
        <v>0</v>
      </c>
      <c r="M673" t="n">
        <v>0</v>
      </c>
      <c r="N673" t="n">
        <v>0</v>
      </c>
      <c r="O673" t="n">
        <v>0</v>
      </c>
      <c r="P673" t="n">
        <v>0</v>
      </c>
      <c r="Q673" t="n">
        <v>0</v>
      </c>
      <c r="R673" s="2" t="inlineStr"/>
    </row>
    <row r="674" ht="15" customHeight="1">
      <c r="A674" t="inlineStr">
        <is>
          <t>A 53166-2024</t>
        </is>
      </c>
      <c r="B674" s="1" t="n">
        <v>45611</v>
      </c>
      <c r="C674" s="1" t="n">
        <v>46163</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28827-2022</t>
        </is>
      </c>
      <c r="B675" s="1" t="n">
        <v>44749.45561342593</v>
      </c>
      <c r="C675" s="1" t="n">
        <v>46163</v>
      </c>
      <c r="D675" t="inlineStr">
        <is>
          <t>VÄSTMANLANDS LÄN</t>
        </is>
      </c>
      <c r="E675" t="inlineStr">
        <is>
          <t>SALA</t>
        </is>
      </c>
      <c r="F675" t="inlineStr">
        <is>
          <t>Kommuner</t>
        </is>
      </c>
      <c r="G675" t="n">
        <v>11.9</v>
      </c>
      <c r="H675" t="n">
        <v>0</v>
      </c>
      <c r="I675" t="n">
        <v>0</v>
      </c>
      <c r="J675" t="n">
        <v>0</v>
      </c>
      <c r="K675" t="n">
        <v>0</v>
      </c>
      <c r="L675" t="n">
        <v>0</v>
      </c>
      <c r="M675" t="n">
        <v>0</v>
      </c>
      <c r="N675" t="n">
        <v>0</v>
      </c>
      <c r="O675" t="n">
        <v>0</v>
      </c>
      <c r="P675" t="n">
        <v>0</v>
      </c>
      <c r="Q675" t="n">
        <v>0</v>
      </c>
      <c r="R675" s="2" t="inlineStr"/>
    </row>
    <row r="676" ht="15" customHeight="1">
      <c r="A676" t="inlineStr">
        <is>
          <t>A 17866-2025</t>
        </is>
      </c>
      <c r="B676" s="1" t="n">
        <v>45758</v>
      </c>
      <c r="C676" s="1" t="n">
        <v>46163</v>
      </c>
      <c r="D676" t="inlineStr">
        <is>
          <t>VÄSTMANLANDS LÄN</t>
        </is>
      </c>
      <c r="E676" t="inlineStr">
        <is>
          <t>SALA</t>
        </is>
      </c>
      <c r="F676" t="inlineStr">
        <is>
          <t>Bergvik skog öst AB</t>
        </is>
      </c>
      <c r="G676" t="n">
        <v>2.1</v>
      </c>
      <c r="H676" t="n">
        <v>0</v>
      </c>
      <c r="I676" t="n">
        <v>0</v>
      </c>
      <c r="J676" t="n">
        <v>0</v>
      </c>
      <c r="K676" t="n">
        <v>0</v>
      </c>
      <c r="L676" t="n">
        <v>0</v>
      </c>
      <c r="M676" t="n">
        <v>0</v>
      </c>
      <c r="N676" t="n">
        <v>0</v>
      </c>
      <c r="O676" t="n">
        <v>0</v>
      </c>
      <c r="P676" t="n">
        <v>0</v>
      </c>
      <c r="Q676" t="n">
        <v>0</v>
      </c>
      <c r="R676" s="2" t="inlineStr"/>
    </row>
    <row r="677" ht="15" customHeight="1">
      <c r="A677" t="inlineStr">
        <is>
          <t>A 54836-2024</t>
        </is>
      </c>
      <c r="B677" s="1" t="n">
        <v>45618</v>
      </c>
      <c r="C677" s="1" t="n">
        <v>46163</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64729-2023</t>
        </is>
      </c>
      <c r="B678" s="1" t="n">
        <v>45281</v>
      </c>
      <c r="C678" s="1" t="n">
        <v>46163</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ht="15" customHeight="1">
      <c r="A679" t="inlineStr">
        <is>
          <t>A 10585-2022</t>
        </is>
      </c>
      <c r="B679" s="1" t="n">
        <v>44624</v>
      </c>
      <c r="C679" s="1" t="n">
        <v>46163</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22523-2023</t>
        </is>
      </c>
      <c r="B680" s="1" t="n">
        <v>45069</v>
      </c>
      <c r="C680" s="1" t="n">
        <v>46163</v>
      </c>
      <c r="D680" t="inlineStr">
        <is>
          <t>VÄSTMANLANDS LÄN</t>
        </is>
      </c>
      <c r="E680" t="inlineStr">
        <is>
          <t>SALA</t>
        </is>
      </c>
      <c r="G680" t="n">
        <v>2.4</v>
      </c>
      <c r="H680" t="n">
        <v>0</v>
      </c>
      <c r="I680" t="n">
        <v>0</v>
      </c>
      <c r="J680" t="n">
        <v>0</v>
      </c>
      <c r="K680" t="n">
        <v>0</v>
      </c>
      <c r="L680" t="n">
        <v>0</v>
      </c>
      <c r="M680" t="n">
        <v>0</v>
      </c>
      <c r="N680" t="n">
        <v>0</v>
      </c>
      <c r="O680" t="n">
        <v>0</v>
      </c>
      <c r="P680" t="n">
        <v>0</v>
      </c>
      <c r="Q680" t="n">
        <v>0</v>
      </c>
      <c r="R680" s="2" t="inlineStr"/>
    </row>
    <row r="681" ht="15" customHeight="1">
      <c r="A681" t="inlineStr">
        <is>
          <t>A 31609-2024</t>
        </is>
      </c>
      <c r="B681" s="1" t="n">
        <v>45506</v>
      </c>
      <c r="C681" s="1" t="n">
        <v>46163</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56057-2023</t>
        </is>
      </c>
      <c r="B682" s="1" t="n">
        <v>45233</v>
      </c>
      <c r="C682" s="1" t="n">
        <v>46163</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62635-2022</t>
        </is>
      </c>
      <c r="B683" s="1" t="n">
        <v>44917</v>
      </c>
      <c r="C683" s="1" t="n">
        <v>46163</v>
      </c>
      <c r="D683" t="inlineStr">
        <is>
          <t>VÄSTMANLANDS LÄN</t>
        </is>
      </c>
      <c r="E683" t="inlineStr">
        <is>
          <t>SALA</t>
        </is>
      </c>
      <c r="G683" t="n">
        <v>0.4</v>
      </c>
      <c r="H683" t="n">
        <v>0</v>
      </c>
      <c r="I683" t="n">
        <v>0</v>
      </c>
      <c r="J683" t="n">
        <v>0</v>
      </c>
      <c r="K683" t="n">
        <v>0</v>
      </c>
      <c r="L683" t="n">
        <v>0</v>
      </c>
      <c r="M683" t="n">
        <v>0</v>
      </c>
      <c r="N683" t="n">
        <v>0</v>
      </c>
      <c r="O683" t="n">
        <v>0</v>
      </c>
      <c r="P683" t="n">
        <v>0</v>
      </c>
      <c r="Q683" t="n">
        <v>0</v>
      </c>
      <c r="R683" s="2" t="inlineStr"/>
    </row>
    <row r="684" ht="15" customHeight="1">
      <c r="A684" t="inlineStr">
        <is>
          <t>A 4852-2023</t>
        </is>
      </c>
      <c r="B684" s="1" t="n">
        <v>44957.72496527778</v>
      </c>
      <c r="C684" s="1" t="n">
        <v>46163</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39714-2023</t>
        </is>
      </c>
      <c r="B685" s="1" t="n">
        <v>45167.62133101852</v>
      </c>
      <c r="C685" s="1" t="n">
        <v>46163</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42984-2023</t>
        </is>
      </c>
      <c r="B686" s="1" t="n">
        <v>45179</v>
      </c>
      <c r="C686" s="1" t="n">
        <v>46163</v>
      </c>
      <c r="D686" t="inlineStr">
        <is>
          <t>VÄSTMANLANDS LÄN</t>
        </is>
      </c>
      <c r="E686" t="inlineStr">
        <is>
          <t>SALA</t>
        </is>
      </c>
      <c r="G686" t="n">
        <v>1.1</v>
      </c>
      <c r="H686" t="n">
        <v>0</v>
      </c>
      <c r="I686" t="n">
        <v>0</v>
      </c>
      <c r="J686" t="n">
        <v>0</v>
      </c>
      <c r="K686" t="n">
        <v>0</v>
      </c>
      <c r="L686" t="n">
        <v>0</v>
      </c>
      <c r="M686" t="n">
        <v>0</v>
      </c>
      <c r="N686" t="n">
        <v>0</v>
      </c>
      <c r="O686" t="n">
        <v>0</v>
      </c>
      <c r="P686" t="n">
        <v>0</v>
      </c>
      <c r="Q686" t="n">
        <v>0</v>
      </c>
      <c r="R686" s="2" t="inlineStr"/>
    </row>
    <row r="687" ht="15" customHeight="1">
      <c r="A687" t="inlineStr">
        <is>
          <t>A 56535-2022</t>
        </is>
      </c>
      <c r="B687" s="1" t="n">
        <v>44893.47173611111</v>
      </c>
      <c r="C687" s="1" t="n">
        <v>46163</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60550-2024</t>
        </is>
      </c>
      <c r="B688" s="1" t="n">
        <v>45643</v>
      </c>
      <c r="C688" s="1" t="n">
        <v>46163</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13746-2025</t>
        </is>
      </c>
      <c r="B689" s="1" t="n">
        <v>45737.40944444444</v>
      </c>
      <c r="C689" s="1" t="n">
        <v>46163</v>
      </c>
      <c r="D689" t="inlineStr">
        <is>
          <t>VÄSTMANLANDS LÄN</t>
        </is>
      </c>
      <c r="E689" t="inlineStr">
        <is>
          <t>SALA</t>
        </is>
      </c>
      <c r="G689" t="n">
        <v>2.1</v>
      </c>
      <c r="H689" t="n">
        <v>0</v>
      </c>
      <c r="I689" t="n">
        <v>0</v>
      </c>
      <c r="J689" t="n">
        <v>0</v>
      </c>
      <c r="K689" t="n">
        <v>0</v>
      </c>
      <c r="L689" t="n">
        <v>0</v>
      </c>
      <c r="M689" t="n">
        <v>0</v>
      </c>
      <c r="N689" t="n">
        <v>0</v>
      </c>
      <c r="O689" t="n">
        <v>0</v>
      </c>
      <c r="P689" t="n">
        <v>0</v>
      </c>
      <c r="Q689" t="n">
        <v>0</v>
      </c>
      <c r="R689" s="2" t="inlineStr"/>
    </row>
    <row r="690" ht="15" customHeight="1">
      <c r="A690" t="inlineStr">
        <is>
          <t>A 29230-2022</t>
        </is>
      </c>
      <c r="B690" s="1" t="n">
        <v>44750</v>
      </c>
      <c r="C690" s="1" t="n">
        <v>46163</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59175-2022</t>
        </is>
      </c>
      <c r="B691" s="1" t="n">
        <v>44904.48502314815</v>
      </c>
      <c r="C691" s="1" t="n">
        <v>46163</v>
      </c>
      <c r="D691" t="inlineStr">
        <is>
          <t>VÄSTMANLANDS LÄN</t>
        </is>
      </c>
      <c r="E691" t="inlineStr">
        <is>
          <t>SALA</t>
        </is>
      </c>
      <c r="G691" t="n">
        <v>2.1</v>
      </c>
      <c r="H691" t="n">
        <v>0</v>
      </c>
      <c r="I691" t="n">
        <v>0</v>
      </c>
      <c r="J691" t="n">
        <v>0</v>
      </c>
      <c r="K691" t="n">
        <v>0</v>
      </c>
      <c r="L691" t="n">
        <v>0</v>
      </c>
      <c r="M691" t="n">
        <v>0</v>
      </c>
      <c r="N691" t="n">
        <v>0</v>
      </c>
      <c r="O691" t="n">
        <v>0</v>
      </c>
      <c r="P691" t="n">
        <v>0</v>
      </c>
      <c r="Q691" t="n">
        <v>0</v>
      </c>
      <c r="R691" s="2" t="inlineStr"/>
    </row>
    <row r="692" ht="15" customHeight="1">
      <c r="A692" t="inlineStr">
        <is>
          <t>A 19381-2025</t>
        </is>
      </c>
      <c r="B692" s="1" t="n">
        <v>45769</v>
      </c>
      <c r="C692" s="1" t="n">
        <v>46163</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42938-2023</t>
        </is>
      </c>
      <c r="B693" s="1" t="n">
        <v>45179</v>
      </c>
      <c r="C693" s="1" t="n">
        <v>46163</v>
      </c>
      <c r="D693" t="inlineStr">
        <is>
          <t>VÄSTMANLANDS LÄN</t>
        </is>
      </c>
      <c r="E693" t="inlineStr">
        <is>
          <t>SALA</t>
        </is>
      </c>
      <c r="G693" t="n">
        <v>10.9</v>
      </c>
      <c r="H693" t="n">
        <v>0</v>
      </c>
      <c r="I693" t="n">
        <v>0</v>
      </c>
      <c r="J693" t="n">
        <v>0</v>
      </c>
      <c r="K693" t="n">
        <v>0</v>
      </c>
      <c r="L693" t="n">
        <v>0</v>
      </c>
      <c r="M693" t="n">
        <v>0</v>
      </c>
      <c r="N693" t="n">
        <v>0</v>
      </c>
      <c r="O693" t="n">
        <v>0</v>
      </c>
      <c r="P693" t="n">
        <v>0</v>
      </c>
      <c r="Q693" t="n">
        <v>0</v>
      </c>
      <c r="R693" s="2" t="inlineStr"/>
    </row>
    <row r="694" ht="15" customHeight="1">
      <c r="A694" t="inlineStr">
        <is>
          <t>A 19222-2025</t>
        </is>
      </c>
      <c r="B694" s="1" t="n">
        <v>45769</v>
      </c>
      <c r="C694" s="1" t="n">
        <v>46163</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19241-2025</t>
        </is>
      </c>
      <c r="B695" s="1" t="n">
        <v>45769</v>
      </c>
      <c r="C695" s="1" t="n">
        <v>46163</v>
      </c>
      <c r="D695" t="inlineStr">
        <is>
          <t>VÄSTMANLANDS LÄN</t>
        </is>
      </c>
      <c r="E695" t="inlineStr">
        <is>
          <t>SALA</t>
        </is>
      </c>
      <c r="G695" t="n">
        <v>3.6</v>
      </c>
      <c r="H695" t="n">
        <v>0</v>
      </c>
      <c r="I695" t="n">
        <v>0</v>
      </c>
      <c r="J695" t="n">
        <v>0</v>
      </c>
      <c r="K695" t="n">
        <v>0</v>
      </c>
      <c r="L695" t="n">
        <v>0</v>
      </c>
      <c r="M695" t="n">
        <v>0</v>
      </c>
      <c r="N695" t="n">
        <v>0</v>
      </c>
      <c r="O695" t="n">
        <v>0</v>
      </c>
      <c r="P695" t="n">
        <v>0</v>
      </c>
      <c r="Q695" t="n">
        <v>0</v>
      </c>
      <c r="R695" s="2" t="inlineStr"/>
    </row>
    <row r="696" ht="15" customHeight="1">
      <c r="A696" t="inlineStr">
        <is>
          <t>A 60823-2024</t>
        </is>
      </c>
      <c r="B696" s="1" t="n">
        <v>45644</v>
      </c>
      <c r="C696" s="1" t="n">
        <v>46163</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61681-2024</t>
        </is>
      </c>
      <c r="B697" s="1" t="n">
        <v>45647</v>
      </c>
      <c r="C697" s="1" t="n">
        <v>46163</v>
      </c>
      <c r="D697" t="inlineStr">
        <is>
          <t>VÄSTMANLANDS LÄN</t>
        </is>
      </c>
      <c r="E697" t="inlineStr">
        <is>
          <t>SALA</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49661-2024</t>
        </is>
      </c>
      <c r="B698" s="1" t="n">
        <v>45596</v>
      </c>
      <c r="C698" s="1" t="n">
        <v>46163</v>
      </c>
      <c r="D698" t="inlineStr">
        <is>
          <t>VÄSTMANLANDS LÄN</t>
        </is>
      </c>
      <c r="E698" t="inlineStr">
        <is>
          <t>SALA</t>
        </is>
      </c>
      <c r="G698" t="n">
        <v>6.7</v>
      </c>
      <c r="H698" t="n">
        <v>0</v>
      </c>
      <c r="I698" t="n">
        <v>0</v>
      </c>
      <c r="J698" t="n">
        <v>0</v>
      </c>
      <c r="K698" t="n">
        <v>0</v>
      </c>
      <c r="L698" t="n">
        <v>0</v>
      </c>
      <c r="M698" t="n">
        <v>0</v>
      </c>
      <c r="N698" t="n">
        <v>0</v>
      </c>
      <c r="O698" t="n">
        <v>0</v>
      </c>
      <c r="P698" t="n">
        <v>0</v>
      </c>
      <c r="Q698" t="n">
        <v>0</v>
      </c>
      <c r="R698" s="2" t="inlineStr"/>
    </row>
    <row r="699" ht="15" customHeight="1">
      <c r="A699" t="inlineStr">
        <is>
          <t>A 59297-2023</t>
        </is>
      </c>
      <c r="B699" s="1" t="n">
        <v>45253</v>
      </c>
      <c r="C699" s="1" t="n">
        <v>46163</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15965-2024</t>
        </is>
      </c>
      <c r="B700" s="1" t="n">
        <v>45405.55740740741</v>
      </c>
      <c r="C700" s="1" t="n">
        <v>46163</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23180-2022</t>
        </is>
      </c>
      <c r="B701" s="1" t="n">
        <v>44719.79344907407</v>
      </c>
      <c r="C701" s="1" t="n">
        <v>46163</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46163</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21053-2022</t>
        </is>
      </c>
      <c r="B703" s="1" t="n">
        <v>44704</v>
      </c>
      <c r="C703" s="1" t="n">
        <v>46163</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11927-2025</t>
        </is>
      </c>
      <c r="B704" s="1" t="n">
        <v>45728.5137962963</v>
      </c>
      <c r="C704" s="1" t="n">
        <v>46163</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50876-2023</t>
        </is>
      </c>
      <c r="B705" s="1" t="n">
        <v>45211</v>
      </c>
      <c r="C705" s="1" t="n">
        <v>46163</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10255-2024</t>
        </is>
      </c>
      <c r="B706" s="1" t="n">
        <v>45365</v>
      </c>
      <c r="C706" s="1" t="n">
        <v>46163</v>
      </c>
      <c r="D706" t="inlineStr">
        <is>
          <t>VÄSTMANLANDS LÄN</t>
        </is>
      </c>
      <c r="E706" t="inlineStr">
        <is>
          <t>SALA</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62648-2022</t>
        </is>
      </c>
      <c r="B707" s="1" t="n">
        <v>44917</v>
      </c>
      <c r="C707" s="1" t="n">
        <v>46163</v>
      </c>
      <c r="D707" t="inlineStr">
        <is>
          <t>VÄSTMANLANDS LÄN</t>
        </is>
      </c>
      <c r="E707" t="inlineStr">
        <is>
          <t>SALA</t>
        </is>
      </c>
      <c r="G707" t="n">
        <v>0.5</v>
      </c>
      <c r="H707" t="n">
        <v>0</v>
      </c>
      <c r="I707" t="n">
        <v>0</v>
      </c>
      <c r="J707" t="n">
        <v>0</v>
      </c>
      <c r="K707" t="n">
        <v>0</v>
      </c>
      <c r="L707" t="n">
        <v>0</v>
      </c>
      <c r="M707" t="n">
        <v>0</v>
      </c>
      <c r="N707" t="n">
        <v>0</v>
      </c>
      <c r="O707" t="n">
        <v>0</v>
      </c>
      <c r="P707" t="n">
        <v>0</v>
      </c>
      <c r="Q707" t="n">
        <v>0</v>
      </c>
      <c r="R707" s="2" t="inlineStr"/>
    </row>
    <row r="708" ht="15" customHeight="1">
      <c r="A708" t="inlineStr">
        <is>
          <t>A 56548-2024</t>
        </is>
      </c>
      <c r="B708" s="1" t="n">
        <v>45625</v>
      </c>
      <c r="C708" s="1" t="n">
        <v>46163</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5477-2024</t>
        </is>
      </c>
      <c r="B709" s="1" t="n">
        <v>45333.67833333334</v>
      </c>
      <c r="C709" s="1" t="n">
        <v>46163</v>
      </c>
      <c r="D709" t="inlineStr">
        <is>
          <t>VÄSTMANLANDS LÄN</t>
        </is>
      </c>
      <c r="E709" t="inlineStr">
        <is>
          <t>SALA</t>
        </is>
      </c>
      <c r="G709" t="n">
        <v>2.3</v>
      </c>
      <c r="H709" t="n">
        <v>0</v>
      </c>
      <c r="I709" t="n">
        <v>0</v>
      </c>
      <c r="J709" t="n">
        <v>0</v>
      </c>
      <c r="K709" t="n">
        <v>0</v>
      </c>
      <c r="L709" t="n">
        <v>0</v>
      </c>
      <c r="M709" t="n">
        <v>0</v>
      </c>
      <c r="N709" t="n">
        <v>0</v>
      </c>
      <c r="O709" t="n">
        <v>0</v>
      </c>
      <c r="P709" t="n">
        <v>0</v>
      </c>
      <c r="Q709" t="n">
        <v>0</v>
      </c>
      <c r="R709" s="2" t="inlineStr"/>
    </row>
    <row r="710" ht="15" customHeight="1">
      <c r="A710" t="inlineStr">
        <is>
          <t>A 39451-2022</t>
        </is>
      </c>
      <c r="B710" s="1" t="n">
        <v>44818.36606481481</v>
      </c>
      <c r="C710" s="1" t="n">
        <v>46163</v>
      </c>
      <c r="D710" t="inlineStr">
        <is>
          <t>VÄSTMANLANDS LÄN</t>
        </is>
      </c>
      <c r="E710" t="inlineStr">
        <is>
          <t>SALA</t>
        </is>
      </c>
      <c r="G710" t="n">
        <v>9.4</v>
      </c>
      <c r="H710" t="n">
        <v>0</v>
      </c>
      <c r="I710" t="n">
        <v>0</v>
      </c>
      <c r="J710" t="n">
        <v>0</v>
      </c>
      <c r="K710" t="n">
        <v>0</v>
      </c>
      <c r="L710" t="n">
        <v>0</v>
      </c>
      <c r="M710" t="n">
        <v>0</v>
      </c>
      <c r="N710" t="n">
        <v>0</v>
      </c>
      <c r="O710" t="n">
        <v>0</v>
      </c>
      <c r="P710" t="n">
        <v>0</v>
      </c>
      <c r="Q710" t="n">
        <v>0</v>
      </c>
      <c r="R710" s="2" t="inlineStr"/>
    </row>
    <row r="711" ht="15" customHeight="1">
      <c r="A711" t="inlineStr">
        <is>
          <t>A 7772-2023</t>
        </is>
      </c>
      <c r="B711" s="1" t="n">
        <v>44973.40076388889</v>
      </c>
      <c r="C711" s="1" t="n">
        <v>46163</v>
      </c>
      <c r="D711" t="inlineStr">
        <is>
          <t>VÄSTMANLANDS LÄN</t>
        </is>
      </c>
      <c r="E711" t="inlineStr">
        <is>
          <t>SALA</t>
        </is>
      </c>
      <c r="G711" t="n">
        <v>0.5</v>
      </c>
      <c r="H711" t="n">
        <v>0</v>
      </c>
      <c r="I711" t="n">
        <v>0</v>
      </c>
      <c r="J711" t="n">
        <v>0</v>
      </c>
      <c r="K711" t="n">
        <v>0</v>
      </c>
      <c r="L711" t="n">
        <v>0</v>
      </c>
      <c r="M711" t="n">
        <v>0</v>
      </c>
      <c r="N711" t="n">
        <v>0</v>
      </c>
      <c r="O711" t="n">
        <v>0</v>
      </c>
      <c r="P711" t="n">
        <v>0</v>
      </c>
      <c r="Q711" t="n">
        <v>0</v>
      </c>
      <c r="R711" s="2" t="inlineStr"/>
    </row>
    <row r="712" ht="15" customHeight="1">
      <c r="A712" t="inlineStr">
        <is>
          <t>A 19751-2022</t>
        </is>
      </c>
      <c r="B712" s="1" t="n">
        <v>44694</v>
      </c>
      <c r="C712" s="1" t="n">
        <v>46163</v>
      </c>
      <c r="D712" t="inlineStr">
        <is>
          <t>VÄSTMANLANDS LÄN</t>
        </is>
      </c>
      <c r="E712" t="inlineStr">
        <is>
          <t>SALA</t>
        </is>
      </c>
      <c r="G712" t="n">
        <v>2.7</v>
      </c>
      <c r="H712" t="n">
        <v>0</v>
      </c>
      <c r="I712" t="n">
        <v>0</v>
      </c>
      <c r="J712" t="n">
        <v>0</v>
      </c>
      <c r="K712" t="n">
        <v>0</v>
      </c>
      <c r="L712" t="n">
        <v>0</v>
      </c>
      <c r="M712" t="n">
        <v>0</v>
      </c>
      <c r="N712" t="n">
        <v>0</v>
      </c>
      <c r="O712" t="n">
        <v>0</v>
      </c>
      <c r="P712" t="n">
        <v>0</v>
      </c>
      <c r="Q712" t="n">
        <v>0</v>
      </c>
      <c r="R712" s="2" t="inlineStr"/>
    </row>
    <row r="713" ht="15" customHeight="1">
      <c r="A713" t="inlineStr">
        <is>
          <t>A 44713-2023</t>
        </is>
      </c>
      <c r="B713" s="1" t="n">
        <v>45184</v>
      </c>
      <c r="C713" s="1" t="n">
        <v>46163</v>
      </c>
      <c r="D713" t="inlineStr">
        <is>
          <t>VÄSTMANLANDS LÄN</t>
        </is>
      </c>
      <c r="E713" t="inlineStr">
        <is>
          <t>SALA</t>
        </is>
      </c>
      <c r="F713" t="inlineStr">
        <is>
          <t>Kyrkan</t>
        </is>
      </c>
      <c r="G713" t="n">
        <v>7.6</v>
      </c>
      <c r="H713" t="n">
        <v>0</v>
      </c>
      <c r="I713" t="n">
        <v>0</v>
      </c>
      <c r="J713" t="n">
        <v>0</v>
      </c>
      <c r="K713" t="n">
        <v>0</v>
      </c>
      <c r="L713" t="n">
        <v>0</v>
      </c>
      <c r="M713" t="n">
        <v>0</v>
      </c>
      <c r="N713" t="n">
        <v>0</v>
      </c>
      <c r="O713" t="n">
        <v>0</v>
      </c>
      <c r="P713" t="n">
        <v>0</v>
      </c>
      <c r="Q713" t="n">
        <v>0</v>
      </c>
      <c r="R713" s="2" t="inlineStr"/>
    </row>
    <row r="714" ht="15" customHeight="1">
      <c r="A714" t="inlineStr">
        <is>
          <t>A 18713-2025</t>
        </is>
      </c>
      <c r="B714" s="1" t="n">
        <v>45763</v>
      </c>
      <c r="C714" s="1" t="n">
        <v>46163</v>
      </c>
      <c r="D714" t="inlineStr">
        <is>
          <t>VÄSTMANLANDS LÄN</t>
        </is>
      </c>
      <c r="E714" t="inlineStr">
        <is>
          <t>SALA</t>
        </is>
      </c>
      <c r="F714" t="inlineStr">
        <is>
          <t>Bergvik skog öst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47479-2024</t>
        </is>
      </c>
      <c r="B715" s="1" t="n">
        <v>45587</v>
      </c>
      <c r="C715" s="1" t="n">
        <v>46163</v>
      </c>
      <c r="D715" t="inlineStr">
        <is>
          <t>VÄSTMANLANDS LÄN</t>
        </is>
      </c>
      <c r="E715" t="inlineStr">
        <is>
          <t>SALA</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69236-2021</t>
        </is>
      </c>
      <c r="B716" s="1" t="n">
        <v>44531.4047337963</v>
      </c>
      <c r="C716" s="1" t="n">
        <v>46163</v>
      </c>
      <c r="D716" t="inlineStr">
        <is>
          <t>VÄSTMANLANDS LÄN</t>
        </is>
      </c>
      <c r="E716" t="inlineStr">
        <is>
          <t>SALA</t>
        </is>
      </c>
      <c r="G716" t="n">
        <v>2.8</v>
      </c>
      <c r="H716" t="n">
        <v>0</v>
      </c>
      <c r="I716" t="n">
        <v>0</v>
      </c>
      <c r="J716" t="n">
        <v>0</v>
      </c>
      <c r="K716" t="n">
        <v>0</v>
      </c>
      <c r="L716" t="n">
        <v>0</v>
      </c>
      <c r="M716" t="n">
        <v>0</v>
      </c>
      <c r="N716" t="n">
        <v>0</v>
      </c>
      <c r="O716" t="n">
        <v>0</v>
      </c>
      <c r="P716" t="n">
        <v>0</v>
      </c>
      <c r="Q716" t="n">
        <v>0</v>
      </c>
      <c r="R716" s="2" t="inlineStr"/>
    </row>
    <row r="717" ht="15" customHeight="1">
      <c r="A717" t="inlineStr">
        <is>
          <t>A 25541-2024</t>
        </is>
      </c>
      <c r="B717" s="1" t="n">
        <v>45463.56337962963</v>
      </c>
      <c r="C717" s="1" t="n">
        <v>46163</v>
      </c>
      <c r="D717" t="inlineStr">
        <is>
          <t>VÄSTMANLANDS LÄN</t>
        </is>
      </c>
      <c r="E717" t="inlineStr">
        <is>
          <t>SALA</t>
        </is>
      </c>
      <c r="G717" t="n">
        <v>0.5</v>
      </c>
      <c r="H717" t="n">
        <v>0</v>
      </c>
      <c r="I717" t="n">
        <v>0</v>
      </c>
      <c r="J717" t="n">
        <v>0</v>
      </c>
      <c r="K717" t="n">
        <v>0</v>
      </c>
      <c r="L717" t="n">
        <v>0</v>
      </c>
      <c r="M717" t="n">
        <v>0</v>
      </c>
      <c r="N717" t="n">
        <v>0</v>
      </c>
      <c r="O717" t="n">
        <v>0</v>
      </c>
      <c r="P717" t="n">
        <v>0</v>
      </c>
      <c r="Q717" t="n">
        <v>0</v>
      </c>
      <c r="R717" s="2" t="inlineStr"/>
    </row>
    <row r="718" ht="15" customHeight="1">
      <c r="A718" t="inlineStr">
        <is>
          <t>A 5728-2022</t>
        </is>
      </c>
      <c r="B718" s="1" t="n">
        <v>44596.42082175926</v>
      </c>
      <c r="C718" s="1" t="n">
        <v>46163</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10250-2025</t>
        </is>
      </c>
      <c r="B719" s="1" t="n">
        <v>45720.36165509259</v>
      </c>
      <c r="C719" s="1" t="n">
        <v>46163</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49512-2024</t>
        </is>
      </c>
      <c r="B720" s="1" t="n">
        <v>45591</v>
      </c>
      <c r="C720" s="1" t="n">
        <v>46163</v>
      </c>
      <c r="D720" t="inlineStr">
        <is>
          <t>VÄSTMANLANDS LÄN</t>
        </is>
      </c>
      <c r="E720" t="inlineStr">
        <is>
          <t>SALA</t>
        </is>
      </c>
      <c r="G720" t="n">
        <v>8.1</v>
      </c>
      <c r="H720" t="n">
        <v>0</v>
      </c>
      <c r="I720" t="n">
        <v>0</v>
      </c>
      <c r="J720" t="n">
        <v>0</v>
      </c>
      <c r="K720" t="n">
        <v>0</v>
      </c>
      <c r="L720" t="n">
        <v>0</v>
      </c>
      <c r="M720" t="n">
        <v>0</v>
      </c>
      <c r="N720" t="n">
        <v>0</v>
      </c>
      <c r="O720" t="n">
        <v>0</v>
      </c>
      <c r="P720" t="n">
        <v>0</v>
      </c>
      <c r="Q720" t="n">
        <v>0</v>
      </c>
      <c r="R720" s="2" t="inlineStr"/>
    </row>
    <row r="721" ht="15" customHeight="1">
      <c r="A721" t="inlineStr">
        <is>
          <t>A 42416-2022</t>
        </is>
      </c>
      <c r="B721" s="1" t="n">
        <v>44831</v>
      </c>
      <c r="C721" s="1" t="n">
        <v>46163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6135-2023</t>
        </is>
      </c>
      <c r="B722" s="1" t="n">
        <v>44964.62628472222</v>
      </c>
      <c r="C722" s="1" t="n">
        <v>46163</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16693-2023</t>
        </is>
      </c>
      <c r="B723" s="1" t="n">
        <v>45028</v>
      </c>
      <c r="C723" s="1" t="n">
        <v>46163</v>
      </c>
      <c r="D723" t="inlineStr">
        <is>
          <t>VÄSTMANLANDS LÄN</t>
        </is>
      </c>
      <c r="E723" t="inlineStr">
        <is>
          <t>SALA</t>
        </is>
      </c>
      <c r="G723" t="n">
        <v>1.5</v>
      </c>
      <c r="H723" t="n">
        <v>0</v>
      </c>
      <c r="I723" t="n">
        <v>0</v>
      </c>
      <c r="J723" t="n">
        <v>0</v>
      </c>
      <c r="K723" t="n">
        <v>0</v>
      </c>
      <c r="L723" t="n">
        <v>0</v>
      </c>
      <c r="M723" t="n">
        <v>0</v>
      </c>
      <c r="N723" t="n">
        <v>0</v>
      </c>
      <c r="O723" t="n">
        <v>0</v>
      </c>
      <c r="P723" t="n">
        <v>0</v>
      </c>
      <c r="Q723" t="n">
        <v>0</v>
      </c>
      <c r="R723" s="2" t="inlineStr"/>
    </row>
    <row r="724" ht="15" customHeight="1">
      <c r="A724" t="inlineStr">
        <is>
          <t>A 8285-2025</t>
        </is>
      </c>
      <c r="B724" s="1" t="n">
        <v>45708</v>
      </c>
      <c r="C724" s="1" t="n">
        <v>46163</v>
      </c>
      <c r="D724" t="inlineStr">
        <is>
          <t>VÄSTMANLANDS LÄN</t>
        </is>
      </c>
      <c r="E724" t="inlineStr">
        <is>
          <t>SALA</t>
        </is>
      </c>
      <c r="G724" t="n">
        <v>5.7</v>
      </c>
      <c r="H724" t="n">
        <v>0</v>
      </c>
      <c r="I724" t="n">
        <v>0</v>
      </c>
      <c r="J724" t="n">
        <v>0</v>
      </c>
      <c r="K724" t="n">
        <v>0</v>
      </c>
      <c r="L724" t="n">
        <v>0</v>
      </c>
      <c r="M724" t="n">
        <v>0</v>
      </c>
      <c r="N724" t="n">
        <v>0</v>
      </c>
      <c r="O724" t="n">
        <v>0</v>
      </c>
      <c r="P724" t="n">
        <v>0</v>
      </c>
      <c r="Q724" t="n">
        <v>0</v>
      </c>
      <c r="R724" s="2" t="inlineStr"/>
    </row>
    <row r="725" ht="15" customHeight="1">
      <c r="A725" t="inlineStr">
        <is>
          <t>A 18340-2025</t>
        </is>
      </c>
      <c r="B725" s="1" t="n">
        <v>45762</v>
      </c>
      <c r="C725" s="1" t="n">
        <v>46163</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56706-2022</t>
        </is>
      </c>
      <c r="B726" s="1" t="n">
        <v>44893.78893518518</v>
      </c>
      <c r="C726" s="1" t="n">
        <v>46163</v>
      </c>
      <c r="D726" t="inlineStr">
        <is>
          <t>VÄSTMANLANDS LÄN</t>
        </is>
      </c>
      <c r="E726" t="inlineStr">
        <is>
          <t>SALA</t>
        </is>
      </c>
      <c r="G726" t="n">
        <v>4.5</v>
      </c>
      <c r="H726" t="n">
        <v>0</v>
      </c>
      <c r="I726" t="n">
        <v>0</v>
      </c>
      <c r="J726" t="n">
        <v>0</v>
      </c>
      <c r="K726" t="n">
        <v>0</v>
      </c>
      <c r="L726" t="n">
        <v>0</v>
      </c>
      <c r="M726" t="n">
        <v>0</v>
      </c>
      <c r="N726" t="n">
        <v>0</v>
      </c>
      <c r="O726" t="n">
        <v>0</v>
      </c>
      <c r="P726" t="n">
        <v>0</v>
      </c>
      <c r="Q726" t="n">
        <v>0</v>
      </c>
      <c r="R726" s="2" t="inlineStr"/>
    </row>
    <row r="727" ht="15" customHeight="1">
      <c r="A727" t="inlineStr">
        <is>
          <t>A 56707-2022</t>
        </is>
      </c>
      <c r="B727" s="1" t="n">
        <v>44893.79412037037</v>
      </c>
      <c r="C727" s="1" t="n">
        <v>46163</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48571-2024</t>
        </is>
      </c>
      <c r="B728" s="1" t="n">
        <v>45591</v>
      </c>
      <c r="C728" s="1" t="n">
        <v>46163</v>
      </c>
      <c r="D728" t="inlineStr">
        <is>
          <t>VÄSTMANLANDS LÄN</t>
        </is>
      </c>
      <c r="E728" t="inlineStr">
        <is>
          <t>SALA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13188-2025</t>
        </is>
      </c>
      <c r="B729" s="1" t="n">
        <v>45735.39246527778</v>
      </c>
      <c r="C729" s="1" t="n">
        <v>46163</v>
      </c>
      <c r="D729" t="inlineStr">
        <is>
          <t>VÄSTMANLANDS LÄN</t>
        </is>
      </c>
      <c r="E729" t="inlineStr">
        <is>
          <t>SALA</t>
        </is>
      </c>
      <c r="F729" t="inlineStr">
        <is>
          <t>Naturvårdsverket</t>
        </is>
      </c>
      <c r="G729" t="n">
        <v>18.4</v>
      </c>
      <c r="H729" t="n">
        <v>0</v>
      </c>
      <c r="I729" t="n">
        <v>0</v>
      </c>
      <c r="J729" t="n">
        <v>0</v>
      </c>
      <c r="K729" t="n">
        <v>0</v>
      </c>
      <c r="L729" t="n">
        <v>0</v>
      </c>
      <c r="M729" t="n">
        <v>0</v>
      </c>
      <c r="N729" t="n">
        <v>0</v>
      </c>
      <c r="O729" t="n">
        <v>0</v>
      </c>
      <c r="P729" t="n">
        <v>0</v>
      </c>
      <c r="Q729" t="n">
        <v>0</v>
      </c>
      <c r="R729" s="2" t="inlineStr"/>
    </row>
    <row r="730" ht="15" customHeight="1">
      <c r="A730" t="inlineStr">
        <is>
          <t>A 23431-2024</t>
        </is>
      </c>
      <c r="B730" s="1" t="n">
        <v>45453</v>
      </c>
      <c r="C730" s="1" t="n">
        <v>46163</v>
      </c>
      <c r="D730" t="inlineStr">
        <is>
          <t>VÄSTMANLANDS LÄN</t>
        </is>
      </c>
      <c r="E730" t="inlineStr">
        <is>
          <t>SALA</t>
        </is>
      </c>
      <c r="G730" t="n">
        <v>1.6</v>
      </c>
      <c r="H730" t="n">
        <v>0</v>
      </c>
      <c r="I730" t="n">
        <v>0</v>
      </c>
      <c r="J730" t="n">
        <v>0</v>
      </c>
      <c r="K730" t="n">
        <v>0</v>
      </c>
      <c r="L730" t="n">
        <v>0</v>
      </c>
      <c r="M730" t="n">
        <v>0</v>
      </c>
      <c r="N730" t="n">
        <v>0</v>
      </c>
      <c r="O730" t="n">
        <v>0</v>
      </c>
      <c r="P730" t="n">
        <v>0</v>
      </c>
      <c r="Q730" t="n">
        <v>0</v>
      </c>
      <c r="R730" s="2" t="inlineStr"/>
    </row>
    <row r="731" ht="15" customHeight="1">
      <c r="A731" t="inlineStr">
        <is>
          <t>A 21168-2025</t>
        </is>
      </c>
      <c r="B731" s="1" t="n">
        <v>45777</v>
      </c>
      <c r="C731" s="1" t="n">
        <v>46163</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21754-2025</t>
        </is>
      </c>
      <c r="B732" s="1" t="n">
        <v>45783.61837962963</v>
      </c>
      <c r="C732" s="1" t="n">
        <v>46163</v>
      </c>
      <c r="D732" t="inlineStr">
        <is>
          <t>VÄSTMANLANDS LÄN</t>
        </is>
      </c>
      <c r="E732" t="inlineStr">
        <is>
          <t>SALA</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21751-2025</t>
        </is>
      </c>
      <c r="B733" s="1" t="n">
        <v>45783.61372685185</v>
      </c>
      <c r="C733" s="1" t="n">
        <v>46163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37587-2024</t>
        </is>
      </c>
      <c r="B734" s="1" t="n">
        <v>45541</v>
      </c>
      <c r="C734" s="1" t="n">
        <v>46163</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64724-2023</t>
        </is>
      </c>
      <c r="B735" s="1" t="n">
        <v>45281.7602662037</v>
      </c>
      <c r="C735" s="1" t="n">
        <v>46163</v>
      </c>
      <c r="D735" t="inlineStr">
        <is>
          <t>VÄSTMANLANDS LÄN</t>
        </is>
      </c>
      <c r="E735" t="inlineStr">
        <is>
          <t>SALA</t>
        </is>
      </c>
      <c r="G735" t="n">
        <v>2.3</v>
      </c>
      <c r="H735" t="n">
        <v>0</v>
      </c>
      <c r="I735" t="n">
        <v>0</v>
      </c>
      <c r="J735" t="n">
        <v>0</v>
      </c>
      <c r="K735" t="n">
        <v>0</v>
      </c>
      <c r="L735" t="n">
        <v>0</v>
      </c>
      <c r="M735" t="n">
        <v>0</v>
      </c>
      <c r="N735" t="n">
        <v>0</v>
      </c>
      <c r="O735" t="n">
        <v>0</v>
      </c>
      <c r="P735" t="n">
        <v>0</v>
      </c>
      <c r="Q735" t="n">
        <v>0</v>
      </c>
      <c r="R735" s="2" t="inlineStr"/>
    </row>
    <row r="736" ht="15" customHeight="1">
      <c r="A736" t="inlineStr">
        <is>
          <t>A 7176-2023</t>
        </is>
      </c>
      <c r="B736" s="1" t="n">
        <v>44970</v>
      </c>
      <c r="C736" s="1" t="n">
        <v>46163</v>
      </c>
      <c r="D736" t="inlineStr">
        <is>
          <t>VÄSTMANLANDS LÄN</t>
        </is>
      </c>
      <c r="E736" t="inlineStr">
        <is>
          <t>SALA</t>
        </is>
      </c>
      <c r="G736" t="n">
        <v>1.5</v>
      </c>
      <c r="H736" t="n">
        <v>0</v>
      </c>
      <c r="I736" t="n">
        <v>0</v>
      </c>
      <c r="J736" t="n">
        <v>0</v>
      </c>
      <c r="K736" t="n">
        <v>0</v>
      </c>
      <c r="L736" t="n">
        <v>0</v>
      </c>
      <c r="M736" t="n">
        <v>0</v>
      </c>
      <c r="N736" t="n">
        <v>0</v>
      </c>
      <c r="O736" t="n">
        <v>0</v>
      </c>
      <c r="P736" t="n">
        <v>0</v>
      </c>
      <c r="Q736" t="n">
        <v>0</v>
      </c>
      <c r="R736" s="2" t="inlineStr"/>
    </row>
    <row r="737" ht="15" customHeight="1">
      <c r="A737" t="inlineStr">
        <is>
          <t>A 43600-2024</t>
        </is>
      </c>
      <c r="B737" s="1" t="n">
        <v>45569</v>
      </c>
      <c r="C737" s="1" t="n">
        <v>46163</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31405-2024</t>
        </is>
      </c>
      <c r="B738" s="1" t="n">
        <v>45505.5490625</v>
      </c>
      <c r="C738" s="1" t="n">
        <v>46163</v>
      </c>
      <c r="D738" t="inlineStr">
        <is>
          <t>VÄSTMANLANDS LÄN</t>
        </is>
      </c>
      <c r="E738" t="inlineStr">
        <is>
          <t>SALA</t>
        </is>
      </c>
      <c r="G738" t="n">
        <v>5.2</v>
      </c>
      <c r="H738" t="n">
        <v>0</v>
      </c>
      <c r="I738" t="n">
        <v>0</v>
      </c>
      <c r="J738" t="n">
        <v>0</v>
      </c>
      <c r="K738" t="n">
        <v>0</v>
      </c>
      <c r="L738" t="n">
        <v>0</v>
      </c>
      <c r="M738" t="n">
        <v>0</v>
      </c>
      <c r="N738" t="n">
        <v>0</v>
      </c>
      <c r="O738" t="n">
        <v>0</v>
      </c>
      <c r="P738" t="n">
        <v>0</v>
      </c>
      <c r="Q738" t="n">
        <v>0</v>
      </c>
      <c r="R738" s="2" t="inlineStr"/>
    </row>
    <row r="739" ht="15" customHeight="1">
      <c r="A739" t="inlineStr">
        <is>
          <t>A 22616-2025</t>
        </is>
      </c>
      <c r="B739" s="1" t="n">
        <v>45789.42752314815</v>
      </c>
      <c r="C739" s="1" t="n">
        <v>46163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22353-2025</t>
        </is>
      </c>
      <c r="B740" s="1" t="n">
        <v>45786</v>
      </c>
      <c r="C740" s="1" t="n">
        <v>46163</v>
      </c>
      <c r="D740" t="inlineStr">
        <is>
          <t>VÄSTMANLANDS LÄN</t>
        </is>
      </c>
      <c r="E740" t="inlineStr">
        <is>
          <t>SALA</t>
        </is>
      </c>
      <c r="G740" t="n">
        <v>2.5</v>
      </c>
      <c r="H740" t="n">
        <v>0</v>
      </c>
      <c r="I740" t="n">
        <v>0</v>
      </c>
      <c r="J740" t="n">
        <v>0</v>
      </c>
      <c r="K740" t="n">
        <v>0</v>
      </c>
      <c r="L740" t="n">
        <v>0</v>
      </c>
      <c r="M740" t="n">
        <v>0</v>
      </c>
      <c r="N740" t="n">
        <v>0</v>
      </c>
      <c r="O740" t="n">
        <v>0</v>
      </c>
      <c r="P740" t="n">
        <v>0</v>
      </c>
      <c r="Q740" t="n">
        <v>0</v>
      </c>
      <c r="R740" s="2" t="inlineStr"/>
    </row>
    <row r="741" ht="15" customHeight="1">
      <c r="A741" t="inlineStr">
        <is>
          <t>A 22383-2025</t>
        </is>
      </c>
      <c r="B741" s="1" t="n">
        <v>45786</v>
      </c>
      <c r="C741" s="1" t="n">
        <v>46163</v>
      </c>
      <c r="D741" t="inlineStr">
        <is>
          <t>VÄSTMANLANDS LÄN</t>
        </is>
      </c>
      <c r="E741" t="inlineStr">
        <is>
          <t>SALA</t>
        </is>
      </c>
      <c r="G741" t="n">
        <v>2.2</v>
      </c>
      <c r="H741" t="n">
        <v>0</v>
      </c>
      <c r="I741" t="n">
        <v>0</v>
      </c>
      <c r="J741" t="n">
        <v>0</v>
      </c>
      <c r="K741" t="n">
        <v>0</v>
      </c>
      <c r="L741" t="n">
        <v>0</v>
      </c>
      <c r="M741" t="n">
        <v>0</v>
      </c>
      <c r="N741" t="n">
        <v>0</v>
      </c>
      <c r="O741" t="n">
        <v>0</v>
      </c>
      <c r="P741" t="n">
        <v>0</v>
      </c>
      <c r="Q741" t="n">
        <v>0</v>
      </c>
      <c r="R741" s="2" t="inlineStr"/>
    </row>
    <row r="742" ht="15" customHeight="1">
      <c r="A742" t="inlineStr">
        <is>
          <t>A 22624-2025</t>
        </is>
      </c>
      <c r="B742" s="1" t="n">
        <v>45789.43327546296</v>
      </c>
      <c r="C742" s="1" t="n">
        <v>46163</v>
      </c>
      <c r="D742" t="inlineStr">
        <is>
          <t>VÄSTMANLANDS LÄN</t>
        </is>
      </c>
      <c r="E742" t="inlineStr">
        <is>
          <t>SALA</t>
        </is>
      </c>
      <c r="G742" t="n">
        <v>1.5</v>
      </c>
      <c r="H742" t="n">
        <v>0</v>
      </c>
      <c r="I742" t="n">
        <v>0</v>
      </c>
      <c r="J742" t="n">
        <v>0</v>
      </c>
      <c r="K742" t="n">
        <v>0</v>
      </c>
      <c r="L742" t="n">
        <v>0</v>
      </c>
      <c r="M742" t="n">
        <v>0</v>
      </c>
      <c r="N742" t="n">
        <v>0</v>
      </c>
      <c r="O742" t="n">
        <v>0</v>
      </c>
      <c r="P742" t="n">
        <v>0</v>
      </c>
      <c r="Q742" t="n">
        <v>0</v>
      </c>
      <c r="R742" s="2" t="inlineStr"/>
    </row>
    <row r="743" ht="15" customHeight="1">
      <c r="A743" t="inlineStr">
        <is>
          <t>A 22370-2025</t>
        </is>
      </c>
      <c r="B743" s="1" t="n">
        <v>45786</v>
      </c>
      <c r="C743" s="1" t="n">
        <v>46163</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13130-2025</t>
        </is>
      </c>
      <c r="B744" s="1" t="n">
        <v>45734</v>
      </c>
      <c r="C744" s="1" t="n">
        <v>46163</v>
      </c>
      <c r="D744" t="inlineStr">
        <is>
          <t>VÄSTMANLANDS LÄN</t>
        </is>
      </c>
      <c r="E744" t="inlineStr">
        <is>
          <t>SALA</t>
        </is>
      </c>
      <c r="G744" t="n">
        <v>1.5</v>
      </c>
      <c r="H744" t="n">
        <v>0</v>
      </c>
      <c r="I744" t="n">
        <v>0</v>
      </c>
      <c r="J744" t="n">
        <v>0</v>
      </c>
      <c r="K744" t="n">
        <v>0</v>
      </c>
      <c r="L744" t="n">
        <v>0</v>
      </c>
      <c r="M744" t="n">
        <v>0</v>
      </c>
      <c r="N744" t="n">
        <v>0</v>
      </c>
      <c r="O744" t="n">
        <v>0</v>
      </c>
      <c r="P744" t="n">
        <v>0</v>
      </c>
      <c r="Q744" t="n">
        <v>0</v>
      </c>
      <c r="R744" s="2" t="inlineStr"/>
    </row>
    <row r="745" ht="15" customHeight="1">
      <c r="A745" t="inlineStr">
        <is>
          <t>A 23804-2025</t>
        </is>
      </c>
      <c r="B745" s="1" t="n">
        <v>45793.55995370371</v>
      </c>
      <c r="C745" s="1" t="n">
        <v>46163</v>
      </c>
      <c r="D745" t="inlineStr">
        <is>
          <t>VÄSTMANLANDS LÄN</t>
        </is>
      </c>
      <c r="E745" t="inlineStr">
        <is>
          <t>SALA</t>
        </is>
      </c>
      <c r="G745" t="n">
        <v>1.9</v>
      </c>
      <c r="H745" t="n">
        <v>0</v>
      </c>
      <c r="I745" t="n">
        <v>0</v>
      </c>
      <c r="J745" t="n">
        <v>0</v>
      </c>
      <c r="K745" t="n">
        <v>0</v>
      </c>
      <c r="L745" t="n">
        <v>0</v>
      </c>
      <c r="M745" t="n">
        <v>0</v>
      </c>
      <c r="N745" t="n">
        <v>0</v>
      </c>
      <c r="O745" t="n">
        <v>0</v>
      </c>
      <c r="P745" t="n">
        <v>0</v>
      </c>
      <c r="Q745" t="n">
        <v>0</v>
      </c>
      <c r="R745" s="2" t="inlineStr"/>
    </row>
    <row r="746" ht="15" customHeight="1">
      <c r="A746" t="inlineStr">
        <is>
          <t>A 22126-2025</t>
        </is>
      </c>
      <c r="B746" s="1" t="n">
        <v>45785</v>
      </c>
      <c r="C746" s="1" t="n">
        <v>46163</v>
      </c>
      <c r="D746" t="inlineStr">
        <is>
          <t>VÄSTMANLANDS LÄN</t>
        </is>
      </c>
      <c r="E746" t="inlineStr">
        <is>
          <t>SALA</t>
        </is>
      </c>
      <c r="G746" t="n">
        <v>10.6</v>
      </c>
      <c r="H746" t="n">
        <v>0</v>
      </c>
      <c r="I746" t="n">
        <v>0</v>
      </c>
      <c r="J746" t="n">
        <v>0</v>
      </c>
      <c r="K746" t="n">
        <v>0</v>
      </c>
      <c r="L746" t="n">
        <v>0</v>
      </c>
      <c r="M746" t="n">
        <v>0</v>
      </c>
      <c r="N746" t="n">
        <v>0</v>
      </c>
      <c r="O746" t="n">
        <v>0</v>
      </c>
      <c r="P746" t="n">
        <v>0</v>
      </c>
      <c r="Q746" t="n">
        <v>0</v>
      </c>
      <c r="R746" s="2" t="inlineStr"/>
    </row>
    <row r="747" ht="15" customHeight="1">
      <c r="A747" t="inlineStr">
        <is>
          <t>A 19297-2025</t>
        </is>
      </c>
      <c r="B747" s="1" t="n">
        <v>45769.56261574074</v>
      </c>
      <c r="C747" s="1" t="n">
        <v>46163</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23810-2025</t>
        </is>
      </c>
      <c r="B748" s="1" t="n">
        <v>45793.56989583333</v>
      </c>
      <c r="C748" s="1" t="n">
        <v>46163</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24169-2025</t>
        </is>
      </c>
      <c r="B749" s="1" t="n">
        <v>45796</v>
      </c>
      <c r="C749" s="1" t="n">
        <v>46163</v>
      </c>
      <c r="D749" t="inlineStr">
        <is>
          <t>VÄSTMANLANDS LÄN</t>
        </is>
      </c>
      <c r="E749" t="inlineStr">
        <is>
          <t>SALA</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11210-2025</t>
        </is>
      </c>
      <c r="B750" s="1" t="n">
        <v>45726</v>
      </c>
      <c r="C750" s="1" t="n">
        <v>46163</v>
      </c>
      <c r="D750" t="inlineStr">
        <is>
          <t>VÄSTMANLANDS LÄN</t>
        </is>
      </c>
      <c r="E750" t="inlineStr">
        <is>
          <t>SALA</t>
        </is>
      </c>
      <c r="G750" t="n">
        <v>4.1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46163</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24460-2025</t>
        </is>
      </c>
      <c r="B752" s="1" t="n">
        <v>45798</v>
      </c>
      <c r="C752" s="1" t="n">
        <v>46163</v>
      </c>
      <c r="D752" t="inlineStr">
        <is>
          <t>VÄSTMANLANDS LÄN</t>
        </is>
      </c>
      <c r="E752" t="inlineStr">
        <is>
          <t>SALA</t>
        </is>
      </c>
      <c r="F752" t="inlineStr">
        <is>
          <t>Bergvik skog öst AB</t>
        </is>
      </c>
      <c r="G752" t="n">
        <v>2.6</v>
      </c>
      <c r="H752" t="n">
        <v>0</v>
      </c>
      <c r="I752" t="n">
        <v>0</v>
      </c>
      <c r="J752" t="n">
        <v>0</v>
      </c>
      <c r="K752" t="n">
        <v>0</v>
      </c>
      <c r="L752" t="n">
        <v>0</v>
      </c>
      <c r="M752" t="n">
        <v>0</v>
      </c>
      <c r="N752" t="n">
        <v>0</v>
      </c>
      <c r="O752" t="n">
        <v>0</v>
      </c>
      <c r="P752" t="n">
        <v>0</v>
      </c>
      <c r="Q752" t="n">
        <v>0</v>
      </c>
      <c r="R752" s="2" t="inlineStr"/>
    </row>
    <row r="753" ht="15" customHeight="1">
      <c r="A753" t="inlineStr">
        <is>
          <t>A 24463-2025</t>
        </is>
      </c>
      <c r="B753" s="1" t="n">
        <v>45798</v>
      </c>
      <c r="C753" s="1" t="n">
        <v>46163</v>
      </c>
      <c r="D753" t="inlineStr">
        <is>
          <t>VÄSTMANLANDS LÄN</t>
        </is>
      </c>
      <c r="E753" t="inlineStr">
        <is>
          <t>SALA</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55065-2024</t>
        </is>
      </c>
      <c r="B754" s="1" t="n">
        <v>45618</v>
      </c>
      <c r="C754" s="1" t="n">
        <v>46163</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24907-2025</t>
        </is>
      </c>
      <c r="B755" s="1" t="n">
        <v>45799</v>
      </c>
      <c r="C755" s="1" t="n">
        <v>46163</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24910-2025</t>
        </is>
      </c>
      <c r="B756" s="1" t="n">
        <v>45799.53775462963</v>
      </c>
      <c r="C756" s="1" t="n">
        <v>46163</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ht="15" customHeight="1">
      <c r="A757" t="inlineStr">
        <is>
          <t>A 10909-2024</t>
        </is>
      </c>
      <c r="B757" s="1" t="n">
        <v>45370</v>
      </c>
      <c r="C757" s="1" t="n">
        <v>46163</v>
      </c>
      <c r="D757" t="inlineStr">
        <is>
          <t>VÄSTMANLANDS LÄN</t>
        </is>
      </c>
      <c r="E757" t="inlineStr">
        <is>
          <t>SALA</t>
        </is>
      </c>
      <c r="G757" t="n">
        <v>3.3</v>
      </c>
      <c r="H757" t="n">
        <v>0</v>
      </c>
      <c r="I757" t="n">
        <v>0</v>
      </c>
      <c r="J757" t="n">
        <v>0</v>
      </c>
      <c r="K757" t="n">
        <v>0</v>
      </c>
      <c r="L757" t="n">
        <v>0</v>
      </c>
      <c r="M757" t="n">
        <v>0</v>
      </c>
      <c r="N757" t="n">
        <v>0</v>
      </c>
      <c r="O757" t="n">
        <v>0</v>
      </c>
      <c r="P757" t="n">
        <v>0</v>
      </c>
      <c r="Q757" t="n">
        <v>0</v>
      </c>
      <c r="R757" s="2" t="inlineStr"/>
    </row>
    <row r="758" ht="15" customHeight="1">
      <c r="A758" t="inlineStr">
        <is>
          <t>A 26661-2025</t>
        </is>
      </c>
      <c r="B758" s="1" t="n">
        <v>45810</v>
      </c>
      <c r="C758" s="1" t="n">
        <v>46163</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27989-2025</t>
        </is>
      </c>
      <c r="B759" s="1" t="n">
        <v>45817.58716435185</v>
      </c>
      <c r="C759" s="1" t="n">
        <v>46163</v>
      </c>
      <c r="D759" t="inlineStr">
        <is>
          <t>VÄSTMANLANDS LÄN</t>
        </is>
      </c>
      <c r="E759" t="inlineStr">
        <is>
          <t>SALA</t>
        </is>
      </c>
      <c r="G759" t="n">
        <v>1.9</v>
      </c>
      <c r="H759" t="n">
        <v>0</v>
      </c>
      <c r="I759" t="n">
        <v>0</v>
      </c>
      <c r="J759" t="n">
        <v>0</v>
      </c>
      <c r="K759" t="n">
        <v>0</v>
      </c>
      <c r="L759" t="n">
        <v>0</v>
      </c>
      <c r="M759" t="n">
        <v>0</v>
      </c>
      <c r="N759" t="n">
        <v>0</v>
      </c>
      <c r="O759" t="n">
        <v>0</v>
      </c>
      <c r="P759" t="n">
        <v>0</v>
      </c>
      <c r="Q759" t="n">
        <v>0</v>
      </c>
      <c r="R759" s="2" t="inlineStr"/>
    </row>
    <row r="760" ht="15" customHeight="1">
      <c r="A760" t="inlineStr">
        <is>
          <t>A 27981-2025</t>
        </is>
      </c>
      <c r="B760" s="1" t="n">
        <v>45817.57471064815</v>
      </c>
      <c r="C760" s="1" t="n">
        <v>46163</v>
      </c>
      <c r="D760" t="inlineStr">
        <is>
          <t>VÄSTMANLANDS LÄN</t>
        </is>
      </c>
      <c r="E760" t="inlineStr">
        <is>
          <t>SALA</t>
        </is>
      </c>
      <c r="G760" t="n">
        <v>1.7</v>
      </c>
      <c r="H760" t="n">
        <v>0</v>
      </c>
      <c r="I760" t="n">
        <v>0</v>
      </c>
      <c r="J760" t="n">
        <v>0</v>
      </c>
      <c r="K760" t="n">
        <v>0</v>
      </c>
      <c r="L760" t="n">
        <v>0</v>
      </c>
      <c r="M760" t="n">
        <v>0</v>
      </c>
      <c r="N760" t="n">
        <v>0</v>
      </c>
      <c r="O760" t="n">
        <v>0</v>
      </c>
      <c r="P760" t="n">
        <v>0</v>
      </c>
      <c r="Q760" t="n">
        <v>0</v>
      </c>
      <c r="R760" s="2" t="inlineStr"/>
    </row>
    <row r="761" ht="15" customHeight="1">
      <c r="A761" t="inlineStr">
        <is>
          <t>A 28193-2025</t>
        </is>
      </c>
      <c r="B761" s="1" t="n">
        <v>45818.425625</v>
      </c>
      <c r="C761" s="1" t="n">
        <v>46163</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28284-2025</t>
        </is>
      </c>
      <c r="B762" s="1" t="n">
        <v>45818.58893518519</v>
      </c>
      <c r="C762" s="1" t="n">
        <v>46163</v>
      </c>
      <c r="D762" t="inlineStr">
        <is>
          <t>VÄSTMANLANDS LÄN</t>
        </is>
      </c>
      <c r="E762" t="inlineStr">
        <is>
          <t>SALA</t>
        </is>
      </c>
      <c r="G762" t="n">
        <v>2.4</v>
      </c>
      <c r="H762" t="n">
        <v>0</v>
      </c>
      <c r="I762" t="n">
        <v>0</v>
      </c>
      <c r="J762" t="n">
        <v>0</v>
      </c>
      <c r="K762" t="n">
        <v>0</v>
      </c>
      <c r="L762" t="n">
        <v>0</v>
      </c>
      <c r="M762" t="n">
        <v>0</v>
      </c>
      <c r="N762" t="n">
        <v>0</v>
      </c>
      <c r="O762" t="n">
        <v>0</v>
      </c>
      <c r="P762" t="n">
        <v>0</v>
      </c>
      <c r="Q762" t="n">
        <v>0</v>
      </c>
      <c r="R762" s="2" t="inlineStr"/>
    </row>
    <row r="763" ht="15" customHeight="1">
      <c r="A763" t="inlineStr">
        <is>
          <t>A 28278-2025</t>
        </is>
      </c>
      <c r="B763" s="1" t="n">
        <v>45818.58454861111</v>
      </c>
      <c r="C763" s="1" t="n">
        <v>46163</v>
      </c>
      <c r="D763" t="inlineStr">
        <is>
          <t>VÄSTMANLANDS LÄN</t>
        </is>
      </c>
      <c r="E763" t="inlineStr">
        <is>
          <t>SALA</t>
        </is>
      </c>
      <c r="G763" t="n">
        <v>7.6</v>
      </c>
      <c r="H763" t="n">
        <v>0</v>
      </c>
      <c r="I763" t="n">
        <v>0</v>
      </c>
      <c r="J763" t="n">
        <v>0</v>
      </c>
      <c r="K763" t="n">
        <v>0</v>
      </c>
      <c r="L763" t="n">
        <v>0</v>
      </c>
      <c r="M763" t="n">
        <v>0</v>
      </c>
      <c r="N763" t="n">
        <v>0</v>
      </c>
      <c r="O763" t="n">
        <v>0</v>
      </c>
      <c r="P763" t="n">
        <v>0</v>
      </c>
      <c r="Q763" t="n">
        <v>0</v>
      </c>
      <c r="R763" s="2" t="inlineStr"/>
    </row>
    <row r="764" ht="15" customHeight="1">
      <c r="A764" t="inlineStr">
        <is>
          <t>A 28628-2025</t>
        </is>
      </c>
      <c r="B764" s="1" t="n">
        <v>45819.62158564815</v>
      </c>
      <c r="C764" s="1" t="n">
        <v>46163</v>
      </c>
      <c r="D764" t="inlineStr">
        <is>
          <t>VÄSTMANLANDS LÄN</t>
        </is>
      </c>
      <c r="E764" t="inlineStr">
        <is>
          <t>SALA</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28632-2025</t>
        </is>
      </c>
      <c r="B765" s="1" t="n">
        <v>45819.62344907408</v>
      </c>
      <c r="C765" s="1" t="n">
        <v>46163</v>
      </c>
      <c r="D765" t="inlineStr">
        <is>
          <t>VÄSTMANLANDS LÄN</t>
        </is>
      </c>
      <c r="E765" t="inlineStr">
        <is>
          <t>SALA</t>
        </is>
      </c>
      <c r="F765" t="inlineStr">
        <is>
          <t>Sveaskog</t>
        </is>
      </c>
      <c r="G765" t="n">
        <v>2.4</v>
      </c>
      <c r="H765" t="n">
        <v>0</v>
      </c>
      <c r="I765" t="n">
        <v>0</v>
      </c>
      <c r="J765" t="n">
        <v>0</v>
      </c>
      <c r="K765" t="n">
        <v>0</v>
      </c>
      <c r="L765" t="n">
        <v>0</v>
      </c>
      <c r="M765" t="n">
        <v>0</v>
      </c>
      <c r="N765" t="n">
        <v>0</v>
      </c>
      <c r="O765" t="n">
        <v>0</v>
      </c>
      <c r="P765" t="n">
        <v>0</v>
      </c>
      <c r="Q765" t="n">
        <v>0</v>
      </c>
      <c r="R765" s="2" t="inlineStr"/>
    </row>
    <row r="766" ht="15" customHeight="1">
      <c r="A766" t="inlineStr">
        <is>
          <t>A 28630-2025</t>
        </is>
      </c>
      <c r="B766" s="1" t="n">
        <v>45819.62274305556</v>
      </c>
      <c r="C766" s="1" t="n">
        <v>46163</v>
      </c>
      <c r="D766" t="inlineStr">
        <is>
          <t>VÄSTMANLANDS LÄN</t>
        </is>
      </c>
      <c r="E766" t="inlineStr">
        <is>
          <t>SALA</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28837-2025</t>
        </is>
      </c>
      <c r="B767" s="1" t="n">
        <v>45820.56243055555</v>
      </c>
      <c r="C767" s="1" t="n">
        <v>46163</v>
      </c>
      <c r="D767" t="inlineStr">
        <is>
          <t>VÄSTMANLANDS LÄN</t>
        </is>
      </c>
      <c r="E767" t="inlineStr">
        <is>
          <t>SALA</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28849-2025</t>
        </is>
      </c>
      <c r="B768" s="1" t="n">
        <v>45820</v>
      </c>
      <c r="C768" s="1" t="n">
        <v>46163</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c r="A769" t="inlineStr">
        <is>
          <t>A 29085-2025</t>
        </is>
      </c>
      <c r="B769" s="1" t="n">
        <v>45821</v>
      </c>
      <c r="C769" s="1" t="n">
        <v>46163</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2026-05-21T10:50:40Z</dcterms:created>
  <dcterms:modified xmlns:dcterms="http://purl.org/dc/terms/" xmlns:xsi="http://www.w3.org/2001/XMLSchema-instance" xsi:type="dcterms:W3CDTF">2026-05-21T10:50:41Z</dcterms:modified>
</cp:coreProperties>
</file>