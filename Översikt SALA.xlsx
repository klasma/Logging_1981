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46188</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46188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46188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46188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46188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26370-2026</t>
        </is>
      </c>
      <c r="B8" s="1" t="n">
        <v>46182.99162037037</v>
      </c>
      <c r="C8" s="1" t="n">
        <v>46188</v>
      </c>
      <c r="D8" t="inlineStr">
        <is>
          <t>VÄSTMANLANDS LÄN</t>
        </is>
      </c>
      <c r="E8" t="inlineStr">
        <is>
          <t>SALA</t>
        </is>
      </c>
      <c r="G8" t="n">
        <v>1.7</v>
      </c>
      <c r="H8" t="n">
        <v>1</v>
      </c>
      <c r="I8" t="n">
        <v>4</v>
      </c>
      <c r="J8" t="n">
        <v>1</v>
      </c>
      <c r="K8" t="n">
        <v>1</v>
      </c>
      <c r="L8" t="n">
        <v>0</v>
      </c>
      <c r="M8" t="n">
        <v>0</v>
      </c>
      <c r="N8" t="n">
        <v>0</v>
      </c>
      <c r="O8" t="n">
        <v>2</v>
      </c>
      <c r="P8" t="n">
        <v>1</v>
      </c>
      <c r="Q8" t="n">
        <v>7</v>
      </c>
      <c r="R8" s="2" t="inlineStr">
        <is>
          <t>Porslinsblå spindling
Orange taggsvamp
Dropptaggsvamp
Flagellkvastmossa
Olivspindling
Skarp dropptaggsvamp
Blåsippa</t>
        </is>
      </c>
      <c r="S8">
        <f>HYPERLINK("https://klasma.github.io/Logging_1981/artfynd/A 26370-2026 artfynd.xlsx", "A 26370-2026")</f>
        <v/>
      </c>
      <c r="T8">
        <f>HYPERLINK("https://klasma.github.io/Logging_1981/kartor/A 26370-2026 karta.png", "A 26370-2026")</f>
        <v/>
      </c>
      <c r="V8">
        <f>HYPERLINK("https://klasma.github.io/Logging_1981/klagomål/A 26370-2026 FSC-klagomål.docx", "A 26370-2026")</f>
        <v/>
      </c>
      <c r="W8">
        <f>HYPERLINK("https://klasma.github.io/Logging_1981/klagomålsmail/A 26370-2026 FSC-klagomål mail.docx", "A 26370-2026")</f>
        <v/>
      </c>
      <c r="X8">
        <f>HYPERLINK("https://klasma.github.io/Logging_1981/tillsyn/A 26370-2026 tillsynsbegäran.docx", "A 26370-2026")</f>
        <v/>
      </c>
      <c r="Y8">
        <f>HYPERLINK("https://klasma.github.io/Logging_1981/tillsynsmail/A 26370-2026 tillsynsbegäran mail.docx", "A 26370-2026")</f>
        <v/>
      </c>
    </row>
    <row r="9" ht="15" customHeight="1">
      <c r="A9" t="inlineStr">
        <is>
          <t>A 45441-2024</t>
        </is>
      </c>
      <c r="B9" s="1" t="n">
        <v>45576</v>
      </c>
      <c r="C9" s="1" t="n">
        <v>46188</v>
      </c>
      <c r="D9" t="inlineStr">
        <is>
          <t>VÄSTMANLANDS LÄN</t>
        </is>
      </c>
      <c r="E9" t="inlineStr">
        <is>
          <t>SALA</t>
        </is>
      </c>
      <c r="G9" t="n">
        <v>3.4</v>
      </c>
      <c r="H9" t="n">
        <v>0</v>
      </c>
      <c r="I9" t="n">
        <v>2</v>
      </c>
      <c r="J9" t="n">
        <v>4</v>
      </c>
      <c r="K9" t="n">
        <v>0</v>
      </c>
      <c r="L9" t="n">
        <v>0</v>
      </c>
      <c r="M9" t="n">
        <v>0</v>
      </c>
      <c r="N9" t="n">
        <v>0</v>
      </c>
      <c r="O9" t="n">
        <v>4</v>
      </c>
      <c r="P9" t="n">
        <v>0</v>
      </c>
      <c r="Q9" t="n">
        <v>6</v>
      </c>
      <c r="R9" s="2" t="inlineStr">
        <is>
          <t>Garnlav
Kötticka
Tallticka
Ullticka
Bronshjon
Vedticka</t>
        </is>
      </c>
      <c r="S9">
        <f>HYPERLINK("https://klasma.github.io/Logging_1981/artfynd/A 45441-2024 artfynd.xlsx", "A 45441-2024")</f>
        <v/>
      </c>
      <c r="T9">
        <f>HYPERLINK("https://klasma.github.io/Logging_1981/kartor/A 45441-2024 karta.png", "A 45441-2024")</f>
        <v/>
      </c>
      <c r="V9">
        <f>HYPERLINK("https://klasma.github.io/Logging_1981/klagomål/A 45441-2024 FSC-klagomål.docx", "A 45441-2024")</f>
        <v/>
      </c>
      <c r="W9">
        <f>HYPERLINK("https://klasma.github.io/Logging_1981/klagomålsmail/A 45441-2024 FSC-klagomål mail.docx", "A 45441-2024")</f>
        <v/>
      </c>
      <c r="X9">
        <f>HYPERLINK("https://klasma.github.io/Logging_1981/tillsyn/A 45441-2024 tillsynsbegäran.docx", "A 45441-2024")</f>
        <v/>
      </c>
      <c r="Y9">
        <f>HYPERLINK("https://klasma.github.io/Logging_1981/tillsynsmail/A 45441-2024 tillsynsbegäran mail.docx", "A 45441-2024")</f>
        <v/>
      </c>
    </row>
    <row r="10" ht="15" customHeight="1">
      <c r="A10" t="inlineStr">
        <is>
          <t>A 7643-2026</t>
        </is>
      </c>
      <c r="B10" s="1" t="n">
        <v>46062.37700231482</v>
      </c>
      <c r="C10" s="1" t="n">
        <v>46188</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46188</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3566-2024</t>
        </is>
      </c>
      <c r="B12" s="1" t="n">
        <v>45320.63596064815</v>
      </c>
      <c r="C12" s="1" t="n">
        <v>46188</v>
      </c>
      <c r="D12" t="inlineStr">
        <is>
          <t>VÄSTMANLANDS LÄN</t>
        </is>
      </c>
      <c r="E12" t="inlineStr">
        <is>
          <t>SALA</t>
        </is>
      </c>
      <c r="F12" t="inlineStr">
        <is>
          <t>Kommuner</t>
        </is>
      </c>
      <c r="G12" t="n">
        <v>4.3</v>
      </c>
      <c r="H12" t="n">
        <v>3</v>
      </c>
      <c r="I12" t="n">
        <v>1</v>
      </c>
      <c r="J12" t="n">
        <v>0</v>
      </c>
      <c r="K12" t="n">
        <v>2</v>
      </c>
      <c r="L12" t="n">
        <v>0</v>
      </c>
      <c r="M12" t="n">
        <v>0</v>
      </c>
      <c r="N12" t="n">
        <v>0</v>
      </c>
      <c r="O12" t="n">
        <v>2</v>
      </c>
      <c r="P12" t="n">
        <v>2</v>
      </c>
      <c r="Q12" t="n">
        <v>5</v>
      </c>
      <c r="R12" s="2" t="inlineStr">
        <is>
          <t>Knärot
Vågticka
Vedticka
Fläcknycklar
Mattlummer</t>
        </is>
      </c>
      <c r="S12">
        <f>HYPERLINK("https://klasma.github.io/Logging_1981/artfynd/A 3566-2024 artfynd.xlsx", "A 3566-2024")</f>
        <v/>
      </c>
      <c r="T12">
        <f>HYPERLINK("https://klasma.github.io/Logging_1981/kartor/A 3566-2024 karta.png", "A 3566-2024")</f>
        <v/>
      </c>
      <c r="U12">
        <f>HYPERLINK("https://klasma.github.io/Logging_1981/knärot/A 3566-2024 karta knärot.png", "A 3566-2024")</f>
        <v/>
      </c>
      <c r="V12">
        <f>HYPERLINK("https://klasma.github.io/Logging_1981/klagomål/A 3566-2024 FSC-klagomål.docx", "A 3566-2024")</f>
        <v/>
      </c>
      <c r="W12">
        <f>HYPERLINK("https://klasma.github.io/Logging_1981/klagomålsmail/A 3566-2024 FSC-klagomål mail.docx", "A 3566-2024")</f>
        <v/>
      </c>
      <c r="X12">
        <f>HYPERLINK("https://klasma.github.io/Logging_1981/tillsyn/A 3566-2024 tillsynsbegäran.docx", "A 3566-2024")</f>
        <v/>
      </c>
      <c r="Y12">
        <f>HYPERLINK("https://klasma.github.io/Logging_1981/tillsynsmail/A 3566-2024 tillsynsbegäran mail.docx", "A 3566-2024")</f>
        <v/>
      </c>
    </row>
    <row r="13" ht="15" customHeight="1">
      <c r="A13" t="inlineStr">
        <is>
          <t>A 34752-2023</t>
        </is>
      </c>
      <c r="B13" s="1" t="n">
        <v>45141</v>
      </c>
      <c r="C13" s="1" t="n">
        <v>46188</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10344-2025</t>
        </is>
      </c>
      <c r="B14" s="1" t="n">
        <v>45720</v>
      </c>
      <c r="C14" s="1" t="n">
        <v>46188</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46188</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27488-2023</t>
        </is>
      </c>
      <c r="B16" s="1" t="n">
        <v>45097</v>
      </c>
      <c r="C16" s="1" t="n">
        <v>46188</v>
      </c>
      <c r="D16" t="inlineStr">
        <is>
          <t>VÄSTMANLANDS LÄN</t>
        </is>
      </c>
      <c r="E16" t="inlineStr">
        <is>
          <t>SALA</t>
        </is>
      </c>
      <c r="G16" t="n">
        <v>9.300000000000001</v>
      </c>
      <c r="H16" t="n">
        <v>1</v>
      </c>
      <c r="I16" t="n">
        <v>3</v>
      </c>
      <c r="J16" t="n">
        <v>1</v>
      </c>
      <c r="K16" t="n">
        <v>0</v>
      </c>
      <c r="L16" t="n">
        <v>0</v>
      </c>
      <c r="M16" t="n">
        <v>0</v>
      </c>
      <c r="N16" t="n">
        <v>0</v>
      </c>
      <c r="O16" t="n">
        <v>1</v>
      </c>
      <c r="P16" t="n">
        <v>0</v>
      </c>
      <c r="Q16" t="n">
        <v>4</v>
      </c>
      <c r="R16" s="2" t="inlineStr">
        <is>
          <t>Motaggsvamp
Dropptaggsvamp
Plattlummer
Tallfingersvamp</t>
        </is>
      </c>
      <c r="S16">
        <f>HYPERLINK("https://klasma.github.io/Logging_1981/artfynd/A 27488-2023 artfynd.xlsx", "A 27488-2023")</f>
        <v/>
      </c>
      <c r="T16">
        <f>HYPERLINK("https://klasma.github.io/Logging_1981/kartor/A 27488-2023 karta.png", "A 27488-2023")</f>
        <v/>
      </c>
      <c r="V16">
        <f>HYPERLINK("https://klasma.github.io/Logging_1981/klagomål/A 27488-2023 FSC-klagomål.docx", "A 27488-2023")</f>
        <v/>
      </c>
      <c r="W16">
        <f>HYPERLINK("https://klasma.github.io/Logging_1981/klagomålsmail/A 27488-2023 FSC-klagomål mail.docx", "A 27488-2023")</f>
        <v/>
      </c>
      <c r="X16">
        <f>HYPERLINK("https://klasma.github.io/Logging_1981/tillsyn/A 27488-2023 tillsynsbegäran.docx", "A 27488-2023")</f>
        <v/>
      </c>
      <c r="Y16">
        <f>HYPERLINK("https://klasma.github.io/Logging_1981/tillsynsmail/A 27488-2023 tillsynsbegäran mail.docx", "A 27488-2023")</f>
        <v/>
      </c>
    </row>
    <row r="17" ht="15" customHeight="1">
      <c r="A17" t="inlineStr">
        <is>
          <t>A 40493-2024</t>
        </is>
      </c>
      <c r="B17" s="1" t="n">
        <v>45555</v>
      </c>
      <c r="C17" s="1" t="n">
        <v>46188</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34065-2025</t>
        </is>
      </c>
      <c r="B18" s="1" t="n">
        <v>45845.42806712963</v>
      </c>
      <c r="C18" s="1" t="n">
        <v>46188</v>
      </c>
      <c r="D18" t="inlineStr">
        <is>
          <t>VÄSTMANLANDS LÄN</t>
        </is>
      </c>
      <c r="E18" t="inlineStr">
        <is>
          <t>SALA</t>
        </is>
      </c>
      <c r="G18" t="n">
        <v>3</v>
      </c>
      <c r="H18" t="n">
        <v>0</v>
      </c>
      <c r="I18" t="n">
        <v>1</v>
      </c>
      <c r="J18" t="n">
        <v>2</v>
      </c>
      <c r="K18" t="n">
        <v>0</v>
      </c>
      <c r="L18" t="n">
        <v>0</v>
      </c>
      <c r="M18" t="n">
        <v>0</v>
      </c>
      <c r="N18" t="n">
        <v>0</v>
      </c>
      <c r="O18" t="n">
        <v>2</v>
      </c>
      <c r="P18" t="n">
        <v>0</v>
      </c>
      <c r="Q18" t="n">
        <v>3</v>
      </c>
      <c r="R18" s="2" t="inlineStr">
        <is>
          <t>Granticka
Kötticka
Vedticka</t>
        </is>
      </c>
      <c r="S18">
        <f>HYPERLINK("https://klasma.github.io/Logging_1981/artfynd/A 34065-2025 artfynd.xlsx", "A 34065-2025")</f>
        <v/>
      </c>
      <c r="T18">
        <f>HYPERLINK("https://klasma.github.io/Logging_1981/kartor/A 34065-2025 karta.png", "A 34065-2025")</f>
        <v/>
      </c>
      <c r="V18">
        <f>HYPERLINK("https://klasma.github.io/Logging_1981/klagomål/A 34065-2025 FSC-klagomål.docx", "A 34065-2025")</f>
        <v/>
      </c>
      <c r="W18">
        <f>HYPERLINK("https://klasma.github.io/Logging_1981/klagomålsmail/A 34065-2025 FSC-klagomål mail.docx", "A 34065-2025")</f>
        <v/>
      </c>
      <c r="X18">
        <f>HYPERLINK("https://klasma.github.io/Logging_1981/tillsyn/A 34065-2025 tillsynsbegäran.docx", "A 34065-2025")</f>
        <v/>
      </c>
      <c r="Y18">
        <f>HYPERLINK("https://klasma.github.io/Logging_1981/tillsynsmail/A 34065-2025 tillsynsbegäran mail.docx", "A 34065-2025")</f>
        <v/>
      </c>
    </row>
    <row r="19" ht="15" customHeight="1">
      <c r="A19" t="inlineStr">
        <is>
          <t>A 21044-2026</t>
        </is>
      </c>
      <c r="B19" s="1" t="n">
        <v>46146.36681712963</v>
      </c>
      <c r="C19" s="1" t="n">
        <v>46188</v>
      </c>
      <c r="D19" t="inlineStr">
        <is>
          <t>VÄSTMANLANDS LÄN</t>
        </is>
      </c>
      <c r="E19" t="inlineStr">
        <is>
          <t>SALA</t>
        </is>
      </c>
      <c r="G19" t="n">
        <v>41.2</v>
      </c>
      <c r="H19" t="n">
        <v>1</v>
      </c>
      <c r="I19" t="n">
        <v>0</v>
      </c>
      <c r="J19" t="n">
        <v>2</v>
      </c>
      <c r="K19" t="n">
        <v>1</v>
      </c>
      <c r="L19" t="n">
        <v>0</v>
      </c>
      <c r="M19" t="n">
        <v>0</v>
      </c>
      <c r="N19" t="n">
        <v>0</v>
      </c>
      <c r="O19" t="n">
        <v>3</v>
      </c>
      <c r="P19" t="n">
        <v>1</v>
      </c>
      <c r="Q19" t="n">
        <v>3</v>
      </c>
      <c r="R19" s="2" t="inlineStr">
        <is>
          <t>Knärot
Garnlav
Motaggsvamp</t>
        </is>
      </c>
      <c r="S19">
        <f>HYPERLINK("https://klasma.github.io/Logging_1981/artfynd/A 21044-2026 artfynd.xlsx", "A 21044-2026")</f>
        <v/>
      </c>
      <c r="T19">
        <f>HYPERLINK("https://klasma.github.io/Logging_1981/kartor/A 21044-2026 karta.png", "A 21044-2026")</f>
        <v/>
      </c>
      <c r="U19">
        <f>HYPERLINK("https://klasma.github.io/Logging_1981/knärot/A 21044-2026 karta knärot.png", "A 21044-2026")</f>
        <v/>
      </c>
      <c r="V19">
        <f>HYPERLINK("https://klasma.github.io/Logging_1981/klagomål/A 21044-2026 FSC-klagomål.docx", "A 21044-2026")</f>
        <v/>
      </c>
      <c r="W19">
        <f>HYPERLINK("https://klasma.github.io/Logging_1981/klagomålsmail/A 21044-2026 FSC-klagomål mail.docx", "A 21044-2026")</f>
        <v/>
      </c>
      <c r="X19">
        <f>HYPERLINK("https://klasma.github.io/Logging_1981/tillsyn/A 21044-2026 tillsynsbegäran.docx", "A 21044-2026")</f>
        <v/>
      </c>
      <c r="Y19">
        <f>HYPERLINK("https://klasma.github.io/Logging_1981/tillsynsmail/A 21044-2026 tillsynsbegäran mail.docx", "A 21044-2026")</f>
        <v/>
      </c>
    </row>
    <row r="20" ht="15" customHeight="1">
      <c r="A20" t="inlineStr">
        <is>
          <t>A 47475-2024</t>
        </is>
      </c>
      <c r="B20" s="1" t="n">
        <v>45587.57552083334</v>
      </c>
      <c r="C20" s="1" t="n">
        <v>46188</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3567-2024</t>
        </is>
      </c>
      <c r="B21" s="1" t="n">
        <v>45320.63706018519</v>
      </c>
      <c r="C21" s="1" t="n">
        <v>46188</v>
      </c>
      <c r="D21" t="inlineStr">
        <is>
          <t>VÄSTMANLANDS LÄN</t>
        </is>
      </c>
      <c r="E21" t="inlineStr">
        <is>
          <t>SALA</t>
        </is>
      </c>
      <c r="F21" t="inlineStr">
        <is>
          <t>Kommuner</t>
        </is>
      </c>
      <c r="G21" t="n">
        <v>4.1</v>
      </c>
      <c r="H21" t="n">
        <v>1</v>
      </c>
      <c r="I21" t="n">
        <v>2</v>
      </c>
      <c r="J21" t="n">
        <v>0</v>
      </c>
      <c r="K21" t="n">
        <v>1</v>
      </c>
      <c r="L21" t="n">
        <v>0</v>
      </c>
      <c r="M21" t="n">
        <v>0</v>
      </c>
      <c r="N21" t="n">
        <v>0</v>
      </c>
      <c r="O21" t="n">
        <v>1</v>
      </c>
      <c r="P21" t="n">
        <v>1</v>
      </c>
      <c r="Q21" t="n">
        <v>3</v>
      </c>
      <c r="R21" s="2" t="inlineStr">
        <is>
          <t>Knärot
Guldlockmossa
Vedticka</t>
        </is>
      </c>
      <c r="S21">
        <f>HYPERLINK("https://klasma.github.io/Logging_1981/artfynd/A 3567-2024 artfynd.xlsx", "A 3567-2024")</f>
        <v/>
      </c>
      <c r="T21">
        <f>HYPERLINK("https://klasma.github.io/Logging_1981/kartor/A 3567-2024 karta.png", "A 3567-2024")</f>
        <v/>
      </c>
      <c r="U21">
        <f>HYPERLINK("https://klasma.github.io/Logging_1981/knärot/A 3567-2024 karta knärot.png", "A 3567-2024")</f>
        <v/>
      </c>
      <c r="V21">
        <f>HYPERLINK("https://klasma.github.io/Logging_1981/klagomål/A 3567-2024 FSC-klagomål.docx", "A 3567-2024")</f>
        <v/>
      </c>
      <c r="W21">
        <f>HYPERLINK("https://klasma.github.io/Logging_1981/klagomålsmail/A 3567-2024 FSC-klagomål mail.docx", "A 3567-2024")</f>
        <v/>
      </c>
      <c r="X21">
        <f>HYPERLINK("https://klasma.github.io/Logging_1981/tillsyn/A 3567-2024 tillsynsbegäran.docx", "A 3567-2024")</f>
        <v/>
      </c>
      <c r="Y21">
        <f>HYPERLINK("https://klasma.github.io/Logging_1981/tillsynsmail/A 3567-2024 tillsynsbegäran mail.docx", "A 3567-2024")</f>
        <v/>
      </c>
    </row>
    <row r="22" ht="15" customHeight="1">
      <c r="A22" t="inlineStr">
        <is>
          <t>A 3930-2026</t>
        </is>
      </c>
      <c r="B22" s="1" t="n">
        <v>46043</v>
      </c>
      <c r="C22" s="1" t="n">
        <v>46188</v>
      </c>
      <c r="D22" t="inlineStr">
        <is>
          <t>VÄSTMANLANDS LÄN</t>
        </is>
      </c>
      <c r="E22" t="inlineStr">
        <is>
          <t>SALA</t>
        </is>
      </c>
      <c r="G22" t="n">
        <v>17.4</v>
      </c>
      <c r="H22" t="n">
        <v>1</v>
      </c>
      <c r="I22" t="n">
        <v>0</v>
      </c>
      <c r="J22" t="n">
        <v>2</v>
      </c>
      <c r="K22" t="n">
        <v>1</v>
      </c>
      <c r="L22" t="n">
        <v>0</v>
      </c>
      <c r="M22" t="n">
        <v>0</v>
      </c>
      <c r="N22" t="n">
        <v>0</v>
      </c>
      <c r="O22" t="n">
        <v>3</v>
      </c>
      <c r="P22" t="n">
        <v>1</v>
      </c>
      <c r="Q22" t="n">
        <v>3</v>
      </c>
      <c r="R22" s="2" t="inlineStr">
        <is>
          <t>Knärot
Gränsticka
Ullticka</t>
        </is>
      </c>
      <c r="S22">
        <f>HYPERLINK("https://klasma.github.io/Logging_1981/artfynd/A 3930-2026 artfynd.xlsx", "A 3930-2026")</f>
        <v/>
      </c>
      <c r="T22">
        <f>HYPERLINK("https://klasma.github.io/Logging_1981/kartor/A 3930-2026 karta.png", "A 3930-2026")</f>
        <v/>
      </c>
      <c r="U22">
        <f>HYPERLINK("https://klasma.github.io/Logging_1981/knärot/A 3930-2026 karta knärot.png", "A 3930-2026")</f>
        <v/>
      </c>
      <c r="V22">
        <f>HYPERLINK("https://klasma.github.io/Logging_1981/klagomål/A 3930-2026 FSC-klagomål.docx", "A 3930-2026")</f>
        <v/>
      </c>
      <c r="W22">
        <f>HYPERLINK("https://klasma.github.io/Logging_1981/klagomålsmail/A 3930-2026 FSC-klagomål mail.docx", "A 3930-2026")</f>
        <v/>
      </c>
      <c r="X22">
        <f>HYPERLINK("https://klasma.github.io/Logging_1981/tillsyn/A 3930-2026 tillsynsbegäran.docx", "A 3930-2026")</f>
        <v/>
      </c>
      <c r="Y22">
        <f>HYPERLINK("https://klasma.github.io/Logging_1981/tillsynsmail/A 3930-2026 tillsynsbegäran mail.docx", "A 3930-2026")</f>
        <v/>
      </c>
    </row>
    <row r="23" ht="15" customHeight="1">
      <c r="A23" t="inlineStr">
        <is>
          <t>A 4264-2024</t>
        </is>
      </c>
      <c r="B23" s="1" t="n">
        <v>45324</v>
      </c>
      <c r="C23" s="1" t="n">
        <v>46188</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62768-2021</t>
        </is>
      </c>
      <c r="B24" s="1" t="n">
        <v>44504</v>
      </c>
      <c r="C24" s="1" t="n">
        <v>46188</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52909-2022</t>
        </is>
      </c>
      <c r="B25" s="1" t="n">
        <v>44875</v>
      </c>
      <c r="C25" s="1" t="n">
        <v>46188</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46188</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53048-2025</t>
        </is>
      </c>
      <c r="B27" s="1" t="n">
        <v>45958.36018518519</v>
      </c>
      <c r="C27" s="1" t="n">
        <v>46188</v>
      </c>
      <c r="D27" t="inlineStr">
        <is>
          <t>VÄSTMANLANDS LÄN</t>
        </is>
      </c>
      <c r="E27" t="inlineStr">
        <is>
          <t>SALA</t>
        </is>
      </c>
      <c r="F27" t="inlineStr">
        <is>
          <t>Sveaskog</t>
        </is>
      </c>
      <c r="G27" t="n">
        <v>7.5</v>
      </c>
      <c r="H27" t="n">
        <v>1</v>
      </c>
      <c r="I27" t="n">
        <v>1</v>
      </c>
      <c r="J27" t="n">
        <v>1</v>
      </c>
      <c r="K27" t="n">
        <v>0</v>
      </c>
      <c r="L27" t="n">
        <v>0</v>
      </c>
      <c r="M27" t="n">
        <v>0</v>
      </c>
      <c r="N27" t="n">
        <v>0</v>
      </c>
      <c r="O27" t="n">
        <v>1</v>
      </c>
      <c r="P27" t="n">
        <v>0</v>
      </c>
      <c r="Q27" t="n">
        <v>2</v>
      </c>
      <c r="R27" s="2" t="inlineStr">
        <is>
          <t>Motaggsvamp
Plattlummer</t>
        </is>
      </c>
      <c r="S27">
        <f>HYPERLINK("https://klasma.github.io/Logging_1981/artfynd/A 53048-2025 artfynd.xlsx", "A 53048-2025")</f>
        <v/>
      </c>
      <c r="T27">
        <f>HYPERLINK("https://klasma.github.io/Logging_1981/kartor/A 53048-2025 karta.png", "A 53048-2025")</f>
        <v/>
      </c>
      <c r="V27">
        <f>HYPERLINK("https://klasma.github.io/Logging_1981/klagomål/A 53048-2025 FSC-klagomål.docx", "A 53048-2025")</f>
        <v/>
      </c>
      <c r="W27">
        <f>HYPERLINK("https://klasma.github.io/Logging_1981/klagomålsmail/A 53048-2025 FSC-klagomål mail.docx", "A 53048-2025")</f>
        <v/>
      </c>
      <c r="X27">
        <f>HYPERLINK("https://klasma.github.io/Logging_1981/tillsyn/A 53048-2025 tillsynsbegäran.docx", "A 53048-2025")</f>
        <v/>
      </c>
      <c r="Y27">
        <f>HYPERLINK("https://klasma.github.io/Logging_1981/tillsynsmail/A 53048-2025 tillsynsbegäran mail.docx", "A 53048-2025")</f>
        <v/>
      </c>
    </row>
    <row r="28" ht="15" customHeight="1">
      <c r="A28" t="inlineStr">
        <is>
          <t>A 59826-2025</t>
        </is>
      </c>
      <c r="B28" s="1" t="n">
        <v>45992.65416666667</v>
      </c>
      <c r="C28" s="1" t="n">
        <v>46188</v>
      </c>
      <c r="D28" t="inlineStr">
        <is>
          <t>VÄSTMANLANDS LÄN</t>
        </is>
      </c>
      <c r="E28" t="inlineStr">
        <is>
          <t>SALA</t>
        </is>
      </c>
      <c r="G28" t="n">
        <v>2.7</v>
      </c>
      <c r="H28" t="n">
        <v>0</v>
      </c>
      <c r="I28" t="n">
        <v>1</v>
      </c>
      <c r="J28" t="n">
        <v>1</v>
      </c>
      <c r="K28" t="n">
        <v>0</v>
      </c>
      <c r="L28" t="n">
        <v>0</v>
      </c>
      <c r="M28" t="n">
        <v>0</v>
      </c>
      <c r="N28" t="n">
        <v>0</v>
      </c>
      <c r="O28" t="n">
        <v>1</v>
      </c>
      <c r="P28" t="n">
        <v>0</v>
      </c>
      <c r="Q28" t="n">
        <v>2</v>
      </c>
      <c r="R28" s="2" t="inlineStr">
        <is>
          <t>Motaggsvamp
Gullgröppa</t>
        </is>
      </c>
      <c r="S28">
        <f>HYPERLINK("https://klasma.github.io/Logging_1981/artfynd/A 59826-2025 artfynd.xlsx", "A 59826-2025")</f>
        <v/>
      </c>
      <c r="T28">
        <f>HYPERLINK("https://klasma.github.io/Logging_1981/kartor/A 59826-2025 karta.png", "A 59826-2025")</f>
        <v/>
      </c>
      <c r="V28">
        <f>HYPERLINK("https://klasma.github.io/Logging_1981/klagomål/A 59826-2025 FSC-klagomål.docx", "A 59826-2025")</f>
        <v/>
      </c>
      <c r="W28">
        <f>HYPERLINK("https://klasma.github.io/Logging_1981/klagomålsmail/A 59826-2025 FSC-klagomål mail.docx", "A 59826-2025")</f>
        <v/>
      </c>
      <c r="X28">
        <f>HYPERLINK("https://klasma.github.io/Logging_1981/tillsyn/A 59826-2025 tillsynsbegäran.docx", "A 59826-2025")</f>
        <v/>
      </c>
      <c r="Y28">
        <f>HYPERLINK("https://klasma.github.io/Logging_1981/tillsynsmail/A 59826-2025 tillsynsbegäran mail.docx", "A 59826-2025")</f>
        <v/>
      </c>
    </row>
    <row r="29" ht="15" customHeight="1">
      <c r="A29" t="inlineStr">
        <is>
          <t>A 63584-2025</t>
        </is>
      </c>
      <c r="B29" s="1" t="n">
        <v>46013.77002314815</v>
      </c>
      <c r="C29" s="1" t="n">
        <v>46188</v>
      </c>
      <c r="D29" t="inlineStr">
        <is>
          <t>VÄSTMANLANDS LÄN</t>
        </is>
      </c>
      <c r="E29" t="inlineStr">
        <is>
          <t>SALA</t>
        </is>
      </c>
      <c r="G29" t="n">
        <v>7.3</v>
      </c>
      <c r="H29" t="n">
        <v>1</v>
      </c>
      <c r="I29" t="n">
        <v>0</v>
      </c>
      <c r="J29" t="n">
        <v>1</v>
      </c>
      <c r="K29" t="n">
        <v>1</v>
      </c>
      <c r="L29" t="n">
        <v>0</v>
      </c>
      <c r="M29" t="n">
        <v>0</v>
      </c>
      <c r="N29" t="n">
        <v>0</v>
      </c>
      <c r="O29" t="n">
        <v>2</v>
      </c>
      <c r="P29" t="n">
        <v>1</v>
      </c>
      <c r="Q29" t="n">
        <v>2</v>
      </c>
      <c r="R29" s="2" t="inlineStr">
        <is>
          <t>Knärot
Vedtrappmossa</t>
        </is>
      </c>
      <c r="S29">
        <f>HYPERLINK("https://klasma.github.io/Logging_1981/artfynd/A 63584-2025 artfynd.xlsx", "A 63584-2025")</f>
        <v/>
      </c>
      <c r="T29">
        <f>HYPERLINK("https://klasma.github.io/Logging_1981/kartor/A 63584-2025 karta.png", "A 63584-2025")</f>
        <v/>
      </c>
      <c r="U29">
        <f>HYPERLINK("https://klasma.github.io/Logging_1981/knärot/A 63584-2025 karta knärot.png", "A 63584-2025")</f>
        <v/>
      </c>
      <c r="V29">
        <f>HYPERLINK("https://klasma.github.io/Logging_1981/klagomål/A 63584-2025 FSC-klagomål.docx", "A 63584-2025")</f>
        <v/>
      </c>
      <c r="W29">
        <f>HYPERLINK("https://klasma.github.io/Logging_1981/klagomålsmail/A 63584-2025 FSC-klagomål mail.docx", "A 63584-2025")</f>
        <v/>
      </c>
      <c r="X29">
        <f>HYPERLINK("https://klasma.github.io/Logging_1981/tillsyn/A 63584-2025 tillsynsbegäran.docx", "A 63584-2025")</f>
        <v/>
      </c>
      <c r="Y29">
        <f>HYPERLINK("https://klasma.github.io/Logging_1981/tillsynsmail/A 63584-2025 tillsynsbegäran mail.docx", "A 63584-2025")</f>
        <v/>
      </c>
    </row>
    <row r="30" ht="15" customHeight="1">
      <c r="A30" t="inlineStr">
        <is>
          <t>A 13029-2023</t>
        </is>
      </c>
      <c r="B30" s="1" t="n">
        <v>45001</v>
      </c>
      <c r="C30" s="1" t="n">
        <v>46188</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24872-2025</t>
        </is>
      </c>
      <c r="B31" s="1" t="n">
        <v>45799.49038194444</v>
      </c>
      <c r="C31" s="1" t="n">
        <v>46188</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1500-2022</t>
        </is>
      </c>
      <c r="B32" s="1" t="n">
        <v>44573.54357638889</v>
      </c>
      <c r="C32" s="1" t="n">
        <v>46188</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46188</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14485-2026</t>
        </is>
      </c>
      <c r="B34" s="1" t="n">
        <v>46100.59055555556</v>
      </c>
      <c r="C34" s="1" t="n">
        <v>46188</v>
      </c>
      <c r="D34" t="inlineStr">
        <is>
          <t>VÄSTMANLANDS LÄN</t>
        </is>
      </c>
      <c r="E34" t="inlineStr">
        <is>
          <t>SALA</t>
        </is>
      </c>
      <c r="F34" t="inlineStr">
        <is>
          <t>Sveaskog</t>
        </is>
      </c>
      <c r="G34" t="n">
        <v>13.6</v>
      </c>
      <c r="H34" t="n">
        <v>1</v>
      </c>
      <c r="I34" t="n">
        <v>0</v>
      </c>
      <c r="J34" t="n">
        <v>2</v>
      </c>
      <c r="K34" t="n">
        <v>0</v>
      </c>
      <c r="L34" t="n">
        <v>0</v>
      </c>
      <c r="M34" t="n">
        <v>0</v>
      </c>
      <c r="N34" t="n">
        <v>0</v>
      </c>
      <c r="O34" t="n">
        <v>2</v>
      </c>
      <c r="P34" t="n">
        <v>0</v>
      </c>
      <c r="Q34" t="n">
        <v>2</v>
      </c>
      <c r="R34" s="2" t="inlineStr">
        <is>
          <t>Motaggsvamp
Talltita</t>
        </is>
      </c>
      <c r="S34">
        <f>HYPERLINK("https://klasma.github.io/Logging_1981/artfynd/A 14485-2026 artfynd.xlsx", "A 14485-2026")</f>
        <v/>
      </c>
      <c r="T34">
        <f>HYPERLINK("https://klasma.github.io/Logging_1981/kartor/A 14485-2026 karta.png", "A 14485-2026")</f>
        <v/>
      </c>
      <c r="V34">
        <f>HYPERLINK("https://klasma.github.io/Logging_1981/klagomål/A 14485-2026 FSC-klagomål.docx", "A 14485-2026")</f>
        <v/>
      </c>
      <c r="W34">
        <f>HYPERLINK("https://klasma.github.io/Logging_1981/klagomålsmail/A 14485-2026 FSC-klagomål mail.docx", "A 14485-2026")</f>
        <v/>
      </c>
      <c r="X34">
        <f>HYPERLINK("https://klasma.github.io/Logging_1981/tillsyn/A 14485-2026 tillsynsbegäran.docx", "A 14485-2026")</f>
        <v/>
      </c>
      <c r="Y34">
        <f>HYPERLINK("https://klasma.github.io/Logging_1981/tillsynsmail/A 14485-2026 tillsynsbegäran mail.docx", "A 14485-2026")</f>
        <v/>
      </c>
      <c r="Z34">
        <f>HYPERLINK("https://klasma.github.io/Logging_1981/fåglar/A 14485-2026 prioriterade fågelarter.docx", "A 14485-2026")</f>
        <v/>
      </c>
    </row>
    <row r="35" ht="15" customHeight="1">
      <c r="A35" t="inlineStr">
        <is>
          <t>A 11846-2024</t>
        </is>
      </c>
      <c r="B35" s="1" t="n">
        <v>45376.4047337963</v>
      </c>
      <c r="C35" s="1" t="n">
        <v>46188</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12444-2024</t>
        </is>
      </c>
      <c r="B36" s="1" t="n">
        <v>45379.46285879629</v>
      </c>
      <c r="C36" s="1" t="n">
        <v>46188</v>
      </c>
      <c r="D36" t="inlineStr">
        <is>
          <t>VÄSTMANLANDS LÄN</t>
        </is>
      </c>
      <c r="E36" t="inlineStr">
        <is>
          <t>SALA</t>
        </is>
      </c>
      <c r="G36" t="n">
        <v>5.5</v>
      </c>
      <c r="H36" t="n">
        <v>0</v>
      </c>
      <c r="I36" t="n">
        <v>1</v>
      </c>
      <c r="J36" t="n">
        <v>1</v>
      </c>
      <c r="K36" t="n">
        <v>0</v>
      </c>
      <c r="L36" t="n">
        <v>0</v>
      </c>
      <c r="M36" t="n">
        <v>0</v>
      </c>
      <c r="N36" t="n">
        <v>0</v>
      </c>
      <c r="O36" t="n">
        <v>1</v>
      </c>
      <c r="P36" t="n">
        <v>0</v>
      </c>
      <c r="Q36" t="n">
        <v>2</v>
      </c>
      <c r="R36" s="2" t="inlineStr">
        <is>
          <t>Ullticka
Stuplav</t>
        </is>
      </c>
      <c r="S36">
        <f>HYPERLINK("https://klasma.github.io/Logging_1981/artfynd/A 12444-2024 artfynd.xlsx", "A 12444-2024")</f>
        <v/>
      </c>
      <c r="T36">
        <f>HYPERLINK("https://klasma.github.io/Logging_1981/kartor/A 12444-2024 karta.png", "A 12444-2024")</f>
        <v/>
      </c>
      <c r="U36">
        <f>HYPERLINK("https://klasma.github.io/Logging_1981/knärot/A 12444-2024 karta knärot.png", "A 12444-2024")</f>
        <v/>
      </c>
      <c r="V36">
        <f>HYPERLINK("https://klasma.github.io/Logging_1981/klagomål/A 12444-2024 FSC-klagomål.docx", "A 12444-2024")</f>
        <v/>
      </c>
      <c r="W36">
        <f>HYPERLINK("https://klasma.github.io/Logging_1981/klagomålsmail/A 12444-2024 FSC-klagomål mail.docx", "A 12444-2024")</f>
        <v/>
      </c>
      <c r="X36">
        <f>HYPERLINK("https://klasma.github.io/Logging_1981/tillsyn/A 12444-2024 tillsynsbegäran.docx", "A 12444-2024")</f>
        <v/>
      </c>
      <c r="Y36">
        <f>HYPERLINK("https://klasma.github.io/Logging_1981/tillsynsmail/A 12444-2024 tillsynsbegäran mail.docx", "A 12444-2024")</f>
        <v/>
      </c>
    </row>
    <row r="37" ht="15" customHeight="1">
      <c r="A37" t="inlineStr">
        <is>
          <t>A 44970-2021</t>
        </is>
      </c>
      <c r="B37" s="1" t="n">
        <v>44438.74399305556</v>
      </c>
      <c r="C37" s="1" t="n">
        <v>46188</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46188</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48705-2025</t>
        </is>
      </c>
      <c r="B39" s="1" t="n">
        <v>45936.62290509259</v>
      </c>
      <c r="C39" s="1" t="n">
        <v>46188</v>
      </c>
      <c r="D39" t="inlineStr">
        <is>
          <t>VÄSTMANLANDS LÄN</t>
        </is>
      </c>
      <c r="E39" t="inlineStr">
        <is>
          <t>SALA</t>
        </is>
      </c>
      <c r="G39" t="n">
        <v>4.4</v>
      </c>
      <c r="H39" t="n">
        <v>1</v>
      </c>
      <c r="I39" t="n">
        <v>1</v>
      </c>
      <c r="J39" t="n">
        <v>0</v>
      </c>
      <c r="K39" t="n">
        <v>0</v>
      </c>
      <c r="L39" t="n">
        <v>0</v>
      </c>
      <c r="M39" t="n">
        <v>0</v>
      </c>
      <c r="N39" t="n">
        <v>0</v>
      </c>
      <c r="O39" t="n">
        <v>0</v>
      </c>
      <c r="P39" t="n">
        <v>0</v>
      </c>
      <c r="Q39" t="n">
        <v>1</v>
      </c>
      <c r="R39" s="2" t="inlineStr">
        <is>
          <t>Plattlummer</t>
        </is>
      </c>
      <c r="S39">
        <f>HYPERLINK("https://klasma.github.io/Logging_1981/artfynd/A 48705-2025 artfynd.xlsx", "A 48705-2025")</f>
        <v/>
      </c>
      <c r="T39">
        <f>HYPERLINK("https://klasma.github.io/Logging_1981/kartor/A 48705-2025 karta.png", "A 48705-2025")</f>
        <v/>
      </c>
      <c r="V39">
        <f>HYPERLINK("https://klasma.github.io/Logging_1981/klagomål/A 48705-2025 FSC-klagomål.docx", "A 48705-2025")</f>
        <v/>
      </c>
      <c r="W39">
        <f>HYPERLINK("https://klasma.github.io/Logging_1981/klagomålsmail/A 48705-2025 FSC-klagomål mail.docx", "A 48705-2025")</f>
        <v/>
      </c>
      <c r="X39">
        <f>HYPERLINK("https://klasma.github.io/Logging_1981/tillsyn/A 48705-2025 tillsynsbegäran.docx", "A 48705-2025")</f>
        <v/>
      </c>
      <c r="Y39">
        <f>HYPERLINK("https://klasma.github.io/Logging_1981/tillsynsmail/A 48705-2025 tillsynsbegäran mail.docx", "A 48705-2025")</f>
        <v/>
      </c>
    </row>
    <row r="40" ht="15" customHeight="1">
      <c r="A40" t="inlineStr">
        <is>
          <t>A 50268-2025</t>
        </is>
      </c>
      <c r="B40" s="1" t="n">
        <v>45944.35162037037</v>
      </c>
      <c r="C40" s="1" t="n">
        <v>46188</v>
      </c>
      <c r="D40" t="inlineStr">
        <is>
          <t>VÄSTMANLANDS LÄN</t>
        </is>
      </c>
      <c r="E40" t="inlineStr">
        <is>
          <t>SALA</t>
        </is>
      </c>
      <c r="G40" t="n">
        <v>0.7</v>
      </c>
      <c r="H40" t="n">
        <v>1</v>
      </c>
      <c r="I40" t="n">
        <v>0</v>
      </c>
      <c r="J40" t="n">
        <v>0</v>
      </c>
      <c r="K40" t="n">
        <v>0</v>
      </c>
      <c r="L40" t="n">
        <v>0</v>
      </c>
      <c r="M40" t="n">
        <v>0</v>
      </c>
      <c r="N40" t="n">
        <v>0</v>
      </c>
      <c r="O40" t="n">
        <v>0</v>
      </c>
      <c r="P40" t="n">
        <v>0</v>
      </c>
      <c r="Q40" t="n">
        <v>1</v>
      </c>
      <c r="R40" s="2" t="inlineStr">
        <is>
          <t>Fläcknycklar</t>
        </is>
      </c>
      <c r="S40">
        <f>HYPERLINK("https://klasma.github.io/Logging_1981/artfynd/A 50268-2025 artfynd.xlsx", "A 50268-2025")</f>
        <v/>
      </c>
      <c r="T40">
        <f>HYPERLINK("https://klasma.github.io/Logging_1981/kartor/A 50268-2025 karta.png", "A 50268-2025")</f>
        <v/>
      </c>
      <c r="V40">
        <f>HYPERLINK("https://klasma.github.io/Logging_1981/klagomål/A 50268-2025 FSC-klagomål.docx", "A 50268-2025")</f>
        <v/>
      </c>
      <c r="W40">
        <f>HYPERLINK("https://klasma.github.io/Logging_1981/klagomålsmail/A 50268-2025 FSC-klagomål mail.docx", "A 50268-2025")</f>
        <v/>
      </c>
      <c r="X40">
        <f>HYPERLINK("https://klasma.github.io/Logging_1981/tillsyn/A 50268-2025 tillsynsbegäran.docx", "A 50268-2025")</f>
        <v/>
      </c>
      <c r="Y40">
        <f>HYPERLINK("https://klasma.github.io/Logging_1981/tillsynsmail/A 50268-2025 tillsynsbegäran mail.docx", "A 50268-2025")</f>
        <v/>
      </c>
    </row>
    <row r="41" ht="15" customHeight="1">
      <c r="A41" t="inlineStr">
        <is>
          <t>A 53052-2025</t>
        </is>
      </c>
      <c r="B41" s="1" t="n">
        <v>45958.36266203703</v>
      </c>
      <c r="C41" s="1" t="n">
        <v>46188</v>
      </c>
      <c r="D41" t="inlineStr">
        <is>
          <t>VÄSTMANLANDS LÄN</t>
        </is>
      </c>
      <c r="E41" t="inlineStr">
        <is>
          <t>SALA</t>
        </is>
      </c>
      <c r="F41" t="inlineStr">
        <is>
          <t>Sveaskog</t>
        </is>
      </c>
      <c r="G41" t="n">
        <v>1.1</v>
      </c>
      <c r="H41" t="n">
        <v>0</v>
      </c>
      <c r="I41" t="n">
        <v>0</v>
      </c>
      <c r="J41" t="n">
        <v>1</v>
      </c>
      <c r="K41" t="n">
        <v>0</v>
      </c>
      <c r="L41" t="n">
        <v>0</v>
      </c>
      <c r="M41" t="n">
        <v>0</v>
      </c>
      <c r="N41" t="n">
        <v>0</v>
      </c>
      <c r="O41" t="n">
        <v>1</v>
      </c>
      <c r="P41" t="n">
        <v>0</v>
      </c>
      <c r="Q41" t="n">
        <v>1</v>
      </c>
      <c r="R41" s="2" t="inlineStr">
        <is>
          <t>Motaggsvamp</t>
        </is>
      </c>
      <c r="S41">
        <f>HYPERLINK("https://klasma.github.io/Logging_1981/artfynd/A 53052-2025 artfynd.xlsx", "A 53052-2025")</f>
        <v/>
      </c>
      <c r="T41">
        <f>HYPERLINK("https://klasma.github.io/Logging_1981/kartor/A 53052-2025 karta.png", "A 53052-2025")</f>
        <v/>
      </c>
      <c r="V41">
        <f>HYPERLINK("https://klasma.github.io/Logging_1981/klagomål/A 53052-2025 FSC-klagomål.docx", "A 53052-2025")</f>
        <v/>
      </c>
      <c r="W41">
        <f>HYPERLINK("https://klasma.github.io/Logging_1981/klagomålsmail/A 53052-2025 FSC-klagomål mail.docx", "A 53052-2025")</f>
        <v/>
      </c>
      <c r="X41">
        <f>HYPERLINK("https://klasma.github.io/Logging_1981/tillsyn/A 53052-2025 tillsynsbegäran.docx", "A 53052-2025")</f>
        <v/>
      </c>
      <c r="Y41">
        <f>HYPERLINK("https://klasma.github.io/Logging_1981/tillsynsmail/A 53052-2025 tillsynsbegäran mail.docx", "A 53052-2025")</f>
        <v/>
      </c>
    </row>
    <row r="42" ht="15" customHeight="1">
      <c r="A42" t="inlineStr">
        <is>
          <t>A 37166-2024</t>
        </is>
      </c>
      <c r="B42" s="1" t="n">
        <v>45539</v>
      </c>
      <c r="C42" s="1" t="n">
        <v>46188</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46188</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14775-2023</t>
        </is>
      </c>
      <c r="B44" s="1" t="n">
        <v>45014</v>
      </c>
      <c r="C44" s="1" t="n">
        <v>46188</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14775-2023 artfynd.xlsx", "A 14775-2023")</f>
        <v/>
      </c>
      <c r="T44">
        <f>HYPERLINK("https://klasma.github.io/Logging_1981/kartor/A 14775-2023 karta.png", "A 14775-2023")</f>
        <v/>
      </c>
      <c r="U44">
        <f>HYPERLINK("https://klasma.github.io/Logging_1981/knärot/A 14775-2023 karta knärot.png", "A 14775-2023")</f>
        <v/>
      </c>
      <c r="V44">
        <f>HYPERLINK("https://klasma.github.io/Logging_1981/klagomål/A 14775-2023 FSC-klagomål.docx", "A 14775-2023")</f>
        <v/>
      </c>
      <c r="W44">
        <f>HYPERLINK("https://klasma.github.io/Logging_1981/klagomålsmail/A 14775-2023 FSC-klagomål mail.docx", "A 14775-2023")</f>
        <v/>
      </c>
      <c r="X44">
        <f>HYPERLINK("https://klasma.github.io/Logging_1981/tillsyn/A 14775-2023 tillsynsbegäran.docx", "A 14775-2023")</f>
        <v/>
      </c>
      <c r="Y44">
        <f>HYPERLINK("https://klasma.github.io/Logging_1981/tillsynsmail/A 14775-2023 tillsynsbegäran mail.docx", "A 14775-2023")</f>
        <v/>
      </c>
    </row>
    <row r="45" ht="15" customHeight="1">
      <c r="A45" t="inlineStr">
        <is>
          <t>A 7672-2026</t>
        </is>
      </c>
      <c r="B45" s="1" t="n">
        <v>46062.42077546296</v>
      </c>
      <c r="C45" s="1" t="n">
        <v>46188</v>
      </c>
      <c r="D45" t="inlineStr">
        <is>
          <t>VÄSTMANLANDS LÄN</t>
        </is>
      </c>
      <c r="E45" t="inlineStr">
        <is>
          <t>SALA</t>
        </is>
      </c>
      <c r="G45" t="n">
        <v>2.9</v>
      </c>
      <c r="H45" t="n">
        <v>1</v>
      </c>
      <c r="I45" t="n">
        <v>0</v>
      </c>
      <c r="J45" t="n">
        <v>0</v>
      </c>
      <c r="K45" t="n">
        <v>0</v>
      </c>
      <c r="L45" t="n">
        <v>0</v>
      </c>
      <c r="M45" t="n">
        <v>0</v>
      </c>
      <c r="N45" t="n">
        <v>0</v>
      </c>
      <c r="O45" t="n">
        <v>0</v>
      </c>
      <c r="P45" t="n">
        <v>0</v>
      </c>
      <c r="Q45" t="n">
        <v>1</v>
      </c>
      <c r="R45" s="2" t="inlineStr">
        <is>
          <t>Nattviol</t>
        </is>
      </c>
      <c r="S45">
        <f>HYPERLINK("https://klasma.github.io/Logging_1981/artfynd/A 7672-2026 artfynd.xlsx", "A 7672-2026")</f>
        <v/>
      </c>
      <c r="T45">
        <f>HYPERLINK("https://klasma.github.io/Logging_1981/kartor/A 7672-2026 karta.png", "A 7672-2026")</f>
        <v/>
      </c>
      <c r="V45">
        <f>HYPERLINK("https://klasma.github.io/Logging_1981/klagomål/A 7672-2026 FSC-klagomål.docx", "A 7672-2026")</f>
        <v/>
      </c>
      <c r="W45">
        <f>HYPERLINK("https://klasma.github.io/Logging_1981/klagomålsmail/A 7672-2026 FSC-klagomål mail.docx", "A 7672-2026")</f>
        <v/>
      </c>
      <c r="X45">
        <f>HYPERLINK("https://klasma.github.io/Logging_1981/tillsyn/A 7672-2026 tillsynsbegäran.docx", "A 7672-2026")</f>
        <v/>
      </c>
      <c r="Y45">
        <f>HYPERLINK("https://klasma.github.io/Logging_1981/tillsynsmail/A 7672-2026 tillsynsbegäran mail.docx", "A 7672-2026")</f>
        <v/>
      </c>
    </row>
    <row r="46" ht="15" customHeight="1">
      <c r="A46" t="inlineStr">
        <is>
          <t>A 22350-2024</t>
        </is>
      </c>
      <c r="B46" s="1" t="n">
        <v>45446</v>
      </c>
      <c r="C46" s="1" t="n">
        <v>46188</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41570-2021</t>
        </is>
      </c>
      <c r="B47" s="1" t="n">
        <v>44425</v>
      </c>
      <c r="C47" s="1" t="n">
        <v>46188</v>
      </c>
      <c r="D47" t="inlineStr">
        <is>
          <t>VÄSTMANLANDS LÄN</t>
        </is>
      </c>
      <c r="E47" t="inlineStr">
        <is>
          <t>SALA</t>
        </is>
      </c>
      <c r="G47" t="n">
        <v>1.4</v>
      </c>
      <c r="H47" t="n">
        <v>0</v>
      </c>
      <c r="I47" t="n">
        <v>0</v>
      </c>
      <c r="J47" t="n">
        <v>1</v>
      </c>
      <c r="K47" t="n">
        <v>0</v>
      </c>
      <c r="L47" t="n">
        <v>0</v>
      </c>
      <c r="M47" t="n">
        <v>0</v>
      </c>
      <c r="N47" t="n">
        <v>0</v>
      </c>
      <c r="O47" t="n">
        <v>1</v>
      </c>
      <c r="P47" t="n">
        <v>0</v>
      </c>
      <c r="Q47" t="n">
        <v>1</v>
      </c>
      <c r="R47" s="2" t="inlineStr">
        <is>
          <t>Vedtrappmossa</t>
        </is>
      </c>
      <c r="S47">
        <f>HYPERLINK("https://klasma.github.io/Logging_1981/artfynd/A 41570-2021 artfynd.xlsx", "A 41570-2021")</f>
        <v/>
      </c>
      <c r="T47">
        <f>HYPERLINK("https://klasma.github.io/Logging_1981/kartor/A 41570-2021 karta.png", "A 41570-2021")</f>
        <v/>
      </c>
      <c r="V47">
        <f>HYPERLINK("https://klasma.github.io/Logging_1981/klagomål/A 41570-2021 FSC-klagomål.docx", "A 41570-2021")</f>
        <v/>
      </c>
      <c r="W47">
        <f>HYPERLINK("https://klasma.github.io/Logging_1981/klagomålsmail/A 41570-2021 FSC-klagomål mail.docx", "A 41570-2021")</f>
        <v/>
      </c>
      <c r="X47">
        <f>HYPERLINK("https://klasma.github.io/Logging_1981/tillsyn/A 41570-2021 tillsynsbegäran.docx", "A 41570-2021")</f>
        <v/>
      </c>
      <c r="Y47">
        <f>HYPERLINK("https://klasma.github.io/Logging_1981/tillsynsmail/A 41570-2021 tillsynsbegäran mail.docx", "A 41570-2021")</f>
        <v/>
      </c>
    </row>
    <row r="48" ht="15" customHeight="1">
      <c r="A48" t="inlineStr">
        <is>
          <t>A 14488-2026</t>
        </is>
      </c>
      <c r="B48" s="1" t="n">
        <v>46100.59216435185</v>
      </c>
      <c r="C48" s="1" t="n">
        <v>46188</v>
      </c>
      <c r="D48" t="inlineStr">
        <is>
          <t>VÄSTMANLANDS LÄN</t>
        </is>
      </c>
      <c r="E48" t="inlineStr">
        <is>
          <t>SALA</t>
        </is>
      </c>
      <c r="F48" t="inlineStr">
        <is>
          <t>Sveaskog</t>
        </is>
      </c>
      <c r="G48" t="n">
        <v>1.5</v>
      </c>
      <c r="H48" t="n">
        <v>1</v>
      </c>
      <c r="I48" t="n">
        <v>0</v>
      </c>
      <c r="J48" t="n">
        <v>0</v>
      </c>
      <c r="K48" t="n">
        <v>0</v>
      </c>
      <c r="L48" t="n">
        <v>0</v>
      </c>
      <c r="M48" t="n">
        <v>0</v>
      </c>
      <c r="N48" t="n">
        <v>0</v>
      </c>
      <c r="O48" t="n">
        <v>0</v>
      </c>
      <c r="P48" t="n">
        <v>0</v>
      </c>
      <c r="Q48" t="n">
        <v>1</v>
      </c>
      <c r="R48" s="2" t="inlineStr">
        <is>
          <t>Mattlummer</t>
        </is>
      </c>
      <c r="S48">
        <f>HYPERLINK("https://klasma.github.io/Logging_1981/artfynd/A 14488-2026 artfynd.xlsx", "A 14488-2026")</f>
        <v/>
      </c>
      <c r="T48">
        <f>HYPERLINK("https://klasma.github.io/Logging_1981/kartor/A 14488-2026 karta.png", "A 14488-2026")</f>
        <v/>
      </c>
      <c r="V48">
        <f>HYPERLINK("https://klasma.github.io/Logging_1981/klagomål/A 14488-2026 FSC-klagomål.docx", "A 14488-2026")</f>
        <v/>
      </c>
      <c r="W48">
        <f>HYPERLINK("https://klasma.github.io/Logging_1981/klagomålsmail/A 14488-2026 FSC-klagomål mail.docx", "A 14488-2026")</f>
        <v/>
      </c>
      <c r="X48">
        <f>HYPERLINK("https://klasma.github.io/Logging_1981/tillsyn/A 14488-2026 tillsynsbegäran.docx", "A 14488-2026")</f>
        <v/>
      </c>
      <c r="Y48">
        <f>HYPERLINK("https://klasma.github.io/Logging_1981/tillsynsmail/A 14488-2026 tillsynsbegäran mail.docx", "A 14488-2026")</f>
        <v/>
      </c>
    </row>
    <row r="49" ht="15" customHeight="1">
      <c r="A49" t="inlineStr">
        <is>
          <t>A 14487-2026</t>
        </is>
      </c>
      <c r="B49" s="1" t="n">
        <v>46100.59162037037</v>
      </c>
      <c r="C49" s="1" t="n">
        <v>46188</v>
      </c>
      <c r="D49" t="inlineStr">
        <is>
          <t>VÄSTMANLANDS LÄN</t>
        </is>
      </c>
      <c r="E49" t="inlineStr">
        <is>
          <t>SALA</t>
        </is>
      </c>
      <c r="F49" t="inlineStr">
        <is>
          <t>Sveaskog</t>
        </is>
      </c>
      <c r="G49" t="n">
        <v>6.7</v>
      </c>
      <c r="H49" t="n">
        <v>0</v>
      </c>
      <c r="I49" t="n">
        <v>0</v>
      </c>
      <c r="J49" t="n">
        <v>1</v>
      </c>
      <c r="K49" t="n">
        <v>0</v>
      </c>
      <c r="L49" t="n">
        <v>0</v>
      </c>
      <c r="M49" t="n">
        <v>0</v>
      </c>
      <c r="N49" t="n">
        <v>0</v>
      </c>
      <c r="O49" t="n">
        <v>1</v>
      </c>
      <c r="P49" t="n">
        <v>0</v>
      </c>
      <c r="Q49" t="n">
        <v>1</v>
      </c>
      <c r="R49" s="2" t="inlineStr">
        <is>
          <t>Motaggsvamp</t>
        </is>
      </c>
      <c r="S49">
        <f>HYPERLINK("https://klasma.github.io/Logging_1981/artfynd/A 14487-2026 artfynd.xlsx", "A 14487-2026")</f>
        <v/>
      </c>
      <c r="T49">
        <f>HYPERLINK("https://klasma.github.io/Logging_1981/kartor/A 14487-2026 karta.png", "A 14487-2026")</f>
        <v/>
      </c>
      <c r="V49">
        <f>HYPERLINK("https://klasma.github.io/Logging_1981/klagomål/A 14487-2026 FSC-klagomål.docx", "A 14487-2026")</f>
        <v/>
      </c>
      <c r="W49">
        <f>HYPERLINK("https://klasma.github.io/Logging_1981/klagomålsmail/A 14487-2026 FSC-klagomål mail.docx", "A 14487-2026")</f>
        <v/>
      </c>
      <c r="X49">
        <f>HYPERLINK("https://klasma.github.io/Logging_1981/tillsyn/A 14487-2026 tillsynsbegäran.docx", "A 14487-2026")</f>
        <v/>
      </c>
      <c r="Y49">
        <f>HYPERLINK("https://klasma.github.io/Logging_1981/tillsynsmail/A 14487-2026 tillsynsbegäran mail.docx", "A 14487-2026")</f>
        <v/>
      </c>
    </row>
    <row r="50" ht="15" customHeight="1">
      <c r="A50" t="inlineStr">
        <is>
          <t>A 43175-2023</t>
        </is>
      </c>
      <c r="B50" s="1" t="n">
        <v>45183</v>
      </c>
      <c r="C50" s="1" t="n">
        <v>46188</v>
      </c>
      <c r="D50" t="inlineStr">
        <is>
          <t>VÄSTMANLANDS LÄN</t>
        </is>
      </c>
      <c r="E50" t="inlineStr">
        <is>
          <t>SALA</t>
        </is>
      </c>
      <c r="G50" t="n">
        <v>5.6</v>
      </c>
      <c r="H50" t="n">
        <v>0</v>
      </c>
      <c r="I50" t="n">
        <v>1</v>
      </c>
      <c r="J50" t="n">
        <v>0</v>
      </c>
      <c r="K50" t="n">
        <v>0</v>
      </c>
      <c r="L50" t="n">
        <v>0</v>
      </c>
      <c r="M50" t="n">
        <v>0</v>
      </c>
      <c r="N50" t="n">
        <v>0</v>
      </c>
      <c r="O50" t="n">
        <v>0</v>
      </c>
      <c r="P50" t="n">
        <v>0</v>
      </c>
      <c r="Q50" t="n">
        <v>1</v>
      </c>
      <c r="R50" s="2" t="inlineStr">
        <is>
          <t>Grönpyrola</t>
        </is>
      </c>
      <c r="S50">
        <f>HYPERLINK("https://klasma.github.io/Logging_1981/artfynd/A 43175-2023 artfynd.xlsx", "A 43175-2023")</f>
        <v/>
      </c>
      <c r="T50">
        <f>HYPERLINK("https://klasma.github.io/Logging_1981/kartor/A 43175-2023 karta.png", "A 43175-2023")</f>
        <v/>
      </c>
      <c r="V50">
        <f>HYPERLINK("https://klasma.github.io/Logging_1981/klagomål/A 43175-2023 FSC-klagomål.docx", "A 43175-2023")</f>
        <v/>
      </c>
      <c r="W50">
        <f>HYPERLINK("https://klasma.github.io/Logging_1981/klagomålsmail/A 43175-2023 FSC-klagomål mail.docx", "A 43175-2023")</f>
        <v/>
      </c>
      <c r="X50">
        <f>HYPERLINK("https://klasma.github.io/Logging_1981/tillsyn/A 43175-2023 tillsynsbegäran.docx", "A 43175-2023")</f>
        <v/>
      </c>
      <c r="Y50">
        <f>HYPERLINK("https://klasma.github.io/Logging_1981/tillsynsmail/A 43175-2023 tillsynsbegäran mail.docx", "A 43175-2023")</f>
        <v/>
      </c>
    </row>
    <row r="51" ht="15" customHeight="1">
      <c r="A51" t="inlineStr">
        <is>
          <t>A 55550-2023</t>
        </is>
      </c>
      <c r="B51" s="1" t="n">
        <v>45232</v>
      </c>
      <c r="C51" s="1" t="n">
        <v>46188</v>
      </c>
      <c r="D51" t="inlineStr">
        <is>
          <t>VÄSTMANLANDS LÄN</t>
        </is>
      </c>
      <c r="E51" t="inlineStr">
        <is>
          <t>SALA</t>
        </is>
      </c>
      <c r="G51" t="n">
        <v>9.9</v>
      </c>
      <c r="H51" t="n">
        <v>1</v>
      </c>
      <c r="I51" t="n">
        <v>0</v>
      </c>
      <c r="J51" t="n">
        <v>0</v>
      </c>
      <c r="K51" t="n">
        <v>1</v>
      </c>
      <c r="L51" t="n">
        <v>0</v>
      </c>
      <c r="M51" t="n">
        <v>0</v>
      </c>
      <c r="N51" t="n">
        <v>0</v>
      </c>
      <c r="O51" t="n">
        <v>1</v>
      </c>
      <c r="P51" t="n">
        <v>1</v>
      </c>
      <c r="Q51" t="n">
        <v>1</v>
      </c>
      <c r="R51" s="2" t="inlineStr">
        <is>
          <t>Knärot</t>
        </is>
      </c>
      <c r="S51">
        <f>HYPERLINK("https://klasma.github.io/Logging_1981/artfynd/A 55550-2023 artfynd.xlsx", "A 55550-2023")</f>
        <v/>
      </c>
      <c r="T51">
        <f>HYPERLINK("https://klasma.github.io/Logging_1981/kartor/A 55550-2023 karta.png", "A 55550-2023")</f>
        <v/>
      </c>
      <c r="U51">
        <f>HYPERLINK("https://klasma.github.io/Logging_1981/knärot/A 55550-2023 karta knärot.png", "A 55550-2023")</f>
        <v/>
      </c>
      <c r="V51">
        <f>HYPERLINK("https://klasma.github.io/Logging_1981/klagomål/A 55550-2023 FSC-klagomål.docx", "A 55550-2023")</f>
        <v/>
      </c>
      <c r="W51">
        <f>HYPERLINK("https://klasma.github.io/Logging_1981/klagomålsmail/A 55550-2023 FSC-klagomål mail.docx", "A 55550-2023")</f>
        <v/>
      </c>
      <c r="X51">
        <f>HYPERLINK("https://klasma.github.io/Logging_1981/tillsyn/A 55550-2023 tillsynsbegäran.docx", "A 55550-2023")</f>
        <v/>
      </c>
      <c r="Y51">
        <f>HYPERLINK("https://klasma.github.io/Logging_1981/tillsynsmail/A 55550-2023 tillsynsbegäran mail.docx", "A 55550-2023")</f>
        <v/>
      </c>
    </row>
    <row r="52" ht="15" customHeight="1">
      <c r="A52" t="inlineStr">
        <is>
          <t>A 38255-2025</t>
        </is>
      </c>
      <c r="B52" s="1" t="n">
        <v>45883.38020833334</v>
      </c>
      <c r="C52" s="1" t="n">
        <v>46188</v>
      </c>
      <c r="D52" t="inlineStr">
        <is>
          <t>VÄSTMANLANDS LÄN</t>
        </is>
      </c>
      <c r="E52" t="inlineStr">
        <is>
          <t>SALA</t>
        </is>
      </c>
      <c r="G52" t="n">
        <v>0.9</v>
      </c>
      <c r="H52" t="n">
        <v>1</v>
      </c>
      <c r="I52" t="n">
        <v>0</v>
      </c>
      <c r="J52" t="n">
        <v>0</v>
      </c>
      <c r="K52" t="n">
        <v>1</v>
      </c>
      <c r="L52" t="n">
        <v>0</v>
      </c>
      <c r="M52" t="n">
        <v>0</v>
      </c>
      <c r="N52" t="n">
        <v>0</v>
      </c>
      <c r="O52" t="n">
        <v>1</v>
      </c>
      <c r="P52" t="n">
        <v>1</v>
      </c>
      <c r="Q52" t="n">
        <v>1</v>
      </c>
      <c r="R52" s="2" t="inlineStr">
        <is>
          <t>Knärot</t>
        </is>
      </c>
      <c r="S52">
        <f>HYPERLINK("https://klasma.github.io/Logging_1981/artfynd/A 38255-2025 artfynd.xlsx", "A 38255-2025")</f>
        <v/>
      </c>
      <c r="T52">
        <f>HYPERLINK("https://klasma.github.io/Logging_1981/kartor/A 38255-2025 karta.png", "A 38255-2025")</f>
        <v/>
      </c>
      <c r="U52">
        <f>HYPERLINK("https://klasma.github.io/Logging_1981/knärot/A 38255-2025 karta knärot.png", "A 38255-2025")</f>
        <v/>
      </c>
      <c r="V52">
        <f>HYPERLINK("https://klasma.github.io/Logging_1981/klagomål/A 38255-2025 FSC-klagomål.docx", "A 38255-2025")</f>
        <v/>
      </c>
      <c r="W52">
        <f>HYPERLINK("https://klasma.github.io/Logging_1981/klagomålsmail/A 38255-2025 FSC-klagomål mail.docx", "A 38255-2025")</f>
        <v/>
      </c>
      <c r="X52">
        <f>HYPERLINK("https://klasma.github.io/Logging_1981/tillsyn/A 38255-2025 tillsynsbegäran.docx", "A 38255-2025")</f>
        <v/>
      </c>
      <c r="Y52">
        <f>HYPERLINK("https://klasma.github.io/Logging_1981/tillsynsmail/A 38255-2025 tillsynsbegäran mail.docx", "A 38255-2025")</f>
        <v/>
      </c>
    </row>
    <row r="53" ht="15" customHeight="1">
      <c r="A53" t="inlineStr">
        <is>
          <t>A 18896-2026</t>
        </is>
      </c>
      <c r="B53" s="1" t="n">
        <v>46129</v>
      </c>
      <c r="C53" s="1" t="n">
        <v>46188</v>
      </c>
      <c r="D53" t="inlineStr">
        <is>
          <t>VÄSTMANLANDS LÄN</t>
        </is>
      </c>
      <c r="E53" t="inlineStr">
        <is>
          <t>SALA</t>
        </is>
      </c>
      <c r="F53" t="inlineStr">
        <is>
          <t>Kommuner</t>
        </is>
      </c>
      <c r="G53" t="n">
        <v>1.1</v>
      </c>
      <c r="H53" t="n">
        <v>0</v>
      </c>
      <c r="I53" t="n">
        <v>0</v>
      </c>
      <c r="J53" t="n">
        <v>1</v>
      </c>
      <c r="K53" t="n">
        <v>0</v>
      </c>
      <c r="L53" t="n">
        <v>0</v>
      </c>
      <c r="M53" t="n">
        <v>0</v>
      </c>
      <c r="N53" t="n">
        <v>0</v>
      </c>
      <c r="O53" t="n">
        <v>1</v>
      </c>
      <c r="P53" t="n">
        <v>0</v>
      </c>
      <c r="Q53" t="n">
        <v>1</v>
      </c>
      <c r="R53" s="2" t="inlineStr">
        <is>
          <t>Ullticka</t>
        </is>
      </c>
      <c r="S53">
        <f>HYPERLINK("https://klasma.github.io/Logging_1981/artfynd/A 18896-2026 artfynd.xlsx", "A 18896-2026")</f>
        <v/>
      </c>
      <c r="T53">
        <f>HYPERLINK("https://klasma.github.io/Logging_1981/kartor/A 18896-2026 karta.png", "A 18896-2026")</f>
        <v/>
      </c>
      <c r="V53">
        <f>HYPERLINK("https://klasma.github.io/Logging_1981/klagomål/A 18896-2026 FSC-klagomål.docx", "A 18896-2026")</f>
        <v/>
      </c>
      <c r="W53">
        <f>HYPERLINK("https://klasma.github.io/Logging_1981/klagomålsmail/A 18896-2026 FSC-klagomål mail.docx", "A 18896-2026")</f>
        <v/>
      </c>
      <c r="X53">
        <f>HYPERLINK("https://klasma.github.io/Logging_1981/tillsyn/A 18896-2026 tillsynsbegäran.docx", "A 18896-2026")</f>
        <v/>
      </c>
      <c r="Y53">
        <f>HYPERLINK("https://klasma.github.io/Logging_1981/tillsynsmail/A 18896-2026 tillsynsbegäran mail.docx", "A 18896-2026")</f>
        <v/>
      </c>
    </row>
    <row r="54" ht="15" customHeight="1">
      <c r="A54" t="inlineStr">
        <is>
          <t>A 41270-2024</t>
        </is>
      </c>
      <c r="B54" s="1" t="n">
        <v>45559</v>
      </c>
      <c r="C54" s="1" t="n">
        <v>46188</v>
      </c>
      <c r="D54" t="inlineStr">
        <is>
          <t>VÄSTMANLANDS LÄN</t>
        </is>
      </c>
      <c r="E54" t="inlineStr">
        <is>
          <t>SALA</t>
        </is>
      </c>
      <c r="G54" t="n">
        <v>15.2</v>
      </c>
      <c r="H54" t="n">
        <v>1</v>
      </c>
      <c r="I54" t="n">
        <v>0</v>
      </c>
      <c r="J54" t="n">
        <v>1</v>
      </c>
      <c r="K54" t="n">
        <v>0</v>
      </c>
      <c r="L54" t="n">
        <v>0</v>
      </c>
      <c r="M54" t="n">
        <v>0</v>
      </c>
      <c r="N54" t="n">
        <v>0</v>
      </c>
      <c r="O54" t="n">
        <v>1</v>
      </c>
      <c r="P54" t="n">
        <v>0</v>
      </c>
      <c r="Q54" t="n">
        <v>1</v>
      </c>
      <c r="R54" s="2" t="inlineStr">
        <is>
          <t>Havsörn</t>
        </is>
      </c>
      <c r="S54">
        <f>HYPERLINK("https://klasma.github.io/Logging_1981/artfynd/A 41270-2024 artfynd.xlsx", "A 41270-2024")</f>
        <v/>
      </c>
      <c r="T54">
        <f>HYPERLINK("https://klasma.github.io/Logging_1981/kartor/A 41270-2024 karta.png", "A 41270-2024")</f>
        <v/>
      </c>
      <c r="V54">
        <f>HYPERLINK("https://klasma.github.io/Logging_1981/klagomål/A 41270-2024 FSC-klagomål.docx", "A 41270-2024")</f>
        <v/>
      </c>
      <c r="W54">
        <f>HYPERLINK("https://klasma.github.io/Logging_1981/klagomålsmail/A 41270-2024 FSC-klagomål mail.docx", "A 41270-2024")</f>
        <v/>
      </c>
      <c r="X54">
        <f>HYPERLINK("https://klasma.github.io/Logging_1981/tillsyn/A 41270-2024 tillsynsbegäran.docx", "A 41270-2024")</f>
        <v/>
      </c>
      <c r="Y54">
        <f>HYPERLINK("https://klasma.github.io/Logging_1981/tillsynsmail/A 41270-2024 tillsynsbegäran mail.docx", "A 41270-2024")</f>
        <v/>
      </c>
      <c r="Z54">
        <f>HYPERLINK("https://klasma.github.io/Logging_1981/fåglar/A 41270-2024 prioriterade fågelarter.docx", "A 41270-2024")</f>
        <v/>
      </c>
    </row>
    <row r="55" ht="15" customHeight="1">
      <c r="A55" t="inlineStr">
        <is>
          <t>A 26369-2026</t>
        </is>
      </c>
      <c r="B55" s="1" t="n">
        <v>46182.98361111111</v>
      </c>
      <c r="C55" s="1" t="n">
        <v>46188</v>
      </c>
      <c r="D55" t="inlineStr">
        <is>
          <t>VÄSTMANLANDS LÄN</t>
        </is>
      </c>
      <c r="E55" t="inlineStr">
        <is>
          <t>SALA</t>
        </is>
      </c>
      <c r="G55" t="n">
        <v>5.7</v>
      </c>
      <c r="H55" t="n">
        <v>1</v>
      </c>
      <c r="I55" t="n">
        <v>0</v>
      </c>
      <c r="J55" t="n">
        <v>0</v>
      </c>
      <c r="K55" t="n">
        <v>0</v>
      </c>
      <c r="L55" t="n">
        <v>0</v>
      </c>
      <c r="M55" t="n">
        <v>0</v>
      </c>
      <c r="N55" t="n">
        <v>0</v>
      </c>
      <c r="O55" t="n">
        <v>0</v>
      </c>
      <c r="P55" t="n">
        <v>0</v>
      </c>
      <c r="Q55" t="n">
        <v>1</v>
      </c>
      <c r="R55" s="2" t="inlineStr">
        <is>
          <t>Fläcknycklar</t>
        </is>
      </c>
      <c r="S55">
        <f>HYPERLINK("https://klasma.github.io/Logging_1981/artfynd/A 26369-2026 artfynd.xlsx", "A 26369-2026")</f>
        <v/>
      </c>
      <c r="T55">
        <f>HYPERLINK("https://klasma.github.io/Logging_1981/kartor/A 26369-2026 karta.png", "A 26369-2026")</f>
        <v/>
      </c>
      <c r="V55">
        <f>HYPERLINK("https://klasma.github.io/Logging_1981/klagomål/A 26369-2026 FSC-klagomål.docx", "A 26369-2026")</f>
        <v/>
      </c>
      <c r="W55">
        <f>HYPERLINK("https://klasma.github.io/Logging_1981/klagomålsmail/A 26369-2026 FSC-klagomål mail.docx", "A 26369-2026")</f>
        <v/>
      </c>
      <c r="X55">
        <f>HYPERLINK("https://klasma.github.io/Logging_1981/tillsyn/A 26369-2026 tillsynsbegäran.docx", "A 26369-2026")</f>
        <v/>
      </c>
      <c r="Y55">
        <f>HYPERLINK("https://klasma.github.io/Logging_1981/tillsynsmail/A 26369-2026 tillsynsbegäran mail.docx", "A 26369-2026")</f>
        <v/>
      </c>
    </row>
    <row r="56" ht="15" customHeight="1">
      <c r="A56" t="inlineStr">
        <is>
          <t>A 43068-2024</t>
        </is>
      </c>
      <c r="B56" s="1" t="n">
        <v>45567</v>
      </c>
      <c r="C56" s="1" t="n">
        <v>46188</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7919-2022</t>
        </is>
      </c>
      <c r="B57" s="1" t="n">
        <v>44608</v>
      </c>
      <c r="C57" s="1" t="n">
        <v>46188</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29985-2022</t>
        </is>
      </c>
      <c r="B58" s="1" t="n">
        <v>44756</v>
      </c>
      <c r="C58" s="1" t="n">
        <v>46188</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56704-2022</t>
        </is>
      </c>
      <c r="B59" s="1" t="n">
        <v>44893.78075231481</v>
      </c>
      <c r="C59" s="1" t="n">
        <v>46188</v>
      </c>
      <c r="D59" t="inlineStr">
        <is>
          <t>VÄSTMANLANDS LÄN</t>
        </is>
      </c>
      <c r="E59" t="inlineStr">
        <is>
          <t>SALA</t>
        </is>
      </c>
      <c r="G59" t="n">
        <v>3.2</v>
      </c>
      <c r="H59" t="n">
        <v>1</v>
      </c>
      <c r="I59" t="n">
        <v>0</v>
      </c>
      <c r="J59" t="n">
        <v>0</v>
      </c>
      <c r="K59" t="n">
        <v>1</v>
      </c>
      <c r="L59" t="n">
        <v>0</v>
      </c>
      <c r="M59" t="n">
        <v>0</v>
      </c>
      <c r="N59" t="n">
        <v>0</v>
      </c>
      <c r="O59" t="n">
        <v>1</v>
      </c>
      <c r="P59" t="n">
        <v>1</v>
      </c>
      <c r="Q59" t="n">
        <v>1</v>
      </c>
      <c r="R59" s="2" t="inlineStr">
        <is>
          <t>Knärot</t>
        </is>
      </c>
      <c r="S59">
        <f>HYPERLINK("https://klasma.github.io/Logging_1981/artfynd/A 56704-2022 artfynd.xlsx", "A 56704-2022")</f>
        <v/>
      </c>
      <c r="T59">
        <f>HYPERLINK("https://klasma.github.io/Logging_1981/kartor/A 56704-2022 karta.png", "A 56704-2022")</f>
        <v/>
      </c>
      <c r="U59">
        <f>HYPERLINK("https://klasma.github.io/Logging_1981/knärot/A 56704-2022 karta knärot.png", "A 56704-2022")</f>
        <v/>
      </c>
      <c r="V59">
        <f>HYPERLINK("https://klasma.github.io/Logging_1981/klagomål/A 56704-2022 FSC-klagomål.docx", "A 56704-2022")</f>
        <v/>
      </c>
      <c r="W59">
        <f>HYPERLINK("https://klasma.github.io/Logging_1981/klagomålsmail/A 56704-2022 FSC-klagomål mail.docx", "A 56704-2022")</f>
        <v/>
      </c>
      <c r="X59">
        <f>HYPERLINK("https://klasma.github.io/Logging_1981/tillsyn/A 56704-2022 tillsynsbegäran.docx", "A 56704-2022")</f>
        <v/>
      </c>
      <c r="Y59">
        <f>HYPERLINK("https://klasma.github.io/Logging_1981/tillsynsmail/A 56704-2022 tillsynsbegäran mail.docx", "A 56704-2022")</f>
        <v/>
      </c>
    </row>
    <row r="60" ht="15" customHeight="1">
      <c r="A60" t="inlineStr">
        <is>
          <t>A 66561-2021</t>
        </is>
      </c>
      <c r="B60" s="1" t="n">
        <v>44519.41648148148</v>
      </c>
      <c r="C60" s="1" t="n">
        <v>46188</v>
      </c>
      <c r="D60" t="inlineStr">
        <is>
          <t>VÄSTMANLANDS LÄN</t>
        </is>
      </c>
      <c r="E60" t="inlineStr">
        <is>
          <t>SALA</t>
        </is>
      </c>
      <c r="G60" t="n">
        <v>0.3</v>
      </c>
      <c r="H60" t="n">
        <v>0</v>
      </c>
      <c r="I60" t="n">
        <v>0</v>
      </c>
      <c r="J60" t="n">
        <v>0</v>
      </c>
      <c r="K60" t="n">
        <v>0</v>
      </c>
      <c r="L60" t="n">
        <v>0</v>
      </c>
      <c r="M60" t="n">
        <v>0</v>
      </c>
      <c r="N60" t="n">
        <v>0</v>
      </c>
      <c r="O60" t="n">
        <v>0</v>
      </c>
      <c r="P60" t="n">
        <v>0</v>
      </c>
      <c r="Q60" t="n">
        <v>0</v>
      </c>
      <c r="R60" s="2" t="inlineStr"/>
    </row>
    <row r="61" ht="15" customHeight="1">
      <c r="A61" t="inlineStr">
        <is>
          <t>A 73124-2021</t>
        </is>
      </c>
      <c r="B61" s="1" t="n">
        <v>44550</v>
      </c>
      <c r="C61" s="1" t="n">
        <v>46188</v>
      </c>
      <c r="D61" t="inlineStr">
        <is>
          <t>VÄSTMANLANDS LÄN</t>
        </is>
      </c>
      <c r="E61" t="inlineStr">
        <is>
          <t>SALA</t>
        </is>
      </c>
      <c r="G61" t="n">
        <v>2.8</v>
      </c>
      <c r="H61" t="n">
        <v>0</v>
      </c>
      <c r="I61" t="n">
        <v>0</v>
      </c>
      <c r="J61" t="n">
        <v>0</v>
      </c>
      <c r="K61" t="n">
        <v>0</v>
      </c>
      <c r="L61" t="n">
        <v>0</v>
      </c>
      <c r="M61" t="n">
        <v>0</v>
      </c>
      <c r="N61" t="n">
        <v>0</v>
      </c>
      <c r="O61" t="n">
        <v>0</v>
      </c>
      <c r="P61" t="n">
        <v>0</v>
      </c>
      <c r="Q61" t="n">
        <v>0</v>
      </c>
      <c r="R61" s="2" t="inlineStr"/>
    </row>
    <row r="62" ht="15" customHeight="1">
      <c r="A62" t="inlineStr">
        <is>
          <t>A 34110-2022</t>
        </is>
      </c>
      <c r="B62" s="1" t="n">
        <v>44791</v>
      </c>
      <c r="C62" s="1" t="n">
        <v>46188</v>
      </c>
      <c r="D62" t="inlineStr">
        <is>
          <t>VÄSTMANLANDS LÄN</t>
        </is>
      </c>
      <c r="E62" t="inlineStr">
        <is>
          <t>SALA</t>
        </is>
      </c>
      <c r="G62" t="n">
        <v>0.2</v>
      </c>
      <c r="H62" t="n">
        <v>0</v>
      </c>
      <c r="I62" t="n">
        <v>0</v>
      </c>
      <c r="J62" t="n">
        <v>0</v>
      </c>
      <c r="K62" t="n">
        <v>0</v>
      </c>
      <c r="L62" t="n">
        <v>0</v>
      </c>
      <c r="M62" t="n">
        <v>0</v>
      </c>
      <c r="N62" t="n">
        <v>0</v>
      </c>
      <c r="O62" t="n">
        <v>0</v>
      </c>
      <c r="P62" t="n">
        <v>0</v>
      </c>
      <c r="Q62" t="n">
        <v>0</v>
      </c>
      <c r="R62" s="2" t="inlineStr"/>
    </row>
    <row r="63" ht="15" customHeight="1">
      <c r="A63" t="inlineStr">
        <is>
          <t>A 28999-2022</t>
        </is>
      </c>
      <c r="B63" s="1" t="n">
        <v>44749</v>
      </c>
      <c r="C63" s="1" t="n">
        <v>46188</v>
      </c>
      <c r="D63" t="inlineStr">
        <is>
          <t>VÄSTMANLANDS LÄN</t>
        </is>
      </c>
      <c r="E63" t="inlineStr">
        <is>
          <t>SALA</t>
        </is>
      </c>
      <c r="G63" t="n">
        <v>5.7</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46188</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33762-2021</t>
        </is>
      </c>
      <c r="B65" s="1" t="n">
        <v>44378</v>
      </c>
      <c r="C65" s="1" t="n">
        <v>46188</v>
      </c>
      <c r="D65" t="inlineStr">
        <is>
          <t>VÄSTMANLANDS LÄN</t>
        </is>
      </c>
      <c r="E65" t="inlineStr">
        <is>
          <t>SALA</t>
        </is>
      </c>
      <c r="G65" t="n">
        <v>3.4</v>
      </c>
      <c r="H65" t="n">
        <v>0</v>
      </c>
      <c r="I65" t="n">
        <v>0</v>
      </c>
      <c r="J65" t="n">
        <v>0</v>
      </c>
      <c r="K65" t="n">
        <v>0</v>
      </c>
      <c r="L65" t="n">
        <v>0</v>
      </c>
      <c r="M65" t="n">
        <v>0</v>
      </c>
      <c r="N65" t="n">
        <v>0</v>
      </c>
      <c r="O65" t="n">
        <v>0</v>
      </c>
      <c r="P65" t="n">
        <v>0</v>
      </c>
      <c r="Q65" t="n">
        <v>0</v>
      </c>
      <c r="R65" s="2" t="inlineStr"/>
    </row>
    <row r="66" ht="15" customHeight="1">
      <c r="A66" t="inlineStr">
        <is>
          <t>A 47683-2021</t>
        </is>
      </c>
      <c r="B66" s="1" t="n">
        <v>44448</v>
      </c>
      <c r="C66" s="1" t="n">
        <v>46188</v>
      </c>
      <c r="D66" t="inlineStr">
        <is>
          <t>VÄSTMANLANDS LÄN</t>
        </is>
      </c>
      <c r="E66" t="inlineStr">
        <is>
          <t>SALA</t>
        </is>
      </c>
      <c r="G66" t="n">
        <v>0.7</v>
      </c>
      <c r="H66" t="n">
        <v>0</v>
      </c>
      <c r="I66" t="n">
        <v>0</v>
      </c>
      <c r="J66" t="n">
        <v>0</v>
      </c>
      <c r="K66" t="n">
        <v>0</v>
      </c>
      <c r="L66" t="n">
        <v>0</v>
      </c>
      <c r="M66" t="n">
        <v>0</v>
      </c>
      <c r="N66" t="n">
        <v>0</v>
      </c>
      <c r="O66" t="n">
        <v>0</v>
      </c>
      <c r="P66" t="n">
        <v>0</v>
      </c>
      <c r="Q66" t="n">
        <v>0</v>
      </c>
      <c r="R66" s="2" t="inlineStr"/>
    </row>
    <row r="67" ht="15" customHeight="1">
      <c r="A67" t="inlineStr">
        <is>
          <t>A 53432-2022</t>
        </is>
      </c>
      <c r="B67" s="1" t="n">
        <v>44879</v>
      </c>
      <c r="C67" s="1" t="n">
        <v>46188</v>
      </c>
      <c r="D67" t="inlineStr">
        <is>
          <t>VÄSTMANLANDS LÄN</t>
        </is>
      </c>
      <c r="E67" t="inlineStr">
        <is>
          <t>SALA</t>
        </is>
      </c>
      <c r="G67" t="n">
        <v>1</v>
      </c>
      <c r="H67" t="n">
        <v>0</v>
      </c>
      <c r="I67" t="n">
        <v>0</v>
      </c>
      <c r="J67" t="n">
        <v>0</v>
      </c>
      <c r="K67" t="n">
        <v>0</v>
      </c>
      <c r="L67" t="n">
        <v>0</v>
      </c>
      <c r="M67" t="n">
        <v>0</v>
      </c>
      <c r="N67" t="n">
        <v>0</v>
      </c>
      <c r="O67" t="n">
        <v>0</v>
      </c>
      <c r="P67" t="n">
        <v>0</v>
      </c>
      <c r="Q67" t="n">
        <v>0</v>
      </c>
      <c r="R67" s="2" t="inlineStr"/>
    </row>
    <row r="68" ht="15" customHeight="1">
      <c r="A68" t="inlineStr">
        <is>
          <t>A 10083-2022</t>
        </is>
      </c>
      <c r="B68" s="1" t="n">
        <v>44621.66173611111</v>
      </c>
      <c r="C68" s="1" t="n">
        <v>46188</v>
      </c>
      <c r="D68" t="inlineStr">
        <is>
          <t>VÄSTMANLANDS LÄN</t>
        </is>
      </c>
      <c r="E68" t="inlineStr">
        <is>
          <t>SALA</t>
        </is>
      </c>
      <c r="G68" t="n">
        <v>7.8</v>
      </c>
      <c r="H68" t="n">
        <v>0</v>
      </c>
      <c r="I68" t="n">
        <v>0</v>
      </c>
      <c r="J68" t="n">
        <v>0</v>
      </c>
      <c r="K68" t="n">
        <v>0</v>
      </c>
      <c r="L68" t="n">
        <v>0</v>
      </c>
      <c r="M68" t="n">
        <v>0</v>
      </c>
      <c r="N68" t="n">
        <v>0</v>
      </c>
      <c r="O68" t="n">
        <v>0</v>
      </c>
      <c r="P68" t="n">
        <v>0</v>
      </c>
      <c r="Q68" t="n">
        <v>0</v>
      </c>
      <c r="R68" s="2" t="inlineStr"/>
    </row>
    <row r="69" ht="15" customHeight="1">
      <c r="A69" t="inlineStr">
        <is>
          <t>A 73683-2021</t>
        </is>
      </c>
      <c r="B69" s="1" t="n">
        <v>44552.47971064815</v>
      </c>
      <c r="C69" s="1" t="n">
        <v>46188</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74277-2021</t>
        </is>
      </c>
      <c r="B70" s="1" t="n">
        <v>44558.76385416667</v>
      </c>
      <c r="C70" s="1" t="n">
        <v>46188</v>
      </c>
      <c r="D70" t="inlineStr">
        <is>
          <t>VÄSTMANLANDS LÄN</t>
        </is>
      </c>
      <c r="E70" t="inlineStr">
        <is>
          <t>SALA</t>
        </is>
      </c>
      <c r="F70" t="inlineStr">
        <is>
          <t>Kommuner</t>
        </is>
      </c>
      <c r="G70" t="n">
        <v>24.4</v>
      </c>
      <c r="H70" t="n">
        <v>0</v>
      </c>
      <c r="I70" t="n">
        <v>0</v>
      </c>
      <c r="J70" t="n">
        <v>0</v>
      </c>
      <c r="K70" t="n">
        <v>0</v>
      </c>
      <c r="L70" t="n">
        <v>0</v>
      </c>
      <c r="M70" t="n">
        <v>0</v>
      </c>
      <c r="N70" t="n">
        <v>0</v>
      </c>
      <c r="O70" t="n">
        <v>0</v>
      </c>
      <c r="P70" t="n">
        <v>0</v>
      </c>
      <c r="Q70" t="n">
        <v>0</v>
      </c>
      <c r="R70" s="2" t="inlineStr"/>
    </row>
    <row r="71" ht="15" customHeight="1">
      <c r="A71" t="inlineStr">
        <is>
          <t>A 31387-2022</t>
        </is>
      </c>
      <c r="B71" s="1" t="n">
        <v>44774.62174768518</v>
      </c>
      <c r="C71" s="1" t="n">
        <v>46188</v>
      </c>
      <c r="D71" t="inlineStr">
        <is>
          <t>VÄSTMANLANDS LÄN</t>
        </is>
      </c>
      <c r="E71" t="inlineStr">
        <is>
          <t>SALA</t>
        </is>
      </c>
      <c r="G71" t="n">
        <v>5.8</v>
      </c>
      <c r="H71" t="n">
        <v>0</v>
      </c>
      <c r="I71" t="n">
        <v>0</v>
      </c>
      <c r="J71" t="n">
        <v>0</v>
      </c>
      <c r="K71" t="n">
        <v>0</v>
      </c>
      <c r="L71" t="n">
        <v>0</v>
      </c>
      <c r="M71" t="n">
        <v>0</v>
      </c>
      <c r="N71" t="n">
        <v>0</v>
      </c>
      <c r="O71" t="n">
        <v>0</v>
      </c>
      <c r="P71" t="n">
        <v>0</v>
      </c>
      <c r="Q71" t="n">
        <v>0</v>
      </c>
      <c r="R71" s="2" t="inlineStr"/>
    </row>
    <row r="72" ht="15" customHeight="1">
      <c r="A72" t="inlineStr">
        <is>
          <t>A 62850-2021</t>
        </is>
      </c>
      <c r="B72" s="1" t="n">
        <v>44504</v>
      </c>
      <c r="C72" s="1" t="n">
        <v>46188</v>
      </c>
      <c r="D72" t="inlineStr">
        <is>
          <t>VÄSTMANLANDS LÄN</t>
        </is>
      </c>
      <c r="E72" t="inlineStr">
        <is>
          <t>SALA</t>
        </is>
      </c>
      <c r="G72" t="n">
        <v>5.2</v>
      </c>
      <c r="H72" t="n">
        <v>0</v>
      </c>
      <c r="I72" t="n">
        <v>0</v>
      </c>
      <c r="J72" t="n">
        <v>0</v>
      </c>
      <c r="K72" t="n">
        <v>0</v>
      </c>
      <c r="L72" t="n">
        <v>0</v>
      </c>
      <c r="M72" t="n">
        <v>0</v>
      </c>
      <c r="N72" t="n">
        <v>0</v>
      </c>
      <c r="O72" t="n">
        <v>0</v>
      </c>
      <c r="P72" t="n">
        <v>0</v>
      </c>
      <c r="Q72" t="n">
        <v>0</v>
      </c>
      <c r="R72" s="2" t="inlineStr"/>
    </row>
    <row r="73" ht="15" customHeight="1">
      <c r="A73" t="inlineStr">
        <is>
          <t>A 73668-2021</t>
        </is>
      </c>
      <c r="B73" s="1" t="n">
        <v>44552.461875</v>
      </c>
      <c r="C73" s="1" t="n">
        <v>46188</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49086-2022</t>
        </is>
      </c>
      <c r="B74" s="1" t="n">
        <v>44860</v>
      </c>
      <c r="C74" s="1" t="n">
        <v>46188</v>
      </c>
      <c r="D74" t="inlineStr">
        <is>
          <t>VÄSTMANLANDS LÄN</t>
        </is>
      </c>
      <c r="E74" t="inlineStr">
        <is>
          <t>SALA</t>
        </is>
      </c>
      <c r="G74" t="n">
        <v>0.9</v>
      </c>
      <c r="H74" t="n">
        <v>0</v>
      </c>
      <c r="I74" t="n">
        <v>0</v>
      </c>
      <c r="J74" t="n">
        <v>0</v>
      </c>
      <c r="K74" t="n">
        <v>0</v>
      </c>
      <c r="L74" t="n">
        <v>0</v>
      </c>
      <c r="M74" t="n">
        <v>0</v>
      </c>
      <c r="N74" t="n">
        <v>0</v>
      </c>
      <c r="O74" t="n">
        <v>0</v>
      </c>
      <c r="P74" t="n">
        <v>0</v>
      </c>
      <c r="Q74" t="n">
        <v>0</v>
      </c>
      <c r="R74" s="2" t="inlineStr"/>
    </row>
    <row r="75" ht="15" customHeight="1">
      <c r="A75" t="inlineStr">
        <is>
          <t>A 17897-2022</t>
        </is>
      </c>
      <c r="B75" s="1" t="n">
        <v>44683</v>
      </c>
      <c r="C75" s="1" t="n">
        <v>46188</v>
      </c>
      <c r="D75" t="inlineStr">
        <is>
          <t>VÄSTMANLANDS LÄN</t>
        </is>
      </c>
      <c r="E75" t="inlineStr">
        <is>
          <t>SALA</t>
        </is>
      </c>
      <c r="G75" t="n">
        <v>1.2</v>
      </c>
      <c r="H75" t="n">
        <v>0</v>
      </c>
      <c r="I75" t="n">
        <v>0</v>
      </c>
      <c r="J75" t="n">
        <v>0</v>
      </c>
      <c r="K75" t="n">
        <v>0</v>
      </c>
      <c r="L75" t="n">
        <v>0</v>
      </c>
      <c r="M75" t="n">
        <v>0</v>
      </c>
      <c r="N75" t="n">
        <v>0</v>
      </c>
      <c r="O75" t="n">
        <v>0</v>
      </c>
      <c r="P75" t="n">
        <v>0</v>
      </c>
      <c r="Q75" t="n">
        <v>0</v>
      </c>
      <c r="R75" s="2" t="inlineStr"/>
    </row>
    <row r="76" ht="15" customHeight="1">
      <c r="A76" t="inlineStr">
        <is>
          <t>A 43103-2022</t>
        </is>
      </c>
      <c r="B76" s="1" t="n">
        <v>44833.68795138889</v>
      </c>
      <c r="C76" s="1" t="n">
        <v>46188</v>
      </c>
      <c r="D76" t="inlineStr">
        <is>
          <t>VÄSTMANLANDS LÄN</t>
        </is>
      </c>
      <c r="E76" t="inlineStr">
        <is>
          <t>SALA</t>
        </is>
      </c>
      <c r="G76" t="n">
        <v>0.6</v>
      </c>
      <c r="H76" t="n">
        <v>0</v>
      </c>
      <c r="I76" t="n">
        <v>0</v>
      </c>
      <c r="J76" t="n">
        <v>0</v>
      </c>
      <c r="K76" t="n">
        <v>0</v>
      </c>
      <c r="L76" t="n">
        <v>0</v>
      </c>
      <c r="M76" t="n">
        <v>0</v>
      </c>
      <c r="N76" t="n">
        <v>0</v>
      </c>
      <c r="O76" t="n">
        <v>0</v>
      </c>
      <c r="P76" t="n">
        <v>0</v>
      </c>
      <c r="Q76" t="n">
        <v>0</v>
      </c>
      <c r="R76" s="2" t="inlineStr"/>
    </row>
    <row r="77" ht="15" customHeight="1">
      <c r="A77" t="inlineStr">
        <is>
          <t>A 4281-2022</t>
        </is>
      </c>
      <c r="B77" s="1" t="n">
        <v>44588</v>
      </c>
      <c r="C77" s="1" t="n">
        <v>46188</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47701-2021</t>
        </is>
      </c>
      <c r="B78" s="1" t="n">
        <v>44448</v>
      </c>
      <c r="C78" s="1" t="n">
        <v>46188</v>
      </c>
      <c r="D78" t="inlineStr">
        <is>
          <t>VÄSTMANLANDS LÄN</t>
        </is>
      </c>
      <c r="E78" t="inlineStr">
        <is>
          <t>SALA</t>
        </is>
      </c>
      <c r="G78" t="n">
        <v>2.3</v>
      </c>
      <c r="H78" t="n">
        <v>0</v>
      </c>
      <c r="I78" t="n">
        <v>0</v>
      </c>
      <c r="J78" t="n">
        <v>0</v>
      </c>
      <c r="K78" t="n">
        <v>0</v>
      </c>
      <c r="L78" t="n">
        <v>0</v>
      </c>
      <c r="M78" t="n">
        <v>0</v>
      </c>
      <c r="N78" t="n">
        <v>0</v>
      </c>
      <c r="O78" t="n">
        <v>0</v>
      </c>
      <c r="P78" t="n">
        <v>0</v>
      </c>
      <c r="Q78" t="n">
        <v>0</v>
      </c>
      <c r="R78" s="2" t="inlineStr"/>
    </row>
    <row r="79" ht="15" customHeight="1">
      <c r="A79" t="inlineStr">
        <is>
          <t>A 73687-2021</t>
        </is>
      </c>
      <c r="B79" s="1" t="n">
        <v>44552</v>
      </c>
      <c r="C79" s="1" t="n">
        <v>46188</v>
      </c>
      <c r="D79" t="inlineStr">
        <is>
          <t>VÄSTMANLANDS LÄN</t>
        </is>
      </c>
      <c r="E79" t="inlineStr">
        <is>
          <t>SALA</t>
        </is>
      </c>
      <c r="G79" t="n">
        <v>5.6</v>
      </c>
      <c r="H79" t="n">
        <v>0</v>
      </c>
      <c r="I79" t="n">
        <v>0</v>
      </c>
      <c r="J79" t="n">
        <v>0</v>
      </c>
      <c r="K79" t="n">
        <v>0</v>
      </c>
      <c r="L79" t="n">
        <v>0</v>
      </c>
      <c r="M79" t="n">
        <v>0</v>
      </c>
      <c r="N79" t="n">
        <v>0</v>
      </c>
      <c r="O79" t="n">
        <v>0</v>
      </c>
      <c r="P79" t="n">
        <v>0</v>
      </c>
      <c r="Q79" t="n">
        <v>0</v>
      </c>
      <c r="R79" s="2" t="inlineStr"/>
    </row>
    <row r="80" ht="15" customHeight="1">
      <c r="A80" t="inlineStr">
        <is>
          <t>A 55733-2022</t>
        </is>
      </c>
      <c r="B80" s="1" t="n">
        <v>44888.58435185185</v>
      </c>
      <c r="C80" s="1" t="n">
        <v>46188</v>
      </c>
      <c r="D80" t="inlineStr">
        <is>
          <t>VÄSTMANLANDS LÄN</t>
        </is>
      </c>
      <c r="E80" t="inlineStr">
        <is>
          <t>SALA</t>
        </is>
      </c>
      <c r="G80" t="n">
        <v>0.4</v>
      </c>
      <c r="H80" t="n">
        <v>0</v>
      </c>
      <c r="I80" t="n">
        <v>0</v>
      </c>
      <c r="J80" t="n">
        <v>0</v>
      </c>
      <c r="K80" t="n">
        <v>0</v>
      </c>
      <c r="L80" t="n">
        <v>0</v>
      </c>
      <c r="M80" t="n">
        <v>0</v>
      </c>
      <c r="N80" t="n">
        <v>0</v>
      </c>
      <c r="O80" t="n">
        <v>0</v>
      </c>
      <c r="P80" t="n">
        <v>0</v>
      </c>
      <c r="Q80" t="n">
        <v>0</v>
      </c>
      <c r="R80" s="2" t="inlineStr"/>
    </row>
    <row r="81" ht="15" customHeight="1">
      <c r="A81" t="inlineStr">
        <is>
          <t>A 19058-2022</t>
        </is>
      </c>
      <c r="B81" s="1" t="n">
        <v>44691.4336574074</v>
      </c>
      <c r="C81" s="1" t="n">
        <v>46188</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73663-2021</t>
        </is>
      </c>
      <c r="B82" s="1" t="n">
        <v>44552.45675925926</v>
      </c>
      <c r="C82" s="1" t="n">
        <v>46188</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29228-2022</t>
        </is>
      </c>
      <c r="B83" s="1" t="n">
        <v>44750</v>
      </c>
      <c r="C83" s="1" t="n">
        <v>46188</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939-2022</t>
        </is>
      </c>
      <c r="B84" s="1" t="n">
        <v>44571</v>
      </c>
      <c r="C84" s="1" t="n">
        <v>46188</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6667-2022</t>
        </is>
      </c>
      <c r="B85" s="1" t="n">
        <v>44602.38149305555</v>
      </c>
      <c r="C85" s="1" t="n">
        <v>46188</v>
      </c>
      <c r="D85" t="inlineStr">
        <is>
          <t>VÄSTMANLANDS LÄN</t>
        </is>
      </c>
      <c r="E85" t="inlineStr">
        <is>
          <t>SALA</t>
        </is>
      </c>
      <c r="G85" t="n">
        <v>0.4</v>
      </c>
      <c r="H85" t="n">
        <v>0</v>
      </c>
      <c r="I85" t="n">
        <v>0</v>
      </c>
      <c r="J85" t="n">
        <v>0</v>
      </c>
      <c r="K85" t="n">
        <v>0</v>
      </c>
      <c r="L85" t="n">
        <v>0</v>
      </c>
      <c r="M85" t="n">
        <v>0</v>
      </c>
      <c r="N85" t="n">
        <v>0</v>
      </c>
      <c r="O85" t="n">
        <v>0</v>
      </c>
      <c r="P85" t="n">
        <v>0</v>
      </c>
      <c r="Q85" t="n">
        <v>0</v>
      </c>
      <c r="R85" s="2" t="inlineStr"/>
    </row>
    <row r="86" ht="15" customHeight="1">
      <c r="A86" t="inlineStr">
        <is>
          <t>A 19760-2022</t>
        </is>
      </c>
      <c r="B86" s="1" t="n">
        <v>44694.63438657407</v>
      </c>
      <c r="C86" s="1" t="n">
        <v>46188</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42976-2021</t>
        </is>
      </c>
      <c r="B87" s="1" t="n">
        <v>44431</v>
      </c>
      <c r="C87" s="1" t="n">
        <v>46188</v>
      </c>
      <c r="D87" t="inlineStr">
        <is>
          <t>VÄSTMANLANDS LÄN</t>
        </is>
      </c>
      <c r="E87" t="inlineStr">
        <is>
          <t>SALA</t>
        </is>
      </c>
      <c r="G87" t="n">
        <v>1.1</v>
      </c>
      <c r="H87" t="n">
        <v>0</v>
      </c>
      <c r="I87" t="n">
        <v>0</v>
      </c>
      <c r="J87" t="n">
        <v>0</v>
      </c>
      <c r="K87" t="n">
        <v>0</v>
      </c>
      <c r="L87" t="n">
        <v>0</v>
      </c>
      <c r="M87" t="n">
        <v>0</v>
      </c>
      <c r="N87" t="n">
        <v>0</v>
      </c>
      <c r="O87" t="n">
        <v>0</v>
      </c>
      <c r="P87" t="n">
        <v>0</v>
      </c>
      <c r="Q87" t="n">
        <v>0</v>
      </c>
      <c r="R87" s="2" t="inlineStr"/>
    </row>
    <row r="88" ht="15" customHeight="1">
      <c r="A88" t="inlineStr">
        <is>
          <t>A 30859-2021</t>
        </is>
      </c>
      <c r="B88" s="1" t="n">
        <v>44365.57377314815</v>
      </c>
      <c r="C88" s="1" t="n">
        <v>46188</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4237-2022</t>
        </is>
      </c>
      <c r="B89" s="1" t="n">
        <v>44588.64377314815</v>
      </c>
      <c r="C89" s="1" t="n">
        <v>46188</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3050-2022</t>
        </is>
      </c>
      <c r="B90" s="1" t="n">
        <v>44582</v>
      </c>
      <c r="C90" s="1" t="n">
        <v>46188</v>
      </c>
      <c r="D90" t="inlineStr">
        <is>
          <t>VÄSTMANLANDS LÄN</t>
        </is>
      </c>
      <c r="E90" t="inlineStr">
        <is>
          <t>SALA</t>
        </is>
      </c>
      <c r="G90" t="n">
        <v>0.5</v>
      </c>
      <c r="H90" t="n">
        <v>0</v>
      </c>
      <c r="I90" t="n">
        <v>0</v>
      </c>
      <c r="J90" t="n">
        <v>0</v>
      </c>
      <c r="K90" t="n">
        <v>0</v>
      </c>
      <c r="L90" t="n">
        <v>0</v>
      </c>
      <c r="M90" t="n">
        <v>0</v>
      </c>
      <c r="N90" t="n">
        <v>0</v>
      </c>
      <c r="O90" t="n">
        <v>0</v>
      </c>
      <c r="P90" t="n">
        <v>0</v>
      </c>
      <c r="Q90" t="n">
        <v>0</v>
      </c>
      <c r="R90" s="2" t="inlineStr"/>
    </row>
    <row r="91" ht="15" customHeight="1">
      <c r="A91" t="inlineStr">
        <is>
          <t>A 51377-2022</t>
        </is>
      </c>
      <c r="B91" s="1" t="n">
        <v>44866</v>
      </c>
      <c r="C91" s="1" t="n">
        <v>46188</v>
      </c>
      <c r="D91" t="inlineStr">
        <is>
          <t>VÄSTMANLANDS LÄN</t>
        </is>
      </c>
      <c r="E91" t="inlineStr">
        <is>
          <t>SALA</t>
        </is>
      </c>
      <c r="G91" t="n">
        <v>6.3</v>
      </c>
      <c r="H91" t="n">
        <v>0</v>
      </c>
      <c r="I91" t="n">
        <v>0</v>
      </c>
      <c r="J91" t="n">
        <v>0</v>
      </c>
      <c r="K91" t="n">
        <v>0</v>
      </c>
      <c r="L91" t="n">
        <v>0</v>
      </c>
      <c r="M91" t="n">
        <v>0</v>
      </c>
      <c r="N91" t="n">
        <v>0</v>
      </c>
      <c r="O91" t="n">
        <v>0</v>
      </c>
      <c r="P91" t="n">
        <v>0</v>
      </c>
      <c r="Q91" t="n">
        <v>0</v>
      </c>
      <c r="R91" s="2" t="inlineStr"/>
    </row>
    <row r="92" ht="15" customHeight="1">
      <c r="A92" t="inlineStr">
        <is>
          <t>A 68355-2021</t>
        </is>
      </c>
      <c r="B92" s="1" t="n">
        <v>44528</v>
      </c>
      <c r="C92" s="1" t="n">
        <v>46188</v>
      </c>
      <c r="D92" t="inlineStr">
        <is>
          <t>VÄSTMANLANDS LÄN</t>
        </is>
      </c>
      <c r="E92" t="inlineStr">
        <is>
          <t>SALA</t>
        </is>
      </c>
      <c r="G92" t="n">
        <v>0.5</v>
      </c>
      <c r="H92" t="n">
        <v>0</v>
      </c>
      <c r="I92" t="n">
        <v>0</v>
      </c>
      <c r="J92" t="n">
        <v>0</v>
      </c>
      <c r="K92" t="n">
        <v>0</v>
      </c>
      <c r="L92" t="n">
        <v>0</v>
      </c>
      <c r="M92" t="n">
        <v>0</v>
      </c>
      <c r="N92" t="n">
        <v>0</v>
      </c>
      <c r="O92" t="n">
        <v>0</v>
      </c>
      <c r="P92" t="n">
        <v>0</v>
      </c>
      <c r="Q92" t="n">
        <v>0</v>
      </c>
      <c r="R92" s="2" t="inlineStr"/>
    </row>
    <row r="93" ht="15" customHeight="1">
      <c r="A93" t="inlineStr">
        <is>
          <t>A 44318-2022</t>
        </is>
      </c>
      <c r="B93" s="1" t="n">
        <v>44839.64516203704</v>
      </c>
      <c r="C93" s="1" t="n">
        <v>46188</v>
      </c>
      <c r="D93" t="inlineStr">
        <is>
          <t>VÄSTMANLANDS LÄN</t>
        </is>
      </c>
      <c r="E93" t="inlineStr">
        <is>
          <t>SALA</t>
        </is>
      </c>
      <c r="G93" t="n">
        <v>0.6</v>
      </c>
      <c r="H93" t="n">
        <v>0</v>
      </c>
      <c r="I93" t="n">
        <v>0</v>
      </c>
      <c r="J93" t="n">
        <v>0</v>
      </c>
      <c r="K93" t="n">
        <v>0</v>
      </c>
      <c r="L93" t="n">
        <v>0</v>
      </c>
      <c r="M93" t="n">
        <v>0</v>
      </c>
      <c r="N93" t="n">
        <v>0</v>
      </c>
      <c r="O93" t="n">
        <v>0</v>
      </c>
      <c r="P93" t="n">
        <v>0</v>
      </c>
      <c r="Q93" t="n">
        <v>0</v>
      </c>
      <c r="R93" s="2" t="inlineStr"/>
    </row>
    <row r="94" ht="15" customHeight="1">
      <c r="A94" t="inlineStr">
        <is>
          <t>A 15850-2022</t>
        </is>
      </c>
      <c r="B94" s="1" t="n">
        <v>44664.43082175926</v>
      </c>
      <c r="C94" s="1" t="n">
        <v>46188</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1043-2022</t>
        </is>
      </c>
      <c r="B95" s="1" t="n">
        <v>44571.66552083333</v>
      </c>
      <c r="C95" s="1" t="n">
        <v>46188</v>
      </c>
      <c r="D95" t="inlineStr">
        <is>
          <t>VÄSTMANLANDS LÄN</t>
        </is>
      </c>
      <c r="E95" t="inlineStr">
        <is>
          <t>SALA</t>
        </is>
      </c>
      <c r="G95" t="n">
        <v>1.1</v>
      </c>
      <c r="H95" t="n">
        <v>0</v>
      </c>
      <c r="I95" t="n">
        <v>0</v>
      </c>
      <c r="J95" t="n">
        <v>0</v>
      </c>
      <c r="K95" t="n">
        <v>0</v>
      </c>
      <c r="L95" t="n">
        <v>0</v>
      </c>
      <c r="M95" t="n">
        <v>0</v>
      </c>
      <c r="N95" t="n">
        <v>0</v>
      </c>
      <c r="O95" t="n">
        <v>0</v>
      </c>
      <c r="P95" t="n">
        <v>0</v>
      </c>
      <c r="Q95" t="n">
        <v>0</v>
      </c>
      <c r="R95" s="2" t="inlineStr"/>
    </row>
    <row r="96" ht="15" customHeight="1">
      <c r="A96" t="inlineStr">
        <is>
          <t>A 35921-2021</t>
        </is>
      </c>
      <c r="B96" s="1" t="n">
        <v>44388.37549768519</v>
      </c>
      <c r="C96" s="1" t="n">
        <v>46188</v>
      </c>
      <c r="D96" t="inlineStr">
        <is>
          <t>VÄSTMANLANDS LÄN</t>
        </is>
      </c>
      <c r="E96" t="inlineStr">
        <is>
          <t>SALA</t>
        </is>
      </c>
      <c r="G96" t="n">
        <v>1.1</v>
      </c>
      <c r="H96" t="n">
        <v>0</v>
      </c>
      <c r="I96" t="n">
        <v>0</v>
      </c>
      <c r="J96" t="n">
        <v>0</v>
      </c>
      <c r="K96" t="n">
        <v>0</v>
      </c>
      <c r="L96" t="n">
        <v>0</v>
      </c>
      <c r="M96" t="n">
        <v>0</v>
      </c>
      <c r="N96" t="n">
        <v>0</v>
      </c>
      <c r="O96" t="n">
        <v>0</v>
      </c>
      <c r="P96" t="n">
        <v>0</v>
      </c>
      <c r="Q96" t="n">
        <v>0</v>
      </c>
      <c r="R96" s="2" t="inlineStr"/>
    </row>
    <row r="97" ht="15" customHeight="1">
      <c r="A97" t="inlineStr">
        <is>
          <t>A 37856-2021</t>
        </is>
      </c>
      <c r="B97" s="1" t="n">
        <v>44403</v>
      </c>
      <c r="C97" s="1" t="n">
        <v>46188</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37872-2021</t>
        </is>
      </c>
      <c r="B98" s="1" t="n">
        <v>44403</v>
      </c>
      <c r="C98" s="1" t="n">
        <v>46188</v>
      </c>
      <c r="D98" t="inlineStr">
        <is>
          <t>VÄSTMANLANDS LÄN</t>
        </is>
      </c>
      <c r="E98" t="inlineStr">
        <is>
          <t>SALA</t>
        </is>
      </c>
      <c r="G98" t="n">
        <v>1.9</v>
      </c>
      <c r="H98" t="n">
        <v>0</v>
      </c>
      <c r="I98" t="n">
        <v>0</v>
      </c>
      <c r="J98" t="n">
        <v>0</v>
      </c>
      <c r="K98" t="n">
        <v>0</v>
      </c>
      <c r="L98" t="n">
        <v>0</v>
      </c>
      <c r="M98" t="n">
        <v>0</v>
      </c>
      <c r="N98" t="n">
        <v>0</v>
      </c>
      <c r="O98" t="n">
        <v>0</v>
      </c>
      <c r="P98" t="n">
        <v>0</v>
      </c>
      <c r="Q98" t="n">
        <v>0</v>
      </c>
      <c r="R98" s="2" t="inlineStr"/>
    </row>
    <row r="99" ht="15" customHeight="1">
      <c r="A99" t="inlineStr">
        <is>
          <t>A 65835-2021</t>
        </is>
      </c>
      <c r="B99" s="1" t="n">
        <v>44517</v>
      </c>
      <c r="C99" s="1" t="n">
        <v>46188</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31904-2021</t>
        </is>
      </c>
      <c r="B100" s="1" t="n">
        <v>44370.46853009259</v>
      </c>
      <c r="C100" s="1" t="n">
        <v>46188</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61897-2021</t>
        </is>
      </c>
      <c r="B101" s="1" t="n">
        <v>44502</v>
      </c>
      <c r="C101" s="1" t="n">
        <v>46188</v>
      </c>
      <c r="D101" t="inlineStr">
        <is>
          <t>VÄSTMANLANDS LÄN</t>
        </is>
      </c>
      <c r="E101" t="inlineStr">
        <is>
          <t>SALA</t>
        </is>
      </c>
      <c r="G101" t="n">
        <v>0.5</v>
      </c>
      <c r="H101" t="n">
        <v>0</v>
      </c>
      <c r="I101" t="n">
        <v>0</v>
      </c>
      <c r="J101" t="n">
        <v>0</v>
      </c>
      <c r="K101" t="n">
        <v>0</v>
      </c>
      <c r="L101" t="n">
        <v>0</v>
      </c>
      <c r="M101" t="n">
        <v>0</v>
      </c>
      <c r="N101" t="n">
        <v>0</v>
      </c>
      <c r="O101" t="n">
        <v>0</v>
      </c>
      <c r="P101" t="n">
        <v>0</v>
      </c>
      <c r="Q101" t="n">
        <v>0</v>
      </c>
      <c r="R101" s="2" t="inlineStr"/>
    </row>
    <row r="102" ht="15" customHeight="1">
      <c r="A102" t="inlineStr">
        <is>
          <t>A 44217-2022</t>
        </is>
      </c>
      <c r="B102" s="1" t="n">
        <v>44839.49953703704</v>
      </c>
      <c r="C102" s="1" t="n">
        <v>46188</v>
      </c>
      <c r="D102" t="inlineStr">
        <is>
          <t>VÄSTMANLANDS LÄN</t>
        </is>
      </c>
      <c r="E102" t="inlineStr">
        <is>
          <t>SALA</t>
        </is>
      </c>
      <c r="G102" t="n">
        <v>0.4</v>
      </c>
      <c r="H102" t="n">
        <v>0</v>
      </c>
      <c r="I102" t="n">
        <v>0</v>
      </c>
      <c r="J102" t="n">
        <v>0</v>
      </c>
      <c r="K102" t="n">
        <v>0</v>
      </c>
      <c r="L102" t="n">
        <v>0</v>
      </c>
      <c r="M102" t="n">
        <v>0</v>
      </c>
      <c r="N102" t="n">
        <v>0</v>
      </c>
      <c r="O102" t="n">
        <v>0</v>
      </c>
      <c r="P102" t="n">
        <v>0</v>
      </c>
      <c r="Q102" t="n">
        <v>0</v>
      </c>
      <c r="R102" s="2" t="inlineStr"/>
    </row>
    <row r="103" ht="15" customHeight="1">
      <c r="A103" t="inlineStr">
        <is>
          <t>A 30170-2021</t>
        </is>
      </c>
      <c r="B103" s="1" t="n">
        <v>44363</v>
      </c>
      <c r="C103" s="1" t="n">
        <v>46188</v>
      </c>
      <c r="D103" t="inlineStr">
        <is>
          <t>VÄSTMANLANDS LÄN</t>
        </is>
      </c>
      <c r="E103" t="inlineStr">
        <is>
          <t>SALA</t>
        </is>
      </c>
      <c r="G103" t="n">
        <v>7.2</v>
      </c>
      <c r="H103" t="n">
        <v>0</v>
      </c>
      <c r="I103" t="n">
        <v>0</v>
      </c>
      <c r="J103" t="n">
        <v>0</v>
      </c>
      <c r="K103" t="n">
        <v>0</v>
      </c>
      <c r="L103" t="n">
        <v>0</v>
      </c>
      <c r="M103" t="n">
        <v>0</v>
      </c>
      <c r="N103" t="n">
        <v>0</v>
      </c>
      <c r="O103" t="n">
        <v>0</v>
      </c>
      <c r="P103" t="n">
        <v>0</v>
      </c>
      <c r="Q103" t="n">
        <v>0</v>
      </c>
      <c r="R103" s="2" t="inlineStr"/>
    </row>
    <row r="104" ht="15" customHeight="1">
      <c r="A104" t="inlineStr">
        <is>
          <t>A 29235-2022</t>
        </is>
      </c>
      <c r="B104" s="1" t="n">
        <v>44750</v>
      </c>
      <c r="C104" s="1" t="n">
        <v>46188</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23757-2022</t>
        </is>
      </c>
      <c r="B105" s="1" t="n">
        <v>44722.37339120371</v>
      </c>
      <c r="C105" s="1" t="n">
        <v>46188</v>
      </c>
      <c r="D105" t="inlineStr">
        <is>
          <t>VÄSTMANLANDS LÄN</t>
        </is>
      </c>
      <c r="E105" t="inlineStr">
        <is>
          <t>SALA</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31452-2021</t>
        </is>
      </c>
      <c r="B106" s="1" t="n">
        <v>44369</v>
      </c>
      <c r="C106" s="1" t="n">
        <v>46188</v>
      </c>
      <c r="D106" t="inlineStr">
        <is>
          <t>VÄSTMANLANDS LÄN</t>
        </is>
      </c>
      <c r="E106" t="inlineStr">
        <is>
          <t>SALA</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51596-2022</t>
        </is>
      </c>
      <c r="B107" s="1" t="n">
        <v>44871</v>
      </c>
      <c r="C107" s="1" t="n">
        <v>46188</v>
      </c>
      <c r="D107" t="inlineStr">
        <is>
          <t>VÄSTMANLANDS LÄN</t>
        </is>
      </c>
      <c r="E107" t="inlineStr">
        <is>
          <t>SALA</t>
        </is>
      </c>
      <c r="F107" t="inlineStr">
        <is>
          <t>Bergvik skog öst AB</t>
        </is>
      </c>
      <c r="G107" t="n">
        <v>1.2</v>
      </c>
      <c r="H107" t="n">
        <v>0</v>
      </c>
      <c r="I107" t="n">
        <v>0</v>
      </c>
      <c r="J107" t="n">
        <v>0</v>
      </c>
      <c r="K107" t="n">
        <v>0</v>
      </c>
      <c r="L107" t="n">
        <v>0</v>
      </c>
      <c r="M107" t="n">
        <v>0</v>
      </c>
      <c r="N107" t="n">
        <v>0</v>
      </c>
      <c r="O107" t="n">
        <v>0</v>
      </c>
      <c r="P107" t="n">
        <v>0</v>
      </c>
      <c r="Q107" t="n">
        <v>0</v>
      </c>
      <c r="R107" s="2" t="inlineStr"/>
    </row>
    <row r="108" ht="15" customHeight="1">
      <c r="A108" t="inlineStr">
        <is>
          <t>A 66508-2021</t>
        </is>
      </c>
      <c r="B108" s="1" t="n">
        <v>44519.33401620371</v>
      </c>
      <c r="C108" s="1" t="n">
        <v>46188</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22811-2022</t>
        </is>
      </c>
      <c r="B109" s="1" t="n">
        <v>44715</v>
      </c>
      <c r="C109" s="1" t="n">
        <v>46188</v>
      </c>
      <c r="D109" t="inlineStr">
        <is>
          <t>VÄSTMANLANDS LÄN</t>
        </is>
      </c>
      <c r="E109" t="inlineStr">
        <is>
          <t>SALA</t>
        </is>
      </c>
      <c r="G109" t="n">
        <v>5</v>
      </c>
      <c r="H109" t="n">
        <v>0</v>
      </c>
      <c r="I109" t="n">
        <v>0</v>
      </c>
      <c r="J109" t="n">
        <v>0</v>
      </c>
      <c r="K109" t="n">
        <v>0</v>
      </c>
      <c r="L109" t="n">
        <v>0</v>
      </c>
      <c r="M109" t="n">
        <v>0</v>
      </c>
      <c r="N109" t="n">
        <v>0</v>
      </c>
      <c r="O109" t="n">
        <v>0</v>
      </c>
      <c r="P109" t="n">
        <v>0</v>
      </c>
      <c r="Q109" t="n">
        <v>0</v>
      </c>
      <c r="R109" s="2" t="inlineStr"/>
    </row>
    <row r="110" ht="15" customHeight="1">
      <c r="A110" t="inlineStr">
        <is>
          <t>A 65213-2021</t>
        </is>
      </c>
      <c r="B110" s="1" t="n">
        <v>44515</v>
      </c>
      <c r="C110" s="1" t="n">
        <v>46188</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23181-2022</t>
        </is>
      </c>
      <c r="B111" s="1" t="n">
        <v>44719.79537037037</v>
      </c>
      <c r="C111" s="1" t="n">
        <v>46188</v>
      </c>
      <c r="D111" t="inlineStr">
        <is>
          <t>VÄSTMANLANDS LÄN</t>
        </is>
      </c>
      <c r="E111" t="inlineStr">
        <is>
          <t>SALA</t>
        </is>
      </c>
      <c r="G111" t="n">
        <v>0.8</v>
      </c>
      <c r="H111" t="n">
        <v>0</v>
      </c>
      <c r="I111" t="n">
        <v>0</v>
      </c>
      <c r="J111" t="n">
        <v>0</v>
      </c>
      <c r="K111" t="n">
        <v>0</v>
      </c>
      <c r="L111" t="n">
        <v>0</v>
      </c>
      <c r="M111" t="n">
        <v>0</v>
      </c>
      <c r="N111" t="n">
        <v>0</v>
      </c>
      <c r="O111" t="n">
        <v>0</v>
      </c>
      <c r="P111" t="n">
        <v>0</v>
      </c>
      <c r="Q111" t="n">
        <v>0</v>
      </c>
      <c r="R111" s="2" t="inlineStr"/>
    </row>
    <row r="112" ht="15" customHeight="1">
      <c r="A112" t="inlineStr">
        <is>
          <t>A 65860-2021</t>
        </is>
      </c>
      <c r="B112" s="1" t="n">
        <v>44517.38163194444</v>
      </c>
      <c r="C112" s="1" t="n">
        <v>46188</v>
      </c>
      <c r="D112" t="inlineStr">
        <is>
          <t>VÄSTMANLANDS LÄN</t>
        </is>
      </c>
      <c r="E112" t="inlineStr">
        <is>
          <t>SALA</t>
        </is>
      </c>
      <c r="G112" t="n">
        <v>0.9</v>
      </c>
      <c r="H112" t="n">
        <v>0</v>
      </c>
      <c r="I112" t="n">
        <v>0</v>
      </c>
      <c r="J112" t="n">
        <v>0</v>
      </c>
      <c r="K112" t="n">
        <v>0</v>
      </c>
      <c r="L112" t="n">
        <v>0</v>
      </c>
      <c r="M112" t="n">
        <v>0</v>
      </c>
      <c r="N112" t="n">
        <v>0</v>
      </c>
      <c r="O112" t="n">
        <v>0</v>
      </c>
      <c r="P112" t="n">
        <v>0</v>
      </c>
      <c r="Q112" t="n">
        <v>0</v>
      </c>
      <c r="R112" s="2" t="inlineStr"/>
    </row>
    <row r="113" ht="15" customHeight="1">
      <c r="A113" t="inlineStr">
        <is>
          <t>A 8130-2022</t>
        </is>
      </c>
      <c r="B113" s="1" t="n">
        <v>44609.5984837963</v>
      </c>
      <c r="C113" s="1" t="n">
        <v>46188</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65818-2021</t>
        </is>
      </c>
      <c r="B114" s="1" t="n">
        <v>44517</v>
      </c>
      <c r="C114" s="1" t="n">
        <v>46188</v>
      </c>
      <c r="D114" t="inlineStr">
        <is>
          <t>VÄSTMANLANDS LÄN</t>
        </is>
      </c>
      <c r="E114" t="inlineStr">
        <is>
          <t>SALA</t>
        </is>
      </c>
      <c r="G114" t="n">
        <v>0.6</v>
      </c>
      <c r="H114" t="n">
        <v>0</v>
      </c>
      <c r="I114" t="n">
        <v>0</v>
      </c>
      <c r="J114" t="n">
        <v>0</v>
      </c>
      <c r="K114" t="n">
        <v>0</v>
      </c>
      <c r="L114" t="n">
        <v>0</v>
      </c>
      <c r="M114" t="n">
        <v>0</v>
      </c>
      <c r="N114" t="n">
        <v>0</v>
      </c>
      <c r="O114" t="n">
        <v>0</v>
      </c>
      <c r="P114" t="n">
        <v>0</v>
      </c>
      <c r="Q114" t="n">
        <v>0</v>
      </c>
      <c r="R114" s="2" t="inlineStr"/>
    </row>
    <row r="115" ht="15" customHeight="1">
      <c r="A115" t="inlineStr">
        <is>
          <t>A 9050-2022</t>
        </is>
      </c>
      <c r="B115" s="1" t="n">
        <v>44615.45451388889</v>
      </c>
      <c r="C115" s="1" t="n">
        <v>46188</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49254-2022</t>
        </is>
      </c>
      <c r="B116" s="1" t="n">
        <v>44861</v>
      </c>
      <c r="C116" s="1" t="n">
        <v>46188</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11370-2022</t>
        </is>
      </c>
      <c r="B117" s="1" t="n">
        <v>44630</v>
      </c>
      <c r="C117" s="1" t="n">
        <v>46188</v>
      </c>
      <c r="D117" t="inlineStr">
        <is>
          <t>VÄSTMANLANDS LÄN</t>
        </is>
      </c>
      <c r="E117" t="inlineStr">
        <is>
          <t>SALA</t>
        </is>
      </c>
      <c r="G117" t="n">
        <v>4.3</v>
      </c>
      <c r="H117" t="n">
        <v>0</v>
      </c>
      <c r="I117" t="n">
        <v>0</v>
      </c>
      <c r="J117" t="n">
        <v>0</v>
      </c>
      <c r="K117" t="n">
        <v>0</v>
      </c>
      <c r="L117" t="n">
        <v>0</v>
      </c>
      <c r="M117" t="n">
        <v>0</v>
      </c>
      <c r="N117" t="n">
        <v>0</v>
      </c>
      <c r="O117" t="n">
        <v>0</v>
      </c>
      <c r="P117" t="n">
        <v>0</v>
      </c>
      <c r="Q117" t="n">
        <v>0</v>
      </c>
      <c r="R117" s="2" t="inlineStr"/>
    </row>
    <row r="118" ht="15" customHeight="1">
      <c r="A118" t="inlineStr">
        <is>
          <t>A 67962-2021</t>
        </is>
      </c>
      <c r="B118" s="1" t="n">
        <v>44525</v>
      </c>
      <c r="C118" s="1" t="n">
        <v>46188</v>
      </c>
      <c r="D118" t="inlineStr">
        <is>
          <t>VÄSTMANLANDS LÄN</t>
        </is>
      </c>
      <c r="E118" t="inlineStr">
        <is>
          <t>SALA</t>
        </is>
      </c>
      <c r="G118" t="n">
        <v>1.4</v>
      </c>
      <c r="H118" t="n">
        <v>0</v>
      </c>
      <c r="I118" t="n">
        <v>0</v>
      </c>
      <c r="J118" t="n">
        <v>0</v>
      </c>
      <c r="K118" t="n">
        <v>0</v>
      </c>
      <c r="L118" t="n">
        <v>0</v>
      </c>
      <c r="M118" t="n">
        <v>0</v>
      </c>
      <c r="N118" t="n">
        <v>0</v>
      </c>
      <c r="O118" t="n">
        <v>0</v>
      </c>
      <c r="P118" t="n">
        <v>0</v>
      </c>
      <c r="Q118" t="n">
        <v>0</v>
      </c>
      <c r="R118" s="2" t="inlineStr"/>
    </row>
    <row r="119" ht="15" customHeight="1">
      <c r="A119" t="inlineStr">
        <is>
          <t>A 70218-2021</t>
        </is>
      </c>
      <c r="B119" s="1" t="n">
        <v>44535.6571412037</v>
      </c>
      <c r="C119" s="1" t="n">
        <v>46188</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3204-2022</t>
        </is>
      </c>
      <c r="B120" s="1" t="n">
        <v>44582</v>
      </c>
      <c r="C120" s="1" t="n">
        <v>46188</v>
      </c>
      <c r="D120" t="inlineStr">
        <is>
          <t>VÄSTMANLANDS LÄN</t>
        </is>
      </c>
      <c r="E120" t="inlineStr">
        <is>
          <t>SALA</t>
        </is>
      </c>
      <c r="G120" t="n">
        <v>0.7</v>
      </c>
      <c r="H120" t="n">
        <v>0</v>
      </c>
      <c r="I120" t="n">
        <v>0</v>
      </c>
      <c r="J120" t="n">
        <v>0</v>
      </c>
      <c r="K120" t="n">
        <v>0</v>
      </c>
      <c r="L120" t="n">
        <v>0</v>
      </c>
      <c r="M120" t="n">
        <v>0</v>
      </c>
      <c r="N120" t="n">
        <v>0</v>
      </c>
      <c r="O120" t="n">
        <v>0</v>
      </c>
      <c r="P120" t="n">
        <v>0</v>
      </c>
      <c r="Q120" t="n">
        <v>0</v>
      </c>
      <c r="R120" s="2" t="inlineStr"/>
    </row>
    <row r="121" ht="15" customHeight="1">
      <c r="A121" t="inlineStr">
        <is>
          <t>A 9075-2022</t>
        </is>
      </c>
      <c r="B121" s="1" t="n">
        <v>44615.47800925926</v>
      </c>
      <c r="C121" s="1" t="n">
        <v>46188</v>
      </c>
      <c r="D121" t="inlineStr">
        <is>
          <t>VÄSTMANLANDS LÄN</t>
        </is>
      </c>
      <c r="E121" t="inlineStr">
        <is>
          <t>SALA</t>
        </is>
      </c>
      <c r="G121" t="n">
        <v>0.7</v>
      </c>
      <c r="H121" t="n">
        <v>0</v>
      </c>
      <c r="I121" t="n">
        <v>0</v>
      </c>
      <c r="J121" t="n">
        <v>0</v>
      </c>
      <c r="K121" t="n">
        <v>0</v>
      </c>
      <c r="L121" t="n">
        <v>0</v>
      </c>
      <c r="M121" t="n">
        <v>0</v>
      </c>
      <c r="N121" t="n">
        <v>0</v>
      </c>
      <c r="O121" t="n">
        <v>0</v>
      </c>
      <c r="P121" t="n">
        <v>0</v>
      </c>
      <c r="Q121" t="n">
        <v>0</v>
      </c>
      <c r="R121" s="2" t="inlineStr"/>
    </row>
    <row r="122" ht="15" customHeight="1">
      <c r="A122" t="inlineStr">
        <is>
          <t>A 29002-2022</t>
        </is>
      </c>
      <c r="B122" s="1" t="n">
        <v>44749</v>
      </c>
      <c r="C122" s="1" t="n">
        <v>46188</v>
      </c>
      <c r="D122" t="inlineStr">
        <is>
          <t>VÄSTMANLANDS LÄN</t>
        </is>
      </c>
      <c r="E122" t="inlineStr">
        <is>
          <t>SALA</t>
        </is>
      </c>
      <c r="G122" t="n">
        <v>5.4</v>
      </c>
      <c r="H122" t="n">
        <v>0</v>
      </c>
      <c r="I122" t="n">
        <v>0</v>
      </c>
      <c r="J122" t="n">
        <v>0</v>
      </c>
      <c r="K122" t="n">
        <v>0</v>
      </c>
      <c r="L122" t="n">
        <v>0</v>
      </c>
      <c r="M122" t="n">
        <v>0</v>
      </c>
      <c r="N122" t="n">
        <v>0</v>
      </c>
      <c r="O122" t="n">
        <v>0</v>
      </c>
      <c r="P122" t="n">
        <v>0</v>
      </c>
      <c r="Q122" t="n">
        <v>0</v>
      </c>
      <c r="R122" s="2" t="inlineStr"/>
    </row>
    <row r="123" ht="15" customHeight="1">
      <c r="A123" t="inlineStr">
        <is>
          <t>A 24882-2022</t>
        </is>
      </c>
      <c r="B123" s="1" t="n">
        <v>44728.56488425926</v>
      </c>
      <c r="C123" s="1" t="n">
        <v>46188</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66830-2021</t>
        </is>
      </c>
      <c r="B124" s="1" t="n">
        <v>44522.40886574074</v>
      </c>
      <c r="C124" s="1" t="n">
        <v>46188</v>
      </c>
      <c r="D124" t="inlineStr">
        <is>
          <t>VÄSTMANLANDS LÄN</t>
        </is>
      </c>
      <c r="E124" t="inlineStr">
        <is>
          <t>SALA</t>
        </is>
      </c>
      <c r="G124" t="n">
        <v>0.5</v>
      </c>
      <c r="H124" t="n">
        <v>0</v>
      </c>
      <c r="I124" t="n">
        <v>0</v>
      </c>
      <c r="J124" t="n">
        <v>0</v>
      </c>
      <c r="K124" t="n">
        <v>0</v>
      </c>
      <c r="L124" t="n">
        <v>0</v>
      </c>
      <c r="M124" t="n">
        <v>0</v>
      </c>
      <c r="N124" t="n">
        <v>0</v>
      </c>
      <c r="O124" t="n">
        <v>0</v>
      </c>
      <c r="P124" t="n">
        <v>0</v>
      </c>
      <c r="Q124" t="n">
        <v>0</v>
      </c>
      <c r="R124" s="2" t="inlineStr"/>
    </row>
    <row r="125" ht="15" customHeight="1">
      <c r="A125" t="inlineStr">
        <is>
          <t>A 28402-2022</t>
        </is>
      </c>
      <c r="B125" s="1" t="n">
        <v>44747</v>
      </c>
      <c r="C125" s="1" t="n">
        <v>46188</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73606-2021</t>
        </is>
      </c>
      <c r="B126" s="1" t="n">
        <v>44552</v>
      </c>
      <c r="C126" s="1" t="n">
        <v>46188</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53735-2022</t>
        </is>
      </c>
      <c r="B127" s="1" t="n">
        <v>44880.42752314815</v>
      </c>
      <c r="C127" s="1" t="n">
        <v>46188</v>
      </c>
      <c r="D127" t="inlineStr">
        <is>
          <t>VÄSTMANLANDS LÄN</t>
        </is>
      </c>
      <c r="E127" t="inlineStr">
        <is>
          <t>SALA</t>
        </is>
      </c>
      <c r="F127" t="inlineStr">
        <is>
          <t>Bergvik skog öst AB</t>
        </is>
      </c>
      <c r="G127" t="n">
        <v>1.8</v>
      </c>
      <c r="H127" t="n">
        <v>0</v>
      </c>
      <c r="I127" t="n">
        <v>0</v>
      </c>
      <c r="J127" t="n">
        <v>0</v>
      </c>
      <c r="K127" t="n">
        <v>0</v>
      </c>
      <c r="L127" t="n">
        <v>0</v>
      </c>
      <c r="M127" t="n">
        <v>0</v>
      </c>
      <c r="N127" t="n">
        <v>0</v>
      </c>
      <c r="O127" t="n">
        <v>0</v>
      </c>
      <c r="P127" t="n">
        <v>0</v>
      </c>
      <c r="Q127" t="n">
        <v>0</v>
      </c>
      <c r="R127" s="2" t="inlineStr"/>
    </row>
    <row r="128" ht="15" customHeight="1">
      <c r="A128" t="inlineStr">
        <is>
          <t>A 65856-2021</t>
        </is>
      </c>
      <c r="B128" s="1" t="n">
        <v>44517</v>
      </c>
      <c r="C128" s="1" t="n">
        <v>46188</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44224-2022</t>
        </is>
      </c>
      <c r="B129" s="1" t="n">
        <v>44839.506875</v>
      </c>
      <c r="C129" s="1" t="n">
        <v>46188</v>
      </c>
      <c r="D129" t="inlineStr">
        <is>
          <t>VÄSTMANLANDS LÄN</t>
        </is>
      </c>
      <c r="E129" t="inlineStr">
        <is>
          <t>SALA</t>
        </is>
      </c>
      <c r="G129" t="n">
        <v>2.1</v>
      </c>
      <c r="H129" t="n">
        <v>0</v>
      </c>
      <c r="I129" t="n">
        <v>0</v>
      </c>
      <c r="J129" t="n">
        <v>0</v>
      </c>
      <c r="K129" t="n">
        <v>0</v>
      </c>
      <c r="L129" t="n">
        <v>0</v>
      </c>
      <c r="M129" t="n">
        <v>0</v>
      </c>
      <c r="N129" t="n">
        <v>0</v>
      </c>
      <c r="O129" t="n">
        <v>0</v>
      </c>
      <c r="P129" t="n">
        <v>0</v>
      </c>
      <c r="Q129" t="n">
        <v>0</v>
      </c>
      <c r="R129" s="2" t="inlineStr"/>
    </row>
    <row r="130" ht="15" customHeight="1">
      <c r="A130" t="inlineStr">
        <is>
          <t>A 25603-2022</t>
        </is>
      </c>
      <c r="B130" s="1" t="n">
        <v>44732</v>
      </c>
      <c r="C130" s="1" t="n">
        <v>46188</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53628-2022</t>
        </is>
      </c>
      <c r="B131" s="1" t="n">
        <v>44879.87171296297</v>
      </c>
      <c r="C131" s="1" t="n">
        <v>46188</v>
      </c>
      <c r="D131" t="inlineStr">
        <is>
          <t>VÄSTMANLANDS LÄN</t>
        </is>
      </c>
      <c r="E131" t="inlineStr">
        <is>
          <t>SALA</t>
        </is>
      </c>
      <c r="G131" t="n">
        <v>2.7</v>
      </c>
      <c r="H131" t="n">
        <v>0</v>
      </c>
      <c r="I131" t="n">
        <v>0</v>
      </c>
      <c r="J131" t="n">
        <v>0</v>
      </c>
      <c r="K131" t="n">
        <v>0</v>
      </c>
      <c r="L131" t="n">
        <v>0</v>
      </c>
      <c r="M131" t="n">
        <v>0</v>
      </c>
      <c r="N131" t="n">
        <v>0</v>
      </c>
      <c r="O131" t="n">
        <v>0</v>
      </c>
      <c r="P131" t="n">
        <v>0</v>
      </c>
      <c r="Q131" t="n">
        <v>0</v>
      </c>
      <c r="R131" s="2" t="inlineStr"/>
    </row>
    <row r="132" ht="15" customHeight="1">
      <c r="A132" t="inlineStr">
        <is>
          <t>A 23847-2022</t>
        </is>
      </c>
      <c r="B132" s="1" t="n">
        <v>44722</v>
      </c>
      <c r="C132" s="1" t="n">
        <v>46188</v>
      </c>
      <c r="D132" t="inlineStr">
        <is>
          <t>VÄSTMANLANDS LÄN</t>
        </is>
      </c>
      <c r="E132" t="inlineStr">
        <is>
          <t>SALA</t>
        </is>
      </c>
      <c r="G132" t="n">
        <v>1</v>
      </c>
      <c r="H132" t="n">
        <v>0</v>
      </c>
      <c r="I132" t="n">
        <v>0</v>
      </c>
      <c r="J132" t="n">
        <v>0</v>
      </c>
      <c r="K132" t="n">
        <v>0</v>
      </c>
      <c r="L132" t="n">
        <v>0</v>
      </c>
      <c r="M132" t="n">
        <v>0</v>
      </c>
      <c r="N132" t="n">
        <v>0</v>
      </c>
      <c r="O132" t="n">
        <v>0</v>
      </c>
      <c r="P132" t="n">
        <v>0</v>
      </c>
      <c r="Q132" t="n">
        <v>0</v>
      </c>
      <c r="R132" s="2" t="inlineStr"/>
    </row>
    <row r="133" ht="15" customHeight="1">
      <c r="A133" t="inlineStr">
        <is>
          <t>A 30915-2021</t>
        </is>
      </c>
      <c r="B133" s="1" t="n">
        <v>44365</v>
      </c>
      <c r="C133" s="1" t="n">
        <v>46188</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30918-2021</t>
        </is>
      </c>
      <c r="B134" s="1" t="n">
        <v>44365.60569444444</v>
      </c>
      <c r="C134" s="1" t="n">
        <v>46188</v>
      </c>
      <c r="D134" t="inlineStr">
        <is>
          <t>VÄSTMANLANDS LÄN</t>
        </is>
      </c>
      <c r="E134" t="inlineStr">
        <is>
          <t>SALA</t>
        </is>
      </c>
      <c r="G134" t="n">
        <v>0.7</v>
      </c>
      <c r="H134" t="n">
        <v>0</v>
      </c>
      <c r="I134" t="n">
        <v>0</v>
      </c>
      <c r="J134" t="n">
        <v>0</v>
      </c>
      <c r="K134" t="n">
        <v>0</v>
      </c>
      <c r="L134" t="n">
        <v>0</v>
      </c>
      <c r="M134" t="n">
        <v>0</v>
      </c>
      <c r="N134" t="n">
        <v>0</v>
      </c>
      <c r="O134" t="n">
        <v>0</v>
      </c>
      <c r="P134" t="n">
        <v>0</v>
      </c>
      <c r="Q134" t="n">
        <v>0</v>
      </c>
      <c r="R134" s="2" t="inlineStr"/>
    </row>
    <row r="135" ht="15" customHeight="1">
      <c r="A135" t="inlineStr">
        <is>
          <t>A 22562-2022</t>
        </is>
      </c>
      <c r="B135" s="1" t="n">
        <v>44713</v>
      </c>
      <c r="C135" s="1" t="n">
        <v>46188</v>
      </c>
      <c r="D135" t="inlineStr">
        <is>
          <t>VÄSTMANLANDS LÄN</t>
        </is>
      </c>
      <c r="E135" t="inlineStr">
        <is>
          <t>SALA</t>
        </is>
      </c>
      <c r="G135" t="n">
        <v>0.8</v>
      </c>
      <c r="H135" t="n">
        <v>0</v>
      </c>
      <c r="I135" t="n">
        <v>0</v>
      </c>
      <c r="J135" t="n">
        <v>0</v>
      </c>
      <c r="K135" t="n">
        <v>0</v>
      </c>
      <c r="L135" t="n">
        <v>0</v>
      </c>
      <c r="M135" t="n">
        <v>0</v>
      </c>
      <c r="N135" t="n">
        <v>0</v>
      </c>
      <c r="O135" t="n">
        <v>0</v>
      </c>
      <c r="P135" t="n">
        <v>0</v>
      </c>
      <c r="Q135" t="n">
        <v>0</v>
      </c>
      <c r="R135" s="2" t="inlineStr"/>
    </row>
    <row r="136" ht="15" customHeight="1">
      <c r="A136" t="inlineStr">
        <is>
          <t>A 30904-2021</t>
        </is>
      </c>
      <c r="B136" s="1" t="n">
        <v>44365.5983449074</v>
      </c>
      <c r="C136" s="1" t="n">
        <v>46188</v>
      </c>
      <c r="D136" t="inlineStr">
        <is>
          <t>VÄSTMANLANDS LÄN</t>
        </is>
      </c>
      <c r="E136" t="inlineStr">
        <is>
          <t>SALA</t>
        </is>
      </c>
      <c r="G136" t="n">
        <v>1.9</v>
      </c>
      <c r="H136" t="n">
        <v>0</v>
      </c>
      <c r="I136" t="n">
        <v>0</v>
      </c>
      <c r="J136" t="n">
        <v>0</v>
      </c>
      <c r="K136" t="n">
        <v>0</v>
      </c>
      <c r="L136" t="n">
        <v>0</v>
      </c>
      <c r="M136" t="n">
        <v>0</v>
      </c>
      <c r="N136" t="n">
        <v>0</v>
      </c>
      <c r="O136" t="n">
        <v>0</v>
      </c>
      <c r="P136" t="n">
        <v>0</v>
      </c>
      <c r="Q136" t="n">
        <v>0</v>
      </c>
      <c r="R136" s="2" t="inlineStr"/>
    </row>
    <row r="137" ht="15" customHeight="1">
      <c r="A137" t="inlineStr">
        <is>
          <t>A 65353-2021</t>
        </is>
      </c>
      <c r="B137" s="1" t="n">
        <v>44515</v>
      </c>
      <c r="C137" s="1" t="n">
        <v>46188</v>
      </c>
      <c r="D137" t="inlineStr">
        <is>
          <t>VÄSTMANLANDS LÄN</t>
        </is>
      </c>
      <c r="E137" t="inlineStr">
        <is>
          <t>SALA</t>
        </is>
      </c>
      <c r="G137" t="n">
        <v>1.5</v>
      </c>
      <c r="H137" t="n">
        <v>0</v>
      </c>
      <c r="I137" t="n">
        <v>0</v>
      </c>
      <c r="J137" t="n">
        <v>0</v>
      </c>
      <c r="K137" t="n">
        <v>0</v>
      </c>
      <c r="L137" t="n">
        <v>0</v>
      </c>
      <c r="M137" t="n">
        <v>0</v>
      </c>
      <c r="N137" t="n">
        <v>0</v>
      </c>
      <c r="O137" t="n">
        <v>0</v>
      </c>
      <c r="P137" t="n">
        <v>0</v>
      </c>
      <c r="Q137" t="n">
        <v>0</v>
      </c>
      <c r="R137" s="2" t="inlineStr"/>
    </row>
    <row r="138" ht="15" customHeight="1">
      <c r="A138" t="inlineStr">
        <is>
          <t>A 22575-2022</t>
        </is>
      </c>
      <c r="B138" s="1" t="n">
        <v>44713</v>
      </c>
      <c r="C138" s="1" t="n">
        <v>46188</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40094-2022</t>
        </is>
      </c>
      <c r="B139" s="1" t="n">
        <v>44819</v>
      </c>
      <c r="C139" s="1" t="n">
        <v>46188</v>
      </c>
      <c r="D139" t="inlineStr">
        <is>
          <t>VÄSTMANLANDS LÄN</t>
        </is>
      </c>
      <c r="E139" t="inlineStr">
        <is>
          <t>SALA</t>
        </is>
      </c>
      <c r="G139" t="n">
        <v>1.7</v>
      </c>
      <c r="H139" t="n">
        <v>0</v>
      </c>
      <c r="I139" t="n">
        <v>0</v>
      </c>
      <c r="J139" t="n">
        <v>0</v>
      </c>
      <c r="K139" t="n">
        <v>0</v>
      </c>
      <c r="L139" t="n">
        <v>0</v>
      </c>
      <c r="M139" t="n">
        <v>0</v>
      </c>
      <c r="N139" t="n">
        <v>0</v>
      </c>
      <c r="O139" t="n">
        <v>0</v>
      </c>
      <c r="P139" t="n">
        <v>0</v>
      </c>
      <c r="Q139" t="n">
        <v>0</v>
      </c>
      <c r="R139" s="2" t="inlineStr"/>
    </row>
    <row r="140" ht="15" customHeight="1">
      <c r="A140" t="inlineStr">
        <is>
          <t>A 53630-2022</t>
        </is>
      </c>
      <c r="B140" s="1" t="n">
        <v>44879.87533564815</v>
      </c>
      <c r="C140" s="1" t="n">
        <v>46188</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63290-2021</t>
        </is>
      </c>
      <c r="B141" s="1" t="n">
        <v>44505</v>
      </c>
      <c r="C141" s="1" t="n">
        <v>46188</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72405-2021</t>
        </is>
      </c>
      <c r="B142" s="1" t="n">
        <v>44545</v>
      </c>
      <c r="C142" s="1" t="n">
        <v>46188</v>
      </c>
      <c r="D142" t="inlineStr">
        <is>
          <t>VÄSTMANLANDS LÄN</t>
        </is>
      </c>
      <c r="E142" t="inlineStr">
        <is>
          <t>SALA</t>
        </is>
      </c>
      <c r="G142" t="n">
        <v>1</v>
      </c>
      <c r="H142" t="n">
        <v>0</v>
      </c>
      <c r="I142" t="n">
        <v>0</v>
      </c>
      <c r="J142" t="n">
        <v>0</v>
      </c>
      <c r="K142" t="n">
        <v>0</v>
      </c>
      <c r="L142" t="n">
        <v>0</v>
      </c>
      <c r="M142" t="n">
        <v>0</v>
      </c>
      <c r="N142" t="n">
        <v>0</v>
      </c>
      <c r="O142" t="n">
        <v>0</v>
      </c>
      <c r="P142" t="n">
        <v>0</v>
      </c>
      <c r="Q142" t="n">
        <v>0</v>
      </c>
      <c r="R142" s="2" t="inlineStr"/>
    </row>
    <row r="143" ht="15" customHeight="1">
      <c r="A143" t="inlineStr">
        <is>
          <t>A 73519-2021</t>
        </is>
      </c>
      <c r="B143" s="1" t="n">
        <v>44551</v>
      </c>
      <c r="C143" s="1" t="n">
        <v>46188</v>
      </c>
      <c r="D143" t="inlineStr">
        <is>
          <t>VÄSTMANLANDS LÄN</t>
        </is>
      </c>
      <c r="E143" t="inlineStr">
        <is>
          <t>SALA</t>
        </is>
      </c>
      <c r="G143" t="n">
        <v>0.3</v>
      </c>
      <c r="H143" t="n">
        <v>0</v>
      </c>
      <c r="I143" t="n">
        <v>0</v>
      </c>
      <c r="J143" t="n">
        <v>0</v>
      </c>
      <c r="K143" t="n">
        <v>0</v>
      </c>
      <c r="L143" t="n">
        <v>0</v>
      </c>
      <c r="M143" t="n">
        <v>0</v>
      </c>
      <c r="N143" t="n">
        <v>0</v>
      </c>
      <c r="O143" t="n">
        <v>0</v>
      </c>
      <c r="P143" t="n">
        <v>0</v>
      </c>
      <c r="Q143" t="n">
        <v>0</v>
      </c>
      <c r="R143" s="2" t="inlineStr"/>
    </row>
    <row r="144" ht="15" customHeight="1">
      <c r="A144" t="inlineStr">
        <is>
          <t>A 72805-2021</t>
        </is>
      </c>
      <c r="B144" s="1" t="n">
        <v>44546</v>
      </c>
      <c r="C144" s="1" t="n">
        <v>46188</v>
      </c>
      <c r="D144" t="inlineStr">
        <is>
          <t>VÄSTMANLANDS LÄN</t>
        </is>
      </c>
      <c r="E144" t="inlineStr">
        <is>
          <t>SALA</t>
        </is>
      </c>
      <c r="G144" t="n">
        <v>7.8</v>
      </c>
      <c r="H144" t="n">
        <v>0</v>
      </c>
      <c r="I144" t="n">
        <v>0</v>
      </c>
      <c r="J144" t="n">
        <v>0</v>
      </c>
      <c r="K144" t="n">
        <v>0</v>
      </c>
      <c r="L144" t="n">
        <v>0</v>
      </c>
      <c r="M144" t="n">
        <v>0</v>
      </c>
      <c r="N144" t="n">
        <v>0</v>
      </c>
      <c r="O144" t="n">
        <v>0</v>
      </c>
      <c r="P144" t="n">
        <v>0</v>
      </c>
      <c r="Q144" t="n">
        <v>0</v>
      </c>
      <c r="R144" s="2" t="inlineStr"/>
    </row>
    <row r="145" ht="15" customHeight="1">
      <c r="A145" t="inlineStr">
        <is>
          <t>A 72808-2021</t>
        </is>
      </c>
      <c r="B145" s="1" t="n">
        <v>44546</v>
      </c>
      <c r="C145" s="1" t="n">
        <v>46188</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37881-2021</t>
        </is>
      </c>
      <c r="B146" s="1" t="n">
        <v>44403</v>
      </c>
      <c r="C146" s="1" t="n">
        <v>46188</v>
      </c>
      <c r="D146" t="inlineStr">
        <is>
          <t>VÄSTMANLANDS LÄN</t>
        </is>
      </c>
      <c r="E146" t="inlineStr">
        <is>
          <t>SALA</t>
        </is>
      </c>
      <c r="G146" t="n">
        <v>4.6</v>
      </c>
      <c r="H146" t="n">
        <v>0</v>
      </c>
      <c r="I146" t="n">
        <v>0</v>
      </c>
      <c r="J146" t="n">
        <v>0</v>
      </c>
      <c r="K146" t="n">
        <v>0</v>
      </c>
      <c r="L146" t="n">
        <v>0</v>
      </c>
      <c r="M146" t="n">
        <v>0</v>
      </c>
      <c r="N146" t="n">
        <v>0</v>
      </c>
      <c r="O146" t="n">
        <v>0</v>
      </c>
      <c r="P146" t="n">
        <v>0</v>
      </c>
      <c r="Q146" t="n">
        <v>0</v>
      </c>
      <c r="R146" s="2" t="inlineStr"/>
    </row>
    <row r="147" ht="15" customHeight="1">
      <c r="A147" t="inlineStr">
        <is>
          <t>A 40113-2022</t>
        </is>
      </c>
      <c r="B147" s="1" t="n">
        <v>44819</v>
      </c>
      <c r="C147" s="1" t="n">
        <v>46188</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29233-2022</t>
        </is>
      </c>
      <c r="B148" s="1" t="n">
        <v>44750</v>
      </c>
      <c r="C148" s="1" t="n">
        <v>46188</v>
      </c>
      <c r="D148" t="inlineStr">
        <is>
          <t>VÄSTMANLANDS LÄN</t>
        </is>
      </c>
      <c r="E148" t="inlineStr">
        <is>
          <t>SALA</t>
        </is>
      </c>
      <c r="G148" t="n">
        <v>2.4</v>
      </c>
      <c r="H148" t="n">
        <v>0</v>
      </c>
      <c r="I148" t="n">
        <v>0</v>
      </c>
      <c r="J148" t="n">
        <v>0</v>
      </c>
      <c r="K148" t="n">
        <v>0</v>
      </c>
      <c r="L148" t="n">
        <v>0</v>
      </c>
      <c r="M148" t="n">
        <v>0</v>
      </c>
      <c r="N148" t="n">
        <v>0</v>
      </c>
      <c r="O148" t="n">
        <v>0</v>
      </c>
      <c r="P148" t="n">
        <v>0</v>
      </c>
      <c r="Q148" t="n">
        <v>0</v>
      </c>
      <c r="R148" s="2" t="inlineStr"/>
    </row>
    <row r="149" ht="15" customHeight="1">
      <c r="A149" t="inlineStr">
        <is>
          <t>A 41876-2022</t>
        </is>
      </c>
      <c r="B149" s="1" t="n">
        <v>44829.97008101852</v>
      </c>
      <c r="C149" s="1" t="n">
        <v>46188</v>
      </c>
      <c r="D149" t="inlineStr">
        <is>
          <t>VÄSTMANLANDS LÄN</t>
        </is>
      </c>
      <c r="E149" t="inlineStr">
        <is>
          <t>SALA</t>
        </is>
      </c>
      <c r="G149" t="n">
        <v>3.6</v>
      </c>
      <c r="H149" t="n">
        <v>0</v>
      </c>
      <c r="I149" t="n">
        <v>0</v>
      </c>
      <c r="J149" t="n">
        <v>0</v>
      </c>
      <c r="K149" t="n">
        <v>0</v>
      </c>
      <c r="L149" t="n">
        <v>0</v>
      </c>
      <c r="M149" t="n">
        <v>0</v>
      </c>
      <c r="N149" t="n">
        <v>0</v>
      </c>
      <c r="O149" t="n">
        <v>0</v>
      </c>
      <c r="P149" t="n">
        <v>0</v>
      </c>
      <c r="Q149" t="n">
        <v>0</v>
      </c>
      <c r="R149" s="2" t="inlineStr"/>
    </row>
    <row r="150" ht="15" customHeight="1">
      <c r="A150" t="inlineStr">
        <is>
          <t>A 67958-2021</t>
        </is>
      </c>
      <c r="B150" s="1" t="n">
        <v>44525</v>
      </c>
      <c r="C150" s="1" t="n">
        <v>46188</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67965-2021</t>
        </is>
      </c>
      <c r="B151" s="1" t="n">
        <v>44525</v>
      </c>
      <c r="C151" s="1" t="n">
        <v>46188</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45015-2022</t>
        </is>
      </c>
      <c r="B152" s="1" t="n">
        <v>44841.63766203704</v>
      </c>
      <c r="C152" s="1" t="n">
        <v>46188</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10168-2022</t>
        </is>
      </c>
      <c r="B153" s="1" t="n">
        <v>44622.37693287037</v>
      </c>
      <c r="C153" s="1" t="n">
        <v>46188</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57000-2021</t>
        </is>
      </c>
      <c r="B154" s="1" t="n">
        <v>44482.46760416667</v>
      </c>
      <c r="C154" s="1" t="n">
        <v>46188</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64932-2021</t>
        </is>
      </c>
      <c r="B155" s="1" t="n">
        <v>44512</v>
      </c>
      <c r="C155" s="1" t="n">
        <v>46188</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14024-2025</t>
        </is>
      </c>
      <c r="B156" s="1" t="n">
        <v>45740.34650462963</v>
      </c>
      <c r="C156" s="1" t="n">
        <v>46188</v>
      </c>
      <c r="D156" t="inlineStr">
        <is>
          <t>VÄSTMANLANDS LÄN</t>
        </is>
      </c>
      <c r="E156" t="inlineStr">
        <is>
          <t>SALA</t>
        </is>
      </c>
      <c r="G156" t="n">
        <v>1.1</v>
      </c>
      <c r="H156" t="n">
        <v>0</v>
      </c>
      <c r="I156" t="n">
        <v>0</v>
      </c>
      <c r="J156" t="n">
        <v>0</v>
      </c>
      <c r="K156" t="n">
        <v>0</v>
      </c>
      <c r="L156" t="n">
        <v>0</v>
      </c>
      <c r="M156" t="n">
        <v>0</v>
      </c>
      <c r="N156" t="n">
        <v>0</v>
      </c>
      <c r="O156" t="n">
        <v>0</v>
      </c>
      <c r="P156" t="n">
        <v>0</v>
      </c>
      <c r="Q156" t="n">
        <v>0</v>
      </c>
      <c r="R156" s="2" t="inlineStr"/>
    </row>
    <row r="157" ht="15" customHeight="1">
      <c r="A157" t="inlineStr">
        <is>
          <t>A 26692-2023</t>
        </is>
      </c>
      <c r="B157" s="1" t="n">
        <v>45093.360625</v>
      </c>
      <c r="C157" s="1" t="n">
        <v>46188</v>
      </c>
      <c r="D157" t="inlineStr">
        <is>
          <t>VÄSTMANLANDS LÄN</t>
        </is>
      </c>
      <c r="E157" t="inlineStr">
        <is>
          <t>SALA</t>
        </is>
      </c>
      <c r="G157" t="n">
        <v>1.8</v>
      </c>
      <c r="H157" t="n">
        <v>0</v>
      </c>
      <c r="I157" t="n">
        <v>0</v>
      </c>
      <c r="J157" t="n">
        <v>0</v>
      </c>
      <c r="K157" t="n">
        <v>0</v>
      </c>
      <c r="L157" t="n">
        <v>0</v>
      </c>
      <c r="M157" t="n">
        <v>0</v>
      </c>
      <c r="N157" t="n">
        <v>0</v>
      </c>
      <c r="O157" t="n">
        <v>0</v>
      </c>
      <c r="P157" t="n">
        <v>0</v>
      </c>
      <c r="Q157" t="n">
        <v>0</v>
      </c>
      <c r="R157" s="2" t="inlineStr"/>
    </row>
    <row r="158" ht="15" customHeight="1">
      <c r="A158" t="inlineStr">
        <is>
          <t>A 54910-2023</t>
        </is>
      </c>
      <c r="B158" s="1" t="n">
        <v>45229</v>
      </c>
      <c r="C158" s="1" t="n">
        <v>46188</v>
      </c>
      <c r="D158" t="inlineStr">
        <is>
          <t>VÄSTMANLANDS LÄN</t>
        </is>
      </c>
      <c r="E158" t="inlineStr">
        <is>
          <t>SALA</t>
        </is>
      </c>
      <c r="G158" t="n">
        <v>2.4</v>
      </c>
      <c r="H158" t="n">
        <v>0</v>
      </c>
      <c r="I158" t="n">
        <v>0</v>
      </c>
      <c r="J158" t="n">
        <v>0</v>
      </c>
      <c r="K158" t="n">
        <v>0</v>
      </c>
      <c r="L158" t="n">
        <v>0</v>
      </c>
      <c r="M158" t="n">
        <v>0</v>
      </c>
      <c r="N158" t="n">
        <v>0</v>
      </c>
      <c r="O158" t="n">
        <v>0</v>
      </c>
      <c r="P158" t="n">
        <v>0</v>
      </c>
      <c r="Q158" t="n">
        <v>0</v>
      </c>
      <c r="R158" s="2" t="inlineStr"/>
    </row>
    <row r="159" ht="15" customHeight="1">
      <c r="A159" t="inlineStr">
        <is>
          <t>A 62449-2023</t>
        </is>
      </c>
      <c r="B159" s="1" t="n">
        <v>45268.49008101852</v>
      </c>
      <c r="C159" s="1" t="n">
        <v>46188</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17458-2024</t>
        </is>
      </c>
      <c r="B160" s="1" t="n">
        <v>45415</v>
      </c>
      <c r="C160" s="1" t="n">
        <v>46188</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58107-2021</t>
        </is>
      </c>
      <c r="B161" s="1" t="n">
        <v>44487</v>
      </c>
      <c r="C161" s="1" t="n">
        <v>46188</v>
      </c>
      <c r="D161" t="inlineStr">
        <is>
          <t>VÄSTMANLANDS LÄN</t>
        </is>
      </c>
      <c r="E161" t="inlineStr">
        <is>
          <t>SALA</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56543-2024</t>
        </is>
      </c>
      <c r="B162" s="1" t="n">
        <v>45625</v>
      </c>
      <c r="C162" s="1" t="n">
        <v>46188</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13022-2023</t>
        </is>
      </c>
      <c r="B163" s="1" t="n">
        <v>45002.33291666667</v>
      </c>
      <c r="C163" s="1" t="n">
        <v>46188</v>
      </c>
      <c r="D163" t="inlineStr">
        <is>
          <t>VÄSTMANLANDS LÄN</t>
        </is>
      </c>
      <c r="E163" t="inlineStr">
        <is>
          <t>SALA</t>
        </is>
      </c>
      <c r="G163" t="n">
        <v>1.5</v>
      </c>
      <c r="H163" t="n">
        <v>0</v>
      </c>
      <c r="I163" t="n">
        <v>0</v>
      </c>
      <c r="J163" t="n">
        <v>0</v>
      </c>
      <c r="K163" t="n">
        <v>0</v>
      </c>
      <c r="L163" t="n">
        <v>0</v>
      </c>
      <c r="M163" t="n">
        <v>0</v>
      </c>
      <c r="N163" t="n">
        <v>0</v>
      </c>
      <c r="O163" t="n">
        <v>0</v>
      </c>
      <c r="P163" t="n">
        <v>0</v>
      </c>
      <c r="Q163" t="n">
        <v>0</v>
      </c>
      <c r="R163" s="2" t="inlineStr"/>
    </row>
    <row r="164" ht="15" customHeight="1">
      <c r="A164" t="inlineStr">
        <is>
          <t>A 4853-2023</t>
        </is>
      </c>
      <c r="B164" s="1" t="n">
        <v>44957.73234953704</v>
      </c>
      <c r="C164" s="1" t="n">
        <v>46188</v>
      </c>
      <c r="D164" t="inlineStr">
        <is>
          <t>VÄSTMANLANDS LÄN</t>
        </is>
      </c>
      <c r="E164" t="inlineStr">
        <is>
          <t>SALA</t>
        </is>
      </c>
      <c r="G164" t="n">
        <v>2.7</v>
      </c>
      <c r="H164" t="n">
        <v>0</v>
      </c>
      <c r="I164" t="n">
        <v>0</v>
      </c>
      <c r="J164" t="n">
        <v>0</v>
      </c>
      <c r="K164" t="n">
        <v>0</v>
      </c>
      <c r="L164" t="n">
        <v>0</v>
      </c>
      <c r="M164" t="n">
        <v>0</v>
      </c>
      <c r="N164" t="n">
        <v>0</v>
      </c>
      <c r="O164" t="n">
        <v>0</v>
      </c>
      <c r="P164" t="n">
        <v>0</v>
      </c>
      <c r="Q164" t="n">
        <v>0</v>
      </c>
      <c r="R164" s="2" t="inlineStr"/>
    </row>
    <row r="165" ht="15" customHeight="1">
      <c r="A165" t="inlineStr">
        <is>
          <t>A 6097-2022</t>
        </is>
      </c>
      <c r="B165" s="1" t="n">
        <v>44599</v>
      </c>
      <c r="C165" s="1" t="n">
        <v>46188</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12246-2023</t>
        </is>
      </c>
      <c r="B166" s="1" t="n">
        <v>44995</v>
      </c>
      <c r="C166" s="1" t="n">
        <v>46188</v>
      </c>
      <c r="D166" t="inlineStr">
        <is>
          <t>VÄSTMANLANDS LÄN</t>
        </is>
      </c>
      <c r="E166" t="inlineStr">
        <is>
          <t>SALA</t>
        </is>
      </c>
      <c r="G166" t="n">
        <v>2.4</v>
      </c>
      <c r="H166" t="n">
        <v>0</v>
      </c>
      <c r="I166" t="n">
        <v>0</v>
      </c>
      <c r="J166" t="n">
        <v>0</v>
      </c>
      <c r="K166" t="n">
        <v>0</v>
      </c>
      <c r="L166" t="n">
        <v>0</v>
      </c>
      <c r="M166" t="n">
        <v>0</v>
      </c>
      <c r="N166" t="n">
        <v>0</v>
      </c>
      <c r="O166" t="n">
        <v>0</v>
      </c>
      <c r="P166" t="n">
        <v>0</v>
      </c>
      <c r="Q166" t="n">
        <v>0</v>
      </c>
      <c r="R166" s="2" t="inlineStr"/>
    </row>
    <row r="167" ht="15" customHeight="1">
      <c r="A167" t="inlineStr">
        <is>
          <t>A 13188-2025</t>
        </is>
      </c>
      <c r="B167" s="1" t="n">
        <v>45735.39246527778</v>
      </c>
      <c r="C167" s="1" t="n">
        <v>46188</v>
      </c>
      <c r="D167" t="inlineStr">
        <is>
          <t>VÄSTMANLANDS LÄN</t>
        </is>
      </c>
      <c r="E167" t="inlineStr">
        <is>
          <t>SALA</t>
        </is>
      </c>
      <c r="F167" t="inlineStr">
        <is>
          <t>Naturvårdsverket</t>
        </is>
      </c>
      <c r="G167" t="n">
        <v>18.4</v>
      </c>
      <c r="H167" t="n">
        <v>0</v>
      </c>
      <c r="I167" t="n">
        <v>0</v>
      </c>
      <c r="J167" t="n">
        <v>0</v>
      </c>
      <c r="K167" t="n">
        <v>0</v>
      </c>
      <c r="L167" t="n">
        <v>0</v>
      </c>
      <c r="M167" t="n">
        <v>0</v>
      </c>
      <c r="N167" t="n">
        <v>0</v>
      </c>
      <c r="O167" t="n">
        <v>0</v>
      </c>
      <c r="P167" t="n">
        <v>0</v>
      </c>
      <c r="Q167" t="n">
        <v>0</v>
      </c>
      <c r="R167" s="2" t="inlineStr"/>
    </row>
    <row r="168" ht="15" customHeight="1">
      <c r="A168" t="inlineStr">
        <is>
          <t>A 48710-2025</t>
        </is>
      </c>
      <c r="B168" s="1" t="n">
        <v>45936.63184027778</v>
      </c>
      <c r="C168" s="1" t="n">
        <v>46188</v>
      </c>
      <c r="D168" t="inlineStr">
        <is>
          <t>VÄSTMANLANDS LÄN</t>
        </is>
      </c>
      <c r="E168" t="inlineStr">
        <is>
          <t>SALA</t>
        </is>
      </c>
      <c r="G168" t="n">
        <v>2.7</v>
      </c>
      <c r="H168" t="n">
        <v>0</v>
      </c>
      <c r="I168" t="n">
        <v>0</v>
      </c>
      <c r="J168" t="n">
        <v>0</v>
      </c>
      <c r="K168" t="n">
        <v>0</v>
      </c>
      <c r="L168" t="n">
        <v>0</v>
      </c>
      <c r="M168" t="n">
        <v>0</v>
      </c>
      <c r="N168" t="n">
        <v>0</v>
      </c>
      <c r="O168" t="n">
        <v>0</v>
      </c>
      <c r="P168" t="n">
        <v>0</v>
      </c>
      <c r="Q168" t="n">
        <v>0</v>
      </c>
      <c r="R168" s="2" t="inlineStr"/>
    </row>
    <row r="169" ht="15" customHeight="1">
      <c r="A169" t="inlineStr">
        <is>
          <t>A 42447-2022</t>
        </is>
      </c>
      <c r="B169" s="1" t="n">
        <v>44831</v>
      </c>
      <c r="C169" s="1" t="n">
        <v>46188</v>
      </c>
      <c r="D169" t="inlineStr">
        <is>
          <t>VÄSTMANLANDS LÄN</t>
        </is>
      </c>
      <c r="E169" t="inlineStr">
        <is>
          <t>SALA</t>
        </is>
      </c>
      <c r="G169" t="n">
        <v>1.1</v>
      </c>
      <c r="H169" t="n">
        <v>0</v>
      </c>
      <c r="I169" t="n">
        <v>0</v>
      </c>
      <c r="J169" t="n">
        <v>0</v>
      </c>
      <c r="K169" t="n">
        <v>0</v>
      </c>
      <c r="L169" t="n">
        <v>0</v>
      </c>
      <c r="M169" t="n">
        <v>0</v>
      </c>
      <c r="N169" t="n">
        <v>0</v>
      </c>
      <c r="O169" t="n">
        <v>0</v>
      </c>
      <c r="P169" t="n">
        <v>0</v>
      </c>
      <c r="Q169" t="n">
        <v>0</v>
      </c>
      <c r="R169" s="2" t="inlineStr"/>
    </row>
    <row r="170" ht="15" customHeight="1">
      <c r="A170" t="inlineStr">
        <is>
          <t>A 33732-2023</t>
        </is>
      </c>
      <c r="B170" s="1" t="n">
        <v>45133.32409722222</v>
      </c>
      <c r="C170" s="1" t="n">
        <v>46188</v>
      </c>
      <c r="D170" t="inlineStr">
        <is>
          <t>VÄSTMANLANDS LÄN</t>
        </is>
      </c>
      <c r="E170" t="inlineStr">
        <is>
          <t>SALA</t>
        </is>
      </c>
      <c r="G170" t="n">
        <v>2</v>
      </c>
      <c r="H170" t="n">
        <v>0</v>
      </c>
      <c r="I170" t="n">
        <v>0</v>
      </c>
      <c r="J170" t="n">
        <v>0</v>
      </c>
      <c r="K170" t="n">
        <v>0</v>
      </c>
      <c r="L170" t="n">
        <v>0</v>
      </c>
      <c r="M170" t="n">
        <v>0</v>
      </c>
      <c r="N170" t="n">
        <v>0</v>
      </c>
      <c r="O170" t="n">
        <v>0</v>
      </c>
      <c r="P170" t="n">
        <v>0</v>
      </c>
      <c r="Q170" t="n">
        <v>0</v>
      </c>
      <c r="R170" s="2" t="inlineStr"/>
    </row>
    <row r="171" ht="15" customHeight="1">
      <c r="A171" t="inlineStr">
        <is>
          <t>A 59909-2024</t>
        </is>
      </c>
      <c r="B171" s="1" t="n">
        <v>45641</v>
      </c>
      <c r="C171" s="1" t="n">
        <v>46188</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49640-2025</t>
        </is>
      </c>
      <c r="B172" s="1" t="n">
        <v>45939.61459490741</v>
      </c>
      <c r="C172" s="1" t="n">
        <v>46188</v>
      </c>
      <c r="D172" t="inlineStr">
        <is>
          <t>VÄSTMANLANDS LÄN</t>
        </is>
      </c>
      <c r="E172" t="inlineStr">
        <is>
          <t>SALA</t>
        </is>
      </c>
      <c r="F172" t="inlineStr">
        <is>
          <t>Kommuner</t>
        </is>
      </c>
      <c r="G172" t="n">
        <v>18.8</v>
      </c>
      <c r="H172" t="n">
        <v>0</v>
      </c>
      <c r="I172" t="n">
        <v>0</v>
      </c>
      <c r="J172" t="n">
        <v>0</v>
      </c>
      <c r="K172" t="n">
        <v>0</v>
      </c>
      <c r="L172" t="n">
        <v>0</v>
      </c>
      <c r="M172" t="n">
        <v>0</v>
      </c>
      <c r="N172" t="n">
        <v>0</v>
      </c>
      <c r="O172" t="n">
        <v>0</v>
      </c>
      <c r="P172" t="n">
        <v>0</v>
      </c>
      <c r="Q172" t="n">
        <v>0</v>
      </c>
      <c r="R172" s="2" t="inlineStr"/>
    </row>
    <row r="173" ht="15" customHeight="1">
      <c r="A173" t="inlineStr">
        <is>
          <t>A 41292-2021</t>
        </is>
      </c>
      <c r="B173" s="1" t="n">
        <v>44424</v>
      </c>
      <c r="C173" s="1" t="n">
        <v>46188</v>
      </c>
      <c r="D173" t="inlineStr">
        <is>
          <t>VÄSTMANLANDS LÄN</t>
        </is>
      </c>
      <c r="E173" t="inlineStr">
        <is>
          <t>SALA</t>
        </is>
      </c>
      <c r="G173" t="n">
        <v>0.3</v>
      </c>
      <c r="H173" t="n">
        <v>0</v>
      </c>
      <c r="I173" t="n">
        <v>0</v>
      </c>
      <c r="J173" t="n">
        <v>0</v>
      </c>
      <c r="K173" t="n">
        <v>0</v>
      </c>
      <c r="L173" t="n">
        <v>0</v>
      </c>
      <c r="M173" t="n">
        <v>0</v>
      </c>
      <c r="N173" t="n">
        <v>0</v>
      </c>
      <c r="O173" t="n">
        <v>0</v>
      </c>
      <c r="P173" t="n">
        <v>0</v>
      </c>
      <c r="Q173" t="n">
        <v>0</v>
      </c>
      <c r="R173" s="2" t="inlineStr"/>
    </row>
    <row r="174" ht="15" customHeight="1">
      <c r="A174" t="inlineStr">
        <is>
          <t>A 50128-2025</t>
        </is>
      </c>
      <c r="B174" s="1" t="n">
        <v>45943.55318287037</v>
      </c>
      <c r="C174" s="1" t="n">
        <v>46188</v>
      </c>
      <c r="D174" t="inlineStr">
        <is>
          <t>VÄSTMANLANDS LÄN</t>
        </is>
      </c>
      <c r="E174" t="inlineStr">
        <is>
          <t>SALA</t>
        </is>
      </c>
      <c r="G174" t="n">
        <v>1</v>
      </c>
      <c r="H174" t="n">
        <v>0</v>
      </c>
      <c r="I174" t="n">
        <v>0</v>
      </c>
      <c r="J174" t="n">
        <v>0</v>
      </c>
      <c r="K174" t="n">
        <v>0</v>
      </c>
      <c r="L174" t="n">
        <v>0</v>
      </c>
      <c r="M174" t="n">
        <v>0</v>
      </c>
      <c r="N174" t="n">
        <v>0</v>
      </c>
      <c r="O174" t="n">
        <v>0</v>
      </c>
      <c r="P174" t="n">
        <v>0</v>
      </c>
      <c r="Q174" t="n">
        <v>0</v>
      </c>
      <c r="R174" s="2" t="inlineStr"/>
    </row>
    <row r="175" ht="15" customHeight="1">
      <c r="A175" t="inlineStr">
        <is>
          <t>A 50119-2025</t>
        </is>
      </c>
      <c r="B175" s="1" t="n">
        <v>45943.54883101852</v>
      </c>
      <c r="C175" s="1" t="n">
        <v>46188</v>
      </c>
      <c r="D175" t="inlineStr">
        <is>
          <t>VÄSTMANLANDS LÄN</t>
        </is>
      </c>
      <c r="E175" t="inlineStr">
        <is>
          <t>SALA</t>
        </is>
      </c>
      <c r="G175" t="n">
        <v>3.3</v>
      </c>
      <c r="H175" t="n">
        <v>0</v>
      </c>
      <c r="I175" t="n">
        <v>0</v>
      </c>
      <c r="J175" t="n">
        <v>0</v>
      </c>
      <c r="K175" t="n">
        <v>0</v>
      </c>
      <c r="L175" t="n">
        <v>0</v>
      </c>
      <c r="M175" t="n">
        <v>0</v>
      </c>
      <c r="N175" t="n">
        <v>0</v>
      </c>
      <c r="O175" t="n">
        <v>0</v>
      </c>
      <c r="P175" t="n">
        <v>0</v>
      </c>
      <c r="Q175" t="n">
        <v>0</v>
      </c>
      <c r="R175" s="2" t="inlineStr"/>
    </row>
    <row r="176" ht="15" customHeight="1">
      <c r="A176" t="inlineStr">
        <is>
          <t>A 23431-2024</t>
        </is>
      </c>
      <c r="B176" s="1" t="n">
        <v>45453</v>
      </c>
      <c r="C176" s="1" t="n">
        <v>46188</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50059-2025</t>
        </is>
      </c>
      <c r="B177" s="1" t="n">
        <v>45943.44125</v>
      </c>
      <c r="C177" s="1" t="n">
        <v>46188</v>
      </c>
      <c r="D177" t="inlineStr">
        <is>
          <t>VÄSTMANLANDS LÄN</t>
        </is>
      </c>
      <c r="E177" t="inlineStr">
        <is>
          <t>SALA</t>
        </is>
      </c>
      <c r="G177" t="n">
        <v>4.4</v>
      </c>
      <c r="H177" t="n">
        <v>0</v>
      </c>
      <c r="I177" t="n">
        <v>0</v>
      </c>
      <c r="J177" t="n">
        <v>0</v>
      </c>
      <c r="K177" t="n">
        <v>0</v>
      </c>
      <c r="L177" t="n">
        <v>0</v>
      </c>
      <c r="M177" t="n">
        <v>0</v>
      </c>
      <c r="N177" t="n">
        <v>0</v>
      </c>
      <c r="O177" t="n">
        <v>0</v>
      </c>
      <c r="P177" t="n">
        <v>0</v>
      </c>
      <c r="Q177" t="n">
        <v>0</v>
      </c>
      <c r="R177" s="2" t="inlineStr"/>
    </row>
    <row r="178" ht="15" customHeight="1">
      <c r="A178" t="inlineStr">
        <is>
          <t>A 38574-2025</t>
        </is>
      </c>
      <c r="B178" s="1" t="n">
        <v>45884.46390046296</v>
      </c>
      <c r="C178" s="1" t="n">
        <v>46188</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50249-2025</t>
        </is>
      </c>
      <c r="B179" s="1" t="n">
        <v>45944.31508101852</v>
      </c>
      <c r="C179" s="1" t="n">
        <v>46188</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51464-2024</t>
        </is>
      </c>
      <c r="B180" s="1" t="n">
        <v>45604.49768518518</v>
      </c>
      <c r="C180" s="1" t="n">
        <v>46188</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54603-2024</t>
        </is>
      </c>
      <c r="B181" s="1" t="n">
        <v>45617.68224537037</v>
      </c>
      <c r="C181" s="1" t="n">
        <v>46188</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69232-2021</t>
        </is>
      </c>
      <c r="B182" s="1" t="n">
        <v>44531.39696759259</v>
      </c>
      <c r="C182" s="1" t="n">
        <v>46188</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21754-2025</t>
        </is>
      </c>
      <c r="B183" s="1" t="n">
        <v>45783.61837962963</v>
      </c>
      <c r="C183" s="1" t="n">
        <v>46188</v>
      </c>
      <c r="D183" t="inlineStr">
        <is>
          <t>VÄSTMANLANDS LÄN</t>
        </is>
      </c>
      <c r="E183" t="inlineStr">
        <is>
          <t>SALA</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21751-2025</t>
        </is>
      </c>
      <c r="B184" s="1" t="n">
        <v>45783.61372685185</v>
      </c>
      <c r="C184" s="1" t="n">
        <v>46188</v>
      </c>
      <c r="D184" t="inlineStr">
        <is>
          <t>VÄSTMANLANDS LÄN</t>
        </is>
      </c>
      <c r="E184" t="inlineStr">
        <is>
          <t>SALA</t>
        </is>
      </c>
      <c r="G184" t="n">
        <v>1</v>
      </c>
      <c r="H184" t="n">
        <v>0</v>
      </c>
      <c r="I184" t="n">
        <v>0</v>
      </c>
      <c r="J184" t="n">
        <v>0</v>
      </c>
      <c r="K184" t="n">
        <v>0</v>
      </c>
      <c r="L184" t="n">
        <v>0</v>
      </c>
      <c r="M184" t="n">
        <v>0</v>
      </c>
      <c r="N184" t="n">
        <v>0</v>
      </c>
      <c r="O184" t="n">
        <v>0</v>
      </c>
      <c r="P184" t="n">
        <v>0</v>
      </c>
      <c r="Q184" t="n">
        <v>0</v>
      </c>
      <c r="R184" s="2" t="inlineStr"/>
    </row>
    <row r="185" ht="15" customHeight="1">
      <c r="A185" t="inlineStr">
        <is>
          <t>A 19398-2025</t>
        </is>
      </c>
      <c r="B185" s="1" t="n">
        <v>45769</v>
      </c>
      <c r="C185" s="1" t="n">
        <v>46188</v>
      </c>
      <c r="D185" t="inlineStr">
        <is>
          <t>VÄSTMANLANDS LÄN</t>
        </is>
      </c>
      <c r="E185" t="inlineStr">
        <is>
          <t>SALA</t>
        </is>
      </c>
      <c r="G185" t="n">
        <v>0.4</v>
      </c>
      <c r="H185" t="n">
        <v>0</v>
      </c>
      <c r="I185" t="n">
        <v>0</v>
      </c>
      <c r="J185" t="n">
        <v>0</v>
      </c>
      <c r="K185" t="n">
        <v>0</v>
      </c>
      <c r="L185" t="n">
        <v>0</v>
      </c>
      <c r="M185" t="n">
        <v>0</v>
      </c>
      <c r="N185" t="n">
        <v>0</v>
      </c>
      <c r="O185" t="n">
        <v>0</v>
      </c>
      <c r="P185" t="n">
        <v>0</v>
      </c>
      <c r="Q185" t="n">
        <v>0</v>
      </c>
      <c r="R185" s="2" t="inlineStr"/>
    </row>
    <row r="186" ht="15" customHeight="1">
      <c r="A186" t="inlineStr">
        <is>
          <t>A 51764-2025</t>
        </is>
      </c>
      <c r="B186" s="1" t="n">
        <v>45951.63636574074</v>
      </c>
      <c r="C186" s="1" t="n">
        <v>46188</v>
      </c>
      <c r="D186" t="inlineStr">
        <is>
          <t>VÄSTMANLANDS LÄN</t>
        </is>
      </c>
      <c r="E186" t="inlineStr">
        <is>
          <t>SALA</t>
        </is>
      </c>
      <c r="G186" t="n">
        <v>1.5</v>
      </c>
      <c r="H186" t="n">
        <v>0</v>
      </c>
      <c r="I186" t="n">
        <v>0</v>
      </c>
      <c r="J186" t="n">
        <v>0</v>
      </c>
      <c r="K186" t="n">
        <v>0</v>
      </c>
      <c r="L186" t="n">
        <v>0</v>
      </c>
      <c r="M186" t="n">
        <v>0</v>
      </c>
      <c r="N186" t="n">
        <v>0</v>
      </c>
      <c r="O186" t="n">
        <v>0</v>
      </c>
      <c r="P186" t="n">
        <v>0</v>
      </c>
      <c r="Q186" t="n">
        <v>0</v>
      </c>
      <c r="R186" s="2" t="inlineStr"/>
    </row>
    <row r="187" ht="15" customHeight="1">
      <c r="A187" t="inlineStr">
        <is>
          <t>A 4797-2023</t>
        </is>
      </c>
      <c r="B187" s="1" t="n">
        <v>44957</v>
      </c>
      <c r="C187" s="1" t="n">
        <v>46188</v>
      </c>
      <c r="D187" t="inlineStr">
        <is>
          <t>VÄSTMANLANDS LÄN</t>
        </is>
      </c>
      <c r="E187" t="inlineStr">
        <is>
          <t>SALA</t>
        </is>
      </c>
      <c r="G187" t="n">
        <v>5.7</v>
      </c>
      <c r="H187" t="n">
        <v>0</v>
      </c>
      <c r="I187" t="n">
        <v>0</v>
      </c>
      <c r="J187" t="n">
        <v>0</v>
      </c>
      <c r="K187" t="n">
        <v>0</v>
      </c>
      <c r="L187" t="n">
        <v>0</v>
      </c>
      <c r="M187" t="n">
        <v>0</v>
      </c>
      <c r="N187" t="n">
        <v>0</v>
      </c>
      <c r="O187" t="n">
        <v>0</v>
      </c>
      <c r="P187" t="n">
        <v>0</v>
      </c>
      <c r="Q187" t="n">
        <v>0</v>
      </c>
      <c r="R187" s="2" t="inlineStr"/>
    </row>
    <row r="188" ht="15" customHeight="1">
      <c r="A188" t="inlineStr">
        <is>
          <t>A 31864-2025</t>
        </is>
      </c>
      <c r="B188" s="1" t="n">
        <v>45834.63819444444</v>
      </c>
      <c r="C188" s="1" t="n">
        <v>46188</v>
      </c>
      <c r="D188" t="inlineStr">
        <is>
          <t>VÄSTMANLANDS LÄN</t>
        </is>
      </c>
      <c r="E188" t="inlineStr">
        <is>
          <t>SALA</t>
        </is>
      </c>
      <c r="G188" t="n">
        <v>6.3</v>
      </c>
      <c r="H188" t="n">
        <v>0</v>
      </c>
      <c r="I188" t="n">
        <v>0</v>
      </c>
      <c r="J188" t="n">
        <v>0</v>
      </c>
      <c r="K188" t="n">
        <v>0</v>
      </c>
      <c r="L188" t="n">
        <v>0</v>
      </c>
      <c r="M188" t="n">
        <v>0</v>
      </c>
      <c r="N188" t="n">
        <v>0</v>
      </c>
      <c r="O188" t="n">
        <v>0</v>
      </c>
      <c r="P188" t="n">
        <v>0</v>
      </c>
      <c r="Q188" t="n">
        <v>0</v>
      </c>
      <c r="R188" s="2" t="inlineStr"/>
    </row>
    <row r="189" ht="15" customHeight="1">
      <c r="A189" t="inlineStr">
        <is>
          <t>A 51626-2025</t>
        </is>
      </c>
      <c r="B189" s="1" t="n">
        <v>45951.41769675926</v>
      </c>
      <c r="C189" s="1" t="n">
        <v>46188</v>
      </c>
      <c r="D189" t="inlineStr">
        <is>
          <t>VÄSTMANLANDS LÄN</t>
        </is>
      </c>
      <c r="E189" t="inlineStr">
        <is>
          <t>SALA</t>
        </is>
      </c>
      <c r="G189" t="n">
        <v>2.6</v>
      </c>
      <c r="H189" t="n">
        <v>0</v>
      </c>
      <c r="I189" t="n">
        <v>0</v>
      </c>
      <c r="J189" t="n">
        <v>0</v>
      </c>
      <c r="K189" t="n">
        <v>0</v>
      </c>
      <c r="L189" t="n">
        <v>0</v>
      </c>
      <c r="M189" t="n">
        <v>0</v>
      </c>
      <c r="N189" t="n">
        <v>0</v>
      </c>
      <c r="O189" t="n">
        <v>0</v>
      </c>
      <c r="P189" t="n">
        <v>0</v>
      </c>
      <c r="Q189" t="n">
        <v>0</v>
      </c>
      <c r="R189" s="2" t="inlineStr"/>
    </row>
    <row r="190" ht="15" customHeight="1">
      <c r="A190" t="inlineStr">
        <is>
          <t>A 1638-2023</t>
        </is>
      </c>
      <c r="B190" s="1" t="n">
        <v>44937</v>
      </c>
      <c r="C190" s="1" t="n">
        <v>46188</v>
      </c>
      <c r="D190" t="inlineStr">
        <is>
          <t>VÄSTMANLANDS LÄN</t>
        </is>
      </c>
      <c r="E190" t="inlineStr">
        <is>
          <t>SALA</t>
        </is>
      </c>
      <c r="G190" t="n">
        <v>3.1</v>
      </c>
      <c r="H190" t="n">
        <v>0</v>
      </c>
      <c r="I190" t="n">
        <v>0</v>
      </c>
      <c r="J190" t="n">
        <v>0</v>
      </c>
      <c r="K190" t="n">
        <v>0</v>
      </c>
      <c r="L190" t="n">
        <v>0</v>
      </c>
      <c r="M190" t="n">
        <v>0</v>
      </c>
      <c r="N190" t="n">
        <v>0</v>
      </c>
      <c r="O190" t="n">
        <v>0</v>
      </c>
      <c r="P190" t="n">
        <v>0</v>
      </c>
      <c r="Q190" t="n">
        <v>0</v>
      </c>
      <c r="R190" s="2" t="inlineStr"/>
    </row>
    <row r="191" ht="15" customHeight="1">
      <c r="A191" t="inlineStr">
        <is>
          <t>A 15972-2024</t>
        </is>
      </c>
      <c r="B191" s="1" t="n">
        <v>45405.56498842593</v>
      </c>
      <c r="C191" s="1" t="n">
        <v>46188</v>
      </c>
      <c r="D191" t="inlineStr">
        <is>
          <t>VÄSTMANLANDS LÄN</t>
        </is>
      </c>
      <c r="E191" t="inlineStr">
        <is>
          <t>SALA</t>
        </is>
      </c>
      <c r="G191" t="n">
        <v>1.8</v>
      </c>
      <c r="H191" t="n">
        <v>0</v>
      </c>
      <c r="I191" t="n">
        <v>0</v>
      </c>
      <c r="J191" t="n">
        <v>0</v>
      </c>
      <c r="K191" t="n">
        <v>0</v>
      </c>
      <c r="L191" t="n">
        <v>0</v>
      </c>
      <c r="M191" t="n">
        <v>0</v>
      </c>
      <c r="N191" t="n">
        <v>0</v>
      </c>
      <c r="O191" t="n">
        <v>0</v>
      </c>
      <c r="P191" t="n">
        <v>0</v>
      </c>
      <c r="Q191" t="n">
        <v>0</v>
      </c>
      <c r="R191" s="2" t="inlineStr"/>
    </row>
    <row r="192" ht="15" customHeight="1">
      <c r="A192" t="inlineStr">
        <is>
          <t>A 37958-2024</t>
        </is>
      </c>
      <c r="B192" s="1" t="n">
        <v>45544</v>
      </c>
      <c r="C192" s="1" t="n">
        <v>46188</v>
      </c>
      <c r="D192" t="inlineStr">
        <is>
          <t>VÄSTMANLANDS LÄN</t>
        </is>
      </c>
      <c r="E192" t="inlineStr">
        <is>
          <t>SALA</t>
        </is>
      </c>
      <c r="G192" t="n">
        <v>5.6</v>
      </c>
      <c r="H192" t="n">
        <v>0</v>
      </c>
      <c r="I192" t="n">
        <v>0</v>
      </c>
      <c r="J192" t="n">
        <v>0</v>
      </c>
      <c r="K192" t="n">
        <v>0</v>
      </c>
      <c r="L192" t="n">
        <v>0</v>
      </c>
      <c r="M192" t="n">
        <v>0</v>
      </c>
      <c r="N192" t="n">
        <v>0</v>
      </c>
      <c r="O192" t="n">
        <v>0</v>
      </c>
      <c r="P192" t="n">
        <v>0</v>
      </c>
      <c r="Q192" t="n">
        <v>0</v>
      </c>
      <c r="R192" s="2" t="inlineStr"/>
    </row>
    <row r="193" ht="15" customHeight="1">
      <c r="A193" t="inlineStr">
        <is>
          <t>A 52498-2022</t>
        </is>
      </c>
      <c r="B193" s="1" t="n">
        <v>44874.50152777778</v>
      </c>
      <c r="C193" s="1" t="n">
        <v>46188</v>
      </c>
      <c r="D193" t="inlineStr">
        <is>
          <t>VÄSTMANLANDS LÄN</t>
        </is>
      </c>
      <c r="E193" t="inlineStr">
        <is>
          <t>SALA</t>
        </is>
      </c>
      <c r="G193" t="n">
        <v>2.1</v>
      </c>
      <c r="H193" t="n">
        <v>0</v>
      </c>
      <c r="I193" t="n">
        <v>0</v>
      </c>
      <c r="J193" t="n">
        <v>0</v>
      </c>
      <c r="K193" t="n">
        <v>0</v>
      </c>
      <c r="L193" t="n">
        <v>0</v>
      </c>
      <c r="M193" t="n">
        <v>0</v>
      </c>
      <c r="N193" t="n">
        <v>0</v>
      </c>
      <c r="O193" t="n">
        <v>0</v>
      </c>
      <c r="P193" t="n">
        <v>0</v>
      </c>
      <c r="Q193" t="n">
        <v>0</v>
      </c>
      <c r="R193" s="2" t="inlineStr"/>
    </row>
    <row r="194" ht="15" customHeight="1">
      <c r="A194" t="inlineStr">
        <is>
          <t>A 53725-2025</t>
        </is>
      </c>
      <c r="B194" s="1" t="n">
        <v>45960.63394675926</v>
      </c>
      <c r="C194" s="1" t="n">
        <v>46188</v>
      </c>
      <c r="D194" t="inlineStr">
        <is>
          <t>VÄSTMANLANDS LÄN</t>
        </is>
      </c>
      <c r="E194" t="inlineStr">
        <is>
          <t>SALA</t>
        </is>
      </c>
      <c r="G194" t="n">
        <v>0.5</v>
      </c>
      <c r="H194" t="n">
        <v>0</v>
      </c>
      <c r="I194" t="n">
        <v>0</v>
      </c>
      <c r="J194" t="n">
        <v>0</v>
      </c>
      <c r="K194" t="n">
        <v>0</v>
      </c>
      <c r="L194" t="n">
        <v>0</v>
      </c>
      <c r="M194" t="n">
        <v>0</v>
      </c>
      <c r="N194" t="n">
        <v>0</v>
      </c>
      <c r="O194" t="n">
        <v>0</v>
      </c>
      <c r="P194" t="n">
        <v>0</v>
      </c>
      <c r="Q194" t="n">
        <v>0</v>
      </c>
      <c r="R194" s="2" t="inlineStr"/>
    </row>
    <row r="195" ht="15" customHeight="1">
      <c r="A195" t="inlineStr">
        <is>
          <t>A 53744-2025</t>
        </is>
      </c>
      <c r="B195" s="1" t="n">
        <v>45960.64863425926</v>
      </c>
      <c r="C195" s="1" t="n">
        <v>46188</v>
      </c>
      <c r="D195" t="inlineStr">
        <is>
          <t>VÄSTMANLANDS LÄN</t>
        </is>
      </c>
      <c r="E195" t="inlineStr">
        <is>
          <t>SALA</t>
        </is>
      </c>
      <c r="G195" t="n">
        <v>2</v>
      </c>
      <c r="H195" t="n">
        <v>0</v>
      </c>
      <c r="I195" t="n">
        <v>0</v>
      </c>
      <c r="J195" t="n">
        <v>0</v>
      </c>
      <c r="K195" t="n">
        <v>0</v>
      </c>
      <c r="L195" t="n">
        <v>0</v>
      </c>
      <c r="M195" t="n">
        <v>0</v>
      </c>
      <c r="N195" t="n">
        <v>0</v>
      </c>
      <c r="O195" t="n">
        <v>0</v>
      </c>
      <c r="P195" t="n">
        <v>0</v>
      </c>
      <c r="Q195" t="n">
        <v>0</v>
      </c>
      <c r="R195" s="2" t="inlineStr"/>
    </row>
    <row r="196" ht="15" customHeight="1">
      <c r="A196" t="inlineStr">
        <is>
          <t>A 53724-2025</t>
        </is>
      </c>
      <c r="B196" s="1" t="n">
        <v>45960.63174768518</v>
      </c>
      <c r="C196" s="1" t="n">
        <v>46188</v>
      </c>
      <c r="D196" t="inlineStr">
        <is>
          <t>VÄSTMANLANDS LÄN</t>
        </is>
      </c>
      <c r="E196" t="inlineStr">
        <is>
          <t>SALA</t>
        </is>
      </c>
      <c r="G196" t="n">
        <v>2.8</v>
      </c>
      <c r="H196" t="n">
        <v>0</v>
      </c>
      <c r="I196" t="n">
        <v>0</v>
      </c>
      <c r="J196" t="n">
        <v>0</v>
      </c>
      <c r="K196" t="n">
        <v>0</v>
      </c>
      <c r="L196" t="n">
        <v>0</v>
      </c>
      <c r="M196" t="n">
        <v>0</v>
      </c>
      <c r="N196" t="n">
        <v>0</v>
      </c>
      <c r="O196" t="n">
        <v>0</v>
      </c>
      <c r="P196" t="n">
        <v>0</v>
      </c>
      <c r="Q196" t="n">
        <v>0</v>
      </c>
      <c r="R196" s="2" t="inlineStr"/>
    </row>
    <row r="197" ht="15" customHeight="1">
      <c r="A197" t="inlineStr">
        <is>
          <t>A 1555-2024</t>
        </is>
      </c>
      <c r="B197" s="1" t="n">
        <v>45306</v>
      </c>
      <c r="C197" s="1" t="n">
        <v>46188</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40559-2025</t>
        </is>
      </c>
      <c r="B198" s="1" t="n">
        <v>45896.45037037037</v>
      </c>
      <c r="C198" s="1" t="n">
        <v>46188</v>
      </c>
      <c r="D198" t="inlineStr">
        <is>
          <t>VÄSTMANLANDS LÄN</t>
        </is>
      </c>
      <c r="E198" t="inlineStr">
        <is>
          <t>SALA</t>
        </is>
      </c>
      <c r="G198" t="n">
        <v>0.9</v>
      </c>
      <c r="H198" t="n">
        <v>0</v>
      </c>
      <c r="I198" t="n">
        <v>0</v>
      </c>
      <c r="J198" t="n">
        <v>0</v>
      </c>
      <c r="K198" t="n">
        <v>0</v>
      </c>
      <c r="L198" t="n">
        <v>0</v>
      </c>
      <c r="M198" t="n">
        <v>0</v>
      </c>
      <c r="N198" t="n">
        <v>0</v>
      </c>
      <c r="O198" t="n">
        <v>0</v>
      </c>
      <c r="P198" t="n">
        <v>0</v>
      </c>
      <c r="Q198" t="n">
        <v>0</v>
      </c>
      <c r="R198" s="2" t="inlineStr"/>
    </row>
    <row r="199" ht="15" customHeight="1">
      <c r="A199" t="inlineStr">
        <is>
          <t>A 40556-2025</t>
        </is>
      </c>
      <c r="B199" s="1" t="n">
        <v>45896.44944444444</v>
      </c>
      <c r="C199" s="1" t="n">
        <v>46188</v>
      </c>
      <c r="D199" t="inlineStr">
        <is>
          <t>VÄSTMANLANDS LÄN</t>
        </is>
      </c>
      <c r="E199" t="inlineStr">
        <is>
          <t>SALA</t>
        </is>
      </c>
      <c r="G199" t="n">
        <v>1.9</v>
      </c>
      <c r="H199" t="n">
        <v>0</v>
      </c>
      <c r="I199" t="n">
        <v>0</v>
      </c>
      <c r="J199" t="n">
        <v>0</v>
      </c>
      <c r="K199" t="n">
        <v>0</v>
      </c>
      <c r="L199" t="n">
        <v>0</v>
      </c>
      <c r="M199" t="n">
        <v>0</v>
      </c>
      <c r="N199" t="n">
        <v>0</v>
      </c>
      <c r="O199" t="n">
        <v>0</v>
      </c>
      <c r="P199" t="n">
        <v>0</v>
      </c>
      <c r="Q199" t="n">
        <v>0</v>
      </c>
      <c r="R199" s="2" t="inlineStr"/>
    </row>
    <row r="200" ht="15" customHeight="1">
      <c r="A200" t="inlineStr">
        <is>
          <t>A 37587-2024</t>
        </is>
      </c>
      <c r="B200" s="1" t="n">
        <v>45541</v>
      </c>
      <c r="C200" s="1" t="n">
        <v>46188</v>
      </c>
      <c r="D200" t="inlineStr">
        <is>
          <t>VÄSTMANLANDS LÄN</t>
        </is>
      </c>
      <c r="E200" t="inlineStr">
        <is>
          <t>SALA</t>
        </is>
      </c>
      <c r="G200" t="n">
        <v>1.2</v>
      </c>
      <c r="H200" t="n">
        <v>0</v>
      </c>
      <c r="I200" t="n">
        <v>0</v>
      </c>
      <c r="J200" t="n">
        <v>0</v>
      </c>
      <c r="K200" t="n">
        <v>0</v>
      </c>
      <c r="L200" t="n">
        <v>0</v>
      </c>
      <c r="M200" t="n">
        <v>0</v>
      </c>
      <c r="N200" t="n">
        <v>0</v>
      </c>
      <c r="O200" t="n">
        <v>0</v>
      </c>
      <c r="P200" t="n">
        <v>0</v>
      </c>
      <c r="Q200" t="n">
        <v>0</v>
      </c>
      <c r="R200" s="2" t="inlineStr"/>
    </row>
    <row r="201" ht="15" customHeight="1">
      <c r="A201" t="inlineStr">
        <is>
          <t>A 64724-2023</t>
        </is>
      </c>
      <c r="B201" s="1" t="n">
        <v>45281.7602662037</v>
      </c>
      <c r="C201" s="1" t="n">
        <v>46188</v>
      </c>
      <c r="D201" t="inlineStr">
        <is>
          <t>VÄSTMANLANDS LÄN</t>
        </is>
      </c>
      <c r="E201" t="inlineStr">
        <is>
          <t>SALA</t>
        </is>
      </c>
      <c r="G201" t="n">
        <v>2.3</v>
      </c>
      <c r="H201" t="n">
        <v>0</v>
      </c>
      <c r="I201" t="n">
        <v>0</v>
      </c>
      <c r="J201" t="n">
        <v>0</v>
      </c>
      <c r="K201" t="n">
        <v>0</v>
      </c>
      <c r="L201" t="n">
        <v>0</v>
      </c>
      <c r="M201" t="n">
        <v>0</v>
      </c>
      <c r="N201" t="n">
        <v>0</v>
      </c>
      <c r="O201" t="n">
        <v>0</v>
      </c>
      <c r="P201" t="n">
        <v>0</v>
      </c>
      <c r="Q201" t="n">
        <v>0</v>
      </c>
      <c r="R201" s="2" t="inlineStr"/>
    </row>
    <row r="202" ht="15" customHeight="1">
      <c r="A202" t="inlineStr">
        <is>
          <t>A 31000-2022</t>
        </is>
      </c>
      <c r="B202" s="1" t="n">
        <v>44768</v>
      </c>
      <c r="C202" s="1" t="n">
        <v>46188</v>
      </c>
      <c r="D202" t="inlineStr">
        <is>
          <t>VÄSTMANLANDS LÄN</t>
        </is>
      </c>
      <c r="E202" t="inlineStr">
        <is>
          <t>SALA</t>
        </is>
      </c>
      <c r="G202" t="n">
        <v>5.7</v>
      </c>
      <c r="H202" t="n">
        <v>0</v>
      </c>
      <c r="I202" t="n">
        <v>0</v>
      </c>
      <c r="J202" t="n">
        <v>0</v>
      </c>
      <c r="K202" t="n">
        <v>0</v>
      </c>
      <c r="L202" t="n">
        <v>0</v>
      </c>
      <c r="M202" t="n">
        <v>0</v>
      </c>
      <c r="N202" t="n">
        <v>0</v>
      </c>
      <c r="O202" t="n">
        <v>0</v>
      </c>
      <c r="P202" t="n">
        <v>0</v>
      </c>
      <c r="Q202" t="n">
        <v>0</v>
      </c>
      <c r="R202" s="2" t="inlineStr"/>
    </row>
    <row r="203" ht="15" customHeight="1">
      <c r="A203" t="inlineStr">
        <is>
          <t>A 37183-2024</t>
        </is>
      </c>
      <c r="B203" s="1" t="n">
        <v>45539</v>
      </c>
      <c r="C203" s="1" t="n">
        <v>46188</v>
      </c>
      <c r="D203" t="inlineStr">
        <is>
          <t>VÄSTMANLANDS LÄN</t>
        </is>
      </c>
      <c r="E203" t="inlineStr">
        <is>
          <t>SALA</t>
        </is>
      </c>
      <c r="G203" t="n">
        <v>1.2</v>
      </c>
      <c r="H203" t="n">
        <v>0</v>
      </c>
      <c r="I203" t="n">
        <v>0</v>
      </c>
      <c r="J203" t="n">
        <v>0</v>
      </c>
      <c r="K203" t="n">
        <v>0</v>
      </c>
      <c r="L203" t="n">
        <v>0</v>
      </c>
      <c r="M203" t="n">
        <v>0</v>
      </c>
      <c r="N203" t="n">
        <v>0</v>
      </c>
      <c r="O203" t="n">
        <v>0</v>
      </c>
      <c r="P203" t="n">
        <v>0</v>
      </c>
      <c r="Q203" t="n">
        <v>0</v>
      </c>
      <c r="R203" s="2" t="inlineStr"/>
    </row>
    <row r="204" ht="15" customHeight="1">
      <c r="A204" t="inlineStr">
        <is>
          <t>A 19033-2025</t>
        </is>
      </c>
      <c r="B204" s="1" t="n">
        <v>45764.65796296296</v>
      </c>
      <c r="C204" s="1" t="n">
        <v>46188</v>
      </c>
      <c r="D204" t="inlineStr">
        <is>
          <t>VÄSTMANLANDS LÄN</t>
        </is>
      </c>
      <c r="E204" t="inlineStr">
        <is>
          <t>SALA</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27229-2022</t>
        </is>
      </c>
      <c r="B205" s="1" t="n">
        <v>44741</v>
      </c>
      <c r="C205" s="1" t="n">
        <v>46188</v>
      </c>
      <c r="D205" t="inlineStr">
        <is>
          <t>VÄSTMANLANDS LÄN</t>
        </is>
      </c>
      <c r="E205" t="inlineStr">
        <is>
          <t>SALA</t>
        </is>
      </c>
      <c r="F205" t="inlineStr">
        <is>
          <t>Kommuner</t>
        </is>
      </c>
      <c r="G205" t="n">
        <v>1.4</v>
      </c>
      <c r="H205" t="n">
        <v>0</v>
      </c>
      <c r="I205" t="n">
        <v>0</v>
      </c>
      <c r="J205" t="n">
        <v>0</v>
      </c>
      <c r="K205" t="n">
        <v>0</v>
      </c>
      <c r="L205" t="n">
        <v>0</v>
      </c>
      <c r="M205" t="n">
        <v>0</v>
      </c>
      <c r="N205" t="n">
        <v>0</v>
      </c>
      <c r="O205" t="n">
        <v>0</v>
      </c>
      <c r="P205" t="n">
        <v>0</v>
      </c>
      <c r="Q205" t="n">
        <v>0</v>
      </c>
      <c r="R205" s="2" t="inlineStr"/>
    </row>
    <row r="206" ht="15" customHeight="1">
      <c r="A206" t="inlineStr">
        <is>
          <t>A 7176-2023</t>
        </is>
      </c>
      <c r="B206" s="1" t="n">
        <v>44970</v>
      </c>
      <c r="C206" s="1" t="n">
        <v>46188</v>
      </c>
      <c r="D206" t="inlineStr">
        <is>
          <t>VÄSTMANLANDS LÄN</t>
        </is>
      </c>
      <c r="E206" t="inlineStr">
        <is>
          <t>SALA</t>
        </is>
      </c>
      <c r="G206" t="n">
        <v>1.5</v>
      </c>
      <c r="H206" t="n">
        <v>0</v>
      </c>
      <c r="I206" t="n">
        <v>0</v>
      </c>
      <c r="J206" t="n">
        <v>0</v>
      </c>
      <c r="K206" t="n">
        <v>0</v>
      </c>
      <c r="L206" t="n">
        <v>0</v>
      </c>
      <c r="M206" t="n">
        <v>0</v>
      </c>
      <c r="N206" t="n">
        <v>0</v>
      </c>
      <c r="O206" t="n">
        <v>0</v>
      </c>
      <c r="P206" t="n">
        <v>0</v>
      </c>
      <c r="Q206" t="n">
        <v>0</v>
      </c>
      <c r="R206" s="2" t="inlineStr"/>
    </row>
    <row r="207" ht="15" customHeight="1">
      <c r="A207" t="inlineStr">
        <is>
          <t>A 21968-2024</t>
        </is>
      </c>
      <c r="B207" s="1" t="n">
        <v>45443</v>
      </c>
      <c r="C207" s="1" t="n">
        <v>46188</v>
      </c>
      <c r="D207" t="inlineStr">
        <is>
          <t>VÄSTMANLANDS LÄN</t>
        </is>
      </c>
      <c r="E207" t="inlineStr">
        <is>
          <t>SALA</t>
        </is>
      </c>
      <c r="G207" t="n">
        <v>1.9</v>
      </c>
      <c r="H207" t="n">
        <v>0</v>
      </c>
      <c r="I207" t="n">
        <v>0</v>
      </c>
      <c r="J207" t="n">
        <v>0</v>
      </c>
      <c r="K207" t="n">
        <v>0</v>
      </c>
      <c r="L207" t="n">
        <v>0</v>
      </c>
      <c r="M207" t="n">
        <v>0</v>
      </c>
      <c r="N207" t="n">
        <v>0</v>
      </c>
      <c r="O207" t="n">
        <v>0</v>
      </c>
      <c r="P207" t="n">
        <v>0</v>
      </c>
      <c r="Q207" t="n">
        <v>0</v>
      </c>
      <c r="R207" s="2" t="inlineStr"/>
    </row>
    <row r="208" ht="15" customHeight="1">
      <c r="A208" t="inlineStr">
        <is>
          <t>A 43600-2024</t>
        </is>
      </c>
      <c r="B208" s="1" t="n">
        <v>45569</v>
      </c>
      <c r="C208" s="1" t="n">
        <v>46188</v>
      </c>
      <c r="D208" t="inlineStr">
        <is>
          <t>VÄSTMANLANDS LÄN</t>
        </is>
      </c>
      <c r="E208" t="inlineStr">
        <is>
          <t>SALA</t>
        </is>
      </c>
      <c r="G208" t="n">
        <v>0.9</v>
      </c>
      <c r="H208" t="n">
        <v>0</v>
      </c>
      <c r="I208" t="n">
        <v>0</v>
      </c>
      <c r="J208" t="n">
        <v>0</v>
      </c>
      <c r="K208" t="n">
        <v>0</v>
      </c>
      <c r="L208" t="n">
        <v>0</v>
      </c>
      <c r="M208" t="n">
        <v>0</v>
      </c>
      <c r="N208" t="n">
        <v>0</v>
      </c>
      <c r="O208" t="n">
        <v>0</v>
      </c>
      <c r="P208" t="n">
        <v>0</v>
      </c>
      <c r="Q208" t="n">
        <v>0</v>
      </c>
      <c r="R208" s="2" t="inlineStr"/>
    </row>
    <row r="209" ht="15" customHeight="1">
      <c r="A209" t="inlineStr">
        <is>
          <t>A 31405-2024</t>
        </is>
      </c>
      <c r="B209" s="1" t="n">
        <v>45505.5490625</v>
      </c>
      <c r="C209" s="1" t="n">
        <v>46188</v>
      </c>
      <c r="D209" t="inlineStr">
        <is>
          <t>VÄSTMANLANDS LÄN</t>
        </is>
      </c>
      <c r="E209" t="inlineStr">
        <is>
          <t>SALA</t>
        </is>
      </c>
      <c r="G209" t="n">
        <v>5.2</v>
      </c>
      <c r="H209" t="n">
        <v>0</v>
      </c>
      <c r="I209" t="n">
        <v>0</v>
      </c>
      <c r="J209" t="n">
        <v>0</v>
      </c>
      <c r="K209" t="n">
        <v>0</v>
      </c>
      <c r="L209" t="n">
        <v>0</v>
      </c>
      <c r="M209" t="n">
        <v>0</v>
      </c>
      <c r="N209" t="n">
        <v>0</v>
      </c>
      <c r="O209" t="n">
        <v>0</v>
      </c>
      <c r="P209" t="n">
        <v>0</v>
      </c>
      <c r="Q209" t="n">
        <v>0</v>
      </c>
      <c r="R209" s="2" t="inlineStr"/>
    </row>
    <row r="210" ht="15" customHeight="1">
      <c r="A210" t="inlineStr">
        <is>
          <t>A 42421-2025</t>
        </is>
      </c>
      <c r="B210" s="1" t="n">
        <v>45905.40067129629</v>
      </c>
      <c r="C210" s="1" t="n">
        <v>46188</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22353-2025</t>
        </is>
      </c>
      <c r="B211" s="1" t="n">
        <v>45786</v>
      </c>
      <c r="C211" s="1" t="n">
        <v>46188</v>
      </c>
      <c r="D211" t="inlineStr">
        <is>
          <t>VÄSTMANLANDS LÄN</t>
        </is>
      </c>
      <c r="E211" t="inlineStr">
        <is>
          <t>SALA</t>
        </is>
      </c>
      <c r="G211" t="n">
        <v>2.5</v>
      </c>
      <c r="H211" t="n">
        <v>0</v>
      </c>
      <c r="I211" t="n">
        <v>0</v>
      </c>
      <c r="J211" t="n">
        <v>0</v>
      </c>
      <c r="K211" t="n">
        <v>0</v>
      </c>
      <c r="L211" t="n">
        <v>0</v>
      </c>
      <c r="M211" t="n">
        <v>0</v>
      </c>
      <c r="N211" t="n">
        <v>0</v>
      </c>
      <c r="O211" t="n">
        <v>0</v>
      </c>
      <c r="P211" t="n">
        <v>0</v>
      </c>
      <c r="Q211" t="n">
        <v>0</v>
      </c>
      <c r="R211" s="2" t="inlineStr"/>
    </row>
    <row r="212" ht="15" customHeight="1">
      <c r="A212" t="inlineStr">
        <is>
          <t>A 29248-2022</t>
        </is>
      </c>
      <c r="B212" s="1" t="n">
        <v>44750</v>
      </c>
      <c r="C212" s="1" t="n">
        <v>46188</v>
      </c>
      <c r="D212" t="inlineStr">
        <is>
          <t>VÄSTMANLANDS LÄN</t>
        </is>
      </c>
      <c r="E212" t="inlineStr">
        <is>
          <t>SALA</t>
        </is>
      </c>
      <c r="G212" t="n">
        <v>1.6</v>
      </c>
      <c r="H212" t="n">
        <v>0</v>
      </c>
      <c r="I212" t="n">
        <v>0</v>
      </c>
      <c r="J212" t="n">
        <v>0</v>
      </c>
      <c r="K212" t="n">
        <v>0</v>
      </c>
      <c r="L212" t="n">
        <v>0</v>
      </c>
      <c r="M212" t="n">
        <v>0</v>
      </c>
      <c r="N212" t="n">
        <v>0</v>
      </c>
      <c r="O212" t="n">
        <v>0</v>
      </c>
      <c r="P212" t="n">
        <v>0</v>
      </c>
      <c r="Q212" t="n">
        <v>0</v>
      </c>
      <c r="R212" s="2" t="inlineStr"/>
    </row>
    <row r="213" ht="15" customHeight="1">
      <c r="A213" t="inlineStr">
        <is>
          <t>A 22383-2025</t>
        </is>
      </c>
      <c r="B213" s="1" t="n">
        <v>45786</v>
      </c>
      <c r="C213" s="1" t="n">
        <v>46188</v>
      </c>
      <c r="D213" t="inlineStr">
        <is>
          <t>VÄSTMANLANDS LÄN</t>
        </is>
      </c>
      <c r="E213" t="inlineStr">
        <is>
          <t>SALA</t>
        </is>
      </c>
      <c r="G213" t="n">
        <v>2.2</v>
      </c>
      <c r="H213" t="n">
        <v>0</v>
      </c>
      <c r="I213" t="n">
        <v>0</v>
      </c>
      <c r="J213" t="n">
        <v>0</v>
      </c>
      <c r="K213" t="n">
        <v>0</v>
      </c>
      <c r="L213" t="n">
        <v>0</v>
      </c>
      <c r="M213" t="n">
        <v>0</v>
      </c>
      <c r="N213" t="n">
        <v>0</v>
      </c>
      <c r="O213" t="n">
        <v>0</v>
      </c>
      <c r="P213" t="n">
        <v>0</v>
      </c>
      <c r="Q213" t="n">
        <v>0</v>
      </c>
      <c r="R213" s="2" t="inlineStr"/>
    </row>
    <row r="214" ht="15" customHeight="1">
      <c r="A214" t="inlineStr">
        <is>
          <t>A 37263-2025</t>
        </is>
      </c>
      <c r="B214" s="1" t="n">
        <v>45876.4584837963</v>
      </c>
      <c r="C214" s="1" t="n">
        <v>46188</v>
      </c>
      <c r="D214" t="inlineStr">
        <is>
          <t>VÄSTMANLANDS LÄN</t>
        </is>
      </c>
      <c r="E214" t="inlineStr">
        <is>
          <t>SALA</t>
        </is>
      </c>
      <c r="G214" t="n">
        <v>2.3</v>
      </c>
      <c r="H214" t="n">
        <v>0</v>
      </c>
      <c r="I214" t="n">
        <v>0</v>
      </c>
      <c r="J214" t="n">
        <v>0</v>
      </c>
      <c r="K214" t="n">
        <v>0</v>
      </c>
      <c r="L214" t="n">
        <v>0</v>
      </c>
      <c r="M214" t="n">
        <v>0</v>
      </c>
      <c r="N214" t="n">
        <v>0</v>
      </c>
      <c r="O214" t="n">
        <v>0</v>
      </c>
      <c r="P214" t="n">
        <v>0</v>
      </c>
      <c r="Q214" t="n">
        <v>0</v>
      </c>
      <c r="R214" s="2" t="inlineStr"/>
    </row>
    <row r="215" ht="15" customHeight="1">
      <c r="A215" t="inlineStr">
        <is>
          <t>A 22397-2022</t>
        </is>
      </c>
      <c r="B215" s="1" t="n">
        <v>44713</v>
      </c>
      <c r="C215" s="1" t="n">
        <v>46188</v>
      </c>
      <c r="D215" t="inlineStr">
        <is>
          <t>VÄSTMANLANDS LÄN</t>
        </is>
      </c>
      <c r="E215" t="inlineStr">
        <is>
          <t>SALA</t>
        </is>
      </c>
      <c r="G215" t="n">
        <v>2.1</v>
      </c>
      <c r="H215" t="n">
        <v>0</v>
      </c>
      <c r="I215" t="n">
        <v>0</v>
      </c>
      <c r="J215" t="n">
        <v>0</v>
      </c>
      <c r="K215" t="n">
        <v>0</v>
      </c>
      <c r="L215" t="n">
        <v>0</v>
      </c>
      <c r="M215" t="n">
        <v>0</v>
      </c>
      <c r="N215" t="n">
        <v>0</v>
      </c>
      <c r="O215" t="n">
        <v>0</v>
      </c>
      <c r="P215" t="n">
        <v>0</v>
      </c>
      <c r="Q215" t="n">
        <v>0</v>
      </c>
      <c r="R215" s="2" t="inlineStr"/>
    </row>
    <row r="216" ht="15" customHeight="1">
      <c r="A216" t="inlineStr">
        <is>
          <t>A 28863-2022</t>
        </is>
      </c>
      <c r="B216" s="1" t="n">
        <v>44749.50649305555</v>
      </c>
      <c r="C216" s="1" t="n">
        <v>46188</v>
      </c>
      <c r="D216" t="inlineStr">
        <is>
          <t>VÄSTMANLANDS LÄN</t>
        </is>
      </c>
      <c r="E216" t="inlineStr">
        <is>
          <t>SALA</t>
        </is>
      </c>
      <c r="G216" t="n">
        <v>1.6</v>
      </c>
      <c r="H216" t="n">
        <v>0</v>
      </c>
      <c r="I216" t="n">
        <v>0</v>
      </c>
      <c r="J216" t="n">
        <v>0</v>
      </c>
      <c r="K216" t="n">
        <v>0</v>
      </c>
      <c r="L216" t="n">
        <v>0</v>
      </c>
      <c r="M216" t="n">
        <v>0</v>
      </c>
      <c r="N216" t="n">
        <v>0</v>
      </c>
      <c r="O216" t="n">
        <v>0</v>
      </c>
      <c r="P216" t="n">
        <v>0</v>
      </c>
      <c r="Q216" t="n">
        <v>0</v>
      </c>
      <c r="R216" s="2" t="inlineStr"/>
    </row>
    <row r="217" ht="15" customHeight="1">
      <c r="A217" t="inlineStr">
        <is>
          <t>A 43128-2025</t>
        </is>
      </c>
      <c r="B217" s="1" t="n">
        <v>45909</v>
      </c>
      <c r="C217" s="1" t="n">
        <v>46188</v>
      </c>
      <c r="D217" t="inlineStr">
        <is>
          <t>VÄSTMANLANDS LÄN</t>
        </is>
      </c>
      <c r="E217" t="inlineStr">
        <is>
          <t>SALA</t>
        </is>
      </c>
      <c r="G217" t="n">
        <v>0.7</v>
      </c>
      <c r="H217" t="n">
        <v>0</v>
      </c>
      <c r="I217" t="n">
        <v>0</v>
      </c>
      <c r="J217" t="n">
        <v>0</v>
      </c>
      <c r="K217" t="n">
        <v>0</v>
      </c>
      <c r="L217" t="n">
        <v>0</v>
      </c>
      <c r="M217" t="n">
        <v>0</v>
      </c>
      <c r="N217" t="n">
        <v>0</v>
      </c>
      <c r="O217" t="n">
        <v>0</v>
      </c>
      <c r="P217" t="n">
        <v>0</v>
      </c>
      <c r="Q217" t="n">
        <v>0</v>
      </c>
      <c r="R217" s="2" t="inlineStr"/>
    </row>
    <row r="218" ht="15" customHeight="1">
      <c r="A218" t="inlineStr">
        <is>
          <t>A 40554-2025</t>
        </is>
      </c>
      <c r="B218" s="1" t="n">
        <v>45896.44506944445</v>
      </c>
      <c r="C218" s="1" t="n">
        <v>46188</v>
      </c>
      <c r="D218" t="inlineStr">
        <is>
          <t>VÄSTMANLANDS LÄN</t>
        </is>
      </c>
      <c r="E218" t="inlineStr">
        <is>
          <t>SALA</t>
        </is>
      </c>
      <c r="G218" t="n">
        <v>0.9</v>
      </c>
      <c r="H218" t="n">
        <v>0</v>
      </c>
      <c r="I218" t="n">
        <v>0</v>
      </c>
      <c r="J218" t="n">
        <v>0</v>
      </c>
      <c r="K218" t="n">
        <v>0</v>
      </c>
      <c r="L218" t="n">
        <v>0</v>
      </c>
      <c r="M218" t="n">
        <v>0</v>
      </c>
      <c r="N218" t="n">
        <v>0</v>
      </c>
      <c r="O218" t="n">
        <v>0</v>
      </c>
      <c r="P218" t="n">
        <v>0</v>
      </c>
      <c r="Q218" t="n">
        <v>0</v>
      </c>
      <c r="R218" s="2" t="inlineStr"/>
    </row>
    <row r="219" ht="15" customHeight="1">
      <c r="A219" t="inlineStr">
        <is>
          <t>A 43130-2025</t>
        </is>
      </c>
      <c r="B219" s="1" t="n">
        <v>45909</v>
      </c>
      <c r="C219" s="1" t="n">
        <v>46188</v>
      </c>
      <c r="D219" t="inlineStr">
        <is>
          <t>VÄSTMANLANDS LÄN</t>
        </is>
      </c>
      <c r="E219" t="inlineStr">
        <is>
          <t>SALA</t>
        </is>
      </c>
      <c r="G219" t="n">
        <v>0.9</v>
      </c>
      <c r="H219" t="n">
        <v>0</v>
      </c>
      <c r="I219" t="n">
        <v>0</v>
      </c>
      <c r="J219" t="n">
        <v>0</v>
      </c>
      <c r="K219" t="n">
        <v>0</v>
      </c>
      <c r="L219" t="n">
        <v>0</v>
      </c>
      <c r="M219" t="n">
        <v>0</v>
      </c>
      <c r="N219" t="n">
        <v>0</v>
      </c>
      <c r="O219" t="n">
        <v>0</v>
      </c>
      <c r="P219" t="n">
        <v>0</v>
      </c>
      <c r="Q219" t="n">
        <v>0</v>
      </c>
      <c r="R219" s="2" t="inlineStr"/>
    </row>
    <row r="220" ht="15" customHeight="1">
      <c r="A220" t="inlineStr">
        <is>
          <t>A 43028-2025</t>
        </is>
      </c>
      <c r="B220" s="1" t="n">
        <v>45909.53472222222</v>
      </c>
      <c r="C220" s="1" t="n">
        <v>46188</v>
      </c>
      <c r="D220" t="inlineStr">
        <is>
          <t>VÄSTMANLANDS LÄN</t>
        </is>
      </c>
      <c r="E220" t="inlineStr">
        <is>
          <t>SALA</t>
        </is>
      </c>
      <c r="G220" t="n">
        <v>3.8</v>
      </c>
      <c r="H220" t="n">
        <v>0</v>
      </c>
      <c r="I220" t="n">
        <v>0</v>
      </c>
      <c r="J220" t="n">
        <v>0</v>
      </c>
      <c r="K220" t="n">
        <v>0</v>
      </c>
      <c r="L220" t="n">
        <v>0</v>
      </c>
      <c r="M220" t="n">
        <v>0</v>
      </c>
      <c r="N220" t="n">
        <v>0</v>
      </c>
      <c r="O220" t="n">
        <v>0</v>
      </c>
      <c r="P220" t="n">
        <v>0</v>
      </c>
      <c r="Q220" t="n">
        <v>0</v>
      </c>
      <c r="R220" s="2" t="inlineStr"/>
    </row>
    <row r="221" ht="15" customHeight="1">
      <c r="A221" t="inlineStr">
        <is>
          <t>A 43031-2025</t>
        </is>
      </c>
      <c r="B221" s="1" t="n">
        <v>45909.53856481481</v>
      </c>
      <c r="C221" s="1" t="n">
        <v>46188</v>
      </c>
      <c r="D221" t="inlineStr">
        <is>
          <t>VÄSTMANLANDS LÄN</t>
        </is>
      </c>
      <c r="E221" t="inlineStr">
        <is>
          <t>SALA</t>
        </is>
      </c>
      <c r="G221" t="n">
        <v>0.2</v>
      </c>
      <c r="H221" t="n">
        <v>0</v>
      </c>
      <c r="I221" t="n">
        <v>0</v>
      </c>
      <c r="J221" t="n">
        <v>0</v>
      </c>
      <c r="K221" t="n">
        <v>0</v>
      </c>
      <c r="L221" t="n">
        <v>0</v>
      </c>
      <c r="M221" t="n">
        <v>0</v>
      </c>
      <c r="N221" t="n">
        <v>0</v>
      </c>
      <c r="O221" t="n">
        <v>0</v>
      </c>
      <c r="P221" t="n">
        <v>0</v>
      </c>
      <c r="Q221" t="n">
        <v>0</v>
      </c>
      <c r="R221" s="2" t="inlineStr"/>
    </row>
    <row r="222" ht="15" customHeight="1">
      <c r="A222" t="inlineStr">
        <is>
          <t>A 22370-2025</t>
        </is>
      </c>
      <c r="B222" s="1" t="n">
        <v>45786</v>
      </c>
      <c r="C222" s="1" t="n">
        <v>46188</v>
      </c>
      <c r="D222" t="inlineStr">
        <is>
          <t>VÄSTMANLANDS LÄN</t>
        </is>
      </c>
      <c r="E222" t="inlineStr">
        <is>
          <t>SALA</t>
        </is>
      </c>
      <c r="G222" t="n">
        <v>3.2</v>
      </c>
      <c r="H222" t="n">
        <v>0</v>
      </c>
      <c r="I222" t="n">
        <v>0</v>
      </c>
      <c r="J222" t="n">
        <v>0</v>
      </c>
      <c r="K222" t="n">
        <v>0</v>
      </c>
      <c r="L222" t="n">
        <v>0</v>
      </c>
      <c r="M222" t="n">
        <v>0</v>
      </c>
      <c r="N222" t="n">
        <v>0</v>
      </c>
      <c r="O222" t="n">
        <v>0</v>
      </c>
      <c r="P222" t="n">
        <v>0</v>
      </c>
      <c r="Q222" t="n">
        <v>0</v>
      </c>
      <c r="R222" s="2" t="inlineStr"/>
    </row>
    <row r="223" ht="15" customHeight="1">
      <c r="A223" t="inlineStr">
        <is>
          <t>A 14919-2025</t>
        </is>
      </c>
      <c r="B223" s="1" t="n">
        <v>45743.54256944444</v>
      </c>
      <c r="C223" s="1" t="n">
        <v>46188</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14920-2025</t>
        </is>
      </c>
      <c r="B224" s="1" t="n">
        <v>45743</v>
      </c>
      <c r="C224" s="1" t="n">
        <v>46188</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40398-2021</t>
        </is>
      </c>
      <c r="B225" s="1" t="n">
        <v>44419</v>
      </c>
      <c r="C225" s="1" t="n">
        <v>46188</v>
      </c>
      <c r="D225" t="inlineStr">
        <is>
          <t>VÄSTMANLANDS LÄN</t>
        </is>
      </c>
      <c r="E225" t="inlineStr">
        <is>
          <t>SALA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13130-2025</t>
        </is>
      </c>
      <c r="B226" s="1" t="n">
        <v>45734</v>
      </c>
      <c r="C226" s="1" t="n">
        <v>46188</v>
      </c>
      <c r="D226" t="inlineStr">
        <is>
          <t>VÄSTMANLANDS LÄN</t>
        </is>
      </c>
      <c r="E226" t="inlineStr">
        <is>
          <t>SALA</t>
        </is>
      </c>
      <c r="G226" t="n">
        <v>1.5</v>
      </c>
      <c r="H226" t="n">
        <v>0</v>
      </c>
      <c r="I226" t="n">
        <v>0</v>
      </c>
      <c r="J226" t="n">
        <v>0</v>
      </c>
      <c r="K226" t="n">
        <v>0</v>
      </c>
      <c r="L226" t="n">
        <v>0</v>
      </c>
      <c r="M226" t="n">
        <v>0</v>
      </c>
      <c r="N226" t="n">
        <v>0</v>
      </c>
      <c r="O226" t="n">
        <v>0</v>
      </c>
      <c r="P226" t="n">
        <v>0</v>
      </c>
      <c r="Q226" t="n">
        <v>0</v>
      </c>
      <c r="R226" s="2" t="inlineStr"/>
    </row>
    <row r="227" ht="15" customHeight="1">
      <c r="A227" t="inlineStr">
        <is>
          <t>A 56593-2025</t>
        </is>
      </c>
      <c r="B227" s="1" t="n">
        <v>45975</v>
      </c>
      <c r="C227" s="1" t="n">
        <v>46188</v>
      </c>
      <c r="D227" t="inlineStr">
        <is>
          <t>VÄSTMANLANDS LÄN</t>
        </is>
      </c>
      <c r="E227" t="inlineStr">
        <is>
          <t>SALA</t>
        </is>
      </c>
      <c r="F227" t="inlineStr">
        <is>
          <t>Kyrkan</t>
        </is>
      </c>
      <c r="G227" t="n">
        <v>0.1</v>
      </c>
      <c r="H227" t="n">
        <v>0</v>
      </c>
      <c r="I227" t="n">
        <v>0</v>
      </c>
      <c r="J227" t="n">
        <v>0</v>
      </c>
      <c r="K227" t="n">
        <v>0</v>
      </c>
      <c r="L227" t="n">
        <v>0</v>
      </c>
      <c r="M227" t="n">
        <v>0</v>
      </c>
      <c r="N227" t="n">
        <v>0</v>
      </c>
      <c r="O227" t="n">
        <v>0</v>
      </c>
      <c r="P227" t="n">
        <v>0</v>
      </c>
      <c r="Q227" t="n">
        <v>0</v>
      </c>
      <c r="R227" s="2" t="inlineStr"/>
    </row>
    <row r="228" ht="15" customHeight="1">
      <c r="A228" t="inlineStr">
        <is>
          <t>A 43362-2023</t>
        </is>
      </c>
      <c r="B228" s="1" t="n">
        <v>45183</v>
      </c>
      <c r="C228" s="1" t="n">
        <v>46188</v>
      </c>
      <c r="D228" t="inlineStr">
        <is>
          <t>VÄSTMANLANDS LÄN</t>
        </is>
      </c>
      <c r="E228" t="inlineStr">
        <is>
          <t>SALA</t>
        </is>
      </c>
      <c r="G228" t="n">
        <v>2</v>
      </c>
      <c r="H228" t="n">
        <v>0</v>
      </c>
      <c r="I228" t="n">
        <v>0</v>
      </c>
      <c r="J228" t="n">
        <v>0</v>
      </c>
      <c r="K228" t="n">
        <v>0</v>
      </c>
      <c r="L228" t="n">
        <v>0</v>
      </c>
      <c r="M228" t="n">
        <v>0</v>
      </c>
      <c r="N228" t="n">
        <v>0</v>
      </c>
      <c r="O228" t="n">
        <v>0</v>
      </c>
      <c r="P228" t="n">
        <v>0</v>
      </c>
      <c r="Q228" t="n">
        <v>0</v>
      </c>
      <c r="R228" s="2" t="inlineStr"/>
    </row>
    <row r="229" ht="15" customHeight="1">
      <c r="A229" t="inlineStr">
        <is>
          <t>A 56645-2025</t>
        </is>
      </c>
      <c r="B229" s="1" t="n">
        <v>45975.63063657407</v>
      </c>
      <c r="C229" s="1" t="n">
        <v>46188</v>
      </c>
      <c r="D229" t="inlineStr">
        <is>
          <t>VÄSTMANLANDS LÄN</t>
        </is>
      </c>
      <c r="E229" t="inlineStr">
        <is>
          <t>SALA</t>
        </is>
      </c>
      <c r="F229" t="inlineStr">
        <is>
          <t>Bergvik skog öst AB</t>
        </is>
      </c>
      <c r="G229" t="n">
        <v>5.3</v>
      </c>
      <c r="H229" t="n">
        <v>0</v>
      </c>
      <c r="I229" t="n">
        <v>0</v>
      </c>
      <c r="J229" t="n">
        <v>0</v>
      </c>
      <c r="K229" t="n">
        <v>0</v>
      </c>
      <c r="L229" t="n">
        <v>0</v>
      </c>
      <c r="M229" t="n">
        <v>0</v>
      </c>
      <c r="N229" t="n">
        <v>0</v>
      </c>
      <c r="O229" t="n">
        <v>0</v>
      </c>
      <c r="P229" t="n">
        <v>0</v>
      </c>
      <c r="Q229" t="n">
        <v>0</v>
      </c>
      <c r="R229" s="2" t="inlineStr"/>
    </row>
    <row r="230" ht="15" customHeight="1">
      <c r="A230" t="inlineStr">
        <is>
          <t>A 56614-2025</t>
        </is>
      </c>
      <c r="B230" s="1" t="n">
        <v>45975.59288194445</v>
      </c>
      <c r="C230" s="1" t="n">
        <v>46188</v>
      </c>
      <c r="D230" t="inlineStr">
        <is>
          <t>VÄSTMANLANDS LÄN</t>
        </is>
      </c>
      <c r="E230" t="inlineStr">
        <is>
          <t>SALA</t>
        </is>
      </c>
      <c r="G230" t="n">
        <v>1.4</v>
      </c>
      <c r="H230" t="n">
        <v>0</v>
      </c>
      <c r="I230" t="n">
        <v>0</v>
      </c>
      <c r="J230" t="n">
        <v>0</v>
      </c>
      <c r="K230" t="n">
        <v>0</v>
      </c>
      <c r="L230" t="n">
        <v>0</v>
      </c>
      <c r="M230" t="n">
        <v>0</v>
      </c>
      <c r="N230" t="n">
        <v>0</v>
      </c>
      <c r="O230" t="n">
        <v>0</v>
      </c>
      <c r="P230" t="n">
        <v>0</v>
      </c>
      <c r="Q230" t="n">
        <v>0</v>
      </c>
      <c r="R230" s="2" t="inlineStr"/>
    </row>
    <row r="231" ht="15" customHeight="1">
      <c r="A231" t="inlineStr">
        <is>
          <t>A 2900-2023</t>
        </is>
      </c>
      <c r="B231" s="1" t="n">
        <v>44943</v>
      </c>
      <c r="C231" s="1" t="n">
        <v>46188</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6030-2024</t>
        </is>
      </c>
      <c r="B232" s="1" t="n">
        <v>45336.62782407407</v>
      </c>
      <c r="C232" s="1" t="n">
        <v>46188</v>
      </c>
      <c r="D232" t="inlineStr">
        <is>
          <t>VÄSTMANLANDS LÄN</t>
        </is>
      </c>
      <c r="E232" t="inlineStr">
        <is>
          <t>SALA</t>
        </is>
      </c>
      <c r="G232" t="n">
        <v>3.9</v>
      </c>
      <c r="H232" t="n">
        <v>0</v>
      </c>
      <c r="I232" t="n">
        <v>0</v>
      </c>
      <c r="J232" t="n">
        <v>0</v>
      </c>
      <c r="K232" t="n">
        <v>0</v>
      </c>
      <c r="L232" t="n">
        <v>0</v>
      </c>
      <c r="M232" t="n">
        <v>0</v>
      </c>
      <c r="N232" t="n">
        <v>0</v>
      </c>
      <c r="O232" t="n">
        <v>0</v>
      </c>
      <c r="P232" t="n">
        <v>0</v>
      </c>
      <c r="Q232" t="n">
        <v>0</v>
      </c>
      <c r="R232" s="2" t="inlineStr"/>
    </row>
    <row r="233" ht="15" customHeight="1">
      <c r="A233" t="inlineStr">
        <is>
          <t>A 56611-2025</t>
        </is>
      </c>
      <c r="B233" s="1" t="n">
        <v>45975</v>
      </c>
      <c r="C233" s="1" t="n">
        <v>46188</v>
      </c>
      <c r="D233" t="inlineStr">
        <is>
          <t>VÄSTMANLANDS LÄN</t>
        </is>
      </c>
      <c r="E233" t="inlineStr">
        <is>
          <t>SALA</t>
        </is>
      </c>
      <c r="G233" t="n">
        <v>2.8</v>
      </c>
      <c r="H233" t="n">
        <v>0</v>
      </c>
      <c r="I233" t="n">
        <v>0</v>
      </c>
      <c r="J233" t="n">
        <v>0</v>
      </c>
      <c r="K233" t="n">
        <v>0</v>
      </c>
      <c r="L233" t="n">
        <v>0</v>
      </c>
      <c r="M233" t="n">
        <v>0</v>
      </c>
      <c r="N233" t="n">
        <v>0</v>
      </c>
      <c r="O233" t="n">
        <v>0</v>
      </c>
      <c r="P233" t="n">
        <v>0</v>
      </c>
      <c r="Q233" t="n">
        <v>0</v>
      </c>
      <c r="R233" s="2" t="inlineStr"/>
    </row>
    <row r="234" ht="15" customHeight="1">
      <c r="A234" t="inlineStr">
        <is>
          <t>A 52630-2022</t>
        </is>
      </c>
      <c r="B234" s="1" t="n">
        <v>44874</v>
      </c>
      <c r="C234" s="1" t="n">
        <v>46188</v>
      </c>
      <c r="D234" t="inlineStr">
        <is>
          <t>VÄSTMANLANDS LÄN</t>
        </is>
      </c>
      <c r="E234" t="inlineStr">
        <is>
          <t>SALA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57014-2025</t>
        </is>
      </c>
      <c r="B235" s="1" t="n">
        <v>45978</v>
      </c>
      <c r="C235" s="1" t="n">
        <v>46188</v>
      </c>
      <c r="D235" t="inlineStr">
        <is>
          <t>VÄSTMANLANDS LÄN</t>
        </is>
      </c>
      <c r="E235" t="inlineStr">
        <is>
          <t>SALA</t>
        </is>
      </c>
      <c r="G235" t="n">
        <v>2.2</v>
      </c>
      <c r="H235" t="n">
        <v>0</v>
      </c>
      <c r="I235" t="n">
        <v>0</v>
      </c>
      <c r="J235" t="n">
        <v>0</v>
      </c>
      <c r="K235" t="n">
        <v>0</v>
      </c>
      <c r="L235" t="n">
        <v>0</v>
      </c>
      <c r="M235" t="n">
        <v>0</v>
      </c>
      <c r="N235" t="n">
        <v>0</v>
      </c>
      <c r="O235" t="n">
        <v>0</v>
      </c>
      <c r="P235" t="n">
        <v>0</v>
      </c>
      <c r="Q235" t="n">
        <v>0</v>
      </c>
      <c r="R235" s="2" t="inlineStr"/>
    </row>
    <row r="236" ht="15" customHeight="1">
      <c r="A236" t="inlineStr">
        <is>
          <t>A 57414-2025</t>
        </is>
      </c>
      <c r="B236" s="1" t="n">
        <v>45980.45003472222</v>
      </c>
      <c r="C236" s="1" t="n">
        <v>46188</v>
      </c>
      <c r="D236" t="inlineStr">
        <is>
          <t>VÄSTMANLANDS LÄN</t>
        </is>
      </c>
      <c r="E236" t="inlineStr">
        <is>
          <t>SALA</t>
        </is>
      </c>
      <c r="F236" t="inlineStr">
        <is>
          <t>Bergvik skog öst AB</t>
        </is>
      </c>
      <c r="G236" t="n">
        <v>2</v>
      </c>
      <c r="H236" t="n">
        <v>0</v>
      </c>
      <c r="I236" t="n">
        <v>0</v>
      </c>
      <c r="J236" t="n">
        <v>0</v>
      </c>
      <c r="K236" t="n">
        <v>0</v>
      </c>
      <c r="L236" t="n">
        <v>0</v>
      </c>
      <c r="M236" t="n">
        <v>0</v>
      </c>
      <c r="N236" t="n">
        <v>0</v>
      </c>
      <c r="O236" t="n">
        <v>0</v>
      </c>
      <c r="P236" t="n">
        <v>0</v>
      </c>
      <c r="Q236" t="n">
        <v>0</v>
      </c>
      <c r="R236" s="2" t="inlineStr"/>
    </row>
    <row r="237" ht="15" customHeight="1">
      <c r="A237" t="inlineStr">
        <is>
          <t>A 57415-2025</t>
        </is>
      </c>
      <c r="B237" s="1" t="n">
        <v>45980.45099537037</v>
      </c>
      <c r="C237" s="1" t="n">
        <v>46188</v>
      </c>
      <c r="D237" t="inlineStr">
        <is>
          <t>VÄSTMANLANDS LÄN</t>
        </is>
      </c>
      <c r="E237" t="inlineStr">
        <is>
          <t>SALA</t>
        </is>
      </c>
      <c r="F237" t="inlineStr">
        <is>
          <t>Bergvik skog öst AB</t>
        </is>
      </c>
      <c r="G237" t="n">
        <v>1.4</v>
      </c>
      <c r="H237" t="n">
        <v>0</v>
      </c>
      <c r="I237" t="n">
        <v>0</v>
      </c>
      <c r="J237" t="n">
        <v>0</v>
      </c>
      <c r="K237" t="n">
        <v>0</v>
      </c>
      <c r="L237" t="n">
        <v>0</v>
      </c>
      <c r="M237" t="n">
        <v>0</v>
      </c>
      <c r="N237" t="n">
        <v>0</v>
      </c>
      <c r="O237" t="n">
        <v>0</v>
      </c>
      <c r="P237" t="n">
        <v>0</v>
      </c>
      <c r="Q237" t="n">
        <v>0</v>
      </c>
      <c r="R237" s="2" t="inlineStr"/>
    </row>
    <row r="238" ht="15" customHeight="1">
      <c r="A238" t="inlineStr">
        <is>
          <t>A 57412-2025</t>
        </is>
      </c>
      <c r="B238" s="1" t="n">
        <v>45980.44883101852</v>
      </c>
      <c r="C238" s="1" t="n">
        <v>46188</v>
      </c>
      <c r="D238" t="inlineStr">
        <is>
          <t>VÄSTMANLANDS LÄN</t>
        </is>
      </c>
      <c r="E238" t="inlineStr">
        <is>
          <t>SALA</t>
        </is>
      </c>
      <c r="F238" t="inlineStr">
        <is>
          <t>Bergvik skog öst AB</t>
        </is>
      </c>
      <c r="G238" t="n">
        <v>4.5</v>
      </c>
      <c r="H238" t="n">
        <v>0</v>
      </c>
      <c r="I238" t="n">
        <v>0</v>
      </c>
      <c r="J238" t="n">
        <v>0</v>
      </c>
      <c r="K238" t="n">
        <v>0</v>
      </c>
      <c r="L238" t="n">
        <v>0</v>
      </c>
      <c r="M238" t="n">
        <v>0</v>
      </c>
      <c r="N238" t="n">
        <v>0</v>
      </c>
      <c r="O238" t="n">
        <v>0</v>
      </c>
      <c r="P238" t="n">
        <v>0</v>
      </c>
      <c r="Q238" t="n">
        <v>0</v>
      </c>
      <c r="R238" s="2" t="inlineStr"/>
    </row>
    <row r="239" ht="15" customHeight="1">
      <c r="A239" t="inlineStr">
        <is>
          <t>A 44524-2025</t>
        </is>
      </c>
      <c r="B239" s="1" t="n">
        <v>45916.72920138889</v>
      </c>
      <c r="C239" s="1" t="n">
        <v>46188</v>
      </c>
      <c r="D239" t="inlineStr">
        <is>
          <t>VÄSTMANLANDS LÄN</t>
        </is>
      </c>
      <c r="E239" t="inlineStr">
        <is>
          <t>SALA</t>
        </is>
      </c>
      <c r="G239" t="n">
        <v>1.1</v>
      </c>
      <c r="H239" t="n">
        <v>0</v>
      </c>
      <c r="I239" t="n">
        <v>0</v>
      </c>
      <c r="J239" t="n">
        <v>0</v>
      </c>
      <c r="K239" t="n">
        <v>0</v>
      </c>
      <c r="L239" t="n">
        <v>0</v>
      </c>
      <c r="M239" t="n">
        <v>0</v>
      </c>
      <c r="N239" t="n">
        <v>0</v>
      </c>
      <c r="O239" t="n">
        <v>0</v>
      </c>
      <c r="P239" t="n">
        <v>0</v>
      </c>
      <c r="Q239" t="n">
        <v>0</v>
      </c>
      <c r="R239" s="2" t="inlineStr"/>
    </row>
    <row r="240" ht="15" customHeight="1">
      <c r="A240" t="inlineStr">
        <is>
          <t>A 44486-2025</t>
        </is>
      </c>
      <c r="B240" s="1" t="n">
        <v>45916.65517361111</v>
      </c>
      <c r="C240" s="1" t="n">
        <v>46188</v>
      </c>
      <c r="D240" t="inlineStr">
        <is>
          <t>VÄSTMANLANDS LÄN</t>
        </is>
      </c>
      <c r="E240" t="inlineStr">
        <is>
          <t>SALA</t>
        </is>
      </c>
      <c r="G240" t="n">
        <v>1.7</v>
      </c>
      <c r="H240" t="n">
        <v>0</v>
      </c>
      <c r="I240" t="n">
        <v>0</v>
      </c>
      <c r="J240" t="n">
        <v>0</v>
      </c>
      <c r="K240" t="n">
        <v>0</v>
      </c>
      <c r="L240" t="n">
        <v>0</v>
      </c>
      <c r="M240" t="n">
        <v>0</v>
      </c>
      <c r="N240" t="n">
        <v>0</v>
      </c>
      <c r="O240" t="n">
        <v>0</v>
      </c>
      <c r="P240" t="n">
        <v>0</v>
      </c>
      <c r="Q240" t="n">
        <v>0</v>
      </c>
      <c r="R240" s="2" t="inlineStr"/>
    </row>
    <row r="241" ht="15" customHeight="1">
      <c r="A241" t="inlineStr">
        <is>
          <t>A 2521-2025</t>
        </is>
      </c>
      <c r="B241" s="1" t="n">
        <v>45674</v>
      </c>
      <c r="C241" s="1" t="n">
        <v>46188</v>
      </c>
      <c r="D241" t="inlineStr">
        <is>
          <t>VÄSTMANLANDS LÄN</t>
        </is>
      </c>
      <c r="E241" t="inlineStr">
        <is>
          <t>SALA</t>
        </is>
      </c>
      <c r="G241" t="n">
        <v>3.5</v>
      </c>
      <c r="H241" t="n">
        <v>0</v>
      </c>
      <c r="I241" t="n">
        <v>0</v>
      </c>
      <c r="J241" t="n">
        <v>0</v>
      </c>
      <c r="K241" t="n">
        <v>0</v>
      </c>
      <c r="L241" t="n">
        <v>0</v>
      </c>
      <c r="M241" t="n">
        <v>0</v>
      </c>
      <c r="N241" t="n">
        <v>0</v>
      </c>
      <c r="O241" t="n">
        <v>0</v>
      </c>
      <c r="P241" t="n">
        <v>0</v>
      </c>
      <c r="Q241" t="n">
        <v>0</v>
      </c>
      <c r="R241" s="2" t="inlineStr"/>
    </row>
    <row r="242" ht="15" customHeight="1">
      <c r="A242" t="inlineStr">
        <is>
          <t>A 58359-2025</t>
        </is>
      </c>
      <c r="B242" s="1" t="n">
        <v>45985.51594907408</v>
      </c>
      <c r="C242" s="1" t="n">
        <v>46188</v>
      </c>
      <c r="D242" t="inlineStr">
        <is>
          <t>VÄSTMANLANDS LÄN</t>
        </is>
      </c>
      <c r="E242" t="inlineStr">
        <is>
          <t>SALA</t>
        </is>
      </c>
      <c r="G242" t="n">
        <v>3.7</v>
      </c>
      <c r="H242" t="n">
        <v>0</v>
      </c>
      <c r="I242" t="n">
        <v>0</v>
      </c>
      <c r="J242" t="n">
        <v>0</v>
      </c>
      <c r="K242" t="n">
        <v>0</v>
      </c>
      <c r="L242" t="n">
        <v>0</v>
      </c>
      <c r="M242" t="n">
        <v>0</v>
      </c>
      <c r="N242" t="n">
        <v>0</v>
      </c>
      <c r="O242" t="n">
        <v>0</v>
      </c>
      <c r="P242" t="n">
        <v>0</v>
      </c>
      <c r="Q242" t="n">
        <v>0</v>
      </c>
      <c r="R242" s="2" t="inlineStr"/>
    </row>
    <row r="243" ht="15" customHeight="1">
      <c r="A243" t="inlineStr">
        <is>
          <t>A 58364-2025</t>
        </is>
      </c>
      <c r="B243" s="1" t="n">
        <v>45985.5228125</v>
      </c>
      <c r="C243" s="1" t="n">
        <v>46188</v>
      </c>
      <c r="D243" t="inlineStr">
        <is>
          <t>VÄSTMANLANDS LÄN</t>
        </is>
      </c>
      <c r="E243" t="inlineStr">
        <is>
          <t>SALA</t>
        </is>
      </c>
      <c r="G243" t="n">
        <v>2.1</v>
      </c>
      <c r="H243" t="n">
        <v>0</v>
      </c>
      <c r="I243" t="n">
        <v>0</v>
      </c>
      <c r="J243" t="n">
        <v>0</v>
      </c>
      <c r="K243" t="n">
        <v>0</v>
      </c>
      <c r="L243" t="n">
        <v>0</v>
      </c>
      <c r="M243" t="n">
        <v>0</v>
      </c>
      <c r="N243" t="n">
        <v>0</v>
      </c>
      <c r="O243" t="n">
        <v>0</v>
      </c>
      <c r="P243" t="n">
        <v>0</v>
      </c>
      <c r="Q243" t="n">
        <v>0</v>
      </c>
      <c r="R243" s="2" t="inlineStr"/>
    </row>
    <row r="244" ht="15" customHeight="1">
      <c r="A244" t="inlineStr">
        <is>
          <t>A 55760-2025</t>
        </is>
      </c>
      <c r="B244" s="1" t="n">
        <v>45972</v>
      </c>
      <c r="C244" s="1" t="n">
        <v>46188</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58357-2025</t>
        </is>
      </c>
      <c r="B245" s="1" t="n">
        <v>45985.51518518518</v>
      </c>
      <c r="C245" s="1" t="n">
        <v>46188</v>
      </c>
      <c r="D245" t="inlineStr">
        <is>
          <t>VÄSTMANLANDS LÄN</t>
        </is>
      </c>
      <c r="E245" t="inlineStr">
        <is>
          <t>SALA</t>
        </is>
      </c>
      <c r="G245" t="n">
        <v>3</v>
      </c>
      <c r="H245" t="n">
        <v>0</v>
      </c>
      <c r="I245" t="n">
        <v>0</v>
      </c>
      <c r="J245" t="n">
        <v>0</v>
      </c>
      <c r="K245" t="n">
        <v>0</v>
      </c>
      <c r="L245" t="n">
        <v>0</v>
      </c>
      <c r="M245" t="n">
        <v>0</v>
      </c>
      <c r="N245" t="n">
        <v>0</v>
      </c>
      <c r="O245" t="n">
        <v>0</v>
      </c>
      <c r="P245" t="n">
        <v>0</v>
      </c>
      <c r="Q245" t="n">
        <v>0</v>
      </c>
      <c r="R245" s="2" t="inlineStr"/>
    </row>
    <row r="246" ht="15" customHeight="1">
      <c r="A246" t="inlineStr">
        <is>
          <t>A 60548-2024</t>
        </is>
      </c>
      <c r="B246" s="1" t="n">
        <v>45643.80978009259</v>
      </c>
      <c r="C246" s="1" t="n">
        <v>46188</v>
      </c>
      <c r="D246" t="inlineStr">
        <is>
          <t>VÄSTMANLANDS LÄN</t>
        </is>
      </c>
      <c r="E246" t="inlineStr">
        <is>
          <t>SALA</t>
        </is>
      </c>
      <c r="G246" t="n">
        <v>1.6</v>
      </c>
      <c r="H246" t="n">
        <v>0</v>
      </c>
      <c r="I246" t="n">
        <v>0</v>
      </c>
      <c r="J246" t="n">
        <v>0</v>
      </c>
      <c r="K246" t="n">
        <v>0</v>
      </c>
      <c r="L246" t="n">
        <v>0</v>
      </c>
      <c r="M246" t="n">
        <v>0</v>
      </c>
      <c r="N246" t="n">
        <v>0</v>
      </c>
      <c r="O246" t="n">
        <v>0</v>
      </c>
      <c r="P246" t="n">
        <v>0</v>
      </c>
      <c r="Q246" t="n">
        <v>0</v>
      </c>
      <c r="R246" s="2" t="inlineStr"/>
    </row>
    <row r="247" ht="15" customHeight="1">
      <c r="A247" t="inlineStr">
        <is>
          <t>A 58365-2025</t>
        </is>
      </c>
      <c r="B247" s="1" t="n">
        <v>45985.52288194445</v>
      </c>
      <c r="C247" s="1" t="n">
        <v>46188</v>
      </c>
      <c r="D247" t="inlineStr">
        <is>
          <t>VÄSTMANLANDS LÄN</t>
        </is>
      </c>
      <c r="E247" t="inlineStr">
        <is>
          <t>SALA</t>
        </is>
      </c>
      <c r="G247" t="n">
        <v>3.9</v>
      </c>
      <c r="H247" t="n">
        <v>0</v>
      </c>
      <c r="I247" t="n">
        <v>0</v>
      </c>
      <c r="J247" t="n">
        <v>0</v>
      </c>
      <c r="K247" t="n">
        <v>0</v>
      </c>
      <c r="L247" t="n">
        <v>0</v>
      </c>
      <c r="M247" t="n">
        <v>0</v>
      </c>
      <c r="N247" t="n">
        <v>0</v>
      </c>
      <c r="O247" t="n">
        <v>0</v>
      </c>
      <c r="P247" t="n">
        <v>0</v>
      </c>
      <c r="Q247" t="n">
        <v>0</v>
      </c>
      <c r="R247" s="2" t="inlineStr"/>
    </row>
    <row r="248" ht="15" customHeight="1">
      <c r="A248" t="inlineStr">
        <is>
          <t>A 45371-2025</t>
        </is>
      </c>
      <c r="B248" s="1" t="n">
        <v>45922.39001157408</v>
      </c>
      <c r="C248" s="1" t="n">
        <v>46188</v>
      </c>
      <c r="D248" t="inlineStr">
        <is>
          <t>VÄSTMANLANDS LÄN</t>
        </is>
      </c>
      <c r="E248" t="inlineStr">
        <is>
          <t>SALA</t>
        </is>
      </c>
      <c r="G248" t="n">
        <v>2.1</v>
      </c>
      <c r="H248" t="n">
        <v>0</v>
      </c>
      <c r="I248" t="n">
        <v>0</v>
      </c>
      <c r="J248" t="n">
        <v>0</v>
      </c>
      <c r="K248" t="n">
        <v>0</v>
      </c>
      <c r="L248" t="n">
        <v>0</v>
      </c>
      <c r="M248" t="n">
        <v>0</v>
      </c>
      <c r="N248" t="n">
        <v>0</v>
      </c>
      <c r="O248" t="n">
        <v>0</v>
      </c>
      <c r="P248" t="n">
        <v>0</v>
      </c>
      <c r="Q248" t="n">
        <v>0</v>
      </c>
      <c r="R248" s="2" t="inlineStr"/>
    </row>
    <row r="249" ht="15" customHeight="1">
      <c r="A249" t="inlineStr">
        <is>
          <t>A 26761-2023</t>
        </is>
      </c>
      <c r="B249" s="1" t="n">
        <v>45093</v>
      </c>
      <c r="C249" s="1" t="n">
        <v>46188</v>
      </c>
      <c r="D249" t="inlineStr">
        <is>
          <t>VÄSTMANLANDS LÄN</t>
        </is>
      </c>
      <c r="E249" t="inlineStr">
        <is>
          <t>SALA</t>
        </is>
      </c>
      <c r="G249" t="n">
        <v>4.3</v>
      </c>
      <c r="H249" t="n">
        <v>0</v>
      </c>
      <c r="I249" t="n">
        <v>0</v>
      </c>
      <c r="J249" t="n">
        <v>0</v>
      </c>
      <c r="K249" t="n">
        <v>0</v>
      </c>
      <c r="L249" t="n">
        <v>0</v>
      </c>
      <c r="M249" t="n">
        <v>0</v>
      </c>
      <c r="N249" t="n">
        <v>0</v>
      </c>
      <c r="O249" t="n">
        <v>0</v>
      </c>
      <c r="P249" t="n">
        <v>0</v>
      </c>
      <c r="Q249" t="n">
        <v>0</v>
      </c>
      <c r="R249" s="2" t="inlineStr"/>
    </row>
    <row r="250" ht="15" customHeight="1">
      <c r="A250" t="inlineStr">
        <is>
          <t>A 59385-2025</t>
        </is>
      </c>
      <c r="B250" s="1" t="n">
        <v>45989.45746527778</v>
      </c>
      <c r="C250" s="1" t="n">
        <v>46188</v>
      </c>
      <c r="D250" t="inlineStr">
        <is>
          <t>VÄSTMANLANDS LÄN</t>
        </is>
      </c>
      <c r="E250" t="inlineStr">
        <is>
          <t>SALA</t>
        </is>
      </c>
      <c r="G250" t="n">
        <v>0.4</v>
      </c>
      <c r="H250" t="n">
        <v>0</v>
      </c>
      <c r="I250" t="n">
        <v>0</v>
      </c>
      <c r="J250" t="n">
        <v>0</v>
      </c>
      <c r="K250" t="n">
        <v>0</v>
      </c>
      <c r="L250" t="n">
        <v>0</v>
      </c>
      <c r="M250" t="n">
        <v>0</v>
      </c>
      <c r="N250" t="n">
        <v>0</v>
      </c>
      <c r="O250" t="n">
        <v>0</v>
      </c>
      <c r="P250" t="n">
        <v>0</v>
      </c>
      <c r="Q250" t="n">
        <v>0</v>
      </c>
      <c r="R250" s="2" t="inlineStr"/>
    </row>
    <row r="251" ht="15" customHeight="1">
      <c r="A251" t="inlineStr">
        <is>
          <t>A 59390-2025</t>
        </is>
      </c>
      <c r="B251" s="1" t="n">
        <v>45989.4640162037</v>
      </c>
      <c r="C251" s="1" t="n">
        <v>46188</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55035-2023</t>
        </is>
      </c>
      <c r="B252" s="1" t="n">
        <v>45229</v>
      </c>
      <c r="C252" s="1" t="n">
        <v>46188</v>
      </c>
      <c r="D252" t="inlineStr">
        <is>
          <t>VÄSTMANLANDS LÄN</t>
        </is>
      </c>
      <c r="E252" t="inlineStr">
        <is>
          <t>SALA</t>
        </is>
      </c>
      <c r="G252" t="n">
        <v>1.1</v>
      </c>
      <c r="H252" t="n">
        <v>0</v>
      </c>
      <c r="I252" t="n">
        <v>0</v>
      </c>
      <c r="J252" t="n">
        <v>0</v>
      </c>
      <c r="K252" t="n">
        <v>0</v>
      </c>
      <c r="L252" t="n">
        <v>0</v>
      </c>
      <c r="M252" t="n">
        <v>0</v>
      </c>
      <c r="N252" t="n">
        <v>0</v>
      </c>
      <c r="O252" t="n">
        <v>0</v>
      </c>
      <c r="P252" t="n">
        <v>0</v>
      </c>
      <c r="Q252" t="n">
        <v>0</v>
      </c>
      <c r="R252" s="2" t="inlineStr"/>
    </row>
    <row r="253" ht="15" customHeight="1">
      <c r="A253" t="inlineStr">
        <is>
          <t>A 60249-2023</t>
        </is>
      </c>
      <c r="B253" s="1" t="n">
        <v>45258</v>
      </c>
      <c r="C253" s="1" t="n">
        <v>46188</v>
      </c>
      <c r="D253" t="inlineStr">
        <is>
          <t>VÄSTMANLANDS LÄN</t>
        </is>
      </c>
      <c r="E253" t="inlineStr">
        <is>
          <t>SALA</t>
        </is>
      </c>
      <c r="G253" t="n">
        <v>2</v>
      </c>
      <c r="H253" t="n">
        <v>0</v>
      </c>
      <c r="I253" t="n">
        <v>0</v>
      </c>
      <c r="J253" t="n">
        <v>0</v>
      </c>
      <c r="K253" t="n">
        <v>0</v>
      </c>
      <c r="L253" t="n">
        <v>0</v>
      </c>
      <c r="M253" t="n">
        <v>0</v>
      </c>
      <c r="N253" t="n">
        <v>0</v>
      </c>
      <c r="O253" t="n">
        <v>0</v>
      </c>
      <c r="P253" t="n">
        <v>0</v>
      </c>
      <c r="Q253" t="n">
        <v>0</v>
      </c>
      <c r="R253" s="2" t="inlineStr"/>
    </row>
    <row r="254" ht="15" customHeight="1">
      <c r="A254" t="inlineStr">
        <is>
          <t>A 46915-2025</t>
        </is>
      </c>
      <c r="B254" s="1" t="n">
        <v>45929.42114583333</v>
      </c>
      <c r="C254" s="1" t="n">
        <v>46188</v>
      </c>
      <c r="D254" t="inlineStr">
        <is>
          <t>VÄSTMANLANDS LÄN</t>
        </is>
      </c>
      <c r="E254" t="inlineStr">
        <is>
          <t>SALA</t>
        </is>
      </c>
      <c r="G254" t="n">
        <v>1.5</v>
      </c>
      <c r="H254" t="n">
        <v>0</v>
      </c>
      <c r="I254" t="n">
        <v>0</v>
      </c>
      <c r="J254" t="n">
        <v>0</v>
      </c>
      <c r="K254" t="n">
        <v>0</v>
      </c>
      <c r="L254" t="n">
        <v>0</v>
      </c>
      <c r="M254" t="n">
        <v>0</v>
      </c>
      <c r="N254" t="n">
        <v>0</v>
      </c>
      <c r="O254" t="n">
        <v>0</v>
      </c>
      <c r="P254" t="n">
        <v>0</v>
      </c>
      <c r="Q254" t="n">
        <v>0</v>
      </c>
      <c r="R254" s="2" t="inlineStr"/>
    </row>
    <row r="255" ht="15" customHeight="1">
      <c r="A255" t="inlineStr">
        <is>
          <t>A 59926-2025</t>
        </is>
      </c>
      <c r="B255" s="1" t="n">
        <v>45993.39221064815</v>
      </c>
      <c r="C255" s="1" t="n">
        <v>46188</v>
      </c>
      <c r="D255" t="inlineStr">
        <is>
          <t>VÄSTMANLANDS LÄN</t>
        </is>
      </c>
      <c r="E255" t="inlineStr">
        <is>
          <t>SALA</t>
        </is>
      </c>
      <c r="G255" t="n">
        <v>7.1</v>
      </c>
      <c r="H255" t="n">
        <v>0</v>
      </c>
      <c r="I255" t="n">
        <v>0</v>
      </c>
      <c r="J255" t="n">
        <v>0</v>
      </c>
      <c r="K255" t="n">
        <v>0</v>
      </c>
      <c r="L255" t="n">
        <v>0</v>
      </c>
      <c r="M255" t="n">
        <v>0</v>
      </c>
      <c r="N255" t="n">
        <v>0</v>
      </c>
      <c r="O255" t="n">
        <v>0</v>
      </c>
      <c r="P255" t="n">
        <v>0</v>
      </c>
      <c r="Q255" t="n">
        <v>0</v>
      </c>
      <c r="R255" s="2" t="inlineStr"/>
    </row>
    <row r="256" ht="15" customHeight="1">
      <c r="A256" t="inlineStr">
        <is>
          <t>A 60017-2025</t>
        </is>
      </c>
      <c r="B256" s="1" t="n">
        <v>45993.59998842593</v>
      </c>
      <c r="C256" s="1" t="n">
        <v>46188</v>
      </c>
      <c r="D256" t="inlineStr">
        <is>
          <t>VÄSTMANLANDS LÄN</t>
        </is>
      </c>
      <c r="E256" t="inlineStr">
        <is>
          <t>SALA</t>
        </is>
      </c>
      <c r="G256" t="n">
        <v>4.4</v>
      </c>
      <c r="H256" t="n">
        <v>0</v>
      </c>
      <c r="I256" t="n">
        <v>0</v>
      </c>
      <c r="J256" t="n">
        <v>0</v>
      </c>
      <c r="K256" t="n">
        <v>0</v>
      </c>
      <c r="L256" t="n">
        <v>0</v>
      </c>
      <c r="M256" t="n">
        <v>0</v>
      </c>
      <c r="N256" t="n">
        <v>0</v>
      </c>
      <c r="O256" t="n">
        <v>0</v>
      </c>
      <c r="P256" t="n">
        <v>0</v>
      </c>
      <c r="Q256" t="n">
        <v>0</v>
      </c>
      <c r="R256" s="2" t="inlineStr"/>
    </row>
    <row r="257" ht="15" customHeight="1">
      <c r="A257" t="inlineStr">
        <is>
          <t>A 23804-2025</t>
        </is>
      </c>
      <c r="B257" s="1" t="n">
        <v>45793.55995370371</v>
      </c>
      <c r="C257" s="1" t="n">
        <v>46188</v>
      </c>
      <c r="D257" t="inlineStr">
        <is>
          <t>VÄSTMANLANDS LÄN</t>
        </is>
      </c>
      <c r="E257" t="inlineStr">
        <is>
          <t>SALA</t>
        </is>
      </c>
      <c r="G257" t="n">
        <v>1.9</v>
      </c>
      <c r="H257" t="n">
        <v>0</v>
      </c>
      <c r="I257" t="n">
        <v>0</v>
      </c>
      <c r="J257" t="n">
        <v>0</v>
      </c>
      <c r="K257" t="n">
        <v>0</v>
      </c>
      <c r="L257" t="n">
        <v>0</v>
      </c>
      <c r="M257" t="n">
        <v>0</v>
      </c>
      <c r="N257" t="n">
        <v>0</v>
      </c>
      <c r="O257" t="n">
        <v>0</v>
      </c>
      <c r="P257" t="n">
        <v>0</v>
      </c>
      <c r="Q257" t="n">
        <v>0</v>
      </c>
      <c r="R257" s="2" t="inlineStr"/>
    </row>
    <row r="258" ht="15" customHeight="1">
      <c r="A258" t="inlineStr">
        <is>
          <t>A 60254-2025</t>
        </is>
      </c>
      <c r="B258" s="1" t="n">
        <v>45994.60146990741</v>
      </c>
      <c r="C258" s="1" t="n">
        <v>46188</v>
      </c>
      <c r="D258" t="inlineStr">
        <is>
          <t>VÄSTMANLANDS LÄN</t>
        </is>
      </c>
      <c r="E258" t="inlineStr">
        <is>
          <t>SALA</t>
        </is>
      </c>
      <c r="G258" t="n">
        <v>1.7</v>
      </c>
      <c r="H258" t="n">
        <v>0</v>
      </c>
      <c r="I258" t="n">
        <v>0</v>
      </c>
      <c r="J258" t="n">
        <v>0</v>
      </c>
      <c r="K258" t="n">
        <v>0</v>
      </c>
      <c r="L258" t="n">
        <v>0</v>
      </c>
      <c r="M258" t="n">
        <v>0</v>
      </c>
      <c r="N258" t="n">
        <v>0</v>
      </c>
      <c r="O258" t="n">
        <v>0</v>
      </c>
      <c r="P258" t="n">
        <v>0</v>
      </c>
      <c r="Q258" t="n">
        <v>0</v>
      </c>
      <c r="R258" s="2" t="inlineStr"/>
    </row>
    <row r="259" ht="15" customHeight="1">
      <c r="A259" t="inlineStr">
        <is>
          <t>A 60259-2025</t>
        </is>
      </c>
      <c r="B259" s="1" t="n">
        <v>45994.60913194445</v>
      </c>
      <c r="C259" s="1" t="n">
        <v>46188</v>
      </c>
      <c r="D259" t="inlineStr">
        <is>
          <t>VÄSTMANLANDS LÄN</t>
        </is>
      </c>
      <c r="E259" t="inlineStr">
        <is>
          <t>SALA</t>
        </is>
      </c>
      <c r="G259" t="n">
        <v>0.5</v>
      </c>
      <c r="H259" t="n">
        <v>0</v>
      </c>
      <c r="I259" t="n">
        <v>0</v>
      </c>
      <c r="J259" t="n">
        <v>0</v>
      </c>
      <c r="K259" t="n">
        <v>0</v>
      </c>
      <c r="L259" t="n">
        <v>0</v>
      </c>
      <c r="M259" t="n">
        <v>0</v>
      </c>
      <c r="N259" t="n">
        <v>0</v>
      </c>
      <c r="O259" t="n">
        <v>0</v>
      </c>
      <c r="P259" t="n">
        <v>0</v>
      </c>
      <c r="Q259" t="n">
        <v>0</v>
      </c>
      <c r="R259" s="2" t="inlineStr"/>
    </row>
    <row r="260" ht="15" customHeight="1">
      <c r="A260" t="inlineStr">
        <is>
          <t>A 46597-2025</t>
        </is>
      </c>
      <c r="B260" s="1" t="n">
        <v>45926.40113425926</v>
      </c>
      <c r="C260" s="1" t="n">
        <v>46188</v>
      </c>
      <c r="D260" t="inlineStr">
        <is>
          <t>VÄSTMANLANDS LÄN</t>
        </is>
      </c>
      <c r="E260" t="inlineStr">
        <is>
          <t>SALA</t>
        </is>
      </c>
      <c r="G260" t="n">
        <v>3.4</v>
      </c>
      <c r="H260" t="n">
        <v>0</v>
      </c>
      <c r="I260" t="n">
        <v>0</v>
      </c>
      <c r="J260" t="n">
        <v>0</v>
      </c>
      <c r="K260" t="n">
        <v>0</v>
      </c>
      <c r="L260" t="n">
        <v>0</v>
      </c>
      <c r="M260" t="n">
        <v>0</v>
      </c>
      <c r="N260" t="n">
        <v>0</v>
      </c>
      <c r="O260" t="n">
        <v>0</v>
      </c>
      <c r="P260" t="n">
        <v>0</v>
      </c>
      <c r="Q260" t="n">
        <v>0</v>
      </c>
      <c r="R260" s="2" t="inlineStr"/>
    </row>
    <row r="261" ht="15" customHeight="1">
      <c r="A261" t="inlineStr">
        <is>
          <t>A 60258-2025</t>
        </is>
      </c>
      <c r="B261" s="1" t="n">
        <v>45994.6064699074</v>
      </c>
      <c r="C261" s="1" t="n">
        <v>46188</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60246-2025</t>
        </is>
      </c>
      <c r="B262" s="1" t="n">
        <v>45994.58931712963</v>
      </c>
      <c r="C262" s="1" t="n">
        <v>46188</v>
      </c>
      <c r="D262" t="inlineStr">
        <is>
          <t>VÄSTMANLANDS LÄN</t>
        </is>
      </c>
      <c r="E262" t="inlineStr">
        <is>
          <t>SALA</t>
        </is>
      </c>
      <c r="G262" t="n">
        <v>0.7</v>
      </c>
      <c r="H262" t="n">
        <v>0</v>
      </c>
      <c r="I262" t="n">
        <v>0</v>
      </c>
      <c r="J262" t="n">
        <v>0</v>
      </c>
      <c r="K262" t="n">
        <v>0</v>
      </c>
      <c r="L262" t="n">
        <v>0</v>
      </c>
      <c r="M262" t="n">
        <v>0</v>
      </c>
      <c r="N262" t="n">
        <v>0</v>
      </c>
      <c r="O262" t="n">
        <v>0</v>
      </c>
      <c r="P262" t="n">
        <v>0</v>
      </c>
      <c r="Q262" t="n">
        <v>0</v>
      </c>
      <c r="R262" s="2" t="inlineStr"/>
    </row>
    <row r="263" ht="15" customHeight="1">
      <c r="A263" t="inlineStr">
        <is>
          <t>A 22126-2025</t>
        </is>
      </c>
      <c r="B263" s="1" t="n">
        <v>45785</v>
      </c>
      <c r="C263" s="1" t="n">
        <v>46188</v>
      </c>
      <c r="D263" t="inlineStr">
        <is>
          <t>VÄSTMANLANDS LÄN</t>
        </is>
      </c>
      <c r="E263" t="inlineStr">
        <is>
          <t>SALA</t>
        </is>
      </c>
      <c r="G263" t="n">
        <v>10.6</v>
      </c>
      <c r="H263" t="n">
        <v>0</v>
      </c>
      <c r="I263" t="n">
        <v>0</v>
      </c>
      <c r="J263" t="n">
        <v>0</v>
      </c>
      <c r="K263" t="n">
        <v>0</v>
      </c>
      <c r="L263" t="n">
        <v>0</v>
      </c>
      <c r="M263" t="n">
        <v>0</v>
      </c>
      <c r="N263" t="n">
        <v>0</v>
      </c>
      <c r="O263" t="n">
        <v>0</v>
      </c>
      <c r="P263" t="n">
        <v>0</v>
      </c>
      <c r="Q263" t="n">
        <v>0</v>
      </c>
      <c r="R263" s="2" t="inlineStr"/>
    </row>
    <row r="264" ht="15" customHeight="1">
      <c r="A264" t="inlineStr">
        <is>
          <t>A 47577-2025</t>
        </is>
      </c>
      <c r="B264" s="1" t="n">
        <v>45931.4047337963</v>
      </c>
      <c r="C264" s="1" t="n">
        <v>46188</v>
      </c>
      <c r="D264" t="inlineStr">
        <is>
          <t>VÄSTMANLANDS LÄN</t>
        </is>
      </c>
      <c r="E264" t="inlineStr">
        <is>
          <t>SALA</t>
        </is>
      </c>
      <c r="G264" t="n">
        <v>3.7</v>
      </c>
      <c r="H264" t="n">
        <v>0</v>
      </c>
      <c r="I264" t="n">
        <v>0</v>
      </c>
      <c r="J264" t="n">
        <v>0</v>
      </c>
      <c r="K264" t="n">
        <v>0</v>
      </c>
      <c r="L264" t="n">
        <v>0</v>
      </c>
      <c r="M264" t="n">
        <v>0</v>
      </c>
      <c r="N264" t="n">
        <v>0</v>
      </c>
      <c r="O264" t="n">
        <v>0</v>
      </c>
      <c r="P264" t="n">
        <v>0</v>
      </c>
      <c r="Q264" t="n">
        <v>0</v>
      </c>
      <c r="R264" s="2" t="inlineStr"/>
    </row>
    <row r="265" ht="15" customHeight="1">
      <c r="A265" t="inlineStr">
        <is>
          <t>A 31597-2024</t>
        </is>
      </c>
      <c r="B265" s="1" t="n">
        <v>45506</v>
      </c>
      <c r="C265" s="1" t="n">
        <v>46188</v>
      </c>
      <c r="D265" t="inlineStr">
        <is>
          <t>VÄSTMANLANDS LÄN</t>
        </is>
      </c>
      <c r="E265" t="inlineStr">
        <is>
          <t>SALA</t>
        </is>
      </c>
      <c r="G265" t="n">
        <v>2.4</v>
      </c>
      <c r="H265" t="n">
        <v>0</v>
      </c>
      <c r="I265" t="n">
        <v>0</v>
      </c>
      <c r="J265" t="n">
        <v>0</v>
      </c>
      <c r="K265" t="n">
        <v>0</v>
      </c>
      <c r="L265" t="n">
        <v>0</v>
      </c>
      <c r="M265" t="n">
        <v>0</v>
      </c>
      <c r="N265" t="n">
        <v>0</v>
      </c>
      <c r="O265" t="n">
        <v>0</v>
      </c>
      <c r="P265" t="n">
        <v>0</v>
      </c>
      <c r="Q265" t="n">
        <v>0</v>
      </c>
      <c r="R265" s="2" t="inlineStr"/>
    </row>
    <row r="266" ht="15" customHeight="1">
      <c r="A266" t="inlineStr">
        <is>
          <t>A 31599-2024</t>
        </is>
      </c>
      <c r="B266" s="1" t="n">
        <v>45506</v>
      </c>
      <c r="C266" s="1" t="n">
        <v>46188</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31601-2024</t>
        </is>
      </c>
      <c r="B267" s="1" t="n">
        <v>45506</v>
      </c>
      <c r="C267" s="1" t="n">
        <v>46188</v>
      </c>
      <c r="D267" t="inlineStr">
        <is>
          <t>VÄSTMANLANDS LÄN</t>
        </is>
      </c>
      <c r="E267" t="inlineStr">
        <is>
          <t>SALA</t>
        </is>
      </c>
      <c r="G267" t="n">
        <v>0.5</v>
      </c>
      <c r="H267" t="n">
        <v>0</v>
      </c>
      <c r="I267" t="n">
        <v>0</v>
      </c>
      <c r="J267" t="n">
        <v>0</v>
      </c>
      <c r="K267" t="n">
        <v>0</v>
      </c>
      <c r="L267" t="n">
        <v>0</v>
      </c>
      <c r="M267" t="n">
        <v>0</v>
      </c>
      <c r="N267" t="n">
        <v>0</v>
      </c>
      <c r="O267" t="n">
        <v>0</v>
      </c>
      <c r="P267" t="n">
        <v>0</v>
      </c>
      <c r="Q267" t="n">
        <v>0</v>
      </c>
      <c r="R267" s="2" t="inlineStr"/>
    </row>
    <row r="268" ht="15" customHeight="1">
      <c r="A268" t="inlineStr">
        <is>
          <t>A 31608-2024</t>
        </is>
      </c>
      <c r="B268" s="1" t="n">
        <v>45506</v>
      </c>
      <c r="C268" s="1" t="n">
        <v>46188</v>
      </c>
      <c r="D268" t="inlineStr">
        <is>
          <t>VÄSTMANLANDS LÄN</t>
        </is>
      </c>
      <c r="E268" t="inlineStr">
        <is>
          <t>SALA</t>
        </is>
      </c>
      <c r="G268" t="n">
        <v>1.7</v>
      </c>
      <c r="H268" t="n">
        <v>0</v>
      </c>
      <c r="I268" t="n">
        <v>0</v>
      </c>
      <c r="J268" t="n">
        <v>0</v>
      </c>
      <c r="K268" t="n">
        <v>0</v>
      </c>
      <c r="L268" t="n">
        <v>0</v>
      </c>
      <c r="M268" t="n">
        <v>0</v>
      </c>
      <c r="N268" t="n">
        <v>0</v>
      </c>
      <c r="O268" t="n">
        <v>0</v>
      </c>
      <c r="P268" t="n">
        <v>0</v>
      </c>
      <c r="Q268" t="n">
        <v>0</v>
      </c>
      <c r="R268" s="2" t="inlineStr"/>
    </row>
    <row r="269" ht="15" customHeight="1">
      <c r="A269" t="inlineStr">
        <is>
          <t>A 31612-2024</t>
        </is>
      </c>
      <c r="B269" s="1" t="n">
        <v>45506</v>
      </c>
      <c r="C269" s="1" t="n">
        <v>46188</v>
      </c>
      <c r="D269" t="inlineStr">
        <is>
          <t>VÄSTMANLANDS LÄN</t>
        </is>
      </c>
      <c r="E269" t="inlineStr">
        <is>
          <t>SALA</t>
        </is>
      </c>
      <c r="G269" t="n">
        <v>3.2</v>
      </c>
      <c r="H269" t="n">
        <v>0</v>
      </c>
      <c r="I269" t="n">
        <v>0</v>
      </c>
      <c r="J269" t="n">
        <v>0</v>
      </c>
      <c r="K269" t="n">
        <v>0</v>
      </c>
      <c r="L269" t="n">
        <v>0</v>
      </c>
      <c r="M269" t="n">
        <v>0</v>
      </c>
      <c r="N269" t="n">
        <v>0</v>
      </c>
      <c r="O269" t="n">
        <v>0</v>
      </c>
      <c r="P269" t="n">
        <v>0</v>
      </c>
      <c r="Q269" t="n">
        <v>0</v>
      </c>
      <c r="R269" s="2" t="inlineStr"/>
    </row>
    <row r="270" ht="15" customHeight="1">
      <c r="A270" t="inlineStr">
        <is>
          <t>A 52500-2024</t>
        </is>
      </c>
      <c r="B270" s="1" t="n">
        <v>45609</v>
      </c>
      <c r="C270" s="1" t="n">
        <v>46188</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46661-2025</t>
        </is>
      </c>
      <c r="B271" s="1" t="n">
        <v>45926</v>
      </c>
      <c r="C271" s="1" t="n">
        <v>46188</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19297-2025</t>
        </is>
      </c>
      <c r="B272" s="1" t="n">
        <v>45769.56261574074</v>
      </c>
      <c r="C272" s="1" t="n">
        <v>46188</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62523-2025</t>
        </is>
      </c>
      <c r="B273" s="1" t="n">
        <v>46007.61512731481</v>
      </c>
      <c r="C273" s="1" t="n">
        <v>46188</v>
      </c>
      <c r="D273" t="inlineStr">
        <is>
          <t>VÄSTMANLANDS LÄN</t>
        </is>
      </c>
      <c r="E273" t="inlineStr">
        <is>
          <t>SALA</t>
        </is>
      </c>
      <c r="G273" t="n">
        <v>1.5</v>
      </c>
      <c r="H273" t="n">
        <v>0</v>
      </c>
      <c r="I273" t="n">
        <v>0</v>
      </c>
      <c r="J273" t="n">
        <v>0</v>
      </c>
      <c r="K273" t="n">
        <v>0</v>
      </c>
      <c r="L273" t="n">
        <v>0</v>
      </c>
      <c r="M273" t="n">
        <v>0</v>
      </c>
      <c r="N273" t="n">
        <v>0</v>
      </c>
      <c r="O273" t="n">
        <v>0</v>
      </c>
      <c r="P273" t="n">
        <v>0</v>
      </c>
      <c r="Q273" t="n">
        <v>0</v>
      </c>
      <c r="R273" s="2" t="inlineStr"/>
    </row>
    <row r="274" ht="15" customHeight="1">
      <c r="A274" t="inlineStr">
        <is>
          <t>A 63055-2025</t>
        </is>
      </c>
      <c r="B274" s="1" t="n">
        <v>46009.63619212963</v>
      </c>
      <c r="C274" s="1" t="n">
        <v>46188</v>
      </c>
      <c r="D274" t="inlineStr">
        <is>
          <t>VÄSTMANLANDS LÄN</t>
        </is>
      </c>
      <c r="E274" t="inlineStr">
        <is>
          <t>SALA</t>
        </is>
      </c>
      <c r="G274" t="n">
        <v>0.4</v>
      </c>
      <c r="H274" t="n">
        <v>0</v>
      </c>
      <c r="I274" t="n">
        <v>0</v>
      </c>
      <c r="J274" t="n">
        <v>0</v>
      </c>
      <c r="K274" t="n">
        <v>0</v>
      </c>
      <c r="L274" t="n">
        <v>0</v>
      </c>
      <c r="M274" t="n">
        <v>0</v>
      </c>
      <c r="N274" t="n">
        <v>0</v>
      </c>
      <c r="O274" t="n">
        <v>0</v>
      </c>
      <c r="P274" t="n">
        <v>0</v>
      </c>
      <c r="Q274" t="n">
        <v>0</v>
      </c>
      <c r="R274" s="2" t="inlineStr"/>
    </row>
    <row r="275" ht="15" customHeight="1">
      <c r="A275" t="inlineStr">
        <is>
          <t>A 23810-2025</t>
        </is>
      </c>
      <c r="B275" s="1" t="n">
        <v>45793.56989583333</v>
      </c>
      <c r="C275" s="1" t="n">
        <v>46188</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63046-2025</t>
        </is>
      </c>
      <c r="B276" s="1" t="n">
        <v>46009.62373842593</v>
      </c>
      <c r="C276" s="1" t="n">
        <v>46188</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96-2024</t>
        </is>
      </c>
      <c r="B277" s="1" t="n">
        <v>45293.85872685185</v>
      </c>
      <c r="C277" s="1" t="n">
        <v>46188</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54118-2023</t>
        </is>
      </c>
      <c r="B278" s="1" t="n">
        <v>45232</v>
      </c>
      <c r="C278" s="1" t="n">
        <v>46188</v>
      </c>
      <c r="D278" t="inlineStr">
        <is>
          <t>VÄSTMANLANDS LÄN</t>
        </is>
      </c>
      <c r="E278" t="inlineStr">
        <is>
          <t>SALA</t>
        </is>
      </c>
      <c r="G278" t="n">
        <v>1.1</v>
      </c>
      <c r="H278" t="n">
        <v>0</v>
      </c>
      <c r="I278" t="n">
        <v>0</v>
      </c>
      <c r="J278" t="n">
        <v>0</v>
      </c>
      <c r="K278" t="n">
        <v>0</v>
      </c>
      <c r="L278" t="n">
        <v>0</v>
      </c>
      <c r="M278" t="n">
        <v>0</v>
      </c>
      <c r="N278" t="n">
        <v>0</v>
      </c>
      <c r="O278" t="n">
        <v>0</v>
      </c>
      <c r="P278" t="n">
        <v>0</v>
      </c>
      <c r="Q278" t="n">
        <v>0</v>
      </c>
      <c r="R278" s="2" t="inlineStr"/>
    </row>
    <row r="279" ht="15" customHeight="1">
      <c r="A279" t="inlineStr">
        <is>
          <t>A 34814-2021</t>
        </is>
      </c>
      <c r="B279" s="1" t="n">
        <v>44383</v>
      </c>
      <c r="C279" s="1" t="n">
        <v>46188</v>
      </c>
      <c r="D279" t="inlineStr">
        <is>
          <t>VÄSTMANLANDS LÄN</t>
        </is>
      </c>
      <c r="E279" t="inlineStr">
        <is>
          <t>SALA</t>
        </is>
      </c>
      <c r="F279" t="inlineStr">
        <is>
          <t>Sveaskog</t>
        </is>
      </c>
      <c r="G279" t="n">
        <v>0.5</v>
      </c>
      <c r="H279" t="n">
        <v>0</v>
      </c>
      <c r="I279" t="n">
        <v>0</v>
      </c>
      <c r="J279" t="n">
        <v>0</v>
      </c>
      <c r="K279" t="n">
        <v>0</v>
      </c>
      <c r="L279" t="n">
        <v>0</v>
      </c>
      <c r="M279" t="n">
        <v>0</v>
      </c>
      <c r="N279" t="n">
        <v>0</v>
      </c>
      <c r="O279" t="n">
        <v>0</v>
      </c>
      <c r="P279" t="n">
        <v>0</v>
      </c>
      <c r="Q279" t="n">
        <v>0</v>
      </c>
      <c r="R279" s="2" t="inlineStr"/>
    </row>
    <row r="280" ht="15" customHeight="1">
      <c r="A280" t="inlineStr">
        <is>
          <t>A 25748-2022</t>
        </is>
      </c>
      <c r="B280" s="1" t="n">
        <v>44732</v>
      </c>
      <c r="C280" s="1" t="n">
        <v>46188</v>
      </c>
      <c r="D280" t="inlineStr">
        <is>
          <t>VÄSTMANLANDS LÄN</t>
        </is>
      </c>
      <c r="E280" t="inlineStr">
        <is>
          <t>SALA</t>
        </is>
      </c>
      <c r="G280" t="n">
        <v>7.7</v>
      </c>
      <c r="H280" t="n">
        <v>0</v>
      </c>
      <c r="I280" t="n">
        <v>0</v>
      </c>
      <c r="J280" t="n">
        <v>0</v>
      </c>
      <c r="K280" t="n">
        <v>0</v>
      </c>
      <c r="L280" t="n">
        <v>0</v>
      </c>
      <c r="M280" t="n">
        <v>0</v>
      </c>
      <c r="N280" t="n">
        <v>0</v>
      </c>
      <c r="O280" t="n">
        <v>0</v>
      </c>
      <c r="P280" t="n">
        <v>0</v>
      </c>
      <c r="Q280" t="n">
        <v>0</v>
      </c>
      <c r="R280" s="2" t="inlineStr"/>
    </row>
    <row r="281" ht="15" customHeight="1">
      <c r="A281" t="inlineStr">
        <is>
          <t>A 3733-2023</t>
        </is>
      </c>
      <c r="B281" s="1" t="n">
        <v>44951.42501157407</v>
      </c>
      <c r="C281" s="1" t="n">
        <v>46188</v>
      </c>
      <c r="D281" t="inlineStr">
        <is>
          <t>VÄSTMANLANDS LÄN</t>
        </is>
      </c>
      <c r="E281" t="inlineStr">
        <is>
          <t>SALA</t>
        </is>
      </c>
      <c r="G281" t="n">
        <v>3.1</v>
      </c>
      <c r="H281" t="n">
        <v>0</v>
      </c>
      <c r="I281" t="n">
        <v>0</v>
      </c>
      <c r="J281" t="n">
        <v>0</v>
      </c>
      <c r="K281" t="n">
        <v>0</v>
      </c>
      <c r="L281" t="n">
        <v>0</v>
      </c>
      <c r="M281" t="n">
        <v>0</v>
      </c>
      <c r="N281" t="n">
        <v>0</v>
      </c>
      <c r="O281" t="n">
        <v>0</v>
      </c>
      <c r="P281" t="n">
        <v>0</v>
      </c>
      <c r="Q281" t="n">
        <v>0</v>
      </c>
      <c r="R281" s="2" t="inlineStr"/>
    </row>
    <row r="282" ht="15" customHeight="1">
      <c r="A282" t="inlineStr">
        <is>
          <t>A 63749-2025</t>
        </is>
      </c>
      <c r="B282" s="1" t="n">
        <v>46017.75243055556</v>
      </c>
      <c r="C282" s="1" t="n">
        <v>46188</v>
      </c>
      <c r="D282" t="inlineStr">
        <is>
          <t>VÄSTMANLANDS LÄN</t>
        </is>
      </c>
      <c r="E282" t="inlineStr">
        <is>
          <t>SALA</t>
        </is>
      </c>
      <c r="G282" t="n">
        <v>1.5</v>
      </c>
      <c r="H282" t="n">
        <v>0</v>
      </c>
      <c r="I282" t="n">
        <v>0</v>
      </c>
      <c r="J282" t="n">
        <v>0</v>
      </c>
      <c r="K282" t="n">
        <v>0</v>
      </c>
      <c r="L282" t="n">
        <v>0</v>
      </c>
      <c r="M282" t="n">
        <v>0</v>
      </c>
      <c r="N282" t="n">
        <v>0</v>
      </c>
      <c r="O282" t="n">
        <v>0</v>
      </c>
      <c r="P282" t="n">
        <v>0</v>
      </c>
      <c r="Q282" t="n">
        <v>0</v>
      </c>
      <c r="R282" s="2" t="inlineStr"/>
    </row>
    <row r="283" ht="15" customHeight="1">
      <c r="A283" t="inlineStr">
        <is>
          <t>A 63748-2025</t>
        </is>
      </c>
      <c r="B283" s="1" t="n">
        <v>46017.71640046296</v>
      </c>
      <c r="C283" s="1" t="n">
        <v>46188</v>
      </c>
      <c r="D283" t="inlineStr">
        <is>
          <t>VÄSTMANLANDS LÄN</t>
        </is>
      </c>
      <c r="E283" t="inlineStr">
        <is>
          <t>SALA</t>
        </is>
      </c>
      <c r="G283" t="n">
        <v>1.6</v>
      </c>
      <c r="H283" t="n">
        <v>0</v>
      </c>
      <c r="I283" t="n">
        <v>0</v>
      </c>
      <c r="J283" t="n">
        <v>0</v>
      </c>
      <c r="K283" t="n">
        <v>0</v>
      </c>
      <c r="L283" t="n">
        <v>0</v>
      </c>
      <c r="M283" t="n">
        <v>0</v>
      </c>
      <c r="N283" t="n">
        <v>0</v>
      </c>
      <c r="O283" t="n">
        <v>0</v>
      </c>
      <c r="P283" t="n">
        <v>0</v>
      </c>
      <c r="Q283" t="n">
        <v>0</v>
      </c>
      <c r="R283" s="2" t="inlineStr"/>
    </row>
    <row r="284" ht="15" customHeight="1">
      <c r="A284" t="inlineStr">
        <is>
          <t>A 988-2025</t>
        </is>
      </c>
      <c r="B284" s="1" t="n">
        <v>45666.44038194444</v>
      </c>
      <c r="C284" s="1" t="n">
        <v>46188</v>
      </c>
      <c r="D284" t="inlineStr">
        <is>
          <t>VÄSTMANLANDS LÄN</t>
        </is>
      </c>
      <c r="E284" t="inlineStr">
        <is>
          <t>SALA</t>
        </is>
      </c>
      <c r="G284" t="n">
        <v>1.3</v>
      </c>
      <c r="H284" t="n">
        <v>0</v>
      </c>
      <c r="I284" t="n">
        <v>0</v>
      </c>
      <c r="J284" t="n">
        <v>0</v>
      </c>
      <c r="K284" t="n">
        <v>0</v>
      </c>
      <c r="L284" t="n">
        <v>0</v>
      </c>
      <c r="M284" t="n">
        <v>0</v>
      </c>
      <c r="N284" t="n">
        <v>0</v>
      </c>
      <c r="O284" t="n">
        <v>0</v>
      </c>
      <c r="P284" t="n">
        <v>0</v>
      </c>
      <c r="Q284" t="n">
        <v>0</v>
      </c>
      <c r="R284" s="2" t="inlineStr"/>
    </row>
    <row r="285" ht="15" customHeight="1">
      <c r="A285" t="inlineStr">
        <is>
          <t>A 60328-2024</t>
        </is>
      </c>
      <c r="B285" s="1" t="n">
        <v>45643.38416666666</v>
      </c>
      <c r="C285" s="1" t="n">
        <v>46188</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11210-2025</t>
        </is>
      </c>
      <c r="B286" s="1" t="n">
        <v>45726</v>
      </c>
      <c r="C286" s="1" t="n">
        <v>46188</v>
      </c>
      <c r="D286" t="inlineStr">
        <is>
          <t>VÄSTMANLANDS LÄN</t>
        </is>
      </c>
      <c r="E286" t="inlineStr">
        <is>
          <t>SALA</t>
        </is>
      </c>
      <c r="G286" t="n">
        <v>4.1</v>
      </c>
      <c r="H286" t="n">
        <v>0</v>
      </c>
      <c r="I286" t="n">
        <v>0</v>
      </c>
      <c r="J286" t="n">
        <v>0</v>
      </c>
      <c r="K286" t="n">
        <v>0</v>
      </c>
      <c r="L286" t="n">
        <v>0</v>
      </c>
      <c r="M286" t="n">
        <v>0</v>
      </c>
      <c r="N286" t="n">
        <v>0</v>
      </c>
      <c r="O286" t="n">
        <v>0</v>
      </c>
      <c r="P286" t="n">
        <v>0</v>
      </c>
      <c r="Q286" t="n">
        <v>0</v>
      </c>
      <c r="R286" s="2" t="inlineStr"/>
    </row>
    <row r="287" ht="15" customHeight="1">
      <c r="A287" t="inlineStr">
        <is>
          <t>A 35016-2024</t>
        </is>
      </c>
      <c r="B287" s="1" t="n">
        <v>45527.59115740741</v>
      </c>
      <c r="C287" s="1" t="n">
        <v>46188</v>
      </c>
      <c r="D287" t="inlineStr">
        <is>
          <t>VÄSTMANLANDS LÄN</t>
        </is>
      </c>
      <c r="E287" t="inlineStr">
        <is>
          <t>SALA</t>
        </is>
      </c>
      <c r="G287" t="n">
        <v>0.4</v>
      </c>
      <c r="H287" t="n">
        <v>0</v>
      </c>
      <c r="I287" t="n">
        <v>0</v>
      </c>
      <c r="J287" t="n">
        <v>0</v>
      </c>
      <c r="K287" t="n">
        <v>0</v>
      </c>
      <c r="L287" t="n">
        <v>0</v>
      </c>
      <c r="M287" t="n">
        <v>0</v>
      </c>
      <c r="N287" t="n">
        <v>0</v>
      </c>
      <c r="O287" t="n">
        <v>0</v>
      </c>
      <c r="P287" t="n">
        <v>0</v>
      </c>
      <c r="Q287" t="n">
        <v>0</v>
      </c>
      <c r="R287" s="2" t="inlineStr"/>
    </row>
    <row r="288" ht="15" customHeight="1">
      <c r="A288" t="inlineStr">
        <is>
          <t>A 25897-2024</t>
        </is>
      </c>
      <c r="B288" s="1" t="n">
        <v>45467.54435185185</v>
      </c>
      <c r="C288" s="1" t="n">
        <v>46188</v>
      </c>
      <c r="D288" t="inlineStr">
        <is>
          <t>VÄSTMANLANDS LÄN</t>
        </is>
      </c>
      <c r="E288" t="inlineStr">
        <is>
          <t>SALA</t>
        </is>
      </c>
      <c r="G288" t="n">
        <v>9.9</v>
      </c>
      <c r="H288" t="n">
        <v>0</v>
      </c>
      <c r="I288" t="n">
        <v>0</v>
      </c>
      <c r="J288" t="n">
        <v>0</v>
      </c>
      <c r="K288" t="n">
        <v>0</v>
      </c>
      <c r="L288" t="n">
        <v>0</v>
      </c>
      <c r="M288" t="n">
        <v>0</v>
      </c>
      <c r="N288" t="n">
        <v>0</v>
      </c>
      <c r="O288" t="n">
        <v>0</v>
      </c>
      <c r="P288" t="n">
        <v>0</v>
      </c>
      <c r="Q288" t="n">
        <v>0</v>
      </c>
      <c r="R288" s="2" t="inlineStr"/>
    </row>
    <row r="289" ht="15" customHeight="1">
      <c r="A289" t="inlineStr">
        <is>
          <t>A 31072-2021</t>
        </is>
      </c>
      <c r="B289" s="1" t="n">
        <v>44368</v>
      </c>
      <c r="C289" s="1" t="n">
        <v>46188</v>
      </c>
      <c r="D289" t="inlineStr">
        <is>
          <t>VÄSTMANLANDS LÄN</t>
        </is>
      </c>
      <c r="E289" t="inlineStr">
        <is>
          <t>SALA</t>
        </is>
      </c>
      <c r="G289" t="n">
        <v>1.1</v>
      </c>
      <c r="H289" t="n">
        <v>0</v>
      </c>
      <c r="I289" t="n">
        <v>0</v>
      </c>
      <c r="J289" t="n">
        <v>0</v>
      </c>
      <c r="K289" t="n">
        <v>0</v>
      </c>
      <c r="L289" t="n">
        <v>0</v>
      </c>
      <c r="M289" t="n">
        <v>0</v>
      </c>
      <c r="N289" t="n">
        <v>0</v>
      </c>
      <c r="O289" t="n">
        <v>0</v>
      </c>
      <c r="P289" t="n">
        <v>0</v>
      </c>
      <c r="Q289" t="n">
        <v>0</v>
      </c>
      <c r="R289" s="2" t="inlineStr"/>
    </row>
    <row r="290" ht="15" customHeight="1">
      <c r="A290" t="inlineStr">
        <is>
          <t>A 24944-2023</t>
        </is>
      </c>
      <c r="B290" s="1" t="n">
        <v>45085</v>
      </c>
      <c r="C290" s="1" t="n">
        <v>46188</v>
      </c>
      <c r="D290" t="inlineStr">
        <is>
          <t>VÄSTMANLANDS LÄN</t>
        </is>
      </c>
      <c r="E290" t="inlineStr">
        <is>
          <t>SALA</t>
        </is>
      </c>
      <c r="G290" t="n">
        <v>3.8</v>
      </c>
      <c r="H290" t="n">
        <v>0</v>
      </c>
      <c r="I290" t="n">
        <v>0</v>
      </c>
      <c r="J290" t="n">
        <v>0</v>
      </c>
      <c r="K290" t="n">
        <v>0</v>
      </c>
      <c r="L290" t="n">
        <v>0</v>
      </c>
      <c r="M290" t="n">
        <v>0</v>
      </c>
      <c r="N290" t="n">
        <v>0</v>
      </c>
      <c r="O290" t="n">
        <v>0</v>
      </c>
      <c r="P290" t="n">
        <v>0</v>
      </c>
      <c r="Q290" t="n">
        <v>0</v>
      </c>
      <c r="R290" s="2" t="inlineStr"/>
    </row>
    <row r="291" ht="15" customHeight="1">
      <c r="A291" t="inlineStr">
        <is>
          <t>A 57371-2022</t>
        </is>
      </c>
      <c r="B291" s="1" t="n">
        <v>44896.43832175926</v>
      </c>
      <c r="C291" s="1" t="n">
        <v>46188</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910-2026</t>
        </is>
      </c>
      <c r="B292" s="1" t="n">
        <v>46030.4771412037</v>
      </c>
      <c r="C292" s="1" t="n">
        <v>46188</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914-2026</t>
        </is>
      </c>
      <c r="B293" s="1" t="n">
        <v>46030.47952546296</v>
      </c>
      <c r="C293" s="1" t="n">
        <v>46188</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948-2026</t>
        </is>
      </c>
      <c r="B294" s="1" t="n">
        <v>46030.53986111111</v>
      </c>
      <c r="C294" s="1" t="n">
        <v>46188</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19803-2024</t>
        </is>
      </c>
      <c r="B295" s="1" t="n">
        <v>45432</v>
      </c>
      <c r="C295" s="1" t="n">
        <v>46188</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55065-2024</t>
        </is>
      </c>
      <c r="B296" s="1" t="n">
        <v>45618</v>
      </c>
      <c r="C296" s="1" t="n">
        <v>46188</v>
      </c>
      <c r="D296" t="inlineStr">
        <is>
          <t>VÄSTMANLANDS LÄN</t>
        </is>
      </c>
      <c r="E296" t="inlineStr">
        <is>
          <t>SALA</t>
        </is>
      </c>
      <c r="G296" t="n">
        <v>3.5</v>
      </c>
      <c r="H296" t="n">
        <v>0</v>
      </c>
      <c r="I296" t="n">
        <v>0</v>
      </c>
      <c r="J296" t="n">
        <v>0</v>
      </c>
      <c r="K296" t="n">
        <v>0</v>
      </c>
      <c r="L296" t="n">
        <v>0</v>
      </c>
      <c r="M296" t="n">
        <v>0</v>
      </c>
      <c r="N296" t="n">
        <v>0</v>
      </c>
      <c r="O296" t="n">
        <v>0</v>
      </c>
      <c r="P296" t="n">
        <v>0</v>
      </c>
      <c r="Q296" t="n">
        <v>0</v>
      </c>
      <c r="R296" s="2" t="inlineStr"/>
    </row>
    <row r="297" ht="15" customHeight="1">
      <c r="A297" t="inlineStr">
        <is>
          <t>A 40597-2022</t>
        </is>
      </c>
      <c r="B297" s="1" t="n">
        <v>44823.84862268518</v>
      </c>
      <c r="C297" s="1" t="n">
        <v>46188</v>
      </c>
      <c r="D297" t="inlineStr">
        <is>
          <t>VÄSTMANLANDS LÄN</t>
        </is>
      </c>
      <c r="E297" t="inlineStr">
        <is>
          <t>SALA</t>
        </is>
      </c>
      <c r="G297" t="n">
        <v>3.5</v>
      </c>
      <c r="H297" t="n">
        <v>0</v>
      </c>
      <c r="I297" t="n">
        <v>0</v>
      </c>
      <c r="J297" t="n">
        <v>0</v>
      </c>
      <c r="K297" t="n">
        <v>0</v>
      </c>
      <c r="L297" t="n">
        <v>0</v>
      </c>
      <c r="M297" t="n">
        <v>0</v>
      </c>
      <c r="N297" t="n">
        <v>0</v>
      </c>
      <c r="O297" t="n">
        <v>0</v>
      </c>
      <c r="P297" t="n">
        <v>0</v>
      </c>
      <c r="Q297" t="n">
        <v>0</v>
      </c>
      <c r="R297" s="2" t="inlineStr"/>
    </row>
    <row r="298" ht="15" customHeight="1">
      <c r="A298" t="inlineStr">
        <is>
          <t>A 24907-2025</t>
        </is>
      </c>
      <c r="B298" s="1" t="n">
        <v>45799</v>
      </c>
      <c r="C298" s="1" t="n">
        <v>46188</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24910-2025</t>
        </is>
      </c>
      <c r="B299" s="1" t="n">
        <v>45799.53775462963</v>
      </c>
      <c r="C299" s="1" t="n">
        <v>46188</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1705-2026</t>
        </is>
      </c>
      <c r="B300" s="1" t="n">
        <v>46034.59930555556</v>
      </c>
      <c r="C300" s="1" t="n">
        <v>46188</v>
      </c>
      <c r="D300" t="inlineStr">
        <is>
          <t>VÄSTMANLANDS LÄN</t>
        </is>
      </c>
      <c r="E300" t="inlineStr">
        <is>
          <t>SALA</t>
        </is>
      </c>
      <c r="G300" t="n">
        <v>0.4</v>
      </c>
      <c r="H300" t="n">
        <v>0</v>
      </c>
      <c r="I300" t="n">
        <v>0</v>
      </c>
      <c r="J300" t="n">
        <v>0</v>
      </c>
      <c r="K300" t="n">
        <v>0</v>
      </c>
      <c r="L300" t="n">
        <v>0</v>
      </c>
      <c r="M300" t="n">
        <v>0</v>
      </c>
      <c r="N300" t="n">
        <v>0</v>
      </c>
      <c r="O300" t="n">
        <v>0</v>
      </c>
      <c r="P300" t="n">
        <v>0</v>
      </c>
      <c r="Q300" t="n">
        <v>0</v>
      </c>
      <c r="R300" s="2" t="inlineStr"/>
    </row>
    <row r="301" ht="15" customHeight="1">
      <c r="A301" t="inlineStr">
        <is>
          <t>A 64925-2023</t>
        </is>
      </c>
      <c r="B301" s="1" t="n">
        <v>45282</v>
      </c>
      <c r="C301" s="1" t="n">
        <v>46188</v>
      </c>
      <c r="D301" t="inlineStr">
        <is>
          <t>VÄSTMANLANDS LÄN</t>
        </is>
      </c>
      <c r="E301" t="inlineStr">
        <is>
          <t>SALA</t>
        </is>
      </c>
      <c r="G301" t="n">
        <v>2.5</v>
      </c>
      <c r="H301" t="n">
        <v>0</v>
      </c>
      <c r="I301" t="n">
        <v>0</v>
      </c>
      <c r="J301" t="n">
        <v>0</v>
      </c>
      <c r="K301" t="n">
        <v>0</v>
      </c>
      <c r="L301" t="n">
        <v>0</v>
      </c>
      <c r="M301" t="n">
        <v>0</v>
      </c>
      <c r="N301" t="n">
        <v>0</v>
      </c>
      <c r="O301" t="n">
        <v>0</v>
      </c>
      <c r="P301" t="n">
        <v>0</v>
      </c>
      <c r="Q301" t="n">
        <v>0</v>
      </c>
      <c r="R301" s="2" t="inlineStr"/>
    </row>
    <row r="302" ht="15" customHeight="1">
      <c r="A302" t="inlineStr">
        <is>
          <t>A 15099-2025</t>
        </is>
      </c>
      <c r="B302" s="1" t="n">
        <v>45744.3434837963</v>
      </c>
      <c r="C302" s="1" t="n">
        <v>46188</v>
      </c>
      <c r="D302" t="inlineStr">
        <is>
          <t>VÄSTMANLANDS LÄN</t>
        </is>
      </c>
      <c r="E302" t="inlineStr">
        <is>
          <t>SALA</t>
        </is>
      </c>
      <c r="F302" t="inlineStr">
        <is>
          <t>Sveaskog</t>
        </is>
      </c>
      <c r="G302" t="n">
        <v>14.4</v>
      </c>
      <c r="H302" t="n">
        <v>0</v>
      </c>
      <c r="I302" t="n">
        <v>0</v>
      </c>
      <c r="J302" t="n">
        <v>0</v>
      </c>
      <c r="K302" t="n">
        <v>0</v>
      </c>
      <c r="L302" t="n">
        <v>0</v>
      </c>
      <c r="M302" t="n">
        <v>0</v>
      </c>
      <c r="N302" t="n">
        <v>0</v>
      </c>
      <c r="O302" t="n">
        <v>0</v>
      </c>
      <c r="P302" t="n">
        <v>0</v>
      </c>
      <c r="Q302" t="n">
        <v>0</v>
      </c>
      <c r="R302" s="2" t="inlineStr"/>
    </row>
    <row r="303" ht="15" customHeight="1">
      <c r="A303" t="inlineStr">
        <is>
          <t>A 10909-2024</t>
        </is>
      </c>
      <c r="B303" s="1" t="n">
        <v>45370</v>
      </c>
      <c r="C303" s="1" t="n">
        <v>46188</v>
      </c>
      <c r="D303" t="inlineStr">
        <is>
          <t>VÄSTMANLANDS LÄN</t>
        </is>
      </c>
      <c r="E303" t="inlineStr">
        <is>
          <t>SALA</t>
        </is>
      </c>
      <c r="G303" t="n">
        <v>3.3</v>
      </c>
      <c r="H303" t="n">
        <v>0</v>
      </c>
      <c r="I303" t="n">
        <v>0</v>
      </c>
      <c r="J303" t="n">
        <v>0</v>
      </c>
      <c r="K303" t="n">
        <v>0</v>
      </c>
      <c r="L303" t="n">
        <v>0</v>
      </c>
      <c r="M303" t="n">
        <v>0</v>
      </c>
      <c r="N303" t="n">
        <v>0</v>
      </c>
      <c r="O303" t="n">
        <v>0</v>
      </c>
      <c r="P303" t="n">
        <v>0</v>
      </c>
      <c r="Q303" t="n">
        <v>0</v>
      </c>
      <c r="R303" s="2" t="inlineStr"/>
    </row>
    <row r="304" ht="15" customHeight="1">
      <c r="A304" t="inlineStr">
        <is>
          <t>A 52827-2024</t>
        </is>
      </c>
      <c r="B304" s="1" t="n">
        <v>45610</v>
      </c>
      <c r="C304" s="1" t="n">
        <v>46188</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16328-2025</t>
        </is>
      </c>
      <c r="B305" s="1" t="n">
        <v>45751</v>
      </c>
      <c r="C305" s="1" t="n">
        <v>46188</v>
      </c>
      <c r="D305" t="inlineStr">
        <is>
          <t>VÄSTMANLANDS LÄN</t>
        </is>
      </c>
      <c r="E305" t="inlineStr">
        <is>
          <t>SALA</t>
        </is>
      </c>
      <c r="G305" t="n">
        <v>2.9</v>
      </c>
      <c r="H305" t="n">
        <v>0</v>
      </c>
      <c r="I305" t="n">
        <v>0</v>
      </c>
      <c r="J305" t="n">
        <v>0</v>
      </c>
      <c r="K305" t="n">
        <v>0</v>
      </c>
      <c r="L305" t="n">
        <v>0</v>
      </c>
      <c r="M305" t="n">
        <v>0</v>
      </c>
      <c r="N305" t="n">
        <v>0</v>
      </c>
      <c r="O305" t="n">
        <v>0</v>
      </c>
      <c r="P305" t="n">
        <v>0</v>
      </c>
      <c r="Q305" t="n">
        <v>0</v>
      </c>
      <c r="R305" s="2" t="inlineStr"/>
    </row>
    <row r="306" ht="15" customHeight="1">
      <c r="A306" t="inlineStr">
        <is>
          <t>A 66908-2021</t>
        </is>
      </c>
      <c r="B306" s="1" t="n">
        <v>44522</v>
      </c>
      <c r="C306" s="1" t="n">
        <v>46188</v>
      </c>
      <c r="D306" t="inlineStr">
        <is>
          <t>VÄSTMANLANDS LÄN</t>
        </is>
      </c>
      <c r="E306" t="inlineStr">
        <is>
          <t>SALA</t>
        </is>
      </c>
      <c r="G306" t="n">
        <v>2.6</v>
      </c>
      <c r="H306" t="n">
        <v>0</v>
      </c>
      <c r="I306" t="n">
        <v>0</v>
      </c>
      <c r="J306" t="n">
        <v>0</v>
      </c>
      <c r="K306" t="n">
        <v>0</v>
      </c>
      <c r="L306" t="n">
        <v>0</v>
      </c>
      <c r="M306" t="n">
        <v>0</v>
      </c>
      <c r="N306" t="n">
        <v>0</v>
      </c>
      <c r="O306" t="n">
        <v>0</v>
      </c>
      <c r="P306" t="n">
        <v>0</v>
      </c>
      <c r="Q306" t="n">
        <v>0</v>
      </c>
      <c r="R306" s="2" t="inlineStr"/>
    </row>
    <row r="307" ht="15" customHeight="1">
      <c r="A307" t="inlineStr">
        <is>
          <t>A 73835-2021</t>
        </is>
      </c>
      <c r="B307" s="1" t="n">
        <v>44552.92112268518</v>
      </c>
      <c r="C307" s="1" t="n">
        <v>46188</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4214-2026</t>
        </is>
      </c>
      <c r="B308" s="1" t="n">
        <v>46044.76459490741</v>
      </c>
      <c r="C308" s="1" t="n">
        <v>46188</v>
      </c>
      <c r="D308" t="inlineStr">
        <is>
          <t>VÄSTMANLANDS LÄN</t>
        </is>
      </c>
      <c r="E308" t="inlineStr">
        <is>
          <t>SALA</t>
        </is>
      </c>
      <c r="G308" t="n">
        <v>1.7</v>
      </c>
      <c r="H308" t="n">
        <v>0</v>
      </c>
      <c r="I308" t="n">
        <v>0</v>
      </c>
      <c r="J308" t="n">
        <v>0</v>
      </c>
      <c r="K308" t="n">
        <v>0</v>
      </c>
      <c r="L308" t="n">
        <v>0</v>
      </c>
      <c r="M308" t="n">
        <v>0</v>
      </c>
      <c r="N308" t="n">
        <v>0</v>
      </c>
      <c r="O308" t="n">
        <v>0</v>
      </c>
      <c r="P308" t="n">
        <v>0</v>
      </c>
      <c r="Q308" t="n">
        <v>0</v>
      </c>
      <c r="R308" s="2" t="inlineStr"/>
    </row>
    <row r="309" ht="15" customHeight="1">
      <c r="A309" t="inlineStr">
        <is>
          <t>A 3810-2023</t>
        </is>
      </c>
      <c r="B309" s="1" t="n">
        <v>44951.60454861111</v>
      </c>
      <c r="C309" s="1" t="n">
        <v>46188</v>
      </c>
      <c r="D309" t="inlineStr">
        <is>
          <t>VÄSTMANLANDS LÄN</t>
        </is>
      </c>
      <c r="E309" t="inlineStr">
        <is>
          <t>SALA</t>
        </is>
      </c>
      <c r="G309" t="n">
        <v>4.2</v>
      </c>
      <c r="H309" t="n">
        <v>0</v>
      </c>
      <c r="I309" t="n">
        <v>0</v>
      </c>
      <c r="J309" t="n">
        <v>0</v>
      </c>
      <c r="K309" t="n">
        <v>0</v>
      </c>
      <c r="L309" t="n">
        <v>0</v>
      </c>
      <c r="M309" t="n">
        <v>0</v>
      </c>
      <c r="N309" t="n">
        <v>0</v>
      </c>
      <c r="O309" t="n">
        <v>0</v>
      </c>
      <c r="P309" t="n">
        <v>0</v>
      </c>
      <c r="Q309" t="n">
        <v>0</v>
      </c>
      <c r="R309" s="2" t="inlineStr"/>
    </row>
    <row r="310" ht="15" customHeight="1">
      <c r="A310" t="inlineStr">
        <is>
          <t>A 4664-2026</t>
        </is>
      </c>
      <c r="B310" s="1" t="n">
        <v>46048.41061342593</v>
      </c>
      <c r="C310" s="1" t="n">
        <v>46188</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4683-2026</t>
        </is>
      </c>
      <c r="B311" s="1" t="n">
        <v>46048.43489583334</v>
      </c>
      <c r="C311" s="1" t="n">
        <v>46188</v>
      </c>
      <c r="D311" t="inlineStr">
        <is>
          <t>VÄSTMANLANDS LÄN</t>
        </is>
      </c>
      <c r="E311" t="inlineStr">
        <is>
          <t>SALA</t>
        </is>
      </c>
      <c r="G311" t="n">
        <v>0.6</v>
      </c>
      <c r="H311" t="n">
        <v>0</v>
      </c>
      <c r="I311" t="n">
        <v>0</v>
      </c>
      <c r="J311" t="n">
        <v>0</v>
      </c>
      <c r="K311" t="n">
        <v>0</v>
      </c>
      <c r="L311" t="n">
        <v>0</v>
      </c>
      <c r="M311" t="n">
        <v>0</v>
      </c>
      <c r="N311" t="n">
        <v>0</v>
      </c>
      <c r="O311" t="n">
        <v>0</v>
      </c>
      <c r="P311" t="n">
        <v>0</v>
      </c>
      <c r="Q311" t="n">
        <v>0</v>
      </c>
      <c r="R311" s="2" t="inlineStr"/>
    </row>
    <row r="312" ht="15" customHeight="1">
      <c r="A312" t="inlineStr">
        <is>
          <t>A 12252-2023</t>
        </is>
      </c>
      <c r="B312" s="1" t="n">
        <v>44995</v>
      </c>
      <c r="C312" s="1" t="n">
        <v>46188</v>
      </c>
      <c r="D312" t="inlineStr">
        <is>
          <t>VÄSTMANLANDS LÄN</t>
        </is>
      </c>
      <c r="E312" t="inlineStr">
        <is>
          <t>SALA</t>
        </is>
      </c>
      <c r="G312" t="n">
        <v>2.6</v>
      </c>
      <c r="H312" t="n">
        <v>0</v>
      </c>
      <c r="I312" t="n">
        <v>0</v>
      </c>
      <c r="J312" t="n">
        <v>0</v>
      </c>
      <c r="K312" t="n">
        <v>0</v>
      </c>
      <c r="L312" t="n">
        <v>0</v>
      </c>
      <c r="M312" t="n">
        <v>0</v>
      </c>
      <c r="N312" t="n">
        <v>0</v>
      </c>
      <c r="O312" t="n">
        <v>0</v>
      </c>
      <c r="P312" t="n">
        <v>0</v>
      </c>
      <c r="Q312" t="n">
        <v>0</v>
      </c>
      <c r="R312" s="2" t="inlineStr"/>
    </row>
    <row r="313" ht="15" customHeight="1">
      <c r="A313" t="inlineStr">
        <is>
          <t>A 4624-2026</t>
        </is>
      </c>
      <c r="B313" s="1" t="n">
        <v>46048.38107638889</v>
      </c>
      <c r="C313" s="1" t="n">
        <v>46188</v>
      </c>
      <c r="D313" t="inlineStr">
        <is>
          <t>VÄSTMANLANDS LÄN</t>
        </is>
      </c>
      <c r="E313" t="inlineStr">
        <is>
          <t>SALA</t>
        </is>
      </c>
      <c r="G313" t="n">
        <v>12.3</v>
      </c>
      <c r="H313" t="n">
        <v>0</v>
      </c>
      <c r="I313" t="n">
        <v>0</v>
      </c>
      <c r="J313" t="n">
        <v>0</v>
      </c>
      <c r="K313" t="n">
        <v>0</v>
      </c>
      <c r="L313" t="n">
        <v>0</v>
      </c>
      <c r="M313" t="n">
        <v>0</v>
      </c>
      <c r="N313" t="n">
        <v>0</v>
      </c>
      <c r="O313" t="n">
        <v>0</v>
      </c>
      <c r="P313" t="n">
        <v>0</v>
      </c>
      <c r="Q313" t="n">
        <v>0</v>
      </c>
      <c r="R313" s="2" t="inlineStr"/>
    </row>
    <row r="314" ht="15" customHeight="1">
      <c r="A314" t="inlineStr">
        <is>
          <t>A 5219-2026</t>
        </is>
      </c>
      <c r="B314" s="1" t="n">
        <v>46049.76225694444</v>
      </c>
      <c r="C314" s="1" t="n">
        <v>46188</v>
      </c>
      <c r="D314" t="inlineStr">
        <is>
          <t>VÄSTMANLANDS LÄN</t>
        </is>
      </c>
      <c r="E314" t="inlineStr">
        <is>
          <t>SALA</t>
        </is>
      </c>
      <c r="G314" t="n">
        <v>1.9</v>
      </c>
      <c r="H314" t="n">
        <v>0</v>
      </c>
      <c r="I314" t="n">
        <v>0</v>
      </c>
      <c r="J314" t="n">
        <v>0</v>
      </c>
      <c r="K314" t="n">
        <v>0</v>
      </c>
      <c r="L314" t="n">
        <v>0</v>
      </c>
      <c r="M314" t="n">
        <v>0</v>
      </c>
      <c r="N314" t="n">
        <v>0</v>
      </c>
      <c r="O314" t="n">
        <v>0</v>
      </c>
      <c r="P314" t="n">
        <v>0</v>
      </c>
      <c r="Q314" t="n">
        <v>0</v>
      </c>
      <c r="R314" s="2" t="inlineStr"/>
    </row>
    <row r="315" ht="15" customHeight="1">
      <c r="A315" t="inlineStr">
        <is>
          <t>A 5418-2026</t>
        </is>
      </c>
      <c r="B315" s="1" t="n">
        <v>46050.53740740741</v>
      </c>
      <c r="C315" s="1" t="n">
        <v>46188</v>
      </c>
      <c r="D315" t="inlineStr">
        <is>
          <t>VÄSTMANLANDS LÄN</t>
        </is>
      </c>
      <c r="E315" t="inlineStr">
        <is>
          <t>SALA</t>
        </is>
      </c>
      <c r="G315" t="n">
        <v>0.9</v>
      </c>
      <c r="H315" t="n">
        <v>0</v>
      </c>
      <c r="I315" t="n">
        <v>0</v>
      </c>
      <c r="J315" t="n">
        <v>0</v>
      </c>
      <c r="K315" t="n">
        <v>0</v>
      </c>
      <c r="L315" t="n">
        <v>0</v>
      </c>
      <c r="M315" t="n">
        <v>0</v>
      </c>
      <c r="N315" t="n">
        <v>0</v>
      </c>
      <c r="O315" t="n">
        <v>0</v>
      </c>
      <c r="P315" t="n">
        <v>0</v>
      </c>
      <c r="Q315" t="n">
        <v>0</v>
      </c>
      <c r="R315" s="2" t="inlineStr"/>
    </row>
    <row r="316" ht="15" customHeight="1">
      <c r="A316" t="inlineStr">
        <is>
          <t>A 25260-2023</t>
        </is>
      </c>
      <c r="B316" s="1" t="n">
        <v>45086</v>
      </c>
      <c r="C316" s="1" t="n">
        <v>46188</v>
      </c>
      <c r="D316" t="inlineStr">
        <is>
          <t>VÄSTMANLANDS LÄN</t>
        </is>
      </c>
      <c r="E316" t="inlineStr">
        <is>
          <t>SALA</t>
        </is>
      </c>
      <c r="F316" t="inlineStr">
        <is>
          <t>Sveaskog</t>
        </is>
      </c>
      <c r="G316" t="n">
        <v>3.2</v>
      </c>
      <c r="H316" t="n">
        <v>0</v>
      </c>
      <c r="I316" t="n">
        <v>0</v>
      </c>
      <c r="J316" t="n">
        <v>0</v>
      </c>
      <c r="K316" t="n">
        <v>0</v>
      </c>
      <c r="L316" t="n">
        <v>0</v>
      </c>
      <c r="M316" t="n">
        <v>0</v>
      </c>
      <c r="N316" t="n">
        <v>0</v>
      </c>
      <c r="O316" t="n">
        <v>0</v>
      </c>
      <c r="P316" t="n">
        <v>0</v>
      </c>
      <c r="Q316" t="n">
        <v>0</v>
      </c>
      <c r="R316" s="2" t="inlineStr"/>
    </row>
    <row r="317" ht="15" customHeight="1">
      <c r="A317" t="inlineStr">
        <is>
          <t>A 57404-2024</t>
        </is>
      </c>
      <c r="B317" s="1" t="n">
        <v>45629.71967592592</v>
      </c>
      <c r="C317" s="1" t="n">
        <v>46188</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13128-2023</t>
        </is>
      </c>
      <c r="B318" s="1" t="n">
        <v>45002</v>
      </c>
      <c r="C318" s="1" t="n">
        <v>46188</v>
      </c>
      <c r="D318" t="inlineStr">
        <is>
          <t>VÄSTMANLANDS LÄN</t>
        </is>
      </c>
      <c r="E318" t="inlineStr">
        <is>
          <t>SALA</t>
        </is>
      </c>
      <c r="G318" t="n">
        <v>7.9</v>
      </c>
      <c r="H318" t="n">
        <v>0</v>
      </c>
      <c r="I318" t="n">
        <v>0</v>
      </c>
      <c r="J318" t="n">
        <v>0</v>
      </c>
      <c r="K318" t="n">
        <v>0</v>
      </c>
      <c r="L318" t="n">
        <v>0</v>
      </c>
      <c r="M318" t="n">
        <v>0</v>
      </c>
      <c r="N318" t="n">
        <v>0</v>
      </c>
      <c r="O318" t="n">
        <v>0</v>
      </c>
      <c r="P318" t="n">
        <v>0</v>
      </c>
      <c r="Q318" t="n">
        <v>0</v>
      </c>
      <c r="R318" s="2" t="inlineStr"/>
    </row>
    <row r="319" ht="15" customHeight="1">
      <c r="A319" t="inlineStr">
        <is>
          <t>A 5894-2026</t>
        </is>
      </c>
      <c r="B319" s="1" t="n">
        <v>46052.42412037037</v>
      </c>
      <c r="C319" s="1" t="n">
        <v>46188</v>
      </c>
      <c r="D319" t="inlineStr">
        <is>
          <t>VÄSTMANLANDS LÄN</t>
        </is>
      </c>
      <c r="E319" t="inlineStr">
        <is>
          <t>SALA</t>
        </is>
      </c>
      <c r="G319" t="n">
        <v>0.9</v>
      </c>
      <c r="H319" t="n">
        <v>0</v>
      </c>
      <c r="I319" t="n">
        <v>0</v>
      </c>
      <c r="J319" t="n">
        <v>0</v>
      </c>
      <c r="K319" t="n">
        <v>0</v>
      </c>
      <c r="L319" t="n">
        <v>0</v>
      </c>
      <c r="M319" t="n">
        <v>0</v>
      </c>
      <c r="N319" t="n">
        <v>0</v>
      </c>
      <c r="O319" t="n">
        <v>0</v>
      </c>
      <c r="P319" t="n">
        <v>0</v>
      </c>
      <c r="Q319" t="n">
        <v>0</v>
      </c>
      <c r="R319" s="2" t="inlineStr"/>
    </row>
    <row r="320" ht="15" customHeight="1">
      <c r="A320" t="inlineStr">
        <is>
          <t>A 24864-2024</t>
        </is>
      </c>
      <c r="B320" s="1" t="n">
        <v>45461.48888888889</v>
      </c>
      <c r="C320" s="1" t="n">
        <v>46188</v>
      </c>
      <c r="D320" t="inlineStr">
        <is>
          <t>VÄSTMANLANDS LÄN</t>
        </is>
      </c>
      <c r="E320" t="inlineStr">
        <is>
          <t>SALA</t>
        </is>
      </c>
      <c r="G320" t="n">
        <v>0.6</v>
      </c>
      <c r="H320" t="n">
        <v>0</v>
      </c>
      <c r="I320" t="n">
        <v>0</v>
      </c>
      <c r="J320" t="n">
        <v>0</v>
      </c>
      <c r="K320" t="n">
        <v>0</v>
      </c>
      <c r="L320" t="n">
        <v>0</v>
      </c>
      <c r="M320" t="n">
        <v>0</v>
      </c>
      <c r="N320" t="n">
        <v>0</v>
      </c>
      <c r="O320" t="n">
        <v>0</v>
      </c>
      <c r="P320" t="n">
        <v>0</v>
      </c>
      <c r="Q320" t="n">
        <v>0</v>
      </c>
      <c r="R320" s="2" t="inlineStr"/>
    </row>
    <row r="321" ht="15" customHeight="1">
      <c r="A321" t="inlineStr">
        <is>
          <t>A 28284-2025</t>
        </is>
      </c>
      <c r="B321" s="1" t="n">
        <v>45818.58893518519</v>
      </c>
      <c r="C321" s="1" t="n">
        <v>46188</v>
      </c>
      <c r="D321" t="inlineStr">
        <is>
          <t>VÄSTMANLANDS LÄN</t>
        </is>
      </c>
      <c r="E321" t="inlineStr">
        <is>
          <t>SALA</t>
        </is>
      </c>
      <c r="G321" t="n">
        <v>2.4</v>
      </c>
      <c r="H321" t="n">
        <v>0</v>
      </c>
      <c r="I321" t="n">
        <v>0</v>
      </c>
      <c r="J321" t="n">
        <v>0</v>
      </c>
      <c r="K321" t="n">
        <v>0</v>
      </c>
      <c r="L321" t="n">
        <v>0</v>
      </c>
      <c r="M321" t="n">
        <v>0</v>
      </c>
      <c r="N321" t="n">
        <v>0</v>
      </c>
      <c r="O321" t="n">
        <v>0</v>
      </c>
      <c r="P321" t="n">
        <v>0</v>
      </c>
      <c r="Q321" t="n">
        <v>0</v>
      </c>
      <c r="R321" s="2" t="inlineStr"/>
    </row>
    <row r="322" ht="15" customHeight="1">
      <c r="A322" t="inlineStr">
        <is>
          <t>A 7327-2026</t>
        </is>
      </c>
      <c r="B322" s="1" t="n">
        <v>46058.68371527778</v>
      </c>
      <c r="C322" s="1" t="n">
        <v>46188</v>
      </c>
      <c r="D322" t="inlineStr">
        <is>
          <t>VÄSTMANLANDS LÄN</t>
        </is>
      </c>
      <c r="E322" t="inlineStr">
        <is>
          <t>SALA</t>
        </is>
      </c>
      <c r="G322" t="n">
        <v>5.8</v>
      </c>
      <c r="H322" t="n">
        <v>0</v>
      </c>
      <c r="I322" t="n">
        <v>0</v>
      </c>
      <c r="J322" t="n">
        <v>0</v>
      </c>
      <c r="K322" t="n">
        <v>0</v>
      </c>
      <c r="L322" t="n">
        <v>0</v>
      </c>
      <c r="M322" t="n">
        <v>0</v>
      </c>
      <c r="N322" t="n">
        <v>0</v>
      </c>
      <c r="O322" t="n">
        <v>0</v>
      </c>
      <c r="P322" t="n">
        <v>0</v>
      </c>
      <c r="Q322" t="n">
        <v>0</v>
      </c>
      <c r="R322" s="2" t="inlineStr"/>
    </row>
    <row r="323" ht="15" customHeight="1">
      <c r="A323" t="inlineStr">
        <is>
          <t>A 7332-2026</t>
        </is>
      </c>
      <c r="B323" s="1" t="n">
        <v>46058.68884259259</v>
      </c>
      <c r="C323" s="1" t="n">
        <v>46188</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7324-2026</t>
        </is>
      </c>
      <c r="B324" s="1" t="n">
        <v>46058.68023148148</v>
      </c>
      <c r="C324" s="1" t="n">
        <v>46188</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7329-2026</t>
        </is>
      </c>
      <c r="B325" s="1" t="n">
        <v>46058.68678240741</v>
      </c>
      <c r="C325" s="1" t="n">
        <v>46188</v>
      </c>
      <c r="D325" t="inlineStr">
        <is>
          <t>VÄSTMANLANDS LÄN</t>
        </is>
      </c>
      <c r="E325" t="inlineStr">
        <is>
          <t>SALA</t>
        </is>
      </c>
      <c r="G325" t="n">
        <v>3.1</v>
      </c>
      <c r="H325" t="n">
        <v>0</v>
      </c>
      <c r="I325" t="n">
        <v>0</v>
      </c>
      <c r="J325" t="n">
        <v>0</v>
      </c>
      <c r="K325" t="n">
        <v>0</v>
      </c>
      <c r="L325" t="n">
        <v>0</v>
      </c>
      <c r="M325" t="n">
        <v>0</v>
      </c>
      <c r="N325" t="n">
        <v>0</v>
      </c>
      <c r="O325" t="n">
        <v>0</v>
      </c>
      <c r="P325" t="n">
        <v>0</v>
      </c>
      <c r="Q325" t="n">
        <v>0</v>
      </c>
      <c r="R325" s="2" t="inlineStr"/>
    </row>
    <row r="326" ht="15" customHeight="1">
      <c r="A326" t="inlineStr">
        <is>
          <t>A 7654-2026</t>
        </is>
      </c>
      <c r="B326" s="1" t="n">
        <v>46062.38828703704</v>
      </c>
      <c r="C326" s="1" t="n">
        <v>46188</v>
      </c>
      <c r="D326" t="inlineStr">
        <is>
          <t>VÄSTMANLANDS LÄN</t>
        </is>
      </c>
      <c r="E326" t="inlineStr">
        <is>
          <t>SALA</t>
        </is>
      </c>
      <c r="G326" t="n">
        <v>4.5</v>
      </c>
      <c r="H326" t="n">
        <v>0</v>
      </c>
      <c r="I326" t="n">
        <v>0</v>
      </c>
      <c r="J326" t="n">
        <v>0</v>
      </c>
      <c r="K326" t="n">
        <v>0</v>
      </c>
      <c r="L326" t="n">
        <v>0</v>
      </c>
      <c r="M326" t="n">
        <v>0</v>
      </c>
      <c r="N326" t="n">
        <v>0</v>
      </c>
      <c r="O326" t="n">
        <v>0</v>
      </c>
      <c r="P326" t="n">
        <v>0</v>
      </c>
      <c r="Q326" t="n">
        <v>0</v>
      </c>
      <c r="R326" s="2" t="inlineStr"/>
    </row>
    <row r="327" ht="15" customHeight="1">
      <c r="A327" t="inlineStr">
        <is>
          <t>A 7588-2026</t>
        </is>
      </c>
      <c r="B327" s="1" t="n">
        <v>46061.83528935185</v>
      </c>
      <c r="C327" s="1" t="n">
        <v>46188</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7611-2026</t>
        </is>
      </c>
      <c r="B328" s="1" t="n">
        <v>46062.32387731481</v>
      </c>
      <c r="C328" s="1" t="n">
        <v>46188</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7676-2026</t>
        </is>
      </c>
      <c r="B329" s="1" t="n">
        <v>46062.42498842593</v>
      </c>
      <c r="C329" s="1" t="n">
        <v>46188</v>
      </c>
      <c r="D329" t="inlineStr">
        <is>
          <t>VÄSTMANLANDS LÄN</t>
        </is>
      </c>
      <c r="E329" t="inlineStr">
        <is>
          <t>SALA</t>
        </is>
      </c>
      <c r="G329" t="n">
        <v>2.1</v>
      </c>
      <c r="H329" t="n">
        <v>0</v>
      </c>
      <c r="I329" t="n">
        <v>0</v>
      </c>
      <c r="J329" t="n">
        <v>0</v>
      </c>
      <c r="K329" t="n">
        <v>0</v>
      </c>
      <c r="L329" t="n">
        <v>0</v>
      </c>
      <c r="M329" t="n">
        <v>0</v>
      </c>
      <c r="N329" t="n">
        <v>0</v>
      </c>
      <c r="O329" t="n">
        <v>0</v>
      </c>
      <c r="P329" t="n">
        <v>0</v>
      </c>
      <c r="Q329" t="n">
        <v>0</v>
      </c>
      <c r="R329" s="2" t="inlineStr"/>
    </row>
    <row r="330" ht="15" customHeight="1">
      <c r="A330" t="inlineStr">
        <is>
          <t>A 7593-2026</t>
        </is>
      </c>
      <c r="B330" s="1" t="n">
        <v>46061.88057870371</v>
      </c>
      <c r="C330" s="1" t="n">
        <v>46188</v>
      </c>
      <c r="D330" t="inlineStr">
        <is>
          <t>VÄSTMANLANDS LÄN</t>
        </is>
      </c>
      <c r="E330" t="inlineStr">
        <is>
          <t>SALA</t>
        </is>
      </c>
      <c r="G330" t="n">
        <v>7.5</v>
      </c>
      <c r="H330" t="n">
        <v>0</v>
      </c>
      <c r="I330" t="n">
        <v>0</v>
      </c>
      <c r="J330" t="n">
        <v>0</v>
      </c>
      <c r="K330" t="n">
        <v>0</v>
      </c>
      <c r="L330" t="n">
        <v>0</v>
      </c>
      <c r="M330" t="n">
        <v>0</v>
      </c>
      <c r="N330" t="n">
        <v>0</v>
      </c>
      <c r="O330" t="n">
        <v>0</v>
      </c>
      <c r="P330" t="n">
        <v>0</v>
      </c>
      <c r="Q330" t="n">
        <v>0</v>
      </c>
      <c r="R330" s="2" t="inlineStr"/>
    </row>
    <row r="331" ht="15" customHeight="1">
      <c r="A331" t="inlineStr">
        <is>
          <t>A 7597-2026</t>
        </is>
      </c>
      <c r="B331" s="1" t="n">
        <v>46061.91765046296</v>
      </c>
      <c r="C331" s="1" t="n">
        <v>46188</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7661-2026</t>
        </is>
      </c>
      <c r="B332" s="1" t="n">
        <v>46062.39614583334</v>
      </c>
      <c r="C332" s="1" t="n">
        <v>46188</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7584-2026</t>
        </is>
      </c>
      <c r="B333" s="1" t="n">
        <v>46061.81653935185</v>
      </c>
      <c r="C333" s="1" t="n">
        <v>46188</v>
      </c>
      <c r="D333" t="inlineStr">
        <is>
          <t>VÄSTMANLANDS LÄN</t>
        </is>
      </c>
      <c r="E333" t="inlineStr">
        <is>
          <t>SALA</t>
        </is>
      </c>
      <c r="G333" t="n">
        <v>16.7</v>
      </c>
      <c r="H333" t="n">
        <v>0</v>
      </c>
      <c r="I333" t="n">
        <v>0</v>
      </c>
      <c r="J333" t="n">
        <v>0</v>
      </c>
      <c r="K333" t="n">
        <v>0</v>
      </c>
      <c r="L333" t="n">
        <v>0</v>
      </c>
      <c r="M333" t="n">
        <v>0</v>
      </c>
      <c r="N333" t="n">
        <v>0</v>
      </c>
      <c r="O333" t="n">
        <v>0</v>
      </c>
      <c r="P333" t="n">
        <v>0</v>
      </c>
      <c r="Q333" t="n">
        <v>0</v>
      </c>
      <c r="R333" s="2" t="inlineStr"/>
    </row>
    <row r="334" ht="15" customHeight="1">
      <c r="A334" t="inlineStr">
        <is>
          <t>A 7590-2026</t>
        </is>
      </c>
      <c r="B334" s="1" t="n">
        <v>46061.85252314815</v>
      </c>
      <c r="C334" s="1" t="n">
        <v>46188</v>
      </c>
      <c r="D334" t="inlineStr">
        <is>
          <t>VÄSTMANLANDS LÄN</t>
        </is>
      </c>
      <c r="E334" t="inlineStr">
        <is>
          <t>SALA</t>
        </is>
      </c>
      <c r="G334" t="n">
        <v>1.9</v>
      </c>
      <c r="H334" t="n">
        <v>0</v>
      </c>
      <c r="I334" t="n">
        <v>0</v>
      </c>
      <c r="J334" t="n">
        <v>0</v>
      </c>
      <c r="K334" t="n">
        <v>0</v>
      </c>
      <c r="L334" t="n">
        <v>0</v>
      </c>
      <c r="M334" t="n">
        <v>0</v>
      </c>
      <c r="N334" t="n">
        <v>0</v>
      </c>
      <c r="O334" t="n">
        <v>0</v>
      </c>
      <c r="P334" t="n">
        <v>0</v>
      </c>
      <c r="Q334" t="n">
        <v>0</v>
      </c>
      <c r="R334" s="2" t="inlineStr"/>
    </row>
    <row r="335" ht="15" customHeight="1">
      <c r="A335" t="inlineStr">
        <is>
          <t>A 7596-2026</t>
        </is>
      </c>
      <c r="B335" s="1" t="n">
        <v>46061.90922453703</v>
      </c>
      <c r="C335" s="1" t="n">
        <v>46188</v>
      </c>
      <c r="D335" t="inlineStr">
        <is>
          <t>VÄSTMANLANDS LÄN</t>
        </is>
      </c>
      <c r="E335" t="inlineStr">
        <is>
          <t>SALA</t>
        </is>
      </c>
      <c r="G335" t="n">
        <v>3.1</v>
      </c>
      <c r="H335" t="n">
        <v>0</v>
      </c>
      <c r="I335" t="n">
        <v>0</v>
      </c>
      <c r="J335" t="n">
        <v>0</v>
      </c>
      <c r="K335" t="n">
        <v>0</v>
      </c>
      <c r="L335" t="n">
        <v>0</v>
      </c>
      <c r="M335" t="n">
        <v>0</v>
      </c>
      <c r="N335" t="n">
        <v>0</v>
      </c>
      <c r="O335" t="n">
        <v>0</v>
      </c>
      <c r="P335" t="n">
        <v>0</v>
      </c>
      <c r="Q335" t="n">
        <v>0</v>
      </c>
      <c r="R335" s="2" t="inlineStr"/>
    </row>
    <row r="336" ht="15" customHeight="1">
      <c r="A336" t="inlineStr">
        <is>
          <t>A 29085-2025</t>
        </is>
      </c>
      <c r="B336" s="1" t="n">
        <v>45821</v>
      </c>
      <c r="C336" s="1" t="n">
        <v>46188</v>
      </c>
      <c r="D336" t="inlineStr">
        <is>
          <t>VÄSTMANLANDS LÄN</t>
        </is>
      </c>
      <c r="E336" t="inlineStr">
        <is>
          <t>SALA</t>
        </is>
      </c>
      <c r="G336" t="n">
        <v>3.5</v>
      </c>
      <c r="H336" t="n">
        <v>0</v>
      </c>
      <c r="I336" t="n">
        <v>0</v>
      </c>
      <c r="J336" t="n">
        <v>0</v>
      </c>
      <c r="K336" t="n">
        <v>0</v>
      </c>
      <c r="L336" t="n">
        <v>0</v>
      </c>
      <c r="M336" t="n">
        <v>0</v>
      </c>
      <c r="N336" t="n">
        <v>0</v>
      </c>
      <c r="O336" t="n">
        <v>0</v>
      </c>
      <c r="P336" t="n">
        <v>0</v>
      </c>
      <c r="Q336" t="n">
        <v>0</v>
      </c>
      <c r="R336" s="2" t="inlineStr"/>
    </row>
    <row r="337" ht="15" customHeight="1">
      <c r="A337" t="inlineStr">
        <is>
          <t>A 7595-2026</t>
        </is>
      </c>
      <c r="B337" s="1" t="n">
        <v>46061.90009259259</v>
      </c>
      <c r="C337" s="1" t="n">
        <v>46188</v>
      </c>
      <c r="D337" t="inlineStr">
        <is>
          <t>VÄSTMANLANDS LÄN</t>
        </is>
      </c>
      <c r="E337" t="inlineStr">
        <is>
          <t>SALA</t>
        </is>
      </c>
      <c r="G337" t="n">
        <v>1.2</v>
      </c>
      <c r="H337" t="n">
        <v>0</v>
      </c>
      <c r="I337" t="n">
        <v>0</v>
      </c>
      <c r="J337" t="n">
        <v>0</v>
      </c>
      <c r="K337" t="n">
        <v>0</v>
      </c>
      <c r="L337" t="n">
        <v>0</v>
      </c>
      <c r="M337" t="n">
        <v>0</v>
      </c>
      <c r="N337" t="n">
        <v>0</v>
      </c>
      <c r="O337" t="n">
        <v>0</v>
      </c>
      <c r="P337" t="n">
        <v>0</v>
      </c>
      <c r="Q337" t="n">
        <v>0</v>
      </c>
      <c r="R337" s="2" t="inlineStr"/>
    </row>
    <row r="338" ht="15" customHeight="1">
      <c r="A338" t="inlineStr">
        <is>
          <t>A 7680-2026</t>
        </is>
      </c>
      <c r="B338" s="1" t="n">
        <v>46062.43087962963</v>
      </c>
      <c r="C338" s="1" t="n">
        <v>46188</v>
      </c>
      <c r="D338" t="inlineStr">
        <is>
          <t>VÄSTMANLANDS LÄN</t>
        </is>
      </c>
      <c r="E338" t="inlineStr">
        <is>
          <t>SALA</t>
        </is>
      </c>
      <c r="G338" t="n">
        <v>2.7</v>
      </c>
      <c r="H338" t="n">
        <v>0</v>
      </c>
      <c r="I338" t="n">
        <v>0</v>
      </c>
      <c r="J338" t="n">
        <v>0</v>
      </c>
      <c r="K338" t="n">
        <v>0</v>
      </c>
      <c r="L338" t="n">
        <v>0</v>
      </c>
      <c r="M338" t="n">
        <v>0</v>
      </c>
      <c r="N338" t="n">
        <v>0</v>
      </c>
      <c r="O338" t="n">
        <v>0</v>
      </c>
      <c r="P338" t="n">
        <v>0</v>
      </c>
      <c r="Q338" t="n">
        <v>0</v>
      </c>
      <c r="R338" s="2" t="inlineStr"/>
    </row>
    <row r="339" ht="15" customHeight="1">
      <c r="A339" t="inlineStr">
        <is>
          <t>A 60541-2024</t>
        </is>
      </c>
      <c r="B339" s="1" t="n">
        <v>45643</v>
      </c>
      <c r="C339" s="1" t="n">
        <v>46188</v>
      </c>
      <c r="D339" t="inlineStr">
        <is>
          <t>VÄSTMANLANDS LÄN</t>
        </is>
      </c>
      <c r="E339" t="inlineStr">
        <is>
          <t>SALA</t>
        </is>
      </c>
      <c r="G339" t="n">
        <v>10.6</v>
      </c>
      <c r="H339" t="n">
        <v>0</v>
      </c>
      <c r="I339" t="n">
        <v>0</v>
      </c>
      <c r="J339" t="n">
        <v>0</v>
      </c>
      <c r="K339" t="n">
        <v>0</v>
      </c>
      <c r="L339" t="n">
        <v>0</v>
      </c>
      <c r="M339" t="n">
        <v>0</v>
      </c>
      <c r="N339" t="n">
        <v>0</v>
      </c>
      <c r="O339" t="n">
        <v>0</v>
      </c>
      <c r="P339" t="n">
        <v>0</v>
      </c>
      <c r="Q339" t="n">
        <v>0</v>
      </c>
      <c r="R339" s="2" t="inlineStr"/>
    </row>
    <row r="340" ht="15" customHeight="1">
      <c r="A340" t="inlineStr">
        <is>
          <t>A 28696-2023</t>
        </is>
      </c>
      <c r="B340" s="1" t="n">
        <v>45103.71759259259</v>
      </c>
      <c r="C340" s="1" t="n">
        <v>46188</v>
      </c>
      <c r="D340" t="inlineStr">
        <is>
          <t>VÄSTMANLANDS LÄN</t>
        </is>
      </c>
      <c r="E340" t="inlineStr">
        <is>
          <t>SALA</t>
        </is>
      </c>
      <c r="F340" t="inlineStr">
        <is>
          <t>Kommuner</t>
        </is>
      </c>
      <c r="G340" t="n">
        <v>5.9</v>
      </c>
      <c r="H340" t="n">
        <v>0</v>
      </c>
      <c r="I340" t="n">
        <v>0</v>
      </c>
      <c r="J340" t="n">
        <v>0</v>
      </c>
      <c r="K340" t="n">
        <v>0</v>
      </c>
      <c r="L340" t="n">
        <v>0</v>
      </c>
      <c r="M340" t="n">
        <v>0</v>
      </c>
      <c r="N340" t="n">
        <v>0</v>
      </c>
      <c r="O340" t="n">
        <v>0</v>
      </c>
      <c r="P340" t="n">
        <v>0</v>
      </c>
      <c r="Q340" t="n">
        <v>0</v>
      </c>
      <c r="R340" s="2" t="inlineStr"/>
    </row>
    <row r="341" ht="15" customHeight="1">
      <c r="A341" t="inlineStr">
        <is>
          <t>A 29826-2025</t>
        </is>
      </c>
      <c r="B341" s="1" t="n">
        <v>45825.85761574074</v>
      </c>
      <c r="C341" s="1" t="n">
        <v>46188</v>
      </c>
      <c r="D341" t="inlineStr">
        <is>
          <t>VÄSTMANLANDS LÄN</t>
        </is>
      </c>
      <c r="E341" t="inlineStr">
        <is>
          <t>SALA</t>
        </is>
      </c>
      <c r="G341" t="n">
        <v>1.9</v>
      </c>
      <c r="H341" t="n">
        <v>0</v>
      </c>
      <c r="I341" t="n">
        <v>0</v>
      </c>
      <c r="J341" t="n">
        <v>0</v>
      </c>
      <c r="K341" t="n">
        <v>0</v>
      </c>
      <c r="L341" t="n">
        <v>0</v>
      </c>
      <c r="M341" t="n">
        <v>0</v>
      </c>
      <c r="N341" t="n">
        <v>0</v>
      </c>
      <c r="O341" t="n">
        <v>0</v>
      </c>
      <c r="P341" t="n">
        <v>0</v>
      </c>
      <c r="Q341" t="n">
        <v>0</v>
      </c>
      <c r="R341" s="2" t="inlineStr"/>
    </row>
    <row r="342" ht="15" customHeight="1">
      <c r="A342" t="inlineStr">
        <is>
          <t>A 1934-2023</t>
        </is>
      </c>
      <c r="B342" s="1" t="n">
        <v>44939.43024305555</v>
      </c>
      <c r="C342" s="1" t="n">
        <v>46188</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50241-2023</t>
        </is>
      </c>
      <c r="B343" s="1" t="n">
        <v>45216</v>
      </c>
      <c r="C343" s="1" t="n">
        <v>46188</v>
      </c>
      <c r="D343" t="inlineStr">
        <is>
          <t>VÄSTMANLANDS LÄN</t>
        </is>
      </c>
      <c r="E343" t="inlineStr">
        <is>
          <t>SALA</t>
        </is>
      </c>
      <c r="G343" t="n">
        <v>1.9</v>
      </c>
      <c r="H343" t="n">
        <v>0</v>
      </c>
      <c r="I343" t="n">
        <v>0</v>
      </c>
      <c r="J343" t="n">
        <v>0</v>
      </c>
      <c r="K343" t="n">
        <v>0</v>
      </c>
      <c r="L343" t="n">
        <v>0</v>
      </c>
      <c r="M343" t="n">
        <v>0</v>
      </c>
      <c r="N343" t="n">
        <v>0</v>
      </c>
      <c r="O343" t="n">
        <v>0</v>
      </c>
      <c r="P343" t="n">
        <v>0</v>
      </c>
      <c r="Q343" t="n">
        <v>0</v>
      </c>
      <c r="R343" s="2" t="inlineStr"/>
    </row>
    <row r="344" ht="15" customHeight="1">
      <c r="A344" t="inlineStr">
        <is>
          <t>A 30971-2022</t>
        </is>
      </c>
      <c r="B344" s="1" t="n">
        <v>44768.46725694444</v>
      </c>
      <c r="C344" s="1" t="n">
        <v>46188</v>
      </c>
      <c r="D344" t="inlineStr">
        <is>
          <t>VÄSTMANLANDS LÄN</t>
        </is>
      </c>
      <c r="E344" t="inlineStr">
        <is>
          <t>SALA</t>
        </is>
      </c>
      <c r="G344" t="n">
        <v>2.4</v>
      </c>
      <c r="H344" t="n">
        <v>0</v>
      </c>
      <c r="I344" t="n">
        <v>0</v>
      </c>
      <c r="J344" t="n">
        <v>0</v>
      </c>
      <c r="K344" t="n">
        <v>0</v>
      </c>
      <c r="L344" t="n">
        <v>0</v>
      </c>
      <c r="M344" t="n">
        <v>0</v>
      </c>
      <c r="N344" t="n">
        <v>0</v>
      </c>
      <c r="O344" t="n">
        <v>0</v>
      </c>
      <c r="P344" t="n">
        <v>0</v>
      </c>
      <c r="Q344" t="n">
        <v>0</v>
      </c>
      <c r="R344" s="2" t="inlineStr"/>
    </row>
    <row r="345" ht="15" customHeight="1">
      <c r="A345" t="inlineStr">
        <is>
          <t>A 35637-2022</t>
        </is>
      </c>
      <c r="B345" s="1" t="n">
        <v>44799.55194444444</v>
      </c>
      <c r="C345" s="1" t="n">
        <v>46188</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27038-2023</t>
        </is>
      </c>
      <c r="B346" s="1" t="n">
        <v>45095</v>
      </c>
      <c r="C346" s="1" t="n">
        <v>46188</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23182-2022</t>
        </is>
      </c>
      <c r="B347" s="1" t="n">
        <v>44719.79707175926</v>
      </c>
      <c r="C347" s="1" t="n">
        <v>46188</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31859-2023</t>
        </is>
      </c>
      <c r="B348" s="1" t="n">
        <v>45118</v>
      </c>
      <c r="C348" s="1" t="n">
        <v>46188</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c r="U348">
        <f>HYPERLINK("https://klasma.github.io/Logging_1981/knärot/A 31859-2023 karta knärot.png", "A 31859-2023")</f>
        <v/>
      </c>
      <c r="V348">
        <f>HYPERLINK("https://klasma.github.io/Logging_1981/klagomål/A 31859-2023 FSC-klagomål.docx", "A 31859-2023")</f>
        <v/>
      </c>
      <c r="W348">
        <f>HYPERLINK("https://klasma.github.io/Logging_1981/klagomålsmail/A 31859-2023 FSC-klagomål mail.docx", "A 31859-2023")</f>
        <v/>
      </c>
      <c r="X348">
        <f>HYPERLINK("https://klasma.github.io/Logging_1981/tillsyn/A 31859-2023 tillsynsbegäran.docx", "A 31859-2023")</f>
        <v/>
      </c>
      <c r="Y348">
        <f>HYPERLINK("https://klasma.github.io/Logging_1981/tillsynsmail/A 31859-2023 tillsynsbegäran mail.docx", "A 31859-2023")</f>
        <v/>
      </c>
    </row>
    <row r="349" ht="15" customHeight="1">
      <c r="A349" t="inlineStr">
        <is>
          <t>A 7469-2025</t>
        </is>
      </c>
      <c r="B349" s="1" t="n">
        <v>45705</v>
      </c>
      <c r="C349" s="1" t="n">
        <v>46188</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10239-2026</t>
        </is>
      </c>
      <c r="B350" s="1" t="n">
        <v>46076.54824074074</v>
      </c>
      <c r="C350" s="1" t="n">
        <v>46188</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10245-2026</t>
        </is>
      </c>
      <c r="B351" s="1" t="n">
        <v>46076.55144675926</v>
      </c>
      <c r="C351" s="1" t="n">
        <v>46188</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10252-2026</t>
        </is>
      </c>
      <c r="B352" s="1" t="n">
        <v>46076.55700231482</v>
      </c>
      <c r="C352" s="1" t="n">
        <v>46188</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34867-2023</t>
        </is>
      </c>
      <c r="B353" s="1" t="n">
        <v>45142.33481481481</v>
      </c>
      <c r="C353" s="1" t="n">
        <v>46188</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11631-2023</t>
        </is>
      </c>
      <c r="B354" s="1" t="n">
        <v>44994.44001157407</v>
      </c>
      <c r="C354" s="1" t="n">
        <v>46188</v>
      </c>
      <c r="D354" t="inlineStr">
        <is>
          <t>VÄSTMANLANDS LÄN</t>
        </is>
      </c>
      <c r="E354" t="inlineStr">
        <is>
          <t>SALA</t>
        </is>
      </c>
      <c r="F354" t="inlineStr">
        <is>
          <t>Kommuner</t>
        </is>
      </c>
      <c r="G354" t="n">
        <v>1.9</v>
      </c>
      <c r="H354" t="n">
        <v>0</v>
      </c>
      <c r="I354" t="n">
        <v>0</v>
      </c>
      <c r="J354" t="n">
        <v>0</v>
      </c>
      <c r="K354" t="n">
        <v>0</v>
      </c>
      <c r="L354" t="n">
        <v>0</v>
      </c>
      <c r="M354" t="n">
        <v>0</v>
      </c>
      <c r="N354" t="n">
        <v>0</v>
      </c>
      <c r="O354" t="n">
        <v>0</v>
      </c>
      <c r="P354" t="n">
        <v>0</v>
      </c>
      <c r="Q354" t="n">
        <v>0</v>
      </c>
      <c r="R354" s="2" t="inlineStr"/>
    </row>
    <row r="355" ht="15" customHeight="1">
      <c r="A355" t="inlineStr">
        <is>
          <t>A 8775-2024</t>
        </is>
      </c>
      <c r="B355" s="1" t="n">
        <v>45356</v>
      </c>
      <c r="C355" s="1" t="n">
        <v>46188</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48710-2024</t>
        </is>
      </c>
      <c r="B356" s="1" t="n">
        <v>45593.53636574074</v>
      </c>
      <c r="C356" s="1" t="n">
        <v>46188</v>
      </c>
      <c r="D356" t="inlineStr">
        <is>
          <t>VÄSTMANLANDS LÄN</t>
        </is>
      </c>
      <c r="E356" t="inlineStr">
        <is>
          <t>SALA</t>
        </is>
      </c>
      <c r="G356" t="n">
        <v>6.5</v>
      </c>
      <c r="H356" t="n">
        <v>0</v>
      </c>
      <c r="I356" t="n">
        <v>0</v>
      </c>
      <c r="J356" t="n">
        <v>0</v>
      </c>
      <c r="K356" t="n">
        <v>0</v>
      </c>
      <c r="L356" t="n">
        <v>0</v>
      </c>
      <c r="M356" t="n">
        <v>0</v>
      </c>
      <c r="N356" t="n">
        <v>0</v>
      </c>
      <c r="O356" t="n">
        <v>0</v>
      </c>
      <c r="P356" t="n">
        <v>0</v>
      </c>
      <c r="Q356" t="n">
        <v>0</v>
      </c>
      <c r="R356" s="2" t="inlineStr"/>
    </row>
    <row r="357" ht="15" customHeight="1">
      <c r="A357" t="inlineStr">
        <is>
          <t>A 16404-2022</t>
        </is>
      </c>
      <c r="B357" s="1" t="n">
        <v>44671</v>
      </c>
      <c r="C357" s="1" t="n">
        <v>46188</v>
      </c>
      <c r="D357" t="inlineStr">
        <is>
          <t>VÄSTMANLANDS LÄN</t>
        </is>
      </c>
      <c r="E357" t="inlineStr">
        <is>
          <t>SALA</t>
        </is>
      </c>
      <c r="G357" t="n">
        <v>0.8</v>
      </c>
      <c r="H357" t="n">
        <v>0</v>
      </c>
      <c r="I357" t="n">
        <v>0</v>
      </c>
      <c r="J357" t="n">
        <v>0</v>
      </c>
      <c r="K357" t="n">
        <v>0</v>
      </c>
      <c r="L357" t="n">
        <v>0</v>
      </c>
      <c r="M357" t="n">
        <v>0</v>
      </c>
      <c r="N357" t="n">
        <v>0</v>
      </c>
      <c r="O357" t="n">
        <v>0</v>
      </c>
      <c r="P357" t="n">
        <v>0</v>
      </c>
      <c r="Q357" t="n">
        <v>0</v>
      </c>
      <c r="R357" s="2" t="inlineStr"/>
    </row>
    <row r="358" ht="15" customHeight="1">
      <c r="A358" t="inlineStr">
        <is>
          <t>A 32286-2025</t>
        </is>
      </c>
      <c r="B358" s="1" t="n">
        <v>45835</v>
      </c>
      <c r="C358" s="1" t="n">
        <v>46188</v>
      </c>
      <c r="D358" t="inlineStr">
        <is>
          <t>VÄSTMANLANDS LÄN</t>
        </is>
      </c>
      <c r="E358" t="inlineStr">
        <is>
          <t>SALA</t>
        </is>
      </c>
      <c r="G358" t="n">
        <v>6.4</v>
      </c>
      <c r="H358" t="n">
        <v>0</v>
      </c>
      <c r="I358" t="n">
        <v>0</v>
      </c>
      <c r="J358" t="n">
        <v>0</v>
      </c>
      <c r="K358" t="n">
        <v>0</v>
      </c>
      <c r="L358" t="n">
        <v>0</v>
      </c>
      <c r="M358" t="n">
        <v>0</v>
      </c>
      <c r="N358" t="n">
        <v>0</v>
      </c>
      <c r="O358" t="n">
        <v>0</v>
      </c>
      <c r="P358" t="n">
        <v>0</v>
      </c>
      <c r="Q358" t="n">
        <v>0</v>
      </c>
      <c r="R358" s="2" t="inlineStr"/>
    </row>
    <row r="359" ht="15" customHeight="1">
      <c r="A359" t="inlineStr">
        <is>
          <t>A 12144-2026</t>
        </is>
      </c>
      <c r="B359" s="1" t="n">
        <v>46086.58008101852</v>
      </c>
      <c r="C359" s="1" t="n">
        <v>46188</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24248-2023</t>
        </is>
      </c>
      <c r="B360" s="1" t="n">
        <v>45079</v>
      </c>
      <c r="C360" s="1" t="n">
        <v>46188</v>
      </c>
      <c r="D360" t="inlineStr">
        <is>
          <t>VÄSTMANLANDS LÄN</t>
        </is>
      </c>
      <c r="E360" t="inlineStr">
        <is>
          <t>SALA</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12497-2026</t>
        </is>
      </c>
      <c r="B361" s="1" t="n">
        <v>46090.57240740741</v>
      </c>
      <c r="C361" s="1" t="n">
        <v>46188</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34069-2025</t>
        </is>
      </c>
      <c r="B362" s="1" t="n">
        <v>45845.43560185185</v>
      </c>
      <c r="C362" s="1" t="n">
        <v>46188</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c r="U362">
        <f>HYPERLINK("https://klasma.github.io/Logging_1981/knärot/A 34069-2025 karta knärot.png", "A 34069-2025")</f>
        <v/>
      </c>
      <c r="V362">
        <f>HYPERLINK("https://klasma.github.io/Logging_1981/klagomål/A 34069-2025 FSC-klagomål.docx", "A 34069-2025")</f>
        <v/>
      </c>
      <c r="W362">
        <f>HYPERLINK("https://klasma.github.io/Logging_1981/klagomålsmail/A 34069-2025 FSC-klagomål mail.docx", "A 34069-2025")</f>
        <v/>
      </c>
      <c r="X362">
        <f>HYPERLINK("https://klasma.github.io/Logging_1981/tillsyn/A 34069-2025 tillsynsbegäran.docx", "A 34069-2025")</f>
        <v/>
      </c>
      <c r="Y362">
        <f>HYPERLINK("https://klasma.github.io/Logging_1981/tillsynsmail/A 34069-2025 tillsynsbegäran mail.docx", "A 34069-2025")</f>
        <v/>
      </c>
    </row>
    <row r="363" ht="15" customHeight="1">
      <c r="A363" t="inlineStr">
        <is>
          <t>A 10559-2024</t>
        </is>
      </c>
      <c r="B363" s="1" t="n">
        <v>45366</v>
      </c>
      <c r="C363" s="1" t="n">
        <v>46188</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40214-2023</t>
        </is>
      </c>
      <c r="B364" s="1" t="n">
        <v>45169.45173611111</v>
      </c>
      <c r="C364" s="1" t="n">
        <v>46188</v>
      </c>
      <c r="D364" t="inlineStr">
        <is>
          <t>VÄSTMANLANDS LÄN</t>
        </is>
      </c>
      <c r="E364" t="inlineStr">
        <is>
          <t>SALA</t>
        </is>
      </c>
      <c r="G364" t="n">
        <v>5.5</v>
      </c>
      <c r="H364" t="n">
        <v>0</v>
      </c>
      <c r="I364" t="n">
        <v>0</v>
      </c>
      <c r="J364" t="n">
        <v>0</v>
      </c>
      <c r="K364" t="n">
        <v>0</v>
      </c>
      <c r="L364" t="n">
        <v>0</v>
      </c>
      <c r="M364" t="n">
        <v>0</v>
      </c>
      <c r="N364" t="n">
        <v>0</v>
      </c>
      <c r="O364" t="n">
        <v>0</v>
      </c>
      <c r="P364" t="n">
        <v>0</v>
      </c>
      <c r="Q364" t="n">
        <v>0</v>
      </c>
      <c r="R364" s="2" t="inlineStr"/>
    </row>
    <row r="365" ht="15" customHeight="1">
      <c r="A365" t="inlineStr">
        <is>
          <t>A 9856-2022</t>
        </is>
      </c>
      <c r="B365" s="1" t="n">
        <v>44620</v>
      </c>
      <c r="C365" s="1" t="n">
        <v>46188</v>
      </c>
      <c r="D365" t="inlineStr">
        <is>
          <t>VÄSTMANLANDS LÄN</t>
        </is>
      </c>
      <c r="E365" t="inlineStr">
        <is>
          <t>SALA</t>
        </is>
      </c>
      <c r="G365" t="n">
        <v>2.4</v>
      </c>
      <c r="H365" t="n">
        <v>0</v>
      </c>
      <c r="I365" t="n">
        <v>0</v>
      </c>
      <c r="J365" t="n">
        <v>0</v>
      </c>
      <c r="K365" t="n">
        <v>0</v>
      </c>
      <c r="L365" t="n">
        <v>0</v>
      </c>
      <c r="M365" t="n">
        <v>0</v>
      </c>
      <c r="N365" t="n">
        <v>0</v>
      </c>
      <c r="O365" t="n">
        <v>0</v>
      </c>
      <c r="P365" t="n">
        <v>0</v>
      </c>
      <c r="Q365" t="n">
        <v>0</v>
      </c>
      <c r="R365" s="2" t="inlineStr"/>
    </row>
    <row r="366" ht="15" customHeight="1">
      <c r="A366" t="inlineStr">
        <is>
          <t>A 18100-2023</t>
        </is>
      </c>
      <c r="B366" s="1" t="n">
        <v>45040</v>
      </c>
      <c r="C366" s="1" t="n">
        <v>46188</v>
      </c>
      <c r="D366" t="inlineStr">
        <is>
          <t>VÄSTMANLANDS LÄN</t>
        </is>
      </c>
      <c r="E366" t="inlineStr">
        <is>
          <t>SALA</t>
        </is>
      </c>
      <c r="G366" t="n">
        <v>1.8</v>
      </c>
      <c r="H366" t="n">
        <v>0</v>
      </c>
      <c r="I366" t="n">
        <v>0</v>
      </c>
      <c r="J366" t="n">
        <v>0</v>
      </c>
      <c r="K366" t="n">
        <v>0</v>
      </c>
      <c r="L366" t="n">
        <v>0</v>
      </c>
      <c r="M366" t="n">
        <v>0</v>
      </c>
      <c r="N366" t="n">
        <v>0</v>
      </c>
      <c r="O366" t="n">
        <v>0</v>
      </c>
      <c r="P366" t="n">
        <v>0</v>
      </c>
      <c r="Q366" t="n">
        <v>0</v>
      </c>
      <c r="R366" s="2" t="inlineStr"/>
    </row>
    <row r="367" ht="15" customHeight="1">
      <c r="A367" t="inlineStr">
        <is>
          <t>A 23374-2023</t>
        </is>
      </c>
      <c r="B367" s="1" t="n">
        <v>45076.4399537037</v>
      </c>
      <c r="C367" s="1" t="n">
        <v>46188</v>
      </c>
      <c r="D367" t="inlineStr">
        <is>
          <t>VÄSTMANLANDS LÄN</t>
        </is>
      </c>
      <c r="E367" t="inlineStr">
        <is>
          <t>SALA</t>
        </is>
      </c>
      <c r="G367" t="n">
        <v>0.7</v>
      </c>
      <c r="H367" t="n">
        <v>0</v>
      </c>
      <c r="I367" t="n">
        <v>0</v>
      </c>
      <c r="J367" t="n">
        <v>0</v>
      </c>
      <c r="K367" t="n">
        <v>0</v>
      </c>
      <c r="L367" t="n">
        <v>0</v>
      </c>
      <c r="M367" t="n">
        <v>0</v>
      </c>
      <c r="N367" t="n">
        <v>0</v>
      </c>
      <c r="O367" t="n">
        <v>0</v>
      </c>
      <c r="P367" t="n">
        <v>0</v>
      </c>
      <c r="Q367" t="n">
        <v>0</v>
      </c>
      <c r="R367" s="2" t="inlineStr"/>
    </row>
    <row r="368" ht="15" customHeight="1">
      <c r="A368" t="inlineStr">
        <is>
          <t>A 6134-2024</t>
        </is>
      </c>
      <c r="B368" s="1" t="n">
        <v>45337</v>
      </c>
      <c r="C368" s="1" t="n">
        <v>46188</v>
      </c>
      <c r="D368" t="inlineStr">
        <is>
          <t>VÄSTMANLANDS LÄN</t>
        </is>
      </c>
      <c r="E368" t="inlineStr">
        <is>
          <t>SALA</t>
        </is>
      </c>
      <c r="G368" t="n">
        <v>1.8</v>
      </c>
      <c r="H368" t="n">
        <v>0</v>
      </c>
      <c r="I368" t="n">
        <v>0</v>
      </c>
      <c r="J368" t="n">
        <v>0</v>
      </c>
      <c r="K368" t="n">
        <v>0</v>
      </c>
      <c r="L368" t="n">
        <v>0</v>
      </c>
      <c r="M368" t="n">
        <v>0</v>
      </c>
      <c r="N368" t="n">
        <v>0</v>
      </c>
      <c r="O368" t="n">
        <v>0</v>
      </c>
      <c r="P368" t="n">
        <v>0</v>
      </c>
      <c r="Q368" t="n">
        <v>0</v>
      </c>
      <c r="R368" s="2" t="inlineStr"/>
    </row>
    <row r="369" ht="15" customHeight="1">
      <c r="A369" t="inlineStr">
        <is>
          <t>A 48117-2024</t>
        </is>
      </c>
      <c r="B369" s="1" t="n">
        <v>45589</v>
      </c>
      <c r="C369" s="1" t="n">
        <v>46188</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13032-2026</t>
        </is>
      </c>
      <c r="B370" s="1" t="n">
        <v>46092.90436342593</v>
      </c>
      <c r="C370" s="1" t="n">
        <v>46188</v>
      </c>
      <c r="D370" t="inlineStr">
        <is>
          <t>VÄSTMANLANDS LÄN</t>
        </is>
      </c>
      <c r="E370" t="inlineStr">
        <is>
          <t>SALA</t>
        </is>
      </c>
      <c r="G370" t="n">
        <v>3.4</v>
      </c>
      <c r="H370" t="n">
        <v>0</v>
      </c>
      <c r="I370" t="n">
        <v>0</v>
      </c>
      <c r="J370" t="n">
        <v>0</v>
      </c>
      <c r="K370" t="n">
        <v>0</v>
      </c>
      <c r="L370" t="n">
        <v>0</v>
      </c>
      <c r="M370" t="n">
        <v>0</v>
      </c>
      <c r="N370" t="n">
        <v>0</v>
      </c>
      <c r="O370" t="n">
        <v>0</v>
      </c>
      <c r="P370" t="n">
        <v>0</v>
      </c>
      <c r="Q370" t="n">
        <v>0</v>
      </c>
      <c r="R370" s="2" t="inlineStr"/>
    </row>
    <row r="371" ht="15" customHeight="1">
      <c r="A371" t="inlineStr">
        <is>
          <t>A 31082-2021</t>
        </is>
      </c>
      <c r="B371" s="1" t="n">
        <v>44368</v>
      </c>
      <c r="C371" s="1" t="n">
        <v>46188</v>
      </c>
      <c r="D371" t="inlineStr">
        <is>
          <t>VÄSTMANLANDS LÄN</t>
        </is>
      </c>
      <c r="E371" t="inlineStr">
        <is>
          <t>SALA</t>
        </is>
      </c>
      <c r="G371" t="n">
        <v>2</v>
      </c>
      <c r="H371" t="n">
        <v>0</v>
      </c>
      <c r="I371" t="n">
        <v>0</v>
      </c>
      <c r="J371" t="n">
        <v>0</v>
      </c>
      <c r="K371" t="n">
        <v>0</v>
      </c>
      <c r="L371" t="n">
        <v>0</v>
      </c>
      <c r="M371" t="n">
        <v>0</v>
      </c>
      <c r="N371" t="n">
        <v>0</v>
      </c>
      <c r="O371" t="n">
        <v>0</v>
      </c>
      <c r="P371" t="n">
        <v>0</v>
      </c>
      <c r="Q371" t="n">
        <v>0</v>
      </c>
      <c r="R371" s="2" t="inlineStr"/>
    </row>
    <row r="372" ht="15" customHeight="1">
      <c r="A372" t="inlineStr">
        <is>
          <t>A 14000-2026</t>
        </is>
      </c>
      <c r="B372" s="1" t="n">
        <v>46098.64246527778</v>
      </c>
      <c r="C372" s="1" t="n">
        <v>46188</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31470-2021</t>
        </is>
      </c>
      <c r="B373" s="1" t="n">
        <v>44369</v>
      </c>
      <c r="C373" s="1" t="n">
        <v>46188</v>
      </c>
      <c r="D373" t="inlineStr">
        <is>
          <t>VÄSTMANLANDS LÄN</t>
        </is>
      </c>
      <c r="E373" t="inlineStr">
        <is>
          <t>SALA</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24175-2024</t>
        </is>
      </c>
      <c r="B374" s="1" t="n">
        <v>45456</v>
      </c>
      <c r="C374" s="1" t="n">
        <v>46188</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28328-2023</t>
        </is>
      </c>
      <c r="B375" s="1" t="n">
        <v>45099.71063657408</v>
      </c>
      <c r="C375" s="1" t="n">
        <v>46188</v>
      </c>
      <c r="D375" t="inlineStr">
        <is>
          <t>VÄSTMANLANDS LÄN</t>
        </is>
      </c>
      <c r="E375" t="inlineStr">
        <is>
          <t>SALA</t>
        </is>
      </c>
      <c r="G375" t="n">
        <v>1.8</v>
      </c>
      <c r="H375" t="n">
        <v>0</v>
      </c>
      <c r="I375" t="n">
        <v>0</v>
      </c>
      <c r="J375" t="n">
        <v>0</v>
      </c>
      <c r="K375" t="n">
        <v>0</v>
      </c>
      <c r="L375" t="n">
        <v>0</v>
      </c>
      <c r="M375" t="n">
        <v>0</v>
      </c>
      <c r="N375" t="n">
        <v>0</v>
      </c>
      <c r="O375" t="n">
        <v>0</v>
      </c>
      <c r="P375" t="n">
        <v>0</v>
      </c>
      <c r="Q375" t="n">
        <v>0</v>
      </c>
      <c r="R375" s="2" t="inlineStr"/>
    </row>
    <row r="376" ht="15" customHeight="1">
      <c r="A376" t="inlineStr">
        <is>
          <t>A 13996-2026</t>
        </is>
      </c>
      <c r="B376" s="1" t="n">
        <v>46098.63159722222</v>
      </c>
      <c r="C376" s="1" t="n">
        <v>46188</v>
      </c>
      <c r="D376" t="inlineStr">
        <is>
          <t>VÄSTMANLANDS LÄN</t>
        </is>
      </c>
      <c r="E376" t="inlineStr">
        <is>
          <t>SALA</t>
        </is>
      </c>
      <c r="G376" t="n">
        <v>2.5</v>
      </c>
      <c r="H376" t="n">
        <v>0</v>
      </c>
      <c r="I376" t="n">
        <v>0</v>
      </c>
      <c r="J376" t="n">
        <v>0</v>
      </c>
      <c r="K376" t="n">
        <v>0</v>
      </c>
      <c r="L376" t="n">
        <v>0</v>
      </c>
      <c r="M376" t="n">
        <v>0</v>
      </c>
      <c r="N376" t="n">
        <v>0</v>
      </c>
      <c r="O376" t="n">
        <v>0</v>
      </c>
      <c r="P376" t="n">
        <v>0</v>
      </c>
      <c r="Q376" t="n">
        <v>0</v>
      </c>
      <c r="R376" s="2" t="inlineStr"/>
    </row>
    <row r="377" ht="15" customHeight="1">
      <c r="A377" t="inlineStr">
        <is>
          <t>A 13639-2026</t>
        </is>
      </c>
      <c r="B377" s="1" t="n">
        <v>46097</v>
      </c>
      <c r="C377" s="1" t="n">
        <v>46188</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row>
    <row r="378" ht="15" customHeight="1">
      <c r="A378" t="inlineStr">
        <is>
          <t>A 38195-2021</t>
        </is>
      </c>
      <c r="B378" s="1" t="n">
        <v>44405</v>
      </c>
      <c r="C378" s="1" t="n">
        <v>46188</v>
      </c>
      <c r="D378" t="inlineStr">
        <is>
          <t>VÄSTMANLANDS LÄN</t>
        </is>
      </c>
      <c r="E378" t="inlineStr">
        <is>
          <t>SALA</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21777-2022</t>
        </is>
      </c>
      <c r="B379" s="1" t="n">
        <v>44708.48194444444</v>
      </c>
      <c r="C379" s="1" t="n">
        <v>46188</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14481-2026</t>
        </is>
      </c>
      <c r="B380" s="1" t="n">
        <v>46100.58707175926</v>
      </c>
      <c r="C380" s="1" t="n">
        <v>46188</v>
      </c>
      <c r="D380" t="inlineStr">
        <is>
          <t>VÄSTMANLANDS LÄN</t>
        </is>
      </c>
      <c r="E380" t="inlineStr">
        <is>
          <t>SALA</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14482-2026</t>
        </is>
      </c>
      <c r="B381" s="1" t="n">
        <v>46100.588125</v>
      </c>
      <c r="C381" s="1" t="n">
        <v>46188</v>
      </c>
      <c r="D381" t="inlineStr">
        <is>
          <t>VÄSTMANLANDS LÄN</t>
        </is>
      </c>
      <c r="E381" t="inlineStr">
        <is>
          <t>SALA</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14484-2026</t>
        </is>
      </c>
      <c r="B382" s="1" t="n">
        <v>46100.5887962963</v>
      </c>
      <c r="C382" s="1" t="n">
        <v>46188</v>
      </c>
      <c r="D382" t="inlineStr">
        <is>
          <t>VÄSTMANLANDS LÄN</t>
        </is>
      </c>
      <c r="E382" t="inlineStr">
        <is>
          <t>SALA</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14490-2026</t>
        </is>
      </c>
      <c r="B383" s="1" t="n">
        <v>46100.59277777778</v>
      </c>
      <c r="C383" s="1" t="n">
        <v>46188</v>
      </c>
      <c r="D383" t="inlineStr">
        <is>
          <t>VÄSTMANLANDS LÄN</t>
        </is>
      </c>
      <c r="E383" t="inlineStr">
        <is>
          <t>SALA</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11389-2024</t>
        </is>
      </c>
      <c r="B384" s="1" t="n">
        <v>45372.45016203704</v>
      </c>
      <c r="C384" s="1" t="n">
        <v>46188</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2925-2024</t>
        </is>
      </c>
      <c r="B385" s="1" t="n">
        <v>45315.58909722222</v>
      </c>
      <c r="C385" s="1" t="n">
        <v>46188</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39439-2021</t>
        </is>
      </c>
      <c r="B386" s="1" t="n">
        <v>44414</v>
      </c>
      <c r="C386" s="1" t="n">
        <v>46188</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3332-2024</t>
        </is>
      </c>
      <c r="B387" s="1" t="n">
        <v>45317</v>
      </c>
      <c r="C387" s="1" t="n">
        <v>46188</v>
      </c>
      <c r="D387" t="inlineStr">
        <is>
          <t>VÄSTMANLANDS LÄN</t>
        </is>
      </c>
      <c r="E387" t="inlineStr">
        <is>
          <t>SALA</t>
        </is>
      </c>
      <c r="G387" t="n">
        <v>2</v>
      </c>
      <c r="H387" t="n">
        <v>0</v>
      </c>
      <c r="I387" t="n">
        <v>0</v>
      </c>
      <c r="J387" t="n">
        <v>0</v>
      </c>
      <c r="K387" t="n">
        <v>0</v>
      </c>
      <c r="L387" t="n">
        <v>0</v>
      </c>
      <c r="M387" t="n">
        <v>0</v>
      </c>
      <c r="N387" t="n">
        <v>0</v>
      </c>
      <c r="O387" t="n">
        <v>0</v>
      </c>
      <c r="P387" t="n">
        <v>0</v>
      </c>
      <c r="Q387" t="n">
        <v>0</v>
      </c>
      <c r="R387" s="2" t="inlineStr"/>
    </row>
    <row r="388" ht="15" customHeight="1">
      <c r="A388" t="inlineStr">
        <is>
          <t>A 21435-2026</t>
        </is>
      </c>
      <c r="B388" s="1" t="n">
        <v>46148.40625</v>
      </c>
      <c r="C388" s="1" t="n">
        <v>46188</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2529-2022</t>
        </is>
      </c>
      <c r="B389" s="1" t="n">
        <v>44579.86452546297</v>
      </c>
      <c r="C389" s="1" t="n">
        <v>46188</v>
      </c>
      <c r="D389" t="inlineStr">
        <is>
          <t>VÄSTMANLANDS LÄN</t>
        </is>
      </c>
      <c r="E389" t="inlineStr">
        <is>
          <t>SALA</t>
        </is>
      </c>
      <c r="G389" t="n">
        <v>1.7</v>
      </c>
      <c r="H389" t="n">
        <v>0</v>
      </c>
      <c r="I389" t="n">
        <v>0</v>
      </c>
      <c r="J389" t="n">
        <v>0</v>
      </c>
      <c r="K389" t="n">
        <v>0</v>
      </c>
      <c r="L389" t="n">
        <v>0</v>
      </c>
      <c r="M389" t="n">
        <v>0</v>
      </c>
      <c r="N389" t="n">
        <v>0</v>
      </c>
      <c r="O389" t="n">
        <v>0</v>
      </c>
      <c r="P389" t="n">
        <v>0</v>
      </c>
      <c r="Q389" t="n">
        <v>0</v>
      </c>
      <c r="R389" s="2" t="inlineStr"/>
    </row>
    <row r="390" ht="15" customHeight="1">
      <c r="A390" t="inlineStr">
        <is>
          <t>A 13471-2025</t>
        </is>
      </c>
      <c r="B390" s="1" t="n">
        <v>45736.40579861111</v>
      </c>
      <c r="C390" s="1" t="n">
        <v>46188</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15630-2026</t>
        </is>
      </c>
      <c r="B391" s="1" t="n">
        <v>46106.62283564815</v>
      </c>
      <c r="C391" s="1" t="n">
        <v>46188</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18431-2023</t>
        </is>
      </c>
      <c r="B392" s="1" t="n">
        <v>45042</v>
      </c>
      <c r="C392" s="1" t="n">
        <v>46188</v>
      </c>
      <c r="D392" t="inlineStr">
        <is>
          <t>VÄSTMANLANDS LÄN</t>
        </is>
      </c>
      <c r="E392" t="inlineStr">
        <is>
          <t>SALA</t>
        </is>
      </c>
      <c r="G392" t="n">
        <v>1.9</v>
      </c>
      <c r="H392" t="n">
        <v>0</v>
      </c>
      <c r="I392" t="n">
        <v>0</v>
      </c>
      <c r="J392" t="n">
        <v>0</v>
      </c>
      <c r="K392" t="n">
        <v>0</v>
      </c>
      <c r="L392" t="n">
        <v>0</v>
      </c>
      <c r="M392" t="n">
        <v>0</v>
      </c>
      <c r="N392" t="n">
        <v>0</v>
      </c>
      <c r="O392" t="n">
        <v>0</v>
      </c>
      <c r="P392" t="n">
        <v>0</v>
      </c>
      <c r="Q392" t="n">
        <v>0</v>
      </c>
      <c r="R392" s="2" t="inlineStr"/>
    </row>
    <row r="393" ht="15" customHeight="1">
      <c r="A393" t="inlineStr">
        <is>
          <t>A 27424-2023</t>
        </is>
      </c>
      <c r="B393" s="1" t="n">
        <v>45097.37690972222</v>
      </c>
      <c r="C393" s="1" t="n">
        <v>46188</v>
      </c>
      <c r="D393" t="inlineStr">
        <is>
          <t>VÄSTMANLANDS LÄN</t>
        </is>
      </c>
      <c r="E393" t="inlineStr">
        <is>
          <t>SALA</t>
        </is>
      </c>
      <c r="G393" t="n">
        <v>0.7</v>
      </c>
      <c r="H393" t="n">
        <v>0</v>
      </c>
      <c r="I393" t="n">
        <v>0</v>
      </c>
      <c r="J393" t="n">
        <v>0</v>
      </c>
      <c r="K393" t="n">
        <v>0</v>
      </c>
      <c r="L393" t="n">
        <v>0</v>
      </c>
      <c r="M393" t="n">
        <v>0</v>
      </c>
      <c r="N393" t="n">
        <v>0</v>
      </c>
      <c r="O393" t="n">
        <v>0</v>
      </c>
      <c r="P393" t="n">
        <v>0</v>
      </c>
      <c r="Q393" t="n">
        <v>0</v>
      </c>
      <c r="R393" s="2" t="inlineStr"/>
    </row>
    <row r="394" ht="15" customHeight="1">
      <c r="A394" t="inlineStr">
        <is>
          <t>A 58701-2021</t>
        </is>
      </c>
      <c r="B394" s="1" t="n">
        <v>44489.46454861111</v>
      </c>
      <c r="C394" s="1" t="n">
        <v>46188</v>
      </c>
      <c r="D394" t="inlineStr">
        <is>
          <t>VÄSTMANLANDS LÄN</t>
        </is>
      </c>
      <c r="E394" t="inlineStr">
        <is>
          <t>SALA</t>
        </is>
      </c>
      <c r="G394" t="n">
        <v>0.7</v>
      </c>
      <c r="H394" t="n">
        <v>0</v>
      </c>
      <c r="I394" t="n">
        <v>0</v>
      </c>
      <c r="J394" t="n">
        <v>0</v>
      </c>
      <c r="K394" t="n">
        <v>0</v>
      </c>
      <c r="L394" t="n">
        <v>0</v>
      </c>
      <c r="M394" t="n">
        <v>0</v>
      </c>
      <c r="N394" t="n">
        <v>0</v>
      </c>
      <c r="O394" t="n">
        <v>0</v>
      </c>
      <c r="P394" t="n">
        <v>0</v>
      </c>
      <c r="Q394" t="n">
        <v>0</v>
      </c>
      <c r="R394" s="2" t="inlineStr"/>
    </row>
    <row r="395" ht="15" customHeight="1">
      <c r="A395" t="inlineStr">
        <is>
          <t>A 11244-2024</t>
        </is>
      </c>
      <c r="B395" s="1" t="n">
        <v>45371</v>
      </c>
      <c r="C395" s="1" t="n">
        <v>46188</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12225-2023</t>
        </is>
      </c>
      <c r="B396" s="1" t="n">
        <v>44995</v>
      </c>
      <c r="C396" s="1" t="n">
        <v>46188</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61874-2021</t>
        </is>
      </c>
      <c r="B397" s="1" t="n">
        <v>44502</v>
      </c>
      <c r="C397" s="1" t="n">
        <v>46188</v>
      </c>
      <c r="D397" t="inlineStr">
        <is>
          <t>VÄSTMANLANDS LÄN</t>
        </is>
      </c>
      <c r="E397" t="inlineStr">
        <is>
          <t>SALA</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62651-2022</t>
        </is>
      </c>
      <c r="B398" s="1" t="n">
        <v>44917</v>
      </c>
      <c r="C398" s="1" t="n">
        <v>46188</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15968-2024</t>
        </is>
      </c>
      <c r="B399" s="1" t="n">
        <v>45405.56021990741</v>
      </c>
      <c r="C399" s="1" t="n">
        <v>46188</v>
      </c>
      <c r="D399" t="inlineStr">
        <is>
          <t>VÄSTMANLANDS LÄN</t>
        </is>
      </c>
      <c r="E399" t="inlineStr">
        <is>
          <t>SALA</t>
        </is>
      </c>
      <c r="G399" t="n">
        <v>0.7</v>
      </c>
      <c r="H399" t="n">
        <v>0</v>
      </c>
      <c r="I399" t="n">
        <v>0</v>
      </c>
      <c r="J399" t="n">
        <v>0</v>
      </c>
      <c r="K399" t="n">
        <v>0</v>
      </c>
      <c r="L399" t="n">
        <v>0</v>
      </c>
      <c r="M399" t="n">
        <v>0</v>
      </c>
      <c r="N399" t="n">
        <v>0</v>
      </c>
      <c r="O399" t="n">
        <v>0</v>
      </c>
      <c r="P399" t="n">
        <v>0</v>
      </c>
      <c r="Q399" t="n">
        <v>0</v>
      </c>
      <c r="R399" s="2" t="inlineStr"/>
    </row>
    <row r="400" ht="15" customHeight="1">
      <c r="A400" t="inlineStr">
        <is>
          <t>A 60730-2023</t>
        </is>
      </c>
      <c r="B400" s="1" t="n">
        <v>45260</v>
      </c>
      <c r="C400" s="1" t="n">
        <v>46188</v>
      </c>
      <c r="D400" t="inlineStr">
        <is>
          <t>VÄSTMANLANDS LÄN</t>
        </is>
      </c>
      <c r="E400" t="inlineStr">
        <is>
          <t>SALA</t>
        </is>
      </c>
      <c r="G400" t="n">
        <v>1.3</v>
      </c>
      <c r="H400" t="n">
        <v>0</v>
      </c>
      <c r="I400" t="n">
        <v>0</v>
      </c>
      <c r="J400" t="n">
        <v>0</v>
      </c>
      <c r="K400" t="n">
        <v>0</v>
      </c>
      <c r="L400" t="n">
        <v>0</v>
      </c>
      <c r="M400" t="n">
        <v>0</v>
      </c>
      <c r="N400" t="n">
        <v>0</v>
      </c>
      <c r="O400" t="n">
        <v>0</v>
      </c>
      <c r="P400" t="n">
        <v>0</v>
      </c>
      <c r="Q400" t="n">
        <v>0</v>
      </c>
      <c r="R400" s="2" t="inlineStr"/>
    </row>
    <row r="401" ht="15" customHeight="1">
      <c r="A401" t="inlineStr">
        <is>
          <t>A 60731-2023</t>
        </is>
      </c>
      <c r="B401" s="1" t="n">
        <v>45260</v>
      </c>
      <c r="C401" s="1" t="n">
        <v>46188</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18461-2024</t>
        </is>
      </c>
      <c r="B402" s="1" t="n">
        <v>45425.47435185185</v>
      </c>
      <c r="C402" s="1" t="n">
        <v>46188</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4663-2022</t>
        </is>
      </c>
      <c r="B403" s="1" t="n">
        <v>44592.45429398148</v>
      </c>
      <c r="C403" s="1" t="n">
        <v>46188</v>
      </c>
      <c r="D403" t="inlineStr">
        <is>
          <t>VÄSTMANLANDS LÄN</t>
        </is>
      </c>
      <c r="E403" t="inlineStr">
        <is>
          <t>SALA</t>
        </is>
      </c>
      <c r="G403" t="n">
        <v>2.5</v>
      </c>
      <c r="H403" t="n">
        <v>0</v>
      </c>
      <c r="I403" t="n">
        <v>0</v>
      </c>
      <c r="J403" t="n">
        <v>0</v>
      </c>
      <c r="K403" t="n">
        <v>0</v>
      </c>
      <c r="L403" t="n">
        <v>0</v>
      </c>
      <c r="M403" t="n">
        <v>0</v>
      </c>
      <c r="N403" t="n">
        <v>0</v>
      </c>
      <c r="O403" t="n">
        <v>0</v>
      </c>
      <c r="P403" t="n">
        <v>0</v>
      </c>
      <c r="Q403" t="n">
        <v>0</v>
      </c>
      <c r="R403" s="2" t="inlineStr"/>
    </row>
    <row r="404" ht="15" customHeight="1">
      <c r="A404" t="inlineStr">
        <is>
          <t>A 16354-2026</t>
        </is>
      </c>
      <c r="B404" s="1" t="n">
        <v>46111.5968287037</v>
      </c>
      <c r="C404" s="1" t="n">
        <v>46188</v>
      </c>
      <c r="D404" t="inlineStr">
        <is>
          <t>VÄSTMANLANDS LÄN</t>
        </is>
      </c>
      <c r="E404" t="inlineStr">
        <is>
          <t>SALA</t>
        </is>
      </c>
      <c r="G404" t="n">
        <v>5.2</v>
      </c>
      <c r="H404" t="n">
        <v>0</v>
      </c>
      <c r="I404" t="n">
        <v>0</v>
      </c>
      <c r="J404" t="n">
        <v>0</v>
      </c>
      <c r="K404" t="n">
        <v>0</v>
      </c>
      <c r="L404" t="n">
        <v>0</v>
      </c>
      <c r="M404" t="n">
        <v>0</v>
      </c>
      <c r="N404" t="n">
        <v>0</v>
      </c>
      <c r="O404" t="n">
        <v>0</v>
      </c>
      <c r="P404" t="n">
        <v>0</v>
      </c>
      <c r="Q404" t="n">
        <v>0</v>
      </c>
      <c r="R404" s="2" t="inlineStr"/>
    </row>
    <row r="405" ht="15" customHeight="1">
      <c r="A405" t="inlineStr">
        <is>
          <t>A 16367-2026</t>
        </is>
      </c>
      <c r="B405" s="1" t="n">
        <v>46111.61380787037</v>
      </c>
      <c r="C405" s="1" t="n">
        <v>46188</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2766-2024</t>
        </is>
      </c>
      <c r="B406" s="1" t="n">
        <v>45314.60950231482</v>
      </c>
      <c r="C406" s="1" t="n">
        <v>46188</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6351-2023</t>
        </is>
      </c>
      <c r="B407" s="1" t="n">
        <v>44965</v>
      </c>
      <c r="C407" s="1" t="n">
        <v>46188</v>
      </c>
      <c r="D407" t="inlineStr">
        <is>
          <t>VÄSTMANLANDS LÄN</t>
        </is>
      </c>
      <c r="E407" t="inlineStr">
        <is>
          <t>SALA</t>
        </is>
      </c>
      <c r="F407" t="inlineStr">
        <is>
          <t>Kommuner</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45187-2024</t>
        </is>
      </c>
      <c r="B408" s="1" t="n">
        <v>45575</v>
      </c>
      <c r="C408" s="1" t="n">
        <v>46188</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16369-2026</t>
        </is>
      </c>
      <c r="B409" s="1" t="n">
        <v>46111</v>
      </c>
      <c r="C409" s="1" t="n">
        <v>46188</v>
      </c>
      <c r="D409" t="inlineStr">
        <is>
          <t>VÄSTMANLANDS LÄN</t>
        </is>
      </c>
      <c r="E409" t="inlineStr">
        <is>
          <t>SALA</t>
        </is>
      </c>
      <c r="G409" t="n">
        <v>1.4</v>
      </c>
      <c r="H409" t="n">
        <v>0</v>
      </c>
      <c r="I409" t="n">
        <v>0</v>
      </c>
      <c r="J409" t="n">
        <v>0</v>
      </c>
      <c r="K409" t="n">
        <v>0</v>
      </c>
      <c r="L409" t="n">
        <v>0</v>
      </c>
      <c r="M409" t="n">
        <v>0</v>
      </c>
      <c r="N409" t="n">
        <v>0</v>
      </c>
      <c r="O409" t="n">
        <v>0</v>
      </c>
      <c r="P409" t="n">
        <v>0</v>
      </c>
      <c r="Q409" t="n">
        <v>0</v>
      </c>
      <c r="R409" s="2" t="inlineStr"/>
    </row>
    <row r="410" ht="15" customHeight="1">
      <c r="A410" t="inlineStr">
        <is>
          <t>A 16598-2026</t>
        </is>
      </c>
      <c r="B410" s="1" t="n">
        <v>46112.59598379629</v>
      </c>
      <c r="C410" s="1" t="n">
        <v>46188</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16364-2026</t>
        </is>
      </c>
      <c r="B411" s="1" t="n">
        <v>46111.6115625</v>
      </c>
      <c r="C411" s="1" t="n">
        <v>46188</v>
      </c>
      <c r="D411" t="inlineStr">
        <is>
          <t>VÄSTMANLANDS LÄN</t>
        </is>
      </c>
      <c r="E411" t="inlineStr">
        <is>
          <t>SALA</t>
        </is>
      </c>
      <c r="G411" t="n">
        <v>4.7</v>
      </c>
      <c r="H411" t="n">
        <v>0</v>
      </c>
      <c r="I411" t="n">
        <v>0</v>
      </c>
      <c r="J411" t="n">
        <v>0</v>
      </c>
      <c r="K411" t="n">
        <v>0</v>
      </c>
      <c r="L411" t="n">
        <v>0</v>
      </c>
      <c r="M411" t="n">
        <v>0</v>
      </c>
      <c r="N411" t="n">
        <v>0</v>
      </c>
      <c r="O411" t="n">
        <v>0</v>
      </c>
      <c r="P411" t="n">
        <v>0</v>
      </c>
      <c r="Q411" t="n">
        <v>0</v>
      </c>
      <c r="R411" s="2" t="inlineStr"/>
    </row>
    <row r="412" ht="15" customHeight="1">
      <c r="A412" t="inlineStr">
        <is>
          <t>A 36049-2025</t>
        </is>
      </c>
      <c r="B412" s="1" t="n">
        <v>45866.37065972222</v>
      </c>
      <c r="C412" s="1" t="n">
        <v>46188</v>
      </c>
      <c r="D412" t="inlineStr">
        <is>
          <t>VÄSTMANLANDS LÄN</t>
        </is>
      </c>
      <c r="E412" t="inlineStr">
        <is>
          <t>SALA</t>
        </is>
      </c>
      <c r="F412" t="inlineStr">
        <is>
          <t>Kommuner</t>
        </is>
      </c>
      <c r="G412" t="n">
        <v>1.9</v>
      </c>
      <c r="H412" t="n">
        <v>0</v>
      </c>
      <c r="I412" t="n">
        <v>0</v>
      </c>
      <c r="J412" t="n">
        <v>0</v>
      </c>
      <c r="K412" t="n">
        <v>0</v>
      </c>
      <c r="L412" t="n">
        <v>0</v>
      </c>
      <c r="M412" t="n">
        <v>0</v>
      </c>
      <c r="N412" t="n">
        <v>0</v>
      </c>
      <c r="O412" t="n">
        <v>0</v>
      </c>
      <c r="P412" t="n">
        <v>0</v>
      </c>
      <c r="Q412" t="n">
        <v>0</v>
      </c>
      <c r="R412" s="2" t="inlineStr"/>
    </row>
    <row r="413" ht="15" customHeight="1">
      <c r="A413" t="inlineStr">
        <is>
          <t>A 33527-2023</t>
        </is>
      </c>
      <c r="B413" s="1" t="n">
        <v>45131</v>
      </c>
      <c r="C413" s="1" t="n">
        <v>46188</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7377-2023</t>
        </is>
      </c>
      <c r="B414" s="1" t="n">
        <v>44971</v>
      </c>
      <c r="C414" s="1" t="n">
        <v>46188</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21159-2022</t>
        </is>
      </c>
      <c r="B415" s="1" t="n">
        <v>44704</v>
      </c>
      <c r="C415" s="1" t="n">
        <v>46188</v>
      </c>
      <c r="D415" t="inlineStr">
        <is>
          <t>VÄSTMANLANDS LÄN</t>
        </is>
      </c>
      <c r="E415" t="inlineStr">
        <is>
          <t>SALA</t>
        </is>
      </c>
      <c r="G415" t="n">
        <v>1.4</v>
      </c>
      <c r="H415" t="n">
        <v>0</v>
      </c>
      <c r="I415" t="n">
        <v>0</v>
      </c>
      <c r="J415" t="n">
        <v>0</v>
      </c>
      <c r="K415" t="n">
        <v>0</v>
      </c>
      <c r="L415" t="n">
        <v>0</v>
      </c>
      <c r="M415" t="n">
        <v>0</v>
      </c>
      <c r="N415" t="n">
        <v>0</v>
      </c>
      <c r="O415" t="n">
        <v>0</v>
      </c>
      <c r="P415" t="n">
        <v>0</v>
      </c>
      <c r="Q415" t="n">
        <v>0</v>
      </c>
      <c r="R415" s="2" t="inlineStr"/>
    </row>
    <row r="416" ht="15" customHeight="1">
      <c r="A416" t="inlineStr">
        <is>
          <t>A 36045-2025</t>
        </is>
      </c>
      <c r="B416" s="1" t="n">
        <v>45866.36200231482</v>
      </c>
      <c r="C416" s="1" t="n">
        <v>46188</v>
      </c>
      <c r="D416" t="inlineStr">
        <is>
          <t>VÄSTMANLANDS LÄN</t>
        </is>
      </c>
      <c r="E416" t="inlineStr">
        <is>
          <t>SALA</t>
        </is>
      </c>
      <c r="F416" t="inlineStr">
        <is>
          <t>Kommuner</t>
        </is>
      </c>
      <c r="G416" t="n">
        <v>1.7</v>
      </c>
      <c r="H416" t="n">
        <v>0</v>
      </c>
      <c r="I416" t="n">
        <v>0</v>
      </c>
      <c r="J416" t="n">
        <v>0</v>
      </c>
      <c r="K416" t="n">
        <v>0</v>
      </c>
      <c r="L416" t="n">
        <v>0</v>
      </c>
      <c r="M416" t="n">
        <v>0</v>
      </c>
      <c r="N416" t="n">
        <v>0</v>
      </c>
      <c r="O416" t="n">
        <v>0</v>
      </c>
      <c r="P416" t="n">
        <v>0</v>
      </c>
      <c r="Q416" t="n">
        <v>0</v>
      </c>
      <c r="R416" s="2" t="inlineStr"/>
    </row>
    <row r="417" ht="15" customHeight="1">
      <c r="A417" t="inlineStr">
        <is>
          <t>A 31863-2025</t>
        </is>
      </c>
      <c r="B417" s="1" t="n">
        <v>45834.63303240741</v>
      </c>
      <c r="C417" s="1" t="n">
        <v>46188</v>
      </c>
      <c r="D417" t="inlineStr">
        <is>
          <t>VÄSTMANLANDS LÄN</t>
        </is>
      </c>
      <c r="E417" t="inlineStr">
        <is>
          <t>SALA</t>
        </is>
      </c>
      <c r="G417" t="n">
        <v>2.5</v>
      </c>
      <c r="H417" t="n">
        <v>0</v>
      </c>
      <c r="I417" t="n">
        <v>0</v>
      </c>
      <c r="J417" t="n">
        <v>0</v>
      </c>
      <c r="K417" t="n">
        <v>0</v>
      </c>
      <c r="L417" t="n">
        <v>0</v>
      </c>
      <c r="M417" t="n">
        <v>0</v>
      </c>
      <c r="N417" t="n">
        <v>0</v>
      </c>
      <c r="O417" t="n">
        <v>0</v>
      </c>
      <c r="P417" t="n">
        <v>0</v>
      </c>
      <c r="Q417" t="n">
        <v>0</v>
      </c>
      <c r="R417" s="2" t="inlineStr"/>
    </row>
    <row r="418" ht="15" customHeight="1">
      <c r="A418" t="inlineStr">
        <is>
          <t>A 22869-2026</t>
        </is>
      </c>
      <c r="B418" s="1" t="n">
        <v>46160.43599537037</v>
      </c>
      <c r="C418" s="1" t="n">
        <v>46188</v>
      </c>
      <c r="D418" t="inlineStr">
        <is>
          <t>VÄSTMANLANDS LÄN</t>
        </is>
      </c>
      <c r="E418" t="inlineStr">
        <is>
          <t>SALA</t>
        </is>
      </c>
      <c r="G418" t="n">
        <v>0.9</v>
      </c>
      <c r="H418" t="n">
        <v>0</v>
      </c>
      <c r="I418" t="n">
        <v>0</v>
      </c>
      <c r="J418" t="n">
        <v>0</v>
      </c>
      <c r="K418" t="n">
        <v>0</v>
      </c>
      <c r="L418" t="n">
        <v>0</v>
      </c>
      <c r="M418" t="n">
        <v>0</v>
      </c>
      <c r="N418" t="n">
        <v>0</v>
      </c>
      <c r="O418" t="n">
        <v>0</v>
      </c>
      <c r="P418" t="n">
        <v>0</v>
      </c>
      <c r="Q418" t="n">
        <v>0</v>
      </c>
      <c r="R418" s="2" t="inlineStr"/>
    </row>
    <row r="419" ht="15" customHeight="1">
      <c r="A419" t="inlineStr">
        <is>
          <t>A 16159-2024</t>
        </is>
      </c>
      <c r="B419" s="1" t="n">
        <v>45406</v>
      </c>
      <c r="C419" s="1" t="n">
        <v>46188</v>
      </c>
      <c r="D419" t="inlineStr">
        <is>
          <t>VÄSTMANLANDS LÄN</t>
        </is>
      </c>
      <c r="E419" t="inlineStr">
        <is>
          <t>SALA</t>
        </is>
      </c>
      <c r="G419" t="n">
        <v>0.4</v>
      </c>
      <c r="H419" t="n">
        <v>0</v>
      </c>
      <c r="I419" t="n">
        <v>0</v>
      </c>
      <c r="J419" t="n">
        <v>0</v>
      </c>
      <c r="K419" t="n">
        <v>0</v>
      </c>
      <c r="L419" t="n">
        <v>0</v>
      </c>
      <c r="M419" t="n">
        <v>0</v>
      </c>
      <c r="N419" t="n">
        <v>0</v>
      </c>
      <c r="O419" t="n">
        <v>0</v>
      </c>
      <c r="P419" t="n">
        <v>0</v>
      </c>
      <c r="Q419" t="n">
        <v>0</v>
      </c>
      <c r="R419" s="2" t="inlineStr"/>
    </row>
    <row r="420" ht="15" customHeight="1">
      <c r="A420" t="inlineStr">
        <is>
          <t>A 66307-2021</t>
        </is>
      </c>
      <c r="B420" s="1" t="n">
        <v>44518.48670138889</v>
      </c>
      <c r="C420" s="1" t="n">
        <v>46188</v>
      </c>
      <c r="D420" t="inlineStr">
        <is>
          <t>VÄSTMANLANDS LÄN</t>
        </is>
      </c>
      <c r="E420" t="inlineStr">
        <is>
          <t>SALA</t>
        </is>
      </c>
      <c r="G420" t="n">
        <v>0.7</v>
      </c>
      <c r="H420" t="n">
        <v>0</v>
      </c>
      <c r="I420" t="n">
        <v>0</v>
      </c>
      <c r="J420" t="n">
        <v>0</v>
      </c>
      <c r="K420" t="n">
        <v>0</v>
      </c>
      <c r="L420" t="n">
        <v>0</v>
      </c>
      <c r="M420" t="n">
        <v>0</v>
      </c>
      <c r="N420" t="n">
        <v>0</v>
      </c>
      <c r="O420" t="n">
        <v>0</v>
      </c>
      <c r="P420" t="n">
        <v>0</v>
      </c>
      <c r="Q420" t="n">
        <v>0</v>
      </c>
      <c r="R420" s="2" t="inlineStr"/>
    </row>
    <row r="421" ht="15" customHeight="1">
      <c r="A421" t="inlineStr">
        <is>
          <t>A 27262-2024</t>
        </is>
      </c>
      <c r="B421" s="1" t="n">
        <v>45471</v>
      </c>
      <c r="C421" s="1" t="n">
        <v>46188</v>
      </c>
      <c r="D421" t="inlineStr">
        <is>
          <t>VÄSTMANLANDS LÄN</t>
        </is>
      </c>
      <c r="E421" t="inlineStr">
        <is>
          <t>SALA</t>
        </is>
      </c>
      <c r="G421" t="n">
        <v>0.8</v>
      </c>
      <c r="H421" t="n">
        <v>0</v>
      </c>
      <c r="I421" t="n">
        <v>0</v>
      </c>
      <c r="J421" t="n">
        <v>0</v>
      </c>
      <c r="K421" t="n">
        <v>0</v>
      </c>
      <c r="L421" t="n">
        <v>0</v>
      </c>
      <c r="M421" t="n">
        <v>0</v>
      </c>
      <c r="N421" t="n">
        <v>0</v>
      </c>
      <c r="O421" t="n">
        <v>0</v>
      </c>
      <c r="P421" t="n">
        <v>0</v>
      </c>
      <c r="Q421" t="n">
        <v>0</v>
      </c>
      <c r="R421" s="2" t="inlineStr"/>
    </row>
    <row r="422" ht="15" customHeight="1">
      <c r="A422" t="inlineStr">
        <is>
          <t>A 10913-2025</t>
        </is>
      </c>
      <c r="B422" s="1" t="n">
        <v>45722.73423611111</v>
      </c>
      <c r="C422" s="1" t="n">
        <v>46188</v>
      </c>
      <c r="D422" t="inlineStr">
        <is>
          <t>VÄSTMANLANDS LÄN</t>
        </is>
      </c>
      <c r="E422" t="inlineStr">
        <is>
          <t>SALA</t>
        </is>
      </c>
      <c r="G422" t="n">
        <v>7.6</v>
      </c>
      <c r="H422" t="n">
        <v>0</v>
      </c>
      <c r="I422" t="n">
        <v>0</v>
      </c>
      <c r="J422" t="n">
        <v>0</v>
      </c>
      <c r="K422" t="n">
        <v>0</v>
      </c>
      <c r="L422" t="n">
        <v>0</v>
      </c>
      <c r="M422" t="n">
        <v>0</v>
      </c>
      <c r="N422" t="n">
        <v>0</v>
      </c>
      <c r="O422" t="n">
        <v>0</v>
      </c>
      <c r="P422" t="n">
        <v>0</v>
      </c>
      <c r="Q422" t="n">
        <v>0</v>
      </c>
      <c r="R422" s="2" t="inlineStr"/>
    </row>
    <row r="423" ht="15" customHeight="1">
      <c r="A423" t="inlineStr">
        <is>
          <t>A 35410-2022</t>
        </is>
      </c>
      <c r="B423" s="1" t="n">
        <v>44798.62576388889</v>
      </c>
      <c r="C423" s="1" t="n">
        <v>46188</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1118-2024</t>
        </is>
      </c>
      <c r="B424" s="1" t="n">
        <v>45302</v>
      </c>
      <c r="C424" s="1" t="n">
        <v>46188</v>
      </c>
      <c r="D424" t="inlineStr">
        <is>
          <t>VÄSTMANLANDS LÄN</t>
        </is>
      </c>
      <c r="E424" t="inlineStr">
        <is>
          <t>SALA</t>
        </is>
      </c>
      <c r="G424" t="n">
        <v>1.9</v>
      </c>
      <c r="H424" t="n">
        <v>0</v>
      </c>
      <c r="I424" t="n">
        <v>0</v>
      </c>
      <c r="J424" t="n">
        <v>0</v>
      </c>
      <c r="K424" t="n">
        <v>0</v>
      </c>
      <c r="L424" t="n">
        <v>0</v>
      </c>
      <c r="M424" t="n">
        <v>0</v>
      </c>
      <c r="N424" t="n">
        <v>0</v>
      </c>
      <c r="O424" t="n">
        <v>0</v>
      </c>
      <c r="P424" t="n">
        <v>0</v>
      </c>
      <c r="Q424" t="n">
        <v>0</v>
      </c>
      <c r="R424" s="2" t="inlineStr"/>
    </row>
    <row r="425" ht="15" customHeight="1">
      <c r="A425" t="inlineStr">
        <is>
          <t>A 3546-2025</t>
        </is>
      </c>
      <c r="B425" s="1" t="n">
        <v>45680</v>
      </c>
      <c r="C425" s="1" t="n">
        <v>46188</v>
      </c>
      <c r="D425" t="inlineStr">
        <is>
          <t>VÄSTMANLANDS LÄN</t>
        </is>
      </c>
      <c r="E425" t="inlineStr">
        <is>
          <t>SALA</t>
        </is>
      </c>
      <c r="G425" t="n">
        <v>0.4</v>
      </c>
      <c r="H425" t="n">
        <v>0</v>
      </c>
      <c r="I425" t="n">
        <v>0</v>
      </c>
      <c r="J425" t="n">
        <v>0</v>
      </c>
      <c r="K425" t="n">
        <v>0</v>
      </c>
      <c r="L425" t="n">
        <v>0</v>
      </c>
      <c r="M425" t="n">
        <v>0</v>
      </c>
      <c r="N425" t="n">
        <v>0</v>
      </c>
      <c r="O425" t="n">
        <v>0</v>
      </c>
      <c r="P425" t="n">
        <v>0</v>
      </c>
      <c r="Q425" t="n">
        <v>0</v>
      </c>
      <c r="R425" s="2" t="inlineStr"/>
    </row>
    <row r="426" ht="15" customHeight="1">
      <c r="A426" t="inlineStr">
        <is>
          <t>A 31869-2025</t>
        </is>
      </c>
      <c r="B426" s="1" t="n">
        <v>45834.64555555556</v>
      </c>
      <c r="C426" s="1" t="n">
        <v>46188</v>
      </c>
      <c r="D426" t="inlineStr">
        <is>
          <t>VÄSTMANLANDS LÄN</t>
        </is>
      </c>
      <c r="E426" t="inlineStr">
        <is>
          <t>SALA</t>
        </is>
      </c>
      <c r="G426" t="n">
        <v>17.5</v>
      </c>
      <c r="H426" t="n">
        <v>0</v>
      </c>
      <c r="I426" t="n">
        <v>0</v>
      </c>
      <c r="J426" t="n">
        <v>0</v>
      </c>
      <c r="K426" t="n">
        <v>0</v>
      </c>
      <c r="L426" t="n">
        <v>0</v>
      </c>
      <c r="M426" t="n">
        <v>0</v>
      </c>
      <c r="N426" t="n">
        <v>0</v>
      </c>
      <c r="O426" t="n">
        <v>0</v>
      </c>
      <c r="P426" t="n">
        <v>0</v>
      </c>
      <c r="Q426" t="n">
        <v>0</v>
      </c>
      <c r="R426" s="2" t="inlineStr"/>
    </row>
    <row r="427" ht="15" customHeight="1">
      <c r="A427" t="inlineStr">
        <is>
          <t>A 7664-2023</t>
        </is>
      </c>
      <c r="B427" s="1" t="n">
        <v>44972</v>
      </c>
      <c r="C427" s="1" t="n">
        <v>46188</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23578-2026</t>
        </is>
      </c>
      <c r="B428" s="1" t="n">
        <v>46163.60586805556</v>
      </c>
      <c r="C428" s="1" t="n">
        <v>46188</v>
      </c>
      <c r="D428" t="inlineStr">
        <is>
          <t>VÄSTMANLANDS LÄN</t>
        </is>
      </c>
      <c r="E428" t="inlineStr">
        <is>
          <t>SALA</t>
        </is>
      </c>
      <c r="G428" t="n">
        <v>1.9</v>
      </c>
      <c r="H428" t="n">
        <v>0</v>
      </c>
      <c r="I428" t="n">
        <v>0</v>
      </c>
      <c r="J428" t="n">
        <v>0</v>
      </c>
      <c r="K428" t="n">
        <v>0</v>
      </c>
      <c r="L428" t="n">
        <v>0</v>
      </c>
      <c r="M428" t="n">
        <v>0</v>
      </c>
      <c r="N428" t="n">
        <v>0</v>
      </c>
      <c r="O428" t="n">
        <v>0</v>
      </c>
      <c r="P428" t="n">
        <v>0</v>
      </c>
      <c r="Q428" t="n">
        <v>0</v>
      </c>
      <c r="R428" s="2" t="inlineStr"/>
    </row>
    <row r="429" ht="15" customHeight="1">
      <c r="A429" t="inlineStr">
        <is>
          <t>A 53864-2022</t>
        </is>
      </c>
      <c r="B429" s="1" t="n">
        <v>44880.64016203704</v>
      </c>
      <c r="C429" s="1" t="n">
        <v>46188</v>
      </c>
      <c r="D429" t="inlineStr">
        <is>
          <t>VÄSTMANLANDS LÄN</t>
        </is>
      </c>
      <c r="E429" t="inlineStr">
        <is>
          <t>SALA</t>
        </is>
      </c>
      <c r="G429" t="n">
        <v>5.9</v>
      </c>
      <c r="H429" t="n">
        <v>0</v>
      </c>
      <c r="I429" t="n">
        <v>0</v>
      </c>
      <c r="J429" t="n">
        <v>0</v>
      </c>
      <c r="K429" t="n">
        <v>0</v>
      </c>
      <c r="L429" t="n">
        <v>0</v>
      </c>
      <c r="M429" t="n">
        <v>0</v>
      </c>
      <c r="N429" t="n">
        <v>0</v>
      </c>
      <c r="O429" t="n">
        <v>0</v>
      </c>
      <c r="P429" t="n">
        <v>0</v>
      </c>
      <c r="Q429" t="n">
        <v>0</v>
      </c>
      <c r="R429" s="2" t="inlineStr"/>
    </row>
    <row r="430" ht="15" customHeight="1">
      <c r="A430" t="inlineStr">
        <is>
          <t>A 3551-2024</t>
        </is>
      </c>
      <c r="B430" s="1" t="n">
        <v>45320.61099537037</v>
      </c>
      <c r="C430" s="1" t="n">
        <v>46188</v>
      </c>
      <c r="D430" t="inlineStr">
        <is>
          <t>VÄSTMANLANDS LÄN</t>
        </is>
      </c>
      <c r="E430" t="inlineStr">
        <is>
          <t>SALA</t>
        </is>
      </c>
      <c r="F430" t="inlineStr">
        <is>
          <t>Kommuner</t>
        </is>
      </c>
      <c r="G430" t="n">
        <v>6</v>
      </c>
      <c r="H430" t="n">
        <v>0</v>
      </c>
      <c r="I430" t="n">
        <v>0</v>
      </c>
      <c r="J430" t="n">
        <v>0</v>
      </c>
      <c r="K430" t="n">
        <v>0</v>
      </c>
      <c r="L430" t="n">
        <v>0</v>
      </c>
      <c r="M430" t="n">
        <v>0</v>
      </c>
      <c r="N430" t="n">
        <v>0</v>
      </c>
      <c r="O430" t="n">
        <v>0</v>
      </c>
      <c r="P430" t="n">
        <v>0</v>
      </c>
      <c r="Q430" t="n">
        <v>0</v>
      </c>
      <c r="R430" s="2" t="inlineStr"/>
    </row>
    <row r="431" ht="15" customHeight="1">
      <c r="A431" t="inlineStr">
        <is>
          <t>A 37017-2025</t>
        </is>
      </c>
      <c r="B431" s="1" t="n">
        <v>45874</v>
      </c>
      <c r="C431" s="1" t="n">
        <v>46188</v>
      </c>
      <c r="D431" t="inlineStr">
        <is>
          <t>VÄSTMANLANDS LÄN</t>
        </is>
      </c>
      <c r="E431" t="inlineStr">
        <is>
          <t>SALA</t>
        </is>
      </c>
      <c r="G431" t="n">
        <v>11.1</v>
      </c>
      <c r="H431" t="n">
        <v>0</v>
      </c>
      <c r="I431" t="n">
        <v>0</v>
      </c>
      <c r="J431" t="n">
        <v>0</v>
      </c>
      <c r="K431" t="n">
        <v>0</v>
      </c>
      <c r="L431" t="n">
        <v>0</v>
      </c>
      <c r="M431" t="n">
        <v>0</v>
      </c>
      <c r="N431" t="n">
        <v>0</v>
      </c>
      <c r="O431" t="n">
        <v>0</v>
      </c>
      <c r="P431" t="n">
        <v>0</v>
      </c>
      <c r="Q431" t="n">
        <v>0</v>
      </c>
      <c r="R431" s="2" t="inlineStr"/>
    </row>
    <row r="432" ht="15" customHeight="1">
      <c r="A432" t="inlineStr">
        <is>
          <t>A 37246-2025</t>
        </is>
      </c>
      <c r="B432" s="1" t="n">
        <v>45876.39435185185</v>
      </c>
      <c r="C432" s="1" t="n">
        <v>46188</v>
      </c>
      <c r="D432" t="inlineStr">
        <is>
          <t>VÄSTMANLANDS LÄN</t>
        </is>
      </c>
      <c r="E432" t="inlineStr">
        <is>
          <t>SALA</t>
        </is>
      </c>
      <c r="G432" t="n">
        <v>2.3</v>
      </c>
      <c r="H432" t="n">
        <v>0</v>
      </c>
      <c r="I432" t="n">
        <v>0</v>
      </c>
      <c r="J432" t="n">
        <v>0</v>
      </c>
      <c r="K432" t="n">
        <v>0</v>
      </c>
      <c r="L432" t="n">
        <v>0</v>
      </c>
      <c r="M432" t="n">
        <v>0</v>
      </c>
      <c r="N432" t="n">
        <v>0</v>
      </c>
      <c r="O432" t="n">
        <v>0</v>
      </c>
      <c r="P432" t="n">
        <v>0</v>
      </c>
      <c r="Q432" t="n">
        <v>0</v>
      </c>
      <c r="R432" s="2" t="inlineStr"/>
    </row>
    <row r="433" ht="15" customHeight="1">
      <c r="A433" t="inlineStr">
        <is>
          <t>A 22961-2023</t>
        </is>
      </c>
      <c r="B433" s="1" t="n">
        <v>45072</v>
      </c>
      <c r="C433" s="1" t="n">
        <v>46188</v>
      </c>
      <c r="D433" t="inlineStr">
        <is>
          <t>VÄSTMANLANDS LÄN</t>
        </is>
      </c>
      <c r="E433" t="inlineStr">
        <is>
          <t>SALA</t>
        </is>
      </c>
      <c r="G433" t="n">
        <v>2.7</v>
      </c>
      <c r="H433" t="n">
        <v>0</v>
      </c>
      <c r="I433" t="n">
        <v>0</v>
      </c>
      <c r="J433" t="n">
        <v>0</v>
      </c>
      <c r="K433" t="n">
        <v>0</v>
      </c>
      <c r="L433" t="n">
        <v>0</v>
      </c>
      <c r="M433" t="n">
        <v>0</v>
      </c>
      <c r="N433" t="n">
        <v>0</v>
      </c>
      <c r="O433" t="n">
        <v>0</v>
      </c>
      <c r="P433" t="n">
        <v>0</v>
      </c>
      <c r="Q433" t="n">
        <v>0</v>
      </c>
      <c r="R433" s="2" t="inlineStr"/>
    </row>
    <row r="434" ht="15" customHeight="1">
      <c r="A434" t="inlineStr">
        <is>
          <t>A 22963-2023</t>
        </is>
      </c>
      <c r="B434" s="1" t="n">
        <v>45072</v>
      </c>
      <c r="C434" s="1" t="n">
        <v>46188</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37590-2025</t>
        </is>
      </c>
      <c r="B435" s="1" t="n">
        <v>45880.41138888889</v>
      </c>
      <c r="C435" s="1" t="n">
        <v>46188</v>
      </c>
      <c r="D435" t="inlineStr">
        <is>
          <t>VÄSTMANLANDS LÄN</t>
        </is>
      </c>
      <c r="E435" t="inlineStr">
        <is>
          <t>SALA</t>
        </is>
      </c>
      <c r="G435" t="n">
        <v>2.2</v>
      </c>
      <c r="H435" t="n">
        <v>0</v>
      </c>
      <c r="I435" t="n">
        <v>0</v>
      </c>
      <c r="J435" t="n">
        <v>0</v>
      </c>
      <c r="K435" t="n">
        <v>0</v>
      </c>
      <c r="L435" t="n">
        <v>0</v>
      </c>
      <c r="M435" t="n">
        <v>0</v>
      </c>
      <c r="N435" t="n">
        <v>0</v>
      </c>
      <c r="O435" t="n">
        <v>0</v>
      </c>
      <c r="P435" t="n">
        <v>0</v>
      </c>
      <c r="Q435" t="n">
        <v>0</v>
      </c>
      <c r="R435" s="2" t="inlineStr"/>
    </row>
    <row r="436" ht="15" customHeight="1">
      <c r="A436" t="inlineStr">
        <is>
          <t>A 37593-2025</t>
        </is>
      </c>
      <c r="B436" s="1" t="n">
        <v>45880.41325231481</v>
      </c>
      <c r="C436" s="1" t="n">
        <v>46188</v>
      </c>
      <c r="D436" t="inlineStr">
        <is>
          <t>VÄSTMANLANDS LÄN</t>
        </is>
      </c>
      <c r="E436" t="inlineStr">
        <is>
          <t>SALA</t>
        </is>
      </c>
      <c r="G436" t="n">
        <v>1.4</v>
      </c>
      <c r="H436" t="n">
        <v>0</v>
      </c>
      <c r="I436" t="n">
        <v>0</v>
      </c>
      <c r="J436" t="n">
        <v>0</v>
      </c>
      <c r="K436" t="n">
        <v>0</v>
      </c>
      <c r="L436" t="n">
        <v>0</v>
      </c>
      <c r="M436" t="n">
        <v>0</v>
      </c>
      <c r="N436" t="n">
        <v>0</v>
      </c>
      <c r="O436" t="n">
        <v>0</v>
      </c>
      <c r="P436" t="n">
        <v>0</v>
      </c>
      <c r="Q436" t="n">
        <v>0</v>
      </c>
      <c r="R436" s="2" t="inlineStr"/>
    </row>
    <row r="437" ht="15" customHeight="1">
      <c r="A437" t="inlineStr">
        <is>
          <t>A 27228-2023</t>
        </is>
      </c>
      <c r="B437" s="1" t="n">
        <v>45096.59189814814</v>
      </c>
      <c r="C437" s="1" t="n">
        <v>46188</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26507-2023</t>
        </is>
      </c>
      <c r="B438" s="1" t="n">
        <v>45092</v>
      </c>
      <c r="C438" s="1" t="n">
        <v>46188</v>
      </c>
      <c r="D438" t="inlineStr">
        <is>
          <t>VÄSTMANLANDS LÄN</t>
        </is>
      </c>
      <c r="E438" t="inlineStr">
        <is>
          <t>SALA</t>
        </is>
      </c>
      <c r="F438" t="inlineStr">
        <is>
          <t>Sveaskog</t>
        </is>
      </c>
      <c r="G438" t="n">
        <v>2.2</v>
      </c>
      <c r="H438" t="n">
        <v>0</v>
      </c>
      <c r="I438" t="n">
        <v>0</v>
      </c>
      <c r="J438" t="n">
        <v>0</v>
      </c>
      <c r="K438" t="n">
        <v>0</v>
      </c>
      <c r="L438" t="n">
        <v>0</v>
      </c>
      <c r="M438" t="n">
        <v>0</v>
      </c>
      <c r="N438" t="n">
        <v>0</v>
      </c>
      <c r="O438" t="n">
        <v>0</v>
      </c>
      <c r="P438" t="n">
        <v>0</v>
      </c>
      <c r="Q438" t="n">
        <v>0</v>
      </c>
      <c r="R438" s="2" t="inlineStr"/>
    </row>
    <row r="439" ht="15" customHeight="1">
      <c r="A439" t="inlineStr">
        <is>
          <t>A 16543-2023</t>
        </is>
      </c>
      <c r="B439" s="1" t="n">
        <v>45029</v>
      </c>
      <c r="C439" s="1" t="n">
        <v>46188</v>
      </c>
      <c r="D439" t="inlineStr">
        <is>
          <t>VÄSTMANLANDS LÄN</t>
        </is>
      </c>
      <c r="E439" t="inlineStr">
        <is>
          <t>SALA</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43176-2023</t>
        </is>
      </c>
      <c r="B440" s="1" t="n">
        <v>45183</v>
      </c>
      <c r="C440" s="1" t="n">
        <v>46188</v>
      </c>
      <c r="D440" t="inlineStr">
        <is>
          <t>VÄSTMANLANDS LÄN</t>
        </is>
      </c>
      <c r="E440" t="inlineStr">
        <is>
          <t>SALA</t>
        </is>
      </c>
      <c r="G440" t="n">
        <v>1.2</v>
      </c>
      <c r="H440" t="n">
        <v>0</v>
      </c>
      <c r="I440" t="n">
        <v>0</v>
      </c>
      <c r="J440" t="n">
        <v>0</v>
      </c>
      <c r="K440" t="n">
        <v>0</v>
      </c>
      <c r="L440" t="n">
        <v>0</v>
      </c>
      <c r="M440" t="n">
        <v>0</v>
      </c>
      <c r="N440" t="n">
        <v>0</v>
      </c>
      <c r="O440" t="n">
        <v>0</v>
      </c>
      <c r="P440" t="n">
        <v>0</v>
      </c>
      <c r="Q440" t="n">
        <v>0</v>
      </c>
      <c r="R440" s="2" t="inlineStr"/>
    </row>
    <row r="441" ht="15" customHeight="1">
      <c r="A441" t="inlineStr">
        <is>
          <t>A 37624-2024</t>
        </is>
      </c>
      <c r="B441" s="1" t="n">
        <v>45541</v>
      </c>
      <c r="C441" s="1" t="n">
        <v>46188</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43359-2024</t>
        </is>
      </c>
      <c r="B442" s="1" t="n">
        <v>45568.57724537037</v>
      </c>
      <c r="C442" s="1" t="n">
        <v>46188</v>
      </c>
      <c r="D442" t="inlineStr">
        <is>
          <t>VÄSTMANLANDS LÄN</t>
        </is>
      </c>
      <c r="E442" t="inlineStr">
        <is>
          <t>SALA</t>
        </is>
      </c>
      <c r="G442" t="n">
        <v>1.6</v>
      </c>
      <c r="H442" t="n">
        <v>0</v>
      </c>
      <c r="I442" t="n">
        <v>0</v>
      </c>
      <c r="J442" t="n">
        <v>0</v>
      </c>
      <c r="K442" t="n">
        <v>0</v>
      </c>
      <c r="L442" t="n">
        <v>0</v>
      </c>
      <c r="M442" t="n">
        <v>0</v>
      </c>
      <c r="N442" t="n">
        <v>0</v>
      </c>
      <c r="O442" t="n">
        <v>0</v>
      </c>
      <c r="P442" t="n">
        <v>0</v>
      </c>
      <c r="Q442" t="n">
        <v>0</v>
      </c>
      <c r="R442" s="2" t="inlineStr"/>
    </row>
    <row r="443" ht="15" customHeight="1">
      <c r="A443" t="inlineStr">
        <is>
          <t>A 57895-2024</t>
        </is>
      </c>
      <c r="B443" s="1" t="n">
        <v>45631</v>
      </c>
      <c r="C443" s="1" t="n">
        <v>46188</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47086-2022</t>
        </is>
      </c>
      <c r="B444" s="1" t="n">
        <v>44852</v>
      </c>
      <c r="C444" s="1" t="n">
        <v>46188</v>
      </c>
      <c r="D444" t="inlineStr">
        <is>
          <t>VÄSTMANLANDS LÄN</t>
        </is>
      </c>
      <c r="E444" t="inlineStr">
        <is>
          <t>SALA</t>
        </is>
      </c>
      <c r="G444" t="n">
        <v>12.5</v>
      </c>
      <c r="H444" t="n">
        <v>0</v>
      </c>
      <c r="I444" t="n">
        <v>0</v>
      </c>
      <c r="J444" t="n">
        <v>0</v>
      </c>
      <c r="K444" t="n">
        <v>0</v>
      </c>
      <c r="L444" t="n">
        <v>0</v>
      </c>
      <c r="M444" t="n">
        <v>0</v>
      </c>
      <c r="N444" t="n">
        <v>0</v>
      </c>
      <c r="O444" t="n">
        <v>0</v>
      </c>
      <c r="P444" t="n">
        <v>0</v>
      </c>
      <c r="Q444" t="n">
        <v>0</v>
      </c>
      <c r="R444" s="2" t="inlineStr"/>
    </row>
    <row r="445" ht="15" customHeight="1">
      <c r="A445" t="inlineStr">
        <is>
          <t>A 18382-2026</t>
        </is>
      </c>
      <c r="B445" s="1" t="n">
        <v>46126.63601851852</v>
      </c>
      <c r="C445" s="1" t="n">
        <v>46188</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54347-2024</t>
        </is>
      </c>
      <c r="B446" s="1" t="n">
        <v>45617.39325231482</v>
      </c>
      <c r="C446" s="1" t="n">
        <v>46188</v>
      </c>
      <c r="D446" t="inlineStr">
        <is>
          <t>VÄSTMANLANDS LÄN</t>
        </is>
      </c>
      <c r="E446" t="inlineStr">
        <is>
          <t>SALA</t>
        </is>
      </c>
      <c r="G446" t="n">
        <v>2</v>
      </c>
      <c r="H446" t="n">
        <v>0</v>
      </c>
      <c r="I446" t="n">
        <v>0</v>
      </c>
      <c r="J446" t="n">
        <v>0</v>
      </c>
      <c r="K446" t="n">
        <v>0</v>
      </c>
      <c r="L446" t="n">
        <v>0</v>
      </c>
      <c r="M446" t="n">
        <v>0</v>
      </c>
      <c r="N446" t="n">
        <v>0</v>
      </c>
      <c r="O446" t="n">
        <v>0</v>
      </c>
      <c r="P446" t="n">
        <v>0</v>
      </c>
      <c r="Q446" t="n">
        <v>0</v>
      </c>
      <c r="R446" s="2" t="inlineStr"/>
    </row>
    <row r="447" ht="15" customHeight="1">
      <c r="A447" t="inlineStr">
        <is>
          <t>A 64693-2023</t>
        </is>
      </c>
      <c r="B447" s="1" t="n">
        <v>45281.63850694444</v>
      </c>
      <c r="C447" s="1" t="n">
        <v>46188</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64695-2023</t>
        </is>
      </c>
      <c r="B448" s="1" t="n">
        <v>45281.64099537037</v>
      </c>
      <c r="C448" s="1" t="n">
        <v>46188</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18592-2026</t>
        </is>
      </c>
      <c r="B449" s="1" t="n">
        <v>46127.64232638889</v>
      </c>
      <c r="C449" s="1" t="n">
        <v>46188</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27486-2022</t>
        </is>
      </c>
      <c r="B450" s="1" t="n">
        <v>44742.60846064815</v>
      </c>
      <c r="C450" s="1" t="n">
        <v>46188</v>
      </c>
      <c r="D450" t="inlineStr">
        <is>
          <t>VÄSTMANLANDS LÄN</t>
        </is>
      </c>
      <c r="E450" t="inlineStr">
        <is>
          <t>SALA</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35003-2024</t>
        </is>
      </c>
      <c r="B451" s="1" t="n">
        <v>45527.56790509259</v>
      </c>
      <c r="C451" s="1" t="n">
        <v>46188</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24292-2026</t>
        </is>
      </c>
      <c r="B452" s="1" t="n">
        <v>46169.42405092593</v>
      </c>
      <c r="C452" s="1" t="n">
        <v>46188</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48688-2024</t>
        </is>
      </c>
      <c r="B453" s="1" t="n">
        <v>45593.50541666667</v>
      </c>
      <c r="C453" s="1" t="n">
        <v>46188</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63933-2023</t>
        </is>
      </c>
      <c r="B454" s="1" t="n">
        <v>45278</v>
      </c>
      <c r="C454" s="1" t="n">
        <v>46188</v>
      </c>
      <c r="D454" t="inlineStr">
        <is>
          <t>VÄSTMANLANDS LÄN</t>
        </is>
      </c>
      <c r="E454" t="inlineStr">
        <is>
          <t>SALA</t>
        </is>
      </c>
      <c r="G454" t="n">
        <v>1.4</v>
      </c>
      <c r="H454" t="n">
        <v>0</v>
      </c>
      <c r="I454" t="n">
        <v>0</v>
      </c>
      <c r="J454" t="n">
        <v>0</v>
      </c>
      <c r="K454" t="n">
        <v>0</v>
      </c>
      <c r="L454" t="n">
        <v>0</v>
      </c>
      <c r="M454" t="n">
        <v>0</v>
      </c>
      <c r="N454" t="n">
        <v>0</v>
      </c>
      <c r="O454" t="n">
        <v>0</v>
      </c>
      <c r="P454" t="n">
        <v>0</v>
      </c>
      <c r="Q454" t="n">
        <v>0</v>
      </c>
      <c r="R454" s="2" t="inlineStr"/>
    </row>
    <row r="455" ht="15" customHeight="1">
      <c r="A455" t="inlineStr">
        <is>
          <t>A 44746-2024</t>
        </is>
      </c>
      <c r="B455" s="1" t="n">
        <v>45574.59813657407</v>
      </c>
      <c r="C455" s="1" t="n">
        <v>46188</v>
      </c>
      <c r="D455" t="inlineStr">
        <is>
          <t>VÄSTMANLANDS LÄN</t>
        </is>
      </c>
      <c r="E455" t="inlineStr">
        <is>
          <t>SALA</t>
        </is>
      </c>
      <c r="G455" t="n">
        <v>6.7</v>
      </c>
      <c r="H455" t="n">
        <v>0</v>
      </c>
      <c r="I455" t="n">
        <v>0</v>
      </c>
      <c r="J455" t="n">
        <v>0</v>
      </c>
      <c r="K455" t="n">
        <v>0</v>
      </c>
      <c r="L455" t="n">
        <v>0</v>
      </c>
      <c r="M455" t="n">
        <v>0</v>
      </c>
      <c r="N455" t="n">
        <v>0</v>
      </c>
      <c r="O455" t="n">
        <v>0</v>
      </c>
      <c r="P455" t="n">
        <v>0</v>
      </c>
      <c r="Q455" t="n">
        <v>0</v>
      </c>
      <c r="R455" s="2" t="inlineStr"/>
    </row>
    <row r="456" ht="15" customHeight="1">
      <c r="A456" t="inlineStr">
        <is>
          <t>A 33273-2023</t>
        </is>
      </c>
      <c r="B456" s="1" t="n">
        <v>45127</v>
      </c>
      <c r="C456" s="1" t="n">
        <v>46188</v>
      </c>
      <c r="D456" t="inlineStr">
        <is>
          <t>VÄSTMANLANDS LÄN</t>
        </is>
      </c>
      <c r="E456" t="inlineStr">
        <is>
          <t>SALA</t>
        </is>
      </c>
      <c r="G456" t="n">
        <v>2.6</v>
      </c>
      <c r="H456" t="n">
        <v>0</v>
      </c>
      <c r="I456" t="n">
        <v>0</v>
      </c>
      <c r="J456" t="n">
        <v>0</v>
      </c>
      <c r="K456" t="n">
        <v>0</v>
      </c>
      <c r="L456" t="n">
        <v>0</v>
      </c>
      <c r="M456" t="n">
        <v>0</v>
      </c>
      <c r="N456" t="n">
        <v>0</v>
      </c>
      <c r="O456" t="n">
        <v>0</v>
      </c>
      <c r="P456" t="n">
        <v>0</v>
      </c>
      <c r="Q456" t="n">
        <v>0</v>
      </c>
      <c r="R456" s="2" t="inlineStr"/>
    </row>
    <row r="457" ht="15" customHeight="1">
      <c r="A457" t="inlineStr">
        <is>
          <t>A 60545-2024</t>
        </is>
      </c>
      <c r="B457" s="1" t="n">
        <v>45643</v>
      </c>
      <c r="C457" s="1" t="n">
        <v>46188</v>
      </c>
      <c r="D457" t="inlineStr">
        <is>
          <t>VÄSTMANLANDS LÄN</t>
        </is>
      </c>
      <c r="E457" t="inlineStr">
        <is>
          <t>SALA</t>
        </is>
      </c>
      <c r="G457" t="n">
        <v>3.3</v>
      </c>
      <c r="H457" t="n">
        <v>0</v>
      </c>
      <c r="I457" t="n">
        <v>0</v>
      </c>
      <c r="J457" t="n">
        <v>0</v>
      </c>
      <c r="K457" t="n">
        <v>0</v>
      </c>
      <c r="L457" t="n">
        <v>0</v>
      </c>
      <c r="M457" t="n">
        <v>0</v>
      </c>
      <c r="N457" t="n">
        <v>0</v>
      </c>
      <c r="O457" t="n">
        <v>0</v>
      </c>
      <c r="P457" t="n">
        <v>0</v>
      </c>
      <c r="Q457" t="n">
        <v>0</v>
      </c>
      <c r="R457" s="2" t="inlineStr"/>
    </row>
    <row r="458" ht="15" customHeight="1">
      <c r="A458" t="inlineStr">
        <is>
          <t>A 60547-2024</t>
        </is>
      </c>
      <c r="B458" s="1" t="n">
        <v>45643</v>
      </c>
      <c r="C458" s="1" t="n">
        <v>46188</v>
      </c>
      <c r="D458" t="inlineStr">
        <is>
          <t>VÄSTMANLANDS LÄN</t>
        </is>
      </c>
      <c r="E458" t="inlineStr">
        <is>
          <t>SALA</t>
        </is>
      </c>
      <c r="G458" t="n">
        <v>0.6</v>
      </c>
      <c r="H458" t="n">
        <v>0</v>
      </c>
      <c r="I458" t="n">
        <v>0</v>
      </c>
      <c r="J458" t="n">
        <v>0</v>
      </c>
      <c r="K458" t="n">
        <v>0</v>
      </c>
      <c r="L458" t="n">
        <v>0</v>
      </c>
      <c r="M458" t="n">
        <v>0</v>
      </c>
      <c r="N458" t="n">
        <v>0</v>
      </c>
      <c r="O458" t="n">
        <v>0</v>
      </c>
      <c r="P458" t="n">
        <v>0</v>
      </c>
      <c r="Q458" t="n">
        <v>0</v>
      </c>
      <c r="R458" s="2" t="inlineStr"/>
    </row>
    <row r="459" ht="15" customHeight="1">
      <c r="A459" t="inlineStr">
        <is>
          <t>A 1985-2022</t>
        </is>
      </c>
      <c r="B459" s="1" t="n">
        <v>44575</v>
      </c>
      <c r="C459" s="1" t="n">
        <v>46188</v>
      </c>
      <c r="D459" t="inlineStr">
        <is>
          <t>VÄSTMANLANDS LÄN</t>
        </is>
      </c>
      <c r="E459" t="inlineStr">
        <is>
          <t>SALA</t>
        </is>
      </c>
      <c r="G459" t="n">
        <v>1.4</v>
      </c>
      <c r="H459" t="n">
        <v>0</v>
      </c>
      <c r="I459" t="n">
        <v>0</v>
      </c>
      <c r="J459" t="n">
        <v>0</v>
      </c>
      <c r="K459" t="n">
        <v>0</v>
      </c>
      <c r="L459" t="n">
        <v>0</v>
      </c>
      <c r="M459" t="n">
        <v>0</v>
      </c>
      <c r="N459" t="n">
        <v>0</v>
      </c>
      <c r="O459" t="n">
        <v>0</v>
      </c>
      <c r="P459" t="n">
        <v>0</v>
      </c>
      <c r="Q459" t="n">
        <v>0</v>
      </c>
      <c r="R459" s="2" t="inlineStr"/>
    </row>
    <row r="460" ht="15" customHeight="1">
      <c r="A460" t="inlineStr">
        <is>
          <t>A 19376-2026</t>
        </is>
      </c>
      <c r="B460" s="1" t="n">
        <v>46133.54998842593</v>
      </c>
      <c r="C460" s="1" t="n">
        <v>46188</v>
      </c>
      <c r="D460" t="inlineStr">
        <is>
          <t>VÄSTMANLANDS LÄN</t>
        </is>
      </c>
      <c r="E460" t="inlineStr">
        <is>
          <t>SALA</t>
        </is>
      </c>
      <c r="G460" t="n">
        <v>3.8</v>
      </c>
      <c r="H460" t="n">
        <v>0</v>
      </c>
      <c r="I460" t="n">
        <v>0</v>
      </c>
      <c r="J460" t="n">
        <v>0</v>
      </c>
      <c r="K460" t="n">
        <v>0</v>
      </c>
      <c r="L460" t="n">
        <v>0</v>
      </c>
      <c r="M460" t="n">
        <v>0</v>
      </c>
      <c r="N460" t="n">
        <v>0</v>
      </c>
      <c r="O460" t="n">
        <v>0</v>
      </c>
      <c r="P460" t="n">
        <v>0</v>
      </c>
      <c r="Q460" t="n">
        <v>0</v>
      </c>
      <c r="R460" s="2" t="inlineStr"/>
    </row>
    <row r="461" ht="15" customHeight="1">
      <c r="A461" t="inlineStr">
        <is>
          <t>A 27261-2024</t>
        </is>
      </c>
      <c r="B461" s="1" t="n">
        <v>45471</v>
      </c>
      <c r="C461" s="1" t="n">
        <v>46188</v>
      </c>
      <c r="D461" t="inlineStr">
        <is>
          <t>VÄSTMANLANDS LÄN</t>
        </is>
      </c>
      <c r="E461" t="inlineStr">
        <is>
          <t>SALA</t>
        </is>
      </c>
      <c r="G461" t="n">
        <v>6.1</v>
      </c>
      <c r="H461" t="n">
        <v>0</v>
      </c>
      <c r="I461" t="n">
        <v>0</v>
      </c>
      <c r="J461" t="n">
        <v>0</v>
      </c>
      <c r="K461" t="n">
        <v>0</v>
      </c>
      <c r="L461" t="n">
        <v>0</v>
      </c>
      <c r="M461" t="n">
        <v>0</v>
      </c>
      <c r="N461" t="n">
        <v>0</v>
      </c>
      <c r="O461" t="n">
        <v>0</v>
      </c>
      <c r="P461" t="n">
        <v>0</v>
      </c>
      <c r="Q461" t="n">
        <v>0</v>
      </c>
      <c r="R461" s="2" t="inlineStr"/>
    </row>
    <row r="462" ht="15" customHeight="1">
      <c r="A462" t="inlineStr">
        <is>
          <t>A 19044-2026</t>
        </is>
      </c>
      <c r="B462" s="1" t="n">
        <v>46132.33789351852</v>
      </c>
      <c r="C462" s="1" t="n">
        <v>46188</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24846-2026</t>
        </is>
      </c>
      <c r="B463" s="1" t="n">
        <v>46174.38127314814</v>
      </c>
      <c r="C463" s="1" t="n">
        <v>46188</v>
      </c>
      <c r="D463" t="inlineStr">
        <is>
          <t>VÄSTMANLANDS LÄN</t>
        </is>
      </c>
      <c r="E463" t="inlineStr">
        <is>
          <t>SALA</t>
        </is>
      </c>
      <c r="G463" t="n">
        <v>1.6</v>
      </c>
      <c r="H463" t="n">
        <v>0</v>
      </c>
      <c r="I463" t="n">
        <v>0</v>
      </c>
      <c r="J463" t="n">
        <v>0</v>
      </c>
      <c r="K463" t="n">
        <v>0</v>
      </c>
      <c r="L463" t="n">
        <v>0</v>
      </c>
      <c r="M463" t="n">
        <v>0</v>
      </c>
      <c r="N463" t="n">
        <v>0</v>
      </c>
      <c r="O463" t="n">
        <v>0</v>
      </c>
      <c r="P463" t="n">
        <v>0</v>
      </c>
      <c r="Q463" t="n">
        <v>0</v>
      </c>
      <c r="R463" s="2" t="inlineStr"/>
    </row>
    <row r="464" ht="15" customHeight="1">
      <c r="A464" t="inlineStr">
        <is>
          <t>A 35976-2024</t>
        </is>
      </c>
      <c r="B464" s="1" t="n">
        <v>45533.49555555556</v>
      </c>
      <c r="C464" s="1" t="n">
        <v>46188</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55556-2023</t>
        </is>
      </c>
      <c r="B465" s="1" t="n">
        <v>45232</v>
      </c>
      <c r="C465" s="1" t="n">
        <v>46188</v>
      </c>
      <c r="D465" t="inlineStr">
        <is>
          <t>VÄSTMANLANDS LÄN</t>
        </is>
      </c>
      <c r="E465" t="inlineStr">
        <is>
          <t>SALA</t>
        </is>
      </c>
      <c r="G465" t="n">
        <v>1.3</v>
      </c>
      <c r="H465" t="n">
        <v>0</v>
      </c>
      <c r="I465" t="n">
        <v>0</v>
      </c>
      <c r="J465" t="n">
        <v>0</v>
      </c>
      <c r="K465" t="n">
        <v>0</v>
      </c>
      <c r="L465" t="n">
        <v>0</v>
      </c>
      <c r="M465" t="n">
        <v>0</v>
      </c>
      <c r="N465" t="n">
        <v>0</v>
      </c>
      <c r="O465" t="n">
        <v>0</v>
      </c>
      <c r="P465" t="n">
        <v>0</v>
      </c>
      <c r="Q465" t="n">
        <v>0</v>
      </c>
      <c r="R465" s="2" t="inlineStr"/>
    </row>
    <row r="466" ht="15" customHeight="1">
      <c r="A466" t="inlineStr">
        <is>
          <t>A 25228-2026</t>
        </is>
      </c>
      <c r="B466" s="1" t="n">
        <v>46171</v>
      </c>
      <c r="C466" s="1" t="n">
        <v>46188</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50479-2022</t>
        </is>
      </c>
      <c r="B467" s="1" t="n">
        <v>44861</v>
      </c>
      <c r="C467" s="1" t="n">
        <v>46188</v>
      </c>
      <c r="D467" t="inlineStr">
        <is>
          <t>VÄSTMANLANDS LÄN</t>
        </is>
      </c>
      <c r="E467" t="inlineStr">
        <is>
          <t>SALA</t>
        </is>
      </c>
      <c r="G467" t="n">
        <v>0.9</v>
      </c>
      <c r="H467" t="n">
        <v>0</v>
      </c>
      <c r="I467" t="n">
        <v>0</v>
      </c>
      <c r="J467" t="n">
        <v>0</v>
      </c>
      <c r="K467" t="n">
        <v>0</v>
      </c>
      <c r="L467" t="n">
        <v>0</v>
      </c>
      <c r="M467" t="n">
        <v>0</v>
      </c>
      <c r="N467" t="n">
        <v>0</v>
      </c>
      <c r="O467" t="n">
        <v>0</v>
      </c>
      <c r="P467" t="n">
        <v>0</v>
      </c>
      <c r="Q467" t="n">
        <v>0</v>
      </c>
      <c r="R467" s="2" t="inlineStr"/>
    </row>
    <row r="468" ht="15" customHeight="1">
      <c r="A468" t="inlineStr">
        <is>
          <t>A 45790-2023</t>
        </is>
      </c>
      <c r="B468" s="1" t="n">
        <v>45195.45958333334</v>
      </c>
      <c r="C468" s="1" t="n">
        <v>46188</v>
      </c>
      <c r="D468" t="inlineStr">
        <is>
          <t>VÄSTMANLANDS LÄN</t>
        </is>
      </c>
      <c r="E468" t="inlineStr">
        <is>
          <t>SALA</t>
        </is>
      </c>
      <c r="G468" t="n">
        <v>5.7</v>
      </c>
      <c r="H468" t="n">
        <v>0</v>
      </c>
      <c r="I468" t="n">
        <v>0</v>
      </c>
      <c r="J468" t="n">
        <v>0</v>
      </c>
      <c r="K468" t="n">
        <v>0</v>
      </c>
      <c r="L468" t="n">
        <v>0</v>
      </c>
      <c r="M468" t="n">
        <v>0</v>
      </c>
      <c r="N468" t="n">
        <v>0</v>
      </c>
      <c r="O468" t="n">
        <v>0</v>
      </c>
      <c r="P468" t="n">
        <v>0</v>
      </c>
      <c r="Q468" t="n">
        <v>0</v>
      </c>
      <c r="R468" s="2" t="inlineStr"/>
    </row>
    <row r="469" ht="15" customHeight="1">
      <c r="A469" t="inlineStr">
        <is>
          <t>A 2928-2024</t>
        </is>
      </c>
      <c r="B469" s="1" t="n">
        <v>45315.59041666667</v>
      </c>
      <c r="C469" s="1" t="n">
        <v>46188</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73673-2021</t>
        </is>
      </c>
      <c r="B470" s="1" t="n">
        <v>44552.46501157407</v>
      </c>
      <c r="C470" s="1" t="n">
        <v>46188</v>
      </c>
      <c r="D470" t="inlineStr">
        <is>
          <t>VÄSTMANLANDS LÄN</t>
        </is>
      </c>
      <c r="E470" t="inlineStr">
        <is>
          <t>SALA</t>
        </is>
      </c>
      <c r="G470" t="n">
        <v>11.4</v>
      </c>
      <c r="H470" t="n">
        <v>0</v>
      </c>
      <c r="I470" t="n">
        <v>0</v>
      </c>
      <c r="J470" t="n">
        <v>0</v>
      </c>
      <c r="K470" t="n">
        <v>0</v>
      </c>
      <c r="L470" t="n">
        <v>0</v>
      </c>
      <c r="M470" t="n">
        <v>0</v>
      </c>
      <c r="N470" t="n">
        <v>0</v>
      </c>
      <c r="O470" t="n">
        <v>0</v>
      </c>
      <c r="P470" t="n">
        <v>0</v>
      </c>
      <c r="Q470" t="n">
        <v>0</v>
      </c>
      <c r="R470" s="2" t="inlineStr"/>
    </row>
    <row r="471" ht="15" customHeight="1">
      <c r="A471" t="inlineStr">
        <is>
          <t>A 25227-2026</t>
        </is>
      </c>
      <c r="B471" s="1" t="n">
        <v>46171</v>
      </c>
      <c r="C471" s="1" t="n">
        <v>46188</v>
      </c>
      <c r="D471" t="inlineStr">
        <is>
          <t>VÄSTMANLANDS LÄN</t>
        </is>
      </c>
      <c r="E471" t="inlineStr">
        <is>
          <t>SALA</t>
        </is>
      </c>
      <c r="G471" t="n">
        <v>2.9</v>
      </c>
      <c r="H471" t="n">
        <v>0</v>
      </c>
      <c r="I471" t="n">
        <v>0</v>
      </c>
      <c r="J471" t="n">
        <v>0</v>
      </c>
      <c r="K471" t="n">
        <v>0</v>
      </c>
      <c r="L471" t="n">
        <v>0</v>
      </c>
      <c r="M471" t="n">
        <v>0</v>
      </c>
      <c r="N471" t="n">
        <v>0</v>
      </c>
      <c r="O471" t="n">
        <v>0</v>
      </c>
      <c r="P471" t="n">
        <v>0</v>
      </c>
      <c r="Q471" t="n">
        <v>0</v>
      </c>
      <c r="R471" s="2" t="inlineStr"/>
    </row>
    <row r="472" ht="15" customHeight="1">
      <c r="A472" t="inlineStr">
        <is>
          <t>A 40871-2021</t>
        </is>
      </c>
      <c r="B472" s="1" t="n">
        <v>44421</v>
      </c>
      <c r="C472" s="1" t="n">
        <v>46188</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73673-2021</t>
        </is>
      </c>
      <c r="B473" s="1" t="n">
        <v>44552.46501157407</v>
      </c>
      <c r="C473" s="1" t="n">
        <v>46188</v>
      </c>
      <c r="D473" t="inlineStr">
        <is>
          <t>VÄSTMANLANDS LÄN</t>
        </is>
      </c>
      <c r="E473" t="inlineStr">
        <is>
          <t>SALA</t>
        </is>
      </c>
      <c r="G473" t="n">
        <v>11.4</v>
      </c>
      <c r="H473" t="n">
        <v>0</v>
      </c>
      <c r="I473" t="n">
        <v>0</v>
      </c>
      <c r="J473" t="n">
        <v>0</v>
      </c>
      <c r="K473" t="n">
        <v>0</v>
      </c>
      <c r="L473" t="n">
        <v>0</v>
      </c>
      <c r="M473" t="n">
        <v>0</v>
      </c>
      <c r="N473" t="n">
        <v>0</v>
      </c>
      <c r="O473" t="n">
        <v>0</v>
      </c>
      <c r="P473" t="n">
        <v>0</v>
      </c>
      <c r="Q473" t="n">
        <v>0</v>
      </c>
      <c r="R473" s="2" t="inlineStr"/>
    </row>
    <row r="474" ht="15" customHeight="1">
      <c r="A474" t="inlineStr">
        <is>
          <t>A 14271-2025</t>
        </is>
      </c>
      <c r="B474" s="1" t="n">
        <v>45740.64129629629</v>
      </c>
      <c r="C474" s="1" t="n">
        <v>46188</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6132-2025</t>
        </is>
      </c>
      <c r="B475" s="1" t="n">
        <v>45698</v>
      </c>
      <c r="C475" s="1" t="n">
        <v>46188</v>
      </c>
      <c r="D475" t="inlineStr">
        <is>
          <t>VÄSTMANLANDS LÄN</t>
        </is>
      </c>
      <c r="E475" t="inlineStr">
        <is>
          <t>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54199-2024</t>
        </is>
      </c>
      <c r="B476" s="1" t="n">
        <v>45616.64703703704</v>
      </c>
      <c r="C476" s="1" t="n">
        <v>46188</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6312-2025</t>
        </is>
      </c>
      <c r="B477" s="1" t="n">
        <v>45698</v>
      </c>
      <c r="C477" s="1" t="n">
        <v>46188</v>
      </c>
      <c r="D477" t="inlineStr">
        <is>
          <t>VÄSTMANLANDS LÄN</t>
        </is>
      </c>
      <c r="E477" t="inlineStr">
        <is>
          <t>SALA</t>
        </is>
      </c>
      <c r="G477" t="n">
        <v>1.2</v>
      </c>
      <c r="H477" t="n">
        <v>0</v>
      </c>
      <c r="I477" t="n">
        <v>0</v>
      </c>
      <c r="J477" t="n">
        <v>0</v>
      </c>
      <c r="K477" t="n">
        <v>0</v>
      </c>
      <c r="L477" t="n">
        <v>0</v>
      </c>
      <c r="M477" t="n">
        <v>0</v>
      </c>
      <c r="N477" t="n">
        <v>0</v>
      </c>
      <c r="O477" t="n">
        <v>0</v>
      </c>
      <c r="P477" t="n">
        <v>0</v>
      </c>
      <c r="Q477" t="n">
        <v>0</v>
      </c>
      <c r="R477" s="2" t="inlineStr"/>
    </row>
    <row r="478" ht="15" customHeight="1">
      <c r="A478" t="inlineStr">
        <is>
          <t>A 44857-2023</t>
        </is>
      </c>
      <c r="B478" s="1" t="n">
        <v>45190.58479166667</v>
      </c>
      <c r="C478" s="1" t="n">
        <v>46188</v>
      </c>
      <c r="D478" t="inlineStr">
        <is>
          <t>VÄSTMANLANDS LÄN</t>
        </is>
      </c>
      <c r="E478" t="inlineStr">
        <is>
          <t>SALA</t>
        </is>
      </c>
      <c r="G478" t="n">
        <v>1</v>
      </c>
      <c r="H478" t="n">
        <v>0</v>
      </c>
      <c r="I478" t="n">
        <v>0</v>
      </c>
      <c r="J478" t="n">
        <v>0</v>
      </c>
      <c r="K478" t="n">
        <v>0</v>
      </c>
      <c r="L478" t="n">
        <v>0</v>
      </c>
      <c r="M478" t="n">
        <v>0</v>
      </c>
      <c r="N478" t="n">
        <v>0</v>
      </c>
      <c r="O478" t="n">
        <v>0</v>
      </c>
      <c r="P478" t="n">
        <v>0</v>
      </c>
      <c r="Q478" t="n">
        <v>0</v>
      </c>
      <c r="R478" s="2" t="inlineStr"/>
    </row>
    <row r="479" ht="15" customHeight="1">
      <c r="A479" t="inlineStr">
        <is>
          <t>A 62654-2022</t>
        </is>
      </c>
      <c r="B479" s="1" t="n">
        <v>44917</v>
      </c>
      <c r="C479" s="1" t="n">
        <v>46188</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43188-2023</t>
        </is>
      </c>
      <c r="B480" s="1" t="n">
        <v>45183</v>
      </c>
      <c r="C480" s="1" t="n">
        <v>46188</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43205-2023</t>
        </is>
      </c>
      <c r="B481" s="1" t="n">
        <v>45183</v>
      </c>
      <c r="C481" s="1" t="n">
        <v>46188</v>
      </c>
      <c r="D481" t="inlineStr">
        <is>
          <t>VÄSTMANLANDS LÄN</t>
        </is>
      </c>
      <c r="E481" t="inlineStr">
        <is>
          <t>SALA</t>
        </is>
      </c>
      <c r="G481" t="n">
        <v>2.1</v>
      </c>
      <c r="H481" t="n">
        <v>0</v>
      </c>
      <c r="I481" t="n">
        <v>0</v>
      </c>
      <c r="J481" t="n">
        <v>0</v>
      </c>
      <c r="K481" t="n">
        <v>0</v>
      </c>
      <c r="L481" t="n">
        <v>0</v>
      </c>
      <c r="M481" t="n">
        <v>0</v>
      </c>
      <c r="N481" t="n">
        <v>0</v>
      </c>
      <c r="O481" t="n">
        <v>0</v>
      </c>
      <c r="P481" t="n">
        <v>0</v>
      </c>
      <c r="Q481" t="n">
        <v>0</v>
      </c>
      <c r="R481" s="2" t="inlineStr"/>
    </row>
    <row r="482" ht="15" customHeight="1">
      <c r="A482" t="inlineStr">
        <is>
          <t>A 61892-2021</t>
        </is>
      </c>
      <c r="B482" s="1" t="n">
        <v>44502</v>
      </c>
      <c r="C482" s="1" t="n">
        <v>46188</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29213-2022</t>
        </is>
      </c>
      <c r="B483" s="1" t="n">
        <v>44750.57474537037</v>
      </c>
      <c r="C483" s="1" t="n">
        <v>46188</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59483-2022</t>
        </is>
      </c>
      <c r="B484" s="1" t="n">
        <v>44907.45679398148</v>
      </c>
      <c r="C484" s="1" t="n">
        <v>46188</v>
      </c>
      <c r="D484" t="inlineStr">
        <is>
          <t>VÄSTMANLANDS LÄN</t>
        </is>
      </c>
      <c r="E484" t="inlineStr">
        <is>
          <t>SALA</t>
        </is>
      </c>
      <c r="G484" t="n">
        <v>5.2</v>
      </c>
      <c r="H484" t="n">
        <v>0</v>
      </c>
      <c r="I484" t="n">
        <v>0</v>
      </c>
      <c r="J484" t="n">
        <v>0</v>
      </c>
      <c r="K484" t="n">
        <v>0</v>
      </c>
      <c r="L484" t="n">
        <v>0</v>
      </c>
      <c r="M484" t="n">
        <v>0</v>
      </c>
      <c r="N484" t="n">
        <v>0</v>
      </c>
      <c r="O484" t="n">
        <v>0</v>
      </c>
      <c r="P484" t="n">
        <v>0</v>
      </c>
      <c r="Q484" t="n">
        <v>0</v>
      </c>
      <c r="R484" s="2" t="inlineStr"/>
    </row>
    <row r="485" ht="15" customHeight="1">
      <c r="A485" t="inlineStr">
        <is>
          <t>A 16160-2024</t>
        </is>
      </c>
      <c r="B485" s="1" t="n">
        <v>45406</v>
      </c>
      <c r="C485" s="1" t="n">
        <v>46188</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22921-2023</t>
        </is>
      </c>
      <c r="B486" s="1" t="n">
        <v>45070</v>
      </c>
      <c r="C486" s="1" t="n">
        <v>46188</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36858-2023</t>
        </is>
      </c>
      <c r="B487" s="1" t="n">
        <v>45154.55184027777</v>
      </c>
      <c r="C487" s="1" t="n">
        <v>46188</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55024-2023</t>
        </is>
      </c>
      <c r="B488" s="1" t="n">
        <v>45229</v>
      </c>
      <c r="C488" s="1" t="n">
        <v>46188</v>
      </c>
      <c r="D488" t="inlineStr">
        <is>
          <t>VÄSTMANLANDS LÄN</t>
        </is>
      </c>
      <c r="E488" t="inlineStr">
        <is>
          <t>SALA</t>
        </is>
      </c>
      <c r="G488" t="n">
        <v>0.9</v>
      </c>
      <c r="H488" t="n">
        <v>0</v>
      </c>
      <c r="I488" t="n">
        <v>0</v>
      </c>
      <c r="J488" t="n">
        <v>0</v>
      </c>
      <c r="K488" t="n">
        <v>0</v>
      </c>
      <c r="L488" t="n">
        <v>0</v>
      </c>
      <c r="M488" t="n">
        <v>0</v>
      </c>
      <c r="N488" t="n">
        <v>0</v>
      </c>
      <c r="O488" t="n">
        <v>0</v>
      </c>
      <c r="P488" t="n">
        <v>0</v>
      </c>
      <c r="Q488" t="n">
        <v>0</v>
      </c>
      <c r="R488" s="2" t="inlineStr"/>
    </row>
    <row r="489" ht="15" customHeight="1">
      <c r="A489" t="inlineStr">
        <is>
          <t>A 55032-2023</t>
        </is>
      </c>
      <c r="B489" s="1" t="n">
        <v>45229</v>
      </c>
      <c r="C489" s="1" t="n">
        <v>46188</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20352-2022</t>
        </is>
      </c>
      <c r="B490" s="1" t="n">
        <v>44699.37318287037</v>
      </c>
      <c r="C490" s="1" t="n">
        <v>46188</v>
      </c>
      <c r="D490" t="inlineStr">
        <is>
          <t>VÄSTMANLANDS LÄN</t>
        </is>
      </c>
      <c r="E490" t="inlineStr">
        <is>
          <t>SALA</t>
        </is>
      </c>
      <c r="G490" t="n">
        <v>1.3</v>
      </c>
      <c r="H490" t="n">
        <v>0</v>
      </c>
      <c r="I490" t="n">
        <v>0</v>
      </c>
      <c r="J490" t="n">
        <v>0</v>
      </c>
      <c r="K490" t="n">
        <v>0</v>
      </c>
      <c r="L490" t="n">
        <v>0</v>
      </c>
      <c r="M490" t="n">
        <v>0</v>
      </c>
      <c r="N490" t="n">
        <v>0</v>
      </c>
      <c r="O490" t="n">
        <v>0</v>
      </c>
      <c r="P490" t="n">
        <v>0</v>
      </c>
      <c r="Q490" t="n">
        <v>0</v>
      </c>
      <c r="R490" s="2" t="inlineStr"/>
    </row>
    <row r="491" ht="15" customHeight="1">
      <c r="A491" t="inlineStr">
        <is>
          <t>A 17117-2023</t>
        </is>
      </c>
      <c r="B491" s="1" t="n">
        <v>45034</v>
      </c>
      <c r="C491" s="1" t="n">
        <v>46188</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39597-2022</t>
        </is>
      </c>
      <c r="B492" s="1" t="n">
        <v>44818</v>
      </c>
      <c r="C492" s="1" t="n">
        <v>46188</v>
      </c>
      <c r="D492" t="inlineStr">
        <is>
          <t>VÄSTMANLANDS LÄN</t>
        </is>
      </c>
      <c r="E492" t="inlineStr">
        <is>
          <t>SALA</t>
        </is>
      </c>
      <c r="G492" t="n">
        <v>2.3</v>
      </c>
      <c r="H492" t="n">
        <v>0</v>
      </c>
      <c r="I492" t="n">
        <v>0</v>
      </c>
      <c r="J492" t="n">
        <v>0</v>
      </c>
      <c r="K492" t="n">
        <v>0</v>
      </c>
      <c r="L492" t="n">
        <v>0</v>
      </c>
      <c r="M492" t="n">
        <v>0</v>
      </c>
      <c r="N492" t="n">
        <v>0</v>
      </c>
      <c r="O492" t="n">
        <v>0</v>
      </c>
      <c r="P492" t="n">
        <v>0</v>
      </c>
      <c r="Q492" t="n">
        <v>0</v>
      </c>
      <c r="R492" s="2" t="inlineStr"/>
    </row>
    <row r="493" ht="15" customHeight="1">
      <c r="A493" t="inlineStr">
        <is>
          <t>A 39597-2022</t>
        </is>
      </c>
      <c r="B493" s="1" t="n">
        <v>44818</v>
      </c>
      <c r="C493" s="1" t="n">
        <v>46188</v>
      </c>
      <c r="D493" t="inlineStr">
        <is>
          <t>VÄSTMANLANDS LÄN</t>
        </is>
      </c>
      <c r="E493" t="inlineStr">
        <is>
          <t>SALA</t>
        </is>
      </c>
      <c r="G493" t="n">
        <v>2.3</v>
      </c>
      <c r="H493" t="n">
        <v>0</v>
      </c>
      <c r="I493" t="n">
        <v>0</v>
      </c>
      <c r="J493" t="n">
        <v>0</v>
      </c>
      <c r="K493" t="n">
        <v>0</v>
      </c>
      <c r="L493" t="n">
        <v>0</v>
      </c>
      <c r="M493" t="n">
        <v>0</v>
      </c>
      <c r="N493" t="n">
        <v>0</v>
      </c>
      <c r="O493" t="n">
        <v>0</v>
      </c>
      <c r="P493" t="n">
        <v>0</v>
      </c>
      <c r="Q493" t="n">
        <v>0</v>
      </c>
      <c r="R493" s="2" t="inlineStr"/>
    </row>
    <row r="494" ht="15" customHeight="1">
      <c r="A494" t="inlineStr">
        <is>
          <t>A 36393-2023</t>
        </is>
      </c>
      <c r="B494" s="1" t="n">
        <v>45152</v>
      </c>
      <c r="C494" s="1" t="n">
        <v>46188</v>
      </c>
      <c r="D494" t="inlineStr">
        <is>
          <t>VÄSTMANLANDS LÄN</t>
        </is>
      </c>
      <c r="E494" t="inlineStr">
        <is>
          <t>SALA</t>
        </is>
      </c>
      <c r="G494" t="n">
        <v>0.9</v>
      </c>
      <c r="H494" t="n">
        <v>0</v>
      </c>
      <c r="I494" t="n">
        <v>0</v>
      </c>
      <c r="J494" t="n">
        <v>0</v>
      </c>
      <c r="K494" t="n">
        <v>0</v>
      </c>
      <c r="L494" t="n">
        <v>0</v>
      </c>
      <c r="M494" t="n">
        <v>0</v>
      </c>
      <c r="N494" t="n">
        <v>0</v>
      </c>
      <c r="O494" t="n">
        <v>0</v>
      </c>
      <c r="P494" t="n">
        <v>0</v>
      </c>
      <c r="Q494" t="n">
        <v>0</v>
      </c>
      <c r="R494" s="2" t="inlineStr"/>
    </row>
    <row r="495" ht="15" customHeight="1">
      <c r="A495" t="inlineStr">
        <is>
          <t>A 26416-2023</t>
        </is>
      </c>
      <c r="B495" s="1" t="n">
        <v>45092.38087962963</v>
      </c>
      <c r="C495" s="1" t="n">
        <v>46188</v>
      </c>
      <c r="D495" t="inlineStr">
        <is>
          <t>VÄSTMANLANDS LÄN</t>
        </is>
      </c>
      <c r="E495" t="inlineStr">
        <is>
          <t>SALA</t>
        </is>
      </c>
      <c r="G495" t="n">
        <v>2.9</v>
      </c>
      <c r="H495" t="n">
        <v>0</v>
      </c>
      <c r="I495" t="n">
        <v>0</v>
      </c>
      <c r="J495" t="n">
        <v>0</v>
      </c>
      <c r="K495" t="n">
        <v>0</v>
      </c>
      <c r="L495" t="n">
        <v>0</v>
      </c>
      <c r="M495" t="n">
        <v>0</v>
      </c>
      <c r="N495" t="n">
        <v>0</v>
      </c>
      <c r="O495" t="n">
        <v>0</v>
      </c>
      <c r="P495" t="n">
        <v>0</v>
      </c>
      <c r="Q495" t="n">
        <v>0</v>
      </c>
      <c r="R495" s="2" t="inlineStr"/>
    </row>
    <row r="496" ht="15" customHeight="1">
      <c r="A496" t="inlineStr">
        <is>
          <t>A 43129-2025</t>
        </is>
      </c>
      <c r="B496" s="1" t="n">
        <v>45909</v>
      </c>
      <c r="C496" s="1" t="n">
        <v>46188</v>
      </c>
      <c r="D496" t="inlineStr">
        <is>
          <t>VÄSTMANLANDS LÄN</t>
        </is>
      </c>
      <c r="E496" t="inlineStr">
        <is>
          <t>SALA</t>
        </is>
      </c>
      <c r="G496" t="n">
        <v>2.4</v>
      </c>
      <c r="H496" t="n">
        <v>0</v>
      </c>
      <c r="I496" t="n">
        <v>0</v>
      </c>
      <c r="J496" t="n">
        <v>0</v>
      </c>
      <c r="K496" t="n">
        <v>0</v>
      </c>
      <c r="L496" t="n">
        <v>0</v>
      </c>
      <c r="M496" t="n">
        <v>0</v>
      </c>
      <c r="N496" t="n">
        <v>0</v>
      </c>
      <c r="O496" t="n">
        <v>0</v>
      </c>
      <c r="P496" t="n">
        <v>0</v>
      </c>
      <c r="Q496" t="n">
        <v>0</v>
      </c>
      <c r="R496" s="2" t="inlineStr"/>
    </row>
    <row r="497" ht="15" customHeight="1">
      <c r="A497" t="inlineStr">
        <is>
          <t>A 28661-2024</t>
        </is>
      </c>
      <c r="B497" s="1" t="n">
        <v>45478</v>
      </c>
      <c r="C497" s="1" t="n">
        <v>46188</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27255-2023</t>
        </is>
      </c>
      <c r="B498" s="1" t="n">
        <v>45096</v>
      </c>
      <c r="C498" s="1" t="n">
        <v>46188</v>
      </c>
      <c r="D498" t="inlineStr">
        <is>
          <t>VÄSTMANLANDS LÄN</t>
        </is>
      </c>
      <c r="E498" t="inlineStr">
        <is>
          <t>SALA</t>
        </is>
      </c>
      <c r="F498" t="inlineStr">
        <is>
          <t>Sveaskog</t>
        </is>
      </c>
      <c r="G498" t="n">
        <v>2.3</v>
      </c>
      <c r="H498" t="n">
        <v>0</v>
      </c>
      <c r="I498" t="n">
        <v>0</v>
      </c>
      <c r="J498" t="n">
        <v>0</v>
      </c>
      <c r="K498" t="n">
        <v>0</v>
      </c>
      <c r="L498" t="n">
        <v>0</v>
      </c>
      <c r="M498" t="n">
        <v>0</v>
      </c>
      <c r="N498" t="n">
        <v>0</v>
      </c>
      <c r="O498" t="n">
        <v>0</v>
      </c>
      <c r="P498" t="n">
        <v>0</v>
      </c>
      <c r="Q498" t="n">
        <v>0</v>
      </c>
      <c r="R498" s="2" t="inlineStr"/>
    </row>
    <row r="499" ht="15" customHeight="1">
      <c r="A499" t="inlineStr">
        <is>
          <t>A 40157-2021</t>
        </is>
      </c>
      <c r="B499" s="1" t="n">
        <v>44418.65399305556</v>
      </c>
      <c r="C499" s="1" t="n">
        <v>46188</v>
      </c>
      <c r="D499" t="inlineStr">
        <is>
          <t>VÄSTMANLANDS LÄN</t>
        </is>
      </c>
      <c r="E499" t="inlineStr">
        <is>
          <t>SALA</t>
        </is>
      </c>
      <c r="G499" t="n">
        <v>1.7</v>
      </c>
      <c r="H499" t="n">
        <v>0</v>
      </c>
      <c r="I499" t="n">
        <v>0</v>
      </c>
      <c r="J499" t="n">
        <v>0</v>
      </c>
      <c r="K499" t="n">
        <v>0</v>
      </c>
      <c r="L499" t="n">
        <v>0</v>
      </c>
      <c r="M499" t="n">
        <v>0</v>
      </c>
      <c r="N499" t="n">
        <v>0</v>
      </c>
      <c r="O499" t="n">
        <v>0</v>
      </c>
      <c r="P499" t="n">
        <v>0</v>
      </c>
      <c r="Q499" t="n">
        <v>0</v>
      </c>
      <c r="R499" s="2" t="inlineStr"/>
    </row>
    <row r="500" ht="15" customHeight="1">
      <c r="A500" t="inlineStr">
        <is>
          <t>A 7197-2025</t>
        </is>
      </c>
      <c r="B500" s="1" t="n">
        <v>45702</v>
      </c>
      <c r="C500" s="1" t="n">
        <v>46188</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38636-2024</t>
        </is>
      </c>
      <c r="B501" s="1" t="n">
        <v>45546</v>
      </c>
      <c r="C501" s="1" t="n">
        <v>46188</v>
      </c>
      <c r="D501" t="inlineStr">
        <is>
          <t>VÄSTMANLANDS LÄN</t>
        </is>
      </c>
      <c r="E501" t="inlineStr">
        <is>
          <t>SALA</t>
        </is>
      </c>
      <c r="G501" t="n">
        <v>0.7</v>
      </c>
      <c r="H501" t="n">
        <v>0</v>
      </c>
      <c r="I501" t="n">
        <v>0</v>
      </c>
      <c r="J501" t="n">
        <v>0</v>
      </c>
      <c r="K501" t="n">
        <v>0</v>
      </c>
      <c r="L501" t="n">
        <v>0</v>
      </c>
      <c r="M501" t="n">
        <v>0</v>
      </c>
      <c r="N501" t="n">
        <v>0</v>
      </c>
      <c r="O501" t="n">
        <v>0</v>
      </c>
      <c r="P501" t="n">
        <v>0</v>
      </c>
      <c r="Q501" t="n">
        <v>0</v>
      </c>
      <c r="R501" s="2" t="inlineStr"/>
    </row>
    <row r="502" ht="15" customHeight="1">
      <c r="A502" t="inlineStr">
        <is>
          <t>A 13752-2025</t>
        </is>
      </c>
      <c r="B502" s="1" t="n">
        <v>45737.41416666667</v>
      </c>
      <c r="C502" s="1" t="n">
        <v>46188</v>
      </c>
      <c r="D502" t="inlineStr">
        <is>
          <t>VÄSTMANLANDS LÄN</t>
        </is>
      </c>
      <c r="E502" t="inlineStr">
        <is>
          <t>SALA</t>
        </is>
      </c>
      <c r="G502" t="n">
        <v>0.4</v>
      </c>
      <c r="H502" t="n">
        <v>0</v>
      </c>
      <c r="I502" t="n">
        <v>0</v>
      </c>
      <c r="J502" t="n">
        <v>0</v>
      </c>
      <c r="K502" t="n">
        <v>0</v>
      </c>
      <c r="L502" t="n">
        <v>0</v>
      </c>
      <c r="M502" t="n">
        <v>0</v>
      </c>
      <c r="N502" t="n">
        <v>0</v>
      </c>
      <c r="O502" t="n">
        <v>0</v>
      </c>
      <c r="P502" t="n">
        <v>0</v>
      </c>
      <c r="Q502" t="n">
        <v>0</v>
      </c>
      <c r="R502" s="2" t="inlineStr"/>
    </row>
    <row r="503" ht="15" customHeight="1">
      <c r="A503" t="inlineStr">
        <is>
          <t>A 2927-2024</t>
        </is>
      </c>
      <c r="B503" s="1" t="n">
        <v>45315.58989583333</v>
      </c>
      <c r="C503" s="1" t="n">
        <v>46188</v>
      </c>
      <c r="D503" t="inlineStr">
        <is>
          <t>VÄSTMANLANDS LÄN</t>
        </is>
      </c>
      <c r="E503" t="inlineStr">
        <is>
          <t>SALA</t>
        </is>
      </c>
      <c r="G503" t="n">
        <v>2.5</v>
      </c>
      <c r="H503" t="n">
        <v>0</v>
      </c>
      <c r="I503" t="n">
        <v>0</v>
      </c>
      <c r="J503" t="n">
        <v>0</v>
      </c>
      <c r="K503" t="n">
        <v>0</v>
      </c>
      <c r="L503" t="n">
        <v>0</v>
      </c>
      <c r="M503" t="n">
        <v>0</v>
      </c>
      <c r="N503" t="n">
        <v>0</v>
      </c>
      <c r="O503" t="n">
        <v>0</v>
      </c>
      <c r="P503" t="n">
        <v>0</v>
      </c>
      <c r="Q503" t="n">
        <v>0</v>
      </c>
      <c r="R503" s="2" t="inlineStr"/>
    </row>
    <row r="504" ht="15" customHeight="1">
      <c r="A504" t="inlineStr">
        <is>
          <t>A 26854-2024</t>
        </is>
      </c>
      <c r="B504" s="1" t="n">
        <v>45470</v>
      </c>
      <c r="C504" s="1" t="n">
        <v>46188</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57883-2024</t>
        </is>
      </c>
      <c r="B505" s="1" t="n">
        <v>45630</v>
      </c>
      <c r="C505" s="1" t="n">
        <v>46188</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18877-2023</t>
        </is>
      </c>
      <c r="B506" s="1" t="n">
        <v>45044</v>
      </c>
      <c r="C506" s="1" t="n">
        <v>46188</v>
      </c>
      <c r="D506" t="inlineStr">
        <is>
          <t>VÄSTMANLANDS LÄN</t>
        </is>
      </c>
      <c r="E506" t="inlineStr">
        <is>
          <t>SALA</t>
        </is>
      </c>
      <c r="F506" t="inlineStr">
        <is>
          <t>Kommuner</t>
        </is>
      </c>
      <c r="G506" t="n">
        <v>4.4</v>
      </c>
      <c r="H506" t="n">
        <v>0</v>
      </c>
      <c r="I506" t="n">
        <v>0</v>
      </c>
      <c r="J506" t="n">
        <v>0</v>
      </c>
      <c r="K506" t="n">
        <v>0</v>
      </c>
      <c r="L506" t="n">
        <v>0</v>
      </c>
      <c r="M506" t="n">
        <v>0</v>
      </c>
      <c r="N506" t="n">
        <v>0</v>
      </c>
      <c r="O506" t="n">
        <v>0</v>
      </c>
      <c r="P506" t="n">
        <v>0</v>
      </c>
      <c r="Q506" t="n">
        <v>0</v>
      </c>
      <c r="R506" s="2" t="inlineStr"/>
    </row>
    <row r="507" ht="15" customHeight="1">
      <c r="A507" t="inlineStr">
        <is>
          <t>A 30866-2025</t>
        </is>
      </c>
      <c r="B507" s="1" t="n">
        <v>45832.3246875</v>
      </c>
      <c r="C507" s="1" t="n">
        <v>46188</v>
      </c>
      <c r="D507" t="inlineStr">
        <is>
          <t>VÄSTMANLANDS LÄN</t>
        </is>
      </c>
      <c r="E507" t="inlineStr">
        <is>
          <t>SALA</t>
        </is>
      </c>
      <c r="G507" t="n">
        <v>14.3</v>
      </c>
      <c r="H507" t="n">
        <v>0</v>
      </c>
      <c r="I507" t="n">
        <v>0</v>
      </c>
      <c r="J507" t="n">
        <v>0</v>
      </c>
      <c r="K507" t="n">
        <v>0</v>
      </c>
      <c r="L507" t="n">
        <v>0</v>
      </c>
      <c r="M507" t="n">
        <v>0</v>
      </c>
      <c r="N507" t="n">
        <v>0</v>
      </c>
      <c r="O507" t="n">
        <v>0</v>
      </c>
      <c r="P507" t="n">
        <v>0</v>
      </c>
      <c r="Q507" t="n">
        <v>0</v>
      </c>
      <c r="R507" s="2" t="inlineStr"/>
    </row>
    <row r="508" ht="15" customHeight="1">
      <c r="A508" t="inlineStr">
        <is>
          <t>A 43122-2025</t>
        </is>
      </c>
      <c r="B508" s="1" t="n">
        <v>45909</v>
      </c>
      <c r="C508" s="1" t="n">
        <v>46188</v>
      </c>
      <c r="D508" t="inlineStr">
        <is>
          <t>VÄSTMANLANDS LÄN</t>
        </is>
      </c>
      <c r="E508" t="inlineStr">
        <is>
          <t>SALA</t>
        </is>
      </c>
      <c r="G508" t="n">
        <v>3.2</v>
      </c>
      <c r="H508" t="n">
        <v>0</v>
      </c>
      <c r="I508" t="n">
        <v>0</v>
      </c>
      <c r="J508" t="n">
        <v>0</v>
      </c>
      <c r="K508" t="n">
        <v>0</v>
      </c>
      <c r="L508" t="n">
        <v>0</v>
      </c>
      <c r="M508" t="n">
        <v>0</v>
      </c>
      <c r="N508" t="n">
        <v>0</v>
      </c>
      <c r="O508" t="n">
        <v>0</v>
      </c>
      <c r="P508" t="n">
        <v>0</v>
      </c>
      <c r="Q508" t="n">
        <v>0</v>
      </c>
      <c r="R508" s="2" t="inlineStr"/>
    </row>
    <row r="509" ht="15" customHeight="1">
      <c r="A509" t="inlineStr">
        <is>
          <t>A 19304-2025</t>
        </is>
      </c>
      <c r="B509" s="1" t="n">
        <v>45769</v>
      </c>
      <c r="C509" s="1" t="n">
        <v>46188</v>
      </c>
      <c r="D509" t="inlineStr">
        <is>
          <t>VÄSTMANLANDS LÄN</t>
        </is>
      </c>
      <c r="E509" t="inlineStr">
        <is>
          <t>SALA</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37103-2025</t>
        </is>
      </c>
      <c r="B510" s="1" t="n">
        <v>45875.47743055555</v>
      </c>
      <c r="C510" s="1" t="n">
        <v>46188</v>
      </c>
      <c r="D510" t="inlineStr">
        <is>
          <t>VÄSTMANLANDS LÄN</t>
        </is>
      </c>
      <c r="E510" t="inlineStr">
        <is>
          <t>SALA</t>
        </is>
      </c>
      <c r="G510" t="n">
        <v>1.9</v>
      </c>
      <c r="H510" t="n">
        <v>0</v>
      </c>
      <c r="I510" t="n">
        <v>0</v>
      </c>
      <c r="J510" t="n">
        <v>0</v>
      </c>
      <c r="K510" t="n">
        <v>0</v>
      </c>
      <c r="L510" t="n">
        <v>0</v>
      </c>
      <c r="M510" t="n">
        <v>0</v>
      </c>
      <c r="N510" t="n">
        <v>0</v>
      </c>
      <c r="O510" t="n">
        <v>0</v>
      </c>
      <c r="P510" t="n">
        <v>0</v>
      </c>
      <c r="Q510" t="n">
        <v>0</v>
      </c>
      <c r="R510" s="2" t="inlineStr"/>
    </row>
    <row r="511" ht="15" customHeight="1">
      <c r="A511" t="inlineStr">
        <is>
          <t>A 44544-2024</t>
        </is>
      </c>
      <c r="B511" s="1" t="n">
        <v>45574.46119212963</v>
      </c>
      <c r="C511" s="1" t="n">
        <v>46188</v>
      </c>
      <c r="D511" t="inlineStr">
        <is>
          <t>VÄSTMANLANDS LÄN</t>
        </is>
      </c>
      <c r="E511" t="inlineStr">
        <is>
          <t>SALA</t>
        </is>
      </c>
      <c r="G511" t="n">
        <v>3.3</v>
      </c>
      <c r="H511" t="n">
        <v>0</v>
      </c>
      <c r="I511" t="n">
        <v>0</v>
      </c>
      <c r="J511" t="n">
        <v>0</v>
      </c>
      <c r="K511" t="n">
        <v>0</v>
      </c>
      <c r="L511" t="n">
        <v>0</v>
      </c>
      <c r="M511" t="n">
        <v>0</v>
      </c>
      <c r="N511" t="n">
        <v>0</v>
      </c>
      <c r="O511" t="n">
        <v>0</v>
      </c>
      <c r="P511" t="n">
        <v>0</v>
      </c>
      <c r="Q511" t="n">
        <v>0</v>
      </c>
      <c r="R511" s="2" t="inlineStr"/>
    </row>
    <row r="512" ht="15" customHeight="1">
      <c r="A512" t="inlineStr">
        <is>
          <t>A 60379-2022</t>
        </is>
      </c>
      <c r="B512" s="1" t="n">
        <v>44910</v>
      </c>
      <c r="C512" s="1" t="n">
        <v>46188</v>
      </c>
      <c r="D512" t="inlineStr">
        <is>
          <t>VÄSTMANLANDS LÄN</t>
        </is>
      </c>
      <c r="E512" t="inlineStr">
        <is>
          <t>SALA</t>
        </is>
      </c>
      <c r="F512" t="inlineStr">
        <is>
          <t>Kyrkan</t>
        </is>
      </c>
      <c r="G512" t="n">
        <v>2.5</v>
      </c>
      <c r="H512" t="n">
        <v>0</v>
      </c>
      <c r="I512" t="n">
        <v>0</v>
      </c>
      <c r="J512" t="n">
        <v>0</v>
      </c>
      <c r="K512" t="n">
        <v>0</v>
      </c>
      <c r="L512" t="n">
        <v>0</v>
      </c>
      <c r="M512" t="n">
        <v>0</v>
      </c>
      <c r="N512" t="n">
        <v>0</v>
      </c>
      <c r="O512" t="n">
        <v>0</v>
      </c>
      <c r="P512" t="n">
        <v>0</v>
      </c>
      <c r="Q512" t="n">
        <v>0</v>
      </c>
      <c r="R512" s="2" t="inlineStr"/>
    </row>
    <row r="513" ht="15" customHeight="1">
      <c r="A513" t="inlineStr">
        <is>
          <t>A 56547-2022</t>
        </is>
      </c>
      <c r="B513" s="1" t="n">
        <v>44893.48284722222</v>
      </c>
      <c r="C513" s="1" t="n">
        <v>46188</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29542-2023</t>
        </is>
      </c>
      <c r="B514" s="1" t="n">
        <v>45098</v>
      </c>
      <c r="C514" s="1" t="n">
        <v>46188</v>
      </c>
      <c r="D514" t="inlineStr">
        <is>
          <t>VÄSTMANLANDS LÄN</t>
        </is>
      </c>
      <c r="E514" t="inlineStr">
        <is>
          <t>SALA</t>
        </is>
      </c>
      <c r="G514" t="n">
        <v>4.8</v>
      </c>
      <c r="H514" t="n">
        <v>0</v>
      </c>
      <c r="I514" t="n">
        <v>0</v>
      </c>
      <c r="J514" t="n">
        <v>0</v>
      </c>
      <c r="K514" t="n">
        <v>0</v>
      </c>
      <c r="L514" t="n">
        <v>0</v>
      </c>
      <c r="M514" t="n">
        <v>0</v>
      </c>
      <c r="N514" t="n">
        <v>0</v>
      </c>
      <c r="O514" t="n">
        <v>0</v>
      </c>
      <c r="P514" t="n">
        <v>0</v>
      </c>
      <c r="Q514" t="n">
        <v>0</v>
      </c>
      <c r="R514" s="2" t="inlineStr"/>
    </row>
    <row r="515" ht="15" customHeight="1">
      <c r="A515" t="inlineStr">
        <is>
          <t>A 16638-2023</t>
        </is>
      </c>
      <c r="B515" s="1" t="n">
        <v>45027</v>
      </c>
      <c r="C515" s="1" t="n">
        <v>46188</v>
      </c>
      <c r="D515" t="inlineStr">
        <is>
          <t>VÄSTMANLANDS LÄN</t>
        </is>
      </c>
      <c r="E515" t="inlineStr">
        <is>
          <t>SALA</t>
        </is>
      </c>
      <c r="G515" t="n">
        <v>14.8</v>
      </c>
      <c r="H515" t="n">
        <v>0</v>
      </c>
      <c r="I515" t="n">
        <v>0</v>
      </c>
      <c r="J515" t="n">
        <v>0</v>
      </c>
      <c r="K515" t="n">
        <v>0</v>
      </c>
      <c r="L515" t="n">
        <v>0</v>
      </c>
      <c r="M515" t="n">
        <v>0</v>
      </c>
      <c r="N515" t="n">
        <v>0</v>
      </c>
      <c r="O515" t="n">
        <v>0</v>
      </c>
      <c r="P515" t="n">
        <v>0</v>
      </c>
      <c r="Q515" t="n">
        <v>0</v>
      </c>
      <c r="R515" s="2" t="inlineStr"/>
    </row>
    <row r="516" ht="15" customHeight="1">
      <c r="A516" t="inlineStr">
        <is>
          <t>A 37190-2024</t>
        </is>
      </c>
      <c r="B516" s="1" t="n">
        <v>45539</v>
      </c>
      <c r="C516" s="1" t="n">
        <v>46188</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23222-2023</t>
        </is>
      </c>
      <c r="B517" s="1" t="n">
        <v>45075</v>
      </c>
      <c r="C517" s="1" t="n">
        <v>46188</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23224-2023</t>
        </is>
      </c>
      <c r="B518" s="1" t="n">
        <v>45075.65040509259</v>
      </c>
      <c r="C518" s="1" t="n">
        <v>46188</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68864-2021</t>
        </is>
      </c>
      <c r="B519" s="1" t="n">
        <v>44530</v>
      </c>
      <c r="C519" s="1" t="n">
        <v>46188</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19065-2022</t>
        </is>
      </c>
      <c r="B520" s="1" t="n">
        <v>44691.44309027777</v>
      </c>
      <c r="C520" s="1" t="n">
        <v>46188</v>
      </c>
      <c r="D520" t="inlineStr">
        <is>
          <t>VÄSTMANLANDS LÄN</t>
        </is>
      </c>
      <c r="E520" t="inlineStr">
        <is>
          <t>SALA</t>
        </is>
      </c>
      <c r="G520" t="n">
        <v>3.4</v>
      </c>
      <c r="H520" t="n">
        <v>0</v>
      </c>
      <c r="I520" t="n">
        <v>0</v>
      </c>
      <c r="J520" t="n">
        <v>0</v>
      </c>
      <c r="K520" t="n">
        <v>0</v>
      </c>
      <c r="L520" t="n">
        <v>0</v>
      </c>
      <c r="M520" t="n">
        <v>0</v>
      </c>
      <c r="N520" t="n">
        <v>0</v>
      </c>
      <c r="O520" t="n">
        <v>0</v>
      </c>
      <c r="P520" t="n">
        <v>0</v>
      </c>
      <c r="Q520" t="n">
        <v>0</v>
      </c>
      <c r="R520" s="2" t="inlineStr"/>
    </row>
    <row r="521" ht="15" customHeight="1">
      <c r="A521" t="inlineStr">
        <is>
          <t>A 26419-2026</t>
        </is>
      </c>
      <c r="B521" s="1" t="n">
        <v>46183.42546296296</v>
      </c>
      <c r="C521" s="1" t="n">
        <v>46188</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28278-2025</t>
        </is>
      </c>
      <c r="B522" s="1" t="n">
        <v>45818.58454861111</v>
      </c>
      <c r="C522" s="1" t="n">
        <v>46188</v>
      </c>
      <c r="D522" t="inlineStr">
        <is>
          <t>VÄSTMANLANDS LÄN</t>
        </is>
      </c>
      <c r="E522" t="inlineStr">
        <is>
          <t>SALA</t>
        </is>
      </c>
      <c r="G522" t="n">
        <v>7.6</v>
      </c>
      <c r="H522" t="n">
        <v>0</v>
      </c>
      <c r="I522" t="n">
        <v>0</v>
      </c>
      <c r="J522" t="n">
        <v>0</v>
      </c>
      <c r="K522" t="n">
        <v>0</v>
      </c>
      <c r="L522" t="n">
        <v>0</v>
      </c>
      <c r="M522" t="n">
        <v>0</v>
      </c>
      <c r="N522" t="n">
        <v>0</v>
      </c>
      <c r="O522" t="n">
        <v>0</v>
      </c>
      <c r="P522" t="n">
        <v>0</v>
      </c>
      <c r="Q522" t="n">
        <v>0</v>
      </c>
      <c r="R522" s="2" t="inlineStr"/>
    </row>
    <row r="523" ht="15" customHeight="1">
      <c r="A523" t="inlineStr">
        <is>
          <t>A 37602-2024</t>
        </is>
      </c>
      <c r="B523" s="1" t="n">
        <v>45541</v>
      </c>
      <c r="C523" s="1" t="n">
        <v>46188</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18762-2024</t>
        </is>
      </c>
      <c r="B524" s="1" t="n">
        <v>45426.55240740741</v>
      </c>
      <c r="C524" s="1" t="n">
        <v>46188</v>
      </c>
      <c r="D524" t="inlineStr">
        <is>
          <t>VÄSTMANLANDS LÄN</t>
        </is>
      </c>
      <c r="E524" t="inlineStr">
        <is>
          <t>SALA</t>
        </is>
      </c>
      <c r="G524" t="n">
        <v>6.2</v>
      </c>
      <c r="H524" t="n">
        <v>0</v>
      </c>
      <c r="I524" t="n">
        <v>0</v>
      </c>
      <c r="J524" t="n">
        <v>0</v>
      </c>
      <c r="K524" t="n">
        <v>0</v>
      </c>
      <c r="L524" t="n">
        <v>0</v>
      </c>
      <c r="M524" t="n">
        <v>0</v>
      </c>
      <c r="N524" t="n">
        <v>0</v>
      </c>
      <c r="O524" t="n">
        <v>0</v>
      </c>
      <c r="P524" t="n">
        <v>0</v>
      </c>
      <c r="Q524" t="n">
        <v>0</v>
      </c>
      <c r="R524" s="2" t="inlineStr"/>
    </row>
    <row r="525" ht="15" customHeight="1">
      <c r="A525" t="inlineStr">
        <is>
          <t>A 39011-2023</t>
        </is>
      </c>
      <c r="B525" s="1" t="n">
        <v>45162</v>
      </c>
      <c r="C525" s="1" t="n">
        <v>46188</v>
      </c>
      <c r="D525" t="inlineStr">
        <is>
          <t>VÄSTMANLANDS LÄN</t>
        </is>
      </c>
      <c r="E525" t="inlineStr">
        <is>
          <t>SALA</t>
        </is>
      </c>
      <c r="G525" t="n">
        <v>1.6</v>
      </c>
      <c r="H525" t="n">
        <v>0</v>
      </c>
      <c r="I525" t="n">
        <v>0</v>
      </c>
      <c r="J525" t="n">
        <v>0</v>
      </c>
      <c r="K525" t="n">
        <v>0</v>
      </c>
      <c r="L525" t="n">
        <v>0</v>
      </c>
      <c r="M525" t="n">
        <v>0</v>
      </c>
      <c r="N525" t="n">
        <v>0</v>
      </c>
      <c r="O525" t="n">
        <v>0</v>
      </c>
      <c r="P525" t="n">
        <v>0</v>
      </c>
      <c r="Q525" t="n">
        <v>0</v>
      </c>
      <c r="R525" s="2" t="inlineStr"/>
    </row>
    <row r="526" ht="15" customHeight="1">
      <c r="A526" t="inlineStr">
        <is>
          <t>A 46352-2023</t>
        </is>
      </c>
      <c r="B526" s="1" t="n">
        <v>45192</v>
      </c>
      <c r="C526" s="1" t="n">
        <v>46188</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43751-2021</t>
        </is>
      </c>
      <c r="B527" s="1" t="n">
        <v>44433</v>
      </c>
      <c r="C527" s="1" t="n">
        <v>46188</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26414-2026</t>
        </is>
      </c>
      <c r="B528" s="1" t="n">
        <v>46183.41704861111</v>
      </c>
      <c r="C528" s="1" t="n">
        <v>46188</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1128-2025</t>
        </is>
      </c>
      <c r="B529" s="1" t="n">
        <v>45666.68469907407</v>
      </c>
      <c r="C529" s="1" t="n">
        <v>46188</v>
      </c>
      <c r="D529" t="inlineStr">
        <is>
          <t>VÄSTMANLANDS LÄN</t>
        </is>
      </c>
      <c r="E529" t="inlineStr">
        <is>
          <t>SALA</t>
        </is>
      </c>
      <c r="G529" t="n">
        <v>2.5</v>
      </c>
      <c r="H529" t="n">
        <v>0</v>
      </c>
      <c r="I529" t="n">
        <v>0</v>
      </c>
      <c r="J529" t="n">
        <v>0</v>
      </c>
      <c r="K529" t="n">
        <v>0</v>
      </c>
      <c r="L529" t="n">
        <v>0</v>
      </c>
      <c r="M529" t="n">
        <v>0</v>
      </c>
      <c r="N529" t="n">
        <v>0</v>
      </c>
      <c r="O529" t="n">
        <v>0</v>
      </c>
      <c r="P529" t="n">
        <v>0</v>
      </c>
      <c r="Q529" t="n">
        <v>0</v>
      </c>
      <c r="R529" s="2" t="inlineStr"/>
    </row>
    <row r="530" ht="15" customHeight="1">
      <c r="A530" t="inlineStr">
        <is>
          <t>A 56540-2024</t>
        </is>
      </c>
      <c r="B530" s="1" t="n">
        <v>45625</v>
      </c>
      <c r="C530" s="1" t="n">
        <v>46188</v>
      </c>
      <c r="D530" t="inlineStr">
        <is>
          <t>VÄSTMANLANDS LÄN</t>
        </is>
      </c>
      <c r="E530" t="inlineStr">
        <is>
          <t>SALA</t>
        </is>
      </c>
      <c r="G530" t="n">
        <v>1.8</v>
      </c>
      <c r="H530" t="n">
        <v>0</v>
      </c>
      <c r="I530" t="n">
        <v>0</v>
      </c>
      <c r="J530" t="n">
        <v>0</v>
      </c>
      <c r="K530" t="n">
        <v>0</v>
      </c>
      <c r="L530" t="n">
        <v>0</v>
      </c>
      <c r="M530" t="n">
        <v>0</v>
      </c>
      <c r="N530" t="n">
        <v>0</v>
      </c>
      <c r="O530" t="n">
        <v>0</v>
      </c>
      <c r="P530" t="n">
        <v>0</v>
      </c>
      <c r="Q530" t="n">
        <v>0</v>
      </c>
      <c r="R530" s="2" t="inlineStr"/>
    </row>
    <row r="531" ht="15" customHeight="1">
      <c r="A531" t="inlineStr">
        <is>
          <t>A 6116-2023</t>
        </is>
      </c>
      <c r="B531" s="1" t="n">
        <v>44964</v>
      </c>
      <c r="C531" s="1" t="n">
        <v>46188</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25860-2024</t>
        </is>
      </c>
      <c r="B532" s="1" t="n">
        <v>45467.46278935186</v>
      </c>
      <c r="C532" s="1" t="n">
        <v>46188</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56916-2022</t>
        </is>
      </c>
      <c r="B533" s="1" t="n">
        <v>44888</v>
      </c>
      <c r="C533" s="1" t="n">
        <v>46188</v>
      </c>
      <c r="D533" t="inlineStr">
        <is>
          <t>VÄSTMANLANDS LÄN</t>
        </is>
      </c>
      <c r="E533" t="inlineStr">
        <is>
          <t>SALA</t>
        </is>
      </c>
      <c r="G533" t="n">
        <v>1.7</v>
      </c>
      <c r="H533" t="n">
        <v>0</v>
      </c>
      <c r="I533" t="n">
        <v>0</v>
      </c>
      <c r="J533" t="n">
        <v>0</v>
      </c>
      <c r="K533" t="n">
        <v>0</v>
      </c>
      <c r="L533" t="n">
        <v>0</v>
      </c>
      <c r="M533" t="n">
        <v>0</v>
      </c>
      <c r="N533" t="n">
        <v>0</v>
      </c>
      <c r="O533" t="n">
        <v>0</v>
      </c>
      <c r="P533" t="n">
        <v>0</v>
      </c>
      <c r="Q533" t="n">
        <v>0</v>
      </c>
      <c r="R533" s="2" t="inlineStr"/>
    </row>
    <row r="534" ht="15" customHeight="1">
      <c r="A534" t="inlineStr">
        <is>
          <t>A 71471-2021</t>
        </is>
      </c>
      <c r="B534" s="1" t="n">
        <v>44540.53421296296</v>
      </c>
      <c r="C534" s="1" t="n">
        <v>46188</v>
      </c>
      <c r="D534" t="inlineStr">
        <is>
          <t>VÄSTMANLANDS LÄN</t>
        </is>
      </c>
      <c r="E534" t="inlineStr">
        <is>
          <t>SALA</t>
        </is>
      </c>
      <c r="G534" t="n">
        <v>13</v>
      </c>
      <c r="H534" t="n">
        <v>0</v>
      </c>
      <c r="I534" t="n">
        <v>0</v>
      </c>
      <c r="J534" t="n">
        <v>0</v>
      </c>
      <c r="K534" t="n">
        <v>0</v>
      </c>
      <c r="L534" t="n">
        <v>0</v>
      </c>
      <c r="M534" t="n">
        <v>0</v>
      </c>
      <c r="N534" t="n">
        <v>0</v>
      </c>
      <c r="O534" t="n">
        <v>0</v>
      </c>
      <c r="P534" t="n">
        <v>0</v>
      </c>
      <c r="Q534" t="n">
        <v>0</v>
      </c>
      <c r="R534" s="2" t="inlineStr"/>
    </row>
    <row r="535" ht="15" customHeight="1">
      <c r="A535" t="inlineStr">
        <is>
          <t>A 13987-2023</t>
        </is>
      </c>
      <c r="B535" s="1" t="n">
        <v>45007</v>
      </c>
      <c r="C535" s="1" t="n">
        <v>46188</v>
      </c>
      <c r="D535" t="inlineStr">
        <is>
          <t>VÄSTMANLANDS LÄN</t>
        </is>
      </c>
      <c r="E535" t="inlineStr">
        <is>
          <t>SALA</t>
        </is>
      </c>
      <c r="G535" t="n">
        <v>3.2</v>
      </c>
      <c r="H535" t="n">
        <v>0</v>
      </c>
      <c r="I535" t="n">
        <v>0</v>
      </c>
      <c r="J535" t="n">
        <v>0</v>
      </c>
      <c r="K535" t="n">
        <v>0</v>
      </c>
      <c r="L535" t="n">
        <v>0</v>
      </c>
      <c r="M535" t="n">
        <v>0</v>
      </c>
      <c r="N535" t="n">
        <v>0</v>
      </c>
      <c r="O535" t="n">
        <v>0</v>
      </c>
      <c r="P535" t="n">
        <v>0</v>
      </c>
      <c r="Q535" t="n">
        <v>0</v>
      </c>
      <c r="R535" s="2" t="inlineStr"/>
    </row>
    <row r="536" ht="15" customHeight="1">
      <c r="A536" t="inlineStr">
        <is>
          <t>A 13990-2023</t>
        </is>
      </c>
      <c r="B536" s="1" t="n">
        <v>45007</v>
      </c>
      <c r="C536" s="1" t="n">
        <v>46188</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1993-2022</t>
        </is>
      </c>
      <c r="B537" s="1" t="n">
        <v>44575</v>
      </c>
      <c r="C537" s="1" t="n">
        <v>46188</v>
      </c>
      <c r="D537" t="inlineStr">
        <is>
          <t>VÄSTMANLANDS LÄN</t>
        </is>
      </c>
      <c r="E537" t="inlineStr">
        <is>
          <t>SALA</t>
        </is>
      </c>
      <c r="G537" t="n">
        <v>1.6</v>
      </c>
      <c r="H537" t="n">
        <v>0</v>
      </c>
      <c r="I537" t="n">
        <v>0</v>
      </c>
      <c r="J537" t="n">
        <v>0</v>
      </c>
      <c r="K537" t="n">
        <v>0</v>
      </c>
      <c r="L537" t="n">
        <v>0</v>
      </c>
      <c r="M537" t="n">
        <v>0</v>
      </c>
      <c r="N537" t="n">
        <v>0</v>
      </c>
      <c r="O537" t="n">
        <v>0</v>
      </c>
      <c r="P537" t="n">
        <v>0</v>
      </c>
      <c r="Q537" t="n">
        <v>0</v>
      </c>
      <c r="R537" s="2" t="inlineStr"/>
    </row>
    <row r="538" ht="15" customHeight="1">
      <c r="A538" t="inlineStr">
        <is>
          <t>A 43509-2021</t>
        </is>
      </c>
      <c r="B538" s="1" t="n">
        <v>44433</v>
      </c>
      <c r="C538" s="1" t="n">
        <v>46188</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54959-2024</t>
        </is>
      </c>
      <c r="B539" s="1" t="n">
        <v>45619</v>
      </c>
      <c r="C539" s="1" t="n">
        <v>46188</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20838-2026</t>
        </is>
      </c>
      <c r="B540" s="1" t="n">
        <v>46142.34188657408</v>
      </c>
      <c r="C540" s="1" t="n">
        <v>46188</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17120-2023</t>
        </is>
      </c>
      <c r="B541" s="1" t="n">
        <v>45034</v>
      </c>
      <c r="C541" s="1" t="n">
        <v>46188</v>
      </c>
      <c r="D541" t="inlineStr">
        <is>
          <t>VÄSTMANLANDS LÄN</t>
        </is>
      </c>
      <c r="E541" t="inlineStr">
        <is>
          <t>SALA</t>
        </is>
      </c>
      <c r="G541" t="n">
        <v>0.1</v>
      </c>
      <c r="H541" t="n">
        <v>0</v>
      </c>
      <c r="I541" t="n">
        <v>0</v>
      </c>
      <c r="J541" t="n">
        <v>0</v>
      </c>
      <c r="K541" t="n">
        <v>0</v>
      </c>
      <c r="L541" t="n">
        <v>0</v>
      </c>
      <c r="M541" t="n">
        <v>0</v>
      </c>
      <c r="N541" t="n">
        <v>0</v>
      </c>
      <c r="O541" t="n">
        <v>0</v>
      </c>
      <c r="P541" t="n">
        <v>0</v>
      </c>
      <c r="Q541" t="n">
        <v>0</v>
      </c>
      <c r="R541" s="2" t="inlineStr"/>
    </row>
    <row r="542" ht="15" customHeight="1">
      <c r="A542" t="inlineStr">
        <is>
          <t>A 34494-2023</t>
        </is>
      </c>
      <c r="B542" s="1" t="n">
        <v>45133</v>
      </c>
      <c r="C542" s="1" t="n">
        <v>46188</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10579-2022</t>
        </is>
      </c>
      <c r="B543" s="1" t="n">
        <v>44624</v>
      </c>
      <c r="C543" s="1" t="n">
        <v>46188</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9335-2022</t>
        </is>
      </c>
      <c r="B544" s="1" t="n">
        <v>44616.56579861111</v>
      </c>
      <c r="C544" s="1" t="n">
        <v>46188</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23119-2022</t>
        </is>
      </c>
      <c r="B545" s="1" t="n">
        <v>44719.56697916667</v>
      </c>
      <c r="C545" s="1" t="n">
        <v>46188</v>
      </c>
      <c r="D545" t="inlineStr">
        <is>
          <t>VÄSTMANLANDS LÄN</t>
        </is>
      </c>
      <c r="E545" t="inlineStr">
        <is>
          <t>SALA</t>
        </is>
      </c>
      <c r="G545" t="n">
        <v>7</v>
      </c>
      <c r="H545" t="n">
        <v>0</v>
      </c>
      <c r="I545" t="n">
        <v>0</v>
      </c>
      <c r="J545" t="n">
        <v>0</v>
      </c>
      <c r="K545" t="n">
        <v>0</v>
      </c>
      <c r="L545" t="n">
        <v>0</v>
      </c>
      <c r="M545" t="n">
        <v>0</v>
      </c>
      <c r="N545" t="n">
        <v>0</v>
      </c>
      <c r="O545" t="n">
        <v>0</v>
      </c>
      <c r="P545" t="n">
        <v>0</v>
      </c>
      <c r="Q545" t="n">
        <v>0</v>
      </c>
      <c r="R545" s="2" t="inlineStr"/>
    </row>
    <row r="546" ht="15" customHeight="1">
      <c r="A546" t="inlineStr">
        <is>
          <t>A 1196-2023</t>
        </is>
      </c>
      <c r="B546" s="1" t="n">
        <v>44935.82290509259</v>
      </c>
      <c r="C546" s="1" t="n">
        <v>46188</v>
      </c>
      <c r="D546" t="inlineStr">
        <is>
          <t>VÄSTMANLANDS LÄN</t>
        </is>
      </c>
      <c r="E546" t="inlineStr">
        <is>
          <t>SALA</t>
        </is>
      </c>
      <c r="G546" t="n">
        <v>4.1</v>
      </c>
      <c r="H546" t="n">
        <v>0</v>
      </c>
      <c r="I546" t="n">
        <v>0</v>
      </c>
      <c r="J546" t="n">
        <v>0</v>
      </c>
      <c r="K546" t="n">
        <v>0</v>
      </c>
      <c r="L546" t="n">
        <v>0</v>
      </c>
      <c r="M546" t="n">
        <v>0</v>
      </c>
      <c r="N546" t="n">
        <v>0</v>
      </c>
      <c r="O546" t="n">
        <v>0</v>
      </c>
      <c r="P546" t="n">
        <v>0</v>
      </c>
      <c r="Q546" t="n">
        <v>0</v>
      </c>
      <c r="R546" s="2" t="inlineStr"/>
    </row>
    <row r="547" ht="15" customHeight="1">
      <c r="A547" t="inlineStr">
        <is>
          <t>A 52503-2024</t>
        </is>
      </c>
      <c r="B547" s="1" t="n">
        <v>45609.58806712963</v>
      </c>
      <c r="C547" s="1" t="n">
        <v>46188</v>
      </c>
      <c r="D547" t="inlineStr">
        <is>
          <t>VÄSTMANLANDS LÄN</t>
        </is>
      </c>
      <c r="E547" t="inlineStr">
        <is>
          <t>SALA</t>
        </is>
      </c>
      <c r="G547" t="n">
        <v>0.8</v>
      </c>
      <c r="H547" t="n">
        <v>0</v>
      </c>
      <c r="I547" t="n">
        <v>0</v>
      </c>
      <c r="J547" t="n">
        <v>0</v>
      </c>
      <c r="K547" t="n">
        <v>0</v>
      </c>
      <c r="L547" t="n">
        <v>0</v>
      </c>
      <c r="M547" t="n">
        <v>0</v>
      </c>
      <c r="N547" t="n">
        <v>0</v>
      </c>
      <c r="O547" t="n">
        <v>0</v>
      </c>
      <c r="P547" t="n">
        <v>0</v>
      </c>
      <c r="Q547" t="n">
        <v>0</v>
      </c>
      <c r="R547" s="2" t="inlineStr"/>
    </row>
    <row r="548" ht="15" customHeight="1">
      <c r="A548" t="inlineStr">
        <is>
          <t>A 7953-2024</t>
        </is>
      </c>
      <c r="B548" s="1" t="n">
        <v>45350</v>
      </c>
      <c r="C548" s="1" t="n">
        <v>46188</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7950-2025</t>
        </is>
      </c>
      <c r="B549" s="1" t="n">
        <v>45707.41799768519</v>
      </c>
      <c r="C549" s="1" t="n">
        <v>46188</v>
      </c>
      <c r="D549" t="inlineStr">
        <is>
          <t>VÄSTMANLANDS LÄN</t>
        </is>
      </c>
      <c r="E549" t="inlineStr">
        <is>
          <t>SALA</t>
        </is>
      </c>
      <c r="G549" t="n">
        <v>3.2</v>
      </c>
      <c r="H549" t="n">
        <v>0</v>
      </c>
      <c r="I549" t="n">
        <v>0</v>
      </c>
      <c r="J549" t="n">
        <v>0</v>
      </c>
      <c r="K549" t="n">
        <v>0</v>
      </c>
      <c r="L549" t="n">
        <v>0</v>
      </c>
      <c r="M549" t="n">
        <v>0</v>
      </c>
      <c r="N549" t="n">
        <v>0</v>
      </c>
      <c r="O549" t="n">
        <v>0</v>
      </c>
      <c r="P549" t="n">
        <v>0</v>
      </c>
      <c r="Q549" t="n">
        <v>0</v>
      </c>
      <c r="R549" s="2" t="inlineStr"/>
    </row>
    <row r="550" ht="15" customHeight="1">
      <c r="A550" t="inlineStr">
        <is>
          <t>A 27657-2023</t>
        </is>
      </c>
      <c r="B550" s="1" t="n">
        <v>45097.76631944445</v>
      </c>
      <c r="C550" s="1" t="n">
        <v>46188</v>
      </c>
      <c r="D550" t="inlineStr">
        <is>
          <t>VÄSTMANLANDS LÄN</t>
        </is>
      </c>
      <c r="E550" t="inlineStr">
        <is>
          <t>SALA</t>
        </is>
      </c>
      <c r="G550" t="n">
        <v>0.1</v>
      </c>
      <c r="H550" t="n">
        <v>0</v>
      </c>
      <c r="I550" t="n">
        <v>0</v>
      </c>
      <c r="J550" t="n">
        <v>0</v>
      </c>
      <c r="K550" t="n">
        <v>0</v>
      </c>
      <c r="L550" t="n">
        <v>0</v>
      </c>
      <c r="M550" t="n">
        <v>0</v>
      </c>
      <c r="N550" t="n">
        <v>0</v>
      </c>
      <c r="O550" t="n">
        <v>0</v>
      </c>
      <c r="P550" t="n">
        <v>0</v>
      </c>
      <c r="Q550" t="n">
        <v>0</v>
      </c>
      <c r="R550" s="2" t="inlineStr"/>
    </row>
    <row r="551" ht="15" customHeight="1">
      <c r="A551" t="inlineStr">
        <is>
          <t>A 13855-2023</t>
        </is>
      </c>
      <c r="B551" s="1" t="n">
        <v>45007</v>
      </c>
      <c r="C551" s="1" t="n">
        <v>46188</v>
      </c>
      <c r="D551" t="inlineStr">
        <is>
          <t>VÄSTMANLANDS LÄN</t>
        </is>
      </c>
      <c r="E551" t="inlineStr">
        <is>
          <t>SALA</t>
        </is>
      </c>
      <c r="G551" t="n">
        <v>2.9</v>
      </c>
      <c r="H551" t="n">
        <v>0</v>
      </c>
      <c r="I551" t="n">
        <v>0</v>
      </c>
      <c r="J551" t="n">
        <v>0</v>
      </c>
      <c r="K551" t="n">
        <v>0</v>
      </c>
      <c r="L551" t="n">
        <v>0</v>
      </c>
      <c r="M551" t="n">
        <v>0</v>
      </c>
      <c r="N551" t="n">
        <v>0</v>
      </c>
      <c r="O551" t="n">
        <v>0</v>
      </c>
      <c r="P551" t="n">
        <v>0</v>
      </c>
      <c r="Q551" t="n">
        <v>0</v>
      </c>
      <c r="R551" s="2" t="inlineStr"/>
    </row>
    <row r="552" ht="15" customHeight="1">
      <c r="A552" t="inlineStr">
        <is>
          <t>A 33309-2022</t>
        </is>
      </c>
      <c r="B552" s="1" t="n">
        <v>44788.40986111111</v>
      </c>
      <c r="C552" s="1" t="n">
        <v>46188</v>
      </c>
      <c r="D552" t="inlineStr">
        <is>
          <t>VÄSTMANLANDS LÄN</t>
        </is>
      </c>
      <c r="E552" t="inlineStr">
        <is>
          <t>SALA</t>
        </is>
      </c>
      <c r="G552" t="n">
        <v>2.6</v>
      </c>
      <c r="H552" t="n">
        <v>0</v>
      </c>
      <c r="I552" t="n">
        <v>0</v>
      </c>
      <c r="J552" t="n">
        <v>0</v>
      </c>
      <c r="K552" t="n">
        <v>0</v>
      </c>
      <c r="L552" t="n">
        <v>0</v>
      </c>
      <c r="M552" t="n">
        <v>0</v>
      </c>
      <c r="N552" t="n">
        <v>0</v>
      </c>
      <c r="O552" t="n">
        <v>0</v>
      </c>
      <c r="P552" t="n">
        <v>0</v>
      </c>
      <c r="Q552" t="n">
        <v>0</v>
      </c>
      <c r="R552" s="2" t="inlineStr"/>
    </row>
    <row r="553" ht="15" customHeight="1">
      <c r="A553" t="inlineStr">
        <is>
          <t>A 47909-2022</t>
        </is>
      </c>
      <c r="B553" s="1" t="n">
        <v>44855</v>
      </c>
      <c r="C553" s="1" t="n">
        <v>46188</v>
      </c>
      <c r="D553" t="inlineStr">
        <is>
          <t>VÄSTMANLANDS LÄN</t>
        </is>
      </c>
      <c r="E553" t="inlineStr">
        <is>
          <t>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11183-2023</t>
        </is>
      </c>
      <c r="B554" s="1" t="n">
        <v>44992.57782407408</v>
      </c>
      <c r="C554" s="1" t="n">
        <v>46188</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11190-2023</t>
        </is>
      </c>
      <c r="B555" s="1" t="n">
        <v>44992</v>
      </c>
      <c r="C555" s="1" t="n">
        <v>46188</v>
      </c>
      <c r="D555" t="inlineStr">
        <is>
          <t>VÄSTMANLANDS LÄN</t>
        </is>
      </c>
      <c r="E555" t="inlineStr">
        <is>
          <t>SALA</t>
        </is>
      </c>
      <c r="G555" t="n">
        <v>1</v>
      </c>
      <c r="H555" t="n">
        <v>0</v>
      </c>
      <c r="I555" t="n">
        <v>0</v>
      </c>
      <c r="J555" t="n">
        <v>0</v>
      </c>
      <c r="K555" t="n">
        <v>0</v>
      </c>
      <c r="L555" t="n">
        <v>0</v>
      </c>
      <c r="M555" t="n">
        <v>0</v>
      </c>
      <c r="N555" t="n">
        <v>0</v>
      </c>
      <c r="O555" t="n">
        <v>0</v>
      </c>
      <c r="P555" t="n">
        <v>0</v>
      </c>
      <c r="Q555" t="n">
        <v>0</v>
      </c>
      <c r="R555" s="2" t="inlineStr"/>
    </row>
    <row r="556" ht="15" customHeight="1">
      <c r="A556" t="inlineStr">
        <is>
          <t>A 53838-2022</t>
        </is>
      </c>
      <c r="B556" s="1" t="n">
        <v>44880.59363425926</v>
      </c>
      <c r="C556" s="1" t="n">
        <v>46188</v>
      </c>
      <c r="D556" t="inlineStr">
        <is>
          <t>VÄSTMANLANDS LÄN</t>
        </is>
      </c>
      <c r="E556" t="inlineStr">
        <is>
          <t>SALA</t>
        </is>
      </c>
      <c r="G556" t="n">
        <v>3.9</v>
      </c>
      <c r="H556" t="n">
        <v>0</v>
      </c>
      <c r="I556" t="n">
        <v>0</v>
      </c>
      <c r="J556" t="n">
        <v>0</v>
      </c>
      <c r="K556" t="n">
        <v>0</v>
      </c>
      <c r="L556" t="n">
        <v>0</v>
      </c>
      <c r="M556" t="n">
        <v>0</v>
      </c>
      <c r="N556" t="n">
        <v>0</v>
      </c>
      <c r="O556" t="n">
        <v>0</v>
      </c>
      <c r="P556" t="n">
        <v>0</v>
      </c>
      <c r="Q556" t="n">
        <v>0</v>
      </c>
      <c r="R556" s="2" t="inlineStr"/>
    </row>
    <row r="557" ht="15" customHeight="1">
      <c r="A557" t="inlineStr">
        <is>
          <t>A 28827-2022</t>
        </is>
      </c>
      <c r="B557" s="1" t="n">
        <v>44749.45561342593</v>
      </c>
      <c r="C557" s="1" t="n">
        <v>46188</v>
      </c>
      <c r="D557" t="inlineStr">
        <is>
          <t>VÄSTMANLANDS LÄN</t>
        </is>
      </c>
      <c r="E557" t="inlineStr">
        <is>
          <t>SALA</t>
        </is>
      </c>
      <c r="F557" t="inlineStr">
        <is>
          <t>Kommuner</t>
        </is>
      </c>
      <c r="G557" t="n">
        <v>11.9</v>
      </c>
      <c r="H557" t="n">
        <v>0</v>
      </c>
      <c r="I557" t="n">
        <v>0</v>
      </c>
      <c r="J557" t="n">
        <v>0</v>
      </c>
      <c r="K557" t="n">
        <v>0</v>
      </c>
      <c r="L557" t="n">
        <v>0</v>
      </c>
      <c r="M557" t="n">
        <v>0</v>
      </c>
      <c r="N557" t="n">
        <v>0</v>
      </c>
      <c r="O557" t="n">
        <v>0</v>
      </c>
      <c r="P557" t="n">
        <v>0</v>
      </c>
      <c r="Q557" t="n">
        <v>0</v>
      </c>
      <c r="R557" s="2" t="inlineStr"/>
    </row>
    <row r="558" ht="15" customHeight="1">
      <c r="A558" t="inlineStr">
        <is>
          <t>A 54836-2024</t>
        </is>
      </c>
      <c r="B558" s="1" t="n">
        <v>45618</v>
      </c>
      <c r="C558" s="1" t="n">
        <v>46188</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64729-2023</t>
        </is>
      </c>
      <c r="B559" s="1" t="n">
        <v>45281</v>
      </c>
      <c r="C559" s="1" t="n">
        <v>46188</v>
      </c>
      <c r="D559" t="inlineStr">
        <is>
          <t>VÄSTMANLANDS LÄN</t>
        </is>
      </c>
      <c r="E559" t="inlineStr">
        <is>
          <t>SALA</t>
        </is>
      </c>
      <c r="G559" t="n">
        <v>1.8</v>
      </c>
      <c r="H559" t="n">
        <v>0</v>
      </c>
      <c r="I559" t="n">
        <v>0</v>
      </c>
      <c r="J559" t="n">
        <v>0</v>
      </c>
      <c r="K559" t="n">
        <v>0</v>
      </c>
      <c r="L559" t="n">
        <v>0</v>
      </c>
      <c r="M559" t="n">
        <v>0</v>
      </c>
      <c r="N559" t="n">
        <v>0</v>
      </c>
      <c r="O559" t="n">
        <v>0</v>
      </c>
      <c r="P559" t="n">
        <v>0</v>
      </c>
      <c r="Q559" t="n">
        <v>0</v>
      </c>
      <c r="R559" s="2" t="inlineStr"/>
    </row>
    <row r="560" ht="15" customHeight="1">
      <c r="A560" t="inlineStr">
        <is>
          <t>A 10585-2022</t>
        </is>
      </c>
      <c r="B560" s="1" t="n">
        <v>44624</v>
      </c>
      <c r="C560" s="1" t="n">
        <v>46188</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31609-2024</t>
        </is>
      </c>
      <c r="B561" s="1" t="n">
        <v>45506</v>
      </c>
      <c r="C561" s="1" t="n">
        <v>46188</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56057-2023</t>
        </is>
      </c>
      <c r="B562" s="1" t="n">
        <v>45233</v>
      </c>
      <c r="C562" s="1" t="n">
        <v>46188</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62635-2022</t>
        </is>
      </c>
      <c r="B563" s="1" t="n">
        <v>44917</v>
      </c>
      <c r="C563" s="1" t="n">
        <v>46188</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4852-2023</t>
        </is>
      </c>
      <c r="B564" s="1" t="n">
        <v>44957.72496527778</v>
      </c>
      <c r="C564" s="1" t="n">
        <v>46188</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39714-2023</t>
        </is>
      </c>
      <c r="B565" s="1" t="n">
        <v>45167.62133101852</v>
      </c>
      <c r="C565" s="1" t="n">
        <v>46188</v>
      </c>
      <c r="D565" t="inlineStr">
        <is>
          <t>VÄSTMANLANDS LÄN</t>
        </is>
      </c>
      <c r="E565" t="inlineStr">
        <is>
          <t>SALA</t>
        </is>
      </c>
      <c r="G565" t="n">
        <v>1.3</v>
      </c>
      <c r="H565" t="n">
        <v>0</v>
      </c>
      <c r="I565" t="n">
        <v>0</v>
      </c>
      <c r="J565" t="n">
        <v>0</v>
      </c>
      <c r="K565" t="n">
        <v>0</v>
      </c>
      <c r="L565" t="n">
        <v>0</v>
      </c>
      <c r="M565" t="n">
        <v>0</v>
      </c>
      <c r="N565" t="n">
        <v>0</v>
      </c>
      <c r="O565" t="n">
        <v>0</v>
      </c>
      <c r="P565" t="n">
        <v>0</v>
      </c>
      <c r="Q565" t="n">
        <v>0</v>
      </c>
      <c r="R565" s="2" t="inlineStr"/>
    </row>
    <row r="566" ht="15" customHeight="1">
      <c r="A566" t="inlineStr">
        <is>
          <t>A 42984-2023</t>
        </is>
      </c>
      <c r="B566" s="1" t="n">
        <v>45179</v>
      </c>
      <c r="C566" s="1" t="n">
        <v>46188</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56535-2022</t>
        </is>
      </c>
      <c r="B567" s="1" t="n">
        <v>44893.47173611111</v>
      </c>
      <c r="C567" s="1" t="n">
        <v>46188</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60550-2024</t>
        </is>
      </c>
      <c r="B568" s="1" t="n">
        <v>45643</v>
      </c>
      <c r="C568" s="1" t="n">
        <v>46188</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29230-2022</t>
        </is>
      </c>
      <c r="B569" s="1" t="n">
        <v>44750</v>
      </c>
      <c r="C569" s="1" t="n">
        <v>46188</v>
      </c>
      <c r="D569" t="inlineStr">
        <is>
          <t>VÄSTMANLANDS LÄN</t>
        </is>
      </c>
      <c r="E569" t="inlineStr">
        <is>
          <t>SALA</t>
        </is>
      </c>
      <c r="G569" t="n">
        <v>1.1</v>
      </c>
      <c r="H569" t="n">
        <v>0</v>
      </c>
      <c r="I569" t="n">
        <v>0</v>
      </c>
      <c r="J569" t="n">
        <v>0</v>
      </c>
      <c r="K569" t="n">
        <v>0</v>
      </c>
      <c r="L569" t="n">
        <v>0</v>
      </c>
      <c r="M569" t="n">
        <v>0</v>
      </c>
      <c r="N569" t="n">
        <v>0</v>
      </c>
      <c r="O569" t="n">
        <v>0</v>
      </c>
      <c r="P569" t="n">
        <v>0</v>
      </c>
      <c r="Q569" t="n">
        <v>0</v>
      </c>
      <c r="R569" s="2" t="inlineStr"/>
    </row>
    <row r="570" ht="15" customHeight="1">
      <c r="A570" t="inlineStr">
        <is>
          <t>A 59175-2022</t>
        </is>
      </c>
      <c r="B570" s="1" t="n">
        <v>44904.48502314815</v>
      </c>
      <c r="C570" s="1" t="n">
        <v>46188</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19381-2025</t>
        </is>
      </c>
      <c r="B571" s="1" t="n">
        <v>45769</v>
      </c>
      <c r="C571" s="1" t="n">
        <v>46188</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42938-2023</t>
        </is>
      </c>
      <c r="B572" s="1" t="n">
        <v>45179</v>
      </c>
      <c r="C572" s="1" t="n">
        <v>46188</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19222-2025</t>
        </is>
      </c>
      <c r="B573" s="1" t="n">
        <v>45769</v>
      </c>
      <c r="C573" s="1" t="n">
        <v>46188</v>
      </c>
      <c r="D573" t="inlineStr">
        <is>
          <t>VÄSTMANLANDS LÄN</t>
        </is>
      </c>
      <c r="E573" t="inlineStr">
        <is>
          <t>SALA</t>
        </is>
      </c>
      <c r="G573" t="n">
        <v>1.8</v>
      </c>
      <c r="H573" t="n">
        <v>0</v>
      </c>
      <c r="I573" t="n">
        <v>0</v>
      </c>
      <c r="J573" t="n">
        <v>0</v>
      </c>
      <c r="K573" t="n">
        <v>0</v>
      </c>
      <c r="L573" t="n">
        <v>0</v>
      </c>
      <c r="M573" t="n">
        <v>0</v>
      </c>
      <c r="N573" t="n">
        <v>0</v>
      </c>
      <c r="O573" t="n">
        <v>0</v>
      </c>
      <c r="P573" t="n">
        <v>0</v>
      </c>
      <c r="Q573" t="n">
        <v>0</v>
      </c>
      <c r="R573" s="2" t="inlineStr"/>
    </row>
    <row r="574" ht="15" customHeight="1">
      <c r="A574" t="inlineStr">
        <is>
          <t>A 19241-2025</t>
        </is>
      </c>
      <c r="B574" s="1" t="n">
        <v>45769</v>
      </c>
      <c r="C574" s="1" t="n">
        <v>46188</v>
      </c>
      <c r="D574" t="inlineStr">
        <is>
          <t>VÄSTMANLANDS LÄN</t>
        </is>
      </c>
      <c r="E574" t="inlineStr">
        <is>
          <t>SALA</t>
        </is>
      </c>
      <c r="G574" t="n">
        <v>3.6</v>
      </c>
      <c r="H574" t="n">
        <v>0</v>
      </c>
      <c r="I574" t="n">
        <v>0</v>
      </c>
      <c r="J574" t="n">
        <v>0</v>
      </c>
      <c r="K574" t="n">
        <v>0</v>
      </c>
      <c r="L574" t="n">
        <v>0</v>
      </c>
      <c r="M574" t="n">
        <v>0</v>
      </c>
      <c r="N574" t="n">
        <v>0</v>
      </c>
      <c r="O574" t="n">
        <v>0</v>
      </c>
      <c r="P574" t="n">
        <v>0</v>
      </c>
      <c r="Q574" t="n">
        <v>0</v>
      </c>
      <c r="R574" s="2" t="inlineStr"/>
    </row>
    <row r="575" ht="15" customHeight="1">
      <c r="A575" t="inlineStr">
        <is>
          <t>A 60823-2024</t>
        </is>
      </c>
      <c r="B575" s="1" t="n">
        <v>45644</v>
      </c>
      <c r="C575" s="1" t="n">
        <v>46188</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61681-2024</t>
        </is>
      </c>
      <c r="B576" s="1" t="n">
        <v>45647</v>
      </c>
      <c r="C576" s="1" t="n">
        <v>46188</v>
      </c>
      <c r="D576" t="inlineStr">
        <is>
          <t>VÄSTMANLANDS LÄN</t>
        </is>
      </c>
      <c r="E576" t="inlineStr">
        <is>
          <t>SALA</t>
        </is>
      </c>
      <c r="F576" t="inlineStr">
        <is>
          <t>Kommuner</t>
        </is>
      </c>
      <c r="G576" t="n">
        <v>1</v>
      </c>
      <c r="H576" t="n">
        <v>0</v>
      </c>
      <c r="I576" t="n">
        <v>0</v>
      </c>
      <c r="J576" t="n">
        <v>0</v>
      </c>
      <c r="K576" t="n">
        <v>0</v>
      </c>
      <c r="L576" t="n">
        <v>0</v>
      </c>
      <c r="M576" t="n">
        <v>0</v>
      </c>
      <c r="N576" t="n">
        <v>0</v>
      </c>
      <c r="O576" t="n">
        <v>0</v>
      </c>
      <c r="P576" t="n">
        <v>0</v>
      </c>
      <c r="Q576" t="n">
        <v>0</v>
      </c>
      <c r="R576" s="2" t="inlineStr"/>
    </row>
    <row r="577" ht="15" customHeight="1">
      <c r="A577" t="inlineStr">
        <is>
          <t>A 49661-2024</t>
        </is>
      </c>
      <c r="B577" s="1" t="n">
        <v>45596</v>
      </c>
      <c r="C577" s="1" t="n">
        <v>46188</v>
      </c>
      <c r="D577" t="inlineStr">
        <is>
          <t>VÄSTMANLANDS LÄN</t>
        </is>
      </c>
      <c r="E577" t="inlineStr">
        <is>
          <t>SALA</t>
        </is>
      </c>
      <c r="G577" t="n">
        <v>6.7</v>
      </c>
      <c r="H577" t="n">
        <v>0</v>
      </c>
      <c r="I577" t="n">
        <v>0</v>
      </c>
      <c r="J577" t="n">
        <v>0</v>
      </c>
      <c r="K577" t="n">
        <v>0</v>
      </c>
      <c r="L577" t="n">
        <v>0</v>
      </c>
      <c r="M577" t="n">
        <v>0</v>
      </c>
      <c r="N577" t="n">
        <v>0</v>
      </c>
      <c r="O577" t="n">
        <v>0</v>
      </c>
      <c r="P577" t="n">
        <v>0</v>
      </c>
      <c r="Q577" t="n">
        <v>0</v>
      </c>
      <c r="R577" s="2" t="inlineStr"/>
    </row>
    <row r="578" ht="15" customHeight="1">
      <c r="A578" t="inlineStr">
        <is>
          <t>A 59297-2023</t>
        </is>
      </c>
      <c r="B578" s="1" t="n">
        <v>45253</v>
      </c>
      <c r="C578" s="1" t="n">
        <v>46188</v>
      </c>
      <c r="D578" t="inlineStr">
        <is>
          <t>VÄSTMANLANDS LÄN</t>
        </is>
      </c>
      <c r="E578" t="inlineStr">
        <is>
          <t>SALA</t>
        </is>
      </c>
      <c r="G578" t="n">
        <v>2</v>
      </c>
      <c r="H578" t="n">
        <v>0</v>
      </c>
      <c r="I578" t="n">
        <v>0</v>
      </c>
      <c r="J578" t="n">
        <v>0</v>
      </c>
      <c r="K578" t="n">
        <v>0</v>
      </c>
      <c r="L578" t="n">
        <v>0</v>
      </c>
      <c r="M578" t="n">
        <v>0</v>
      </c>
      <c r="N578" t="n">
        <v>0</v>
      </c>
      <c r="O578" t="n">
        <v>0</v>
      </c>
      <c r="P578" t="n">
        <v>0</v>
      </c>
      <c r="Q578" t="n">
        <v>0</v>
      </c>
      <c r="R578" s="2" t="inlineStr"/>
    </row>
    <row r="579" ht="15" customHeight="1">
      <c r="A579" t="inlineStr">
        <is>
          <t>A 15965-2024</t>
        </is>
      </c>
      <c r="B579" s="1" t="n">
        <v>45405.55740740741</v>
      </c>
      <c r="C579" s="1" t="n">
        <v>46188</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23180-2022</t>
        </is>
      </c>
      <c r="B580" s="1" t="n">
        <v>44719.79344907407</v>
      </c>
      <c r="C580" s="1" t="n">
        <v>46188</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21455-2023</t>
        </is>
      </c>
      <c r="B581" s="1" t="n">
        <v>45058</v>
      </c>
      <c r="C581" s="1" t="n">
        <v>46188</v>
      </c>
      <c r="D581" t="inlineStr">
        <is>
          <t>VÄSTMANLANDS LÄN</t>
        </is>
      </c>
      <c r="E581" t="inlineStr">
        <is>
          <t>SALA</t>
        </is>
      </c>
      <c r="G581" t="n">
        <v>6.4</v>
      </c>
      <c r="H581" t="n">
        <v>0</v>
      </c>
      <c r="I581" t="n">
        <v>0</v>
      </c>
      <c r="J581" t="n">
        <v>0</v>
      </c>
      <c r="K581" t="n">
        <v>0</v>
      </c>
      <c r="L581" t="n">
        <v>0</v>
      </c>
      <c r="M581" t="n">
        <v>0</v>
      </c>
      <c r="N581" t="n">
        <v>0</v>
      </c>
      <c r="O581" t="n">
        <v>0</v>
      </c>
      <c r="P581" t="n">
        <v>0</v>
      </c>
      <c r="Q581" t="n">
        <v>0</v>
      </c>
      <c r="R581" s="2" t="inlineStr"/>
    </row>
    <row r="582" ht="15" customHeight="1">
      <c r="A582" t="inlineStr">
        <is>
          <t>A 21053-2022</t>
        </is>
      </c>
      <c r="B582" s="1" t="n">
        <v>44704</v>
      </c>
      <c r="C582" s="1" t="n">
        <v>46188</v>
      </c>
      <c r="D582" t="inlineStr">
        <is>
          <t>VÄSTMANLANDS LÄN</t>
        </is>
      </c>
      <c r="E582" t="inlineStr">
        <is>
          <t>SALA</t>
        </is>
      </c>
      <c r="G582" t="n">
        <v>2</v>
      </c>
      <c r="H582" t="n">
        <v>0</v>
      </c>
      <c r="I582" t="n">
        <v>0</v>
      </c>
      <c r="J582" t="n">
        <v>0</v>
      </c>
      <c r="K582" t="n">
        <v>0</v>
      </c>
      <c r="L582" t="n">
        <v>0</v>
      </c>
      <c r="M582" t="n">
        <v>0</v>
      </c>
      <c r="N582" t="n">
        <v>0</v>
      </c>
      <c r="O582" t="n">
        <v>0</v>
      </c>
      <c r="P582" t="n">
        <v>0</v>
      </c>
      <c r="Q582" t="n">
        <v>0</v>
      </c>
      <c r="R582" s="2" t="inlineStr"/>
    </row>
    <row r="583" ht="15" customHeight="1">
      <c r="A583" t="inlineStr">
        <is>
          <t>A 11927-2025</t>
        </is>
      </c>
      <c r="B583" s="1" t="n">
        <v>45728.5137962963</v>
      </c>
      <c r="C583" s="1" t="n">
        <v>46188</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50876-2023</t>
        </is>
      </c>
      <c r="B584" s="1" t="n">
        <v>45211</v>
      </c>
      <c r="C584" s="1" t="n">
        <v>46188</v>
      </c>
      <c r="D584" t="inlineStr">
        <is>
          <t>VÄSTMANLANDS LÄN</t>
        </is>
      </c>
      <c r="E584" t="inlineStr">
        <is>
          <t>SALA</t>
        </is>
      </c>
      <c r="G584" t="n">
        <v>1.9</v>
      </c>
      <c r="H584" t="n">
        <v>0</v>
      </c>
      <c r="I584" t="n">
        <v>0</v>
      </c>
      <c r="J584" t="n">
        <v>0</v>
      </c>
      <c r="K584" t="n">
        <v>0</v>
      </c>
      <c r="L584" t="n">
        <v>0</v>
      </c>
      <c r="M584" t="n">
        <v>0</v>
      </c>
      <c r="N584" t="n">
        <v>0</v>
      </c>
      <c r="O584" t="n">
        <v>0</v>
      </c>
      <c r="P584" t="n">
        <v>0</v>
      </c>
      <c r="Q584" t="n">
        <v>0</v>
      </c>
      <c r="R584" s="2" t="inlineStr"/>
    </row>
    <row r="585" ht="15" customHeight="1">
      <c r="A585" t="inlineStr">
        <is>
          <t>A 10255-2024</t>
        </is>
      </c>
      <c r="B585" s="1" t="n">
        <v>45365</v>
      </c>
      <c r="C585" s="1" t="n">
        <v>46188</v>
      </c>
      <c r="D585" t="inlineStr">
        <is>
          <t>VÄSTMANLANDS LÄN</t>
        </is>
      </c>
      <c r="E585" t="inlineStr">
        <is>
          <t>SALA</t>
        </is>
      </c>
      <c r="F585" t="inlineStr">
        <is>
          <t>Kommuner</t>
        </is>
      </c>
      <c r="G585" t="n">
        <v>0.8</v>
      </c>
      <c r="H585" t="n">
        <v>0</v>
      </c>
      <c r="I585" t="n">
        <v>0</v>
      </c>
      <c r="J585" t="n">
        <v>0</v>
      </c>
      <c r="K585" t="n">
        <v>0</v>
      </c>
      <c r="L585" t="n">
        <v>0</v>
      </c>
      <c r="M585" t="n">
        <v>0</v>
      </c>
      <c r="N585" t="n">
        <v>0</v>
      </c>
      <c r="O585" t="n">
        <v>0</v>
      </c>
      <c r="P585" t="n">
        <v>0</v>
      </c>
      <c r="Q585" t="n">
        <v>0</v>
      </c>
      <c r="R585" s="2" t="inlineStr"/>
    </row>
    <row r="586" ht="15" customHeight="1">
      <c r="A586" t="inlineStr">
        <is>
          <t>A 62648-2022</t>
        </is>
      </c>
      <c r="B586" s="1" t="n">
        <v>44917</v>
      </c>
      <c r="C586" s="1" t="n">
        <v>46188</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56548-2024</t>
        </is>
      </c>
      <c r="B587" s="1" t="n">
        <v>45625</v>
      </c>
      <c r="C587" s="1" t="n">
        <v>46188</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5477-2024</t>
        </is>
      </c>
      <c r="B588" s="1" t="n">
        <v>45333.67833333334</v>
      </c>
      <c r="C588" s="1" t="n">
        <v>46188</v>
      </c>
      <c r="D588" t="inlineStr">
        <is>
          <t>VÄSTMANLANDS LÄN</t>
        </is>
      </c>
      <c r="E588" t="inlineStr">
        <is>
          <t>SALA</t>
        </is>
      </c>
      <c r="G588" t="n">
        <v>2.3</v>
      </c>
      <c r="H588" t="n">
        <v>0</v>
      </c>
      <c r="I588" t="n">
        <v>0</v>
      </c>
      <c r="J588" t="n">
        <v>0</v>
      </c>
      <c r="K588" t="n">
        <v>0</v>
      </c>
      <c r="L588" t="n">
        <v>0</v>
      </c>
      <c r="M588" t="n">
        <v>0</v>
      </c>
      <c r="N588" t="n">
        <v>0</v>
      </c>
      <c r="O588" t="n">
        <v>0</v>
      </c>
      <c r="P588" t="n">
        <v>0</v>
      </c>
      <c r="Q588" t="n">
        <v>0</v>
      </c>
      <c r="R588" s="2" t="inlineStr"/>
    </row>
    <row r="589" ht="15" customHeight="1">
      <c r="A589" t="inlineStr">
        <is>
          <t>A 39451-2022</t>
        </is>
      </c>
      <c r="B589" s="1" t="n">
        <v>44818.36606481481</v>
      </c>
      <c r="C589" s="1" t="n">
        <v>46188</v>
      </c>
      <c r="D589" t="inlineStr">
        <is>
          <t>VÄSTMANLANDS LÄN</t>
        </is>
      </c>
      <c r="E589" t="inlineStr">
        <is>
          <t>SALA</t>
        </is>
      </c>
      <c r="G589" t="n">
        <v>9.4</v>
      </c>
      <c r="H589" t="n">
        <v>0</v>
      </c>
      <c r="I589" t="n">
        <v>0</v>
      </c>
      <c r="J589" t="n">
        <v>0</v>
      </c>
      <c r="K589" t="n">
        <v>0</v>
      </c>
      <c r="L589" t="n">
        <v>0</v>
      </c>
      <c r="M589" t="n">
        <v>0</v>
      </c>
      <c r="N589" t="n">
        <v>0</v>
      </c>
      <c r="O589" t="n">
        <v>0</v>
      </c>
      <c r="P589" t="n">
        <v>0</v>
      </c>
      <c r="Q589" t="n">
        <v>0</v>
      </c>
      <c r="R589" s="2" t="inlineStr"/>
    </row>
    <row r="590" ht="15" customHeight="1">
      <c r="A590" t="inlineStr">
        <is>
          <t>A 7772-2023</t>
        </is>
      </c>
      <c r="B590" s="1" t="n">
        <v>44973.40076388889</v>
      </c>
      <c r="C590" s="1" t="n">
        <v>46188</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19751-2022</t>
        </is>
      </c>
      <c r="B591" s="1" t="n">
        <v>44694</v>
      </c>
      <c r="C591" s="1" t="n">
        <v>46188</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44713-2023</t>
        </is>
      </c>
      <c r="B592" s="1" t="n">
        <v>45184</v>
      </c>
      <c r="C592" s="1" t="n">
        <v>46188</v>
      </c>
      <c r="D592" t="inlineStr">
        <is>
          <t>VÄSTMANLANDS LÄN</t>
        </is>
      </c>
      <c r="E592" t="inlineStr">
        <is>
          <t>SALA</t>
        </is>
      </c>
      <c r="F592" t="inlineStr">
        <is>
          <t>Kyrkan</t>
        </is>
      </c>
      <c r="G592" t="n">
        <v>7.6</v>
      </c>
      <c r="H592" t="n">
        <v>0</v>
      </c>
      <c r="I592" t="n">
        <v>0</v>
      </c>
      <c r="J592" t="n">
        <v>0</v>
      </c>
      <c r="K592" t="n">
        <v>0</v>
      </c>
      <c r="L592" t="n">
        <v>0</v>
      </c>
      <c r="M592" t="n">
        <v>0</v>
      </c>
      <c r="N592" t="n">
        <v>0</v>
      </c>
      <c r="O592" t="n">
        <v>0</v>
      </c>
      <c r="P592" t="n">
        <v>0</v>
      </c>
      <c r="Q592" t="n">
        <v>0</v>
      </c>
      <c r="R592" s="2" t="inlineStr"/>
    </row>
    <row r="593" ht="15" customHeight="1">
      <c r="A593" t="inlineStr">
        <is>
          <t>A 69236-2021</t>
        </is>
      </c>
      <c r="B593" s="1" t="n">
        <v>44531.4047337963</v>
      </c>
      <c r="C593" s="1" t="n">
        <v>46188</v>
      </c>
      <c r="D593" t="inlineStr">
        <is>
          <t>VÄSTMANLANDS LÄN</t>
        </is>
      </c>
      <c r="E593" t="inlineStr">
        <is>
          <t>SALA</t>
        </is>
      </c>
      <c r="G593" t="n">
        <v>2.8</v>
      </c>
      <c r="H593" t="n">
        <v>0</v>
      </c>
      <c r="I593" t="n">
        <v>0</v>
      </c>
      <c r="J593" t="n">
        <v>0</v>
      </c>
      <c r="K593" t="n">
        <v>0</v>
      </c>
      <c r="L593" t="n">
        <v>0</v>
      </c>
      <c r="M593" t="n">
        <v>0</v>
      </c>
      <c r="N593" t="n">
        <v>0</v>
      </c>
      <c r="O593" t="n">
        <v>0</v>
      </c>
      <c r="P593" t="n">
        <v>0</v>
      </c>
      <c r="Q593" t="n">
        <v>0</v>
      </c>
      <c r="R593" s="2" t="inlineStr"/>
    </row>
    <row r="594" ht="15" customHeight="1">
      <c r="A594" t="inlineStr">
        <is>
          <t>A 25541-2024</t>
        </is>
      </c>
      <c r="B594" s="1" t="n">
        <v>45463.56337962963</v>
      </c>
      <c r="C594" s="1" t="n">
        <v>46188</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5728-2022</t>
        </is>
      </c>
      <c r="B595" s="1" t="n">
        <v>44596.42082175926</v>
      </c>
      <c r="C595" s="1" t="n">
        <v>46188</v>
      </c>
      <c r="D595" t="inlineStr">
        <is>
          <t>VÄSTMANLANDS LÄN</t>
        </is>
      </c>
      <c r="E595" t="inlineStr">
        <is>
          <t>SALA</t>
        </is>
      </c>
      <c r="G595" t="n">
        <v>1.7</v>
      </c>
      <c r="H595" t="n">
        <v>0</v>
      </c>
      <c r="I595" t="n">
        <v>0</v>
      </c>
      <c r="J595" t="n">
        <v>0</v>
      </c>
      <c r="K595" t="n">
        <v>0</v>
      </c>
      <c r="L595" t="n">
        <v>0</v>
      </c>
      <c r="M595" t="n">
        <v>0</v>
      </c>
      <c r="N595" t="n">
        <v>0</v>
      </c>
      <c r="O595" t="n">
        <v>0</v>
      </c>
      <c r="P595" t="n">
        <v>0</v>
      </c>
      <c r="Q595" t="n">
        <v>0</v>
      </c>
      <c r="R595" s="2" t="inlineStr"/>
    </row>
    <row r="596" ht="15" customHeight="1">
      <c r="A596" t="inlineStr">
        <is>
          <t>A 10250-2025</t>
        </is>
      </c>
      <c r="B596" s="1" t="n">
        <v>45720.36165509259</v>
      </c>
      <c r="C596" s="1" t="n">
        <v>46188</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42416-2022</t>
        </is>
      </c>
      <c r="B597" s="1" t="n">
        <v>44831</v>
      </c>
      <c r="C597" s="1" t="n">
        <v>46188</v>
      </c>
      <c r="D597" t="inlineStr">
        <is>
          <t>VÄSTMANLANDS LÄN</t>
        </is>
      </c>
      <c r="E597" t="inlineStr">
        <is>
          <t>SALA</t>
        </is>
      </c>
      <c r="G597" t="n">
        <v>2.2</v>
      </c>
      <c r="H597" t="n">
        <v>0</v>
      </c>
      <c r="I597" t="n">
        <v>0</v>
      </c>
      <c r="J597" t="n">
        <v>0</v>
      </c>
      <c r="K597" t="n">
        <v>0</v>
      </c>
      <c r="L597" t="n">
        <v>0</v>
      </c>
      <c r="M597" t="n">
        <v>0</v>
      </c>
      <c r="N597" t="n">
        <v>0</v>
      </c>
      <c r="O597" t="n">
        <v>0</v>
      </c>
      <c r="P597" t="n">
        <v>0</v>
      </c>
      <c r="Q597" t="n">
        <v>0</v>
      </c>
      <c r="R597" s="2" t="inlineStr"/>
    </row>
    <row r="598" ht="15" customHeight="1">
      <c r="A598" t="inlineStr">
        <is>
          <t>A 6135-2023</t>
        </is>
      </c>
      <c r="B598" s="1" t="n">
        <v>44964.62628472222</v>
      </c>
      <c r="C598" s="1" t="n">
        <v>46188</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16693-2023</t>
        </is>
      </c>
      <c r="B599" s="1" t="n">
        <v>45028</v>
      </c>
      <c r="C599" s="1" t="n">
        <v>46188</v>
      </c>
      <c r="D599" t="inlineStr">
        <is>
          <t>VÄSTMANLANDS LÄN</t>
        </is>
      </c>
      <c r="E599" t="inlineStr">
        <is>
          <t>SALA</t>
        </is>
      </c>
      <c r="G599" t="n">
        <v>1.5</v>
      </c>
      <c r="H599" t="n">
        <v>0</v>
      </c>
      <c r="I599" t="n">
        <v>0</v>
      </c>
      <c r="J599" t="n">
        <v>0</v>
      </c>
      <c r="K599" t="n">
        <v>0</v>
      </c>
      <c r="L599" t="n">
        <v>0</v>
      </c>
      <c r="M599" t="n">
        <v>0</v>
      </c>
      <c r="N599" t="n">
        <v>0</v>
      </c>
      <c r="O599" t="n">
        <v>0</v>
      </c>
      <c r="P599" t="n">
        <v>0</v>
      </c>
      <c r="Q599" t="n">
        <v>0</v>
      </c>
      <c r="R599" s="2" t="inlineStr"/>
    </row>
    <row r="600" ht="15" customHeight="1">
      <c r="A600" t="inlineStr">
        <is>
          <t>A 18340-2025</t>
        </is>
      </c>
      <c r="B600" s="1" t="n">
        <v>45762</v>
      </c>
      <c r="C600" s="1" t="n">
        <v>46188</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56706-2022</t>
        </is>
      </c>
      <c r="B601" s="1" t="n">
        <v>44893.78893518518</v>
      </c>
      <c r="C601" s="1" t="n">
        <v>46188</v>
      </c>
      <c r="D601" t="inlineStr">
        <is>
          <t>VÄSTMANLANDS LÄN</t>
        </is>
      </c>
      <c r="E601" t="inlineStr">
        <is>
          <t>SALA</t>
        </is>
      </c>
      <c r="G601" t="n">
        <v>4.5</v>
      </c>
      <c r="H601" t="n">
        <v>0</v>
      </c>
      <c r="I601" t="n">
        <v>0</v>
      </c>
      <c r="J601" t="n">
        <v>0</v>
      </c>
      <c r="K601" t="n">
        <v>0</v>
      </c>
      <c r="L601" t="n">
        <v>0</v>
      </c>
      <c r="M601" t="n">
        <v>0</v>
      </c>
      <c r="N601" t="n">
        <v>0</v>
      </c>
      <c r="O601" t="n">
        <v>0</v>
      </c>
      <c r="P601" t="n">
        <v>0</v>
      </c>
      <c r="Q601" t="n">
        <v>0</v>
      </c>
      <c r="R601" s="2" t="inlineStr"/>
    </row>
    <row r="602" ht="15" customHeight="1">
      <c r="A602" t="inlineStr">
        <is>
          <t>A 56707-2022</t>
        </is>
      </c>
      <c r="B602" s="1" t="n">
        <v>44893.79412037037</v>
      </c>
      <c r="C602" s="1" t="n">
        <v>46188</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c r="A603" t="inlineStr">
        <is>
          <t>A 48571-2024</t>
        </is>
      </c>
      <c r="B603" s="1" t="n">
        <v>45591</v>
      </c>
      <c r="C603" s="1" t="n">
        <v>46188</v>
      </c>
      <c r="D603" t="inlineStr">
        <is>
          <t>VÄSTMANLANDS LÄN</t>
        </is>
      </c>
      <c r="E603" t="inlineStr">
        <is>
          <t>SALA</t>
        </is>
      </c>
      <c r="G603" t="n">
        <v>8.199999999999999</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2026-06-15T09:27:42Z</dcterms:created>
  <dcterms:modified xmlns:dcterms="http://purl.org/dc/terms/" xmlns:xsi="http://www.w3.org/2001/XMLSchema-instance" xsi:type="dcterms:W3CDTF">2026-06-15T09:27:43Z</dcterms:modified>
</cp:coreProperties>
</file>