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45976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45976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45976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45976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45976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45976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45976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45976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45976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45976</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53009-2024</t>
        </is>
      </c>
      <c r="B12" s="1" t="n">
        <v>45610</v>
      </c>
      <c r="C12" s="1" t="n">
        <v>45976</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34752-2023</t>
        </is>
      </c>
      <c r="B13" s="1" t="n">
        <v>45141</v>
      </c>
      <c r="C13" s="1" t="n">
        <v>45976</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53627-2025</t>
        </is>
      </c>
      <c r="B14" s="1" t="n">
        <v>45960.49180555555</v>
      </c>
      <c r="C14" s="1" t="n">
        <v>45976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10344-2025</t>
        </is>
      </c>
      <c r="B15" s="1" t="n">
        <v>45720</v>
      </c>
      <c r="C15" s="1" t="n">
        <v>45976</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45976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4264-2024</t>
        </is>
      </c>
      <c r="B17" s="1" t="n">
        <v>45324</v>
      </c>
      <c r="C17" s="1" t="n">
        <v>45976</v>
      </c>
      <c r="D17" t="inlineStr">
        <is>
          <t>VÄSTMANLANDS LÄN</t>
        </is>
      </c>
      <c r="E17" t="inlineStr">
        <is>
          <t>SALA</t>
        </is>
      </c>
      <c r="G17" t="n">
        <v>2.5</v>
      </c>
      <c r="H17" t="n">
        <v>0</v>
      </c>
      <c r="I17" t="n">
        <v>1</v>
      </c>
      <c r="J17" t="n">
        <v>2</v>
      </c>
      <c r="K17" t="n">
        <v>0</v>
      </c>
      <c r="L17" t="n">
        <v>0</v>
      </c>
      <c r="M17" t="n">
        <v>0</v>
      </c>
      <c r="N17" t="n">
        <v>0</v>
      </c>
      <c r="O17" t="n">
        <v>2</v>
      </c>
      <c r="P17" t="n">
        <v>0</v>
      </c>
      <c r="Q17" t="n">
        <v>3</v>
      </c>
      <c r="R17" s="2" t="inlineStr">
        <is>
          <t>Brunpudrad nållav
Vedtrappmossa
Dvärghäxört</t>
        </is>
      </c>
      <c r="S17">
        <f>HYPERLINK("https://klasma.github.io/Logging_1981/artfynd/A 4264-2024 artfynd.xlsx", "A 4264-2024")</f>
        <v/>
      </c>
      <c r="T17">
        <f>HYPERLINK("https://klasma.github.io/Logging_1981/kartor/A 4264-2024 karta.png", "A 4264-2024")</f>
        <v/>
      </c>
      <c r="V17">
        <f>HYPERLINK("https://klasma.github.io/Logging_1981/klagomål/A 4264-2024 FSC-klagomål.docx", "A 4264-2024")</f>
        <v/>
      </c>
      <c r="W17">
        <f>HYPERLINK("https://klasma.github.io/Logging_1981/klagomålsmail/A 4264-2024 FSC-klagomål mail.docx", "A 4264-2024")</f>
        <v/>
      </c>
      <c r="X17">
        <f>HYPERLINK("https://klasma.github.io/Logging_1981/tillsyn/A 4264-2024 tillsynsbegäran.docx", "A 4264-2024")</f>
        <v/>
      </c>
      <c r="Y17">
        <f>HYPERLINK("https://klasma.github.io/Logging_1981/tillsynsmail/A 4264-2024 tillsynsbegäran mail.docx", "A 4264-2024")</f>
        <v/>
      </c>
    </row>
    <row r="18" ht="15" customHeight="1">
      <c r="A18" t="inlineStr">
        <is>
          <t>A 53019-2024</t>
        </is>
      </c>
      <c r="B18" s="1" t="n">
        <v>45610</v>
      </c>
      <c r="C18" s="1" t="n">
        <v>45976</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35461-2024</t>
        </is>
      </c>
      <c r="B19" s="1" t="n">
        <v>45531</v>
      </c>
      <c r="C19" s="1" t="n">
        <v>45976</v>
      </c>
      <c r="D19" t="inlineStr">
        <is>
          <t>VÄSTMANLANDS LÄN</t>
        </is>
      </c>
      <c r="E19" t="inlineStr">
        <is>
          <t>SALA</t>
        </is>
      </c>
      <c r="G19" t="n">
        <v>4.4</v>
      </c>
      <c r="H19" t="n">
        <v>2</v>
      </c>
      <c r="I19" t="n">
        <v>1</v>
      </c>
      <c r="J19" t="n">
        <v>2</v>
      </c>
      <c r="K19" t="n">
        <v>0</v>
      </c>
      <c r="L19" t="n">
        <v>0</v>
      </c>
      <c r="M19" t="n">
        <v>0</v>
      </c>
      <c r="N19" t="n">
        <v>0</v>
      </c>
      <c r="O19" t="n">
        <v>2</v>
      </c>
      <c r="P19" t="n">
        <v>0</v>
      </c>
      <c r="Q19" t="n">
        <v>3</v>
      </c>
      <c r="R19" s="2" t="inlineStr">
        <is>
          <t>Duvhök
Talltita
Grönpyrola</t>
        </is>
      </c>
      <c r="S19">
        <f>HYPERLINK("https://klasma.github.io/Logging_1981/artfynd/A 35461-2024 artfynd.xlsx", "A 35461-2024")</f>
        <v/>
      </c>
      <c r="T19">
        <f>HYPERLINK("https://klasma.github.io/Logging_1981/kartor/A 35461-2024 karta.png", "A 35461-2024")</f>
        <v/>
      </c>
      <c r="V19">
        <f>HYPERLINK("https://klasma.github.io/Logging_1981/klagomål/A 35461-2024 FSC-klagomål.docx", "A 35461-2024")</f>
        <v/>
      </c>
      <c r="W19">
        <f>HYPERLINK("https://klasma.github.io/Logging_1981/klagomålsmail/A 35461-2024 FSC-klagomål mail.docx", "A 35461-2024")</f>
        <v/>
      </c>
      <c r="X19">
        <f>HYPERLINK("https://klasma.github.io/Logging_1981/tillsyn/A 35461-2024 tillsynsbegäran.docx", "A 35461-2024")</f>
        <v/>
      </c>
      <c r="Y19">
        <f>HYPERLINK("https://klasma.github.io/Logging_1981/tillsynsmail/A 35461-2024 tillsynsbegäran mail.docx", "A 35461-2024")</f>
        <v/>
      </c>
      <c r="Z19">
        <f>HYPERLINK("https://klasma.github.io/Logging_1981/fåglar/A 35461-2024 prioriterade fågelarter.docx", "A 35461-2024")</f>
        <v/>
      </c>
    </row>
    <row r="20" ht="15" customHeight="1">
      <c r="A20" t="inlineStr">
        <is>
          <t>A 40493-2024</t>
        </is>
      </c>
      <c r="B20" s="1" t="n">
        <v>45555</v>
      </c>
      <c r="C20" s="1" t="n">
        <v>45976</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40895-2025</t>
        </is>
      </c>
      <c r="B21" s="1" t="n">
        <v>45897.61241898148</v>
      </c>
      <c r="C21" s="1" t="n">
        <v>45976</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62768-2021</t>
        </is>
      </c>
      <c r="B22" s="1" t="n">
        <v>44504</v>
      </c>
      <c r="C22" s="1" t="n">
        <v>45976</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45976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45976</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45976</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45976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45976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1500-2022</t>
        </is>
      </c>
      <c r="B28" s="1" t="n">
        <v>44573.54357638889</v>
      </c>
      <c r="C28" s="1" t="n">
        <v>45976</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12444-2024</t>
        </is>
      </c>
      <c r="B29" s="1" t="n">
        <v>45379.46285879629</v>
      </c>
      <c r="C29" s="1" t="n">
        <v>45976</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15102-2025</t>
        </is>
      </c>
      <c r="B30" s="1" t="n">
        <v>45744.34585648148</v>
      </c>
      <c r="C30" s="1" t="n">
        <v>45976</v>
      </c>
      <c r="D30" t="inlineStr">
        <is>
          <t>VÄSTMANLANDS LÄN</t>
        </is>
      </c>
      <c r="E30" t="inlineStr">
        <is>
          <t>SALA</t>
        </is>
      </c>
      <c r="F30" t="inlineStr">
        <is>
          <t>Sveaskog</t>
        </is>
      </c>
      <c r="G30" t="n">
        <v>4.2</v>
      </c>
      <c r="H30" t="n">
        <v>2</v>
      </c>
      <c r="I30" t="n">
        <v>0</v>
      </c>
      <c r="J30" t="n">
        <v>1</v>
      </c>
      <c r="K30" t="n">
        <v>0</v>
      </c>
      <c r="L30" t="n">
        <v>0</v>
      </c>
      <c r="M30" t="n">
        <v>0</v>
      </c>
      <c r="N30" t="n">
        <v>0</v>
      </c>
      <c r="O30" t="n">
        <v>1</v>
      </c>
      <c r="P30" t="n">
        <v>0</v>
      </c>
      <c r="Q30" t="n">
        <v>2</v>
      </c>
      <c r="R30" s="2" t="inlineStr">
        <is>
          <t>Spillkråka
Grönsiska</t>
        </is>
      </c>
      <c r="S30">
        <f>HYPERLINK("https://klasma.github.io/Logging_1981/artfynd/A 15102-2025 artfynd.xlsx", "A 15102-2025")</f>
        <v/>
      </c>
      <c r="T30">
        <f>HYPERLINK("https://klasma.github.io/Logging_1981/kartor/A 15102-2025 karta.png", "A 15102-2025")</f>
        <v/>
      </c>
      <c r="V30">
        <f>HYPERLINK("https://klasma.github.io/Logging_1981/klagomål/A 15102-2025 FSC-klagomål.docx", "A 15102-2025")</f>
        <v/>
      </c>
      <c r="W30">
        <f>HYPERLINK("https://klasma.github.io/Logging_1981/klagomålsmail/A 15102-2025 FSC-klagomål mail.docx", "A 15102-2025")</f>
        <v/>
      </c>
      <c r="X30">
        <f>HYPERLINK("https://klasma.github.io/Logging_1981/tillsyn/A 15102-2025 tillsynsbegäran.docx", "A 15102-2025")</f>
        <v/>
      </c>
      <c r="Y30">
        <f>HYPERLINK("https://klasma.github.io/Logging_1981/tillsynsmail/A 15102-2025 tillsynsbegäran mail.docx", "A 15102-2025")</f>
        <v/>
      </c>
      <c r="Z30">
        <f>HYPERLINK("https://klasma.github.io/Logging_1981/fåglar/A 15102-2025 prioriterade fågelarter.docx", "A 15102-2025")</f>
        <v/>
      </c>
    </row>
    <row r="31" ht="15" customHeight="1">
      <c r="A31" t="inlineStr">
        <is>
          <t>A 13029-2023</t>
        </is>
      </c>
      <c r="B31" s="1" t="n">
        <v>45001</v>
      </c>
      <c r="C31" s="1" t="n">
        <v>45976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45976</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24872-2025</t>
        </is>
      </c>
      <c r="B33" s="1" t="n">
        <v>45799.49038194444</v>
      </c>
      <c r="C33" s="1" t="n">
        <v>45976</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11846-2024</t>
        </is>
      </c>
      <c r="B34" s="1" t="n">
        <v>45376.4047337963</v>
      </c>
      <c r="C34" s="1" t="n">
        <v>45976</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44970-2021</t>
        </is>
      </c>
      <c r="B35" s="1" t="n">
        <v>44438.74399305556</v>
      </c>
      <c r="C35" s="1" t="n">
        <v>45976</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69362-2020</t>
        </is>
      </c>
      <c r="B36" s="1" t="n">
        <v>44193</v>
      </c>
      <c r="C36" s="1" t="n">
        <v>45976</v>
      </c>
      <c r="D36" t="inlineStr">
        <is>
          <t>VÄSTMANLANDS LÄN</t>
        </is>
      </c>
      <c r="E36" t="inlineStr">
        <is>
          <t>SALA</t>
        </is>
      </c>
      <c r="G36" t="n">
        <v>13.7</v>
      </c>
      <c r="H36" t="n">
        <v>1</v>
      </c>
      <c r="I36" t="n">
        <v>0</v>
      </c>
      <c r="J36" t="n">
        <v>1</v>
      </c>
      <c r="K36" t="n">
        <v>0</v>
      </c>
      <c r="L36" t="n">
        <v>0</v>
      </c>
      <c r="M36" t="n">
        <v>0</v>
      </c>
      <c r="N36" t="n">
        <v>0</v>
      </c>
      <c r="O36" t="n">
        <v>1</v>
      </c>
      <c r="P36" t="n">
        <v>0</v>
      </c>
      <c r="Q36" t="n">
        <v>1</v>
      </c>
      <c r="R36" s="2" t="inlineStr">
        <is>
          <t>Havsörn</t>
        </is>
      </c>
      <c r="S36">
        <f>HYPERLINK("https://klasma.github.io/Logging_1981/artfynd/A 69362-2020 artfynd.xlsx", "A 69362-2020")</f>
        <v/>
      </c>
      <c r="T36">
        <f>HYPERLINK("https://klasma.github.io/Logging_1981/kartor/A 69362-2020 karta.png", "A 69362-2020")</f>
        <v/>
      </c>
      <c r="V36">
        <f>HYPERLINK("https://klasma.github.io/Logging_1981/klagomål/A 69362-2020 FSC-klagomål.docx", "A 69362-2020")</f>
        <v/>
      </c>
      <c r="W36">
        <f>HYPERLINK("https://klasma.github.io/Logging_1981/klagomålsmail/A 69362-2020 FSC-klagomål mail.docx", "A 69362-2020")</f>
        <v/>
      </c>
      <c r="X36">
        <f>HYPERLINK("https://klasma.github.io/Logging_1981/tillsyn/A 69362-2020 tillsynsbegäran.docx", "A 69362-2020")</f>
        <v/>
      </c>
      <c r="Y36">
        <f>HYPERLINK("https://klasma.github.io/Logging_1981/tillsynsmail/A 69362-2020 tillsynsbegäran mail.docx", "A 69362-2020")</f>
        <v/>
      </c>
      <c r="Z36">
        <f>HYPERLINK("https://klasma.github.io/Logging_1981/fåglar/A 69362-2020 prioriterade fågelarter.docx", "A 69362-2020")</f>
        <v/>
      </c>
    </row>
    <row r="37" ht="15" customHeight="1">
      <c r="A37" t="inlineStr">
        <is>
          <t>A 43705-2022</t>
        </is>
      </c>
      <c r="B37" s="1" t="n">
        <v>44837</v>
      </c>
      <c r="C37" s="1" t="n">
        <v>45976</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45976</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14775-2023</t>
        </is>
      </c>
      <c r="B39" s="1" t="n">
        <v>45014</v>
      </c>
      <c r="C39" s="1" t="n">
        <v>45976</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12509-2023</t>
        </is>
      </c>
      <c r="B40" s="1" t="n">
        <v>44999.95988425926</v>
      </c>
      <c r="C40" s="1" t="n">
        <v>45976</v>
      </c>
      <c r="D40" t="inlineStr">
        <is>
          <t>VÄSTMANLANDS LÄN</t>
        </is>
      </c>
      <c r="E40" t="inlineStr">
        <is>
          <t>SALA</t>
        </is>
      </c>
      <c r="G40" t="n">
        <v>13.9</v>
      </c>
      <c r="H40" t="n">
        <v>1</v>
      </c>
      <c r="I40" t="n">
        <v>0</v>
      </c>
      <c r="J40" t="n">
        <v>0</v>
      </c>
      <c r="K40" t="n">
        <v>0</v>
      </c>
      <c r="L40" t="n">
        <v>0</v>
      </c>
      <c r="M40" t="n">
        <v>0</v>
      </c>
      <c r="N40" t="n">
        <v>0</v>
      </c>
      <c r="O40" t="n">
        <v>0</v>
      </c>
      <c r="P40" t="n">
        <v>0</v>
      </c>
      <c r="Q40" t="n">
        <v>1</v>
      </c>
      <c r="R40" s="2" t="inlineStr">
        <is>
          <t>Grönvit nattviol</t>
        </is>
      </c>
      <c r="S40">
        <f>HYPERLINK("https://klasma.github.io/Logging_1981/artfynd/A 12509-2023 artfynd.xlsx", "A 12509-2023")</f>
        <v/>
      </c>
      <c r="T40">
        <f>HYPERLINK("https://klasma.github.io/Logging_1981/kartor/A 12509-2023 karta.png", "A 12509-2023")</f>
        <v/>
      </c>
      <c r="V40">
        <f>HYPERLINK("https://klasma.github.io/Logging_1981/klagomål/A 12509-2023 FSC-klagomål.docx", "A 12509-2023")</f>
        <v/>
      </c>
      <c r="W40">
        <f>HYPERLINK("https://klasma.github.io/Logging_1981/klagomålsmail/A 12509-2023 FSC-klagomål mail.docx", "A 12509-2023")</f>
        <v/>
      </c>
      <c r="X40">
        <f>HYPERLINK("https://klasma.github.io/Logging_1981/tillsyn/A 12509-2023 tillsynsbegäran.docx", "A 12509-2023")</f>
        <v/>
      </c>
      <c r="Y40">
        <f>HYPERLINK("https://klasma.github.io/Logging_1981/tillsynsmail/A 12509-2023 tillsynsbegäran mail.docx", "A 12509-2023")</f>
        <v/>
      </c>
    </row>
    <row r="41" ht="15" customHeight="1">
      <c r="A41" t="inlineStr">
        <is>
          <t>A 38255-2025</t>
        </is>
      </c>
      <c r="B41" s="1" t="n">
        <v>45883.38020833334</v>
      </c>
      <c r="C41" s="1" t="n">
        <v>45976</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45976</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19361-2025</t>
        </is>
      </c>
      <c r="B43" s="1" t="n">
        <v>45769.63357638889</v>
      </c>
      <c r="C43" s="1" t="n">
        <v>45976</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43068-2024</t>
        </is>
      </c>
      <c r="B44" s="1" t="n">
        <v>45567</v>
      </c>
      <c r="C44" s="1" t="n">
        <v>45976</v>
      </c>
      <c r="D44" t="inlineStr">
        <is>
          <t>VÄSTMANLANDS LÄN</t>
        </is>
      </c>
      <c r="E44" t="inlineStr">
        <is>
          <t>SALA</t>
        </is>
      </c>
      <c r="G44" t="n">
        <v>1.1</v>
      </c>
      <c r="H44" t="n">
        <v>0</v>
      </c>
      <c r="I44" t="n">
        <v>1</v>
      </c>
      <c r="J44" t="n">
        <v>0</v>
      </c>
      <c r="K44" t="n">
        <v>0</v>
      </c>
      <c r="L44" t="n">
        <v>0</v>
      </c>
      <c r="M44" t="n">
        <v>0</v>
      </c>
      <c r="N44" t="n">
        <v>0</v>
      </c>
      <c r="O44" t="n">
        <v>0</v>
      </c>
      <c r="P44" t="n">
        <v>0</v>
      </c>
      <c r="Q44" t="n">
        <v>1</v>
      </c>
      <c r="R44" s="2" t="inlineStr">
        <is>
          <t>Vedticka</t>
        </is>
      </c>
      <c r="S44">
        <f>HYPERLINK("https://klasma.github.io/Logging_1981/artfynd/A 43068-2024 artfynd.xlsx", "A 43068-2024")</f>
        <v/>
      </c>
      <c r="T44">
        <f>HYPERLINK("https://klasma.github.io/Logging_1981/kartor/A 43068-2024 karta.png", "A 43068-2024")</f>
        <v/>
      </c>
      <c r="V44">
        <f>HYPERLINK("https://klasma.github.io/Logging_1981/klagomål/A 43068-2024 FSC-klagomål.docx", "A 43068-2024")</f>
        <v/>
      </c>
      <c r="W44">
        <f>HYPERLINK("https://klasma.github.io/Logging_1981/klagomålsmail/A 43068-2024 FSC-klagomål mail.docx", "A 43068-2024")</f>
        <v/>
      </c>
      <c r="X44">
        <f>HYPERLINK("https://klasma.github.io/Logging_1981/tillsyn/A 43068-2024 tillsynsbegäran.docx", "A 43068-2024")</f>
        <v/>
      </c>
      <c r="Y44">
        <f>HYPERLINK("https://klasma.github.io/Logging_1981/tillsynsmail/A 43068-2024 tillsynsbegäran mail.docx", "A 43068-2024")</f>
        <v/>
      </c>
    </row>
    <row r="45" ht="15" customHeight="1">
      <c r="A45" t="inlineStr">
        <is>
          <t>A 41570-2021</t>
        </is>
      </c>
      <c r="B45" s="1" t="n">
        <v>44425</v>
      </c>
      <c r="C45" s="1" t="n">
        <v>45976</v>
      </c>
      <c r="D45" t="inlineStr">
        <is>
          <t>VÄSTMANLANDS LÄN</t>
        </is>
      </c>
      <c r="E45" t="inlineStr">
        <is>
          <t>SALA</t>
        </is>
      </c>
      <c r="G45" t="n">
        <v>1.4</v>
      </c>
      <c r="H45" t="n">
        <v>0</v>
      </c>
      <c r="I45" t="n">
        <v>0</v>
      </c>
      <c r="J45" t="n">
        <v>1</v>
      </c>
      <c r="K45" t="n">
        <v>0</v>
      </c>
      <c r="L45" t="n">
        <v>0</v>
      </c>
      <c r="M45" t="n">
        <v>0</v>
      </c>
      <c r="N45" t="n">
        <v>0</v>
      </c>
      <c r="O45" t="n">
        <v>1</v>
      </c>
      <c r="P45" t="n">
        <v>0</v>
      </c>
      <c r="Q45" t="n">
        <v>1</v>
      </c>
      <c r="R45" s="2" t="inlineStr">
        <is>
          <t>Vedtrappmossa</t>
        </is>
      </c>
      <c r="S45">
        <f>HYPERLINK("https://klasma.github.io/Logging_1981/artfynd/A 41570-2021 artfynd.xlsx", "A 41570-2021")</f>
        <v/>
      </c>
      <c r="T45">
        <f>HYPERLINK("https://klasma.github.io/Logging_1981/kartor/A 41570-2021 karta.png", "A 41570-2021")</f>
        <v/>
      </c>
      <c r="V45">
        <f>HYPERLINK("https://klasma.github.io/Logging_1981/klagomål/A 41570-2021 FSC-klagomål.docx", "A 41570-2021")</f>
        <v/>
      </c>
      <c r="W45">
        <f>HYPERLINK("https://klasma.github.io/Logging_1981/klagomålsmail/A 41570-2021 FSC-klagomål mail.docx", "A 41570-2021")</f>
        <v/>
      </c>
      <c r="X45">
        <f>HYPERLINK("https://klasma.github.io/Logging_1981/tillsyn/A 41570-2021 tillsynsbegäran.docx", "A 41570-2021")</f>
        <v/>
      </c>
      <c r="Y45">
        <f>HYPERLINK("https://klasma.github.io/Logging_1981/tillsynsmail/A 41570-2021 tillsynsbegäran mail.docx", "A 41570-2021")</f>
        <v/>
      </c>
    </row>
    <row r="46" ht="15" customHeight="1">
      <c r="A46" t="inlineStr">
        <is>
          <t>A 37166-2024</t>
        </is>
      </c>
      <c r="B46" s="1" t="n">
        <v>45539</v>
      </c>
      <c r="C46" s="1" t="n">
        <v>45976</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48705-2025</t>
        </is>
      </c>
      <c r="B47" s="1" t="n">
        <v>45936.62290509259</v>
      </c>
      <c r="C47" s="1" t="n">
        <v>45976</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7919-2022</t>
        </is>
      </c>
      <c r="B48" s="1" t="n">
        <v>44608</v>
      </c>
      <c r="C48" s="1" t="n">
        <v>45976</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29727-2023</t>
        </is>
      </c>
      <c r="B49" s="1" t="n">
        <v>45107</v>
      </c>
      <c r="C49" s="1" t="n">
        <v>45976</v>
      </c>
      <c r="D49" t="inlineStr">
        <is>
          <t>VÄSTMANLANDS LÄN</t>
        </is>
      </c>
      <c r="E49" t="inlineStr">
        <is>
          <t>SALA</t>
        </is>
      </c>
      <c r="G49" t="n">
        <v>1.9</v>
      </c>
      <c r="H49" t="n">
        <v>0</v>
      </c>
      <c r="I49" t="n">
        <v>0</v>
      </c>
      <c r="J49" t="n">
        <v>1</v>
      </c>
      <c r="K49" t="n">
        <v>0</v>
      </c>
      <c r="L49" t="n">
        <v>0</v>
      </c>
      <c r="M49" t="n">
        <v>0</v>
      </c>
      <c r="N49" t="n">
        <v>0</v>
      </c>
      <c r="O49" t="n">
        <v>1</v>
      </c>
      <c r="P49" t="n">
        <v>0</v>
      </c>
      <c r="Q49" t="n">
        <v>1</v>
      </c>
      <c r="R49" s="2" t="inlineStr">
        <is>
          <t>Vedtrappmossa</t>
        </is>
      </c>
      <c r="S49">
        <f>HYPERLINK("https://klasma.github.io/Logging_1981/artfynd/A 29727-2023 artfynd.xlsx", "A 29727-2023")</f>
        <v/>
      </c>
      <c r="T49">
        <f>HYPERLINK("https://klasma.github.io/Logging_1981/kartor/A 29727-2023 karta.png", "A 29727-2023")</f>
        <v/>
      </c>
      <c r="V49">
        <f>HYPERLINK("https://klasma.github.io/Logging_1981/klagomål/A 29727-2023 FSC-klagomål.docx", "A 29727-2023")</f>
        <v/>
      </c>
      <c r="W49">
        <f>HYPERLINK("https://klasma.github.io/Logging_1981/klagomålsmail/A 29727-2023 FSC-klagomål mail.docx", "A 29727-2023")</f>
        <v/>
      </c>
      <c r="X49">
        <f>HYPERLINK("https://klasma.github.io/Logging_1981/tillsyn/A 29727-2023 tillsynsbegäran.docx", "A 29727-2023")</f>
        <v/>
      </c>
      <c r="Y49">
        <f>HYPERLINK("https://klasma.github.io/Logging_1981/tillsynsmail/A 29727-2023 tillsynsbegäran mail.docx", "A 29727-2023")</f>
        <v/>
      </c>
    </row>
    <row r="50" ht="15" customHeight="1">
      <c r="A50" t="inlineStr">
        <is>
          <t>A 43175-2023</t>
        </is>
      </c>
      <c r="B50" s="1" t="n">
        <v>45183</v>
      </c>
      <c r="C50" s="1" t="n">
        <v>45976</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29985-2022</t>
        </is>
      </c>
      <c r="B51" s="1" t="n">
        <v>44756</v>
      </c>
      <c r="C51" s="1" t="n">
        <v>45976</v>
      </c>
      <c r="D51" t="inlineStr">
        <is>
          <t>VÄSTMANLANDS LÄN</t>
        </is>
      </c>
      <c r="E51" t="inlineStr">
        <is>
          <t>SALA</t>
        </is>
      </c>
      <c r="F51" t="inlineStr">
        <is>
          <t>Kommuner</t>
        </is>
      </c>
      <c r="G51" t="n">
        <v>1</v>
      </c>
      <c r="H51" t="n">
        <v>1</v>
      </c>
      <c r="I51" t="n">
        <v>1</v>
      </c>
      <c r="J51" t="n">
        <v>0</v>
      </c>
      <c r="K51" t="n">
        <v>0</v>
      </c>
      <c r="L51" t="n">
        <v>0</v>
      </c>
      <c r="M51" t="n">
        <v>0</v>
      </c>
      <c r="N51" t="n">
        <v>0</v>
      </c>
      <c r="O51" t="n">
        <v>0</v>
      </c>
      <c r="P51" t="n">
        <v>0</v>
      </c>
      <c r="Q51" t="n">
        <v>1</v>
      </c>
      <c r="R51" s="2" t="inlineStr">
        <is>
          <t>Skogsknipprot</t>
        </is>
      </c>
      <c r="S51">
        <f>HYPERLINK("https://klasma.github.io/Logging_1981/artfynd/A 29985-2022 artfynd.xlsx", "A 29985-2022")</f>
        <v/>
      </c>
      <c r="T51">
        <f>HYPERLINK("https://klasma.github.io/Logging_1981/kartor/A 29985-2022 karta.png", "A 29985-2022")</f>
        <v/>
      </c>
      <c r="V51">
        <f>HYPERLINK("https://klasma.github.io/Logging_1981/klagomål/A 29985-2022 FSC-klagomål.docx", "A 29985-2022")</f>
        <v/>
      </c>
      <c r="W51">
        <f>HYPERLINK("https://klasma.github.io/Logging_1981/klagomålsmail/A 29985-2022 FSC-klagomål mail.docx", "A 29985-2022")</f>
        <v/>
      </c>
      <c r="X51">
        <f>HYPERLINK("https://klasma.github.io/Logging_1981/tillsyn/A 29985-2022 tillsynsbegäran.docx", "A 29985-2022")</f>
        <v/>
      </c>
      <c r="Y51">
        <f>HYPERLINK("https://klasma.github.io/Logging_1981/tillsynsmail/A 29985-2022 tillsynsbegäran mail.docx", "A 29985-2022")</f>
        <v/>
      </c>
    </row>
    <row r="52" ht="15" customHeight="1">
      <c r="A52" t="inlineStr">
        <is>
          <t>A 7731-2023</t>
        </is>
      </c>
      <c r="B52" s="1" t="n">
        <v>44973</v>
      </c>
      <c r="C52" s="1" t="n">
        <v>45976</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50268-2025</t>
        </is>
      </c>
      <c r="B53" s="1" t="n">
        <v>45944.35162037037</v>
      </c>
      <c r="C53" s="1" t="n">
        <v>45976</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56704-2022</t>
        </is>
      </c>
      <c r="B54" s="1" t="n">
        <v>44893.78075231481</v>
      </c>
      <c r="C54" s="1" t="n">
        <v>45976</v>
      </c>
      <c r="D54" t="inlineStr">
        <is>
          <t>VÄSTMANLANDS LÄN</t>
        </is>
      </c>
      <c r="E54" t="inlineStr">
        <is>
          <t>SALA</t>
        </is>
      </c>
      <c r="G54" t="n">
        <v>3.2</v>
      </c>
      <c r="H54" t="n">
        <v>1</v>
      </c>
      <c r="I54" t="n">
        <v>0</v>
      </c>
      <c r="J54" t="n">
        <v>0</v>
      </c>
      <c r="K54" t="n">
        <v>1</v>
      </c>
      <c r="L54" t="n">
        <v>0</v>
      </c>
      <c r="M54" t="n">
        <v>0</v>
      </c>
      <c r="N54" t="n">
        <v>0</v>
      </c>
      <c r="O54" t="n">
        <v>1</v>
      </c>
      <c r="P54" t="n">
        <v>1</v>
      </c>
      <c r="Q54" t="n">
        <v>1</v>
      </c>
      <c r="R54" s="2" t="inlineStr">
        <is>
          <t>Knärot</t>
        </is>
      </c>
      <c r="S54">
        <f>HYPERLINK("https://klasma.github.io/Logging_1981/artfynd/A 56704-2022 artfynd.xlsx", "A 56704-2022")</f>
        <v/>
      </c>
      <c r="T54">
        <f>HYPERLINK("https://klasma.github.io/Logging_1981/kartor/A 56704-2022 karta.png", "A 56704-2022")</f>
        <v/>
      </c>
      <c r="U54">
        <f>HYPERLINK("https://klasma.github.io/Logging_1981/knärot/A 56704-2022 karta knärot.png", "A 56704-2022")</f>
        <v/>
      </c>
      <c r="V54">
        <f>HYPERLINK("https://klasma.github.io/Logging_1981/klagomål/A 56704-2022 FSC-klagomål.docx", "A 56704-2022")</f>
        <v/>
      </c>
      <c r="W54">
        <f>HYPERLINK("https://klasma.github.io/Logging_1981/klagomålsmail/A 56704-2022 FSC-klagomål mail.docx", "A 56704-2022")</f>
        <v/>
      </c>
      <c r="X54">
        <f>HYPERLINK("https://klasma.github.io/Logging_1981/tillsyn/A 56704-2022 tillsynsbegäran.docx", "A 56704-2022")</f>
        <v/>
      </c>
      <c r="Y54">
        <f>HYPERLINK("https://klasma.github.io/Logging_1981/tillsynsmail/A 56704-2022 tillsynsbegäran mail.docx", "A 56704-2022")</f>
        <v/>
      </c>
    </row>
    <row r="55" ht="15" customHeight="1">
      <c r="A55" t="inlineStr">
        <is>
          <t>A 55550-2023</t>
        </is>
      </c>
      <c r="B55" s="1" t="n">
        <v>45232</v>
      </c>
      <c r="C55" s="1" t="n">
        <v>45976</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21738-2025</t>
        </is>
      </c>
      <c r="B56" s="1" t="n">
        <v>45783.59173611111</v>
      </c>
      <c r="C56" s="1" t="n">
        <v>45976</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53052-2025</t>
        </is>
      </c>
      <c r="B57" s="1" t="n">
        <v>45958.36266203703</v>
      </c>
      <c r="C57" s="1" t="n">
        <v>45976</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22950-2025</t>
        </is>
      </c>
      <c r="B58" s="1" t="n">
        <v>45790.50728009259</v>
      </c>
      <c r="C58" s="1" t="n">
        <v>45976</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55995-2025</t>
        </is>
      </c>
      <c r="B59" s="1" t="n">
        <v>45973.56733796297</v>
      </c>
      <c r="C59" s="1" t="n">
        <v>45976</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41270-2024</t>
        </is>
      </c>
      <c r="B60" s="1" t="n">
        <v>45559</v>
      </c>
      <c r="C60" s="1" t="n">
        <v>45976</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32594-2025</t>
        </is>
      </c>
      <c r="B61" s="1" t="n">
        <v>45838</v>
      </c>
      <c r="C61" s="1" t="n">
        <v>45976</v>
      </c>
      <c r="D61" t="inlineStr">
        <is>
          <t>VÄSTMANLANDS LÄN</t>
        </is>
      </c>
      <c r="E61" t="inlineStr">
        <is>
          <t>SALA</t>
        </is>
      </c>
      <c r="F61" t="inlineStr">
        <is>
          <t>Bergvik skog öst AB</t>
        </is>
      </c>
      <c r="G61" t="n">
        <v>0.9</v>
      </c>
      <c r="H61" t="n">
        <v>1</v>
      </c>
      <c r="I61" t="n">
        <v>0</v>
      </c>
      <c r="J61" t="n">
        <v>0</v>
      </c>
      <c r="K61" t="n">
        <v>0</v>
      </c>
      <c r="L61" t="n">
        <v>0</v>
      </c>
      <c r="M61" t="n">
        <v>0</v>
      </c>
      <c r="N61" t="n">
        <v>0</v>
      </c>
      <c r="O61" t="n">
        <v>0</v>
      </c>
      <c r="P61" t="n">
        <v>0</v>
      </c>
      <c r="Q61" t="n">
        <v>1</v>
      </c>
      <c r="R61" s="2" t="inlineStr">
        <is>
          <t>Blåsippa</t>
        </is>
      </c>
      <c r="S61">
        <f>HYPERLINK("https://klasma.github.io/Logging_1981/artfynd/A 32594-2025 artfynd.xlsx", "A 32594-2025")</f>
        <v/>
      </c>
      <c r="T61">
        <f>HYPERLINK("https://klasma.github.io/Logging_1981/kartor/A 32594-2025 karta.png", "A 32594-2025")</f>
        <v/>
      </c>
      <c r="V61">
        <f>HYPERLINK("https://klasma.github.io/Logging_1981/klagomål/A 32594-2025 FSC-klagomål.docx", "A 32594-2025")</f>
        <v/>
      </c>
      <c r="W61">
        <f>HYPERLINK("https://klasma.github.io/Logging_1981/klagomålsmail/A 32594-2025 FSC-klagomål mail.docx", "A 32594-2025")</f>
        <v/>
      </c>
      <c r="X61">
        <f>HYPERLINK("https://klasma.github.io/Logging_1981/tillsyn/A 32594-2025 tillsynsbegäran.docx", "A 32594-2025")</f>
        <v/>
      </c>
      <c r="Y61">
        <f>HYPERLINK("https://klasma.github.io/Logging_1981/tillsynsmail/A 32594-2025 tillsynsbegäran mail.docx", "A 32594-2025")</f>
        <v/>
      </c>
    </row>
    <row r="62" ht="15" customHeight="1">
      <c r="A62" t="inlineStr">
        <is>
          <t>A 22350-2024</t>
        </is>
      </c>
      <c r="B62" s="1" t="n">
        <v>45446</v>
      </c>
      <c r="C62" s="1" t="n">
        <v>45976</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Blåsippa</t>
        </is>
      </c>
      <c r="S62">
        <f>HYPERLINK("https://klasma.github.io/Logging_1981/artfynd/A 22350-2024 artfynd.xlsx", "A 22350-2024")</f>
        <v/>
      </c>
      <c r="T62">
        <f>HYPERLINK("https://klasma.github.io/Logging_1981/kartor/A 22350-2024 karta.png", "A 22350-2024")</f>
        <v/>
      </c>
      <c r="V62">
        <f>HYPERLINK("https://klasma.github.io/Logging_1981/klagomål/A 22350-2024 FSC-klagomål.docx", "A 22350-2024")</f>
        <v/>
      </c>
      <c r="W62">
        <f>HYPERLINK("https://klasma.github.io/Logging_1981/klagomålsmail/A 22350-2024 FSC-klagomål mail.docx", "A 22350-2024")</f>
        <v/>
      </c>
      <c r="X62">
        <f>HYPERLINK("https://klasma.github.io/Logging_1981/tillsyn/A 22350-2024 tillsynsbegäran.docx", "A 22350-2024")</f>
        <v/>
      </c>
      <c r="Y62">
        <f>HYPERLINK("https://klasma.github.io/Logging_1981/tillsynsmail/A 22350-2024 tillsynsbegäran mail.docx", "A 22350-2024")</f>
        <v/>
      </c>
    </row>
    <row r="63" ht="15" customHeight="1">
      <c r="A63" t="inlineStr">
        <is>
          <t>A 69194-2020</t>
        </is>
      </c>
      <c r="B63" s="1" t="n">
        <v>44191</v>
      </c>
      <c r="C63" s="1" t="n">
        <v>45976</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45976</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45976</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45976</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45976</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45976</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45976</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45976</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45976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45976</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45976</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45976</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45976</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45976</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45976</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45976</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45976</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45976</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45976</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45976</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45976</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45976</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45976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45976</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45976</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45976</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45976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45976</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45976</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45976</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45976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45976</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45976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45976</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45976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45976</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45976</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45976</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45976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45976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45976</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45976</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45976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45976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45976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45976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45976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45976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45976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45976</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45976</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45976</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45976</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45976</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45976</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45976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45976</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45976</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45976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45976</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45976</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45976</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45976</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45976</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45976</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45976</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45976</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45976</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45976</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45976</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45976</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45976</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45976</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73606-2021</t>
        </is>
      </c>
      <c r="B136" s="1" t="n">
        <v>44552</v>
      </c>
      <c r="C136" s="1" t="n">
        <v>45976</v>
      </c>
      <c r="D136" t="inlineStr">
        <is>
          <t>VÄSTMANLANDS LÄN</t>
        </is>
      </c>
      <c r="E136" t="inlineStr">
        <is>
          <t>SALA</t>
        </is>
      </c>
      <c r="G136" t="n">
        <v>1.5</v>
      </c>
      <c r="H136" t="n">
        <v>0</v>
      </c>
      <c r="I136" t="n">
        <v>0</v>
      </c>
      <c r="J136" t="n">
        <v>0</v>
      </c>
      <c r="K136" t="n">
        <v>0</v>
      </c>
      <c r="L136" t="n">
        <v>0</v>
      </c>
      <c r="M136" t="n">
        <v>0</v>
      </c>
      <c r="N136" t="n">
        <v>0</v>
      </c>
      <c r="O136" t="n">
        <v>0</v>
      </c>
      <c r="P136" t="n">
        <v>0</v>
      </c>
      <c r="Q136" t="n">
        <v>0</v>
      </c>
      <c r="R136" s="2" t="inlineStr"/>
    </row>
    <row r="137" ht="15" customHeight="1">
      <c r="A137" t="inlineStr">
        <is>
          <t>A 10168-2022</t>
        </is>
      </c>
      <c r="B137" s="1" t="n">
        <v>44622.37693287037</v>
      </c>
      <c r="C137" s="1" t="n">
        <v>45976</v>
      </c>
      <c r="D137" t="inlineStr">
        <is>
          <t>VÄSTMANLANDS LÄN</t>
        </is>
      </c>
      <c r="E137" t="inlineStr">
        <is>
          <t>SALA</t>
        </is>
      </c>
      <c r="G137" t="n">
        <v>2.1</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45976</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69192-2020</t>
        </is>
      </c>
      <c r="B139" s="1" t="n">
        <v>44191</v>
      </c>
      <c r="C139" s="1" t="n">
        <v>45976</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53735-2022</t>
        </is>
      </c>
      <c r="B140" s="1" t="n">
        <v>44880.42752314815</v>
      </c>
      <c r="C140" s="1" t="n">
        <v>45976</v>
      </c>
      <c r="D140" t="inlineStr">
        <is>
          <t>VÄSTMANLANDS LÄN</t>
        </is>
      </c>
      <c r="E140" t="inlineStr">
        <is>
          <t>SALA</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72405-2021</t>
        </is>
      </c>
      <c r="B141" s="1" t="n">
        <v>44545</v>
      </c>
      <c r="C141" s="1" t="n">
        <v>45976</v>
      </c>
      <c r="D141" t="inlineStr">
        <is>
          <t>VÄSTMANLANDS LÄN</t>
        </is>
      </c>
      <c r="E141" t="inlineStr">
        <is>
          <t>SALA</t>
        </is>
      </c>
      <c r="G141" t="n">
        <v>1</v>
      </c>
      <c r="H141" t="n">
        <v>0</v>
      </c>
      <c r="I141" t="n">
        <v>0</v>
      </c>
      <c r="J141" t="n">
        <v>0</v>
      </c>
      <c r="K141" t="n">
        <v>0</v>
      </c>
      <c r="L141" t="n">
        <v>0</v>
      </c>
      <c r="M141" t="n">
        <v>0</v>
      </c>
      <c r="N141" t="n">
        <v>0</v>
      </c>
      <c r="O141" t="n">
        <v>0</v>
      </c>
      <c r="P141" t="n">
        <v>0</v>
      </c>
      <c r="Q141" t="n">
        <v>0</v>
      </c>
      <c r="R141" s="2" t="inlineStr"/>
    </row>
    <row r="142" ht="15" customHeight="1">
      <c r="A142" t="inlineStr">
        <is>
          <t>A 63290-2021</t>
        </is>
      </c>
      <c r="B142" s="1" t="n">
        <v>44505</v>
      </c>
      <c r="C142" s="1" t="n">
        <v>45976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57000-2021</t>
        </is>
      </c>
      <c r="B143" s="1" t="n">
        <v>44482.46760416667</v>
      </c>
      <c r="C143" s="1" t="n">
        <v>45976</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26579-2021</t>
        </is>
      </c>
      <c r="B144" s="1" t="n">
        <v>44348</v>
      </c>
      <c r="C144" s="1" t="n">
        <v>45976</v>
      </c>
      <c r="D144" t="inlineStr">
        <is>
          <t>VÄSTMANLANDS LÄN</t>
        </is>
      </c>
      <c r="E144" t="inlineStr">
        <is>
          <t>SALA</t>
        </is>
      </c>
      <c r="G144" t="n">
        <v>1.6</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45976</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73519-2021</t>
        </is>
      </c>
      <c r="B146" s="1" t="n">
        <v>44551</v>
      </c>
      <c r="C146" s="1" t="n">
        <v>45976</v>
      </c>
      <c r="D146" t="inlineStr">
        <is>
          <t>VÄSTMANLANDS LÄN</t>
        </is>
      </c>
      <c r="E146" t="inlineStr">
        <is>
          <t>SALA</t>
        </is>
      </c>
      <c r="G146" t="n">
        <v>0.3</v>
      </c>
      <c r="H146" t="n">
        <v>0</v>
      </c>
      <c r="I146" t="n">
        <v>0</v>
      </c>
      <c r="J146" t="n">
        <v>0</v>
      </c>
      <c r="K146" t="n">
        <v>0</v>
      </c>
      <c r="L146" t="n">
        <v>0</v>
      </c>
      <c r="M146" t="n">
        <v>0</v>
      </c>
      <c r="N146" t="n">
        <v>0</v>
      </c>
      <c r="O146" t="n">
        <v>0</v>
      </c>
      <c r="P146" t="n">
        <v>0</v>
      </c>
      <c r="Q146" t="n">
        <v>0</v>
      </c>
      <c r="R146" s="2" t="inlineStr"/>
    </row>
    <row r="147" ht="15" customHeight="1">
      <c r="A147" t="inlineStr">
        <is>
          <t>A 64932-2021</t>
        </is>
      </c>
      <c r="B147" s="1" t="n">
        <v>44512</v>
      </c>
      <c r="C147" s="1" t="n">
        <v>45976</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45976</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37881-2021</t>
        </is>
      </c>
      <c r="B149" s="1" t="n">
        <v>44403</v>
      </c>
      <c r="C149" s="1" t="n">
        <v>45976</v>
      </c>
      <c r="D149" t="inlineStr">
        <is>
          <t>VÄSTMANLANDS LÄN</t>
        </is>
      </c>
      <c r="E149" t="inlineStr">
        <is>
          <t>SALA</t>
        </is>
      </c>
      <c r="G149" t="n">
        <v>4.6</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45976</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9050-2022</t>
        </is>
      </c>
      <c r="B151" s="1" t="n">
        <v>44615.45451388889</v>
      </c>
      <c r="C151" s="1" t="n">
        <v>45976</v>
      </c>
      <c r="D151" t="inlineStr">
        <is>
          <t>VÄSTMANLANDS LÄN</t>
        </is>
      </c>
      <c r="E151" t="inlineStr">
        <is>
          <t>SALA</t>
        </is>
      </c>
      <c r="G151" t="n">
        <v>3.1</v>
      </c>
      <c r="H151" t="n">
        <v>0</v>
      </c>
      <c r="I151" t="n">
        <v>0</v>
      </c>
      <c r="J151" t="n">
        <v>0</v>
      </c>
      <c r="K151" t="n">
        <v>0</v>
      </c>
      <c r="L151" t="n">
        <v>0</v>
      </c>
      <c r="M151" t="n">
        <v>0</v>
      </c>
      <c r="N151" t="n">
        <v>0</v>
      </c>
      <c r="O151" t="n">
        <v>0</v>
      </c>
      <c r="P151" t="n">
        <v>0</v>
      </c>
      <c r="Q151" t="n">
        <v>0</v>
      </c>
      <c r="R151" s="2" t="inlineStr"/>
    </row>
    <row r="152" ht="15" customHeight="1">
      <c r="A152" t="inlineStr">
        <is>
          <t>A 72805-2021</t>
        </is>
      </c>
      <c r="B152" s="1" t="n">
        <v>44546</v>
      </c>
      <c r="C152" s="1" t="n">
        <v>45976</v>
      </c>
      <c r="D152" t="inlineStr">
        <is>
          <t>VÄSTMANLANDS LÄN</t>
        </is>
      </c>
      <c r="E152" t="inlineStr">
        <is>
          <t>SALA</t>
        </is>
      </c>
      <c r="G152" t="n">
        <v>7.8</v>
      </c>
      <c r="H152" t="n">
        <v>0</v>
      </c>
      <c r="I152" t="n">
        <v>0</v>
      </c>
      <c r="J152" t="n">
        <v>0</v>
      </c>
      <c r="K152" t="n">
        <v>0</v>
      </c>
      <c r="L152" t="n">
        <v>0</v>
      </c>
      <c r="M152" t="n">
        <v>0</v>
      </c>
      <c r="N152" t="n">
        <v>0</v>
      </c>
      <c r="O152" t="n">
        <v>0</v>
      </c>
      <c r="P152" t="n">
        <v>0</v>
      </c>
      <c r="Q152" t="n">
        <v>0</v>
      </c>
      <c r="R152" s="2" t="inlineStr"/>
    </row>
    <row r="153" ht="15" customHeight="1">
      <c r="A153" t="inlineStr">
        <is>
          <t>A 72808-2021</t>
        </is>
      </c>
      <c r="B153" s="1" t="n">
        <v>44546</v>
      </c>
      <c r="C153" s="1" t="n">
        <v>45976</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49254-2022</t>
        </is>
      </c>
      <c r="B154" s="1" t="n">
        <v>44861</v>
      </c>
      <c r="C154" s="1" t="n">
        <v>45976</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45976</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40113-2022</t>
        </is>
      </c>
      <c r="B156" s="1" t="n">
        <v>44819</v>
      </c>
      <c r="C156" s="1" t="n">
        <v>45976</v>
      </c>
      <c r="D156" t="inlineStr">
        <is>
          <t>VÄSTMANLANDS LÄN</t>
        </is>
      </c>
      <c r="E156" t="inlineStr">
        <is>
          <t>SALA</t>
        </is>
      </c>
      <c r="G156" t="n">
        <v>0.9</v>
      </c>
      <c r="H156" t="n">
        <v>0</v>
      </c>
      <c r="I156" t="n">
        <v>0</v>
      </c>
      <c r="J156" t="n">
        <v>0</v>
      </c>
      <c r="K156" t="n">
        <v>0</v>
      </c>
      <c r="L156" t="n">
        <v>0</v>
      </c>
      <c r="M156" t="n">
        <v>0</v>
      </c>
      <c r="N156" t="n">
        <v>0</v>
      </c>
      <c r="O156" t="n">
        <v>0</v>
      </c>
      <c r="P156" t="n">
        <v>0</v>
      </c>
      <c r="Q156" t="n">
        <v>0</v>
      </c>
      <c r="R156" s="2" t="inlineStr"/>
    </row>
    <row r="157" ht="15" customHeight="1">
      <c r="A157" t="inlineStr">
        <is>
          <t>A 11370-2022</t>
        </is>
      </c>
      <c r="B157" s="1" t="n">
        <v>44630</v>
      </c>
      <c r="C157" s="1" t="n">
        <v>45976</v>
      </c>
      <c r="D157" t="inlineStr">
        <is>
          <t>VÄSTMANLANDS LÄN</t>
        </is>
      </c>
      <c r="E157" t="inlineStr">
        <is>
          <t>SALA</t>
        </is>
      </c>
      <c r="G157" t="n">
        <v>4.3</v>
      </c>
      <c r="H157" t="n">
        <v>0</v>
      </c>
      <c r="I157" t="n">
        <v>0</v>
      </c>
      <c r="J157" t="n">
        <v>0</v>
      </c>
      <c r="K157" t="n">
        <v>0</v>
      </c>
      <c r="L157" t="n">
        <v>0</v>
      </c>
      <c r="M157" t="n">
        <v>0</v>
      </c>
      <c r="N157" t="n">
        <v>0</v>
      </c>
      <c r="O157" t="n">
        <v>0</v>
      </c>
      <c r="P157" t="n">
        <v>0</v>
      </c>
      <c r="Q157" t="n">
        <v>0</v>
      </c>
      <c r="R157" s="2" t="inlineStr"/>
    </row>
    <row r="158" ht="15" customHeight="1">
      <c r="A158" t="inlineStr">
        <is>
          <t>A 23847-2022</t>
        </is>
      </c>
      <c r="B158" s="1" t="n">
        <v>44722</v>
      </c>
      <c r="C158" s="1" t="n">
        <v>45976</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29233-2022</t>
        </is>
      </c>
      <c r="B159" s="1" t="n">
        <v>44750</v>
      </c>
      <c r="C159" s="1" t="n">
        <v>45976</v>
      </c>
      <c r="D159" t="inlineStr">
        <is>
          <t>VÄSTMANLANDS LÄN</t>
        </is>
      </c>
      <c r="E159" t="inlineStr">
        <is>
          <t>SALA</t>
        </is>
      </c>
      <c r="G159" t="n">
        <v>2.4</v>
      </c>
      <c r="H159" t="n">
        <v>0</v>
      </c>
      <c r="I159" t="n">
        <v>0</v>
      </c>
      <c r="J159" t="n">
        <v>0</v>
      </c>
      <c r="K159" t="n">
        <v>0</v>
      </c>
      <c r="L159" t="n">
        <v>0</v>
      </c>
      <c r="M159" t="n">
        <v>0</v>
      </c>
      <c r="N159" t="n">
        <v>0</v>
      </c>
      <c r="O159" t="n">
        <v>0</v>
      </c>
      <c r="P159" t="n">
        <v>0</v>
      </c>
      <c r="Q159" t="n">
        <v>0</v>
      </c>
      <c r="R159" s="2" t="inlineStr"/>
    </row>
    <row r="160" ht="15" customHeight="1">
      <c r="A160" t="inlineStr">
        <is>
          <t>A 58107-2021</t>
        </is>
      </c>
      <c r="B160" s="1" t="n">
        <v>44487</v>
      </c>
      <c r="C160" s="1" t="n">
        <v>45976</v>
      </c>
      <c r="D160" t="inlineStr">
        <is>
          <t>VÄSTMANLANDS LÄN</t>
        </is>
      </c>
      <c r="E160" t="inlineStr">
        <is>
          <t>SALA</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35462-2024</t>
        </is>
      </c>
      <c r="B161" s="1" t="n">
        <v>45531</v>
      </c>
      <c r="C161" s="1" t="n">
        <v>45976</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14024-2025</t>
        </is>
      </c>
      <c r="B162" s="1" t="n">
        <v>45740.34650462963</v>
      </c>
      <c r="C162" s="1" t="n">
        <v>45976</v>
      </c>
      <c r="D162" t="inlineStr">
        <is>
          <t>VÄSTMANLANDS LÄN</t>
        </is>
      </c>
      <c r="E162" t="inlineStr">
        <is>
          <t>SALA</t>
        </is>
      </c>
      <c r="G162" t="n">
        <v>1.1</v>
      </c>
      <c r="H162" t="n">
        <v>0</v>
      </c>
      <c r="I162" t="n">
        <v>0</v>
      </c>
      <c r="J162" t="n">
        <v>0</v>
      </c>
      <c r="K162" t="n">
        <v>0</v>
      </c>
      <c r="L162" t="n">
        <v>0</v>
      </c>
      <c r="M162" t="n">
        <v>0</v>
      </c>
      <c r="N162" t="n">
        <v>0</v>
      </c>
      <c r="O162" t="n">
        <v>0</v>
      </c>
      <c r="P162" t="n">
        <v>0</v>
      </c>
      <c r="Q162" t="n">
        <v>0</v>
      </c>
      <c r="R162" s="2" t="inlineStr"/>
    </row>
    <row r="163" ht="15" customHeight="1">
      <c r="A163" t="inlineStr">
        <is>
          <t>A 30915-2021</t>
        </is>
      </c>
      <c r="B163" s="1" t="n">
        <v>44365</v>
      </c>
      <c r="C163" s="1" t="n">
        <v>45976</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30918-2021</t>
        </is>
      </c>
      <c r="B164" s="1" t="n">
        <v>44365.60569444444</v>
      </c>
      <c r="C164" s="1" t="n">
        <v>45976</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22562-2022</t>
        </is>
      </c>
      <c r="B165" s="1" t="n">
        <v>44713</v>
      </c>
      <c r="C165" s="1" t="n">
        <v>45976</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26692-2023</t>
        </is>
      </c>
      <c r="B166" s="1" t="n">
        <v>45093.360625</v>
      </c>
      <c r="C166" s="1" t="n">
        <v>45976</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54910-2023</t>
        </is>
      </c>
      <c r="B167" s="1" t="n">
        <v>45229</v>
      </c>
      <c r="C167" s="1" t="n">
        <v>45976</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62449-2023</t>
        </is>
      </c>
      <c r="B168" s="1" t="n">
        <v>45268.49008101852</v>
      </c>
      <c r="C168" s="1" t="n">
        <v>45976</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67962-2021</t>
        </is>
      </c>
      <c r="B169" s="1" t="n">
        <v>44525</v>
      </c>
      <c r="C169" s="1" t="n">
        <v>45976</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17458-2024</t>
        </is>
      </c>
      <c r="B170" s="1" t="n">
        <v>45415</v>
      </c>
      <c r="C170" s="1" t="n">
        <v>45976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30904-2021</t>
        </is>
      </c>
      <c r="B171" s="1" t="n">
        <v>44365.5983449074</v>
      </c>
      <c r="C171" s="1" t="n">
        <v>45976</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56543-2024</t>
        </is>
      </c>
      <c r="B172" s="1" t="n">
        <v>45625</v>
      </c>
      <c r="C172" s="1" t="n">
        <v>45976</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31950-2023</t>
        </is>
      </c>
      <c r="B173" s="1" t="n">
        <v>45107</v>
      </c>
      <c r="C173" s="1" t="n">
        <v>45976</v>
      </c>
      <c r="D173" t="inlineStr">
        <is>
          <t>VÄSTMANLANDS LÄN</t>
        </is>
      </c>
      <c r="E173" t="inlineStr">
        <is>
          <t>SALA</t>
        </is>
      </c>
      <c r="G173" t="n">
        <v>1.9</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45976</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45976</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45976</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65353-2021</t>
        </is>
      </c>
      <c r="B177" s="1" t="n">
        <v>44515</v>
      </c>
      <c r="C177" s="1" t="n">
        <v>45976</v>
      </c>
      <c r="D177" t="inlineStr">
        <is>
          <t>VÄSTMANLANDS LÄN</t>
        </is>
      </c>
      <c r="E177" t="inlineStr">
        <is>
          <t>SALA</t>
        </is>
      </c>
      <c r="G177" t="n">
        <v>1.5</v>
      </c>
      <c r="H177" t="n">
        <v>0</v>
      </c>
      <c r="I177" t="n">
        <v>0</v>
      </c>
      <c r="J177" t="n">
        <v>0</v>
      </c>
      <c r="K177" t="n">
        <v>0</v>
      </c>
      <c r="L177" t="n">
        <v>0</v>
      </c>
      <c r="M177" t="n">
        <v>0</v>
      </c>
      <c r="N177" t="n">
        <v>0</v>
      </c>
      <c r="O177" t="n">
        <v>0</v>
      </c>
      <c r="P177" t="n">
        <v>0</v>
      </c>
      <c r="Q177" t="n">
        <v>0</v>
      </c>
      <c r="R177" s="2" t="inlineStr"/>
    </row>
    <row r="178" ht="15" customHeight="1">
      <c r="A178" t="inlineStr">
        <is>
          <t>A 45015-2022</t>
        </is>
      </c>
      <c r="B178" s="1" t="n">
        <v>44841.63766203704</v>
      </c>
      <c r="C178" s="1" t="n">
        <v>45976</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61415-2020</t>
        </is>
      </c>
      <c r="B179" s="1" t="n">
        <v>44156</v>
      </c>
      <c r="C179" s="1" t="n">
        <v>45976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22575-2022</t>
        </is>
      </c>
      <c r="B180" s="1" t="n">
        <v>44713</v>
      </c>
      <c r="C180" s="1" t="n">
        <v>45976</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16767-2024</t>
        </is>
      </c>
      <c r="B181" s="1" t="n">
        <v>45411.38171296296</v>
      </c>
      <c r="C181" s="1" t="n">
        <v>45976</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40094-2022</t>
        </is>
      </c>
      <c r="B182" s="1" t="n">
        <v>44819</v>
      </c>
      <c r="C182" s="1" t="n">
        <v>45976</v>
      </c>
      <c r="D182" t="inlineStr">
        <is>
          <t>VÄSTMANLANDS LÄN</t>
        </is>
      </c>
      <c r="E182" t="inlineStr">
        <is>
          <t>SALA</t>
        </is>
      </c>
      <c r="G182" t="n">
        <v>1.7</v>
      </c>
      <c r="H182" t="n">
        <v>0</v>
      </c>
      <c r="I182" t="n">
        <v>0</v>
      </c>
      <c r="J182" t="n">
        <v>0</v>
      </c>
      <c r="K182" t="n">
        <v>0</v>
      </c>
      <c r="L182" t="n">
        <v>0</v>
      </c>
      <c r="M182" t="n">
        <v>0</v>
      </c>
      <c r="N182" t="n">
        <v>0</v>
      </c>
      <c r="O182" t="n">
        <v>0</v>
      </c>
      <c r="P182" t="n">
        <v>0</v>
      </c>
      <c r="Q182" t="n">
        <v>0</v>
      </c>
      <c r="R182" s="2" t="inlineStr"/>
    </row>
    <row r="183" ht="15" customHeight="1">
      <c r="A183" t="inlineStr">
        <is>
          <t>A 24882-2022</t>
        </is>
      </c>
      <c r="B183" s="1" t="n">
        <v>44728.56488425926</v>
      </c>
      <c r="C183" s="1" t="n">
        <v>45976</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14047-2021</t>
        </is>
      </c>
      <c r="B184" s="1" t="n">
        <v>44277</v>
      </c>
      <c r="C184" s="1" t="n">
        <v>45976</v>
      </c>
      <c r="D184" t="inlineStr">
        <is>
          <t>VÄSTMANLANDS LÄN</t>
        </is>
      </c>
      <c r="E184" t="inlineStr">
        <is>
          <t>SALA</t>
        </is>
      </c>
      <c r="F184" t="inlineStr">
        <is>
          <t>Kyrkan</t>
        </is>
      </c>
      <c r="G184" t="n">
        <v>0.7</v>
      </c>
      <c r="H184" t="n">
        <v>0</v>
      </c>
      <c r="I184" t="n">
        <v>0</v>
      </c>
      <c r="J184" t="n">
        <v>0</v>
      </c>
      <c r="K184" t="n">
        <v>0</v>
      </c>
      <c r="L184" t="n">
        <v>0</v>
      </c>
      <c r="M184" t="n">
        <v>0</v>
      </c>
      <c r="N184" t="n">
        <v>0</v>
      </c>
      <c r="O184" t="n">
        <v>0</v>
      </c>
      <c r="P184" t="n">
        <v>0</v>
      </c>
      <c r="Q184" t="n">
        <v>0</v>
      </c>
      <c r="R184" s="2" t="inlineStr"/>
    </row>
    <row r="185" ht="15" customHeight="1">
      <c r="A185" t="inlineStr">
        <is>
          <t>A 6097-2022</t>
        </is>
      </c>
      <c r="B185" s="1" t="n">
        <v>44599</v>
      </c>
      <c r="C185" s="1" t="n">
        <v>45976</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25260-2023</t>
        </is>
      </c>
      <c r="B186" s="1" t="n">
        <v>45086</v>
      </c>
      <c r="C186" s="1" t="n">
        <v>45976</v>
      </c>
      <c r="D186" t="inlineStr">
        <is>
          <t>VÄSTMANLANDS LÄN</t>
        </is>
      </c>
      <c r="E186" t="inlineStr">
        <is>
          <t>SALA</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53630-2022</t>
        </is>
      </c>
      <c r="B187" s="1" t="n">
        <v>44879.87533564815</v>
      </c>
      <c r="C187" s="1" t="n">
        <v>45976</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1196-2023</t>
        </is>
      </c>
      <c r="B188" s="1" t="n">
        <v>44935.82290509259</v>
      </c>
      <c r="C188" s="1" t="n">
        <v>45976</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57404-2024</t>
        </is>
      </c>
      <c r="B189" s="1" t="n">
        <v>45629.71967592592</v>
      </c>
      <c r="C189" s="1" t="n">
        <v>45976</v>
      </c>
      <c r="D189" t="inlineStr">
        <is>
          <t>VÄSTMANLANDS LÄN</t>
        </is>
      </c>
      <c r="E189" t="inlineStr">
        <is>
          <t>SALA</t>
        </is>
      </c>
      <c r="G189" t="n">
        <v>0.3</v>
      </c>
      <c r="H189" t="n">
        <v>0</v>
      </c>
      <c r="I189" t="n">
        <v>0</v>
      </c>
      <c r="J189" t="n">
        <v>0</v>
      </c>
      <c r="K189" t="n">
        <v>0</v>
      </c>
      <c r="L189" t="n">
        <v>0</v>
      </c>
      <c r="M189" t="n">
        <v>0</v>
      </c>
      <c r="N189" t="n">
        <v>0</v>
      </c>
      <c r="O189" t="n">
        <v>0</v>
      </c>
      <c r="P189" t="n">
        <v>0</v>
      </c>
      <c r="Q189" t="n">
        <v>0</v>
      </c>
      <c r="R189" s="2" t="inlineStr"/>
    </row>
    <row r="190" ht="15" customHeight="1">
      <c r="A190" t="inlineStr">
        <is>
          <t>A 70218-2021</t>
        </is>
      </c>
      <c r="B190" s="1" t="n">
        <v>44535.6571412037</v>
      </c>
      <c r="C190" s="1" t="n">
        <v>45976</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3204-2022</t>
        </is>
      </c>
      <c r="B191" s="1" t="n">
        <v>44582</v>
      </c>
      <c r="C191" s="1" t="n">
        <v>45976</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26570-2021</t>
        </is>
      </c>
      <c r="B192" s="1" t="n">
        <v>44348</v>
      </c>
      <c r="C192" s="1" t="n">
        <v>45976</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13022-2023</t>
        </is>
      </c>
      <c r="B193" s="1" t="n">
        <v>45002.33291666667</v>
      </c>
      <c r="C193" s="1" t="n">
        <v>45976</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52503-2024</t>
        </is>
      </c>
      <c r="B194" s="1" t="n">
        <v>45609.58806712963</v>
      </c>
      <c r="C194" s="1" t="n">
        <v>45976</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13128-2023</t>
        </is>
      </c>
      <c r="B195" s="1" t="n">
        <v>45002</v>
      </c>
      <c r="C195" s="1" t="n">
        <v>45976</v>
      </c>
      <c r="D195" t="inlineStr">
        <is>
          <t>VÄSTMANLANDS LÄN</t>
        </is>
      </c>
      <c r="E195" t="inlineStr">
        <is>
          <t>SALA</t>
        </is>
      </c>
      <c r="G195" t="n">
        <v>7.9</v>
      </c>
      <c r="H195" t="n">
        <v>0</v>
      </c>
      <c r="I195" t="n">
        <v>0</v>
      </c>
      <c r="J195" t="n">
        <v>0</v>
      </c>
      <c r="K195" t="n">
        <v>0</v>
      </c>
      <c r="L195" t="n">
        <v>0</v>
      </c>
      <c r="M195" t="n">
        <v>0</v>
      </c>
      <c r="N195" t="n">
        <v>0</v>
      </c>
      <c r="O195" t="n">
        <v>0</v>
      </c>
      <c r="P195" t="n">
        <v>0</v>
      </c>
      <c r="Q195" t="n">
        <v>0</v>
      </c>
      <c r="R195" s="2" t="inlineStr"/>
    </row>
    <row r="196" ht="15" customHeight="1">
      <c r="A196" t="inlineStr">
        <is>
          <t>A 4853-2023</t>
        </is>
      </c>
      <c r="B196" s="1" t="n">
        <v>44957.73234953704</v>
      </c>
      <c r="C196" s="1" t="n">
        <v>45976</v>
      </c>
      <c r="D196" t="inlineStr">
        <is>
          <t>VÄSTMANLANDS LÄN</t>
        </is>
      </c>
      <c r="E196" t="inlineStr">
        <is>
          <t>SALA</t>
        </is>
      </c>
      <c r="G196" t="n">
        <v>2.7</v>
      </c>
      <c r="H196" t="n">
        <v>0</v>
      </c>
      <c r="I196" t="n">
        <v>0</v>
      </c>
      <c r="J196" t="n">
        <v>0</v>
      </c>
      <c r="K196" t="n">
        <v>0</v>
      </c>
      <c r="L196" t="n">
        <v>0</v>
      </c>
      <c r="M196" t="n">
        <v>0</v>
      </c>
      <c r="N196" t="n">
        <v>0</v>
      </c>
      <c r="O196" t="n">
        <v>0</v>
      </c>
      <c r="P196" t="n">
        <v>0</v>
      </c>
      <c r="Q196" t="n">
        <v>0</v>
      </c>
      <c r="R196" s="2" t="inlineStr"/>
    </row>
    <row r="197" ht="15" customHeight="1">
      <c r="A197" t="inlineStr">
        <is>
          <t>A 9075-2022</t>
        </is>
      </c>
      <c r="B197" s="1" t="n">
        <v>44615.47800925926</v>
      </c>
      <c r="C197" s="1" t="n">
        <v>45976</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29002-2022</t>
        </is>
      </c>
      <c r="B198" s="1" t="n">
        <v>44749</v>
      </c>
      <c r="C198" s="1" t="n">
        <v>45976</v>
      </c>
      <c r="D198" t="inlineStr">
        <is>
          <t>VÄSTMANLANDS LÄN</t>
        </is>
      </c>
      <c r="E198" t="inlineStr">
        <is>
          <t>SALA</t>
        </is>
      </c>
      <c r="G198" t="n">
        <v>5.4</v>
      </c>
      <c r="H198" t="n">
        <v>0</v>
      </c>
      <c r="I198" t="n">
        <v>0</v>
      </c>
      <c r="J198" t="n">
        <v>0</v>
      </c>
      <c r="K198" t="n">
        <v>0</v>
      </c>
      <c r="L198" t="n">
        <v>0</v>
      </c>
      <c r="M198" t="n">
        <v>0</v>
      </c>
      <c r="N198" t="n">
        <v>0</v>
      </c>
      <c r="O198" t="n">
        <v>0</v>
      </c>
      <c r="P198" t="n">
        <v>0</v>
      </c>
      <c r="Q198" t="n">
        <v>0</v>
      </c>
      <c r="R198" s="2" t="inlineStr"/>
    </row>
    <row r="199" ht="15" customHeight="1">
      <c r="A199" t="inlineStr">
        <is>
          <t>A 12246-2023</t>
        </is>
      </c>
      <c r="B199" s="1" t="n">
        <v>44995</v>
      </c>
      <c r="C199" s="1" t="n">
        <v>45976</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66830-2021</t>
        </is>
      </c>
      <c r="B200" s="1" t="n">
        <v>44522.40886574074</v>
      </c>
      <c r="C200" s="1" t="n">
        <v>45976</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7953-2024</t>
        </is>
      </c>
      <c r="B201" s="1" t="n">
        <v>45350</v>
      </c>
      <c r="C201" s="1" t="n">
        <v>45976</v>
      </c>
      <c r="D201" t="inlineStr">
        <is>
          <t>VÄSTMANLANDS LÄN</t>
        </is>
      </c>
      <c r="E201" t="inlineStr">
        <is>
          <t>SALA</t>
        </is>
      </c>
      <c r="G201" t="n">
        <v>2.6</v>
      </c>
      <c r="H201" t="n">
        <v>0</v>
      </c>
      <c r="I201" t="n">
        <v>0</v>
      </c>
      <c r="J201" t="n">
        <v>0</v>
      </c>
      <c r="K201" t="n">
        <v>0</v>
      </c>
      <c r="L201" t="n">
        <v>0</v>
      </c>
      <c r="M201" t="n">
        <v>0</v>
      </c>
      <c r="N201" t="n">
        <v>0</v>
      </c>
      <c r="O201" t="n">
        <v>0</v>
      </c>
      <c r="P201" t="n">
        <v>0</v>
      </c>
      <c r="Q201" t="n">
        <v>0</v>
      </c>
      <c r="R201" s="2" t="inlineStr"/>
    </row>
    <row r="202" ht="15" customHeight="1">
      <c r="A202" t="inlineStr">
        <is>
          <t>A 28402-2022</t>
        </is>
      </c>
      <c r="B202" s="1" t="n">
        <v>44747</v>
      </c>
      <c r="C202" s="1" t="n">
        <v>45976</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24864-2024</t>
        </is>
      </c>
      <c r="B203" s="1" t="n">
        <v>45461.48888888889</v>
      </c>
      <c r="C203" s="1" t="n">
        <v>45976</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30028-2024</t>
        </is>
      </c>
      <c r="B204" s="1" t="n">
        <v>45485</v>
      </c>
      <c r="C204" s="1" t="n">
        <v>45976</v>
      </c>
      <c r="D204" t="inlineStr">
        <is>
          <t>VÄSTMANLANDS LÄN</t>
        </is>
      </c>
      <c r="E204" t="inlineStr">
        <is>
          <t>SALA</t>
        </is>
      </c>
      <c r="G204" t="n">
        <v>2.6</v>
      </c>
      <c r="H204" t="n">
        <v>0</v>
      </c>
      <c r="I204" t="n">
        <v>0</v>
      </c>
      <c r="J204" t="n">
        <v>0</v>
      </c>
      <c r="K204" t="n">
        <v>0</v>
      </c>
      <c r="L204" t="n">
        <v>0</v>
      </c>
      <c r="M204" t="n">
        <v>0</v>
      </c>
      <c r="N204" t="n">
        <v>0</v>
      </c>
      <c r="O204" t="n">
        <v>0</v>
      </c>
      <c r="P204" t="n">
        <v>0</v>
      </c>
      <c r="Q204" t="n">
        <v>0</v>
      </c>
      <c r="R204" s="2" t="inlineStr"/>
    </row>
    <row r="205" ht="15" customHeight="1">
      <c r="A205" t="inlineStr">
        <is>
          <t>A 31863-2025</t>
        </is>
      </c>
      <c r="B205" s="1" t="n">
        <v>45834.63303240741</v>
      </c>
      <c r="C205" s="1" t="n">
        <v>45976</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7950-2025</t>
        </is>
      </c>
      <c r="B206" s="1" t="n">
        <v>45707.41799768519</v>
      </c>
      <c r="C206" s="1" t="n">
        <v>45976</v>
      </c>
      <c r="D206" t="inlineStr">
        <is>
          <t>VÄSTMANLANDS LÄN</t>
        </is>
      </c>
      <c r="E206" t="inlineStr">
        <is>
          <t>SALA</t>
        </is>
      </c>
      <c r="G206" t="n">
        <v>3.2</v>
      </c>
      <c r="H206" t="n">
        <v>0</v>
      </c>
      <c r="I206" t="n">
        <v>0</v>
      </c>
      <c r="J206" t="n">
        <v>0</v>
      </c>
      <c r="K206" t="n">
        <v>0</v>
      </c>
      <c r="L206" t="n">
        <v>0</v>
      </c>
      <c r="M206" t="n">
        <v>0</v>
      </c>
      <c r="N206" t="n">
        <v>0</v>
      </c>
      <c r="O206" t="n">
        <v>0</v>
      </c>
      <c r="P206" t="n">
        <v>0</v>
      </c>
      <c r="Q206" t="n">
        <v>0</v>
      </c>
      <c r="R206" s="2" t="inlineStr"/>
    </row>
    <row r="207" ht="15" customHeight="1">
      <c r="A207" t="inlineStr">
        <is>
          <t>A 27657-2023</t>
        </is>
      </c>
      <c r="B207" s="1" t="n">
        <v>45097.76631944445</v>
      </c>
      <c r="C207" s="1" t="n">
        <v>45976</v>
      </c>
      <c r="D207" t="inlineStr">
        <is>
          <t>VÄSTMANLANDS LÄN</t>
        </is>
      </c>
      <c r="E207" t="inlineStr">
        <is>
          <t>SALA</t>
        </is>
      </c>
      <c r="G207" t="n">
        <v>0.1</v>
      </c>
      <c r="H207" t="n">
        <v>0</v>
      </c>
      <c r="I207" t="n">
        <v>0</v>
      </c>
      <c r="J207" t="n">
        <v>0</v>
      </c>
      <c r="K207" t="n">
        <v>0</v>
      </c>
      <c r="L207" t="n">
        <v>0</v>
      </c>
      <c r="M207" t="n">
        <v>0</v>
      </c>
      <c r="N207" t="n">
        <v>0</v>
      </c>
      <c r="O207" t="n">
        <v>0</v>
      </c>
      <c r="P207" t="n">
        <v>0</v>
      </c>
      <c r="Q207" t="n">
        <v>0</v>
      </c>
      <c r="R207" s="2" t="inlineStr"/>
    </row>
    <row r="208" ht="15" customHeight="1">
      <c r="A208" t="inlineStr">
        <is>
          <t>A 42447-2022</t>
        </is>
      </c>
      <c r="B208" s="1" t="n">
        <v>44831</v>
      </c>
      <c r="C208" s="1" t="n">
        <v>45976</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3546-2025</t>
        </is>
      </c>
      <c r="B209" s="1" t="n">
        <v>45680</v>
      </c>
      <c r="C209" s="1" t="n">
        <v>45976</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31869-2025</t>
        </is>
      </c>
      <c r="B210" s="1" t="n">
        <v>45834.64555555556</v>
      </c>
      <c r="C210" s="1" t="n">
        <v>45976</v>
      </c>
      <c r="D210" t="inlineStr">
        <is>
          <t>VÄSTMANLANDS LÄN</t>
        </is>
      </c>
      <c r="E210" t="inlineStr">
        <is>
          <t>SALA</t>
        </is>
      </c>
      <c r="G210" t="n">
        <v>17.5</v>
      </c>
      <c r="H210" t="n">
        <v>0</v>
      </c>
      <c r="I210" t="n">
        <v>0</v>
      </c>
      <c r="J210" t="n">
        <v>0</v>
      </c>
      <c r="K210" t="n">
        <v>0</v>
      </c>
      <c r="L210" t="n">
        <v>0</v>
      </c>
      <c r="M210" t="n">
        <v>0</v>
      </c>
      <c r="N210" t="n">
        <v>0</v>
      </c>
      <c r="O210" t="n">
        <v>0</v>
      </c>
      <c r="P210" t="n">
        <v>0</v>
      </c>
      <c r="Q210" t="n">
        <v>0</v>
      </c>
      <c r="R210" s="2" t="inlineStr"/>
    </row>
    <row r="211" ht="15" customHeight="1">
      <c r="A211" t="inlineStr">
        <is>
          <t>A 24755-2021</t>
        </is>
      </c>
      <c r="B211" s="1" t="n">
        <v>44340</v>
      </c>
      <c r="C211" s="1" t="n">
        <v>45976</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13855-2023</t>
        </is>
      </c>
      <c r="B212" s="1" t="n">
        <v>45007</v>
      </c>
      <c r="C212" s="1" t="n">
        <v>45976</v>
      </c>
      <c r="D212" t="inlineStr">
        <is>
          <t>VÄSTMANLANDS LÄN</t>
        </is>
      </c>
      <c r="E212" t="inlineStr">
        <is>
          <t>SALA</t>
        </is>
      </c>
      <c r="G212" t="n">
        <v>2.9</v>
      </c>
      <c r="H212" t="n">
        <v>0</v>
      </c>
      <c r="I212" t="n">
        <v>0</v>
      </c>
      <c r="J212" t="n">
        <v>0</v>
      </c>
      <c r="K212" t="n">
        <v>0</v>
      </c>
      <c r="L212" t="n">
        <v>0</v>
      </c>
      <c r="M212" t="n">
        <v>0</v>
      </c>
      <c r="N212" t="n">
        <v>0</v>
      </c>
      <c r="O212" t="n">
        <v>0</v>
      </c>
      <c r="P212" t="n">
        <v>0</v>
      </c>
      <c r="Q212" t="n">
        <v>0</v>
      </c>
      <c r="R212" s="2" t="inlineStr"/>
    </row>
    <row r="213" ht="15" customHeight="1">
      <c r="A213" t="inlineStr">
        <is>
          <t>A 7664-2023</t>
        </is>
      </c>
      <c r="B213" s="1" t="n">
        <v>44972</v>
      </c>
      <c r="C213" s="1" t="n">
        <v>45976</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33309-2022</t>
        </is>
      </c>
      <c r="B214" s="1" t="n">
        <v>44788.40986111111</v>
      </c>
      <c r="C214" s="1" t="n">
        <v>45976</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47909-2022</t>
        </is>
      </c>
      <c r="B215" s="1" t="n">
        <v>44855</v>
      </c>
      <c r="C215" s="1" t="n">
        <v>45976</v>
      </c>
      <c r="D215" t="inlineStr">
        <is>
          <t>VÄSTMANLANDS LÄN</t>
        </is>
      </c>
      <c r="E215" t="inlineStr">
        <is>
          <t>SALA</t>
        </is>
      </c>
      <c r="F215" t="inlineStr">
        <is>
          <t>Bergvik skog öst AB</t>
        </is>
      </c>
      <c r="G215" t="n">
        <v>2</v>
      </c>
      <c r="H215" t="n">
        <v>0</v>
      </c>
      <c r="I215" t="n">
        <v>0</v>
      </c>
      <c r="J215" t="n">
        <v>0</v>
      </c>
      <c r="K215" t="n">
        <v>0</v>
      </c>
      <c r="L215" t="n">
        <v>0</v>
      </c>
      <c r="M215" t="n">
        <v>0</v>
      </c>
      <c r="N215" t="n">
        <v>0</v>
      </c>
      <c r="O215" t="n">
        <v>0</v>
      </c>
      <c r="P215" t="n">
        <v>0</v>
      </c>
      <c r="Q215" t="n">
        <v>0</v>
      </c>
      <c r="R215" s="2" t="inlineStr"/>
    </row>
    <row r="216" ht="15" customHeight="1">
      <c r="A216" t="inlineStr">
        <is>
          <t>A 33732-2023</t>
        </is>
      </c>
      <c r="B216" s="1" t="n">
        <v>45133.32409722222</v>
      </c>
      <c r="C216" s="1" t="n">
        <v>45976</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17985-2025</t>
        </is>
      </c>
      <c r="B217" s="1" t="n">
        <v>45761</v>
      </c>
      <c r="C217" s="1" t="n">
        <v>45976</v>
      </c>
      <c r="D217" t="inlineStr">
        <is>
          <t>VÄSTMANLANDS LÄN</t>
        </is>
      </c>
      <c r="E217" t="inlineStr">
        <is>
          <t>SALA</t>
        </is>
      </c>
      <c r="G217" t="n">
        <v>12.5</v>
      </c>
      <c r="H217" t="n">
        <v>0</v>
      </c>
      <c r="I217" t="n">
        <v>0</v>
      </c>
      <c r="J217" t="n">
        <v>0</v>
      </c>
      <c r="K217" t="n">
        <v>0</v>
      </c>
      <c r="L217" t="n">
        <v>0</v>
      </c>
      <c r="M217" t="n">
        <v>0</v>
      </c>
      <c r="N217" t="n">
        <v>0</v>
      </c>
      <c r="O217" t="n">
        <v>0</v>
      </c>
      <c r="P217" t="n">
        <v>0</v>
      </c>
      <c r="Q217" t="n">
        <v>0</v>
      </c>
      <c r="R217" s="2" t="inlineStr"/>
    </row>
    <row r="218" ht="15" customHeight="1">
      <c r="A218" t="inlineStr">
        <is>
          <t>A 59909-2024</t>
        </is>
      </c>
      <c r="B218" s="1" t="n">
        <v>45641</v>
      </c>
      <c r="C218" s="1" t="n">
        <v>45976</v>
      </c>
      <c r="D218" t="inlineStr">
        <is>
          <t>VÄSTMANLANDS LÄN</t>
        </is>
      </c>
      <c r="E218" t="inlineStr">
        <is>
          <t>SALA</t>
        </is>
      </c>
      <c r="G218" t="n">
        <v>2.1</v>
      </c>
      <c r="H218" t="n">
        <v>0</v>
      </c>
      <c r="I218" t="n">
        <v>0</v>
      </c>
      <c r="J218" t="n">
        <v>0</v>
      </c>
      <c r="K218" t="n">
        <v>0</v>
      </c>
      <c r="L218" t="n">
        <v>0</v>
      </c>
      <c r="M218" t="n">
        <v>0</v>
      </c>
      <c r="N218" t="n">
        <v>0</v>
      </c>
      <c r="O218" t="n">
        <v>0</v>
      </c>
      <c r="P218" t="n">
        <v>0</v>
      </c>
      <c r="Q218" t="n">
        <v>0</v>
      </c>
      <c r="R218" s="2" t="inlineStr"/>
    </row>
    <row r="219" ht="15" customHeight="1">
      <c r="A219" t="inlineStr">
        <is>
          <t>A 37103-2025</t>
        </is>
      </c>
      <c r="B219" s="1" t="n">
        <v>45875.47743055555</v>
      </c>
      <c r="C219" s="1" t="n">
        <v>45976</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41292-2021</t>
        </is>
      </c>
      <c r="B220" s="1" t="n">
        <v>44424</v>
      </c>
      <c r="C220" s="1" t="n">
        <v>45976</v>
      </c>
      <c r="D220" t="inlineStr">
        <is>
          <t>VÄSTMANLANDS LÄN</t>
        </is>
      </c>
      <c r="E220" t="inlineStr">
        <is>
          <t>SALA</t>
        </is>
      </c>
      <c r="G220" t="n">
        <v>0.3</v>
      </c>
      <c r="H220" t="n">
        <v>0</v>
      </c>
      <c r="I220" t="n">
        <v>0</v>
      </c>
      <c r="J220" t="n">
        <v>0</v>
      </c>
      <c r="K220" t="n">
        <v>0</v>
      </c>
      <c r="L220" t="n">
        <v>0</v>
      </c>
      <c r="M220" t="n">
        <v>0</v>
      </c>
      <c r="N220" t="n">
        <v>0</v>
      </c>
      <c r="O220" t="n">
        <v>0</v>
      </c>
      <c r="P220" t="n">
        <v>0</v>
      </c>
      <c r="Q220" t="n">
        <v>0</v>
      </c>
      <c r="R220" s="2" t="inlineStr"/>
    </row>
    <row r="221" ht="15" customHeight="1">
      <c r="A221" t="inlineStr">
        <is>
          <t>A 37017-2025</t>
        </is>
      </c>
      <c r="B221" s="1" t="n">
        <v>45874</v>
      </c>
      <c r="C221" s="1" t="n">
        <v>45976</v>
      </c>
      <c r="D221" t="inlineStr">
        <is>
          <t>VÄSTMANLANDS LÄN</t>
        </is>
      </c>
      <c r="E221" t="inlineStr">
        <is>
          <t>SALA</t>
        </is>
      </c>
      <c r="G221" t="n">
        <v>11.1</v>
      </c>
      <c r="H221" t="n">
        <v>0</v>
      </c>
      <c r="I221" t="n">
        <v>0</v>
      </c>
      <c r="J221" t="n">
        <v>0</v>
      </c>
      <c r="K221" t="n">
        <v>0</v>
      </c>
      <c r="L221" t="n">
        <v>0</v>
      </c>
      <c r="M221" t="n">
        <v>0</v>
      </c>
      <c r="N221" t="n">
        <v>0</v>
      </c>
      <c r="O221" t="n">
        <v>0</v>
      </c>
      <c r="P221" t="n">
        <v>0</v>
      </c>
      <c r="Q221" t="n">
        <v>0</v>
      </c>
      <c r="R221" s="2" t="inlineStr"/>
    </row>
    <row r="222" ht="15" customHeight="1">
      <c r="A222" t="inlineStr">
        <is>
          <t>A 15272-2025</t>
        </is>
      </c>
      <c r="B222" s="1" t="n">
        <v>45744</v>
      </c>
      <c r="C222" s="1" t="n">
        <v>45976</v>
      </c>
      <c r="D222" t="inlineStr">
        <is>
          <t>VÄSTMANLANDS LÄN</t>
        </is>
      </c>
      <c r="E222" t="inlineStr">
        <is>
          <t>SALA</t>
        </is>
      </c>
      <c r="G222" t="n">
        <v>0.7</v>
      </c>
      <c r="H222" t="n">
        <v>0</v>
      </c>
      <c r="I222" t="n">
        <v>0</v>
      </c>
      <c r="J222" t="n">
        <v>0</v>
      </c>
      <c r="K222" t="n">
        <v>0</v>
      </c>
      <c r="L222" t="n">
        <v>0</v>
      </c>
      <c r="M222" t="n">
        <v>0</v>
      </c>
      <c r="N222" t="n">
        <v>0</v>
      </c>
      <c r="O222" t="n">
        <v>0</v>
      </c>
      <c r="P222" t="n">
        <v>0</v>
      </c>
      <c r="Q222" t="n">
        <v>0</v>
      </c>
      <c r="R222" s="2" t="inlineStr"/>
    </row>
    <row r="223" ht="15" customHeight="1">
      <c r="A223" t="inlineStr">
        <is>
          <t>A 11183-2023</t>
        </is>
      </c>
      <c r="B223" s="1" t="n">
        <v>44992.57782407408</v>
      </c>
      <c r="C223" s="1" t="n">
        <v>45976</v>
      </c>
      <c r="D223" t="inlineStr">
        <is>
          <t>VÄSTMANLANDS LÄN</t>
        </is>
      </c>
      <c r="E223" t="inlineStr">
        <is>
          <t>SALA</t>
        </is>
      </c>
      <c r="G223" t="n">
        <v>0.9</v>
      </c>
      <c r="H223" t="n">
        <v>0</v>
      </c>
      <c r="I223" t="n">
        <v>0</v>
      </c>
      <c r="J223" t="n">
        <v>0</v>
      </c>
      <c r="K223" t="n">
        <v>0</v>
      </c>
      <c r="L223" t="n">
        <v>0</v>
      </c>
      <c r="M223" t="n">
        <v>0</v>
      </c>
      <c r="N223" t="n">
        <v>0</v>
      </c>
      <c r="O223" t="n">
        <v>0</v>
      </c>
      <c r="P223" t="n">
        <v>0</v>
      </c>
      <c r="Q223" t="n">
        <v>0</v>
      </c>
      <c r="R223" s="2" t="inlineStr"/>
    </row>
    <row r="224" ht="15" customHeight="1">
      <c r="A224" t="inlineStr">
        <is>
          <t>A 11190-2023</t>
        </is>
      </c>
      <c r="B224" s="1" t="n">
        <v>44992</v>
      </c>
      <c r="C224" s="1" t="n">
        <v>45976</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37246-2025</t>
        </is>
      </c>
      <c r="B225" s="1" t="n">
        <v>45876.39435185185</v>
      </c>
      <c r="C225" s="1" t="n">
        <v>45976</v>
      </c>
      <c r="D225" t="inlineStr">
        <is>
          <t>VÄSTMANLANDS LÄN</t>
        </is>
      </c>
      <c r="E225" t="inlineStr">
        <is>
          <t>SALA</t>
        </is>
      </c>
      <c r="G225" t="n">
        <v>2.3</v>
      </c>
      <c r="H225" t="n">
        <v>0</v>
      </c>
      <c r="I225" t="n">
        <v>0</v>
      </c>
      <c r="J225" t="n">
        <v>0</v>
      </c>
      <c r="K225" t="n">
        <v>0</v>
      </c>
      <c r="L225" t="n">
        <v>0</v>
      </c>
      <c r="M225" t="n">
        <v>0</v>
      </c>
      <c r="N225" t="n">
        <v>0</v>
      </c>
      <c r="O225" t="n">
        <v>0</v>
      </c>
      <c r="P225" t="n">
        <v>0</v>
      </c>
      <c r="Q225" t="n">
        <v>0</v>
      </c>
      <c r="R225" s="2" t="inlineStr"/>
    </row>
    <row r="226" ht="15" customHeight="1">
      <c r="A226" t="inlineStr">
        <is>
          <t>A 53838-2022</t>
        </is>
      </c>
      <c r="B226" s="1" t="n">
        <v>44880.59363425926</v>
      </c>
      <c r="C226" s="1" t="n">
        <v>45976</v>
      </c>
      <c r="D226" t="inlineStr">
        <is>
          <t>VÄSTMANLANDS LÄN</t>
        </is>
      </c>
      <c r="E226" t="inlineStr">
        <is>
          <t>SALA</t>
        </is>
      </c>
      <c r="G226" t="n">
        <v>3.9</v>
      </c>
      <c r="H226" t="n">
        <v>0</v>
      </c>
      <c r="I226" t="n">
        <v>0</v>
      </c>
      <c r="J226" t="n">
        <v>0</v>
      </c>
      <c r="K226" t="n">
        <v>0</v>
      </c>
      <c r="L226" t="n">
        <v>0</v>
      </c>
      <c r="M226" t="n">
        <v>0</v>
      </c>
      <c r="N226" t="n">
        <v>0</v>
      </c>
      <c r="O226" t="n">
        <v>0</v>
      </c>
      <c r="P226" t="n">
        <v>0</v>
      </c>
      <c r="Q226" t="n">
        <v>0</v>
      </c>
      <c r="R226" s="2" t="inlineStr"/>
    </row>
    <row r="227" ht="15" customHeight="1">
      <c r="A227" t="inlineStr">
        <is>
          <t>A 6088-2021</t>
        </is>
      </c>
      <c r="B227" s="1" t="n">
        <v>44232</v>
      </c>
      <c r="C227" s="1" t="n">
        <v>45976</v>
      </c>
      <c r="D227" t="inlineStr">
        <is>
          <t>VÄSTMANLANDS LÄN</t>
        </is>
      </c>
      <c r="E227" t="inlineStr">
        <is>
          <t>SALA</t>
        </is>
      </c>
      <c r="G227" t="n">
        <v>0.2</v>
      </c>
      <c r="H227" t="n">
        <v>0</v>
      </c>
      <c r="I227" t="n">
        <v>0</v>
      </c>
      <c r="J227" t="n">
        <v>0</v>
      </c>
      <c r="K227" t="n">
        <v>0</v>
      </c>
      <c r="L227" t="n">
        <v>0</v>
      </c>
      <c r="M227" t="n">
        <v>0</v>
      </c>
      <c r="N227" t="n">
        <v>0</v>
      </c>
      <c r="O227" t="n">
        <v>0</v>
      </c>
      <c r="P227" t="n">
        <v>0</v>
      </c>
      <c r="Q227" t="n">
        <v>0</v>
      </c>
      <c r="R227" s="2" t="inlineStr"/>
    </row>
    <row r="228" ht="15" customHeight="1">
      <c r="A228" t="inlineStr">
        <is>
          <t>A 28696-2023</t>
        </is>
      </c>
      <c r="B228" s="1" t="n">
        <v>45103.71759259259</v>
      </c>
      <c r="C228" s="1" t="n">
        <v>45976</v>
      </c>
      <c r="D228" t="inlineStr">
        <is>
          <t>VÄSTMANLANDS LÄN</t>
        </is>
      </c>
      <c r="E228" t="inlineStr">
        <is>
          <t>SALA</t>
        </is>
      </c>
      <c r="F228" t="inlineStr">
        <is>
          <t>Kommuner</t>
        </is>
      </c>
      <c r="G228" t="n">
        <v>5.9</v>
      </c>
      <c r="H228" t="n">
        <v>0</v>
      </c>
      <c r="I228" t="n">
        <v>0</v>
      </c>
      <c r="J228" t="n">
        <v>0</v>
      </c>
      <c r="K228" t="n">
        <v>0</v>
      </c>
      <c r="L228" t="n">
        <v>0</v>
      </c>
      <c r="M228" t="n">
        <v>0</v>
      </c>
      <c r="N228" t="n">
        <v>0</v>
      </c>
      <c r="O228" t="n">
        <v>0</v>
      </c>
      <c r="P228" t="n">
        <v>0</v>
      </c>
      <c r="Q228" t="n">
        <v>0</v>
      </c>
      <c r="R228" s="2" t="inlineStr"/>
    </row>
    <row r="229" ht="15" customHeight="1">
      <c r="A229" t="inlineStr">
        <is>
          <t>A 51464-2024</t>
        </is>
      </c>
      <c r="B229" s="1" t="n">
        <v>45604.49768518518</v>
      </c>
      <c r="C229" s="1" t="n">
        <v>45976</v>
      </c>
      <c r="D229" t="inlineStr">
        <is>
          <t>VÄSTMANLANDS LÄN</t>
        </is>
      </c>
      <c r="E229" t="inlineStr">
        <is>
          <t>SALA</t>
        </is>
      </c>
      <c r="G229" t="n">
        <v>3.9</v>
      </c>
      <c r="H229" t="n">
        <v>0</v>
      </c>
      <c r="I229" t="n">
        <v>0</v>
      </c>
      <c r="J229" t="n">
        <v>0</v>
      </c>
      <c r="K229" t="n">
        <v>0</v>
      </c>
      <c r="L229" t="n">
        <v>0</v>
      </c>
      <c r="M229" t="n">
        <v>0</v>
      </c>
      <c r="N229" t="n">
        <v>0</v>
      </c>
      <c r="O229" t="n">
        <v>0</v>
      </c>
      <c r="P229" t="n">
        <v>0</v>
      </c>
      <c r="Q229" t="n">
        <v>0</v>
      </c>
      <c r="R229" s="2" t="inlineStr"/>
    </row>
    <row r="230" ht="15" customHeight="1">
      <c r="A230" t="inlineStr">
        <is>
          <t>A 53166-2024</t>
        </is>
      </c>
      <c r="B230" s="1" t="n">
        <v>45611</v>
      </c>
      <c r="C230" s="1" t="n">
        <v>45976</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6691-2025</t>
        </is>
      </c>
      <c r="B231" s="1" t="n">
        <v>45700.50625</v>
      </c>
      <c r="C231" s="1" t="n">
        <v>45976</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54603-2024</t>
        </is>
      </c>
      <c r="B232" s="1" t="n">
        <v>45617.68224537037</v>
      </c>
      <c r="C232" s="1" t="n">
        <v>45976</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28827-2022</t>
        </is>
      </c>
      <c r="B233" s="1" t="n">
        <v>44749.45561342593</v>
      </c>
      <c r="C233" s="1" t="n">
        <v>45976</v>
      </c>
      <c r="D233" t="inlineStr">
        <is>
          <t>VÄSTMANLANDS LÄN</t>
        </is>
      </c>
      <c r="E233" t="inlineStr">
        <is>
          <t>SALA</t>
        </is>
      </c>
      <c r="F233" t="inlineStr">
        <is>
          <t>Kommuner</t>
        </is>
      </c>
      <c r="G233" t="n">
        <v>11.9</v>
      </c>
      <c r="H233" t="n">
        <v>0</v>
      </c>
      <c r="I233" t="n">
        <v>0</v>
      </c>
      <c r="J233" t="n">
        <v>0</v>
      </c>
      <c r="K233" t="n">
        <v>0</v>
      </c>
      <c r="L233" t="n">
        <v>0</v>
      </c>
      <c r="M233" t="n">
        <v>0</v>
      </c>
      <c r="N233" t="n">
        <v>0</v>
      </c>
      <c r="O233" t="n">
        <v>0</v>
      </c>
      <c r="P233" t="n">
        <v>0</v>
      </c>
      <c r="Q233" t="n">
        <v>0</v>
      </c>
      <c r="R233" s="2" t="inlineStr"/>
    </row>
    <row r="234" ht="15" customHeight="1">
      <c r="A234" t="inlineStr">
        <is>
          <t>A 17866-2025</t>
        </is>
      </c>
      <c r="B234" s="1" t="n">
        <v>45758</v>
      </c>
      <c r="C234" s="1" t="n">
        <v>45976</v>
      </c>
      <c r="D234" t="inlineStr">
        <is>
          <t>VÄSTMANLANDS LÄN</t>
        </is>
      </c>
      <c r="E234" t="inlineStr">
        <is>
          <t>SALA</t>
        </is>
      </c>
      <c r="F234" t="inlineStr">
        <is>
          <t>Bergvik skog öst AB</t>
        </is>
      </c>
      <c r="G234" t="n">
        <v>2.1</v>
      </c>
      <c r="H234" t="n">
        <v>0</v>
      </c>
      <c r="I234" t="n">
        <v>0</v>
      </c>
      <c r="J234" t="n">
        <v>0</v>
      </c>
      <c r="K234" t="n">
        <v>0</v>
      </c>
      <c r="L234" t="n">
        <v>0</v>
      </c>
      <c r="M234" t="n">
        <v>0</v>
      </c>
      <c r="N234" t="n">
        <v>0</v>
      </c>
      <c r="O234" t="n">
        <v>0</v>
      </c>
      <c r="P234" t="n">
        <v>0</v>
      </c>
      <c r="Q234" t="n">
        <v>0</v>
      </c>
      <c r="R234" s="2" t="inlineStr"/>
    </row>
    <row r="235" ht="15" customHeight="1">
      <c r="A235" t="inlineStr">
        <is>
          <t>A 1934-2023</t>
        </is>
      </c>
      <c r="B235" s="1" t="n">
        <v>44939.43024305555</v>
      </c>
      <c r="C235" s="1" t="n">
        <v>45976</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35519-2024</t>
        </is>
      </c>
      <c r="B236" s="1" t="n">
        <v>45531</v>
      </c>
      <c r="C236" s="1" t="n">
        <v>45976</v>
      </c>
      <c r="D236" t="inlineStr">
        <is>
          <t>VÄSTMANLANDS LÄN</t>
        </is>
      </c>
      <c r="E236" t="inlineStr">
        <is>
          <t>SALA</t>
        </is>
      </c>
      <c r="G236" t="n">
        <v>1.8</v>
      </c>
      <c r="H236" t="n">
        <v>0</v>
      </c>
      <c r="I236" t="n">
        <v>0</v>
      </c>
      <c r="J236" t="n">
        <v>0</v>
      </c>
      <c r="K236" t="n">
        <v>0</v>
      </c>
      <c r="L236" t="n">
        <v>0</v>
      </c>
      <c r="M236" t="n">
        <v>0</v>
      </c>
      <c r="N236" t="n">
        <v>0</v>
      </c>
      <c r="O236" t="n">
        <v>0</v>
      </c>
      <c r="P236" t="n">
        <v>0</v>
      </c>
      <c r="Q236" t="n">
        <v>0</v>
      </c>
      <c r="R236" s="2" t="inlineStr"/>
    </row>
    <row r="237" ht="15" customHeight="1">
      <c r="A237" t="inlineStr">
        <is>
          <t>A 37590-2025</t>
        </is>
      </c>
      <c r="B237" s="1" t="n">
        <v>45880.41138888889</v>
      </c>
      <c r="C237" s="1" t="n">
        <v>45976</v>
      </c>
      <c r="D237" t="inlineStr">
        <is>
          <t>VÄSTMANLANDS LÄN</t>
        </is>
      </c>
      <c r="E237" t="inlineStr">
        <is>
          <t>SALA</t>
        </is>
      </c>
      <c r="G237" t="n">
        <v>2.2</v>
      </c>
      <c r="H237" t="n">
        <v>0</v>
      </c>
      <c r="I237" t="n">
        <v>0</v>
      </c>
      <c r="J237" t="n">
        <v>0</v>
      </c>
      <c r="K237" t="n">
        <v>0</v>
      </c>
      <c r="L237" t="n">
        <v>0</v>
      </c>
      <c r="M237" t="n">
        <v>0</v>
      </c>
      <c r="N237" t="n">
        <v>0</v>
      </c>
      <c r="O237" t="n">
        <v>0</v>
      </c>
      <c r="P237" t="n">
        <v>0</v>
      </c>
      <c r="Q237" t="n">
        <v>0</v>
      </c>
      <c r="R237" s="2" t="inlineStr"/>
    </row>
    <row r="238" ht="15" customHeight="1">
      <c r="A238" t="inlineStr">
        <is>
          <t>A 37593-2025</t>
        </is>
      </c>
      <c r="B238" s="1" t="n">
        <v>45880.41325231481</v>
      </c>
      <c r="C238" s="1" t="n">
        <v>45976</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54836-2024</t>
        </is>
      </c>
      <c r="B239" s="1" t="n">
        <v>45618</v>
      </c>
      <c r="C239" s="1" t="n">
        <v>45976</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64729-2023</t>
        </is>
      </c>
      <c r="B240" s="1" t="n">
        <v>45281</v>
      </c>
      <c r="C240" s="1" t="n">
        <v>45976</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10585-2022</t>
        </is>
      </c>
      <c r="B241" s="1" t="n">
        <v>44624</v>
      </c>
      <c r="C241" s="1" t="n">
        <v>45976</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22523-2023</t>
        </is>
      </c>
      <c r="B242" s="1" t="n">
        <v>45069</v>
      </c>
      <c r="C242" s="1" t="n">
        <v>45976</v>
      </c>
      <c r="D242" t="inlineStr">
        <is>
          <t>VÄSTMANLANDS LÄN</t>
        </is>
      </c>
      <c r="E242" t="inlineStr">
        <is>
          <t>SALA</t>
        </is>
      </c>
      <c r="G242" t="n">
        <v>2.4</v>
      </c>
      <c r="H242" t="n">
        <v>0</v>
      </c>
      <c r="I242" t="n">
        <v>0</v>
      </c>
      <c r="J242" t="n">
        <v>0</v>
      </c>
      <c r="K242" t="n">
        <v>0</v>
      </c>
      <c r="L242" t="n">
        <v>0</v>
      </c>
      <c r="M242" t="n">
        <v>0</v>
      </c>
      <c r="N242" t="n">
        <v>0</v>
      </c>
      <c r="O242" t="n">
        <v>0</v>
      </c>
      <c r="P242" t="n">
        <v>0</v>
      </c>
      <c r="Q242" t="n">
        <v>0</v>
      </c>
      <c r="R242" s="2" t="inlineStr"/>
    </row>
    <row r="243" ht="15" customHeight="1">
      <c r="A243" t="inlineStr">
        <is>
          <t>A 17722-2025</t>
        </is>
      </c>
      <c r="B243" s="1" t="n">
        <v>45758</v>
      </c>
      <c r="C243" s="1" t="n">
        <v>45976</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31609-2024</t>
        </is>
      </c>
      <c r="B244" s="1" t="n">
        <v>45506</v>
      </c>
      <c r="C244" s="1" t="n">
        <v>45976</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50241-2023</t>
        </is>
      </c>
      <c r="B245" s="1" t="n">
        <v>45216</v>
      </c>
      <c r="C245" s="1" t="n">
        <v>45976</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30971-2022</t>
        </is>
      </c>
      <c r="B246" s="1" t="n">
        <v>44768.46725694444</v>
      </c>
      <c r="C246" s="1" t="n">
        <v>45976</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56057-2023</t>
        </is>
      </c>
      <c r="B247" s="1" t="n">
        <v>45233</v>
      </c>
      <c r="C247" s="1" t="n">
        <v>45976</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35637-2022</t>
        </is>
      </c>
      <c r="B248" s="1" t="n">
        <v>44799.55194444444</v>
      </c>
      <c r="C248" s="1" t="n">
        <v>45976</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19304-2025</t>
        </is>
      </c>
      <c r="B249" s="1" t="n">
        <v>45769</v>
      </c>
      <c r="C249" s="1" t="n">
        <v>45976</v>
      </c>
      <c r="D249" t="inlineStr">
        <is>
          <t>VÄSTMANLANDS LÄN</t>
        </is>
      </c>
      <c r="E249" t="inlineStr">
        <is>
          <t>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69232-2021</t>
        </is>
      </c>
      <c r="B250" s="1" t="n">
        <v>44531.39696759259</v>
      </c>
      <c r="C250" s="1" t="n">
        <v>45976</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38294-2025</t>
        </is>
      </c>
      <c r="B251" s="1" t="n">
        <v>45883.44854166666</v>
      </c>
      <c r="C251" s="1" t="n">
        <v>45976</v>
      </c>
      <c r="D251" t="inlineStr">
        <is>
          <t>VÄSTMANLANDS LÄN</t>
        </is>
      </c>
      <c r="E251" t="inlineStr">
        <is>
          <t>SALA</t>
        </is>
      </c>
      <c r="G251" t="n">
        <v>1.5</v>
      </c>
      <c r="H251" t="n">
        <v>0</v>
      </c>
      <c r="I251" t="n">
        <v>0</v>
      </c>
      <c r="J251" t="n">
        <v>0</v>
      </c>
      <c r="K251" t="n">
        <v>0</v>
      </c>
      <c r="L251" t="n">
        <v>0</v>
      </c>
      <c r="M251" t="n">
        <v>0</v>
      </c>
      <c r="N251" t="n">
        <v>0</v>
      </c>
      <c r="O251" t="n">
        <v>0</v>
      </c>
      <c r="P251" t="n">
        <v>0</v>
      </c>
      <c r="Q251" t="n">
        <v>0</v>
      </c>
      <c r="R251" s="2" t="inlineStr"/>
    </row>
    <row r="252" ht="15" customHeight="1">
      <c r="A252" t="inlineStr">
        <is>
          <t>A 27038-2023</t>
        </is>
      </c>
      <c r="B252" s="1" t="n">
        <v>45095</v>
      </c>
      <c r="C252" s="1" t="n">
        <v>45976</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43359-2024</t>
        </is>
      </c>
      <c r="B253" s="1" t="n">
        <v>45568.57724537037</v>
      </c>
      <c r="C253" s="1" t="n">
        <v>45976</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29972-2025</t>
        </is>
      </c>
      <c r="B254" s="1" t="n">
        <v>45826</v>
      </c>
      <c r="C254" s="1" t="n">
        <v>45976</v>
      </c>
      <c r="D254" t="inlineStr">
        <is>
          <t>VÄSTMANLANDS LÄN</t>
        </is>
      </c>
      <c r="E254" t="inlineStr">
        <is>
          <t>SALA</t>
        </is>
      </c>
      <c r="G254" t="n">
        <v>2.7</v>
      </c>
      <c r="H254" t="n">
        <v>0</v>
      </c>
      <c r="I254" t="n">
        <v>0</v>
      </c>
      <c r="J254" t="n">
        <v>0</v>
      </c>
      <c r="K254" t="n">
        <v>0</v>
      </c>
      <c r="L254" t="n">
        <v>0</v>
      </c>
      <c r="M254" t="n">
        <v>0</v>
      </c>
      <c r="N254" t="n">
        <v>0</v>
      </c>
      <c r="O254" t="n">
        <v>0</v>
      </c>
      <c r="P254" t="n">
        <v>0</v>
      </c>
      <c r="Q254" t="n">
        <v>0</v>
      </c>
      <c r="R254" s="2" t="inlineStr"/>
    </row>
    <row r="255" ht="15" customHeight="1">
      <c r="A255" t="inlineStr">
        <is>
          <t>A 23182-2022</t>
        </is>
      </c>
      <c r="B255" s="1" t="n">
        <v>44719.79707175926</v>
      </c>
      <c r="C255" s="1" t="n">
        <v>45976</v>
      </c>
      <c r="D255" t="inlineStr">
        <is>
          <t>VÄSTMANLANDS LÄN</t>
        </is>
      </c>
      <c r="E255" t="inlineStr">
        <is>
          <t>SALA</t>
        </is>
      </c>
      <c r="G255" t="n">
        <v>1.2</v>
      </c>
      <c r="H255" t="n">
        <v>0</v>
      </c>
      <c r="I255" t="n">
        <v>0</v>
      </c>
      <c r="J255" t="n">
        <v>0</v>
      </c>
      <c r="K255" t="n">
        <v>0</v>
      </c>
      <c r="L255" t="n">
        <v>0</v>
      </c>
      <c r="M255" t="n">
        <v>0</v>
      </c>
      <c r="N255" t="n">
        <v>0</v>
      </c>
      <c r="O255" t="n">
        <v>0</v>
      </c>
      <c r="P255" t="n">
        <v>0</v>
      </c>
      <c r="Q255" t="n">
        <v>0</v>
      </c>
      <c r="R255" s="2" t="inlineStr"/>
    </row>
    <row r="256" ht="15" customHeight="1">
      <c r="A256" t="inlineStr">
        <is>
          <t>A 19398-2025</t>
        </is>
      </c>
      <c r="B256" s="1" t="n">
        <v>45769</v>
      </c>
      <c r="C256" s="1" t="n">
        <v>45976</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62635-2022</t>
        </is>
      </c>
      <c r="B257" s="1" t="n">
        <v>44917</v>
      </c>
      <c r="C257" s="1" t="n">
        <v>45976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4797-2023</t>
        </is>
      </c>
      <c r="B258" s="1" t="n">
        <v>44957</v>
      </c>
      <c r="C258" s="1" t="n">
        <v>45976</v>
      </c>
      <c r="D258" t="inlineStr">
        <is>
          <t>VÄSTMANLANDS LÄN</t>
        </is>
      </c>
      <c r="E258" t="inlineStr">
        <is>
          <t>SALA</t>
        </is>
      </c>
      <c r="G258" t="n">
        <v>5.7</v>
      </c>
      <c r="H258" t="n">
        <v>0</v>
      </c>
      <c r="I258" t="n">
        <v>0</v>
      </c>
      <c r="J258" t="n">
        <v>0</v>
      </c>
      <c r="K258" t="n">
        <v>0</v>
      </c>
      <c r="L258" t="n">
        <v>0</v>
      </c>
      <c r="M258" t="n">
        <v>0</v>
      </c>
      <c r="N258" t="n">
        <v>0</v>
      </c>
      <c r="O258" t="n">
        <v>0</v>
      </c>
      <c r="P258" t="n">
        <v>0</v>
      </c>
      <c r="Q258" t="n">
        <v>0</v>
      </c>
      <c r="R258" s="2" t="inlineStr"/>
    </row>
    <row r="259" ht="15" customHeight="1">
      <c r="A259" t="inlineStr">
        <is>
          <t>A 4852-2023</t>
        </is>
      </c>
      <c r="B259" s="1" t="n">
        <v>44957.72496527778</v>
      </c>
      <c r="C259" s="1" t="n">
        <v>45976</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39714-2023</t>
        </is>
      </c>
      <c r="B260" s="1" t="n">
        <v>45167.62133101852</v>
      </c>
      <c r="C260" s="1" t="n">
        <v>45976</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46279-2021</t>
        </is>
      </c>
      <c r="B261" s="1" t="n">
        <v>44442.57797453704</v>
      </c>
      <c r="C261" s="1" t="n">
        <v>45976</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61517-2024</t>
        </is>
      </c>
      <c r="B262" s="1" t="n">
        <v>45645</v>
      </c>
      <c r="C262" s="1" t="n">
        <v>45976</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42984-2023</t>
        </is>
      </c>
      <c r="B263" s="1" t="n">
        <v>45179</v>
      </c>
      <c r="C263" s="1" t="n">
        <v>45976</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1638-2023</t>
        </is>
      </c>
      <c r="B264" s="1" t="n">
        <v>44937</v>
      </c>
      <c r="C264" s="1" t="n">
        <v>45976</v>
      </c>
      <c r="D264" t="inlineStr">
        <is>
          <t>VÄSTMANLANDS LÄN</t>
        </is>
      </c>
      <c r="E264" t="inlineStr">
        <is>
          <t>SALA</t>
        </is>
      </c>
      <c r="G264" t="n">
        <v>3.1</v>
      </c>
      <c r="H264" t="n">
        <v>0</v>
      </c>
      <c r="I264" t="n">
        <v>0</v>
      </c>
      <c r="J264" t="n">
        <v>0</v>
      </c>
      <c r="K264" t="n">
        <v>0</v>
      </c>
      <c r="L264" t="n">
        <v>0</v>
      </c>
      <c r="M264" t="n">
        <v>0</v>
      </c>
      <c r="N264" t="n">
        <v>0</v>
      </c>
      <c r="O264" t="n">
        <v>0</v>
      </c>
      <c r="P264" t="n">
        <v>0</v>
      </c>
      <c r="Q264" t="n">
        <v>0</v>
      </c>
      <c r="R264" s="2" t="inlineStr"/>
    </row>
    <row r="265" ht="15" customHeight="1">
      <c r="A265" t="inlineStr">
        <is>
          <t>A 31859-2023</t>
        </is>
      </c>
      <c r="B265" s="1" t="n">
        <v>45118</v>
      </c>
      <c r="C265" s="1" t="n">
        <v>45976</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c r="U265">
        <f>HYPERLINK("https://klasma.github.io/Logging_1981/knärot/A 31859-2023 karta knärot.png", "A 31859-2023")</f>
        <v/>
      </c>
      <c r="V265">
        <f>HYPERLINK("https://klasma.github.io/Logging_1981/klagomål/A 31859-2023 FSC-klagomål.docx", "A 31859-2023")</f>
        <v/>
      </c>
      <c r="W265">
        <f>HYPERLINK("https://klasma.github.io/Logging_1981/klagomålsmail/A 31859-2023 FSC-klagomål mail.docx", "A 31859-2023")</f>
        <v/>
      </c>
      <c r="X265">
        <f>HYPERLINK("https://klasma.github.io/Logging_1981/tillsyn/A 31859-2023 tillsynsbegäran.docx", "A 31859-2023")</f>
        <v/>
      </c>
      <c r="Y265">
        <f>HYPERLINK("https://klasma.github.io/Logging_1981/tillsynsmail/A 31859-2023 tillsynsbegäran mail.docx", "A 31859-2023")</f>
        <v/>
      </c>
    </row>
    <row r="266" ht="15" customHeight="1">
      <c r="A266" t="inlineStr">
        <is>
          <t>A 7469-2025</t>
        </is>
      </c>
      <c r="B266" s="1" t="n">
        <v>45705</v>
      </c>
      <c r="C266" s="1" t="n">
        <v>45976</v>
      </c>
      <c r="D266" t="inlineStr">
        <is>
          <t>VÄSTMANLANDS LÄN</t>
        </is>
      </c>
      <c r="E266" t="inlineStr">
        <is>
          <t>SALA</t>
        </is>
      </c>
      <c r="G266" t="n">
        <v>2.1</v>
      </c>
      <c r="H266" t="n">
        <v>0</v>
      </c>
      <c r="I266" t="n">
        <v>0</v>
      </c>
      <c r="J266" t="n">
        <v>0</v>
      </c>
      <c r="K266" t="n">
        <v>0</v>
      </c>
      <c r="L266" t="n">
        <v>0</v>
      </c>
      <c r="M266" t="n">
        <v>0</v>
      </c>
      <c r="N266" t="n">
        <v>0</v>
      </c>
      <c r="O266" t="n">
        <v>0</v>
      </c>
      <c r="P266" t="n">
        <v>0</v>
      </c>
      <c r="Q266" t="n">
        <v>0</v>
      </c>
      <c r="R266" s="2" t="inlineStr"/>
    </row>
    <row r="267" ht="15" customHeight="1">
      <c r="A267" t="inlineStr">
        <is>
          <t>A 38636-2024</t>
        </is>
      </c>
      <c r="B267" s="1" t="n">
        <v>45546</v>
      </c>
      <c r="C267" s="1" t="n">
        <v>45976</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60034-2024</t>
        </is>
      </c>
      <c r="B268" s="1" t="n">
        <v>45642.46261574074</v>
      </c>
      <c r="C268" s="1" t="n">
        <v>45976</v>
      </c>
      <c r="D268" t="inlineStr">
        <is>
          <t>VÄSTMANLANDS LÄN</t>
        </is>
      </c>
      <c r="E268" t="inlineStr">
        <is>
          <t>SALA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56535-2022</t>
        </is>
      </c>
      <c r="B269" s="1" t="n">
        <v>44893.47173611111</v>
      </c>
      <c r="C269" s="1" t="n">
        <v>45976</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row>
    <row r="270" ht="15" customHeight="1">
      <c r="A270" t="inlineStr">
        <is>
          <t>A 15972-2024</t>
        </is>
      </c>
      <c r="B270" s="1" t="n">
        <v>45405.56498842593</v>
      </c>
      <c r="C270" s="1" t="n">
        <v>45976</v>
      </c>
      <c r="D270" t="inlineStr">
        <is>
          <t>VÄSTMANLANDS LÄN</t>
        </is>
      </c>
      <c r="E270" t="inlineStr">
        <is>
          <t>SALA</t>
        </is>
      </c>
      <c r="G270" t="n">
        <v>1.8</v>
      </c>
      <c r="H270" t="n">
        <v>0</v>
      </c>
      <c r="I270" t="n">
        <v>0</v>
      </c>
      <c r="J270" t="n">
        <v>0</v>
      </c>
      <c r="K270" t="n">
        <v>0</v>
      </c>
      <c r="L270" t="n">
        <v>0</v>
      </c>
      <c r="M270" t="n">
        <v>0</v>
      </c>
      <c r="N270" t="n">
        <v>0</v>
      </c>
      <c r="O270" t="n">
        <v>0</v>
      </c>
      <c r="P270" t="n">
        <v>0</v>
      </c>
      <c r="Q270" t="n">
        <v>0</v>
      </c>
      <c r="R270" s="2" t="inlineStr"/>
    </row>
    <row r="271" ht="15" customHeight="1">
      <c r="A271" t="inlineStr">
        <is>
          <t>A 37958-2024</t>
        </is>
      </c>
      <c r="B271" s="1" t="n">
        <v>45544</v>
      </c>
      <c r="C271" s="1" t="n">
        <v>45976</v>
      </c>
      <c r="D271" t="inlineStr">
        <is>
          <t>VÄSTMANLANDS LÄN</t>
        </is>
      </c>
      <c r="E271" t="inlineStr">
        <is>
          <t>SALA</t>
        </is>
      </c>
      <c r="G271" t="n">
        <v>5.6</v>
      </c>
      <c r="H271" t="n">
        <v>0</v>
      </c>
      <c r="I271" t="n">
        <v>0</v>
      </c>
      <c r="J271" t="n">
        <v>0</v>
      </c>
      <c r="K271" t="n">
        <v>0</v>
      </c>
      <c r="L271" t="n">
        <v>0</v>
      </c>
      <c r="M271" t="n">
        <v>0</v>
      </c>
      <c r="N271" t="n">
        <v>0</v>
      </c>
      <c r="O271" t="n">
        <v>0</v>
      </c>
      <c r="P271" t="n">
        <v>0</v>
      </c>
      <c r="Q271" t="n">
        <v>0</v>
      </c>
      <c r="R271" s="2" t="inlineStr"/>
    </row>
    <row r="272" ht="15" customHeight="1">
      <c r="A272" t="inlineStr">
        <is>
          <t>A 34867-2023</t>
        </is>
      </c>
      <c r="B272" s="1" t="n">
        <v>45142.33481481481</v>
      </c>
      <c r="C272" s="1" t="n">
        <v>45976</v>
      </c>
      <c r="D272" t="inlineStr">
        <is>
          <t>VÄSTMANLANDS LÄN</t>
        </is>
      </c>
      <c r="E272" t="inlineStr">
        <is>
          <t>SALA</t>
        </is>
      </c>
      <c r="G272" t="n">
        <v>1.1</v>
      </c>
      <c r="H272" t="n">
        <v>0</v>
      </c>
      <c r="I272" t="n">
        <v>0</v>
      </c>
      <c r="J272" t="n">
        <v>0</v>
      </c>
      <c r="K272" t="n">
        <v>0</v>
      </c>
      <c r="L272" t="n">
        <v>0</v>
      </c>
      <c r="M272" t="n">
        <v>0</v>
      </c>
      <c r="N272" t="n">
        <v>0</v>
      </c>
      <c r="O272" t="n">
        <v>0</v>
      </c>
      <c r="P272" t="n">
        <v>0</v>
      </c>
      <c r="Q272" t="n">
        <v>0</v>
      </c>
      <c r="R272" s="2" t="inlineStr"/>
    </row>
    <row r="273" ht="15" customHeight="1">
      <c r="A273" t="inlineStr">
        <is>
          <t>A 73673-2021</t>
        </is>
      </c>
      <c r="B273" s="1" t="n">
        <v>44552.46501157407</v>
      </c>
      <c r="C273" s="1" t="n">
        <v>45976</v>
      </c>
      <c r="D273" t="inlineStr">
        <is>
          <t>VÄSTMANLANDS LÄN</t>
        </is>
      </c>
      <c r="E273" t="inlineStr">
        <is>
          <t>SALA</t>
        </is>
      </c>
      <c r="G273" t="n">
        <v>11.4</v>
      </c>
      <c r="H273" t="n">
        <v>0</v>
      </c>
      <c r="I273" t="n">
        <v>0</v>
      </c>
      <c r="J273" t="n">
        <v>0</v>
      </c>
      <c r="K273" t="n">
        <v>0</v>
      </c>
      <c r="L273" t="n">
        <v>0</v>
      </c>
      <c r="M273" t="n">
        <v>0</v>
      </c>
      <c r="N273" t="n">
        <v>0</v>
      </c>
      <c r="O273" t="n">
        <v>0</v>
      </c>
      <c r="P273" t="n">
        <v>0</v>
      </c>
      <c r="Q273" t="n">
        <v>0</v>
      </c>
      <c r="R273" s="2" t="inlineStr"/>
    </row>
    <row r="274" ht="15" customHeight="1">
      <c r="A274" t="inlineStr">
        <is>
          <t>A 60550-2024</t>
        </is>
      </c>
      <c r="B274" s="1" t="n">
        <v>45643</v>
      </c>
      <c r="C274" s="1" t="n">
        <v>45976</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11631-2023</t>
        </is>
      </c>
      <c r="B275" s="1" t="n">
        <v>44994.44001157407</v>
      </c>
      <c r="C275" s="1" t="n">
        <v>45976</v>
      </c>
      <c r="D275" t="inlineStr">
        <is>
          <t>VÄSTMANLANDS LÄN</t>
        </is>
      </c>
      <c r="E275" t="inlineStr">
        <is>
          <t>SALA</t>
        </is>
      </c>
      <c r="F275" t="inlineStr">
        <is>
          <t>Kommuner</t>
        </is>
      </c>
      <c r="G275" t="n">
        <v>1.9</v>
      </c>
      <c r="H275" t="n">
        <v>0</v>
      </c>
      <c r="I275" t="n">
        <v>0</v>
      </c>
      <c r="J275" t="n">
        <v>0</v>
      </c>
      <c r="K275" t="n">
        <v>0</v>
      </c>
      <c r="L275" t="n">
        <v>0</v>
      </c>
      <c r="M275" t="n">
        <v>0</v>
      </c>
      <c r="N275" t="n">
        <v>0</v>
      </c>
      <c r="O275" t="n">
        <v>0</v>
      </c>
      <c r="P275" t="n">
        <v>0</v>
      </c>
      <c r="Q275" t="n">
        <v>0</v>
      </c>
      <c r="R275" s="2" t="inlineStr"/>
    </row>
    <row r="276" ht="15" customHeight="1">
      <c r="A276" t="inlineStr">
        <is>
          <t>A 13746-2025</t>
        </is>
      </c>
      <c r="B276" s="1" t="n">
        <v>45737.40944444444</v>
      </c>
      <c r="C276" s="1" t="n">
        <v>45976</v>
      </c>
      <c r="D276" t="inlineStr">
        <is>
          <t>VÄSTMANLANDS LÄN</t>
        </is>
      </c>
      <c r="E276" t="inlineStr">
        <is>
          <t>SALA</t>
        </is>
      </c>
      <c r="G276" t="n">
        <v>2.1</v>
      </c>
      <c r="H276" t="n">
        <v>0</v>
      </c>
      <c r="I276" t="n">
        <v>0</v>
      </c>
      <c r="J276" t="n">
        <v>0</v>
      </c>
      <c r="K276" t="n">
        <v>0</v>
      </c>
      <c r="L276" t="n">
        <v>0</v>
      </c>
      <c r="M276" t="n">
        <v>0</v>
      </c>
      <c r="N276" t="n">
        <v>0</v>
      </c>
      <c r="O276" t="n">
        <v>0</v>
      </c>
      <c r="P276" t="n">
        <v>0</v>
      </c>
      <c r="Q276" t="n">
        <v>0</v>
      </c>
      <c r="R276" s="2" t="inlineStr"/>
    </row>
    <row r="277" ht="15" customHeight="1">
      <c r="A277" t="inlineStr">
        <is>
          <t>A 29230-2022</t>
        </is>
      </c>
      <c r="B277" s="1" t="n">
        <v>44750</v>
      </c>
      <c r="C277" s="1" t="n">
        <v>45976</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59175-2022</t>
        </is>
      </c>
      <c r="B278" s="1" t="n">
        <v>44904.48502314815</v>
      </c>
      <c r="C278" s="1" t="n">
        <v>45976</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19381-2025</t>
        </is>
      </c>
      <c r="B279" s="1" t="n">
        <v>45769</v>
      </c>
      <c r="C279" s="1" t="n">
        <v>45976</v>
      </c>
      <c r="D279" t="inlineStr">
        <is>
          <t>VÄSTMANLANDS LÄN</t>
        </is>
      </c>
      <c r="E279" t="inlineStr">
        <is>
          <t>SALA</t>
        </is>
      </c>
      <c r="G279" t="n">
        <v>0.6</v>
      </c>
      <c r="H279" t="n">
        <v>0</v>
      </c>
      <c r="I279" t="n">
        <v>0</v>
      </c>
      <c r="J279" t="n">
        <v>0</v>
      </c>
      <c r="K279" t="n">
        <v>0</v>
      </c>
      <c r="L279" t="n">
        <v>0</v>
      </c>
      <c r="M279" t="n">
        <v>0</v>
      </c>
      <c r="N279" t="n">
        <v>0</v>
      </c>
      <c r="O279" t="n">
        <v>0</v>
      </c>
      <c r="P279" t="n">
        <v>0</v>
      </c>
      <c r="Q279" t="n">
        <v>0</v>
      </c>
      <c r="R279" s="2" t="inlineStr"/>
    </row>
    <row r="280" ht="15" customHeight="1">
      <c r="A280" t="inlineStr">
        <is>
          <t>A 42938-2023</t>
        </is>
      </c>
      <c r="B280" s="1" t="n">
        <v>45179</v>
      </c>
      <c r="C280" s="1" t="n">
        <v>45976</v>
      </c>
      <c r="D280" t="inlineStr">
        <is>
          <t>VÄSTMANLANDS LÄN</t>
        </is>
      </c>
      <c r="E280" t="inlineStr">
        <is>
          <t>SALA</t>
        </is>
      </c>
      <c r="G280" t="n">
        <v>10.9</v>
      </c>
      <c r="H280" t="n">
        <v>0</v>
      </c>
      <c r="I280" t="n">
        <v>0</v>
      </c>
      <c r="J280" t="n">
        <v>0</v>
      </c>
      <c r="K280" t="n">
        <v>0</v>
      </c>
      <c r="L280" t="n">
        <v>0</v>
      </c>
      <c r="M280" t="n">
        <v>0</v>
      </c>
      <c r="N280" t="n">
        <v>0</v>
      </c>
      <c r="O280" t="n">
        <v>0</v>
      </c>
      <c r="P280" t="n">
        <v>0</v>
      </c>
      <c r="Q280" t="n">
        <v>0</v>
      </c>
      <c r="R280" s="2" t="inlineStr"/>
    </row>
    <row r="281" ht="15" customHeight="1">
      <c r="A281" t="inlineStr">
        <is>
          <t>A 19222-2025</t>
        </is>
      </c>
      <c r="B281" s="1" t="n">
        <v>45769</v>
      </c>
      <c r="C281" s="1" t="n">
        <v>45976</v>
      </c>
      <c r="D281" t="inlineStr">
        <is>
          <t>VÄSTMANLANDS LÄN</t>
        </is>
      </c>
      <c r="E281" t="inlineStr">
        <is>
          <t>SALA</t>
        </is>
      </c>
      <c r="G281" t="n">
        <v>1.8</v>
      </c>
      <c r="H281" t="n">
        <v>0</v>
      </c>
      <c r="I281" t="n">
        <v>0</v>
      </c>
      <c r="J281" t="n">
        <v>0</v>
      </c>
      <c r="K281" t="n">
        <v>0</v>
      </c>
      <c r="L281" t="n">
        <v>0</v>
      </c>
      <c r="M281" t="n">
        <v>0</v>
      </c>
      <c r="N281" t="n">
        <v>0</v>
      </c>
      <c r="O281" t="n">
        <v>0</v>
      </c>
      <c r="P281" t="n">
        <v>0</v>
      </c>
      <c r="Q281" t="n">
        <v>0</v>
      </c>
      <c r="R281" s="2" t="inlineStr"/>
    </row>
    <row r="282" ht="15" customHeight="1">
      <c r="A282" t="inlineStr">
        <is>
          <t>A 19241-2025</t>
        </is>
      </c>
      <c r="B282" s="1" t="n">
        <v>45769</v>
      </c>
      <c r="C282" s="1" t="n">
        <v>45976</v>
      </c>
      <c r="D282" t="inlineStr">
        <is>
          <t>VÄSTMANLANDS LÄN</t>
        </is>
      </c>
      <c r="E282" t="inlineStr">
        <is>
          <t>SALA</t>
        </is>
      </c>
      <c r="G282" t="n">
        <v>3.6</v>
      </c>
      <c r="H282" t="n">
        <v>0</v>
      </c>
      <c r="I282" t="n">
        <v>0</v>
      </c>
      <c r="J282" t="n">
        <v>0</v>
      </c>
      <c r="K282" t="n">
        <v>0</v>
      </c>
      <c r="L282" t="n">
        <v>0</v>
      </c>
      <c r="M282" t="n">
        <v>0</v>
      </c>
      <c r="N282" t="n">
        <v>0</v>
      </c>
      <c r="O282" t="n">
        <v>0</v>
      </c>
      <c r="P282" t="n">
        <v>0</v>
      </c>
      <c r="Q282" t="n">
        <v>0</v>
      </c>
      <c r="R282" s="2" t="inlineStr"/>
    </row>
    <row r="283" ht="15" customHeight="1">
      <c r="A283" t="inlineStr">
        <is>
          <t>A 8775-2024</t>
        </is>
      </c>
      <c r="B283" s="1" t="n">
        <v>45356</v>
      </c>
      <c r="C283" s="1" t="n">
        <v>45976</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48710-2024</t>
        </is>
      </c>
      <c r="B284" s="1" t="n">
        <v>45593.53636574074</v>
      </c>
      <c r="C284" s="1" t="n">
        <v>45976</v>
      </c>
      <c r="D284" t="inlineStr">
        <is>
          <t>VÄSTMANLANDS LÄN</t>
        </is>
      </c>
      <c r="E284" t="inlineStr">
        <is>
          <t>SALA</t>
        </is>
      </c>
      <c r="G284" t="n">
        <v>6.5</v>
      </c>
      <c r="H284" t="n">
        <v>0</v>
      </c>
      <c r="I284" t="n">
        <v>0</v>
      </c>
      <c r="J284" t="n">
        <v>0</v>
      </c>
      <c r="K284" t="n">
        <v>0</v>
      </c>
      <c r="L284" t="n">
        <v>0</v>
      </c>
      <c r="M284" t="n">
        <v>0</v>
      </c>
      <c r="N284" t="n">
        <v>0</v>
      </c>
      <c r="O284" t="n">
        <v>0</v>
      </c>
      <c r="P284" t="n">
        <v>0</v>
      </c>
      <c r="Q284" t="n">
        <v>0</v>
      </c>
      <c r="R284" s="2" t="inlineStr"/>
    </row>
    <row r="285" ht="15" customHeight="1">
      <c r="A285" t="inlineStr">
        <is>
          <t>A 60823-2024</t>
        </is>
      </c>
      <c r="B285" s="1" t="n">
        <v>45644</v>
      </c>
      <c r="C285" s="1" t="n">
        <v>45976</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16404-2022</t>
        </is>
      </c>
      <c r="B286" s="1" t="n">
        <v>44671</v>
      </c>
      <c r="C286" s="1" t="n">
        <v>45976</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1555-2024</t>
        </is>
      </c>
      <c r="B287" s="1" t="n">
        <v>45306</v>
      </c>
      <c r="C287" s="1" t="n">
        <v>45976</v>
      </c>
      <c r="D287" t="inlineStr">
        <is>
          <t>VÄSTMANLANDS LÄN</t>
        </is>
      </c>
      <c r="E287" t="inlineStr">
        <is>
          <t>SALA</t>
        </is>
      </c>
      <c r="G287" t="n">
        <v>1.3</v>
      </c>
      <c r="H287" t="n">
        <v>0</v>
      </c>
      <c r="I287" t="n">
        <v>0</v>
      </c>
      <c r="J287" t="n">
        <v>0</v>
      </c>
      <c r="K287" t="n">
        <v>0</v>
      </c>
      <c r="L287" t="n">
        <v>0</v>
      </c>
      <c r="M287" t="n">
        <v>0</v>
      </c>
      <c r="N287" t="n">
        <v>0</v>
      </c>
      <c r="O287" t="n">
        <v>0</v>
      </c>
      <c r="P287" t="n">
        <v>0</v>
      </c>
      <c r="Q287" t="n">
        <v>0</v>
      </c>
      <c r="R287" s="2" t="inlineStr"/>
    </row>
    <row r="288" ht="15" customHeight="1">
      <c r="A288" t="inlineStr">
        <is>
          <t>A 61681-2024</t>
        </is>
      </c>
      <c r="B288" s="1" t="n">
        <v>45647</v>
      </c>
      <c r="C288" s="1" t="n">
        <v>45976</v>
      </c>
      <c r="D288" t="inlineStr">
        <is>
          <t>VÄSTMANLANDS LÄN</t>
        </is>
      </c>
      <c r="E288" t="inlineStr">
        <is>
          <t>SALA</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38574-2025</t>
        </is>
      </c>
      <c r="B289" s="1" t="n">
        <v>45884.46390046296</v>
      </c>
      <c r="C289" s="1" t="n">
        <v>45976</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24248-2023</t>
        </is>
      </c>
      <c r="B290" s="1" t="n">
        <v>45079</v>
      </c>
      <c r="C290" s="1" t="n">
        <v>45976</v>
      </c>
      <c r="D290" t="inlineStr">
        <is>
          <t>VÄSTMANLANDS LÄN</t>
        </is>
      </c>
      <c r="E290" t="inlineStr">
        <is>
          <t>SALA</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31864-2025</t>
        </is>
      </c>
      <c r="B291" s="1" t="n">
        <v>45834.63819444444</v>
      </c>
      <c r="C291" s="1" t="n">
        <v>45976</v>
      </c>
      <c r="D291" t="inlineStr">
        <is>
          <t>VÄSTMANLANDS LÄN</t>
        </is>
      </c>
      <c r="E291" t="inlineStr">
        <is>
          <t>SALA</t>
        </is>
      </c>
      <c r="G291" t="n">
        <v>6.3</v>
      </c>
      <c r="H291" t="n">
        <v>0</v>
      </c>
      <c r="I291" t="n">
        <v>0</v>
      </c>
      <c r="J291" t="n">
        <v>0</v>
      </c>
      <c r="K291" t="n">
        <v>0</v>
      </c>
      <c r="L291" t="n">
        <v>0</v>
      </c>
      <c r="M291" t="n">
        <v>0</v>
      </c>
      <c r="N291" t="n">
        <v>0</v>
      </c>
      <c r="O291" t="n">
        <v>0</v>
      </c>
      <c r="P291" t="n">
        <v>0</v>
      </c>
      <c r="Q291" t="n">
        <v>0</v>
      </c>
      <c r="R291" s="2" t="inlineStr"/>
    </row>
    <row r="292" ht="15" customHeight="1">
      <c r="A292" t="inlineStr">
        <is>
          <t>A 10559-2024</t>
        </is>
      </c>
      <c r="B292" s="1" t="n">
        <v>45366</v>
      </c>
      <c r="C292" s="1" t="n">
        <v>45976</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40214-2023</t>
        </is>
      </c>
      <c r="B293" s="1" t="n">
        <v>45169.45173611111</v>
      </c>
      <c r="C293" s="1" t="n">
        <v>45976</v>
      </c>
      <c r="D293" t="inlineStr">
        <is>
          <t>VÄSTMANLANDS LÄN</t>
        </is>
      </c>
      <c r="E293" t="inlineStr">
        <is>
          <t>SALA</t>
        </is>
      </c>
      <c r="G293" t="n">
        <v>5.5</v>
      </c>
      <c r="H293" t="n">
        <v>0</v>
      </c>
      <c r="I293" t="n">
        <v>0</v>
      </c>
      <c r="J293" t="n">
        <v>0</v>
      </c>
      <c r="K293" t="n">
        <v>0</v>
      </c>
      <c r="L293" t="n">
        <v>0</v>
      </c>
      <c r="M293" t="n">
        <v>0</v>
      </c>
      <c r="N293" t="n">
        <v>0</v>
      </c>
      <c r="O293" t="n">
        <v>0</v>
      </c>
      <c r="P293" t="n">
        <v>0</v>
      </c>
      <c r="Q293" t="n">
        <v>0</v>
      </c>
      <c r="R293" s="2" t="inlineStr"/>
    </row>
    <row r="294" ht="15" customHeight="1">
      <c r="A294" t="inlineStr">
        <is>
          <t>A 16651-2021</t>
        </is>
      </c>
      <c r="B294" s="1" t="n">
        <v>44294.50096064815</v>
      </c>
      <c r="C294" s="1" t="n">
        <v>45976</v>
      </c>
      <c r="D294" t="inlineStr">
        <is>
          <t>VÄSTMANLANDS LÄN</t>
        </is>
      </c>
      <c r="E294" t="inlineStr">
        <is>
          <t>SALA</t>
        </is>
      </c>
      <c r="G294" t="n">
        <v>7.7</v>
      </c>
      <c r="H294" t="n">
        <v>0</v>
      </c>
      <c r="I294" t="n">
        <v>0</v>
      </c>
      <c r="J294" t="n">
        <v>0</v>
      </c>
      <c r="K294" t="n">
        <v>0</v>
      </c>
      <c r="L294" t="n">
        <v>0</v>
      </c>
      <c r="M294" t="n">
        <v>0</v>
      </c>
      <c r="N294" t="n">
        <v>0</v>
      </c>
      <c r="O294" t="n">
        <v>0</v>
      </c>
      <c r="P294" t="n">
        <v>0</v>
      </c>
      <c r="Q294" t="n">
        <v>0</v>
      </c>
      <c r="R294" s="2" t="inlineStr"/>
    </row>
    <row r="295" ht="15" customHeight="1">
      <c r="A295" t="inlineStr">
        <is>
          <t>A 49661-2024</t>
        </is>
      </c>
      <c r="B295" s="1" t="n">
        <v>45596</v>
      </c>
      <c r="C295" s="1" t="n">
        <v>45976</v>
      </c>
      <c r="D295" t="inlineStr">
        <is>
          <t>VÄSTMANLANDS LÄN</t>
        </is>
      </c>
      <c r="E295" t="inlineStr">
        <is>
          <t>SALA</t>
        </is>
      </c>
      <c r="G295" t="n">
        <v>6.7</v>
      </c>
      <c r="H295" t="n">
        <v>0</v>
      </c>
      <c r="I295" t="n">
        <v>0</v>
      </c>
      <c r="J295" t="n">
        <v>0</v>
      </c>
      <c r="K295" t="n">
        <v>0</v>
      </c>
      <c r="L295" t="n">
        <v>0</v>
      </c>
      <c r="M295" t="n">
        <v>0</v>
      </c>
      <c r="N295" t="n">
        <v>0</v>
      </c>
      <c r="O295" t="n">
        <v>0</v>
      </c>
      <c r="P295" t="n">
        <v>0</v>
      </c>
      <c r="Q295" t="n">
        <v>0</v>
      </c>
      <c r="R295" s="2" t="inlineStr"/>
    </row>
    <row r="296" ht="15" customHeight="1">
      <c r="A296" t="inlineStr">
        <is>
          <t>A 9856-2022</t>
        </is>
      </c>
      <c r="B296" s="1" t="n">
        <v>44620</v>
      </c>
      <c r="C296" s="1" t="n">
        <v>45976</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59297-2023</t>
        </is>
      </c>
      <c r="B297" s="1" t="n">
        <v>45253</v>
      </c>
      <c r="C297" s="1" t="n">
        <v>45976</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18100-2023</t>
        </is>
      </c>
      <c r="B298" s="1" t="n">
        <v>45040</v>
      </c>
      <c r="C298" s="1" t="n">
        <v>45976</v>
      </c>
      <c r="D298" t="inlineStr">
        <is>
          <t>VÄSTMANLANDS LÄN</t>
        </is>
      </c>
      <c r="E298" t="inlineStr">
        <is>
          <t>SALA</t>
        </is>
      </c>
      <c r="G298" t="n">
        <v>1.8</v>
      </c>
      <c r="H298" t="n">
        <v>0</v>
      </c>
      <c r="I298" t="n">
        <v>0</v>
      </c>
      <c r="J298" t="n">
        <v>0</v>
      </c>
      <c r="K298" t="n">
        <v>0</v>
      </c>
      <c r="L298" t="n">
        <v>0</v>
      </c>
      <c r="M298" t="n">
        <v>0</v>
      </c>
      <c r="N298" t="n">
        <v>0</v>
      </c>
      <c r="O298" t="n">
        <v>0</v>
      </c>
      <c r="P298" t="n">
        <v>0</v>
      </c>
      <c r="Q298" t="n">
        <v>0</v>
      </c>
      <c r="R298" s="2" t="inlineStr"/>
    </row>
    <row r="299" ht="15" customHeight="1">
      <c r="A299" t="inlineStr">
        <is>
          <t>A 39167-2025</t>
        </is>
      </c>
      <c r="B299" s="1" t="n">
        <v>45888</v>
      </c>
      <c r="C299" s="1" t="n">
        <v>45976</v>
      </c>
      <c r="D299" t="inlineStr">
        <is>
          <t>VÄSTMANLANDS LÄN</t>
        </is>
      </c>
      <c r="E299" t="inlineStr">
        <is>
          <t>SALA</t>
        </is>
      </c>
      <c r="G299" t="n">
        <v>5.5</v>
      </c>
      <c r="H299" t="n">
        <v>0</v>
      </c>
      <c r="I299" t="n">
        <v>0</v>
      </c>
      <c r="J299" t="n">
        <v>0</v>
      </c>
      <c r="K299" t="n">
        <v>0</v>
      </c>
      <c r="L299" t="n">
        <v>0</v>
      </c>
      <c r="M299" t="n">
        <v>0</v>
      </c>
      <c r="N299" t="n">
        <v>0</v>
      </c>
      <c r="O299" t="n">
        <v>0</v>
      </c>
      <c r="P299" t="n">
        <v>0</v>
      </c>
      <c r="Q299" t="n">
        <v>0</v>
      </c>
      <c r="R299" s="2" t="inlineStr"/>
    </row>
    <row r="300" ht="15" customHeight="1">
      <c r="A300" t="inlineStr">
        <is>
          <t>A 39182-2025</t>
        </is>
      </c>
      <c r="B300" s="1" t="n">
        <v>45888.66204861111</v>
      </c>
      <c r="C300" s="1" t="n">
        <v>45976</v>
      </c>
      <c r="D300" t="inlineStr">
        <is>
          <t>VÄSTMANLANDS LÄN</t>
        </is>
      </c>
      <c r="E300" t="inlineStr">
        <is>
          <t>SALA</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15965-2024</t>
        </is>
      </c>
      <c r="B301" s="1" t="n">
        <v>45405.55740740741</v>
      </c>
      <c r="C301" s="1" t="n">
        <v>45976</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23374-2023</t>
        </is>
      </c>
      <c r="B302" s="1" t="n">
        <v>45076.4399537037</v>
      </c>
      <c r="C302" s="1" t="n">
        <v>45976</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23180-2022</t>
        </is>
      </c>
      <c r="B303" s="1" t="n">
        <v>44719.79344907407</v>
      </c>
      <c r="C303" s="1" t="n">
        <v>45976</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21455-2023</t>
        </is>
      </c>
      <c r="B304" s="1" t="n">
        <v>45058</v>
      </c>
      <c r="C304" s="1" t="n">
        <v>45976</v>
      </c>
      <c r="D304" t="inlineStr">
        <is>
          <t>VÄSTMANLANDS LÄN</t>
        </is>
      </c>
      <c r="E304" t="inlineStr">
        <is>
          <t>SALA</t>
        </is>
      </c>
      <c r="G304" t="n">
        <v>6.4</v>
      </c>
      <c r="H304" t="n">
        <v>0</v>
      </c>
      <c r="I304" t="n">
        <v>0</v>
      </c>
      <c r="J304" t="n">
        <v>0</v>
      </c>
      <c r="K304" t="n">
        <v>0</v>
      </c>
      <c r="L304" t="n">
        <v>0</v>
      </c>
      <c r="M304" t="n">
        <v>0</v>
      </c>
      <c r="N304" t="n">
        <v>0</v>
      </c>
      <c r="O304" t="n">
        <v>0</v>
      </c>
      <c r="P304" t="n">
        <v>0</v>
      </c>
      <c r="Q304" t="n">
        <v>0</v>
      </c>
      <c r="R304" s="2" t="inlineStr"/>
    </row>
    <row r="305" ht="15" customHeight="1">
      <c r="A305" t="inlineStr">
        <is>
          <t>A 6134-2024</t>
        </is>
      </c>
      <c r="B305" s="1" t="n">
        <v>45337</v>
      </c>
      <c r="C305" s="1" t="n">
        <v>45976</v>
      </c>
      <c r="D305" t="inlineStr">
        <is>
          <t>VÄSTMANLANDS LÄN</t>
        </is>
      </c>
      <c r="E305" t="inlineStr">
        <is>
          <t>SALA</t>
        </is>
      </c>
      <c r="G305" t="n">
        <v>1.8</v>
      </c>
      <c r="H305" t="n">
        <v>0</v>
      </c>
      <c r="I305" t="n">
        <v>0</v>
      </c>
      <c r="J305" t="n">
        <v>0</v>
      </c>
      <c r="K305" t="n">
        <v>0</v>
      </c>
      <c r="L305" t="n">
        <v>0</v>
      </c>
      <c r="M305" t="n">
        <v>0</v>
      </c>
      <c r="N305" t="n">
        <v>0</v>
      </c>
      <c r="O305" t="n">
        <v>0</v>
      </c>
      <c r="P305" t="n">
        <v>0</v>
      </c>
      <c r="Q305" t="n">
        <v>0</v>
      </c>
      <c r="R305" s="2" t="inlineStr"/>
    </row>
    <row r="306" ht="15" customHeight="1">
      <c r="A306" t="inlineStr">
        <is>
          <t>A 48117-2024</t>
        </is>
      </c>
      <c r="B306" s="1" t="n">
        <v>45589</v>
      </c>
      <c r="C306" s="1" t="n">
        <v>45976</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45976</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52498-2022</t>
        </is>
      </c>
      <c r="B308" s="1" t="n">
        <v>44874.50152777778</v>
      </c>
      <c r="C308" s="1" t="n">
        <v>45976</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15756-2025</t>
        </is>
      </c>
      <c r="B309" s="1" t="n">
        <v>45748.56810185185</v>
      </c>
      <c r="C309" s="1" t="n">
        <v>45976</v>
      </c>
      <c r="D309" t="inlineStr">
        <is>
          <t>VÄSTMANLANDS LÄN</t>
        </is>
      </c>
      <c r="E309" t="inlineStr">
        <is>
          <t>SALA</t>
        </is>
      </c>
      <c r="F309" t="inlineStr">
        <is>
          <t>Bergvik skog öst AB</t>
        </is>
      </c>
      <c r="G309" t="n">
        <v>0.8</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45976</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31000-2022</t>
        </is>
      </c>
      <c r="B311" s="1" t="n">
        <v>44768</v>
      </c>
      <c r="C311" s="1" t="n">
        <v>45976</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37183-2024</t>
        </is>
      </c>
      <c r="B312" s="1" t="n">
        <v>45539</v>
      </c>
      <c r="C312" s="1" t="n">
        <v>45976</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21053-2022</t>
        </is>
      </c>
      <c r="B313" s="1" t="n">
        <v>44704</v>
      </c>
      <c r="C313" s="1" t="n">
        <v>45976</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24175-2024</t>
        </is>
      </c>
      <c r="B314" s="1" t="n">
        <v>45456</v>
      </c>
      <c r="C314" s="1" t="n">
        <v>45976</v>
      </c>
      <c r="D314" t="inlineStr">
        <is>
          <t>VÄSTMANLANDS LÄN</t>
        </is>
      </c>
      <c r="E314" t="inlineStr">
        <is>
          <t>SALA</t>
        </is>
      </c>
      <c r="G314" t="n">
        <v>0.6</v>
      </c>
      <c r="H314" t="n">
        <v>0</v>
      </c>
      <c r="I314" t="n">
        <v>0</v>
      </c>
      <c r="J314" t="n">
        <v>0</v>
      </c>
      <c r="K314" t="n">
        <v>0</v>
      </c>
      <c r="L314" t="n">
        <v>0</v>
      </c>
      <c r="M314" t="n">
        <v>0</v>
      </c>
      <c r="N314" t="n">
        <v>0</v>
      </c>
      <c r="O314" t="n">
        <v>0</v>
      </c>
      <c r="P314" t="n">
        <v>0</v>
      </c>
      <c r="Q314" t="n">
        <v>0</v>
      </c>
      <c r="R314" s="2" t="inlineStr"/>
    </row>
    <row r="315" ht="15" customHeight="1">
      <c r="A315" t="inlineStr">
        <is>
          <t>A 28328-2023</t>
        </is>
      </c>
      <c r="B315" s="1" t="n">
        <v>45099.71063657408</v>
      </c>
      <c r="C315" s="1" t="n">
        <v>45976</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27229-2022</t>
        </is>
      </c>
      <c r="B316" s="1" t="n">
        <v>44741</v>
      </c>
      <c r="C316" s="1" t="n">
        <v>45976</v>
      </c>
      <c r="D316" t="inlineStr">
        <is>
          <t>VÄSTMANLANDS LÄN</t>
        </is>
      </c>
      <c r="E316" t="inlineStr">
        <is>
          <t>SALA</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1793-2023</t>
        </is>
      </c>
      <c r="B317" s="1" t="n">
        <v>44937</v>
      </c>
      <c r="C317" s="1" t="n">
        <v>45976</v>
      </c>
      <c r="D317" t="inlineStr">
        <is>
          <t>VÄSTMANLANDS LÄN</t>
        </is>
      </c>
      <c r="E317" t="inlineStr">
        <is>
          <t>SALA</t>
        </is>
      </c>
      <c r="G317" t="n">
        <v>2.6</v>
      </c>
      <c r="H317" t="n">
        <v>0</v>
      </c>
      <c r="I317" t="n">
        <v>0</v>
      </c>
      <c r="J317" t="n">
        <v>0</v>
      </c>
      <c r="K317" t="n">
        <v>0</v>
      </c>
      <c r="L317" t="n">
        <v>0</v>
      </c>
      <c r="M317" t="n">
        <v>0</v>
      </c>
      <c r="N317" t="n">
        <v>0</v>
      </c>
      <c r="O317" t="n">
        <v>0</v>
      </c>
      <c r="P317" t="n">
        <v>0</v>
      </c>
      <c r="Q317" t="n">
        <v>0</v>
      </c>
      <c r="R317" s="2" t="inlineStr"/>
    </row>
    <row r="318" ht="15" customHeight="1">
      <c r="A318" t="inlineStr">
        <is>
          <t>A 29248-2022</t>
        </is>
      </c>
      <c r="B318" s="1" t="n">
        <v>44750</v>
      </c>
      <c r="C318" s="1" t="n">
        <v>45976</v>
      </c>
      <c r="D318" t="inlineStr">
        <is>
          <t>VÄSTMANLANDS LÄN</t>
        </is>
      </c>
      <c r="E318" t="inlineStr">
        <is>
          <t>SALA</t>
        </is>
      </c>
      <c r="G318" t="n">
        <v>1.6</v>
      </c>
      <c r="H318" t="n">
        <v>0</v>
      </c>
      <c r="I318" t="n">
        <v>0</v>
      </c>
      <c r="J318" t="n">
        <v>0</v>
      </c>
      <c r="K318" t="n">
        <v>0</v>
      </c>
      <c r="L318" t="n">
        <v>0</v>
      </c>
      <c r="M318" t="n">
        <v>0</v>
      </c>
      <c r="N318" t="n">
        <v>0</v>
      </c>
      <c r="O318" t="n">
        <v>0</v>
      </c>
      <c r="P318" t="n">
        <v>0</v>
      </c>
      <c r="Q318" t="n">
        <v>0</v>
      </c>
      <c r="R318" s="2" t="inlineStr"/>
    </row>
    <row r="319" ht="15" customHeight="1">
      <c r="A319" t="inlineStr">
        <is>
          <t>A 61715-2024</t>
        </is>
      </c>
      <c r="B319" s="1" t="n">
        <v>45648.89519675926</v>
      </c>
      <c r="C319" s="1" t="n">
        <v>45976</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22397-2022</t>
        </is>
      </c>
      <c r="B320" s="1" t="n">
        <v>44713</v>
      </c>
      <c r="C320" s="1" t="n">
        <v>45976</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11927-2025</t>
        </is>
      </c>
      <c r="B321" s="1" t="n">
        <v>45728.5137962963</v>
      </c>
      <c r="C321" s="1" t="n">
        <v>45976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48710-2025</t>
        </is>
      </c>
      <c r="B322" s="1" t="n">
        <v>45936.63184027778</v>
      </c>
      <c r="C322" s="1" t="n">
        <v>45976</v>
      </c>
      <c r="D322" t="inlineStr">
        <is>
          <t>VÄSTMANLANDS LÄN</t>
        </is>
      </c>
      <c r="E322" t="inlineStr">
        <is>
          <t>SALA</t>
        </is>
      </c>
      <c r="G322" t="n">
        <v>2.7</v>
      </c>
      <c r="H322" t="n">
        <v>0</v>
      </c>
      <c r="I322" t="n">
        <v>0</v>
      </c>
      <c r="J322" t="n">
        <v>0</v>
      </c>
      <c r="K322" t="n">
        <v>0</v>
      </c>
      <c r="L322" t="n">
        <v>0</v>
      </c>
      <c r="M322" t="n">
        <v>0</v>
      </c>
      <c r="N322" t="n">
        <v>0</v>
      </c>
      <c r="O322" t="n">
        <v>0</v>
      </c>
      <c r="P322" t="n">
        <v>0</v>
      </c>
      <c r="Q322" t="n">
        <v>0</v>
      </c>
      <c r="R322" s="2" t="inlineStr"/>
    </row>
    <row r="323" ht="15" customHeight="1">
      <c r="A323" t="inlineStr">
        <is>
          <t>A 38195-2021</t>
        </is>
      </c>
      <c r="B323" s="1" t="n">
        <v>44405</v>
      </c>
      <c r="C323" s="1" t="n">
        <v>45976</v>
      </c>
      <c r="D323" t="inlineStr">
        <is>
          <t>VÄSTMANLANDS LÄN</t>
        </is>
      </c>
      <c r="E323" t="inlineStr">
        <is>
          <t>SALA</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28863-2022</t>
        </is>
      </c>
      <c r="B324" s="1" t="n">
        <v>44749.50649305555</v>
      </c>
      <c r="C324" s="1" t="n">
        <v>45976</v>
      </c>
      <c r="D324" t="inlineStr">
        <is>
          <t>VÄSTMANLANDS LÄN</t>
        </is>
      </c>
      <c r="E324" t="inlineStr">
        <is>
          <t>SALA</t>
        </is>
      </c>
      <c r="G324" t="n">
        <v>1.6</v>
      </c>
      <c r="H324" t="n">
        <v>0</v>
      </c>
      <c r="I324" t="n">
        <v>0</v>
      </c>
      <c r="J324" t="n">
        <v>0</v>
      </c>
      <c r="K324" t="n">
        <v>0</v>
      </c>
      <c r="L324" t="n">
        <v>0</v>
      </c>
      <c r="M324" t="n">
        <v>0</v>
      </c>
      <c r="N324" t="n">
        <v>0</v>
      </c>
      <c r="O324" t="n">
        <v>0</v>
      </c>
      <c r="P324" t="n">
        <v>0</v>
      </c>
      <c r="Q324" t="n">
        <v>0</v>
      </c>
      <c r="R324" s="2" t="inlineStr"/>
    </row>
    <row r="325" ht="15" customHeight="1">
      <c r="A325" t="inlineStr">
        <is>
          <t>A 6132-2025</t>
        </is>
      </c>
      <c r="B325" s="1" t="n">
        <v>45698</v>
      </c>
      <c r="C325" s="1" t="n">
        <v>45976</v>
      </c>
      <c r="D325" t="inlineStr">
        <is>
          <t>VÄSTMANLANDS LÄN</t>
        </is>
      </c>
      <c r="E325" t="inlineStr">
        <is>
          <t>SALA</t>
        </is>
      </c>
      <c r="F325" t="inlineStr">
        <is>
          <t>Bergvik skog öst AB</t>
        </is>
      </c>
      <c r="G325" t="n">
        <v>1.5</v>
      </c>
      <c r="H325" t="n">
        <v>0</v>
      </c>
      <c r="I325" t="n">
        <v>0</v>
      </c>
      <c r="J325" t="n">
        <v>0</v>
      </c>
      <c r="K325" t="n">
        <v>0</v>
      </c>
      <c r="L325" t="n">
        <v>0</v>
      </c>
      <c r="M325" t="n">
        <v>0</v>
      </c>
      <c r="N325" t="n">
        <v>0</v>
      </c>
      <c r="O325" t="n">
        <v>0</v>
      </c>
      <c r="P325" t="n">
        <v>0</v>
      </c>
      <c r="Q325" t="n">
        <v>0</v>
      </c>
      <c r="R325" s="2" t="inlineStr"/>
    </row>
    <row r="326" ht="15" customHeight="1">
      <c r="A326" t="inlineStr">
        <is>
          <t>A 21777-2022</t>
        </is>
      </c>
      <c r="B326" s="1" t="n">
        <v>44708.48194444444</v>
      </c>
      <c r="C326" s="1" t="n">
        <v>45976</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7681-2021</t>
        </is>
      </c>
      <c r="B327" s="1" t="n">
        <v>44242</v>
      </c>
      <c r="C327" s="1" t="n">
        <v>45976</v>
      </c>
      <c r="D327" t="inlineStr">
        <is>
          <t>VÄSTMANLANDS LÄN</t>
        </is>
      </c>
      <c r="E327" t="inlineStr">
        <is>
          <t>SALA</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14919-2025</t>
        </is>
      </c>
      <c r="B328" s="1" t="n">
        <v>45743.54256944444</v>
      </c>
      <c r="C328" s="1" t="n">
        <v>45976</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14920-2025</t>
        </is>
      </c>
      <c r="B329" s="1" t="n">
        <v>45743</v>
      </c>
      <c r="C329" s="1" t="n">
        <v>45976</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45976</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11389-2024</t>
        </is>
      </c>
      <c r="B331" s="1" t="n">
        <v>45372.45016203704</v>
      </c>
      <c r="C331" s="1" t="n">
        <v>45976</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50876-2023</t>
        </is>
      </c>
      <c r="B332" s="1" t="n">
        <v>45211</v>
      </c>
      <c r="C332" s="1" t="n">
        <v>45976</v>
      </c>
      <c r="D332" t="inlineStr">
        <is>
          <t>VÄSTMANLANDS LÄN</t>
        </is>
      </c>
      <c r="E332" t="inlineStr">
        <is>
          <t>SALA</t>
        </is>
      </c>
      <c r="G332" t="n">
        <v>1.9</v>
      </c>
      <c r="H332" t="n">
        <v>0</v>
      </c>
      <c r="I332" t="n">
        <v>0</v>
      </c>
      <c r="J332" t="n">
        <v>0</v>
      </c>
      <c r="K332" t="n">
        <v>0</v>
      </c>
      <c r="L332" t="n">
        <v>0</v>
      </c>
      <c r="M332" t="n">
        <v>0</v>
      </c>
      <c r="N332" t="n">
        <v>0</v>
      </c>
      <c r="O332" t="n">
        <v>0</v>
      </c>
      <c r="P332" t="n">
        <v>0</v>
      </c>
      <c r="Q332" t="n">
        <v>0</v>
      </c>
      <c r="R332" s="2" t="inlineStr"/>
    </row>
    <row r="333" ht="15" customHeight="1">
      <c r="A333" t="inlineStr">
        <is>
          <t>A 43362-2023</t>
        </is>
      </c>
      <c r="B333" s="1" t="n">
        <v>45183</v>
      </c>
      <c r="C333" s="1" t="n">
        <v>45976</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2900-2023</t>
        </is>
      </c>
      <c r="B334" s="1" t="n">
        <v>44943</v>
      </c>
      <c r="C334" s="1" t="n">
        <v>45976</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10255-2024</t>
        </is>
      </c>
      <c r="B335" s="1" t="n">
        <v>45365</v>
      </c>
      <c r="C335" s="1" t="n">
        <v>45976</v>
      </c>
      <c r="D335" t="inlineStr">
        <is>
          <t>VÄSTMANLANDS LÄN</t>
        </is>
      </c>
      <c r="E335" t="inlineStr">
        <is>
          <t>SALA</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6030-2024</t>
        </is>
      </c>
      <c r="B336" s="1" t="n">
        <v>45336.62782407407</v>
      </c>
      <c r="C336" s="1" t="n">
        <v>45976</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52630-2022</t>
        </is>
      </c>
      <c r="B337" s="1" t="n">
        <v>44874</v>
      </c>
      <c r="C337" s="1" t="n">
        <v>45976</v>
      </c>
      <c r="D337" t="inlineStr">
        <is>
          <t>VÄSTMANLANDS LÄN</t>
        </is>
      </c>
      <c r="E337" t="inlineStr">
        <is>
          <t>SALA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62648-2022</t>
        </is>
      </c>
      <c r="B338" s="1" t="n">
        <v>44917</v>
      </c>
      <c r="C338" s="1" t="n">
        <v>45976</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2925-2024</t>
        </is>
      </c>
      <c r="B339" s="1" t="n">
        <v>45315.58909722222</v>
      </c>
      <c r="C339" s="1" t="n">
        <v>45976</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48910-2025</t>
        </is>
      </c>
      <c r="B340" s="1" t="n">
        <v>45937.48649305556</v>
      </c>
      <c r="C340" s="1" t="n">
        <v>45976</v>
      </c>
      <c r="D340" t="inlineStr">
        <is>
          <t>VÄSTMANLANDS LÄN</t>
        </is>
      </c>
      <c r="E340" t="inlineStr">
        <is>
          <t>SALA</t>
        </is>
      </c>
      <c r="G340" t="n">
        <v>7.8</v>
      </c>
      <c r="H340" t="n">
        <v>0</v>
      </c>
      <c r="I340" t="n">
        <v>0</v>
      </c>
      <c r="J340" t="n">
        <v>0</v>
      </c>
      <c r="K340" t="n">
        <v>0</v>
      </c>
      <c r="L340" t="n">
        <v>0</v>
      </c>
      <c r="M340" t="n">
        <v>0</v>
      </c>
      <c r="N340" t="n">
        <v>0</v>
      </c>
      <c r="O340" t="n">
        <v>0</v>
      </c>
      <c r="P340" t="n">
        <v>0</v>
      </c>
      <c r="Q340" t="n">
        <v>0</v>
      </c>
      <c r="R340" s="2" t="inlineStr"/>
    </row>
    <row r="341" ht="15" customHeight="1">
      <c r="A341" t="inlineStr">
        <is>
          <t>A 14690-2025</t>
        </is>
      </c>
      <c r="B341" s="1" t="n">
        <v>45742.58212962963</v>
      </c>
      <c r="C341" s="1" t="n">
        <v>45976</v>
      </c>
      <c r="D341" t="inlineStr">
        <is>
          <t>VÄSTMANLANDS LÄN</t>
        </is>
      </c>
      <c r="E341" t="inlineStr">
        <is>
          <t>SALA</t>
        </is>
      </c>
      <c r="G341" t="n">
        <v>3.4</v>
      </c>
      <c r="H341" t="n">
        <v>0</v>
      </c>
      <c r="I341" t="n">
        <v>0</v>
      </c>
      <c r="J341" t="n">
        <v>0</v>
      </c>
      <c r="K341" t="n">
        <v>0</v>
      </c>
      <c r="L341" t="n">
        <v>0</v>
      </c>
      <c r="M341" t="n">
        <v>0</v>
      </c>
      <c r="N341" t="n">
        <v>0</v>
      </c>
      <c r="O341" t="n">
        <v>0</v>
      </c>
      <c r="P341" t="n">
        <v>0</v>
      </c>
      <c r="Q341" t="n">
        <v>0</v>
      </c>
      <c r="R341" s="2" t="inlineStr"/>
    </row>
    <row r="342" ht="15" customHeight="1">
      <c r="A342" t="inlineStr">
        <is>
          <t>A 39439-2021</t>
        </is>
      </c>
      <c r="B342" s="1" t="n">
        <v>44414</v>
      </c>
      <c r="C342" s="1" t="n">
        <v>45976</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56548-2024</t>
        </is>
      </c>
      <c r="B343" s="1" t="n">
        <v>45625</v>
      </c>
      <c r="C343" s="1" t="n">
        <v>45976</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2521-2025</t>
        </is>
      </c>
      <c r="B344" s="1" t="n">
        <v>45674</v>
      </c>
      <c r="C344" s="1" t="n">
        <v>45976</v>
      </c>
      <c r="D344" t="inlineStr">
        <is>
          <t>VÄSTMANLANDS LÄN</t>
        </is>
      </c>
      <c r="E344" t="inlineStr">
        <is>
          <t>SALA</t>
        </is>
      </c>
      <c r="G344" t="n">
        <v>3.5</v>
      </c>
      <c r="H344" t="n">
        <v>0</v>
      </c>
      <c r="I344" t="n">
        <v>0</v>
      </c>
      <c r="J344" t="n">
        <v>0</v>
      </c>
      <c r="K344" t="n">
        <v>0</v>
      </c>
      <c r="L344" t="n">
        <v>0</v>
      </c>
      <c r="M344" t="n">
        <v>0</v>
      </c>
      <c r="N344" t="n">
        <v>0</v>
      </c>
      <c r="O344" t="n">
        <v>0</v>
      </c>
      <c r="P344" t="n">
        <v>0</v>
      </c>
      <c r="Q344" t="n">
        <v>0</v>
      </c>
      <c r="R344" s="2" t="inlineStr"/>
    </row>
    <row r="345" ht="15" customHeight="1">
      <c r="A345" t="inlineStr">
        <is>
          <t>A 5477-2024</t>
        </is>
      </c>
      <c r="B345" s="1" t="n">
        <v>45333.67833333334</v>
      </c>
      <c r="C345" s="1" t="n">
        <v>45976</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4736-2021</t>
        </is>
      </c>
      <c r="B346" s="1" t="n">
        <v>44225</v>
      </c>
      <c r="C346" s="1" t="n">
        <v>45976</v>
      </c>
      <c r="D346" t="inlineStr">
        <is>
          <t>VÄSTMANLANDS LÄN</t>
        </is>
      </c>
      <c r="E346" t="inlineStr">
        <is>
          <t>SALA</t>
        </is>
      </c>
      <c r="G346" t="n">
        <v>4.2</v>
      </c>
      <c r="H346" t="n">
        <v>0</v>
      </c>
      <c r="I346" t="n">
        <v>0</v>
      </c>
      <c r="J346" t="n">
        <v>0</v>
      </c>
      <c r="K346" t="n">
        <v>0</v>
      </c>
      <c r="L346" t="n">
        <v>0</v>
      </c>
      <c r="M346" t="n">
        <v>0</v>
      </c>
      <c r="N346" t="n">
        <v>0</v>
      </c>
      <c r="O346" t="n">
        <v>0</v>
      </c>
      <c r="P346" t="n">
        <v>0</v>
      </c>
      <c r="Q346" t="n">
        <v>0</v>
      </c>
      <c r="R346" s="2" t="inlineStr"/>
    </row>
    <row r="347" ht="15" customHeight="1">
      <c r="A347" t="inlineStr">
        <is>
          <t>A 3332-2024</t>
        </is>
      </c>
      <c r="B347" s="1" t="n">
        <v>45317</v>
      </c>
      <c r="C347" s="1" t="n">
        <v>45976</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39451-2022</t>
        </is>
      </c>
      <c r="B348" s="1" t="n">
        <v>44818.36606481481</v>
      </c>
      <c r="C348" s="1" t="n">
        <v>45976</v>
      </c>
      <c r="D348" t="inlineStr">
        <is>
          <t>VÄSTMANLANDS LÄN</t>
        </is>
      </c>
      <c r="E348" t="inlineStr">
        <is>
          <t>SALA</t>
        </is>
      </c>
      <c r="G348" t="n">
        <v>9.4</v>
      </c>
      <c r="H348" t="n">
        <v>0</v>
      </c>
      <c r="I348" t="n">
        <v>0</v>
      </c>
      <c r="J348" t="n">
        <v>0</v>
      </c>
      <c r="K348" t="n">
        <v>0</v>
      </c>
      <c r="L348" t="n">
        <v>0</v>
      </c>
      <c r="M348" t="n">
        <v>0</v>
      </c>
      <c r="N348" t="n">
        <v>0</v>
      </c>
      <c r="O348" t="n">
        <v>0</v>
      </c>
      <c r="P348" t="n">
        <v>0</v>
      </c>
      <c r="Q348" t="n">
        <v>0</v>
      </c>
      <c r="R348" s="2" t="inlineStr"/>
    </row>
    <row r="349" ht="15" customHeight="1">
      <c r="A349" t="inlineStr">
        <is>
          <t>A 60548-2024</t>
        </is>
      </c>
      <c r="B349" s="1" t="n">
        <v>45643.80978009259</v>
      </c>
      <c r="C349" s="1" t="n">
        <v>45976</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40559-2025</t>
        </is>
      </c>
      <c r="B350" s="1" t="n">
        <v>45896.45037037037</v>
      </c>
      <c r="C350" s="1" t="n">
        <v>45976</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26761-2023</t>
        </is>
      </c>
      <c r="B351" s="1" t="n">
        <v>45093</v>
      </c>
      <c r="C351" s="1" t="n">
        <v>45976</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55035-2023</t>
        </is>
      </c>
      <c r="B352" s="1" t="n">
        <v>45229</v>
      </c>
      <c r="C352" s="1" t="n">
        <v>45976</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2529-2022</t>
        </is>
      </c>
      <c r="B353" s="1" t="n">
        <v>44579.86452546297</v>
      </c>
      <c r="C353" s="1" t="n">
        <v>45976</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40556-2025</t>
        </is>
      </c>
      <c r="B354" s="1" t="n">
        <v>45896.44944444444</v>
      </c>
      <c r="C354" s="1" t="n">
        <v>45976</v>
      </c>
      <c r="D354" t="inlineStr">
        <is>
          <t>VÄSTMANLANDS LÄN</t>
        </is>
      </c>
      <c r="E354" t="inlineStr">
        <is>
          <t>SALA</t>
        </is>
      </c>
      <c r="G354" t="n">
        <v>1.9</v>
      </c>
      <c r="H354" t="n">
        <v>0</v>
      </c>
      <c r="I354" t="n">
        <v>0</v>
      </c>
      <c r="J354" t="n">
        <v>0</v>
      </c>
      <c r="K354" t="n">
        <v>0</v>
      </c>
      <c r="L354" t="n">
        <v>0</v>
      </c>
      <c r="M354" t="n">
        <v>0</v>
      </c>
      <c r="N354" t="n">
        <v>0</v>
      </c>
      <c r="O354" t="n">
        <v>0</v>
      </c>
      <c r="P354" t="n">
        <v>0</v>
      </c>
      <c r="Q354" t="n">
        <v>0</v>
      </c>
      <c r="R354" s="2" t="inlineStr"/>
    </row>
    <row r="355" ht="15" customHeight="1">
      <c r="A355" t="inlineStr">
        <is>
          <t>A 40620-2025</t>
        </is>
      </c>
      <c r="B355" s="1" t="n">
        <v>45896.58609953704</v>
      </c>
      <c r="C355" s="1" t="n">
        <v>45976</v>
      </c>
      <c r="D355" t="inlineStr">
        <is>
          <t>VÄSTMANLANDS LÄN</t>
        </is>
      </c>
      <c r="E355" t="inlineStr">
        <is>
          <t>SALA</t>
        </is>
      </c>
      <c r="G355" t="n">
        <v>6.7</v>
      </c>
      <c r="H355" t="n">
        <v>0</v>
      </c>
      <c r="I355" t="n">
        <v>0</v>
      </c>
      <c r="J355" t="n">
        <v>0</v>
      </c>
      <c r="K355" t="n">
        <v>0</v>
      </c>
      <c r="L355" t="n">
        <v>0</v>
      </c>
      <c r="M355" t="n">
        <v>0</v>
      </c>
      <c r="N355" t="n">
        <v>0</v>
      </c>
      <c r="O355" t="n">
        <v>0</v>
      </c>
      <c r="P355" t="n">
        <v>0</v>
      </c>
      <c r="Q355" t="n">
        <v>0</v>
      </c>
      <c r="R355" s="2" t="inlineStr"/>
    </row>
    <row r="356" ht="15" customHeight="1">
      <c r="A356" t="inlineStr">
        <is>
          <t>A 13471-2025</t>
        </is>
      </c>
      <c r="B356" s="1" t="n">
        <v>45736.40579861111</v>
      </c>
      <c r="C356" s="1" t="n">
        <v>45976</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60249-2023</t>
        </is>
      </c>
      <c r="B357" s="1" t="n">
        <v>45258</v>
      </c>
      <c r="C357" s="1" t="n">
        <v>45976</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15681-2025</t>
        </is>
      </c>
      <c r="B358" s="1" t="n">
        <v>45748.45454861111</v>
      </c>
      <c r="C358" s="1" t="n">
        <v>45976</v>
      </c>
      <c r="D358" t="inlineStr">
        <is>
          <t>VÄSTMANLANDS LÄN</t>
        </is>
      </c>
      <c r="E358" t="inlineStr">
        <is>
          <t>SALA</t>
        </is>
      </c>
      <c r="F358" t="inlineStr">
        <is>
          <t>Bergvik skog öst AB</t>
        </is>
      </c>
      <c r="G358" t="n">
        <v>4.3</v>
      </c>
      <c r="H358" t="n">
        <v>0</v>
      </c>
      <c r="I358" t="n">
        <v>0</v>
      </c>
      <c r="J358" t="n">
        <v>0</v>
      </c>
      <c r="K358" t="n">
        <v>0</v>
      </c>
      <c r="L358" t="n">
        <v>0</v>
      </c>
      <c r="M358" t="n">
        <v>0</v>
      </c>
      <c r="N358" t="n">
        <v>0</v>
      </c>
      <c r="O358" t="n">
        <v>0</v>
      </c>
      <c r="P358" t="n">
        <v>0</v>
      </c>
      <c r="Q358" t="n">
        <v>0</v>
      </c>
      <c r="R358" s="2" t="inlineStr"/>
    </row>
    <row r="359" ht="15" customHeight="1">
      <c r="A359" t="inlineStr">
        <is>
          <t>A 18431-2023</t>
        </is>
      </c>
      <c r="B359" s="1" t="n">
        <v>45042</v>
      </c>
      <c r="C359" s="1" t="n">
        <v>45976</v>
      </c>
      <c r="D359" t="inlineStr">
        <is>
          <t>VÄSTMANLANDS LÄN</t>
        </is>
      </c>
      <c r="E359" t="inlineStr">
        <is>
          <t>SALA</t>
        </is>
      </c>
      <c r="G359" t="n">
        <v>1.9</v>
      </c>
      <c r="H359" t="n">
        <v>0</v>
      </c>
      <c r="I359" t="n">
        <v>0</v>
      </c>
      <c r="J359" t="n">
        <v>0</v>
      </c>
      <c r="K359" t="n">
        <v>0</v>
      </c>
      <c r="L359" t="n">
        <v>0</v>
      </c>
      <c r="M359" t="n">
        <v>0</v>
      </c>
      <c r="N359" t="n">
        <v>0</v>
      </c>
      <c r="O359" t="n">
        <v>0</v>
      </c>
      <c r="P359" t="n">
        <v>0</v>
      </c>
      <c r="Q359" t="n">
        <v>0</v>
      </c>
      <c r="R359" s="2" t="inlineStr"/>
    </row>
    <row r="360" ht="15" customHeight="1">
      <c r="A360" t="inlineStr">
        <is>
          <t>A 27424-2023</t>
        </is>
      </c>
      <c r="B360" s="1" t="n">
        <v>45097.37690972222</v>
      </c>
      <c r="C360" s="1" t="n">
        <v>45976</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58701-2021</t>
        </is>
      </c>
      <c r="B361" s="1" t="n">
        <v>44489.46454861111</v>
      </c>
      <c r="C361" s="1" t="n">
        <v>45976</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7772-2023</t>
        </is>
      </c>
      <c r="B362" s="1" t="n">
        <v>44973.40076388889</v>
      </c>
      <c r="C362" s="1" t="n">
        <v>45976</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49585-2025</t>
        </is>
      </c>
      <c r="B363" s="1" t="n">
        <v>45939.5043287037</v>
      </c>
      <c r="C363" s="1" t="n">
        <v>45976</v>
      </c>
      <c r="D363" t="inlineStr">
        <is>
          <t>VÄSTMANLANDS LÄN</t>
        </is>
      </c>
      <c r="E363" t="inlineStr">
        <is>
          <t>SALA</t>
        </is>
      </c>
      <c r="G363" t="n">
        <v>2.2</v>
      </c>
      <c r="H363" t="n">
        <v>0</v>
      </c>
      <c r="I363" t="n">
        <v>0</v>
      </c>
      <c r="J363" t="n">
        <v>0</v>
      </c>
      <c r="K363" t="n">
        <v>0</v>
      </c>
      <c r="L363" t="n">
        <v>0</v>
      </c>
      <c r="M363" t="n">
        <v>0</v>
      </c>
      <c r="N363" t="n">
        <v>0</v>
      </c>
      <c r="O363" t="n">
        <v>0</v>
      </c>
      <c r="P363" t="n">
        <v>0</v>
      </c>
      <c r="Q363" t="n">
        <v>0</v>
      </c>
      <c r="R363" s="2" t="inlineStr"/>
    </row>
    <row r="364" ht="15" customHeight="1">
      <c r="A364" t="inlineStr">
        <is>
          <t>A 49640-2025</t>
        </is>
      </c>
      <c r="B364" s="1" t="n">
        <v>45939.61459490741</v>
      </c>
      <c r="C364" s="1" t="n">
        <v>45976</v>
      </c>
      <c r="D364" t="inlineStr">
        <is>
          <t>VÄSTMANLANDS LÄN</t>
        </is>
      </c>
      <c r="E364" t="inlineStr">
        <is>
          <t>SALA</t>
        </is>
      </c>
      <c r="F364" t="inlineStr">
        <is>
          <t>Kommuner</t>
        </is>
      </c>
      <c r="G364" t="n">
        <v>18.8</v>
      </c>
      <c r="H364" t="n">
        <v>0</v>
      </c>
      <c r="I364" t="n">
        <v>0</v>
      </c>
      <c r="J364" t="n">
        <v>0</v>
      </c>
      <c r="K364" t="n">
        <v>0</v>
      </c>
      <c r="L364" t="n">
        <v>0</v>
      </c>
      <c r="M364" t="n">
        <v>0</v>
      </c>
      <c r="N364" t="n">
        <v>0</v>
      </c>
      <c r="O364" t="n">
        <v>0</v>
      </c>
      <c r="P364" t="n">
        <v>0</v>
      </c>
      <c r="Q364" t="n">
        <v>0</v>
      </c>
      <c r="R364" s="2" t="inlineStr"/>
    </row>
    <row r="365" ht="15" customHeight="1">
      <c r="A365" t="inlineStr">
        <is>
          <t>A 11244-2024</t>
        </is>
      </c>
      <c r="B365" s="1" t="n">
        <v>45371</v>
      </c>
      <c r="C365" s="1" t="n">
        <v>45976</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31597-2024</t>
        </is>
      </c>
      <c r="B366" s="1" t="n">
        <v>45506</v>
      </c>
      <c r="C366" s="1" t="n">
        <v>45976</v>
      </c>
      <c r="D366" t="inlineStr">
        <is>
          <t>VÄSTMANLANDS LÄN</t>
        </is>
      </c>
      <c r="E366" t="inlineStr">
        <is>
          <t>SALA</t>
        </is>
      </c>
      <c r="G366" t="n">
        <v>2.4</v>
      </c>
      <c r="H366" t="n">
        <v>0</v>
      </c>
      <c r="I366" t="n">
        <v>0</v>
      </c>
      <c r="J366" t="n">
        <v>0</v>
      </c>
      <c r="K366" t="n">
        <v>0</v>
      </c>
      <c r="L366" t="n">
        <v>0</v>
      </c>
      <c r="M366" t="n">
        <v>0</v>
      </c>
      <c r="N366" t="n">
        <v>0</v>
      </c>
      <c r="O366" t="n">
        <v>0</v>
      </c>
      <c r="P366" t="n">
        <v>0</v>
      </c>
      <c r="Q366" t="n">
        <v>0</v>
      </c>
      <c r="R366" s="2" t="inlineStr"/>
    </row>
    <row r="367" ht="15" customHeight="1">
      <c r="A367" t="inlineStr">
        <is>
          <t>A 31599-2024</t>
        </is>
      </c>
      <c r="B367" s="1" t="n">
        <v>45506</v>
      </c>
      <c r="C367" s="1" t="n">
        <v>45976</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31601-2024</t>
        </is>
      </c>
      <c r="B368" s="1" t="n">
        <v>45506</v>
      </c>
      <c r="C368" s="1" t="n">
        <v>45976</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31608-2024</t>
        </is>
      </c>
      <c r="B369" s="1" t="n">
        <v>45506</v>
      </c>
      <c r="C369" s="1" t="n">
        <v>45976</v>
      </c>
      <c r="D369" t="inlineStr">
        <is>
          <t>VÄSTMANLANDS LÄN</t>
        </is>
      </c>
      <c r="E369" t="inlineStr">
        <is>
          <t>SALA</t>
        </is>
      </c>
      <c r="G369" t="n">
        <v>1.7</v>
      </c>
      <c r="H369" t="n">
        <v>0</v>
      </c>
      <c r="I369" t="n">
        <v>0</v>
      </c>
      <c r="J369" t="n">
        <v>0</v>
      </c>
      <c r="K369" t="n">
        <v>0</v>
      </c>
      <c r="L369" t="n">
        <v>0</v>
      </c>
      <c r="M369" t="n">
        <v>0</v>
      </c>
      <c r="N369" t="n">
        <v>0</v>
      </c>
      <c r="O369" t="n">
        <v>0</v>
      </c>
      <c r="P369" t="n">
        <v>0</v>
      </c>
      <c r="Q369" t="n">
        <v>0</v>
      </c>
      <c r="R369" s="2" t="inlineStr"/>
    </row>
    <row r="370" ht="15" customHeight="1">
      <c r="A370" t="inlineStr">
        <is>
          <t>A 31612-2024</t>
        </is>
      </c>
      <c r="B370" s="1" t="n">
        <v>45506</v>
      </c>
      <c r="C370" s="1" t="n">
        <v>45976</v>
      </c>
      <c r="D370" t="inlineStr">
        <is>
          <t>VÄSTMANLANDS LÄN</t>
        </is>
      </c>
      <c r="E370" t="inlineStr">
        <is>
          <t>SALA</t>
        </is>
      </c>
      <c r="G370" t="n">
        <v>3.2</v>
      </c>
      <c r="H370" t="n">
        <v>0</v>
      </c>
      <c r="I370" t="n">
        <v>0</v>
      </c>
      <c r="J370" t="n">
        <v>0</v>
      </c>
      <c r="K370" t="n">
        <v>0</v>
      </c>
      <c r="L370" t="n">
        <v>0</v>
      </c>
      <c r="M370" t="n">
        <v>0</v>
      </c>
      <c r="N370" t="n">
        <v>0</v>
      </c>
      <c r="O370" t="n">
        <v>0</v>
      </c>
      <c r="P370" t="n">
        <v>0</v>
      </c>
      <c r="Q370" t="n">
        <v>0</v>
      </c>
      <c r="R370" s="2" t="inlineStr"/>
    </row>
    <row r="371" ht="15" customHeight="1">
      <c r="A371" t="inlineStr">
        <is>
          <t>A 12225-2023</t>
        </is>
      </c>
      <c r="B371" s="1" t="n">
        <v>44995</v>
      </c>
      <c r="C371" s="1" t="n">
        <v>45976</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52500-2024</t>
        </is>
      </c>
      <c r="B372" s="1" t="n">
        <v>45609</v>
      </c>
      <c r="C372" s="1" t="n">
        <v>45976</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61874-2021</t>
        </is>
      </c>
      <c r="B373" s="1" t="n">
        <v>44502</v>
      </c>
      <c r="C373" s="1" t="n">
        <v>45976</v>
      </c>
      <c r="D373" t="inlineStr">
        <is>
          <t>VÄSTMANLANDS LÄN</t>
        </is>
      </c>
      <c r="E373" t="inlineStr">
        <is>
          <t>SALA</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56949-2023</t>
        </is>
      </c>
      <c r="B374" s="1" t="n">
        <v>45244.61589120371</v>
      </c>
      <c r="C374" s="1" t="n">
        <v>45976</v>
      </c>
      <c r="D374" t="inlineStr">
        <is>
          <t>VÄSTMANLANDS LÄN</t>
        </is>
      </c>
      <c r="E374" t="inlineStr">
        <is>
          <t>SALA</t>
        </is>
      </c>
      <c r="G374" t="n">
        <v>4.7</v>
      </c>
      <c r="H374" t="n">
        <v>0</v>
      </c>
      <c r="I374" t="n">
        <v>0</v>
      </c>
      <c r="J374" t="n">
        <v>0</v>
      </c>
      <c r="K374" t="n">
        <v>0</v>
      </c>
      <c r="L374" t="n">
        <v>0</v>
      </c>
      <c r="M374" t="n">
        <v>0</v>
      </c>
      <c r="N374" t="n">
        <v>0</v>
      </c>
      <c r="O374" t="n">
        <v>0</v>
      </c>
      <c r="P374" t="n">
        <v>0</v>
      </c>
      <c r="Q374" t="n">
        <v>0</v>
      </c>
      <c r="R374" s="2" t="inlineStr"/>
    </row>
    <row r="375" ht="15" customHeight="1">
      <c r="A375" t="inlineStr">
        <is>
          <t>A 50128-2025</t>
        </is>
      </c>
      <c r="B375" s="1" t="n">
        <v>45943.55318287037</v>
      </c>
      <c r="C375" s="1" t="n">
        <v>45976</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50119-2025</t>
        </is>
      </c>
      <c r="B376" s="1" t="n">
        <v>45943.54883101852</v>
      </c>
      <c r="C376" s="1" t="n">
        <v>45976</v>
      </c>
      <c r="D376" t="inlineStr">
        <is>
          <t>VÄSTMANLANDS LÄN</t>
        </is>
      </c>
      <c r="E376" t="inlineStr">
        <is>
          <t>SALA</t>
        </is>
      </c>
      <c r="G376" t="n">
        <v>3.3</v>
      </c>
      <c r="H376" t="n">
        <v>0</v>
      </c>
      <c r="I376" t="n">
        <v>0</v>
      </c>
      <c r="J376" t="n">
        <v>0</v>
      </c>
      <c r="K376" t="n">
        <v>0</v>
      </c>
      <c r="L376" t="n">
        <v>0</v>
      </c>
      <c r="M376" t="n">
        <v>0</v>
      </c>
      <c r="N376" t="n">
        <v>0</v>
      </c>
      <c r="O376" t="n">
        <v>0</v>
      </c>
      <c r="P376" t="n">
        <v>0</v>
      </c>
      <c r="Q376" t="n">
        <v>0</v>
      </c>
      <c r="R376" s="2" t="inlineStr"/>
    </row>
    <row r="377" ht="15" customHeight="1">
      <c r="A377" t="inlineStr">
        <is>
          <t>A 62651-2022</t>
        </is>
      </c>
      <c r="B377" s="1" t="n">
        <v>44917</v>
      </c>
      <c r="C377" s="1" t="n">
        <v>45976</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96-2024</t>
        </is>
      </c>
      <c r="B378" s="1" t="n">
        <v>45293.85872685185</v>
      </c>
      <c r="C378" s="1" t="n">
        <v>45976</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54118-2023</t>
        </is>
      </c>
      <c r="B379" s="1" t="n">
        <v>45232</v>
      </c>
      <c r="C379" s="1" t="n">
        <v>45976</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50059-2025</t>
        </is>
      </c>
      <c r="B380" s="1" t="n">
        <v>45943.44125</v>
      </c>
      <c r="C380" s="1" t="n">
        <v>45976</v>
      </c>
      <c r="D380" t="inlineStr">
        <is>
          <t>VÄSTMANLANDS LÄN</t>
        </is>
      </c>
      <c r="E380" t="inlineStr">
        <is>
          <t>SALA</t>
        </is>
      </c>
      <c r="G380" t="n">
        <v>4.4</v>
      </c>
      <c r="H380" t="n">
        <v>0</v>
      </c>
      <c r="I380" t="n">
        <v>0</v>
      </c>
      <c r="J380" t="n">
        <v>0</v>
      </c>
      <c r="K380" t="n">
        <v>0</v>
      </c>
      <c r="L380" t="n">
        <v>0</v>
      </c>
      <c r="M380" t="n">
        <v>0</v>
      </c>
      <c r="N380" t="n">
        <v>0</v>
      </c>
      <c r="O380" t="n">
        <v>0</v>
      </c>
      <c r="P380" t="n">
        <v>0</v>
      </c>
      <c r="Q380" t="n">
        <v>0</v>
      </c>
      <c r="R380" s="2" t="inlineStr"/>
    </row>
    <row r="381" ht="15" customHeight="1">
      <c r="A381" t="inlineStr">
        <is>
          <t>A 19751-2022</t>
        </is>
      </c>
      <c r="B381" s="1" t="n">
        <v>44694</v>
      </c>
      <c r="C381" s="1" t="n">
        <v>45976</v>
      </c>
      <c r="D381" t="inlineStr">
        <is>
          <t>VÄSTMANLANDS LÄN</t>
        </is>
      </c>
      <c r="E381" t="inlineStr">
        <is>
          <t>SALA</t>
        </is>
      </c>
      <c r="G381" t="n">
        <v>2.7</v>
      </c>
      <c r="H381" t="n">
        <v>0</v>
      </c>
      <c r="I381" t="n">
        <v>0</v>
      </c>
      <c r="J381" t="n">
        <v>0</v>
      </c>
      <c r="K381" t="n">
        <v>0</v>
      </c>
      <c r="L381" t="n">
        <v>0</v>
      </c>
      <c r="M381" t="n">
        <v>0</v>
      </c>
      <c r="N381" t="n">
        <v>0</v>
      </c>
      <c r="O381" t="n">
        <v>0</v>
      </c>
      <c r="P381" t="n">
        <v>0</v>
      </c>
      <c r="Q381" t="n">
        <v>0</v>
      </c>
      <c r="R381" s="2" t="inlineStr"/>
    </row>
    <row r="382" ht="15" customHeight="1">
      <c r="A382" t="inlineStr">
        <is>
          <t>A 15968-2024</t>
        </is>
      </c>
      <c r="B382" s="1" t="n">
        <v>45405.56021990741</v>
      </c>
      <c r="C382" s="1" t="n">
        <v>45976</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44713-2023</t>
        </is>
      </c>
      <c r="B383" s="1" t="n">
        <v>45184</v>
      </c>
      <c r="C383" s="1" t="n">
        <v>45976</v>
      </c>
      <c r="D383" t="inlineStr">
        <is>
          <t>VÄSTMANLANDS LÄN</t>
        </is>
      </c>
      <c r="E383" t="inlineStr">
        <is>
          <t>SALA</t>
        </is>
      </c>
      <c r="F383" t="inlineStr">
        <is>
          <t>Kyrkan</t>
        </is>
      </c>
      <c r="G383" t="n">
        <v>7.6</v>
      </c>
      <c r="H383" t="n">
        <v>0</v>
      </c>
      <c r="I383" t="n">
        <v>0</v>
      </c>
      <c r="J383" t="n">
        <v>0</v>
      </c>
      <c r="K383" t="n">
        <v>0</v>
      </c>
      <c r="L383" t="n">
        <v>0</v>
      </c>
      <c r="M383" t="n">
        <v>0</v>
      </c>
      <c r="N383" t="n">
        <v>0</v>
      </c>
      <c r="O383" t="n">
        <v>0</v>
      </c>
      <c r="P383" t="n">
        <v>0</v>
      </c>
      <c r="Q383" t="n">
        <v>0</v>
      </c>
      <c r="R383" s="2" t="inlineStr"/>
    </row>
    <row r="384" ht="15" customHeight="1">
      <c r="A384" t="inlineStr">
        <is>
          <t>A 41230-2025</t>
        </is>
      </c>
      <c r="B384" s="1" t="n">
        <v>45898</v>
      </c>
      <c r="C384" s="1" t="n">
        <v>45976</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60730-2023</t>
        </is>
      </c>
      <c r="B385" s="1" t="n">
        <v>45260</v>
      </c>
      <c r="C385" s="1" t="n">
        <v>45976</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60731-2023</t>
        </is>
      </c>
      <c r="B386" s="1" t="n">
        <v>45260</v>
      </c>
      <c r="C386" s="1" t="n">
        <v>45976</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34814-2021</t>
        </is>
      </c>
      <c r="B387" s="1" t="n">
        <v>44383</v>
      </c>
      <c r="C387" s="1" t="n">
        <v>45976</v>
      </c>
      <c r="D387" t="inlineStr">
        <is>
          <t>VÄSTMANLANDS LÄN</t>
        </is>
      </c>
      <c r="E387" t="inlineStr">
        <is>
          <t>SALA</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25748-2022</t>
        </is>
      </c>
      <c r="B388" s="1" t="n">
        <v>44732</v>
      </c>
      <c r="C388" s="1" t="n">
        <v>45976</v>
      </c>
      <c r="D388" t="inlineStr">
        <is>
          <t>VÄSTMANLANDS LÄN</t>
        </is>
      </c>
      <c r="E388" t="inlineStr">
        <is>
          <t>SALA</t>
        </is>
      </c>
      <c r="G388" t="n">
        <v>7.7</v>
      </c>
      <c r="H388" t="n">
        <v>0</v>
      </c>
      <c r="I388" t="n">
        <v>0</v>
      </c>
      <c r="J388" t="n">
        <v>0</v>
      </c>
      <c r="K388" t="n">
        <v>0</v>
      </c>
      <c r="L388" t="n">
        <v>0</v>
      </c>
      <c r="M388" t="n">
        <v>0</v>
      </c>
      <c r="N388" t="n">
        <v>0</v>
      </c>
      <c r="O388" t="n">
        <v>0</v>
      </c>
      <c r="P388" t="n">
        <v>0</v>
      </c>
      <c r="Q388" t="n">
        <v>0</v>
      </c>
      <c r="R388" s="2" t="inlineStr"/>
    </row>
    <row r="389" ht="15" customHeight="1">
      <c r="A389" t="inlineStr">
        <is>
          <t>A 3733-2023</t>
        </is>
      </c>
      <c r="B389" s="1" t="n">
        <v>44951.42501157407</v>
      </c>
      <c r="C389" s="1" t="n">
        <v>45976</v>
      </c>
      <c r="D389" t="inlineStr">
        <is>
          <t>VÄSTMANLANDS LÄN</t>
        </is>
      </c>
      <c r="E389" t="inlineStr">
        <is>
          <t>SALA</t>
        </is>
      </c>
      <c r="G389" t="n">
        <v>3.1</v>
      </c>
      <c r="H389" t="n">
        <v>0</v>
      </c>
      <c r="I389" t="n">
        <v>0</v>
      </c>
      <c r="J389" t="n">
        <v>0</v>
      </c>
      <c r="K389" t="n">
        <v>0</v>
      </c>
      <c r="L389" t="n">
        <v>0</v>
      </c>
      <c r="M389" t="n">
        <v>0</v>
      </c>
      <c r="N389" t="n">
        <v>0</v>
      </c>
      <c r="O389" t="n">
        <v>0</v>
      </c>
      <c r="P389" t="n">
        <v>0</v>
      </c>
      <c r="Q389" t="n">
        <v>0</v>
      </c>
      <c r="R389" s="2" t="inlineStr"/>
    </row>
    <row r="390" ht="15" customHeight="1">
      <c r="A390" t="inlineStr">
        <is>
          <t>A 6136-2025</t>
        </is>
      </c>
      <c r="B390" s="1" t="n">
        <v>45698.37601851852</v>
      </c>
      <c r="C390" s="1" t="n">
        <v>45976</v>
      </c>
      <c r="D390" t="inlineStr">
        <is>
          <t>VÄSTMANLANDS LÄN</t>
        </is>
      </c>
      <c r="E390" t="inlineStr">
        <is>
          <t>SALA</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6190-2025</t>
        </is>
      </c>
      <c r="B391" s="1" t="n">
        <v>45698</v>
      </c>
      <c r="C391" s="1" t="n">
        <v>45976</v>
      </c>
      <c r="D391" t="inlineStr">
        <is>
          <t>VÄSTMANLANDS LÄN</t>
        </is>
      </c>
      <c r="E391" t="inlineStr">
        <is>
          <t>SALA</t>
        </is>
      </c>
      <c r="F391" t="inlineStr">
        <is>
          <t>Bergvik skog öst AB</t>
        </is>
      </c>
      <c r="G391" t="n">
        <v>4.6</v>
      </c>
      <c r="H391" t="n">
        <v>0</v>
      </c>
      <c r="I391" t="n">
        <v>0</v>
      </c>
      <c r="J391" t="n">
        <v>0</v>
      </c>
      <c r="K391" t="n">
        <v>0</v>
      </c>
      <c r="L391" t="n">
        <v>0</v>
      </c>
      <c r="M391" t="n">
        <v>0</v>
      </c>
      <c r="N391" t="n">
        <v>0</v>
      </c>
      <c r="O391" t="n">
        <v>0</v>
      </c>
      <c r="P391" t="n">
        <v>0</v>
      </c>
      <c r="Q391" t="n">
        <v>0</v>
      </c>
      <c r="R391" s="2" t="inlineStr"/>
    </row>
    <row r="392" ht="15" customHeight="1">
      <c r="A392" t="inlineStr">
        <is>
          <t>A 18713-2025</t>
        </is>
      </c>
      <c r="B392" s="1" t="n">
        <v>45763</v>
      </c>
      <c r="C392" s="1" t="n">
        <v>45976</v>
      </c>
      <c r="D392" t="inlineStr">
        <is>
          <t>VÄSTMANLANDS LÄN</t>
        </is>
      </c>
      <c r="E392" t="inlineStr">
        <is>
          <t>SALA</t>
        </is>
      </c>
      <c r="F392" t="inlineStr">
        <is>
          <t>Bergvik skog öst AB</t>
        </is>
      </c>
      <c r="G392" t="n">
        <v>11.6</v>
      </c>
      <c r="H392" t="n">
        <v>0</v>
      </c>
      <c r="I392" t="n">
        <v>0</v>
      </c>
      <c r="J392" t="n">
        <v>0</v>
      </c>
      <c r="K392" t="n">
        <v>0</v>
      </c>
      <c r="L392" t="n">
        <v>0</v>
      </c>
      <c r="M392" t="n">
        <v>0</v>
      </c>
      <c r="N392" t="n">
        <v>0</v>
      </c>
      <c r="O392" t="n">
        <v>0</v>
      </c>
      <c r="P392" t="n">
        <v>0</v>
      </c>
      <c r="Q392" t="n">
        <v>0</v>
      </c>
      <c r="R392" s="2" t="inlineStr"/>
    </row>
    <row r="393" ht="15" customHeight="1">
      <c r="A393" t="inlineStr">
        <is>
          <t>A 18461-2024</t>
        </is>
      </c>
      <c r="B393" s="1" t="n">
        <v>45425.47435185185</v>
      </c>
      <c r="C393" s="1" t="n">
        <v>45976</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4663-2022</t>
        </is>
      </c>
      <c r="B394" s="1" t="n">
        <v>44592.45429398148</v>
      </c>
      <c r="C394" s="1" t="n">
        <v>45976</v>
      </c>
      <c r="D394" t="inlineStr">
        <is>
          <t>VÄSTMANLANDS LÄN</t>
        </is>
      </c>
      <c r="E394" t="inlineStr">
        <is>
          <t>SALA</t>
        </is>
      </c>
      <c r="G394" t="n">
        <v>2.5</v>
      </c>
      <c r="H394" t="n">
        <v>0</v>
      </c>
      <c r="I394" t="n">
        <v>0</v>
      </c>
      <c r="J394" t="n">
        <v>0</v>
      </c>
      <c r="K394" t="n">
        <v>0</v>
      </c>
      <c r="L394" t="n">
        <v>0</v>
      </c>
      <c r="M394" t="n">
        <v>0</v>
      </c>
      <c r="N394" t="n">
        <v>0</v>
      </c>
      <c r="O394" t="n">
        <v>0</v>
      </c>
      <c r="P394" t="n">
        <v>0</v>
      </c>
      <c r="Q394" t="n">
        <v>0</v>
      </c>
      <c r="R394" s="2" t="inlineStr"/>
    </row>
    <row r="395" ht="15" customHeight="1">
      <c r="A395" t="inlineStr">
        <is>
          <t>A 47479-2024</t>
        </is>
      </c>
      <c r="B395" s="1" t="n">
        <v>45587</v>
      </c>
      <c r="C395" s="1" t="n">
        <v>45976</v>
      </c>
      <c r="D395" t="inlineStr">
        <is>
          <t>VÄSTMANLANDS LÄN</t>
        </is>
      </c>
      <c r="E395" t="inlineStr">
        <is>
          <t>SALA</t>
        </is>
      </c>
      <c r="F395" t="inlineStr">
        <is>
          <t>Kommuner</t>
        </is>
      </c>
      <c r="G395" t="n">
        <v>0.8</v>
      </c>
      <c r="H395" t="n">
        <v>0</v>
      </c>
      <c r="I395" t="n">
        <v>0</v>
      </c>
      <c r="J395" t="n">
        <v>0</v>
      </c>
      <c r="K395" t="n">
        <v>0</v>
      </c>
      <c r="L395" t="n">
        <v>0</v>
      </c>
      <c r="M395" t="n">
        <v>0</v>
      </c>
      <c r="N395" t="n">
        <v>0</v>
      </c>
      <c r="O395" t="n">
        <v>0</v>
      </c>
      <c r="P395" t="n">
        <v>0</v>
      </c>
      <c r="Q395" t="n">
        <v>0</v>
      </c>
      <c r="R395" s="2" t="inlineStr"/>
    </row>
    <row r="396" ht="15" customHeight="1">
      <c r="A396" t="inlineStr">
        <is>
          <t>A 16760-2024</t>
        </is>
      </c>
      <c r="B396" s="1" t="n">
        <v>45411</v>
      </c>
      <c r="C396" s="1" t="n">
        <v>45976</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41414-2025</t>
        </is>
      </c>
      <c r="B397" s="1" t="n">
        <v>45901.360625</v>
      </c>
      <c r="C397" s="1" t="n">
        <v>45976</v>
      </c>
      <c r="D397" t="inlineStr">
        <is>
          <t>VÄSTMANLANDS LÄN</t>
        </is>
      </c>
      <c r="E397" t="inlineStr">
        <is>
          <t>SALA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6032-2025</t>
        </is>
      </c>
      <c r="B398" s="1" t="n">
        <v>45695.6371875</v>
      </c>
      <c r="C398" s="1" t="n">
        <v>45976</v>
      </c>
      <c r="D398" t="inlineStr">
        <is>
          <t>VÄSTMANLANDS LÄN</t>
        </is>
      </c>
      <c r="E398" t="inlineStr">
        <is>
          <t>SALA</t>
        </is>
      </c>
      <c r="F398" t="inlineStr">
        <is>
          <t>Bergvik skog öst AB</t>
        </is>
      </c>
      <c r="G398" t="n">
        <v>8.1</v>
      </c>
      <c r="H398" t="n">
        <v>0</v>
      </c>
      <c r="I398" t="n">
        <v>0</v>
      </c>
      <c r="J398" t="n">
        <v>0</v>
      </c>
      <c r="K398" t="n">
        <v>0</v>
      </c>
      <c r="L398" t="n">
        <v>0</v>
      </c>
      <c r="M398" t="n">
        <v>0</v>
      </c>
      <c r="N398" t="n">
        <v>0</v>
      </c>
      <c r="O398" t="n">
        <v>0</v>
      </c>
      <c r="P398" t="n">
        <v>0</v>
      </c>
      <c r="Q398" t="n">
        <v>0</v>
      </c>
      <c r="R398" s="2" t="inlineStr"/>
    </row>
    <row r="399" ht="15" customHeight="1">
      <c r="A399" t="inlineStr">
        <is>
          <t>A 69236-2021</t>
        </is>
      </c>
      <c r="B399" s="1" t="n">
        <v>44531.4047337963</v>
      </c>
      <c r="C399" s="1" t="n">
        <v>45976</v>
      </c>
      <c r="D399" t="inlineStr">
        <is>
          <t>VÄSTMANLANDS LÄN</t>
        </is>
      </c>
      <c r="E399" t="inlineStr">
        <is>
          <t>SALA</t>
        </is>
      </c>
      <c r="G399" t="n">
        <v>2.8</v>
      </c>
      <c r="H399" t="n">
        <v>0</v>
      </c>
      <c r="I399" t="n">
        <v>0</v>
      </c>
      <c r="J399" t="n">
        <v>0</v>
      </c>
      <c r="K399" t="n">
        <v>0</v>
      </c>
      <c r="L399" t="n">
        <v>0</v>
      </c>
      <c r="M399" t="n">
        <v>0</v>
      </c>
      <c r="N399" t="n">
        <v>0</v>
      </c>
      <c r="O399" t="n">
        <v>0</v>
      </c>
      <c r="P399" t="n">
        <v>0</v>
      </c>
      <c r="Q399" t="n">
        <v>0</v>
      </c>
      <c r="R399" s="2" t="inlineStr"/>
    </row>
    <row r="400" ht="15" customHeight="1">
      <c r="A400" t="inlineStr">
        <is>
          <t>A 25541-2024</t>
        </is>
      </c>
      <c r="B400" s="1" t="n">
        <v>45463.56337962963</v>
      </c>
      <c r="C400" s="1" t="n">
        <v>45976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61717-2024</t>
        </is>
      </c>
      <c r="B401" s="1" t="n">
        <v>45648</v>
      </c>
      <c r="C401" s="1" t="n">
        <v>45976</v>
      </c>
      <c r="D401" t="inlineStr">
        <is>
          <t>VÄSTMANLANDS LÄN</t>
        </is>
      </c>
      <c r="E401" t="inlineStr">
        <is>
          <t>SALA</t>
        </is>
      </c>
      <c r="G401" t="n">
        <v>3.7</v>
      </c>
      <c r="H401" t="n">
        <v>0</v>
      </c>
      <c r="I401" t="n">
        <v>0</v>
      </c>
      <c r="J401" t="n">
        <v>0</v>
      </c>
      <c r="K401" t="n">
        <v>0</v>
      </c>
      <c r="L401" t="n">
        <v>0</v>
      </c>
      <c r="M401" t="n">
        <v>0</v>
      </c>
      <c r="N401" t="n">
        <v>0</v>
      </c>
      <c r="O401" t="n">
        <v>0</v>
      </c>
      <c r="P401" t="n">
        <v>0</v>
      </c>
      <c r="Q401" t="n">
        <v>0</v>
      </c>
      <c r="R401" s="2" t="inlineStr"/>
    </row>
    <row r="402" ht="15" customHeight="1">
      <c r="A402" t="inlineStr">
        <is>
          <t>A 53164-2024</t>
        </is>
      </c>
      <c r="B402" s="1" t="n">
        <v>45611.64887731482</v>
      </c>
      <c r="C402" s="1" t="n">
        <v>45976</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41431-2025</t>
        </is>
      </c>
      <c r="B403" s="1" t="n">
        <v>45901.39347222223</v>
      </c>
      <c r="C403" s="1" t="n">
        <v>45976</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6127-2025</t>
        </is>
      </c>
      <c r="B404" s="1" t="n">
        <v>45698</v>
      </c>
      <c r="C404" s="1" t="n">
        <v>45976</v>
      </c>
      <c r="D404" t="inlineStr">
        <is>
          <t>VÄSTMANLANDS LÄN</t>
        </is>
      </c>
      <c r="E404" t="inlineStr">
        <is>
          <t>SALA</t>
        </is>
      </c>
      <c r="F404" t="inlineStr">
        <is>
          <t>Bergvik skog öst AB</t>
        </is>
      </c>
      <c r="G404" t="n">
        <v>4.3</v>
      </c>
      <c r="H404" t="n">
        <v>0</v>
      </c>
      <c r="I404" t="n">
        <v>0</v>
      </c>
      <c r="J404" t="n">
        <v>0</v>
      </c>
      <c r="K404" t="n">
        <v>0</v>
      </c>
      <c r="L404" t="n">
        <v>0</v>
      </c>
      <c r="M404" t="n">
        <v>0</v>
      </c>
      <c r="N404" t="n">
        <v>0</v>
      </c>
      <c r="O404" t="n">
        <v>0</v>
      </c>
      <c r="P404" t="n">
        <v>0</v>
      </c>
      <c r="Q404" t="n">
        <v>0</v>
      </c>
      <c r="R404" s="2" t="inlineStr"/>
    </row>
    <row r="405" ht="15" customHeight="1">
      <c r="A405" t="inlineStr">
        <is>
          <t>A 5728-2022</t>
        </is>
      </c>
      <c r="B405" s="1" t="n">
        <v>44596.42082175926</v>
      </c>
      <c r="C405" s="1" t="n">
        <v>45976</v>
      </c>
      <c r="D405" t="inlineStr">
        <is>
          <t>VÄSTMANLANDS LÄN</t>
        </is>
      </c>
      <c r="E405" t="inlineStr">
        <is>
          <t>SALA</t>
        </is>
      </c>
      <c r="G405" t="n">
        <v>1.7</v>
      </c>
      <c r="H405" t="n">
        <v>0</v>
      </c>
      <c r="I405" t="n">
        <v>0</v>
      </c>
      <c r="J405" t="n">
        <v>0</v>
      </c>
      <c r="K405" t="n">
        <v>0</v>
      </c>
      <c r="L405" t="n">
        <v>0</v>
      </c>
      <c r="M405" t="n">
        <v>0</v>
      </c>
      <c r="N405" t="n">
        <v>0</v>
      </c>
      <c r="O405" t="n">
        <v>0</v>
      </c>
      <c r="P405" t="n">
        <v>0</v>
      </c>
      <c r="Q405" t="n">
        <v>0</v>
      </c>
      <c r="R405" s="2" t="inlineStr"/>
    </row>
    <row r="406" ht="15" customHeight="1">
      <c r="A406" t="inlineStr">
        <is>
          <t>A 2766-2024</t>
        </is>
      </c>
      <c r="B406" s="1" t="n">
        <v>45314.60950231482</v>
      </c>
      <c r="C406" s="1" t="n">
        <v>45976</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50249-2025</t>
        </is>
      </c>
      <c r="B407" s="1" t="n">
        <v>45944.31508101852</v>
      </c>
      <c r="C407" s="1" t="n">
        <v>45976</v>
      </c>
      <c r="D407" t="inlineStr">
        <is>
          <t>VÄSTMANLANDS LÄN</t>
        </is>
      </c>
      <c r="E407" t="inlineStr">
        <is>
          <t>SALA</t>
        </is>
      </c>
      <c r="G407" t="n">
        <v>2.3</v>
      </c>
      <c r="H407" t="n">
        <v>0</v>
      </c>
      <c r="I407" t="n">
        <v>0</v>
      </c>
      <c r="J407" t="n">
        <v>0</v>
      </c>
      <c r="K407" t="n">
        <v>0</v>
      </c>
      <c r="L407" t="n">
        <v>0</v>
      </c>
      <c r="M407" t="n">
        <v>0</v>
      </c>
      <c r="N407" t="n">
        <v>0</v>
      </c>
      <c r="O407" t="n">
        <v>0</v>
      </c>
      <c r="P407" t="n">
        <v>0</v>
      </c>
      <c r="Q407" t="n">
        <v>0</v>
      </c>
      <c r="R407" s="2" t="inlineStr"/>
    </row>
    <row r="408" ht="15" customHeight="1">
      <c r="A408" t="inlineStr">
        <is>
          <t>A 10250-2025</t>
        </is>
      </c>
      <c r="B408" s="1" t="n">
        <v>45720.36165509259</v>
      </c>
      <c r="C408" s="1" t="n">
        <v>45976</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6351-2023</t>
        </is>
      </c>
      <c r="B409" s="1" t="n">
        <v>44965</v>
      </c>
      <c r="C409" s="1" t="n">
        <v>45976</v>
      </c>
      <c r="D409" t="inlineStr">
        <is>
          <t>VÄSTMANLANDS LÄN</t>
        </is>
      </c>
      <c r="E409" t="inlineStr">
        <is>
          <t>SALA</t>
        </is>
      </c>
      <c r="F409" t="inlineStr">
        <is>
          <t>Kommuner</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45187-2024</t>
        </is>
      </c>
      <c r="B410" s="1" t="n">
        <v>45575</v>
      </c>
      <c r="C410" s="1" t="n">
        <v>45976</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49512-2024</t>
        </is>
      </c>
      <c r="B411" s="1" t="n">
        <v>45591</v>
      </c>
      <c r="C411" s="1" t="n">
        <v>45976</v>
      </c>
      <c r="D411" t="inlineStr">
        <is>
          <t>VÄSTMANLANDS LÄN</t>
        </is>
      </c>
      <c r="E411" t="inlineStr">
        <is>
          <t>SALA</t>
        </is>
      </c>
      <c r="G411" t="n">
        <v>8.1</v>
      </c>
      <c r="H411" t="n">
        <v>0</v>
      </c>
      <c r="I411" t="n">
        <v>0</v>
      </c>
      <c r="J411" t="n">
        <v>0</v>
      </c>
      <c r="K411" t="n">
        <v>0</v>
      </c>
      <c r="L411" t="n">
        <v>0</v>
      </c>
      <c r="M411" t="n">
        <v>0</v>
      </c>
      <c r="N411" t="n">
        <v>0</v>
      </c>
      <c r="O411" t="n">
        <v>0</v>
      </c>
      <c r="P411" t="n">
        <v>0</v>
      </c>
      <c r="Q411" t="n">
        <v>0</v>
      </c>
      <c r="R411" s="2" t="inlineStr"/>
    </row>
    <row r="412" ht="15" customHeight="1">
      <c r="A412" t="inlineStr">
        <is>
          <t>A 42416-2022</t>
        </is>
      </c>
      <c r="B412" s="1" t="n">
        <v>44831</v>
      </c>
      <c r="C412" s="1" t="n">
        <v>45976</v>
      </c>
      <c r="D412" t="inlineStr">
        <is>
          <t>VÄSTMANLANDS LÄN</t>
        </is>
      </c>
      <c r="E412" t="inlineStr">
        <is>
          <t>SALA</t>
        </is>
      </c>
      <c r="G412" t="n">
        <v>2.2</v>
      </c>
      <c r="H412" t="n">
        <v>0</v>
      </c>
      <c r="I412" t="n">
        <v>0</v>
      </c>
      <c r="J412" t="n">
        <v>0</v>
      </c>
      <c r="K412" t="n">
        <v>0</v>
      </c>
      <c r="L412" t="n">
        <v>0</v>
      </c>
      <c r="M412" t="n">
        <v>0</v>
      </c>
      <c r="N412" t="n">
        <v>0</v>
      </c>
      <c r="O412" t="n">
        <v>0</v>
      </c>
      <c r="P412" t="n">
        <v>0</v>
      </c>
      <c r="Q412" t="n">
        <v>0</v>
      </c>
      <c r="R412" s="2" t="inlineStr"/>
    </row>
    <row r="413" ht="15" customHeight="1">
      <c r="A413" t="inlineStr">
        <is>
          <t>A 6135-2023</t>
        </is>
      </c>
      <c r="B413" s="1" t="n">
        <v>44964.62628472222</v>
      </c>
      <c r="C413" s="1" t="n">
        <v>45976</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16693-2023</t>
        </is>
      </c>
      <c r="B414" s="1" t="n">
        <v>45028</v>
      </c>
      <c r="C414" s="1" t="n">
        <v>45976</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8285-2025</t>
        </is>
      </c>
      <c r="B415" s="1" t="n">
        <v>45708</v>
      </c>
      <c r="C415" s="1" t="n">
        <v>45976</v>
      </c>
      <c r="D415" t="inlineStr">
        <is>
          <t>VÄSTMANLANDS LÄN</t>
        </is>
      </c>
      <c r="E415" t="inlineStr">
        <is>
          <t>SALA</t>
        </is>
      </c>
      <c r="G415" t="n">
        <v>5.7</v>
      </c>
      <c r="H415" t="n">
        <v>0</v>
      </c>
      <c r="I415" t="n">
        <v>0</v>
      </c>
      <c r="J415" t="n">
        <v>0</v>
      </c>
      <c r="K415" t="n">
        <v>0</v>
      </c>
      <c r="L415" t="n">
        <v>0</v>
      </c>
      <c r="M415" t="n">
        <v>0</v>
      </c>
      <c r="N415" t="n">
        <v>0</v>
      </c>
      <c r="O415" t="n">
        <v>0</v>
      </c>
      <c r="P415" t="n">
        <v>0</v>
      </c>
      <c r="Q415" t="n">
        <v>0</v>
      </c>
      <c r="R415" s="2" t="inlineStr"/>
    </row>
    <row r="416" ht="15" customHeight="1">
      <c r="A416" t="inlineStr">
        <is>
          <t>A 15584-2021</t>
        </is>
      </c>
      <c r="B416" s="1" t="n">
        <v>44285</v>
      </c>
      <c r="C416" s="1" t="n">
        <v>45976</v>
      </c>
      <c r="D416" t="inlineStr">
        <is>
          <t>VÄSTMANLANDS LÄN</t>
        </is>
      </c>
      <c r="E416" t="inlineStr">
        <is>
          <t>SALA</t>
        </is>
      </c>
      <c r="G416" t="n">
        <v>3.4</v>
      </c>
      <c r="H416" t="n">
        <v>0</v>
      </c>
      <c r="I416" t="n">
        <v>0</v>
      </c>
      <c r="J416" t="n">
        <v>0</v>
      </c>
      <c r="K416" t="n">
        <v>0</v>
      </c>
      <c r="L416" t="n">
        <v>0</v>
      </c>
      <c r="M416" t="n">
        <v>0</v>
      </c>
      <c r="N416" t="n">
        <v>0</v>
      </c>
      <c r="O416" t="n">
        <v>0</v>
      </c>
      <c r="P416" t="n">
        <v>0</v>
      </c>
      <c r="Q416" t="n">
        <v>0</v>
      </c>
      <c r="R416" s="2" t="inlineStr"/>
    </row>
    <row r="417" ht="15" customHeight="1">
      <c r="A417" t="inlineStr">
        <is>
          <t>A 33527-2023</t>
        </is>
      </c>
      <c r="B417" s="1" t="n">
        <v>45131</v>
      </c>
      <c r="C417" s="1" t="n">
        <v>45976</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7377-2023</t>
        </is>
      </c>
      <c r="B418" s="1" t="n">
        <v>44971</v>
      </c>
      <c r="C418" s="1" t="n">
        <v>45976</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21968-2024</t>
        </is>
      </c>
      <c r="B419" s="1" t="n">
        <v>45443</v>
      </c>
      <c r="C419" s="1" t="n">
        <v>45976</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6308-2021</t>
        </is>
      </c>
      <c r="B420" s="1" t="n">
        <v>44235</v>
      </c>
      <c r="C420" s="1" t="n">
        <v>45976</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21159-2022</t>
        </is>
      </c>
      <c r="B421" s="1" t="n">
        <v>44704</v>
      </c>
      <c r="C421" s="1" t="n">
        <v>45976</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988-2025</t>
        </is>
      </c>
      <c r="B422" s="1" t="n">
        <v>45666.44038194444</v>
      </c>
      <c r="C422" s="1" t="n">
        <v>45976</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51247-2025</t>
        </is>
      </c>
      <c r="B423" s="1" t="n">
        <v>45947.86487268518</v>
      </c>
      <c r="C423" s="1" t="n">
        <v>45976</v>
      </c>
      <c r="D423" t="inlineStr">
        <is>
          <t>VÄSTMANLANDS LÄN</t>
        </is>
      </c>
      <c r="E423" t="inlineStr">
        <is>
          <t>SALA</t>
        </is>
      </c>
      <c r="G423" t="n">
        <v>10.4</v>
      </c>
      <c r="H423" t="n">
        <v>0</v>
      </c>
      <c r="I423" t="n">
        <v>0</v>
      </c>
      <c r="J423" t="n">
        <v>0</v>
      </c>
      <c r="K423" t="n">
        <v>0</v>
      </c>
      <c r="L423" t="n">
        <v>0</v>
      </c>
      <c r="M423" t="n">
        <v>0</v>
      </c>
      <c r="N423" t="n">
        <v>0</v>
      </c>
      <c r="O423" t="n">
        <v>0</v>
      </c>
      <c r="P423" t="n">
        <v>0</v>
      </c>
      <c r="Q423" t="n">
        <v>0</v>
      </c>
      <c r="R423" s="2" t="inlineStr"/>
    </row>
    <row r="424" ht="15" customHeight="1">
      <c r="A424" t="inlineStr">
        <is>
          <t>A 42421-2025</t>
        </is>
      </c>
      <c r="B424" s="1" t="n">
        <v>45905.40067129629</v>
      </c>
      <c r="C424" s="1" t="n">
        <v>45976</v>
      </c>
      <c r="D424" t="inlineStr">
        <is>
          <t>VÄSTMANLANDS LÄN</t>
        </is>
      </c>
      <c r="E424" t="inlineStr">
        <is>
          <t>SALA</t>
        </is>
      </c>
      <c r="G424" t="n">
        <v>1.3</v>
      </c>
      <c r="H424" t="n">
        <v>0</v>
      </c>
      <c r="I424" t="n">
        <v>0</v>
      </c>
      <c r="J424" t="n">
        <v>0</v>
      </c>
      <c r="K424" t="n">
        <v>0</v>
      </c>
      <c r="L424" t="n">
        <v>0</v>
      </c>
      <c r="M424" t="n">
        <v>0</v>
      </c>
      <c r="N424" t="n">
        <v>0</v>
      </c>
      <c r="O424" t="n">
        <v>0</v>
      </c>
      <c r="P424" t="n">
        <v>0</v>
      </c>
      <c r="Q424" t="n">
        <v>0</v>
      </c>
      <c r="R424" s="2" t="inlineStr"/>
    </row>
    <row r="425" ht="15" customHeight="1">
      <c r="A425" t="inlineStr">
        <is>
          <t>A 18340-2025</t>
        </is>
      </c>
      <c r="B425" s="1" t="n">
        <v>45762</v>
      </c>
      <c r="C425" s="1" t="n">
        <v>45976</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56688-2024</t>
        </is>
      </c>
      <c r="B426" s="1" t="n">
        <v>45627.66478009259</v>
      </c>
      <c r="C426" s="1" t="n">
        <v>45976</v>
      </c>
      <c r="D426" t="inlineStr">
        <is>
          <t>VÄSTMANLANDS LÄN</t>
        </is>
      </c>
      <c r="E426" t="inlineStr">
        <is>
          <t>SALA</t>
        </is>
      </c>
      <c r="G426" t="n">
        <v>0.9</v>
      </c>
      <c r="H426" t="n">
        <v>0</v>
      </c>
      <c r="I426" t="n">
        <v>0</v>
      </c>
      <c r="J426" t="n">
        <v>0</v>
      </c>
      <c r="K426" t="n">
        <v>0</v>
      </c>
      <c r="L426" t="n">
        <v>0</v>
      </c>
      <c r="M426" t="n">
        <v>0</v>
      </c>
      <c r="N426" t="n">
        <v>0</v>
      </c>
      <c r="O426" t="n">
        <v>0</v>
      </c>
      <c r="P426" t="n">
        <v>0</v>
      </c>
      <c r="Q426" t="n">
        <v>0</v>
      </c>
      <c r="R426" s="2" t="inlineStr"/>
    </row>
    <row r="427" ht="15" customHeight="1">
      <c r="A427" t="inlineStr">
        <is>
          <t>A 60328-2024</t>
        </is>
      </c>
      <c r="B427" s="1" t="n">
        <v>45643.38416666666</v>
      </c>
      <c r="C427" s="1" t="n">
        <v>45976</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56706-2022</t>
        </is>
      </c>
      <c r="B428" s="1" t="n">
        <v>44893.78893518518</v>
      </c>
      <c r="C428" s="1" t="n">
        <v>45976</v>
      </c>
      <c r="D428" t="inlineStr">
        <is>
          <t>VÄSTMANLANDS LÄN</t>
        </is>
      </c>
      <c r="E428" t="inlineStr">
        <is>
          <t>SALA</t>
        </is>
      </c>
      <c r="G428" t="n">
        <v>4.5</v>
      </c>
      <c r="H428" t="n">
        <v>0</v>
      </c>
      <c r="I428" t="n">
        <v>0</v>
      </c>
      <c r="J428" t="n">
        <v>0</v>
      </c>
      <c r="K428" t="n">
        <v>0</v>
      </c>
      <c r="L428" t="n">
        <v>0</v>
      </c>
      <c r="M428" t="n">
        <v>0</v>
      </c>
      <c r="N428" t="n">
        <v>0</v>
      </c>
      <c r="O428" t="n">
        <v>0</v>
      </c>
      <c r="P428" t="n">
        <v>0</v>
      </c>
      <c r="Q428" t="n">
        <v>0</v>
      </c>
      <c r="R428" s="2" t="inlineStr"/>
    </row>
    <row r="429" ht="15" customHeight="1">
      <c r="A429" t="inlineStr">
        <is>
          <t>A 56707-2022</t>
        </is>
      </c>
      <c r="B429" s="1" t="n">
        <v>44893.79412037037</v>
      </c>
      <c r="C429" s="1" t="n">
        <v>45976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17495-2024</t>
        </is>
      </c>
      <c r="B430" s="1" t="n">
        <v>45415</v>
      </c>
      <c r="C430" s="1" t="n">
        <v>45976</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16159-2024</t>
        </is>
      </c>
      <c r="B431" s="1" t="n">
        <v>45406</v>
      </c>
      <c r="C431" s="1" t="n">
        <v>45976</v>
      </c>
      <c r="D431" t="inlineStr">
        <is>
          <t>VÄSTMANLANDS LÄN</t>
        </is>
      </c>
      <c r="E431" t="inlineStr">
        <is>
          <t>SALA</t>
        </is>
      </c>
      <c r="G431" t="n">
        <v>0.4</v>
      </c>
      <c r="H431" t="n">
        <v>0</v>
      </c>
      <c r="I431" t="n">
        <v>0</v>
      </c>
      <c r="J431" t="n">
        <v>0</v>
      </c>
      <c r="K431" t="n">
        <v>0</v>
      </c>
      <c r="L431" t="n">
        <v>0</v>
      </c>
      <c r="M431" t="n">
        <v>0</v>
      </c>
      <c r="N431" t="n">
        <v>0</v>
      </c>
      <c r="O431" t="n">
        <v>0</v>
      </c>
      <c r="P431" t="n">
        <v>0</v>
      </c>
      <c r="Q431" t="n">
        <v>0</v>
      </c>
      <c r="R431" s="2" t="inlineStr"/>
    </row>
    <row r="432" ht="15" customHeight="1">
      <c r="A432" t="inlineStr">
        <is>
          <t>A 37263-2025</t>
        </is>
      </c>
      <c r="B432" s="1" t="n">
        <v>45876.4584837963</v>
      </c>
      <c r="C432" s="1" t="n">
        <v>45976</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51626-2025</t>
        </is>
      </c>
      <c r="B433" s="1" t="n">
        <v>45951.41769675926</v>
      </c>
      <c r="C433" s="1" t="n">
        <v>45976</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35016-2024</t>
        </is>
      </c>
      <c r="B434" s="1" t="n">
        <v>45527.59115740741</v>
      </c>
      <c r="C434" s="1" t="n">
        <v>45976</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43127-2025</t>
        </is>
      </c>
      <c r="B435" s="1" t="n">
        <v>45909</v>
      </c>
      <c r="C435" s="1" t="n">
        <v>45976</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66307-2021</t>
        </is>
      </c>
      <c r="B436" s="1" t="n">
        <v>44518.48670138889</v>
      </c>
      <c r="C436" s="1" t="n">
        <v>45976</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25897-2024</t>
        </is>
      </c>
      <c r="B437" s="1" t="n">
        <v>45467.54435185185</v>
      </c>
      <c r="C437" s="1" t="n">
        <v>45976</v>
      </c>
      <c r="D437" t="inlineStr">
        <is>
          <t>VÄSTMANLANDS LÄN</t>
        </is>
      </c>
      <c r="E437" t="inlineStr">
        <is>
          <t>SALA</t>
        </is>
      </c>
      <c r="G437" t="n">
        <v>9.9</v>
      </c>
      <c r="H437" t="n">
        <v>0</v>
      </c>
      <c r="I437" t="n">
        <v>0</v>
      </c>
      <c r="J437" t="n">
        <v>0</v>
      </c>
      <c r="K437" t="n">
        <v>0</v>
      </c>
      <c r="L437" t="n">
        <v>0</v>
      </c>
      <c r="M437" t="n">
        <v>0</v>
      </c>
      <c r="N437" t="n">
        <v>0</v>
      </c>
      <c r="O437" t="n">
        <v>0</v>
      </c>
      <c r="P437" t="n">
        <v>0</v>
      </c>
      <c r="Q437" t="n">
        <v>0</v>
      </c>
      <c r="R437" s="2" t="inlineStr"/>
    </row>
    <row r="438" ht="15" customHeight="1">
      <c r="A438" t="inlineStr">
        <is>
          <t>A 31072-2021</t>
        </is>
      </c>
      <c r="B438" s="1" t="n">
        <v>44368</v>
      </c>
      <c r="C438" s="1" t="n">
        <v>45976</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51804-2025</t>
        </is>
      </c>
      <c r="B439" s="1" t="n">
        <v>45951.77697916667</v>
      </c>
      <c r="C439" s="1" t="n">
        <v>45976</v>
      </c>
      <c r="D439" t="inlineStr">
        <is>
          <t>VÄSTMANLANDS LÄN</t>
        </is>
      </c>
      <c r="E439" t="inlineStr">
        <is>
          <t>SALA</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48571-2024</t>
        </is>
      </c>
      <c r="B440" s="1" t="n">
        <v>45591</v>
      </c>
      <c r="C440" s="1" t="n">
        <v>45976</v>
      </c>
      <c r="D440" t="inlineStr">
        <is>
          <t>VÄSTMANLANDS LÄN</t>
        </is>
      </c>
      <c r="E440" t="inlineStr">
        <is>
          <t>SALA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27262-2024</t>
        </is>
      </c>
      <c r="B441" s="1" t="n">
        <v>45471</v>
      </c>
      <c r="C441" s="1" t="n">
        <v>45976</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43128-2025</t>
        </is>
      </c>
      <c r="B442" s="1" t="n">
        <v>45909</v>
      </c>
      <c r="C442" s="1" t="n">
        <v>45976</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40554-2025</t>
        </is>
      </c>
      <c r="B443" s="1" t="n">
        <v>45896.44506944445</v>
      </c>
      <c r="C443" s="1" t="n">
        <v>45976</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51690-2025</t>
        </is>
      </c>
      <c r="B444" s="1" t="n">
        <v>45951.53462962963</v>
      </c>
      <c r="C444" s="1" t="n">
        <v>45976</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51764-2025</t>
        </is>
      </c>
      <c r="B445" s="1" t="n">
        <v>45951.63636574074</v>
      </c>
      <c r="C445" s="1" t="n">
        <v>45976</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10913-2025</t>
        </is>
      </c>
      <c r="B446" s="1" t="n">
        <v>45722.73423611111</v>
      </c>
      <c r="C446" s="1" t="n">
        <v>45976</v>
      </c>
      <c r="D446" t="inlineStr">
        <is>
          <t>VÄSTMANLANDS LÄN</t>
        </is>
      </c>
      <c r="E446" t="inlineStr">
        <is>
          <t>SALA</t>
        </is>
      </c>
      <c r="G446" t="n">
        <v>7.6</v>
      </c>
      <c r="H446" t="n">
        <v>0</v>
      </c>
      <c r="I446" t="n">
        <v>0</v>
      </c>
      <c r="J446" t="n">
        <v>0</v>
      </c>
      <c r="K446" t="n">
        <v>0</v>
      </c>
      <c r="L446" t="n">
        <v>0</v>
      </c>
      <c r="M446" t="n">
        <v>0</v>
      </c>
      <c r="N446" t="n">
        <v>0</v>
      </c>
      <c r="O446" t="n">
        <v>0</v>
      </c>
      <c r="P446" t="n">
        <v>0</v>
      </c>
      <c r="Q446" t="n">
        <v>0</v>
      </c>
      <c r="R446" s="2" t="inlineStr"/>
    </row>
    <row r="447" ht="15" customHeight="1">
      <c r="A447" t="inlineStr">
        <is>
          <t>A 43129-2025</t>
        </is>
      </c>
      <c r="B447" s="1" t="n">
        <v>45909</v>
      </c>
      <c r="C447" s="1" t="n">
        <v>45976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43130-2025</t>
        </is>
      </c>
      <c r="B448" s="1" t="n">
        <v>45909</v>
      </c>
      <c r="C448" s="1" t="n">
        <v>45976</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51809-2025</t>
        </is>
      </c>
      <c r="B449" s="1" t="n">
        <v>45951.80116898148</v>
      </c>
      <c r="C449" s="1" t="n">
        <v>45976</v>
      </c>
      <c r="D449" t="inlineStr">
        <is>
          <t>VÄSTMANLANDS LÄN</t>
        </is>
      </c>
      <c r="E449" t="inlineStr">
        <is>
          <t>SALA</t>
        </is>
      </c>
      <c r="F449" t="inlineStr">
        <is>
          <t>Kommuner</t>
        </is>
      </c>
      <c r="G449" t="n">
        <v>3.5</v>
      </c>
      <c r="H449" t="n">
        <v>0</v>
      </c>
      <c r="I449" t="n">
        <v>0</v>
      </c>
      <c r="J449" t="n">
        <v>0</v>
      </c>
      <c r="K449" t="n">
        <v>0</v>
      </c>
      <c r="L449" t="n">
        <v>0</v>
      </c>
      <c r="M449" t="n">
        <v>0</v>
      </c>
      <c r="N449" t="n">
        <v>0</v>
      </c>
      <c r="O449" t="n">
        <v>0</v>
      </c>
      <c r="P449" t="n">
        <v>0</v>
      </c>
      <c r="Q449" t="n">
        <v>0</v>
      </c>
      <c r="R449" s="2" t="inlineStr"/>
    </row>
    <row r="450" ht="15" customHeight="1">
      <c r="A450" t="inlineStr">
        <is>
          <t>A 57371-2022</t>
        </is>
      </c>
      <c r="B450" s="1" t="n">
        <v>44896.43832175926</v>
      </c>
      <c r="C450" s="1" t="n">
        <v>45976</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22019-2021</t>
        </is>
      </c>
      <c r="B451" s="1" t="n">
        <v>44323</v>
      </c>
      <c r="C451" s="1" t="n">
        <v>45976</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55784-2024</t>
        </is>
      </c>
      <c r="B452" s="1" t="n">
        <v>45623</v>
      </c>
      <c r="C452" s="1" t="n">
        <v>45976</v>
      </c>
      <c r="D452" t="inlineStr">
        <is>
          <t>VÄSTMANLANDS LÄN</t>
        </is>
      </c>
      <c r="E452" t="inlineStr">
        <is>
          <t>SALA</t>
        </is>
      </c>
      <c r="F452" t="inlineStr">
        <is>
          <t>Bergvik skog öst AB</t>
        </is>
      </c>
      <c r="G452" t="n">
        <v>28.4</v>
      </c>
      <c r="H452" t="n">
        <v>0</v>
      </c>
      <c r="I452" t="n">
        <v>0</v>
      </c>
      <c r="J452" t="n">
        <v>0</v>
      </c>
      <c r="K452" t="n">
        <v>0</v>
      </c>
      <c r="L452" t="n">
        <v>0</v>
      </c>
      <c r="M452" t="n">
        <v>0</v>
      </c>
      <c r="N452" t="n">
        <v>0</v>
      </c>
      <c r="O452" t="n">
        <v>0</v>
      </c>
      <c r="P452" t="n">
        <v>0</v>
      </c>
      <c r="Q452" t="n">
        <v>0</v>
      </c>
      <c r="R452" s="2" t="inlineStr"/>
    </row>
    <row r="453" ht="15" customHeight="1">
      <c r="A453" t="inlineStr">
        <is>
          <t>A 51803-2025</t>
        </is>
      </c>
      <c r="B453" s="1" t="n">
        <v>45951.76818287037</v>
      </c>
      <c r="C453" s="1" t="n">
        <v>45976</v>
      </c>
      <c r="D453" t="inlineStr">
        <is>
          <t>VÄSTMANLANDS LÄN</t>
        </is>
      </c>
      <c r="E453" t="inlineStr">
        <is>
          <t>SALA</t>
        </is>
      </c>
      <c r="F453" t="inlineStr">
        <is>
          <t>Kommuner</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51808-2025</t>
        </is>
      </c>
      <c r="B454" s="1" t="n">
        <v>45951.79302083333</v>
      </c>
      <c r="C454" s="1" t="n">
        <v>45976</v>
      </c>
      <c r="D454" t="inlineStr">
        <is>
          <t>VÄSTMANLANDS LÄN</t>
        </is>
      </c>
      <c r="E454" t="inlineStr">
        <is>
          <t>SALA</t>
        </is>
      </c>
      <c r="F454" t="inlineStr">
        <is>
          <t>Kommuner</t>
        </is>
      </c>
      <c r="G454" t="n">
        <v>3</v>
      </c>
      <c r="H454" t="n">
        <v>0</v>
      </c>
      <c r="I454" t="n">
        <v>0</v>
      </c>
      <c r="J454" t="n">
        <v>0</v>
      </c>
      <c r="K454" t="n">
        <v>0</v>
      </c>
      <c r="L454" t="n">
        <v>0</v>
      </c>
      <c r="M454" t="n">
        <v>0</v>
      </c>
      <c r="N454" t="n">
        <v>0</v>
      </c>
      <c r="O454" t="n">
        <v>0</v>
      </c>
      <c r="P454" t="n">
        <v>0</v>
      </c>
      <c r="Q454" t="n">
        <v>0</v>
      </c>
      <c r="R454" s="2" t="inlineStr"/>
    </row>
    <row r="455" ht="15" customHeight="1">
      <c r="A455" t="inlineStr">
        <is>
          <t>A 13188-2025</t>
        </is>
      </c>
      <c r="B455" s="1" t="n">
        <v>45735.39246527778</v>
      </c>
      <c r="C455" s="1" t="n">
        <v>45976</v>
      </c>
      <c r="D455" t="inlineStr">
        <is>
          <t>VÄSTMANLANDS LÄN</t>
        </is>
      </c>
      <c r="E455" t="inlineStr">
        <is>
          <t>SALA</t>
        </is>
      </c>
      <c r="F455" t="inlineStr">
        <is>
          <t>Naturvårdsverket</t>
        </is>
      </c>
      <c r="G455" t="n">
        <v>18.4</v>
      </c>
      <c r="H455" t="n">
        <v>0</v>
      </c>
      <c r="I455" t="n">
        <v>0</v>
      </c>
      <c r="J455" t="n">
        <v>0</v>
      </c>
      <c r="K455" t="n">
        <v>0</v>
      </c>
      <c r="L455" t="n">
        <v>0</v>
      </c>
      <c r="M455" t="n">
        <v>0</v>
      </c>
      <c r="N455" t="n">
        <v>0</v>
      </c>
      <c r="O455" t="n">
        <v>0</v>
      </c>
      <c r="P455" t="n">
        <v>0</v>
      </c>
      <c r="Q455" t="n">
        <v>0</v>
      </c>
      <c r="R455" s="2" t="inlineStr"/>
    </row>
    <row r="456" ht="15" customHeight="1">
      <c r="A456" t="inlineStr">
        <is>
          <t>A 51805-2025</t>
        </is>
      </c>
      <c r="B456" s="1" t="n">
        <v>45951.78359953704</v>
      </c>
      <c r="C456" s="1" t="n">
        <v>45976</v>
      </c>
      <c r="D456" t="inlineStr">
        <is>
          <t>VÄSTMANLANDS LÄN</t>
        </is>
      </c>
      <c r="E456" t="inlineStr">
        <is>
          <t>SALA</t>
        </is>
      </c>
      <c r="F456" t="inlineStr">
        <is>
          <t>Kommuner</t>
        </is>
      </c>
      <c r="G456" t="n">
        <v>1.3</v>
      </c>
      <c r="H456" t="n">
        <v>0</v>
      </c>
      <c r="I456" t="n">
        <v>0</v>
      </c>
      <c r="J456" t="n">
        <v>0</v>
      </c>
      <c r="K456" t="n">
        <v>0</v>
      </c>
      <c r="L456" t="n">
        <v>0</v>
      </c>
      <c r="M456" t="n">
        <v>0</v>
      </c>
      <c r="N456" t="n">
        <v>0</v>
      </c>
      <c r="O456" t="n">
        <v>0</v>
      </c>
      <c r="P456" t="n">
        <v>0</v>
      </c>
      <c r="Q456" t="n">
        <v>0</v>
      </c>
      <c r="R456" s="2" t="inlineStr"/>
    </row>
    <row r="457" ht="15" customHeight="1">
      <c r="A457" t="inlineStr">
        <is>
          <t>A 16651-2021</t>
        </is>
      </c>
      <c r="B457" s="1" t="n">
        <v>44294.50096064815</v>
      </c>
      <c r="C457" s="1" t="n">
        <v>45976</v>
      </c>
      <c r="D457" t="inlineStr">
        <is>
          <t>VÄSTMANLANDS LÄN</t>
        </is>
      </c>
      <c r="E457" t="inlineStr">
        <is>
          <t>SALA</t>
        </is>
      </c>
      <c r="G457" t="n">
        <v>7.7</v>
      </c>
      <c r="H457" t="n">
        <v>0</v>
      </c>
      <c r="I457" t="n">
        <v>0</v>
      </c>
      <c r="J457" t="n">
        <v>0</v>
      </c>
      <c r="K457" t="n">
        <v>0</v>
      </c>
      <c r="L457" t="n">
        <v>0</v>
      </c>
      <c r="M457" t="n">
        <v>0</v>
      </c>
      <c r="N457" t="n">
        <v>0</v>
      </c>
      <c r="O457" t="n">
        <v>0</v>
      </c>
      <c r="P457" t="n">
        <v>0</v>
      </c>
      <c r="Q457" t="n">
        <v>0</v>
      </c>
      <c r="R457" s="2" t="inlineStr"/>
    </row>
    <row r="458" ht="15" customHeight="1">
      <c r="A458" t="inlineStr">
        <is>
          <t>A 43028-2025</t>
        </is>
      </c>
      <c r="B458" s="1" t="n">
        <v>45909.53472222222</v>
      </c>
      <c r="C458" s="1" t="n">
        <v>45976</v>
      </c>
      <c r="D458" t="inlineStr">
        <is>
          <t>VÄSTMANLANDS LÄN</t>
        </is>
      </c>
      <c r="E458" t="inlineStr">
        <is>
          <t>SALA</t>
        </is>
      </c>
      <c r="G458" t="n">
        <v>3.8</v>
      </c>
      <c r="H458" t="n">
        <v>0</v>
      </c>
      <c r="I458" t="n">
        <v>0</v>
      </c>
      <c r="J458" t="n">
        <v>0</v>
      </c>
      <c r="K458" t="n">
        <v>0</v>
      </c>
      <c r="L458" t="n">
        <v>0</v>
      </c>
      <c r="M458" t="n">
        <v>0</v>
      </c>
      <c r="N458" t="n">
        <v>0</v>
      </c>
      <c r="O458" t="n">
        <v>0</v>
      </c>
      <c r="P458" t="n">
        <v>0</v>
      </c>
      <c r="Q458" t="n">
        <v>0</v>
      </c>
      <c r="R458" s="2" t="inlineStr"/>
    </row>
    <row r="459" ht="15" customHeight="1">
      <c r="A459" t="inlineStr">
        <is>
          <t>A 43031-2025</t>
        </is>
      </c>
      <c r="B459" s="1" t="n">
        <v>45909.53856481481</v>
      </c>
      <c r="C459" s="1" t="n">
        <v>45976</v>
      </c>
      <c r="D459" t="inlineStr">
        <is>
          <t>VÄSTMANLANDS LÄN</t>
        </is>
      </c>
      <c r="E459" t="inlineStr">
        <is>
          <t>SALA</t>
        </is>
      </c>
      <c r="G459" t="n">
        <v>0.2</v>
      </c>
      <c r="H459" t="n">
        <v>0</v>
      </c>
      <c r="I459" t="n">
        <v>0</v>
      </c>
      <c r="J459" t="n">
        <v>0</v>
      </c>
      <c r="K459" t="n">
        <v>0</v>
      </c>
      <c r="L459" t="n">
        <v>0</v>
      </c>
      <c r="M459" t="n">
        <v>0</v>
      </c>
      <c r="N459" t="n">
        <v>0</v>
      </c>
      <c r="O459" t="n">
        <v>0</v>
      </c>
      <c r="P459" t="n">
        <v>0</v>
      </c>
      <c r="Q459" t="n">
        <v>0</v>
      </c>
      <c r="R459" s="2" t="inlineStr"/>
    </row>
    <row r="460" ht="15" customHeight="1">
      <c r="A460" t="inlineStr">
        <is>
          <t>A 19803-2024</t>
        </is>
      </c>
      <c r="B460" s="1" t="n">
        <v>45432</v>
      </c>
      <c r="C460" s="1" t="n">
        <v>45976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35410-2022</t>
        </is>
      </c>
      <c r="B461" s="1" t="n">
        <v>44798.62576388889</v>
      </c>
      <c r="C461" s="1" t="n">
        <v>45976</v>
      </c>
      <c r="D461" t="inlineStr">
        <is>
          <t>VÄSTMANLANDS LÄN</t>
        </is>
      </c>
      <c r="E461" t="inlineStr">
        <is>
          <t>SALA</t>
        </is>
      </c>
      <c r="G461" t="n">
        <v>1.6</v>
      </c>
      <c r="H461" t="n">
        <v>0</v>
      </c>
      <c r="I461" t="n">
        <v>0</v>
      </c>
      <c r="J461" t="n">
        <v>0</v>
      </c>
      <c r="K461" t="n">
        <v>0</v>
      </c>
      <c r="L461" t="n">
        <v>0</v>
      </c>
      <c r="M461" t="n">
        <v>0</v>
      </c>
      <c r="N461" t="n">
        <v>0</v>
      </c>
      <c r="O461" t="n">
        <v>0</v>
      </c>
      <c r="P461" t="n">
        <v>0</v>
      </c>
      <c r="Q461" t="n">
        <v>0</v>
      </c>
      <c r="R461" s="2" t="inlineStr"/>
    </row>
    <row r="462" ht="15" customHeight="1">
      <c r="A462" t="inlineStr">
        <is>
          <t>A 1118-2024</t>
        </is>
      </c>
      <c r="B462" s="1" t="n">
        <v>45302</v>
      </c>
      <c r="C462" s="1" t="n">
        <v>45976</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7196-2025</t>
        </is>
      </c>
      <c r="B463" s="1" t="n">
        <v>45702</v>
      </c>
      <c r="C463" s="1" t="n">
        <v>45976</v>
      </c>
      <c r="D463" t="inlineStr">
        <is>
          <t>VÄSTMANLANDS LÄN</t>
        </is>
      </c>
      <c r="E463" t="inlineStr">
        <is>
          <t>SALA</t>
        </is>
      </c>
      <c r="G463" t="n">
        <v>1.3</v>
      </c>
      <c r="H463" t="n">
        <v>0</v>
      </c>
      <c r="I463" t="n">
        <v>0</v>
      </c>
      <c r="J463" t="n">
        <v>0</v>
      </c>
      <c r="K463" t="n">
        <v>0</v>
      </c>
      <c r="L463" t="n">
        <v>0</v>
      </c>
      <c r="M463" t="n">
        <v>0</v>
      </c>
      <c r="N463" t="n">
        <v>0</v>
      </c>
      <c r="O463" t="n">
        <v>0</v>
      </c>
      <c r="P463" t="n">
        <v>0</v>
      </c>
      <c r="Q463" t="n">
        <v>0</v>
      </c>
      <c r="R463" s="2" t="inlineStr"/>
    </row>
    <row r="464" ht="15" customHeight="1">
      <c r="A464" t="inlineStr">
        <is>
          <t>A 40597-2022</t>
        </is>
      </c>
      <c r="B464" s="1" t="n">
        <v>44823.84862268518</v>
      </c>
      <c r="C464" s="1" t="n">
        <v>45976</v>
      </c>
      <c r="D464" t="inlineStr">
        <is>
          <t>VÄSTMANLANDS LÄN</t>
        </is>
      </c>
      <c r="E464" t="inlineStr">
        <is>
          <t>SALA</t>
        </is>
      </c>
      <c r="G464" t="n">
        <v>3.5</v>
      </c>
      <c r="H464" t="n">
        <v>0</v>
      </c>
      <c r="I464" t="n">
        <v>0</v>
      </c>
      <c r="J464" t="n">
        <v>0</v>
      </c>
      <c r="K464" t="n">
        <v>0</v>
      </c>
      <c r="L464" t="n">
        <v>0</v>
      </c>
      <c r="M464" t="n">
        <v>0</v>
      </c>
      <c r="N464" t="n">
        <v>0</v>
      </c>
      <c r="O464" t="n">
        <v>0</v>
      </c>
      <c r="P464" t="n">
        <v>0</v>
      </c>
      <c r="Q464" t="n">
        <v>0</v>
      </c>
      <c r="R464" s="2" t="inlineStr"/>
    </row>
    <row r="465" ht="15" customHeight="1">
      <c r="A465" t="inlineStr">
        <is>
          <t>A 19033-2025</t>
        </is>
      </c>
      <c r="B465" s="1" t="n">
        <v>45764.65796296296</v>
      </c>
      <c r="C465" s="1" t="n">
        <v>45976</v>
      </c>
      <c r="D465" t="inlineStr">
        <is>
          <t>VÄSTMANLANDS LÄN</t>
        </is>
      </c>
      <c r="E465" t="inlineStr">
        <is>
          <t>SALA</t>
        </is>
      </c>
      <c r="F465" t="inlineStr">
        <is>
          <t>Bergvik skog öst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53864-2022</t>
        </is>
      </c>
      <c r="B466" s="1" t="n">
        <v>44880.64016203704</v>
      </c>
      <c r="C466" s="1" t="n">
        <v>45976</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64925-2023</t>
        </is>
      </c>
      <c r="B467" s="1" t="n">
        <v>45282</v>
      </c>
      <c r="C467" s="1" t="n">
        <v>45976</v>
      </c>
      <c r="D467" t="inlineStr">
        <is>
          <t>VÄSTMANLANDS LÄN</t>
        </is>
      </c>
      <c r="E467" t="inlineStr">
        <is>
          <t>SALA</t>
        </is>
      </c>
      <c r="G467" t="n">
        <v>2.5</v>
      </c>
      <c r="H467" t="n">
        <v>0</v>
      </c>
      <c r="I467" t="n">
        <v>0</v>
      </c>
      <c r="J467" t="n">
        <v>0</v>
      </c>
      <c r="K467" t="n">
        <v>0</v>
      </c>
      <c r="L467" t="n">
        <v>0</v>
      </c>
      <c r="M467" t="n">
        <v>0</v>
      </c>
      <c r="N467" t="n">
        <v>0</v>
      </c>
      <c r="O467" t="n">
        <v>0</v>
      </c>
      <c r="P467" t="n">
        <v>0</v>
      </c>
      <c r="Q467" t="n">
        <v>0</v>
      </c>
      <c r="R467" s="2" t="inlineStr"/>
    </row>
    <row r="468" ht="15" customHeight="1">
      <c r="A468" t="inlineStr">
        <is>
          <t>A 40085-2024</t>
        </is>
      </c>
      <c r="B468" s="1" t="n">
        <v>45554</v>
      </c>
      <c r="C468" s="1" t="n">
        <v>45976</v>
      </c>
      <c r="D468" t="inlineStr">
        <is>
          <t>VÄSTMANLANDS LÄN</t>
        </is>
      </c>
      <c r="E468" t="inlineStr">
        <is>
          <t>SALA</t>
        </is>
      </c>
      <c r="G468" t="n">
        <v>2.8</v>
      </c>
      <c r="H468" t="n">
        <v>0</v>
      </c>
      <c r="I468" t="n">
        <v>0</v>
      </c>
      <c r="J468" t="n">
        <v>0</v>
      </c>
      <c r="K468" t="n">
        <v>0</v>
      </c>
      <c r="L468" t="n">
        <v>0</v>
      </c>
      <c r="M468" t="n">
        <v>0</v>
      </c>
      <c r="N468" t="n">
        <v>0</v>
      </c>
      <c r="O468" t="n">
        <v>0</v>
      </c>
      <c r="P468" t="n">
        <v>0</v>
      </c>
      <c r="Q468" t="n">
        <v>0</v>
      </c>
      <c r="R468" s="2" t="inlineStr"/>
    </row>
    <row r="469" ht="15" customHeight="1">
      <c r="A469" t="inlineStr">
        <is>
          <t>A 23431-2024</t>
        </is>
      </c>
      <c r="B469" s="1" t="n">
        <v>45453</v>
      </c>
      <c r="C469" s="1" t="n">
        <v>45976</v>
      </c>
      <c r="D469" t="inlineStr">
        <is>
          <t>VÄSTMANLANDS LÄN</t>
        </is>
      </c>
      <c r="E469" t="inlineStr">
        <is>
          <t>SALA</t>
        </is>
      </c>
      <c r="G469" t="n">
        <v>1.6</v>
      </c>
      <c r="H469" t="n">
        <v>0</v>
      </c>
      <c r="I469" t="n">
        <v>0</v>
      </c>
      <c r="J469" t="n">
        <v>0</v>
      </c>
      <c r="K469" t="n">
        <v>0</v>
      </c>
      <c r="L469" t="n">
        <v>0</v>
      </c>
      <c r="M469" t="n">
        <v>0</v>
      </c>
      <c r="N469" t="n">
        <v>0</v>
      </c>
      <c r="O469" t="n">
        <v>0</v>
      </c>
      <c r="P469" t="n">
        <v>0</v>
      </c>
      <c r="Q469" t="n">
        <v>0</v>
      </c>
      <c r="R469" s="2" t="inlineStr"/>
    </row>
    <row r="470" ht="15" customHeight="1">
      <c r="A470" t="inlineStr">
        <is>
          <t>A 43328-2025</t>
        </is>
      </c>
      <c r="B470" s="1" t="n">
        <v>45910</v>
      </c>
      <c r="C470" s="1" t="n">
        <v>45976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23406-2024</t>
        </is>
      </c>
      <c r="B471" s="1" t="n">
        <v>45453.58296296297</v>
      </c>
      <c r="C471" s="1" t="n">
        <v>45976</v>
      </c>
      <c r="D471" t="inlineStr">
        <is>
          <t>VÄSTMANLANDS LÄN</t>
        </is>
      </c>
      <c r="E471" t="inlineStr">
        <is>
          <t>SALA</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3551-2024</t>
        </is>
      </c>
      <c r="B472" s="1" t="n">
        <v>45320.61099537037</v>
      </c>
      <c r="C472" s="1" t="n">
        <v>45976</v>
      </c>
      <c r="D472" t="inlineStr">
        <is>
          <t>VÄSTMANLANDS LÄN</t>
        </is>
      </c>
      <c r="E472" t="inlineStr">
        <is>
          <t>SALA</t>
        </is>
      </c>
      <c r="F472" t="inlineStr">
        <is>
          <t>Kommuner</t>
        </is>
      </c>
      <c r="G472" t="n">
        <v>6</v>
      </c>
      <c r="H472" t="n">
        <v>0</v>
      </c>
      <c r="I472" t="n">
        <v>0</v>
      </c>
      <c r="J472" t="n">
        <v>0</v>
      </c>
      <c r="K472" t="n">
        <v>0</v>
      </c>
      <c r="L472" t="n">
        <v>0</v>
      </c>
      <c r="M472" t="n">
        <v>0</v>
      </c>
      <c r="N472" t="n">
        <v>0</v>
      </c>
      <c r="O472" t="n">
        <v>0</v>
      </c>
      <c r="P472" t="n">
        <v>0</v>
      </c>
      <c r="Q472" t="n">
        <v>0</v>
      </c>
      <c r="R472" s="2" t="inlineStr"/>
    </row>
    <row r="473" ht="15" customHeight="1">
      <c r="A473" t="inlineStr">
        <is>
          <t>A 16133-2025</t>
        </is>
      </c>
      <c r="B473" s="1" t="n">
        <v>45750</v>
      </c>
      <c r="C473" s="1" t="n">
        <v>45976</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15099-2025</t>
        </is>
      </c>
      <c r="B474" s="1" t="n">
        <v>45744.3434837963</v>
      </c>
      <c r="C474" s="1" t="n">
        <v>45976</v>
      </c>
      <c r="D474" t="inlineStr">
        <is>
          <t>VÄSTMANLANDS LÄN</t>
        </is>
      </c>
      <c r="E474" t="inlineStr">
        <is>
          <t>SALA</t>
        </is>
      </c>
      <c r="F474" t="inlineStr">
        <is>
          <t>Sveaskog</t>
        </is>
      </c>
      <c r="G474" t="n">
        <v>14.4</v>
      </c>
      <c r="H474" t="n">
        <v>0</v>
      </c>
      <c r="I474" t="n">
        <v>0</v>
      </c>
      <c r="J474" t="n">
        <v>0</v>
      </c>
      <c r="K474" t="n">
        <v>0</v>
      </c>
      <c r="L474" t="n">
        <v>0</v>
      </c>
      <c r="M474" t="n">
        <v>0</v>
      </c>
      <c r="N474" t="n">
        <v>0</v>
      </c>
      <c r="O474" t="n">
        <v>0</v>
      </c>
      <c r="P474" t="n">
        <v>0</v>
      </c>
      <c r="Q474" t="n">
        <v>0</v>
      </c>
      <c r="R474" s="2" t="inlineStr"/>
    </row>
    <row r="475" ht="15" customHeight="1">
      <c r="A475" t="inlineStr">
        <is>
          <t>A 21168-2025</t>
        </is>
      </c>
      <c r="B475" s="1" t="n">
        <v>45777</v>
      </c>
      <c r="C475" s="1" t="n">
        <v>45976</v>
      </c>
      <c r="D475" t="inlineStr">
        <is>
          <t>VÄSTMANLANDS LÄN</t>
        </is>
      </c>
      <c r="E475" t="inlineStr">
        <is>
          <t>SALA</t>
        </is>
      </c>
      <c r="G475" t="n">
        <v>4.5</v>
      </c>
      <c r="H475" t="n">
        <v>0</v>
      </c>
      <c r="I475" t="n">
        <v>0</v>
      </c>
      <c r="J475" t="n">
        <v>0</v>
      </c>
      <c r="K475" t="n">
        <v>0</v>
      </c>
      <c r="L475" t="n">
        <v>0</v>
      </c>
      <c r="M475" t="n">
        <v>0</v>
      </c>
      <c r="N475" t="n">
        <v>0</v>
      </c>
      <c r="O475" t="n">
        <v>0</v>
      </c>
      <c r="P475" t="n">
        <v>0</v>
      </c>
      <c r="Q475" t="n">
        <v>0</v>
      </c>
      <c r="R475" s="2" t="inlineStr"/>
    </row>
    <row r="476" ht="15" customHeight="1">
      <c r="A476" t="inlineStr">
        <is>
          <t>A 60036-2024</t>
        </is>
      </c>
      <c r="B476" s="1" t="n">
        <v>45642.46434027778</v>
      </c>
      <c r="C476" s="1" t="n">
        <v>45976</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52827-2024</t>
        </is>
      </c>
      <c r="B477" s="1" t="n">
        <v>45610</v>
      </c>
      <c r="C477" s="1" t="n">
        <v>45976</v>
      </c>
      <c r="D477" t="inlineStr">
        <is>
          <t>VÄSTMANLANDS LÄN</t>
        </is>
      </c>
      <c r="E477" t="inlineStr">
        <is>
          <t>SALA</t>
        </is>
      </c>
      <c r="G477" t="n">
        <v>0.2</v>
      </c>
      <c r="H477" t="n">
        <v>0</v>
      </c>
      <c r="I477" t="n">
        <v>0</v>
      </c>
      <c r="J477" t="n">
        <v>0</v>
      </c>
      <c r="K477" t="n">
        <v>0</v>
      </c>
      <c r="L477" t="n">
        <v>0</v>
      </c>
      <c r="M477" t="n">
        <v>0</v>
      </c>
      <c r="N477" t="n">
        <v>0</v>
      </c>
      <c r="O477" t="n">
        <v>0</v>
      </c>
      <c r="P477" t="n">
        <v>0</v>
      </c>
      <c r="Q477" t="n">
        <v>0</v>
      </c>
      <c r="R477" s="2" t="inlineStr"/>
    </row>
    <row r="478" ht="15" customHeight="1">
      <c r="A478" t="inlineStr">
        <is>
          <t>A 16328-2025</t>
        </is>
      </c>
      <c r="B478" s="1" t="n">
        <v>45751</v>
      </c>
      <c r="C478" s="1" t="n">
        <v>45976</v>
      </c>
      <c r="D478" t="inlineStr">
        <is>
          <t>VÄSTMANLANDS LÄN</t>
        </is>
      </c>
      <c r="E478" t="inlineStr">
        <is>
          <t>SALA</t>
        </is>
      </c>
      <c r="G478" t="n">
        <v>2.9</v>
      </c>
      <c r="H478" t="n">
        <v>0</v>
      </c>
      <c r="I478" t="n">
        <v>0</v>
      </c>
      <c r="J478" t="n">
        <v>0</v>
      </c>
      <c r="K478" t="n">
        <v>0</v>
      </c>
      <c r="L478" t="n">
        <v>0</v>
      </c>
      <c r="M478" t="n">
        <v>0</v>
      </c>
      <c r="N478" t="n">
        <v>0</v>
      </c>
      <c r="O478" t="n">
        <v>0</v>
      </c>
      <c r="P478" t="n">
        <v>0</v>
      </c>
      <c r="Q478" t="n">
        <v>0</v>
      </c>
      <c r="R478" s="2" t="inlineStr"/>
    </row>
    <row r="479" ht="15" customHeight="1">
      <c r="A479" t="inlineStr">
        <is>
          <t>A 66908-2021</t>
        </is>
      </c>
      <c r="B479" s="1" t="n">
        <v>44522</v>
      </c>
      <c r="C479" s="1" t="n">
        <v>45976</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73835-2021</t>
        </is>
      </c>
      <c r="B480" s="1" t="n">
        <v>44552.92112268518</v>
      </c>
      <c r="C480" s="1" t="n">
        <v>45976</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3810-2023</t>
        </is>
      </c>
      <c r="B481" s="1" t="n">
        <v>44951.60454861111</v>
      </c>
      <c r="C481" s="1" t="n">
        <v>45976</v>
      </c>
      <c r="D481" t="inlineStr">
        <is>
          <t>VÄSTMANLANDS LÄN</t>
        </is>
      </c>
      <c r="E481" t="inlineStr">
        <is>
          <t>SALA</t>
        </is>
      </c>
      <c r="G481" t="n">
        <v>4.2</v>
      </c>
      <c r="H481" t="n">
        <v>0</v>
      </c>
      <c r="I481" t="n">
        <v>0</v>
      </c>
      <c r="J481" t="n">
        <v>0</v>
      </c>
      <c r="K481" t="n">
        <v>0</v>
      </c>
      <c r="L481" t="n">
        <v>0</v>
      </c>
      <c r="M481" t="n">
        <v>0</v>
      </c>
      <c r="N481" t="n">
        <v>0</v>
      </c>
      <c r="O481" t="n">
        <v>0</v>
      </c>
      <c r="P481" t="n">
        <v>0</v>
      </c>
      <c r="Q481" t="n">
        <v>0</v>
      </c>
      <c r="R481" s="2" t="inlineStr"/>
    </row>
    <row r="482" ht="15" customHeight="1">
      <c r="A482" t="inlineStr">
        <is>
          <t>A 21754-2025</t>
        </is>
      </c>
      <c r="B482" s="1" t="n">
        <v>45783.61837962963</v>
      </c>
      <c r="C482" s="1" t="n">
        <v>45976</v>
      </c>
      <c r="D482" t="inlineStr">
        <is>
          <t>VÄSTMANLANDS LÄN</t>
        </is>
      </c>
      <c r="E482" t="inlineStr">
        <is>
          <t>SALA</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21751-2025</t>
        </is>
      </c>
      <c r="B483" s="1" t="n">
        <v>45783.61372685185</v>
      </c>
      <c r="C483" s="1" t="n">
        <v>45976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22961-2023</t>
        </is>
      </c>
      <c r="B484" s="1" t="n">
        <v>45072</v>
      </c>
      <c r="C484" s="1" t="n">
        <v>45976</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22963-2023</t>
        </is>
      </c>
      <c r="B485" s="1" t="n">
        <v>45072</v>
      </c>
      <c r="C485" s="1" t="n">
        <v>45976</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54960-2024</t>
        </is>
      </c>
      <c r="B486" s="1" t="n">
        <v>45619.85208333333</v>
      </c>
      <c r="C486" s="1" t="n">
        <v>45976</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37587-2024</t>
        </is>
      </c>
      <c r="B487" s="1" t="n">
        <v>45541</v>
      </c>
      <c r="C487" s="1" t="n">
        <v>45976</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44100-2025</t>
        </is>
      </c>
      <c r="B488" s="1" t="n">
        <v>45915.56707175926</v>
      </c>
      <c r="C488" s="1" t="n">
        <v>45976</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12252-2023</t>
        </is>
      </c>
      <c r="B489" s="1" t="n">
        <v>44995</v>
      </c>
      <c r="C489" s="1" t="n">
        <v>45976</v>
      </c>
      <c r="D489" t="inlineStr">
        <is>
          <t>VÄSTMANLANDS LÄN</t>
        </is>
      </c>
      <c r="E489" t="inlineStr">
        <is>
          <t>SALA</t>
        </is>
      </c>
      <c r="G489" t="n">
        <v>2.6</v>
      </c>
      <c r="H489" t="n">
        <v>0</v>
      </c>
      <c r="I489" t="n">
        <v>0</v>
      </c>
      <c r="J489" t="n">
        <v>0</v>
      </c>
      <c r="K489" t="n">
        <v>0</v>
      </c>
      <c r="L489" t="n">
        <v>0</v>
      </c>
      <c r="M489" t="n">
        <v>0</v>
      </c>
      <c r="N489" t="n">
        <v>0</v>
      </c>
      <c r="O489" t="n">
        <v>0</v>
      </c>
      <c r="P489" t="n">
        <v>0</v>
      </c>
      <c r="Q489" t="n">
        <v>0</v>
      </c>
      <c r="R489" s="2" t="inlineStr"/>
    </row>
    <row r="490" ht="15" customHeight="1">
      <c r="A490" t="inlineStr">
        <is>
          <t>A 27228-2023</t>
        </is>
      </c>
      <c r="B490" s="1" t="n">
        <v>45096.59189814814</v>
      </c>
      <c r="C490" s="1" t="n">
        <v>45976</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26507-2023</t>
        </is>
      </c>
      <c r="B491" s="1" t="n">
        <v>45092</v>
      </c>
      <c r="C491" s="1" t="n">
        <v>45976</v>
      </c>
      <c r="D491" t="inlineStr">
        <is>
          <t>VÄSTMANLANDS LÄN</t>
        </is>
      </c>
      <c r="E491" t="inlineStr">
        <is>
          <t>SALA</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6183-2025</t>
        </is>
      </c>
      <c r="B492" s="1" t="n">
        <v>45698</v>
      </c>
      <c r="C492" s="1" t="n">
        <v>45976</v>
      </c>
      <c r="D492" t="inlineStr">
        <is>
          <t>VÄSTMANLANDS LÄN</t>
        </is>
      </c>
      <c r="E492" t="inlineStr">
        <is>
          <t>SALA</t>
        </is>
      </c>
      <c r="F492" t="inlineStr">
        <is>
          <t>Bergvik skog öst AB</t>
        </is>
      </c>
      <c r="G492" t="n">
        <v>2.3</v>
      </c>
      <c r="H492" t="n">
        <v>0</v>
      </c>
      <c r="I492" t="n">
        <v>0</v>
      </c>
      <c r="J492" t="n">
        <v>0</v>
      </c>
      <c r="K492" t="n">
        <v>0</v>
      </c>
      <c r="L492" t="n">
        <v>0</v>
      </c>
      <c r="M492" t="n">
        <v>0</v>
      </c>
      <c r="N492" t="n">
        <v>0</v>
      </c>
      <c r="O492" t="n">
        <v>0</v>
      </c>
      <c r="P492" t="n">
        <v>0</v>
      </c>
      <c r="Q492" t="n">
        <v>0</v>
      </c>
      <c r="R492" s="2" t="inlineStr"/>
    </row>
    <row r="493" ht="15" customHeight="1">
      <c r="A493" t="inlineStr">
        <is>
          <t>A 16543-2023</t>
        </is>
      </c>
      <c r="B493" s="1" t="n">
        <v>45029</v>
      </c>
      <c r="C493" s="1" t="n">
        <v>45976</v>
      </c>
      <c r="D493" t="inlineStr">
        <is>
          <t>VÄSTMANLANDS LÄN</t>
        </is>
      </c>
      <c r="E493" t="inlineStr">
        <is>
          <t>SALA</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43176-2023</t>
        </is>
      </c>
      <c r="B494" s="1" t="n">
        <v>45183</v>
      </c>
      <c r="C494" s="1" t="n">
        <v>45976</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37624-2024</t>
        </is>
      </c>
      <c r="B495" s="1" t="n">
        <v>45541</v>
      </c>
      <c r="C495" s="1" t="n">
        <v>45976</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57895-2024</t>
        </is>
      </c>
      <c r="B496" s="1" t="n">
        <v>45631</v>
      </c>
      <c r="C496" s="1" t="n">
        <v>45976</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47086-2022</t>
        </is>
      </c>
      <c r="B497" s="1" t="n">
        <v>44852</v>
      </c>
      <c r="C497" s="1" t="n">
        <v>45976</v>
      </c>
      <c r="D497" t="inlineStr">
        <is>
          <t>VÄSTMANLANDS LÄN</t>
        </is>
      </c>
      <c r="E497" t="inlineStr">
        <is>
          <t>SALA</t>
        </is>
      </c>
      <c r="G497" t="n">
        <v>12.5</v>
      </c>
      <c r="H497" t="n">
        <v>0</v>
      </c>
      <c r="I497" t="n">
        <v>0</v>
      </c>
      <c r="J497" t="n">
        <v>0</v>
      </c>
      <c r="K497" t="n">
        <v>0</v>
      </c>
      <c r="L497" t="n">
        <v>0</v>
      </c>
      <c r="M497" t="n">
        <v>0</v>
      </c>
      <c r="N497" t="n">
        <v>0</v>
      </c>
      <c r="O497" t="n">
        <v>0</v>
      </c>
      <c r="P497" t="n">
        <v>0</v>
      </c>
      <c r="Q497" t="n">
        <v>0</v>
      </c>
      <c r="R497" s="2" t="inlineStr"/>
    </row>
    <row r="498" ht="15" customHeight="1">
      <c r="A498" t="inlineStr">
        <is>
          <t>A 14010-2021</t>
        </is>
      </c>
      <c r="B498" s="1" t="n">
        <v>44277.63396990741</v>
      </c>
      <c r="C498" s="1" t="n">
        <v>45976</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64724-2023</t>
        </is>
      </c>
      <c r="B499" s="1" t="n">
        <v>45281.7602662037</v>
      </c>
      <c r="C499" s="1" t="n">
        <v>45976</v>
      </c>
      <c r="D499" t="inlineStr">
        <is>
          <t>VÄSTMANLANDS LÄN</t>
        </is>
      </c>
      <c r="E499" t="inlineStr">
        <is>
          <t>SALA</t>
        </is>
      </c>
      <c r="G499" t="n">
        <v>2.3</v>
      </c>
      <c r="H499" t="n">
        <v>0</v>
      </c>
      <c r="I499" t="n">
        <v>0</v>
      </c>
      <c r="J499" t="n">
        <v>0</v>
      </c>
      <c r="K499" t="n">
        <v>0</v>
      </c>
      <c r="L499" t="n">
        <v>0</v>
      </c>
      <c r="M499" t="n">
        <v>0</v>
      </c>
      <c r="N499" t="n">
        <v>0</v>
      </c>
      <c r="O499" t="n">
        <v>0</v>
      </c>
      <c r="P499" t="n">
        <v>0</v>
      </c>
      <c r="Q499" t="n">
        <v>0</v>
      </c>
      <c r="R499" s="2" t="inlineStr"/>
    </row>
    <row r="500" ht="15" customHeight="1">
      <c r="A500" t="inlineStr">
        <is>
          <t>A 56687-2024</t>
        </is>
      </c>
      <c r="B500" s="1" t="n">
        <v>45627.63271990741</v>
      </c>
      <c r="C500" s="1" t="n">
        <v>45976</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7176-2023</t>
        </is>
      </c>
      <c r="B501" s="1" t="n">
        <v>44970</v>
      </c>
      <c r="C501" s="1" t="n">
        <v>45976</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54347-2024</t>
        </is>
      </c>
      <c r="B502" s="1" t="n">
        <v>45617.39325231482</v>
      </c>
      <c r="C502" s="1" t="n">
        <v>45976</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43600-2024</t>
        </is>
      </c>
      <c r="B503" s="1" t="n">
        <v>45569</v>
      </c>
      <c r="C503" s="1" t="n">
        <v>45976</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31405-2024</t>
        </is>
      </c>
      <c r="B504" s="1" t="n">
        <v>45505.5490625</v>
      </c>
      <c r="C504" s="1" t="n">
        <v>45976</v>
      </c>
      <c r="D504" t="inlineStr">
        <is>
          <t>VÄSTMANLANDS LÄN</t>
        </is>
      </c>
      <c r="E504" t="inlineStr">
        <is>
          <t>SALA</t>
        </is>
      </c>
      <c r="G504" t="n">
        <v>5.2</v>
      </c>
      <c r="H504" t="n">
        <v>0</v>
      </c>
      <c r="I504" t="n">
        <v>0</v>
      </c>
      <c r="J504" t="n">
        <v>0</v>
      </c>
      <c r="K504" t="n">
        <v>0</v>
      </c>
      <c r="L504" t="n">
        <v>0</v>
      </c>
      <c r="M504" t="n">
        <v>0</v>
      </c>
      <c r="N504" t="n">
        <v>0</v>
      </c>
      <c r="O504" t="n">
        <v>0</v>
      </c>
      <c r="P504" t="n">
        <v>0</v>
      </c>
      <c r="Q504" t="n">
        <v>0</v>
      </c>
      <c r="R504" s="2" t="inlineStr"/>
    </row>
    <row r="505" ht="15" customHeight="1">
      <c r="A505" t="inlineStr">
        <is>
          <t>A 22616-2025</t>
        </is>
      </c>
      <c r="B505" s="1" t="n">
        <v>45789.42752314815</v>
      </c>
      <c r="C505" s="1" t="n">
        <v>45976</v>
      </c>
      <c r="D505" t="inlineStr">
        <is>
          <t>VÄSTMANLANDS LÄN</t>
        </is>
      </c>
      <c r="E505" t="inlineStr">
        <is>
          <t>SALA</t>
        </is>
      </c>
      <c r="G505" t="n">
        <v>0.8</v>
      </c>
      <c r="H505" t="n">
        <v>0</v>
      </c>
      <c r="I505" t="n">
        <v>0</v>
      </c>
      <c r="J505" t="n">
        <v>0</v>
      </c>
      <c r="K505" t="n">
        <v>0</v>
      </c>
      <c r="L505" t="n">
        <v>0</v>
      </c>
      <c r="M505" t="n">
        <v>0</v>
      </c>
      <c r="N505" t="n">
        <v>0</v>
      </c>
      <c r="O505" t="n">
        <v>0</v>
      </c>
      <c r="P505" t="n">
        <v>0</v>
      </c>
      <c r="Q505" t="n">
        <v>0</v>
      </c>
      <c r="R505" s="2" t="inlineStr"/>
    </row>
    <row r="506" ht="15" customHeight="1">
      <c r="A506" t="inlineStr">
        <is>
          <t>A 64693-2023</t>
        </is>
      </c>
      <c r="B506" s="1" t="n">
        <v>45281.63850694444</v>
      </c>
      <c r="C506" s="1" t="n">
        <v>45976</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64695-2023</t>
        </is>
      </c>
      <c r="B507" s="1" t="n">
        <v>45281.64099537037</v>
      </c>
      <c r="C507" s="1" t="n">
        <v>45976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22353-2025</t>
        </is>
      </c>
      <c r="B508" s="1" t="n">
        <v>45786</v>
      </c>
      <c r="C508" s="1" t="n">
        <v>45976</v>
      </c>
      <c r="D508" t="inlineStr">
        <is>
          <t>VÄSTMANLANDS LÄN</t>
        </is>
      </c>
      <c r="E508" t="inlineStr">
        <is>
          <t>SALA</t>
        </is>
      </c>
      <c r="G508" t="n">
        <v>2.5</v>
      </c>
      <c r="H508" t="n">
        <v>0</v>
      </c>
      <c r="I508" t="n">
        <v>0</v>
      </c>
      <c r="J508" t="n">
        <v>0</v>
      </c>
      <c r="K508" t="n">
        <v>0</v>
      </c>
      <c r="L508" t="n">
        <v>0</v>
      </c>
      <c r="M508" t="n">
        <v>0</v>
      </c>
      <c r="N508" t="n">
        <v>0</v>
      </c>
      <c r="O508" t="n">
        <v>0</v>
      </c>
      <c r="P508" t="n">
        <v>0</v>
      </c>
      <c r="Q508" t="n">
        <v>0</v>
      </c>
      <c r="R508" s="2" t="inlineStr"/>
    </row>
    <row r="509" ht="15" customHeight="1">
      <c r="A509" t="inlineStr">
        <is>
          <t>A 27486-2022</t>
        </is>
      </c>
      <c r="B509" s="1" t="n">
        <v>44742.60846064815</v>
      </c>
      <c r="C509" s="1" t="n">
        <v>45976</v>
      </c>
      <c r="D509" t="inlineStr">
        <is>
          <t>VÄSTMANLANDS LÄN</t>
        </is>
      </c>
      <c r="E509" t="inlineStr">
        <is>
          <t>SALA</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44524-2025</t>
        </is>
      </c>
      <c r="B510" s="1" t="n">
        <v>45916.72920138889</v>
      </c>
      <c r="C510" s="1" t="n">
        <v>45976</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35003-2024</t>
        </is>
      </c>
      <c r="B511" s="1" t="n">
        <v>45527.56790509259</v>
      </c>
      <c r="C511" s="1" t="n">
        <v>45976</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44486-2025</t>
        </is>
      </c>
      <c r="B512" s="1" t="n">
        <v>45916.65517361111</v>
      </c>
      <c r="C512" s="1" t="n">
        <v>45976</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22383-2025</t>
        </is>
      </c>
      <c r="B513" s="1" t="n">
        <v>45786</v>
      </c>
      <c r="C513" s="1" t="n">
        <v>45976</v>
      </c>
      <c r="D513" t="inlineStr">
        <is>
          <t>VÄSTMANLANDS LÄN</t>
        </is>
      </c>
      <c r="E513" t="inlineStr">
        <is>
          <t>SALA</t>
        </is>
      </c>
      <c r="G513" t="n">
        <v>2.2</v>
      </c>
      <c r="H513" t="n">
        <v>0</v>
      </c>
      <c r="I513" t="n">
        <v>0</v>
      </c>
      <c r="J513" t="n">
        <v>0</v>
      </c>
      <c r="K513" t="n">
        <v>0</v>
      </c>
      <c r="L513" t="n">
        <v>0</v>
      </c>
      <c r="M513" t="n">
        <v>0</v>
      </c>
      <c r="N513" t="n">
        <v>0</v>
      </c>
      <c r="O513" t="n">
        <v>0</v>
      </c>
      <c r="P513" t="n">
        <v>0</v>
      </c>
      <c r="Q513" t="n">
        <v>0</v>
      </c>
      <c r="R513" s="2" t="inlineStr"/>
    </row>
    <row r="514" ht="15" customHeight="1">
      <c r="A514" t="inlineStr">
        <is>
          <t>A 48688-2024</t>
        </is>
      </c>
      <c r="B514" s="1" t="n">
        <v>45593.50541666667</v>
      </c>
      <c r="C514" s="1" t="n">
        <v>45976</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22624-2025</t>
        </is>
      </c>
      <c r="B515" s="1" t="n">
        <v>45789.43327546296</v>
      </c>
      <c r="C515" s="1" t="n">
        <v>45976</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45177-2025</t>
        </is>
      </c>
      <c r="B516" s="1" t="n">
        <v>45919.52444444445</v>
      </c>
      <c r="C516" s="1" t="n">
        <v>45976</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15354-2021</t>
        </is>
      </c>
      <c r="B517" s="1" t="n">
        <v>44284</v>
      </c>
      <c r="C517" s="1" t="n">
        <v>45976</v>
      </c>
      <c r="D517" t="inlineStr">
        <is>
          <t>VÄSTMANLANDS LÄN</t>
        </is>
      </c>
      <c r="E517" t="inlineStr">
        <is>
          <t>SALA</t>
        </is>
      </c>
      <c r="F517" t="inlineStr">
        <is>
          <t>Kyrkan</t>
        </is>
      </c>
      <c r="G517" t="n">
        <v>8.5</v>
      </c>
      <c r="H517" t="n">
        <v>0</v>
      </c>
      <c r="I517" t="n">
        <v>0</v>
      </c>
      <c r="J517" t="n">
        <v>0</v>
      </c>
      <c r="K517" t="n">
        <v>0</v>
      </c>
      <c r="L517" t="n">
        <v>0</v>
      </c>
      <c r="M517" t="n">
        <v>0</v>
      </c>
      <c r="N517" t="n">
        <v>0</v>
      </c>
      <c r="O517" t="n">
        <v>0</v>
      </c>
      <c r="P517" t="n">
        <v>0</v>
      </c>
      <c r="Q517" t="n">
        <v>0</v>
      </c>
      <c r="R517" s="2" t="inlineStr"/>
    </row>
    <row r="518" ht="15" customHeight="1">
      <c r="A518" t="inlineStr">
        <is>
          <t>A 22370-2025</t>
        </is>
      </c>
      <c r="B518" s="1" t="n">
        <v>45786</v>
      </c>
      <c r="C518" s="1" t="n">
        <v>45976</v>
      </c>
      <c r="D518" t="inlineStr">
        <is>
          <t>VÄSTMANLANDS LÄN</t>
        </is>
      </c>
      <c r="E518" t="inlineStr">
        <is>
          <t>SALA</t>
        </is>
      </c>
      <c r="G518" t="n">
        <v>3.2</v>
      </c>
      <c r="H518" t="n">
        <v>0</v>
      </c>
      <c r="I518" t="n">
        <v>0</v>
      </c>
      <c r="J518" t="n">
        <v>0</v>
      </c>
      <c r="K518" t="n">
        <v>0</v>
      </c>
      <c r="L518" t="n">
        <v>0</v>
      </c>
      <c r="M518" t="n">
        <v>0</v>
      </c>
      <c r="N518" t="n">
        <v>0</v>
      </c>
      <c r="O518" t="n">
        <v>0</v>
      </c>
      <c r="P518" t="n">
        <v>0</v>
      </c>
      <c r="Q518" t="n">
        <v>0</v>
      </c>
      <c r="R518" s="2" t="inlineStr"/>
    </row>
    <row r="519" ht="15" customHeight="1">
      <c r="A519" t="inlineStr">
        <is>
          <t>A 63933-2023</t>
        </is>
      </c>
      <c r="B519" s="1" t="n">
        <v>45278</v>
      </c>
      <c r="C519" s="1" t="n">
        <v>45976</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44746-2024</t>
        </is>
      </c>
      <c r="B520" s="1" t="n">
        <v>45574.59813657407</v>
      </c>
      <c r="C520" s="1" t="n">
        <v>45976</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33273-2023</t>
        </is>
      </c>
      <c r="B521" s="1" t="n">
        <v>45127</v>
      </c>
      <c r="C521" s="1" t="n">
        <v>45976</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11696-2025</t>
        </is>
      </c>
      <c r="B522" s="1" t="n">
        <v>45727</v>
      </c>
      <c r="C522" s="1" t="n">
        <v>45976</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13130-2025</t>
        </is>
      </c>
      <c r="B523" s="1" t="n">
        <v>45734</v>
      </c>
      <c r="C523" s="1" t="n">
        <v>45976</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53724-2025</t>
        </is>
      </c>
      <c r="B524" s="1" t="n">
        <v>45960.63174768518</v>
      </c>
      <c r="C524" s="1" t="n">
        <v>45976</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43122-2025</t>
        </is>
      </c>
      <c r="B525" s="1" t="n">
        <v>45909</v>
      </c>
      <c r="C525" s="1" t="n">
        <v>45976</v>
      </c>
      <c r="D525" t="inlineStr">
        <is>
          <t>VÄSTMANLANDS LÄN</t>
        </is>
      </c>
      <c r="E525" t="inlineStr">
        <is>
          <t>SALA</t>
        </is>
      </c>
      <c r="G525" t="n">
        <v>3.2</v>
      </c>
      <c r="H525" t="n">
        <v>0</v>
      </c>
      <c r="I525" t="n">
        <v>0</v>
      </c>
      <c r="J525" t="n">
        <v>0</v>
      </c>
      <c r="K525" t="n">
        <v>0</v>
      </c>
      <c r="L525" t="n">
        <v>0</v>
      </c>
      <c r="M525" t="n">
        <v>0</v>
      </c>
      <c r="N525" t="n">
        <v>0</v>
      </c>
      <c r="O525" t="n">
        <v>0</v>
      </c>
      <c r="P525" t="n">
        <v>0</v>
      </c>
      <c r="Q525" t="n">
        <v>0</v>
      </c>
      <c r="R525" s="2" t="inlineStr"/>
    </row>
    <row r="526" ht="15" customHeight="1">
      <c r="A526" t="inlineStr">
        <is>
          <t>A 53744-2025</t>
        </is>
      </c>
      <c r="B526" s="1" t="n">
        <v>45960.64863425926</v>
      </c>
      <c r="C526" s="1" t="n">
        <v>45976</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60545-2024</t>
        </is>
      </c>
      <c r="B527" s="1" t="n">
        <v>45643</v>
      </c>
      <c r="C527" s="1" t="n">
        <v>45976</v>
      </c>
      <c r="D527" t="inlineStr">
        <is>
          <t>VÄSTMANLANDS LÄN</t>
        </is>
      </c>
      <c r="E527" t="inlineStr">
        <is>
          <t>SALA</t>
        </is>
      </c>
      <c r="G527" t="n">
        <v>3.3</v>
      </c>
      <c r="H527" t="n">
        <v>0</v>
      </c>
      <c r="I527" t="n">
        <v>0</v>
      </c>
      <c r="J527" t="n">
        <v>0</v>
      </c>
      <c r="K527" t="n">
        <v>0</v>
      </c>
      <c r="L527" t="n">
        <v>0</v>
      </c>
      <c r="M527" t="n">
        <v>0</v>
      </c>
      <c r="N527" t="n">
        <v>0</v>
      </c>
      <c r="O527" t="n">
        <v>0</v>
      </c>
      <c r="P527" t="n">
        <v>0</v>
      </c>
      <c r="Q527" t="n">
        <v>0</v>
      </c>
      <c r="R527" s="2" t="inlineStr"/>
    </row>
    <row r="528" ht="15" customHeight="1">
      <c r="A528" t="inlineStr">
        <is>
          <t>A 60547-2024</t>
        </is>
      </c>
      <c r="B528" s="1" t="n">
        <v>45643</v>
      </c>
      <c r="C528" s="1" t="n">
        <v>45976</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53725-2025</t>
        </is>
      </c>
      <c r="B529" s="1" t="n">
        <v>45960.63394675926</v>
      </c>
      <c r="C529" s="1" t="n">
        <v>45976</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23804-2025</t>
        </is>
      </c>
      <c r="B530" s="1" t="n">
        <v>45793.55995370371</v>
      </c>
      <c r="C530" s="1" t="n">
        <v>45976</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54344-2025</t>
        </is>
      </c>
      <c r="B531" s="1" t="n">
        <v>45965.36462962963</v>
      </c>
      <c r="C531" s="1" t="n">
        <v>45976</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22126-2025</t>
        </is>
      </c>
      <c r="B532" s="1" t="n">
        <v>45785</v>
      </c>
      <c r="C532" s="1" t="n">
        <v>45976</v>
      </c>
      <c r="D532" t="inlineStr">
        <is>
          <t>VÄSTMANLANDS LÄN</t>
        </is>
      </c>
      <c r="E532" t="inlineStr">
        <is>
          <t>SALA</t>
        </is>
      </c>
      <c r="G532" t="n">
        <v>10.6</v>
      </c>
      <c r="H532" t="n">
        <v>0</v>
      </c>
      <c r="I532" t="n">
        <v>0</v>
      </c>
      <c r="J532" t="n">
        <v>0</v>
      </c>
      <c r="K532" t="n">
        <v>0</v>
      </c>
      <c r="L532" t="n">
        <v>0</v>
      </c>
      <c r="M532" t="n">
        <v>0</v>
      </c>
      <c r="N532" t="n">
        <v>0</v>
      </c>
      <c r="O532" t="n">
        <v>0</v>
      </c>
      <c r="P532" t="n">
        <v>0</v>
      </c>
      <c r="Q532" t="n">
        <v>0</v>
      </c>
      <c r="R532" s="2" t="inlineStr"/>
    </row>
    <row r="533" ht="15" customHeight="1">
      <c r="A533" t="inlineStr">
        <is>
          <t>A 19297-2025</t>
        </is>
      </c>
      <c r="B533" s="1" t="n">
        <v>45769.56261574074</v>
      </c>
      <c r="C533" s="1" t="n">
        <v>45976</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23810-2025</t>
        </is>
      </c>
      <c r="B534" s="1" t="n">
        <v>45793.56989583333</v>
      </c>
      <c r="C534" s="1" t="n">
        <v>45976</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1985-2022</t>
        </is>
      </c>
      <c r="B535" s="1" t="n">
        <v>44575</v>
      </c>
      <c r="C535" s="1" t="n">
        <v>45976</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27261-2024</t>
        </is>
      </c>
      <c r="B536" s="1" t="n">
        <v>45471</v>
      </c>
      <c r="C536" s="1" t="n">
        <v>45976</v>
      </c>
      <c r="D536" t="inlineStr">
        <is>
          <t>VÄSTMANLANDS LÄN</t>
        </is>
      </c>
      <c r="E536" t="inlineStr">
        <is>
          <t>SALA</t>
        </is>
      </c>
      <c r="G536" t="n">
        <v>6.1</v>
      </c>
      <c r="H536" t="n">
        <v>0</v>
      </c>
      <c r="I536" t="n">
        <v>0</v>
      </c>
      <c r="J536" t="n">
        <v>0</v>
      </c>
      <c r="K536" t="n">
        <v>0</v>
      </c>
      <c r="L536" t="n">
        <v>0</v>
      </c>
      <c r="M536" t="n">
        <v>0</v>
      </c>
      <c r="N536" t="n">
        <v>0</v>
      </c>
      <c r="O536" t="n">
        <v>0</v>
      </c>
      <c r="P536" t="n">
        <v>0</v>
      </c>
      <c r="Q536" t="n">
        <v>0</v>
      </c>
      <c r="R536" s="2" t="inlineStr"/>
    </row>
    <row r="537" ht="15" customHeight="1">
      <c r="A537" t="inlineStr">
        <is>
          <t>A 54590-2025</t>
        </is>
      </c>
      <c r="B537" s="1" t="n">
        <v>45965.74199074074</v>
      </c>
      <c r="C537" s="1" t="n">
        <v>45976</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24169-2025</t>
        </is>
      </c>
      <c r="B538" s="1" t="n">
        <v>45796</v>
      </c>
      <c r="C538" s="1" t="n">
        <v>45976</v>
      </c>
      <c r="D538" t="inlineStr">
        <is>
          <t>VÄSTMANLANDS LÄN</t>
        </is>
      </c>
      <c r="E538" t="inlineStr">
        <is>
          <t>SALA</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11210-2025</t>
        </is>
      </c>
      <c r="B539" s="1" t="n">
        <v>45726</v>
      </c>
      <c r="C539" s="1" t="n">
        <v>45976</v>
      </c>
      <c r="D539" t="inlineStr">
        <is>
          <t>VÄSTMANLANDS LÄN</t>
        </is>
      </c>
      <c r="E539" t="inlineStr">
        <is>
          <t>SALA</t>
        </is>
      </c>
      <c r="G539" t="n">
        <v>4.1</v>
      </c>
      <c r="H539" t="n">
        <v>0</v>
      </c>
      <c r="I539" t="n">
        <v>0</v>
      </c>
      <c r="J539" t="n">
        <v>0</v>
      </c>
      <c r="K539" t="n">
        <v>0</v>
      </c>
      <c r="L539" t="n">
        <v>0</v>
      </c>
      <c r="M539" t="n">
        <v>0</v>
      </c>
      <c r="N539" t="n">
        <v>0</v>
      </c>
      <c r="O539" t="n">
        <v>0</v>
      </c>
      <c r="P539" t="n">
        <v>0</v>
      </c>
      <c r="Q539" t="n">
        <v>0</v>
      </c>
      <c r="R539" s="2" t="inlineStr"/>
    </row>
    <row r="540" ht="15" customHeight="1">
      <c r="A540" t="inlineStr">
        <is>
          <t>A 35976-2024</t>
        </is>
      </c>
      <c r="B540" s="1" t="n">
        <v>45533.49555555556</v>
      </c>
      <c r="C540" s="1" t="n">
        <v>45976</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54201-2025</t>
        </is>
      </c>
      <c r="B541" s="1" t="n">
        <v>45964.58055555556</v>
      </c>
      <c r="C541" s="1" t="n">
        <v>45976</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55556-2023</t>
        </is>
      </c>
      <c r="B542" s="1" t="n">
        <v>45232</v>
      </c>
      <c r="C542" s="1" t="n">
        <v>45976</v>
      </c>
      <c r="D542" t="inlineStr">
        <is>
          <t>VÄSTMANLANDS LÄN</t>
        </is>
      </c>
      <c r="E542" t="inlineStr">
        <is>
          <t>SALA</t>
        </is>
      </c>
      <c r="G542" t="n">
        <v>1.3</v>
      </c>
      <c r="H542" t="n">
        <v>0</v>
      </c>
      <c r="I542" t="n">
        <v>0</v>
      </c>
      <c r="J542" t="n">
        <v>0</v>
      </c>
      <c r="K542" t="n">
        <v>0</v>
      </c>
      <c r="L542" t="n">
        <v>0</v>
      </c>
      <c r="M542" t="n">
        <v>0</v>
      </c>
      <c r="N542" t="n">
        <v>0</v>
      </c>
      <c r="O542" t="n">
        <v>0</v>
      </c>
      <c r="P542" t="n">
        <v>0</v>
      </c>
      <c r="Q542" t="n">
        <v>0</v>
      </c>
      <c r="R542" s="2" t="inlineStr"/>
    </row>
    <row r="543" ht="15" customHeight="1">
      <c r="A543" t="inlineStr">
        <is>
          <t>A 57650-2024</t>
        </is>
      </c>
      <c r="B543" s="1" t="n">
        <v>45630</v>
      </c>
      <c r="C543" s="1" t="n">
        <v>45976</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45371-2025</t>
        </is>
      </c>
      <c r="B544" s="1" t="n">
        <v>45922.39001157408</v>
      </c>
      <c r="C544" s="1" t="n">
        <v>45976</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24944-2023</t>
        </is>
      </c>
      <c r="B545" s="1" t="n">
        <v>45085</v>
      </c>
      <c r="C545" s="1" t="n">
        <v>45976</v>
      </c>
      <c r="D545" t="inlineStr">
        <is>
          <t>VÄSTMANLANDS LÄN</t>
        </is>
      </c>
      <c r="E545" t="inlineStr">
        <is>
          <t>SALA</t>
        </is>
      </c>
      <c r="G545" t="n">
        <v>3.8</v>
      </c>
      <c r="H545" t="n">
        <v>0</v>
      </c>
      <c r="I545" t="n">
        <v>0</v>
      </c>
      <c r="J545" t="n">
        <v>0</v>
      </c>
      <c r="K545" t="n">
        <v>0</v>
      </c>
      <c r="L545" t="n">
        <v>0</v>
      </c>
      <c r="M545" t="n">
        <v>0</v>
      </c>
      <c r="N545" t="n">
        <v>0</v>
      </c>
      <c r="O545" t="n">
        <v>0</v>
      </c>
      <c r="P545" t="n">
        <v>0</v>
      </c>
      <c r="Q545" t="n">
        <v>0</v>
      </c>
      <c r="R545" s="2" t="inlineStr"/>
    </row>
    <row r="546" ht="15" customHeight="1">
      <c r="A546" t="inlineStr">
        <is>
          <t>A 50479-2022</t>
        </is>
      </c>
      <c r="B546" s="1" t="n">
        <v>44861</v>
      </c>
      <c r="C546" s="1" t="n">
        <v>45976</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45790-2023</t>
        </is>
      </c>
      <c r="B547" s="1" t="n">
        <v>45195.45958333334</v>
      </c>
      <c r="C547" s="1" t="n">
        <v>45976</v>
      </c>
      <c r="D547" t="inlineStr">
        <is>
          <t>VÄSTMANLANDS LÄN</t>
        </is>
      </c>
      <c r="E547" t="inlineStr">
        <is>
          <t>SALA</t>
        </is>
      </c>
      <c r="G547" t="n">
        <v>5.7</v>
      </c>
      <c r="H547" t="n">
        <v>0</v>
      </c>
      <c r="I547" t="n">
        <v>0</v>
      </c>
      <c r="J547" t="n">
        <v>0</v>
      </c>
      <c r="K547" t="n">
        <v>0</v>
      </c>
      <c r="L547" t="n">
        <v>0</v>
      </c>
      <c r="M547" t="n">
        <v>0</v>
      </c>
      <c r="N547" t="n">
        <v>0</v>
      </c>
      <c r="O547" t="n">
        <v>0</v>
      </c>
      <c r="P547" t="n">
        <v>0</v>
      </c>
      <c r="Q547" t="n">
        <v>0</v>
      </c>
      <c r="R547" s="2" t="inlineStr"/>
    </row>
    <row r="548" ht="15" customHeight="1">
      <c r="A548" t="inlineStr">
        <is>
          <t>A 24460-2025</t>
        </is>
      </c>
      <c r="B548" s="1" t="n">
        <v>45798</v>
      </c>
      <c r="C548" s="1" t="n">
        <v>45976</v>
      </c>
      <c r="D548" t="inlineStr">
        <is>
          <t>VÄSTMANLANDS LÄN</t>
        </is>
      </c>
      <c r="E548" t="inlineStr">
        <is>
          <t>SALA</t>
        </is>
      </c>
      <c r="F548" t="inlineStr">
        <is>
          <t>Bergvik skog öst AB</t>
        </is>
      </c>
      <c r="G548" t="n">
        <v>2.6</v>
      </c>
      <c r="H548" t="n">
        <v>0</v>
      </c>
      <c r="I548" t="n">
        <v>0</v>
      </c>
      <c r="J548" t="n">
        <v>0</v>
      </c>
      <c r="K548" t="n">
        <v>0</v>
      </c>
      <c r="L548" t="n">
        <v>0</v>
      </c>
      <c r="M548" t="n">
        <v>0</v>
      </c>
      <c r="N548" t="n">
        <v>0</v>
      </c>
      <c r="O548" t="n">
        <v>0</v>
      </c>
      <c r="P548" t="n">
        <v>0</v>
      </c>
      <c r="Q548" t="n">
        <v>0</v>
      </c>
      <c r="R548" s="2" t="inlineStr"/>
    </row>
    <row r="549" ht="15" customHeight="1">
      <c r="A549" t="inlineStr">
        <is>
          <t>A 24463-2025</t>
        </is>
      </c>
      <c r="B549" s="1" t="n">
        <v>45798</v>
      </c>
      <c r="C549" s="1" t="n">
        <v>45976</v>
      </c>
      <c r="D549" t="inlineStr">
        <is>
          <t>VÄSTMANLANDS LÄN</t>
        </is>
      </c>
      <c r="E549" t="inlineStr">
        <is>
          <t>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2928-2024</t>
        </is>
      </c>
      <c r="B550" s="1" t="n">
        <v>45315.59041666667</v>
      </c>
      <c r="C550" s="1" t="n">
        <v>45976</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73673-2021</t>
        </is>
      </c>
      <c r="B551" s="1" t="n">
        <v>44552.46501157407</v>
      </c>
      <c r="C551" s="1" t="n">
        <v>45976</v>
      </c>
      <c r="D551" t="inlineStr">
        <is>
          <t>VÄSTMANLANDS LÄN</t>
        </is>
      </c>
      <c r="E551" t="inlineStr">
        <is>
          <t>SALA</t>
        </is>
      </c>
      <c r="G551" t="n">
        <v>11.4</v>
      </c>
      <c r="H551" t="n">
        <v>0</v>
      </c>
      <c r="I551" t="n">
        <v>0</v>
      </c>
      <c r="J551" t="n">
        <v>0</v>
      </c>
      <c r="K551" t="n">
        <v>0</v>
      </c>
      <c r="L551" t="n">
        <v>0</v>
      </c>
      <c r="M551" t="n">
        <v>0</v>
      </c>
      <c r="N551" t="n">
        <v>0</v>
      </c>
      <c r="O551" t="n">
        <v>0</v>
      </c>
      <c r="P551" t="n">
        <v>0</v>
      </c>
      <c r="Q551" t="n">
        <v>0</v>
      </c>
      <c r="R551" s="2" t="inlineStr"/>
    </row>
    <row r="552" ht="15" customHeight="1">
      <c r="A552" t="inlineStr">
        <is>
          <t>A 54893-2025</t>
        </is>
      </c>
      <c r="B552" s="1" t="n">
        <v>45967.36383101852</v>
      </c>
      <c r="C552" s="1" t="n">
        <v>45976</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45914-2025</t>
        </is>
      </c>
      <c r="B553" s="1" t="n">
        <v>45923.82582175926</v>
      </c>
      <c r="C553" s="1" t="n">
        <v>45976</v>
      </c>
      <c r="D553" t="inlineStr">
        <is>
          <t>VÄSTMANLANDS LÄN</t>
        </is>
      </c>
      <c r="E553" t="inlineStr">
        <is>
          <t>SALA</t>
        </is>
      </c>
      <c r="F553" t="inlineStr">
        <is>
          <t>Kommuner</t>
        </is>
      </c>
      <c r="G553" t="n">
        <v>18.2</v>
      </c>
      <c r="H553" t="n">
        <v>0</v>
      </c>
      <c r="I553" t="n">
        <v>0</v>
      </c>
      <c r="J553" t="n">
        <v>0</v>
      </c>
      <c r="K553" t="n">
        <v>0</v>
      </c>
      <c r="L553" t="n">
        <v>0</v>
      </c>
      <c r="M553" t="n">
        <v>0</v>
      </c>
      <c r="N553" t="n">
        <v>0</v>
      </c>
      <c r="O553" t="n">
        <v>0</v>
      </c>
      <c r="P553" t="n">
        <v>0</v>
      </c>
      <c r="Q553" t="n">
        <v>0</v>
      </c>
      <c r="R553" s="2" t="inlineStr"/>
    </row>
    <row r="554" ht="15" customHeight="1">
      <c r="A554" t="inlineStr">
        <is>
          <t>A 40871-2021</t>
        </is>
      </c>
      <c r="B554" s="1" t="n">
        <v>44421</v>
      </c>
      <c r="C554" s="1" t="n">
        <v>45976</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55065-2024</t>
        </is>
      </c>
      <c r="B555" s="1" t="n">
        <v>45618</v>
      </c>
      <c r="C555" s="1" t="n">
        <v>45976</v>
      </c>
      <c r="D555" t="inlineStr">
        <is>
          <t>VÄSTMANLANDS LÄN</t>
        </is>
      </c>
      <c r="E555" t="inlineStr">
        <is>
          <t>SALA</t>
        </is>
      </c>
      <c r="G555" t="n">
        <v>3.5</v>
      </c>
      <c r="H555" t="n">
        <v>0</v>
      </c>
      <c r="I555" t="n">
        <v>0</v>
      </c>
      <c r="J555" t="n">
        <v>0</v>
      </c>
      <c r="K555" t="n">
        <v>0</v>
      </c>
      <c r="L555" t="n">
        <v>0</v>
      </c>
      <c r="M555" t="n">
        <v>0</v>
      </c>
      <c r="N555" t="n">
        <v>0</v>
      </c>
      <c r="O555" t="n">
        <v>0</v>
      </c>
      <c r="P555" t="n">
        <v>0</v>
      </c>
      <c r="Q555" t="n">
        <v>0</v>
      </c>
      <c r="R555" s="2" t="inlineStr"/>
    </row>
    <row r="556" ht="15" customHeight="1">
      <c r="A556" t="inlineStr">
        <is>
          <t>A 24907-2025</t>
        </is>
      </c>
      <c r="B556" s="1" t="n">
        <v>45799</v>
      </c>
      <c r="C556" s="1" t="n">
        <v>45976</v>
      </c>
      <c r="D556" t="inlineStr">
        <is>
          <t>VÄSTMANLANDS LÄN</t>
        </is>
      </c>
      <c r="E556" t="inlineStr">
        <is>
          <t>SALA</t>
        </is>
      </c>
      <c r="G556" t="n">
        <v>3.5</v>
      </c>
      <c r="H556" t="n">
        <v>0</v>
      </c>
      <c r="I556" t="n">
        <v>0</v>
      </c>
      <c r="J556" t="n">
        <v>0</v>
      </c>
      <c r="K556" t="n">
        <v>0</v>
      </c>
      <c r="L556" t="n">
        <v>0</v>
      </c>
      <c r="M556" t="n">
        <v>0</v>
      </c>
      <c r="N556" t="n">
        <v>0</v>
      </c>
      <c r="O556" t="n">
        <v>0</v>
      </c>
      <c r="P556" t="n">
        <v>0</v>
      </c>
      <c r="Q556" t="n">
        <v>0</v>
      </c>
      <c r="R556" s="2" t="inlineStr"/>
    </row>
    <row r="557" ht="15" customHeight="1">
      <c r="A557" t="inlineStr">
        <is>
          <t>A 24910-2025</t>
        </is>
      </c>
      <c r="B557" s="1" t="n">
        <v>45799.53775462963</v>
      </c>
      <c r="C557" s="1" t="n">
        <v>45976</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45909-2025</t>
        </is>
      </c>
      <c r="B558" s="1" t="n">
        <v>45923.75078703704</v>
      </c>
      <c r="C558" s="1" t="n">
        <v>45976</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14271-2025</t>
        </is>
      </c>
      <c r="B559" s="1" t="n">
        <v>45740.64129629629</v>
      </c>
      <c r="C559" s="1" t="n">
        <v>45976</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54199-2024</t>
        </is>
      </c>
      <c r="B560" s="1" t="n">
        <v>45616.64703703704</v>
      </c>
      <c r="C560" s="1" t="n">
        <v>45976</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46915-2025</t>
        </is>
      </c>
      <c r="B561" s="1" t="n">
        <v>45929.42114583333</v>
      </c>
      <c r="C561" s="1" t="n">
        <v>45976</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6312-2025</t>
        </is>
      </c>
      <c r="B562" s="1" t="n">
        <v>45698</v>
      </c>
      <c r="C562" s="1" t="n">
        <v>45976</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46597-2025</t>
        </is>
      </c>
      <c r="B563" s="1" t="n">
        <v>45926.40113425926</v>
      </c>
      <c r="C563" s="1" t="n">
        <v>45976</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10909-2024</t>
        </is>
      </c>
      <c r="B564" s="1" t="n">
        <v>45370</v>
      </c>
      <c r="C564" s="1" t="n">
        <v>45976</v>
      </c>
      <c r="D564" t="inlineStr">
        <is>
          <t>VÄSTMANLANDS LÄN</t>
        </is>
      </c>
      <c r="E564" t="inlineStr">
        <is>
          <t>SALA</t>
        </is>
      </c>
      <c r="G564" t="n">
        <v>3.3</v>
      </c>
      <c r="H564" t="n">
        <v>0</v>
      </c>
      <c r="I564" t="n">
        <v>0</v>
      </c>
      <c r="J564" t="n">
        <v>0</v>
      </c>
      <c r="K564" t="n">
        <v>0</v>
      </c>
      <c r="L564" t="n">
        <v>0</v>
      </c>
      <c r="M564" t="n">
        <v>0</v>
      </c>
      <c r="N564" t="n">
        <v>0</v>
      </c>
      <c r="O564" t="n">
        <v>0</v>
      </c>
      <c r="P564" t="n">
        <v>0</v>
      </c>
      <c r="Q564" t="n">
        <v>0</v>
      </c>
      <c r="R564" s="2" t="inlineStr"/>
    </row>
    <row r="565" ht="15" customHeight="1">
      <c r="A565" t="inlineStr">
        <is>
          <t>A 44857-2023</t>
        </is>
      </c>
      <c r="B565" s="1" t="n">
        <v>45190.58479166667</v>
      </c>
      <c r="C565" s="1" t="n">
        <v>45976</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62654-2022</t>
        </is>
      </c>
      <c r="B566" s="1" t="n">
        <v>44917</v>
      </c>
      <c r="C566" s="1" t="n">
        <v>45976</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43188-2023</t>
        </is>
      </c>
      <c r="B567" s="1" t="n">
        <v>45183</v>
      </c>
      <c r="C567" s="1" t="n">
        <v>45976</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43205-2023</t>
        </is>
      </c>
      <c r="B568" s="1" t="n">
        <v>45183</v>
      </c>
      <c r="C568" s="1" t="n">
        <v>45976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61892-2021</t>
        </is>
      </c>
      <c r="B569" s="1" t="n">
        <v>44502</v>
      </c>
      <c r="C569" s="1" t="n">
        <v>45976</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29213-2022</t>
        </is>
      </c>
      <c r="B570" s="1" t="n">
        <v>44750.57474537037</v>
      </c>
      <c r="C570" s="1" t="n">
        <v>45976</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59483-2022</t>
        </is>
      </c>
      <c r="B571" s="1" t="n">
        <v>44907.45679398148</v>
      </c>
      <c r="C571" s="1" t="n">
        <v>45976</v>
      </c>
      <c r="D571" t="inlineStr">
        <is>
          <t>VÄSTMANLANDS LÄN</t>
        </is>
      </c>
      <c r="E571" t="inlineStr">
        <is>
          <t>SALA</t>
        </is>
      </c>
      <c r="G571" t="n">
        <v>5.2</v>
      </c>
      <c r="H571" t="n">
        <v>0</v>
      </c>
      <c r="I571" t="n">
        <v>0</v>
      </c>
      <c r="J571" t="n">
        <v>0</v>
      </c>
      <c r="K571" t="n">
        <v>0</v>
      </c>
      <c r="L571" t="n">
        <v>0</v>
      </c>
      <c r="M571" t="n">
        <v>0</v>
      </c>
      <c r="N571" t="n">
        <v>0</v>
      </c>
      <c r="O571" t="n">
        <v>0</v>
      </c>
      <c r="P571" t="n">
        <v>0</v>
      </c>
      <c r="Q571" t="n">
        <v>0</v>
      </c>
      <c r="R571" s="2" t="inlineStr"/>
    </row>
    <row r="572" ht="15" customHeight="1">
      <c r="A572" t="inlineStr">
        <is>
          <t>A 16160-2024</t>
        </is>
      </c>
      <c r="B572" s="1" t="n">
        <v>45406</v>
      </c>
      <c r="C572" s="1" t="n">
        <v>45976</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47577-2025</t>
        </is>
      </c>
      <c r="B573" s="1" t="n">
        <v>45931.4047337963</v>
      </c>
      <c r="C573" s="1" t="n">
        <v>45976</v>
      </c>
      <c r="D573" t="inlineStr">
        <is>
          <t>VÄSTMANLANDS LÄN</t>
        </is>
      </c>
      <c r="E573" t="inlineStr">
        <is>
          <t>SALA</t>
        </is>
      </c>
      <c r="G573" t="n">
        <v>3.7</v>
      </c>
      <c r="H573" t="n">
        <v>0</v>
      </c>
      <c r="I573" t="n">
        <v>0</v>
      </c>
      <c r="J573" t="n">
        <v>0</v>
      </c>
      <c r="K573" t="n">
        <v>0</v>
      </c>
      <c r="L573" t="n">
        <v>0</v>
      </c>
      <c r="M573" t="n">
        <v>0</v>
      </c>
      <c r="N573" t="n">
        <v>0</v>
      </c>
      <c r="O573" t="n">
        <v>0</v>
      </c>
      <c r="P573" t="n">
        <v>0</v>
      </c>
      <c r="Q573" t="n">
        <v>0</v>
      </c>
      <c r="R573" s="2" t="inlineStr"/>
    </row>
    <row r="574" ht="15" customHeight="1">
      <c r="A574" t="inlineStr">
        <is>
          <t>A 26661-2025</t>
        </is>
      </c>
      <c r="B574" s="1" t="n">
        <v>45810</v>
      </c>
      <c r="C574" s="1" t="n">
        <v>45976</v>
      </c>
      <c r="D574" t="inlineStr">
        <is>
          <t>VÄSTMANLANDS LÄN</t>
        </is>
      </c>
      <c r="E574" t="inlineStr">
        <is>
          <t>SALA</t>
        </is>
      </c>
      <c r="G574" t="n">
        <v>3.5</v>
      </c>
      <c r="H574" t="n">
        <v>0</v>
      </c>
      <c r="I574" t="n">
        <v>0</v>
      </c>
      <c r="J574" t="n">
        <v>0</v>
      </c>
      <c r="K574" t="n">
        <v>0</v>
      </c>
      <c r="L574" t="n">
        <v>0</v>
      </c>
      <c r="M574" t="n">
        <v>0</v>
      </c>
      <c r="N574" t="n">
        <v>0</v>
      </c>
      <c r="O574" t="n">
        <v>0</v>
      </c>
      <c r="P574" t="n">
        <v>0</v>
      </c>
      <c r="Q574" t="n">
        <v>0</v>
      </c>
      <c r="R574" s="2" t="inlineStr"/>
    </row>
    <row r="575" ht="15" customHeight="1">
      <c r="A575" t="inlineStr">
        <is>
          <t>A 55997-2025</t>
        </is>
      </c>
      <c r="B575" s="1" t="n">
        <v>45973.56833333334</v>
      </c>
      <c r="C575" s="1" t="n">
        <v>45976</v>
      </c>
      <c r="D575" t="inlineStr">
        <is>
          <t>VÄSTMANLANDS LÄN</t>
        </is>
      </c>
      <c r="E575" t="inlineStr">
        <is>
          <t>SALA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45976</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22921-2023</t>
        </is>
      </c>
      <c r="B577" s="1" t="n">
        <v>45070</v>
      </c>
      <c r="C577" s="1" t="n">
        <v>45976</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46661-2025</t>
        </is>
      </c>
      <c r="B578" s="1" t="n">
        <v>45926</v>
      </c>
      <c r="C578" s="1" t="n">
        <v>45976</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36858-2023</t>
        </is>
      </c>
      <c r="B579" s="1" t="n">
        <v>45154.55184027777</v>
      </c>
      <c r="C579" s="1" t="n">
        <v>45976</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55024-2023</t>
        </is>
      </c>
      <c r="B580" s="1" t="n">
        <v>45229</v>
      </c>
      <c r="C580" s="1" t="n">
        <v>45976</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55032-2023</t>
        </is>
      </c>
      <c r="B581" s="1" t="n">
        <v>45229</v>
      </c>
      <c r="C581" s="1" t="n">
        <v>45976</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20352-2022</t>
        </is>
      </c>
      <c r="B582" s="1" t="n">
        <v>44699.37318287037</v>
      </c>
      <c r="C582" s="1" t="n">
        <v>45976</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55714-2025</t>
        </is>
      </c>
      <c r="B583" s="1" t="n">
        <v>45972.49131944445</v>
      </c>
      <c r="C583" s="1" t="n">
        <v>45976</v>
      </c>
      <c r="D583" t="inlineStr">
        <is>
          <t>VÄSTMANLANDS LÄN</t>
        </is>
      </c>
      <c r="E583" t="inlineStr">
        <is>
          <t>SALA</t>
        </is>
      </c>
      <c r="G583" t="n">
        <v>6.6</v>
      </c>
      <c r="H583" t="n">
        <v>0</v>
      </c>
      <c r="I583" t="n">
        <v>0</v>
      </c>
      <c r="J583" t="n">
        <v>0</v>
      </c>
      <c r="K583" t="n">
        <v>0</v>
      </c>
      <c r="L583" t="n">
        <v>0</v>
      </c>
      <c r="M583" t="n">
        <v>0</v>
      </c>
      <c r="N583" t="n">
        <v>0</v>
      </c>
      <c r="O583" t="n">
        <v>0</v>
      </c>
      <c r="P583" t="n">
        <v>0</v>
      </c>
      <c r="Q583" t="n">
        <v>0</v>
      </c>
      <c r="R583" s="2" t="inlineStr"/>
    </row>
    <row r="584" ht="15" customHeight="1">
      <c r="A584" t="inlineStr">
        <is>
          <t>A 5032-2025</t>
        </is>
      </c>
      <c r="B584" s="1" t="n">
        <v>45691</v>
      </c>
      <c r="C584" s="1" t="n">
        <v>45976</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17117-2023</t>
        </is>
      </c>
      <c r="B585" s="1" t="n">
        <v>45034</v>
      </c>
      <c r="C585" s="1" t="n">
        <v>45976</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27989-2025</t>
        </is>
      </c>
      <c r="B586" s="1" t="n">
        <v>45817.58716435185</v>
      </c>
      <c r="C586" s="1" t="n">
        <v>45976</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27981-2025</t>
        </is>
      </c>
      <c r="B587" s="1" t="n">
        <v>45817.57471064815</v>
      </c>
      <c r="C587" s="1" t="n">
        <v>45976</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19243-2025</t>
        </is>
      </c>
      <c r="B588" s="1" t="n">
        <v>45769</v>
      </c>
      <c r="C588" s="1" t="n">
        <v>45976</v>
      </c>
      <c r="D588" t="inlineStr">
        <is>
          <t>VÄSTMANLANDS LÄN</t>
        </is>
      </c>
      <c r="E588" t="inlineStr">
        <is>
          <t>SALA</t>
        </is>
      </c>
      <c r="F588" t="inlineStr">
        <is>
          <t>Bergvik skog öst AB</t>
        </is>
      </c>
      <c r="G588" t="n">
        <v>1.5</v>
      </c>
      <c r="H588" t="n">
        <v>0</v>
      </c>
      <c r="I588" t="n">
        <v>0</v>
      </c>
      <c r="J588" t="n">
        <v>0</v>
      </c>
      <c r="K588" t="n">
        <v>0</v>
      </c>
      <c r="L588" t="n">
        <v>0</v>
      </c>
      <c r="M588" t="n">
        <v>0</v>
      </c>
      <c r="N588" t="n">
        <v>0</v>
      </c>
      <c r="O588" t="n">
        <v>0</v>
      </c>
      <c r="P588" t="n">
        <v>0</v>
      </c>
      <c r="Q588" t="n">
        <v>0</v>
      </c>
      <c r="R588" s="2" t="inlineStr"/>
    </row>
    <row r="589" ht="15" customHeight="1">
      <c r="A589" t="inlineStr">
        <is>
          <t>A 28193-2025</t>
        </is>
      </c>
      <c r="B589" s="1" t="n">
        <v>45818.425625</v>
      </c>
      <c r="C589" s="1" t="n">
        <v>45976</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28284-2025</t>
        </is>
      </c>
      <c r="B590" s="1" t="n">
        <v>45818.58893518519</v>
      </c>
      <c r="C590" s="1" t="n">
        <v>45976</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56611-2025</t>
        </is>
      </c>
      <c r="B591" s="1" t="n">
        <v>45975.58885416666</v>
      </c>
      <c r="C591" s="1" t="n">
        <v>45976</v>
      </c>
      <c r="D591" t="inlineStr">
        <is>
          <t>VÄSTMANLANDS LÄN</t>
        </is>
      </c>
      <c r="E591" t="inlineStr">
        <is>
          <t>SALA</t>
        </is>
      </c>
      <c r="G591" t="n">
        <v>2.8</v>
      </c>
      <c r="H591" t="n">
        <v>0</v>
      </c>
      <c r="I591" t="n">
        <v>0</v>
      </c>
      <c r="J591" t="n">
        <v>0</v>
      </c>
      <c r="K591" t="n">
        <v>0</v>
      </c>
      <c r="L591" t="n">
        <v>0</v>
      </c>
      <c r="M591" t="n">
        <v>0</v>
      </c>
      <c r="N591" t="n">
        <v>0</v>
      </c>
      <c r="O591" t="n">
        <v>0</v>
      </c>
      <c r="P591" t="n">
        <v>0</v>
      </c>
      <c r="Q591" t="n">
        <v>0</v>
      </c>
      <c r="R591" s="2" t="inlineStr"/>
    </row>
    <row r="592" ht="15" customHeight="1">
      <c r="A592" t="inlineStr">
        <is>
          <t>A 28278-2025</t>
        </is>
      </c>
      <c r="B592" s="1" t="n">
        <v>45818.58454861111</v>
      </c>
      <c r="C592" s="1" t="n">
        <v>45976</v>
      </c>
      <c r="D592" t="inlineStr">
        <is>
          <t>VÄSTMANLANDS LÄN</t>
        </is>
      </c>
      <c r="E592" t="inlineStr">
        <is>
          <t>SALA</t>
        </is>
      </c>
      <c r="G592" t="n">
        <v>7.6</v>
      </c>
      <c r="H592" t="n">
        <v>0</v>
      </c>
      <c r="I592" t="n">
        <v>0</v>
      </c>
      <c r="J592" t="n">
        <v>0</v>
      </c>
      <c r="K592" t="n">
        <v>0</v>
      </c>
      <c r="L592" t="n">
        <v>0</v>
      </c>
      <c r="M592" t="n">
        <v>0</v>
      </c>
      <c r="N592" t="n">
        <v>0</v>
      </c>
      <c r="O592" t="n">
        <v>0</v>
      </c>
      <c r="P592" t="n">
        <v>0</v>
      </c>
      <c r="Q592" t="n">
        <v>0</v>
      </c>
      <c r="R592" s="2" t="inlineStr"/>
    </row>
    <row r="593" ht="15" customHeight="1">
      <c r="A593" t="inlineStr">
        <is>
          <t>A 28628-2025</t>
        </is>
      </c>
      <c r="B593" s="1" t="n">
        <v>45819.62158564815</v>
      </c>
      <c r="C593" s="1" t="n">
        <v>45976</v>
      </c>
      <c r="D593" t="inlineStr">
        <is>
          <t>VÄSTMANLANDS LÄN</t>
        </is>
      </c>
      <c r="E593" t="inlineStr">
        <is>
          <t>SALA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56645-2025</t>
        </is>
      </c>
      <c r="B594" s="1" t="n">
        <v>45975.63063657407</v>
      </c>
      <c r="C594" s="1" t="n">
        <v>45976</v>
      </c>
      <c r="D594" t="inlineStr">
        <is>
          <t>VÄSTMANLANDS LÄN</t>
        </is>
      </c>
      <c r="E594" t="inlineStr">
        <is>
          <t>SALA</t>
        </is>
      </c>
      <c r="F594" t="inlineStr">
        <is>
          <t>Bergvik skog öst AB</t>
        </is>
      </c>
      <c r="G594" t="n">
        <v>5.3</v>
      </c>
      <c r="H594" t="n">
        <v>0</v>
      </c>
      <c r="I594" t="n">
        <v>0</v>
      </c>
      <c r="J594" t="n">
        <v>0</v>
      </c>
      <c r="K594" t="n">
        <v>0</v>
      </c>
      <c r="L594" t="n">
        <v>0</v>
      </c>
      <c r="M594" t="n">
        <v>0</v>
      </c>
      <c r="N594" t="n">
        <v>0</v>
      </c>
      <c r="O594" t="n">
        <v>0</v>
      </c>
      <c r="P594" t="n">
        <v>0</v>
      </c>
      <c r="Q594" t="n">
        <v>0</v>
      </c>
      <c r="R594" s="2" t="inlineStr"/>
    </row>
    <row r="595" ht="15" customHeight="1">
      <c r="A595" t="inlineStr">
        <is>
          <t>A 28632-2025</t>
        </is>
      </c>
      <c r="B595" s="1" t="n">
        <v>45819.62344907408</v>
      </c>
      <c r="C595" s="1" t="n">
        <v>45976</v>
      </c>
      <c r="D595" t="inlineStr">
        <is>
          <t>VÄSTMANLANDS LÄN</t>
        </is>
      </c>
      <c r="E595" t="inlineStr">
        <is>
          <t>SALA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28630-2025</t>
        </is>
      </c>
      <c r="B596" s="1" t="n">
        <v>45819.62274305556</v>
      </c>
      <c r="C596" s="1" t="n">
        <v>45976</v>
      </c>
      <c r="D596" t="inlineStr">
        <is>
          <t>VÄSTMANLANDS LÄN</t>
        </is>
      </c>
      <c r="E596" t="inlineStr">
        <is>
          <t>SALA</t>
        </is>
      </c>
      <c r="F596" t="inlineStr">
        <is>
          <t>Sveaskog</t>
        </is>
      </c>
      <c r="G596" t="n">
        <v>9</v>
      </c>
      <c r="H596" t="n">
        <v>0</v>
      </c>
      <c r="I596" t="n">
        <v>0</v>
      </c>
      <c r="J596" t="n">
        <v>0</v>
      </c>
      <c r="K596" t="n">
        <v>0</v>
      </c>
      <c r="L596" t="n">
        <v>0</v>
      </c>
      <c r="M596" t="n">
        <v>0</v>
      </c>
      <c r="N596" t="n">
        <v>0</v>
      </c>
      <c r="O596" t="n">
        <v>0</v>
      </c>
      <c r="P596" t="n">
        <v>0</v>
      </c>
      <c r="Q596" t="n">
        <v>0</v>
      </c>
      <c r="R596" s="2" t="inlineStr"/>
    </row>
    <row r="597" ht="15" customHeight="1">
      <c r="A597" t="inlineStr">
        <is>
          <t>A 28837-2025</t>
        </is>
      </c>
      <c r="B597" s="1" t="n">
        <v>45820.56243055555</v>
      </c>
      <c r="C597" s="1" t="n">
        <v>45976</v>
      </c>
      <c r="D597" t="inlineStr">
        <is>
          <t>VÄSTMANLANDS LÄN</t>
        </is>
      </c>
      <c r="E597" t="inlineStr">
        <is>
          <t>SALA</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28849-2025</t>
        </is>
      </c>
      <c r="B598" s="1" t="n">
        <v>45820</v>
      </c>
      <c r="C598" s="1" t="n">
        <v>45976</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7166-2025</t>
        </is>
      </c>
      <c r="B599" s="1" t="n">
        <v>45702</v>
      </c>
      <c r="C599" s="1" t="n">
        <v>45976</v>
      </c>
      <c r="D599" t="inlineStr">
        <is>
          <t>VÄSTMANLANDS LÄN</t>
        </is>
      </c>
      <c r="E599" t="inlineStr">
        <is>
          <t>SALA</t>
        </is>
      </c>
      <c r="G599" t="n">
        <v>6.1</v>
      </c>
      <c r="H599" t="n">
        <v>0</v>
      </c>
      <c r="I599" t="n">
        <v>0</v>
      </c>
      <c r="J599" t="n">
        <v>0</v>
      </c>
      <c r="K599" t="n">
        <v>0</v>
      </c>
      <c r="L599" t="n">
        <v>0</v>
      </c>
      <c r="M599" t="n">
        <v>0</v>
      </c>
      <c r="N599" t="n">
        <v>0</v>
      </c>
      <c r="O599" t="n">
        <v>0</v>
      </c>
      <c r="P599" t="n">
        <v>0</v>
      </c>
      <c r="Q599" t="n">
        <v>0</v>
      </c>
      <c r="R599" s="2" t="inlineStr"/>
    </row>
    <row r="600" ht="15" customHeight="1">
      <c r="A600" t="inlineStr">
        <is>
          <t>A 36393-2023</t>
        </is>
      </c>
      <c r="B600" s="1" t="n">
        <v>45152</v>
      </c>
      <c r="C600" s="1" t="n">
        <v>45976</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26416-2023</t>
        </is>
      </c>
      <c r="B601" s="1" t="n">
        <v>45092.38087962963</v>
      </c>
      <c r="C601" s="1" t="n">
        <v>45976</v>
      </c>
      <c r="D601" t="inlineStr">
        <is>
          <t>VÄSTMANLANDS LÄN</t>
        </is>
      </c>
      <c r="E601" t="inlineStr">
        <is>
          <t>SALA</t>
        </is>
      </c>
      <c r="G601" t="n">
        <v>2.9</v>
      </c>
      <c r="H601" t="n">
        <v>0</v>
      </c>
      <c r="I601" t="n">
        <v>0</v>
      </c>
      <c r="J601" t="n">
        <v>0</v>
      </c>
      <c r="K601" t="n">
        <v>0</v>
      </c>
      <c r="L601" t="n">
        <v>0</v>
      </c>
      <c r="M601" t="n">
        <v>0</v>
      </c>
      <c r="N601" t="n">
        <v>0</v>
      </c>
      <c r="O601" t="n">
        <v>0</v>
      </c>
      <c r="P601" t="n">
        <v>0</v>
      </c>
      <c r="Q601" t="n">
        <v>0</v>
      </c>
      <c r="R601" s="2" t="inlineStr"/>
    </row>
    <row r="602" ht="15" customHeight="1">
      <c r="A602" t="inlineStr">
        <is>
          <t>A 29085-2025</t>
        </is>
      </c>
      <c r="B602" s="1" t="n">
        <v>45821</v>
      </c>
      <c r="C602" s="1" t="n">
        <v>45976</v>
      </c>
      <c r="D602" t="inlineStr">
        <is>
          <t>VÄSTMANLANDS LÄN</t>
        </is>
      </c>
      <c r="E602" t="inlineStr">
        <is>
          <t>SALA</t>
        </is>
      </c>
      <c r="G602" t="n">
        <v>3.5</v>
      </c>
      <c r="H602" t="n">
        <v>0</v>
      </c>
      <c r="I602" t="n">
        <v>0</v>
      </c>
      <c r="J602" t="n">
        <v>0</v>
      </c>
      <c r="K602" t="n">
        <v>0</v>
      </c>
      <c r="L602" t="n">
        <v>0</v>
      </c>
      <c r="M602" t="n">
        <v>0</v>
      </c>
      <c r="N602" t="n">
        <v>0</v>
      </c>
      <c r="O602" t="n">
        <v>0</v>
      </c>
      <c r="P602" t="n">
        <v>0</v>
      </c>
      <c r="Q602" t="n">
        <v>0</v>
      </c>
      <c r="R602" s="2" t="inlineStr"/>
    </row>
    <row r="603" ht="15" customHeight="1">
      <c r="A603" t="inlineStr">
        <is>
          <t>A 48057-2025</t>
        </is>
      </c>
      <c r="B603" s="1" t="n">
        <v>45932.67947916667</v>
      </c>
      <c r="C603" s="1" t="n">
        <v>45976</v>
      </c>
      <c r="D603" t="inlineStr">
        <is>
          <t>VÄSTMANLANDS LÄN</t>
        </is>
      </c>
      <c r="E603" t="inlineStr">
        <is>
          <t>SALA</t>
        </is>
      </c>
      <c r="G603" t="n">
        <v>4.3</v>
      </c>
      <c r="H603" t="n">
        <v>0</v>
      </c>
      <c r="I603" t="n">
        <v>0</v>
      </c>
      <c r="J603" t="n">
        <v>0</v>
      </c>
      <c r="K603" t="n">
        <v>0</v>
      </c>
      <c r="L603" t="n">
        <v>0</v>
      </c>
      <c r="M603" t="n">
        <v>0</v>
      </c>
      <c r="N603" t="n">
        <v>0</v>
      </c>
      <c r="O603" t="n">
        <v>0</v>
      </c>
      <c r="P603" t="n">
        <v>0</v>
      </c>
      <c r="Q603" t="n">
        <v>0</v>
      </c>
      <c r="R603" s="2" t="inlineStr"/>
    </row>
    <row r="604" ht="15" customHeight="1">
      <c r="A604" t="inlineStr">
        <is>
          <t>A 29691-2025</t>
        </is>
      </c>
      <c r="B604" s="1" t="n">
        <v>45825.53645833334</v>
      </c>
      <c r="C604" s="1" t="n">
        <v>45976</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60541-2024</t>
        </is>
      </c>
      <c r="B605" s="1" t="n">
        <v>45643</v>
      </c>
      <c r="C605" s="1" t="n">
        <v>45976</v>
      </c>
      <c r="D605" t="inlineStr">
        <is>
          <t>VÄSTMANLANDS LÄN</t>
        </is>
      </c>
      <c r="E605" t="inlineStr">
        <is>
          <t>SALA</t>
        </is>
      </c>
      <c r="G605" t="n">
        <v>10.6</v>
      </c>
      <c r="H605" t="n">
        <v>0</v>
      </c>
      <c r="I605" t="n">
        <v>0</v>
      </c>
      <c r="J605" t="n">
        <v>0</v>
      </c>
      <c r="K605" t="n">
        <v>0</v>
      </c>
      <c r="L605" t="n">
        <v>0</v>
      </c>
      <c r="M605" t="n">
        <v>0</v>
      </c>
      <c r="N605" t="n">
        <v>0</v>
      </c>
      <c r="O605" t="n">
        <v>0</v>
      </c>
      <c r="P605" t="n">
        <v>0</v>
      </c>
      <c r="Q605" t="n">
        <v>0</v>
      </c>
      <c r="R605" s="2" t="inlineStr"/>
    </row>
    <row r="606" ht="15" customHeight="1">
      <c r="A606" t="inlineStr">
        <is>
          <t>A 66821-2020</t>
        </is>
      </c>
      <c r="B606" s="1" t="n">
        <v>44179.88008101852</v>
      </c>
      <c r="C606" s="1" t="n">
        <v>45976</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28661-2024</t>
        </is>
      </c>
      <c r="B607" s="1" t="n">
        <v>45478</v>
      </c>
      <c r="C607" s="1" t="n">
        <v>45976</v>
      </c>
      <c r="D607" t="inlineStr">
        <is>
          <t>VÄSTMANLANDS LÄN</t>
        </is>
      </c>
      <c r="E607" t="inlineStr">
        <is>
          <t>SALA</t>
        </is>
      </c>
      <c r="G607" t="n">
        <v>0.6</v>
      </c>
      <c r="H607" t="n">
        <v>0</v>
      </c>
      <c r="I607" t="n">
        <v>0</v>
      </c>
      <c r="J607" t="n">
        <v>0</v>
      </c>
      <c r="K607" t="n">
        <v>0</v>
      </c>
      <c r="L607" t="n">
        <v>0</v>
      </c>
      <c r="M607" t="n">
        <v>0</v>
      </c>
      <c r="N607" t="n">
        <v>0</v>
      </c>
      <c r="O607" t="n">
        <v>0</v>
      </c>
      <c r="P607" t="n">
        <v>0</v>
      </c>
      <c r="Q607" t="n">
        <v>0</v>
      </c>
      <c r="R607" s="2" t="inlineStr"/>
    </row>
    <row r="608" ht="15" customHeight="1">
      <c r="A608" t="inlineStr">
        <is>
          <t>A 56502-2025</t>
        </is>
      </c>
      <c r="B608" s="1" t="n">
        <v>45975.43465277777</v>
      </c>
      <c r="C608" s="1" t="n">
        <v>45976</v>
      </c>
      <c r="D608" t="inlineStr">
        <is>
          <t>VÄSTMANLANDS LÄN</t>
        </is>
      </c>
      <c r="E608" t="inlineStr">
        <is>
          <t>SALA</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27255-2023</t>
        </is>
      </c>
      <c r="B609" s="1" t="n">
        <v>45096</v>
      </c>
      <c r="C609" s="1" t="n">
        <v>45976</v>
      </c>
      <c r="D609" t="inlineStr">
        <is>
          <t>VÄSTMANLANDS LÄN</t>
        </is>
      </c>
      <c r="E609" t="inlineStr">
        <is>
          <t>SALA</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56614-2025</t>
        </is>
      </c>
      <c r="B610" s="1" t="n">
        <v>45975.59288194445</v>
      </c>
      <c r="C610" s="1" t="n">
        <v>45976</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29826-2025</t>
        </is>
      </c>
      <c r="B611" s="1" t="n">
        <v>45825.85761574074</v>
      </c>
      <c r="C611" s="1" t="n">
        <v>45976</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7197-2025</t>
        </is>
      </c>
      <c r="B612" s="1" t="n">
        <v>45702</v>
      </c>
      <c r="C612" s="1" t="n">
        <v>45976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31608-2025</t>
        </is>
      </c>
      <c r="B613" s="1" t="n">
        <v>45833</v>
      </c>
      <c r="C613" s="1" t="n">
        <v>45976</v>
      </c>
      <c r="D613" t="inlineStr">
        <is>
          <t>VÄSTMANLANDS LÄN</t>
        </is>
      </c>
      <c r="E613" t="inlineStr">
        <is>
          <t>SALA</t>
        </is>
      </c>
      <c r="G613" t="n">
        <v>6.1</v>
      </c>
      <c r="H613" t="n">
        <v>0</v>
      </c>
      <c r="I613" t="n">
        <v>0</v>
      </c>
      <c r="J613" t="n">
        <v>0</v>
      </c>
      <c r="K613" t="n">
        <v>0</v>
      </c>
      <c r="L613" t="n">
        <v>0</v>
      </c>
      <c r="M613" t="n">
        <v>0</v>
      </c>
      <c r="N613" t="n">
        <v>0</v>
      </c>
      <c r="O613" t="n">
        <v>0</v>
      </c>
      <c r="P613" t="n">
        <v>0</v>
      </c>
      <c r="Q613" t="n">
        <v>0</v>
      </c>
      <c r="R613" s="2" t="inlineStr"/>
    </row>
    <row r="614" ht="15" customHeight="1">
      <c r="A614" t="inlineStr">
        <is>
          <t>A 13752-2025</t>
        </is>
      </c>
      <c r="B614" s="1" t="n">
        <v>45737.41416666667</v>
      </c>
      <c r="C614" s="1" t="n">
        <v>45976</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30866-2025</t>
        </is>
      </c>
      <c r="B615" s="1" t="n">
        <v>45832.3246875</v>
      </c>
      <c r="C615" s="1" t="n">
        <v>45976</v>
      </c>
      <c r="D615" t="inlineStr">
        <is>
          <t>VÄSTMANLANDS LÄN</t>
        </is>
      </c>
      <c r="E615" t="inlineStr">
        <is>
          <t>SALA</t>
        </is>
      </c>
      <c r="G615" t="n">
        <v>14.3</v>
      </c>
      <c r="H615" t="n">
        <v>0</v>
      </c>
      <c r="I615" t="n">
        <v>0</v>
      </c>
      <c r="J615" t="n">
        <v>0</v>
      </c>
      <c r="K615" t="n">
        <v>0</v>
      </c>
      <c r="L615" t="n">
        <v>0</v>
      </c>
      <c r="M615" t="n">
        <v>0</v>
      </c>
      <c r="N615" t="n">
        <v>0</v>
      </c>
      <c r="O615" t="n">
        <v>0</v>
      </c>
      <c r="P615" t="n">
        <v>0</v>
      </c>
      <c r="Q615" t="n">
        <v>0</v>
      </c>
      <c r="R615" s="2" t="inlineStr"/>
    </row>
    <row r="616" ht="15" customHeight="1">
      <c r="A616" t="inlineStr">
        <is>
          <t>A 30874-2025</t>
        </is>
      </c>
      <c r="B616" s="1" t="n">
        <v>45832.34430555555</v>
      </c>
      <c r="C616" s="1" t="n">
        <v>45976</v>
      </c>
      <c r="D616" t="inlineStr">
        <is>
          <t>VÄSTMANLANDS LÄN</t>
        </is>
      </c>
      <c r="E616" t="inlineStr">
        <is>
          <t>SALA</t>
        </is>
      </c>
      <c r="G616" t="n">
        <v>8.4</v>
      </c>
      <c r="H616" t="n">
        <v>0</v>
      </c>
      <c r="I616" t="n">
        <v>0</v>
      </c>
      <c r="J616" t="n">
        <v>0</v>
      </c>
      <c r="K616" t="n">
        <v>0</v>
      </c>
      <c r="L616" t="n">
        <v>0</v>
      </c>
      <c r="M616" t="n">
        <v>0</v>
      </c>
      <c r="N616" t="n">
        <v>0</v>
      </c>
      <c r="O616" t="n">
        <v>0</v>
      </c>
      <c r="P616" t="n">
        <v>0</v>
      </c>
      <c r="Q616" t="n">
        <v>0</v>
      </c>
      <c r="R616" s="2" t="inlineStr"/>
    </row>
    <row r="617" ht="15" customHeight="1">
      <c r="A617" t="inlineStr">
        <is>
          <t>A 31573-2025</t>
        </is>
      </c>
      <c r="B617" s="1" t="n">
        <v>45833</v>
      </c>
      <c r="C617" s="1" t="n">
        <v>45976</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31288-2025</t>
        </is>
      </c>
      <c r="B618" s="1" t="n">
        <v>45833</v>
      </c>
      <c r="C618" s="1" t="n">
        <v>45976</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2927-2024</t>
        </is>
      </c>
      <c r="B619" s="1" t="n">
        <v>45315.58989583333</v>
      </c>
      <c r="C619" s="1" t="n">
        <v>45976</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31554-2025</t>
        </is>
      </c>
      <c r="B620" s="1" t="n">
        <v>45833</v>
      </c>
      <c r="C620" s="1" t="n">
        <v>45976</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30899-2025</t>
        </is>
      </c>
      <c r="B621" s="1" t="n">
        <v>45832.35767361111</v>
      </c>
      <c r="C621" s="1" t="n">
        <v>45976</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26854-2024</t>
        </is>
      </c>
      <c r="B622" s="1" t="n">
        <v>45470</v>
      </c>
      <c r="C622" s="1" t="n">
        <v>45976</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31065-2025</t>
        </is>
      </c>
      <c r="B623" s="1" t="n">
        <v>45832.57571759259</v>
      </c>
      <c r="C623" s="1" t="n">
        <v>45976</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31296-2025</t>
        </is>
      </c>
      <c r="B624" s="1" t="n">
        <v>45833.36765046296</v>
      </c>
      <c r="C624" s="1" t="n">
        <v>45976</v>
      </c>
      <c r="D624" t="inlineStr">
        <is>
          <t>VÄSTMANLANDS LÄN</t>
        </is>
      </c>
      <c r="E624" t="inlineStr">
        <is>
          <t>SALA</t>
        </is>
      </c>
      <c r="G624" t="n">
        <v>3.7</v>
      </c>
      <c r="H624" t="n">
        <v>0</v>
      </c>
      <c r="I624" t="n">
        <v>0</v>
      </c>
      <c r="J624" t="n">
        <v>0</v>
      </c>
      <c r="K624" t="n">
        <v>0</v>
      </c>
      <c r="L624" t="n">
        <v>0</v>
      </c>
      <c r="M624" t="n">
        <v>0</v>
      </c>
      <c r="N624" t="n">
        <v>0</v>
      </c>
      <c r="O624" t="n">
        <v>0</v>
      </c>
      <c r="P624" t="n">
        <v>0</v>
      </c>
      <c r="Q624" t="n">
        <v>0</v>
      </c>
      <c r="R624" s="2" t="inlineStr"/>
    </row>
    <row r="625" ht="15" customHeight="1">
      <c r="A625" t="inlineStr">
        <is>
          <t>A 31748-2025</t>
        </is>
      </c>
      <c r="B625" s="1" t="n">
        <v>45834</v>
      </c>
      <c r="C625" s="1" t="n">
        <v>45976</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32210-2025</t>
        </is>
      </c>
      <c r="B626" s="1" t="n">
        <v>45835</v>
      </c>
      <c r="C626" s="1" t="n">
        <v>45976</v>
      </c>
      <c r="D626" t="inlineStr">
        <is>
          <t>VÄSTMANLANDS LÄN</t>
        </is>
      </c>
      <c r="E626" t="inlineStr">
        <is>
          <t>SALA</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31610-2025</t>
        </is>
      </c>
      <c r="B627" s="1" t="n">
        <v>45833.78650462963</v>
      </c>
      <c r="C627" s="1" t="n">
        <v>45976</v>
      </c>
      <c r="D627" t="inlineStr">
        <is>
          <t>VÄSTMANLANDS LÄN</t>
        </is>
      </c>
      <c r="E627" t="inlineStr">
        <is>
          <t>SALA</t>
        </is>
      </c>
      <c r="G627" t="n">
        <v>8</v>
      </c>
      <c r="H627" t="n">
        <v>0</v>
      </c>
      <c r="I627" t="n">
        <v>0</v>
      </c>
      <c r="J627" t="n">
        <v>0</v>
      </c>
      <c r="K627" t="n">
        <v>0</v>
      </c>
      <c r="L627" t="n">
        <v>0</v>
      </c>
      <c r="M627" t="n">
        <v>0</v>
      </c>
      <c r="N627" t="n">
        <v>0</v>
      </c>
      <c r="O627" t="n">
        <v>0</v>
      </c>
      <c r="P627" t="n">
        <v>0</v>
      </c>
      <c r="Q627" t="n">
        <v>0</v>
      </c>
      <c r="R627" s="2" t="inlineStr"/>
    </row>
    <row r="628" ht="15" customHeight="1">
      <c r="A628" t="inlineStr">
        <is>
          <t>A 48570-2024</t>
        </is>
      </c>
      <c r="B628" s="1" t="n">
        <v>45591</v>
      </c>
      <c r="C628" s="1" t="n">
        <v>45976</v>
      </c>
      <c r="D628" t="inlineStr">
        <is>
          <t>VÄSTMANLANDS LÄN</t>
        </is>
      </c>
      <c r="E628" t="inlineStr">
        <is>
          <t>SALA</t>
        </is>
      </c>
      <c r="G628" t="n">
        <v>3</v>
      </c>
      <c r="H628" t="n">
        <v>0</v>
      </c>
      <c r="I628" t="n">
        <v>0</v>
      </c>
      <c r="J628" t="n">
        <v>0</v>
      </c>
      <c r="K628" t="n">
        <v>0</v>
      </c>
      <c r="L628" t="n">
        <v>0</v>
      </c>
      <c r="M628" t="n">
        <v>0</v>
      </c>
      <c r="N628" t="n">
        <v>0</v>
      </c>
      <c r="O628" t="n">
        <v>0</v>
      </c>
      <c r="P628" t="n">
        <v>0</v>
      </c>
      <c r="Q628" t="n">
        <v>0</v>
      </c>
      <c r="R628" s="2" t="inlineStr"/>
    </row>
    <row r="629" ht="15" customHeight="1">
      <c r="A629" t="inlineStr">
        <is>
          <t>A 32201-2025</t>
        </is>
      </c>
      <c r="B629" s="1" t="n">
        <v>45835</v>
      </c>
      <c r="C629" s="1" t="n">
        <v>45976</v>
      </c>
      <c r="D629" t="inlineStr">
        <is>
          <t>VÄSTMANLANDS LÄN</t>
        </is>
      </c>
      <c r="E629" t="inlineStr">
        <is>
          <t>SALA</t>
        </is>
      </c>
      <c r="F629" t="inlineStr">
        <is>
          <t>Bergvik skog öst AB</t>
        </is>
      </c>
      <c r="G629" t="n">
        <v>1.8</v>
      </c>
      <c r="H629" t="n">
        <v>0</v>
      </c>
      <c r="I629" t="n">
        <v>0</v>
      </c>
      <c r="J629" t="n">
        <v>0</v>
      </c>
      <c r="K629" t="n">
        <v>0</v>
      </c>
      <c r="L629" t="n">
        <v>0</v>
      </c>
      <c r="M629" t="n">
        <v>0</v>
      </c>
      <c r="N629" t="n">
        <v>0</v>
      </c>
      <c r="O629" t="n">
        <v>0</v>
      </c>
      <c r="P629" t="n">
        <v>0</v>
      </c>
      <c r="Q629" t="n">
        <v>0</v>
      </c>
      <c r="R629" s="2" t="inlineStr"/>
    </row>
    <row r="630" ht="15" customHeight="1">
      <c r="A630" t="inlineStr">
        <is>
          <t>A 10812-2021</t>
        </is>
      </c>
      <c r="B630" s="1" t="n">
        <v>44259</v>
      </c>
      <c r="C630" s="1" t="n">
        <v>45976</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31612-2025</t>
        </is>
      </c>
      <c r="B631" s="1" t="n">
        <v>45833.80056712963</v>
      </c>
      <c r="C631" s="1" t="n">
        <v>45976</v>
      </c>
      <c r="D631" t="inlineStr">
        <is>
          <t>VÄSTMANLANDS LÄN</t>
        </is>
      </c>
      <c r="E631" t="inlineStr">
        <is>
          <t>SALA</t>
        </is>
      </c>
      <c r="G631" t="n">
        <v>6.3</v>
      </c>
      <c r="H631" t="n">
        <v>0</v>
      </c>
      <c r="I631" t="n">
        <v>0</v>
      </c>
      <c r="J631" t="n">
        <v>0</v>
      </c>
      <c r="K631" t="n">
        <v>0</v>
      </c>
      <c r="L631" t="n">
        <v>0</v>
      </c>
      <c r="M631" t="n">
        <v>0</v>
      </c>
      <c r="N631" t="n">
        <v>0</v>
      </c>
      <c r="O631" t="n">
        <v>0</v>
      </c>
      <c r="P631" t="n">
        <v>0</v>
      </c>
      <c r="Q631" t="n">
        <v>0</v>
      </c>
      <c r="R631" s="2" t="inlineStr"/>
    </row>
    <row r="632" ht="15" customHeight="1">
      <c r="A632" t="inlineStr">
        <is>
          <t>A 32207-2025</t>
        </is>
      </c>
      <c r="B632" s="1" t="n">
        <v>45835</v>
      </c>
      <c r="C632" s="1" t="n">
        <v>45976</v>
      </c>
      <c r="D632" t="inlineStr">
        <is>
          <t>VÄSTMANLANDS LÄN</t>
        </is>
      </c>
      <c r="E632" t="inlineStr">
        <is>
          <t>SALA</t>
        </is>
      </c>
      <c r="F632" t="inlineStr">
        <is>
          <t>Bergvik skog öst AB</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57883-2024</t>
        </is>
      </c>
      <c r="B633" s="1" t="n">
        <v>45630</v>
      </c>
      <c r="C633" s="1" t="n">
        <v>45976</v>
      </c>
      <c r="D633" t="inlineStr">
        <is>
          <t>VÄSTMANLANDS LÄN</t>
        </is>
      </c>
      <c r="E633" t="inlineStr">
        <is>
          <t>SALA</t>
        </is>
      </c>
      <c r="G633" t="n">
        <v>5.4</v>
      </c>
      <c r="H633" t="n">
        <v>0</v>
      </c>
      <c r="I633" t="n">
        <v>0</v>
      </c>
      <c r="J633" t="n">
        <v>0</v>
      </c>
      <c r="K633" t="n">
        <v>0</v>
      </c>
      <c r="L633" t="n">
        <v>0</v>
      </c>
      <c r="M633" t="n">
        <v>0</v>
      </c>
      <c r="N633" t="n">
        <v>0</v>
      </c>
      <c r="O633" t="n">
        <v>0</v>
      </c>
      <c r="P633" t="n">
        <v>0</v>
      </c>
      <c r="Q633" t="n">
        <v>0</v>
      </c>
      <c r="R633" s="2" t="inlineStr"/>
    </row>
    <row r="634" ht="15" customHeight="1">
      <c r="A634" t="inlineStr">
        <is>
          <t>A 31762-2025</t>
        </is>
      </c>
      <c r="B634" s="1" t="n">
        <v>45834.49288194445</v>
      </c>
      <c r="C634" s="1" t="n">
        <v>45976</v>
      </c>
      <c r="D634" t="inlineStr">
        <is>
          <t>VÄSTMANLANDS LÄN</t>
        </is>
      </c>
      <c r="E634" t="inlineStr">
        <is>
          <t>SALA</t>
        </is>
      </c>
      <c r="G634" t="n">
        <v>5.9</v>
      </c>
      <c r="H634" t="n">
        <v>0</v>
      </c>
      <c r="I634" t="n">
        <v>0</v>
      </c>
      <c r="J634" t="n">
        <v>0</v>
      </c>
      <c r="K634" t="n">
        <v>0</v>
      </c>
      <c r="L634" t="n">
        <v>0</v>
      </c>
      <c r="M634" t="n">
        <v>0</v>
      </c>
      <c r="N634" t="n">
        <v>0</v>
      </c>
      <c r="O634" t="n">
        <v>0</v>
      </c>
      <c r="P634" t="n">
        <v>0</v>
      </c>
      <c r="Q634" t="n">
        <v>0</v>
      </c>
      <c r="R634" s="2" t="inlineStr"/>
    </row>
    <row r="635" ht="15" customHeight="1">
      <c r="A635" t="inlineStr">
        <is>
          <t>A 31771-2025</t>
        </is>
      </c>
      <c r="B635" s="1" t="n">
        <v>45834.50910879629</v>
      </c>
      <c r="C635" s="1" t="n">
        <v>45976</v>
      </c>
      <c r="D635" t="inlineStr">
        <is>
          <t>VÄSTMANLANDS LÄN</t>
        </is>
      </c>
      <c r="E635" t="inlineStr">
        <is>
          <t>SALA</t>
        </is>
      </c>
      <c r="G635" t="n">
        <v>5.1</v>
      </c>
      <c r="H635" t="n">
        <v>0</v>
      </c>
      <c r="I635" t="n">
        <v>0</v>
      </c>
      <c r="J635" t="n">
        <v>0</v>
      </c>
      <c r="K635" t="n">
        <v>0</v>
      </c>
      <c r="L635" t="n">
        <v>0</v>
      </c>
      <c r="M635" t="n">
        <v>0</v>
      </c>
      <c r="N635" t="n">
        <v>0</v>
      </c>
      <c r="O635" t="n">
        <v>0</v>
      </c>
      <c r="P635" t="n">
        <v>0</v>
      </c>
      <c r="Q635" t="n">
        <v>0</v>
      </c>
      <c r="R635" s="2" t="inlineStr"/>
    </row>
    <row r="636" ht="15" customHeight="1">
      <c r="A636" t="inlineStr">
        <is>
          <t>A 16769-2024</t>
        </is>
      </c>
      <c r="B636" s="1" t="n">
        <v>45411.38738425926</v>
      </c>
      <c r="C636" s="1" t="n">
        <v>45976</v>
      </c>
      <c r="D636" t="inlineStr">
        <is>
          <t>VÄSTMANLANDS LÄN</t>
        </is>
      </c>
      <c r="E636" t="inlineStr">
        <is>
          <t>SALA</t>
        </is>
      </c>
      <c r="G636" t="n">
        <v>12</v>
      </c>
      <c r="H636" t="n">
        <v>0</v>
      </c>
      <c r="I636" t="n">
        <v>0</v>
      </c>
      <c r="J636" t="n">
        <v>0</v>
      </c>
      <c r="K636" t="n">
        <v>0</v>
      </c>
      <c r="L636" t="n">
        <v>0</v>
      </c>
      <c r="M636" t="n">
        <v>0</v>
      </c>
      <c r="N636" t="n">
        <v>0</v>
      </c>
      <c r="O636" t="n">
        <v>0</v>
      </c>
      <c r="P636" t="n">
        <v>0</v>
      </c>
      <c r="Q636" t="n">
        <v>0</v>
      </c>
      <c r="R636" s="2" t="inlineStr"/>
    </row>
    <row r="637" ht="15" customHeight="1">
      <c r="A637" t="inlineStr">
        <is>
          <t>A 32205-2025</t>
        </is>
      </c>
      <c r="B637" s="1" t="n">
        <v>45835</v>
      </c>
      <c r="C637" s="1" t="n">
        <v>45976</v>
      </c>
      <c r="D637" t="inlineStr">
        <is>
          <t>VÄSTMANLANDS LÄN</t>
        </is>
      </c>
      <c r="E637" t="inlineStr">
        <is>
          <t>SALA</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18877-2023</t>
        </is>
      </c>
      <c r="B638" s="1" t="n">
        <v>45044</v>
      </c>
      <c r="C638" s="1" t="n">
        <v>45976</v>
      </c>
      <c r="D638" t="inlineStr">
        <is>
          <t>VÄSTMANLANDS LÄN</t>
        </is>
      </c>
      <c r="E638" t="inlineStr">
        <is>
          <t>SALA</t>
        </is>
      </c>
      <c r="F638" t="inlineStr">
        <is>
          <t>Kommuner</t>
        </is>
      </c>
      <c r="G638" t="n">
        <v>4.4</v>
      </c>
      <c r="H638" t="n">
        <v>0</v>
      </c>
      <c r="I638" t="n">
        <v>0</v>
      </c>
      <c r="J638" t="n">
        <v>0</v>
      </c>
      <c r="K638" t="n">
        <v>0</v>
      </c>
      <c r="L638" t="n">
        <v>0</v>
      </c>
      <c r="M638" t="n">
        <v>0</v>
      </c>
      <c r="N638" t="n">
        <v>0</v>
      </c>
      <c r="O638" t="n">
        <v>0</v>
      </c>
      <c r="P638" t="n">
        <v>0</v>
      </c>
      <c r="Q638" t="n">
        <v>0</v>
      </c>
      <c r="R638" s="2" t="inlineStr"/>
    </row>
    <row r="639" ht="15" customHeight="1">
      <c r="A639" t="inlineStr">
        <is>
          <t>A 32286-2025</t>
        </is>
      </c>
      <c r="B639" s="1" t="n">
        <v>45835</v>
      </c>
      <c r="C639" s="1" t="n">
        <v>45976</v>
      </c>
      <c r="D639" t="inlineStr">
        <is>
          <t>VÄSTMANLANDS LÄN</t>
        </is>
      </c>
      <c r="E639" t="inlineStr">
        <is>
          <t>SALA</t>
        </is>
      </c>
      <c r="G639" t="n">
        <v>6.4</v>
      </c>
      <c r="H639" t="n">
        <v>0</v>
      </c>
      <c r="I639" t="n">
        <v>0</v>
      </c>
      <c r="J639" t="n">
        <v>0</v>
      </c>
      <c r="K639" t="n">
        <v>0</v>
      </c>
      <c r="L639" t="n">
        <v>0</v>
      </c>
      <c r="M639" t="n">
        <v>0</v>
      </c>
      <c r="N639" t="n">
        <v>0</v>
      </c>
      <c r="O639" t="n">
        <v>0</v>
      </c>
      <c r="P639" t="n">
        <v>0</v>
      </c>
      <c r="Q639" t="n">
        <v>0</v>
      </c>
      <c r="R639" s="2" t="inlineStr"/>
    </row>
    <row r="640" ht="15" customHeight="1">
      <c r="A640" t="inlineStr">
        <is>
          <t>A 32902-2025</t>
        </is>
      </c>
      <c r="B640" s="1" t="n">
        <v>45839</v>
      </c>
      <c r="C640" s="1" t="n">
        <v>45976</v>
      </c>
      <c r="D640" t="inlineStr">
        <is>
          <t>VÄSTMANLANDS LÄN</t>
        </is>
      </c>
      <c r="E640" t="inlineStr">
        <is>
          <t>SALA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44544-2024</t>
        </is>
      </c>
      <c r="B641" s="1" t="n">
        <v>45574.46119212963</v>
      </c>
      <c r="C641" s="1" t="n">
        <v>45976</v>
      </c>
      <c r="D641" t="inlineStr">
        <is>
          <t>VÄSTMANLANDS LÄN</t>
        </is>
      </c>
      <c r="E641" t="inlineStr">
        <is>
          <t>SALA</t>
        </is>
      </c>
      <c r="G641" t="n">
        <v>3.3</v>
      </c>
      <c r="H641" t="n">
        <v>0</v>
      </c>
      <c r="I641" t="n">
        <v>0</v>
      </c>
      <c r="J641" t="n">
        <v>0</v>
      </c>
      <c r="K641" t="n">
        <v>0</v>
      </c>
      <c r="L641" t="n">
        <v>0</v>
      </c>
      <c r="M641" t="n">
        <v>0</v>
      </c>
      <c r="N641" t="n">
        <v>0</v>
      </c>
      <c r="O641" t="n">
        <v>0</v>
      </c>
      <c r="P641" t="n">
        <v>0</v>
      </c>
      <c r="Q641" t="n">
        <v>0</v>
      </c>
      <c r="R641" s="2" t="inlineStr"/>
    </row>
    <row r="642" ht="15" customHeight="1">
      <c r="A642" t="inlineStr">
        <is>
          <t>A 60379-2022</t>
        </is>
      </c>
      <c r="B642" s="1" t="n">
        <v>44910</v>
      </c>
      <c r="C642" s="1" t="n">
        <v>45976</v>
      </c>
      <c r="D642" t="inlineStr">
        <is>
          <t>VÄSTMANLANDS LÄN</t>
        </is>
      </c>
      <c r="E642" t="inlineStr">
        <is>
          <t>SALA</t>
        </is>
      </c>
      <c r="F642" t="inlineStr">
        <is>
          <t>Kyrkan</t>
        </is>
      </c>
      <c r="G642" t="n">
        <v>2.5</v>
      </c>
      <c r="H642" t="n">
        <v>0</v>
      </c>
      <c r="I642" t="n">
        <v>0</v>
      </c>
      <c r="J642" t="n">
        <v>0</v>
      </c>
      <c r="K642" t="n">
        <v>0</v>
      </c>
      <c r="L642" t="n">
        <v>0</v>
      </c>
      <c r="M642" t="n">
        <v>0</v>
      </c>
      <c r="N642" t="n">
        <v>0</v>
      </c>
      <c r="O642" t="n">
        <v>0</v>
      </c>
      <c r="P642" t="n">
        <v>0</v>
      </c>
      <c r="Q642" t="n">
        <v>0</v>
      </c>
      <c r="R642" s="2" t="inlineStr"/>
    </row>
    <row r="643" ht="15" customHeight="1">
      <c r="A643" t="inlineStr">
        <is>
          <t>A 56547-2022</t>
        </is>
      </c>
      <c r="B643" s="1" t="n">
        <v>44893.48284722222</v>
      </c>
      <c r="C643" s="1" t="n">
        <v>45976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29542-2023</t>
        </is>
      </c>
      <c r="B644" s="1" t="n">
        <v>45098</v>
      </c>
      <c r="C644" s="1" t="n">
        <v>45976</v>
      </c>
      <c r="D644" t="inlineStr">
        <is>
          <t>VÄSTMANLANDS LÄN</t>
        </is>
      </c>
      <c r="E644" t="inlineStr">
        <is>
          <t>SALA</t>
        </is>
      </c>
      <c r="G644" t="n">
        <v>4.8</v>
      </c>
      <c r="H644" t="n">
        <v>0</v>
      </c>
      <c r="I644" t="n">
        <v>0</v>
      </c>
      <c r="J644" t="n">
        <v>0</v>
      </c>
      <c r="K644" t="n">
        <v>0</v>
      </c>
      <c r="L644" t="n">
        <v>0</v>
      </c>
      <c r="M644" t="n">
        <v>0</v>
      </c>
      <c r="N644" t="n">
        <v>0</v>
      </c>
      <c r="O644" t="n">
        <v>0</v>
      </c>
      <c r="P644" t="n">
        <v>0</v>
      </c>
      <c r="Q644" t="n">
        <v>0</v>
      </c>
      <c r="R644" s="2" t="inlineStr"/>
    </row>
    <row r="645" ht="15" customHeight="1">
      <c r="A645" t="inlineStr">
        <is>
          <t>A 16638-2023</t>
        </is>
      </c>
      <c r="B645" s="1" t="n">
        <v>45027</v>
      </c>
      <c r="C645" s="1" t="n">
        <v>45976</v>
      </c>
      <c r="D645" t="inlineStr">
        <is>
          <t>VÄSTMANLANDS LÄN</t>
        </is>
      </c>
      <c r="E645" t="inlineStr">
        <is>
          <t>SALA</t>
        </is>
      </c>
      <c r="G645" t="n">
        <v>14.8</v>
      </c>
      <c r="H645" t="n">
        <v>0</v>
      </c>
      <c r="I645" t="n">
        <v>0</v>
      </c>
      <c r="J645" t="n">
        <v>0</v>
      </c>
      <c r="K645" t="n">
        <v>0</v>
      </c>
      <c r="L645" t="n">
        <v>0</v>
      </c>
      <c r="M645" t="n">
        <v>0</v>
      </c>
      <c r="N645" t="n">
        <v>0</v>
      </c>
      <c r="O645" t="n">
        <v>0</v>
      </c>
      <c r="P645" t="n">
        <v>0</v>
      </c>
      <c r="Q645" t="n">
        <v>0</v>
      </c>
      <c r="R645" s="2" t="inlineStr"/>
    </row>
    <row r="646" ht="15" customHeight="1">
      <c r="A646" t="inlineStr">
        <is>
          <t>A 37190-2024</t>
        </is>
      </c>
      <c r="B646" s="1" t="n">
        <v>45539</v>
      </c>
      <c r="C646" s="1" t="n">
        <v>45976</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23222-2023</t>
        </is>
      </c>
      <c r="B647" s="1" t="n">
        <v>45075</v>
      </c>
      <c r="C647" s="1" t="n">
        <v>45976</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23224-2023</t>
        </is>
      </c>
      <c r="B648" s="1" t="n">
        <v>45075.65040509259</v>
      </c>
      <c r="C648" s="1" t="n">
        <v>45976</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34069-2025</t>
        </is>
      </c>
      <c r="B649" s="1" t="n">
        <v>45845.43560185185</v>
      </c>
      <c r="C649" s="1" t="n">
        <v>45976</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c r="U649">
        <f>HYPERLINK("https://klasma.github.io/Logging_1981/knärot/A 34069-2025 karta knärot.png", "A 34069-2025")</f>
        <v/>
      </c>
      <c r="V649">
        <f>HYPERLINK("https://klasma.github.io/Logging_1981/klagomål/A 34069-2025 FSC-klagomål.docx", "A 34069-2025")</f>
        <v/>
      </c>
      <c r="W649">
        <f>HYPERLINK("https://klasma.github.io/Logging_1981/klagomålsmail/A 34069-2025 FSC-klagomål mail.docx", "A 34069-2025")</f>
        <v/>
      </c>
      <c r="X649">
        <f>HYPERLINK("https://klasma.github.io/Logging_1981/tillsyn/A 34069-2025 tillsynsbegäran.docx", "A 34069-2025")</f>
        <v/>
      </c>
      <c r="Y649">
        <f>HYPERLINK("https://klasma.github.io/Logging_1981/tillsynsmail/A 34069-2025 tillsynsbegäran mail.docx", "A 34069-2025")</f>
        <v/>
      </c>
    </row>
    <row r="650" ht="15" customHeight="1">
      <c r="A650" t="inlineStr">
        <is>
          <t>A 22026-2021</t>
        </is>
      </c>
      <c r="B650" s="1" t="n">
        <v>44323</v>
      </c>
      <c r="C650" s="1" t="n">
        <v>45976</v>
      </c>
      <c r="D650" t="inlineStr">
        <is>
          <t>VÄSTMANLANDS LÄN</t>
        </is>
      </c>
      <c r="E650" t="inlineStr">
        <is>
          <t>SALA</t>
        </is>
      </c>
      <c r="G650" t="n">
        <v>2.9</v>
      </c>
      <c r="H650" t="n">
        <v>0</v>
      </c>
      <c r="I650" t="n">
        <v>0</v>
      </c>
      <c r="J650" t="n">
        <v>0</v>
      </c>
      <c r="K650" t="n">
        <v>0</v>
      </c>
      <c r="L650" t="n">
        <v>0</v>
      </c>
      <c r="M650" t="n">
        <v>0</v>
      </c>
      <c r="N650" t="n">
        <v>0</v>
      </c>
      <c r="O650" t="n">
        <v>0</v>
      </c>
      <c r="P650" t="n">
        <v>0</v>
      </c>
      <c r="Q650" t="n">
        <v>0</v>
      </c>
      <c r="R650" s="2" t="inlineStr"/>
    </row>
    <row r="651" ht="15" customHeight="1">
      <c r="A651" t="inlineStr">
        <is>
          <t>A 15744-2025</t>
        </is>
      </c>
      <c r="B651" s="1" t="n">
        <v>45748</v>
      </c>
      <c r="C651" s="1" t="n">
        <v>45976</v>
      </c>
      <c r="D651" t="inlineStr">
        <is>
          <t>VÄSTMANLANDS LÄN</t>
        </is>
      </c>
      <c r="E651" t="inlineStr">
        <is>
          <t>SALA</t>
        </is>
      </c>
      <c r="G651" t="n">
        <v>1.6</v>
      </c>
      <c r="H651" t="n">
        <v>0</v>
      </c>
      <c r="I651" t="n">
        <v>0</v>
      </c>
      <c r="J651" t="n">
        <v>0</v>
      </c>
      <c r="K651" t="n">
        <v>0</v>
      </c>
      <c r="L651" t="n">
        <v>0</v>
      </c>
      <c r="M651" t="n">
        <v>0</v>
      </c>
      <c r="N651" t="n">
        <v>0</v>
      </c>
      <c r="O651" t="n">
        <v>0</v>
      </c>
      <c r="P651" t="n">
        <v>0</v>
      </c>
      <c r="Q651" t="n">
        <v>0</v>
      </c>
      <c r="R651" s="2" t="inlineStr"/>
    </row>
    <row r="652" ht="15" customHeight="1">
      <c r="A652" t="inlineStr">
        <is>
          <t>A 68864-2021</t>
        </is>
      </c>
      <c r="B652" s="1" t="n">
        <v>44530</v>
      </c>
      <c r="C652" s="1" t="n">
        <v>45976</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19065-2022</t>
        </is>
      </c>
      <c r="B653" s="1" t="n">
        <v>44691.44309027777</v>
      </c>
      <c r="C653" s="1" t="n">
        <v>45976</v>
      </c>
      <c r="D653" t="inlineStr">
        <is>
          <t>VÄSTMANLANDS LÄN</t>
        </is>
      </c>
      <c r="E653" t="inlineStr">
        <is>
          <t>SALA</t>
        </is>
      </c>
      <c r="G653" t="n">
        <v>3.4</v>
      </c>
      <c r="H653" t="n">
        <v>0</v>
      </c>
      <c r="I653" t="n">
        <v>0</v>
      </c>
      <c r="J653" t="n">
        <v>0</v>
      </c>
      <c r="K653" t="n">
        <v>0</v>
      </c>
      <c r="L653" t="n">
        <v>0</v>
      </c>
      <c r="M653" t="n">
        <v>0</v>
      </c>
      <c r="N653" t="n">
        <v>0</v>
      </c>
      <c r="O653" t="n">
        <v>0</v>
      </c>
      <c r="P653" t="n">
        <v>0</v>
      </c>
      <c r="Q653" t="n">
        <v>0</v>
      </c>
      <c r="R653" s="2" t="inlineStr"/>
    </row>
    <row r="654" ht="15" customHeight="1">
      <c r="A654" t="inlineStr">
        <is>
          <t>A 37612-2024</t>
        </is>
      </c>
      <c r="B654" s="1" t="n">
        <v>45541</v>
      </c>
      <c r="C654" s="1" t="n">
        <v>45976</v>
      </c>
      <c r="D654" t="inlineStr">
        <is>
          <t>VÄSTMANLANDS LÄN</t>
        </is>
      </c>
      <c r="E654" t="inlineStr">
        <is>
          <t>SALA</t>
        </is>
      </c>
      <c r="G654" t="n">
        <v>2.2</v>
      </c>
      <c r="H654" t="n">
        <v>0</v>
      </c>
      <c r="I654" t="n">
        <v>0</v>
      </c>
      <c r="J654" t="n">
        <v>0</v>
      </c>
      <c r="K654" t="n">
        <v>0</v>
      </c>
      <c r="L654" t="n">
        <v>0</v>
      </c>
      <c r="M654" t="n">
        <v>0</v>
      </c>
      <c r="N654" t="n">
        <v>0</v>
      </c>
      <c r="O654" t="n">
        <v>0</v>
      </c>
      <c r="P654" t="n">
        <v>0</v>
      </c>
      <c r="Q654" t="n">
        <v>0</v>
      </c>
      <c r="R654" s="2" t="inlineStr"/>
    </row>
    <row r="655" ht="15" customHeight="1">
      <c r="A655" t="inlineStr">
        <is>
          <t>A 37615-2024</t>
        </is>
      </c>
      <c r="B655" s="1" t="n">
        <v>45541.50673611111</v>
      </c>
      <c r="C655" s="1" t="n">
        <v>45976</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18158-2025</t>
        </is>
      </c>
      <c r="B656" s="1" t="n">
        <v>45761</v>
      </c>
      <c r="C656" s="1" t="n">
        <v>45976</v>
      </c>
      <c r="D656" t="inlineStr">
        <is>
          <t>VÄSTMANLANDS LÄN</t>
        </is>
      </c>
      <c r="E656" t="inlineStr">
        <is>
          <t>SALA</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9962-2025</t>
        </is>
      </c>
      <c r="B657" s="1" t="n">
        <v>45719.37072916667</v>
      </c>
      <c r="C657" s="1" t="n">
        <v>45976</v>
      </c>
      <c r="D657" t="inlineStr">
        <is>
          <t>VÄSTMANLANDS LÄN</t>
        </is>
      </c>
      <c r="E657" t="inlineStr">
        <is>
          <t>SALA</t>
        </is>
      </c>
      <c r="G657" t="n">
        <v>4.5</v>
      </c>
      <c r="H657" t="n">
        <v>0</v>
      </c>
      <c r="I657" t="n">
        <v>0</v>
      </c>
      <c r="J657" t="n">
        <v>0</v>
      </c>
      <c r="K657" t="n">
        <v>0</v>
      </c>
      <c r="L657" t="n">
        <v>0</v>
      </c>
      <c r="M657" t="n">
        <v>0</v>
      </c>
      <c r="N657" t="n">
        <v>0</v>
      </c>
      <c r="O657" t="n">
        <v>0</v>
      </c>
      <c r="P657" t="n">
        <v>0</v>
      </c>
      <c r="Q657" t="n">
        <v>0</v>
      </c>
      <c r="R657" s="2" t="inlineStr"/>
    </row>
    <row r="658" ht="15" customHeight="1">
      <c r="A658" t="inlineStr">
        <is>
          <t>A 37602-2024</t>
        </is>
      </c>
      <c r="B658" s="1" t="n">
        <v>45541</v>
      </c>
      <c r="C658" s="1" t="n">
        <v>45976</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18762-2024</t>
        </is>
      </c>
      <c r="B659" s="1" t="n">
        <v>45426.55240740741</v>
      </c>
      <c r="C659" s="1" t="n">
        <v>45976</v>
      </c>
      <c r="D659" t="inlineStr">
        <is>
          <t>VÄSTMANLANDS LÄN</t>
        </is>
      </c>
      <c r="E659" t="inlineStr">
        <is>
          <t>SALA</t>
        </is>
      </c>
      <c r="G659" t="n">
        <v>6.2</v>
      </c>
      <c r="H659" t="n">
        <v>0</v>
      </c>
      <c r="I659" t="n">
        <v>0</v>
      </c>
      <c r="J659" t="n">
        <v>0</v>
      </c>
      <c r="K659" t="n">
        <v>0</v>
      </c>
      <c r="L659" t="n">
        <v>0</v>
      </c>
      <c r="M659" t="n">
        <v>0</v>
      </c>
      <c r="N659" t="n">
        <v>0</v>
      </c>
      <c r="O659" t="n">
        <v>0</v>
      </c>
      <c r="P659" t="n">
        <v>0</v>
      </c>
      <c r="Q659" t="n">
        <v>0</v>
      </c>
      <c r="R659" s="2" t="inlineStr"/>
    </row>
    <row r="660" ht="15" customHeight="1">
      <c r="A660" t="inlineStr">
        <is>
          <t>A 39011-2023</t>
        </is>
      </c>
      <c r="B660" s="1" t="n">
        <v>45162</v>
      </c>
      <c r="C660" s="1" t="n">
        <v>45976</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35775-2025</t>
        </is>
      </c>
      <c r="B661" s="1" t="n">
        <v>45860</v>
      </c>
      <c r="C661" s="1" t="n">
        <v>45976</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35779-2025</t>
        </is>
      </c>
      <c r="B662" s="1" t="n">
        <v>45860.69495370371</v>
      </c>
      <c r="C662" s="1" t="n">
        <v>45976</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35776-2025</t>
        </is>
      </c>
      <c r="B663" s="1" t="n">
        <v>45860.69211805556</v>
      </c>
      <c r="C663" s="1" t="n">
        <v>45976</v>
      </c>
      <c r="D663" t="inlineStr">
        <is>
          <t>VÄSTMANLANDS LÄN</t>
        </is>
      </c>
      <c r="E663" t="inlineStr">
        <is>
          <t>SALA</t>
        </is>
      </c>
      <c r="G663" t="n">
        <v>14.2</v>
      </c>
      <c r="H663" t="n">
        <v>0</v>
      </c>
      <c r="I663" t="n">
        <v>0</v>
      </c>
      <c r="J663" t="n">
        <v>0</v>
      </c>
      <c r="K663" t="n">
        <v>0</v>
      </c>
      <c r="L663" t="n">
        <v>0</v>
      </c>
      <c r="M663" t="n">
        <v>0</v>
      </c>
      <c r="N663" t="n">
        <v>0</v>
      </c>
      <c r="O663" t="n">
        <v>0</v>
      </c>
      <c r="P663" t="n">
        <v>0</v>
      </c>
      <c r="Q663" t="n">
        <v>0</v>
      </c>
      <c r="R663" s="2" t="inlineStr"/>
    </row>
    <row r="664" ht="15" customHeight="1">
      <c r="A664" t="inlineStr">
        <is>
          <t>A 35715-2025</t>
        </is>
      </c>
      <c r="B664" s="1" t="n">
        <v>45860.42148148148</v>
      </c>
      <c r="C664" s="1" t="n">
        <v>45976</v>
      </c>
      <c r="D664" t="inlineStr">
        <is>
          <t>VÄSTMANLANDS LÄN</t>
        </is>
      </c>
      <c r="E664" t="inlineStr">
        <is>
          <t>SALA</t>
        </is>
      </c>
      <c r="G664" t="n">
        <v>3.8</v>
      </c>
      <c r="H664" t="n">
        <v>0</v>
      </c>
      <c r="I664" t="n">
        <v>0</v>
      </c>
      <c r="J664" t="n">
        <v>0</v>
      </c>
      <c r="K664" t="n">
        <v>0</v>
      </c>
      <c r="L664" t="n">
        <v>0</v>
      </c>
      <c r="M664" t="n">
        <v>0</v>
      </c>
      <c r="N664" t="n">
        <v>0</v>
      </c>
      <c r="O664" t="n">
        <v>0</v>
      </c>
      <c r="P664" t="n">
        <v>0</v>
      </c>
      <c r="Q664" t="n">
        <v>0</v>
      </c>
      <c r="R664" s="2" t="inlineStr"/>
    </row>
    <row r="665" ht="15" customHeight="1">
      <c r="A665" t="inlineStr">
        <is>
          <t>A 46352-2023</t>
        </is>
      </c>
      <c r="B665" s="1" t="n">
        <v>45192</v>
      </c>
      <c r="C665" s="1" t="n">
        <v>45976</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43751-2021</t>
        </is>
      </c>
      <c r="B666" s="1" t="n">
        <v>44433</v>
      </c>
      <c r="C666" s="1" t="n">
        <v>45976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1128-2025</t>
        </is>
      </c>
      <c r="B667" s="1" t="n">
        <v>45666.68469907407</v>
      </c>
      <c r="C667" s="1" t="n">
        <v>45976</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35651-2025</t>
        </is>
      </c>
      <c r="B668" s="1" t="n">
        <v>45859.52435185185</v>
      </c>
      <c r="C668" s="1" t="n">
        <v>45976</v>
      </c>
      <c r="D668" t="inlineStr">
        <is>
          <t>VÄSTMANLANDS LÄN</t>
        </is>
      </c>
      <c r="E668" t="inlineStr">
        <is>
          <t>SALA</t>
        </is>
      </c>
      <c r="G668" t="n">
        <v>6.3</v>
      </c>
      <c r="H668" t="n">
        <v>0</v>
      </c>
      <c r="I668" t="n">
        <v>0</v>
      </c>
      <c r="J668" t="n">
        <v>0</v>
      </c>
      <c r="K668" t="n">
        <v>0</v>
      </c>
      <c r="L668" t="n">
        <v>0</v>
      </c>
      <c r="M668" t="n">
        <v>0</v>
      </c>
      <c r="N668" t="n">
        <v>0</v>
      </c>
      <c r="O668" t="n">
        <v>0</v>
      </c>
      <c r="P668" t="n">
        <v>0</v>
      </c>
      <c r="Q668" t="n">
        <v>0</v>
      </c>
      <c r="R668" s="2" t="inlineStr"/>
    </row>
    <row r="669" ht="15" customHeight="1">
      <c r="A669" t="inlineStr">
        <is>
          <t>A 35774-2025</t>
        </is>
      </c>
      <c r="B669" s="1" t="n">
        <v>45860.68780092592</v>
      </c>
      <c r="C669" s="1" t="n">
        <v>45976</v>
      </c>
      <c r="D669" t="inlineStr">
        <is>
          <t>VÄSTMANLANDS LÄN</t>
        </is>
      </c>
      <c r="E669" t="inlineStr">
        <is>
          <t>SALA</t>
        </is>
      </c>
      <c r="G669" t="n">
        <v>6.5</v>
      </c>
      <c r="H669" t="n">
        <v>0</v>
      </c>
      <c r="I669" t="n">
        <v>0</v>
      </c>
      <c r="J669" t="n">
        <v>0</v>
      </c>
      <c r="K669" t="n">
        <v>0</v>
      </c>
      <c r="L669" t="n">
        <v>0</v>
      </c>
      <c r="M669" t="n">
        <v>0</v>
      </c>
      <c r="N669" t="n">
        <v>0</v>
      </c>
      <c r="O669" t="n">
        <v>0</v>
      </c>
      <c r="P669" t="n">
        <v>0</v>
      </c>
      <c r="Q669" t="n">
        <v>0</v>
      </c>
      <c r="R669" s="2" t="inlineStr"/>
    </row>
    <row r="670" ht="15" customHeight="1">
      <c r="A670" t="inlineStr">
        <is>
          <t>A 36060-2025</t>
        </is>
      </c>
      <c r="B670" s="1" t="n">
        <v>45866.39469907407</v>
      </c>
      <c r="C670" s="1" t="n">
        <v>45976</v>
      </c>
      <c r="D670" t="inlineStr">
        <is>
          <t>VÄSTMANLANDS LÄN</t>
        </is>
      </c>
      <c r="E670" t="inlineStr">
        <is>
          <t>SALA</t>
        </is>
      </c>
      <c r="F670" t="inlineStr">
        <is>
          <t>Kommuner</t>
        </is>
      </c>
      <c r="G670" t="n">
        <v>4.3</v>
      </c>
      <c r="H670" t="n">
        <v>0</v>
      </c>
      <c r="I670" t="n">
        <v>0</v>
      </c>
      <c r="J670" t="n">
        <v>0</v>
      </c>
      <c r="K670" t="n">
        <v>0</v>
      </c>
      <c r="L670" t="n">
        <v>0</v>
      </c>
      <c r="M670" t="n">
        <v>0</v>
      </c>
      <c r="N670" t="n">
        <v>0</v>
      </c>
      <c r="O670" t="n">
        <v>0</v>
      </c>
      <c r="P670" t="n">
        <v>0</v>
      </c>
      <c r="Q670" t="n">
        <v>0</v>
      </c>
      <c r="R670" s="2" t="inlineStr"/>
    </row>
    <row r="671" ht="15" customHeight="1">
      <c r="A671" t="inlineStr">
        <is>
          <t>A 36031-2025</t>
        </is>
      </c>
      <c r="B671" s="1" t="n">
        <v>45865.46111111111</v>
      </c>
      <c r="C671" s="1" t="n">
        <v>45976</v>
      </c>
      <c r="D671" t="inlineStr">
        <is>
          <t>VÄSTMANLANDS LÄN</t>
        </is>
      </c>
      <c r="E671" t="inlineStr">
        <is>
          <t>SALA</t>
        </is>
      </c>
      <c r="G671" t="n">
        <v>7.2</v>
      </c>
      <c r="H671" t="n">
        <v>0</v>
      </c>
      <c r="I671" t="n">
        <v>0</v>
      </c>
      <c r="J671" t="n">
        <v>0</v>
      </c>
      <c r="K671" t="n">
        <v>0</v>
      </c>
      <c r="L671" t="n">
        <v>0</v>
      </c>
      <c r="M671" t="n">
        <v>0</v>
      </c>
      <c r="N671" t="n">
        <v>0</v>
      </c>
      <c r="O671" t="n">
        <v>0</v>
      </c>
      <c r="P671" t="n">
        <v>0</v>
      </c>
      <c r="Q671" t="n">
        <v>0</v>
      </c>
      <c r="R671" s="2" t="inlineStr"/>
    </row>
    <row r="672" ht="15" customHeight="1">
      <c r="A672" t="inlineStr">
        <is>
          <t>A 36043-2025</t>
        </is>
      </c>
      <c r="B672" s="1" t="n">
        <v>45866.35333333333</v>
      </c>
      <c r="C672" s="1" t="n">
        <v>45976</v>
      </c>
      <c r="D672" t="inlineStr">
        <is>
          <t>VÄSTMANLANDS LÄN</t>
        </is>
      </c>
      <c r="E672" t="inlineStr">
        <is>
          <t>SALA</t>
        </is>
      </c>
      <c r="F672" t="inlineStr">
        <is>
          <t>Kommuner</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36032-2025</t>
        </is>
      </c>
      <c r="B673" s="1" t="n">
        <v>45865.48740740741</v>
      </c>
      <c r="C673" s="1" t="n">
        <v>45976</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36049-2025</t>
        </is>
      </c>
      <c r="B674" s="1" t="n">
        <v>45866.37065972222</v>
      </c>
      <c r="C674" s="1" t="n">
        <v>45976</v>
      </c>
      <c r="D674" t="inlineStr">
        <is>
          <t>VÄSTMANLANDS LÄN</t>
        </is>
      </c>
      <c r="E674" t="inlineStr">
        <is>
          <t>SALA</t>
        </is>
      </c>
      <c r="F674" t="inlineStr">
        <is>
          <t>Kommuner</t>
        </is>
      </c>
      <c r="G674" t="n">
        <v>1.9</v>
      </c>
      <c r="H674" t="n">
        <v>0</v>
      </c>
      <c r="I674" t="n">
        <v>0</v>
      </c>
      <c r="J674" t="n">
        <v>0</v>
      </c>
      <c r="K674" t="n">
        <v>0</v>
      </c>
      <c r="L674" t="n">
        <v>0</v>
      </c>
      <c r="M674" t="n">
        <v>0</v>
      </c>
      <c r="N674" t="n">
        <v>0</v>
      </c>
      <c r="O674" t="n">
        <v>0</v>
      </c>
      <c r="P674" t="n">
        <v>0</v>
      </c>
      <c r="Q674" t="n">
        <v>0</v>
      </c>
      <c r="R674" s="2" t="inlineStr"/>
    </row>
    <row r="675" ht="15" customHeight="1">
      <c r="A675" t="inlineStr">
        <is>
          <t>A 31950-2023</t>
        </is>
      </c>
      <c r="B675" s="1" t="n">
        <v>45107</v>
      </c>
      <c r="C675" s="1" t="n">
        <v>45976</v>
      </c>
      <c r="D675" t="inlineStr">
        <is>
          <t>VÄSTMANLANDS LÄN</t>
        </is>
      </c>
      <c r="E675" t="inlineStr">
        <is>
          <t>SALA</t>
        </is>
      </c>
      <c r="G675" t="n">
        <v>0.1</v>
      </c>
      <c r="H675" t="n">
        <v>0</v>
      </c>
      <c r="I675" t="n">
        <v>0</v>
      </c>
      <c r="J675" t="n">
        <v>0</v>
      </c>
      <c r="K675" t="n">
        <v>0</v>
      </c>
      <c r="L675" t="n">
        <v>0</v>
      </c>
      <c r="M675" t="n">
        <v>0</v>
      </c>
      <c r="N675" t="n">
        <v>0</v>
      </c>
      <c r="O675" t="n">
        <v>0</v>
      </c>
      <c r="P675" t="n">
        <v>0</v>
      </c>
      <c r="Q675" t="n">
        <v>0</v>
      </c>
      <c r="R675" s="2" t="inlineStr"/>
    </row>
    <row r="676" ht="15" customHeight="1">
      <c r="A676" t="inlineStr">
        <is>
          <t>A 36045-2025</t>
        </is>
      </c>
      <c r="B676" s="1" t="n">
        <v>45866.36200231482</v>
      </c>
      <c r="C676" s="1" t="n">
        <v>45976</v>
      </c>
      <c r="D676" t="inlineStr">
        <is>
          <t>VÄSTMANLANDS LÄN</t>
        </is>
      </c>
      <c r="E676" t="inlineStr">
        <is>
          <t>SALA</t>
        </is>
      </c>
      <c r="F676" t="inlineStr">
        <is>
          <t>Kommuner</t>
        </is>
      </c>
      <c r="G676" t="n">
        <v>1.7</v>
      </c>
      <c r="H676" t="n">
        <v>0</v>
      </c>
      <c r="I676" t="n">
        <v>0</v>
      </c>
      <c r="J676" t="n">
        <v>0</v>
      </c>
      <c r="K676" t="n">
        <v>0</v>
      </c>
      <c r="L676" t="n">
        <v>0</v>
      </c>
      <c r="M676" t="n">
        <v>0</v>
      </c>
      <c r="N676" t="n">
        <v>0</v>
      </c>
      <c r="O676" t="n">
        <v>0</v>
      </c>
      <c r="P676" t="n">
        <v>0</v>
      </c>
      <c r="Q676" t="n">
        <v>0</v>
      </c>
      <c r="R676" s="2" t="inlineStr"/>
    </row>
    <row r="677" ht="15" customHeight="1">
      <c r="A677" t="inlineStr">
        <is>
          <t>A 56540-2024</t>
        </is>
      </c>
      <c r="B677" s="1" t="n">
        <v>45625</v>
      </c>
      <c r="C677" s="1" t="n">
        <v>45976</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6116-2023</t>
        </is>
      </c>
      <c r="B678" s="1" t="n">
        <v>44964</v>
      </c>
      <c r="C678" s="1" t="n">
        <v>45976</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25860-2024</t>
        </is>
      </c>
      <c r="B679" s="1" t="n">
        <v>45467.46278935186</v>
      </c>
      <c r="C679" s="1" t="n">
        <v>45976</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10154-2021</t>
        </is>
      </c>
      <c r="B680" s="1" t="n">
        <v>44256</v>
      </c>
      <c r="C680" s="1" t="n">
        <v>45976</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45976</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ht="15" customHeight="1">
      <c r="A682" t="inlineStr">
        <is>
          <t>A 56916-2022</t>
        </is>
      </c>
      <c r="B682" s="1" t="n">
        <v>44888</v>
      </c>
      <c r="C682" s="1" t="n">
        <v>45976</v>
      </c>
      <c r="D682" t="inlineStr">
        <is>
          <t>VÄSTMANLANDS LÄN</t>
        </is>
      </c>
      <c r="E682" t="inlineStr">
        <is>
          <t>SALA</t>
        </is>
      </c>
      <c r="G682" t="n">
        <v>1.7</v>
      </c>
      <c r="H682" t="n">
        <v>0</v>
      </c>
      <c r="I682" t="n">
        <v>0</v>
      </c>
      <c r="J682" t="n">
        <v>0</v>
      </c>
      <c r="K682" t="n">
        <v>0</v>
      </c>
      <c r="L682" t="n">
        <v>0</v>
      </c>
      <c r="M682" t="n">
        <v>0</v>
      </c>
      <c r="N682" t="n">
        <v>0</v>
      </c>
      <c r="O682" t="n">
        <v>0</v>
      </c>
      <c r="P682" t="n">
        <v>0</v>
      </c>
      <c r="Q682" t="n">
        <v>0</v>
      </c>
      <c r="R682" s="2" t="inlineStr"/>
    </row>
    <row r="683" ht="15" customHeight="1">
      <c r="A683" t="inlineStr">
        <is>
          <t>A 71471-2021</t>
        </is>
      </c>
      <c r="B683" s="1" t="n">
        <v>44540.53421296296</v>
      </c>
      <c r="C683" s="1" t="n">
        <v>45976</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13987-2023</t>
        </is>
      </c>
      <c r="B684" s="1" t="n">
        <v>45007</v>
      </c>
      <c r="C684" s="1" t="n">
        <v>45976</v>
      </c>
      <c r="D684" t="inlineStr">
        <is>
          <t>VÄSTMANLANDS LÄN</t>
        </is>
      </c>
      <c r="E684" t="inlineStr">
        <is>
          <t>SALA</t>
        </is>
      </c>
      <c r="G684" t="n">
        <v>3.2</v>
      </c>
      <c r="H684" t="n">
        <v>0</v>
      </c>
      <c r="I684" t="n">
        <v>0</v>
      </c>
      <c r="J684" t="n">
        <v>0</v>
      </c>
      <c r="K684" t="n">
        <v>0</v>
      </c>
      <c r="L684" t="n">
        <v>0</v>
      </c>
      <c r="M684" t="n">
        <v>0</v>
      </c>
      <c r="N684" t="n">
        <v>0</v>
      </c>
      <c r="O684" t="n">
        <v>0</v>
      </c>
      <c r="P684" t="n">
        <v>0</v>
      </c>
      <c r="Q684" t="n">
        <v>0</v>
      </c>
      <c r="R684" s="2" t="inlineStr"/>
    </row>
    <row r="685" ht="15" customHeight="1">
      <c r="A685" t="inlineStr">
        <is>
          <t>A 13990-2023</t>
        </is>
      </c>
      <c r="B685" s="1" t="n">
        <v>45007</v>
      </c>
      <c r="C685" s="1" t="n">
        <v>45976</v>
      </c>
      <c r="D685" t="inlineStr">
        <is>
          <t>VÄSTMANLANDS LÄN</t>
        </is>
      </c>
      <c r="E685" t="inlineStr">
        <is>
          <t>SALA</t>
        </is>
      </c>
      <c r="G685" t="n">
        <v>2.6</v>
      </c>
      <c r="H685" t="n">
        <v>0</v>
      </c>
      <c r="I685" t="n">
        <v>0</v>
      </c>
      <c r="J685" t="n">
        <v>0</v>
      </c>
      <c r="K685" t="n">
        <v>0</v>
      </c>
      <c r="L685" t="n">
        <v>0</v>
      </c>
      <c r="M685" t="n">
        <v>0</v>
      </c>
      <c r="N685" t="n">
        <v>0</v>
      </c>
      <c r="O685" t="n">
        <v>0</v>
      </c>
      <c r="P685" t="n">
        <v>0</v>
      </c>
      <c r="Q685" t="n">
        <v>0</v>
      </c>
      <c r="R685" s="2" t="inlineStr"/>
    </row>
    <row r="686" ht="15" customHeight="1">
      <c r="A686" t="inlineStr">
        <is>
          <t>A 1993-2022</t>
        </is>
      </c>
      <c r="B686" s="1" t="n">
        <v>44575</v>
      </c>
      <c r="C686" s="1" t="n">
        <v>45976</v>
      </c>
      <c r="D686" t="inlineStr">
        <is>
          <t>VÄSTMANLANDS LÄN</t>
        </is>
      </c>
      <c r="E686" t="inlineStr">
        <is>
          <t>SALA</t>
        </is>
      </c>
      <c r="G686" t="n">
        <v>1.6</v>
      </c>
      <c r="H686" t="n">
        <v>0</v>
      </c>
      <c r="I686" t="n">
        <v>0</v>
      </c>
      <c r="J686" t="n">
        <v>0</v>
      </c>
      <c r="K686" t="n">
        <v>0</v>
      </c>
      <c r="L686" t="n">
        <v>0</v>
      </c>
      <c r="M686" t="n">
        <v>0</v>
      </c>
      <c r="N686" t="n">
        <v>0</v>
      </c>
      <c r="O686" t="n">
        <v>0</v>
      </c>
      <c r="P686" t="n">
        <v>0</v>
      </c>
      <c r="Q686" t="n">
        <v>0</v>
      </c>
      <c r="R686" s="2" t="inlineStr"/>
    </row>
    <row r="687" ht="15" customHeight="1">
      <c r="A687" t="inlineStr">
        <is>
          <t>A 17051-2025</t>
        </is>
      </c>
      <c r="B687" s="1" t="n">
        <v>45755</v>
      </c>
      <c r="C687" s="1" t="n">
        <v>45976</v>
      </c>
      <c r="D687" t="inlineStr">
        <is>
          <t>VÄSTMANLANDS LÄN</t>
        </is>
      </c>
      <c r="E687" t="inlineStr">
        <is>
          <t>SALA</t>
        </is>
      </c>
      <c r="G687" t="n">
        <v>2.9</v>
      </c>
      <c r="H687" t="n">
        <v>0</v>
      </c>
      <c r="I687" t="n">
        <v>0</v>
      </c>
      <c r="J687" t="n">
        <v>0</v>
      </c>
      <c r="K687" t="n">
        <v>0</v>
      </c>
      <c r="L687" t="n">
        <v>0</v>
      </c>
      <c r="M687" t="n">
        <v>0</v>
      </c>
      <c r="N687" t="n">
        <v>0</v>
      </c>
      <c r="O687" t="n">
        <v>0</v>
      </c>
      <c r="P687" t="n">
        <v>0</v>
      </c>
      <c r="Q687" t="n">
        <v>0</v>
      </c>
      <c r="R687" s="2" t="inlineStr"/>
    </row>
    <row r="688" ht="15" customHeight="1">
      <c r="A688" t="inlineStr">
        <is>
          <t>A 43509-2021</t>
        </is>
      </c>
      <c r="B688" s="1" t="n">
        <v>44433</v>
      </c>
      <c r="C688" s="1" t="n">
        <v>45976</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54959-2024</t>
        </is>
      </c>
      <c r="B689" s="1" t="n">
        <v>45619</v>
      </c>
      <c r="C689" s="1" t="n">
        <v>45976</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56964-2023</t>
        </is>
      </c>
      <c r="B690" s="1" t="n">
        <v>45244.63140046296</v>
      </c>
      <c r="C690" s="1" t="n">
        <v>45976</v>
      </c>
      <c r="D690" t="inlineStr">
        <is>
          <t>VÄSTMANLANDS LÄN</t>
        </is>
      </c>
      <c r="E690" t="inlineStr">
        <is>
          <t>SALA</t>
        </is>
      </c>
      <c r="G690" t="n">
        <v>4.6</v>
      </c>
      <c r="H690" t="n">
        <v>0</v>
      </c>
      <c r="I690" t="n">
        <v>0</v>
      </c>
      <c r="J690" t="n">
        <v>0</v>
      </c>
      <c r="K690" t="n">
        <v>0</v>
      </c>
      <c r="L690" t="n">
        <v>0</v>
      </c>
      <c r="M690" t="n">
        <v>0</v>
      </c>
      <c r="N690" t="n">
        <v>0</v>
      </c>
      <c r="O690" t="n">
        <v>0</v>
      </c>
      <c r="P690" t="n">
        <v>0</v>
      </c>
      <c r="Q690" t="n">
        <v>0</v>
      </c>
      <c r="R690" s="2" t="inlineStr"/>
    </row>
    <row r="691" ht="15" customHeight="1">
      <c r="A691" t="inlineStr">
        <is>
          <t>A 37337-2024</t>
        </is>
      </c>
      <c r="B691" s="1" t="n">
        <v>45540</v>
      </c>
      <c r="C691" s="1" t="n">
        <v>45976</v>
      </c>
      <c r="D691" t="inlineStr">
        <is>
          <t>VÄSTMANLANDS LÄN</t>
        </is>
      </c>
      <c r="E691" t="inlineStr">
        <is>
          <t>SALA</t>
        </is>
      </c>
      <c r="G691" t="n">
        <v>6.5</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45976</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34494-2023</t>
        </is>
      </c>
      <c r="B693" s="1" t="n">
        <v>45133</v>
      </c>
      <c r="C693" s="1" t="n">
        <v>45976</v>
      </c>
      <c r="D693" t="inlineStr">
        <is>
          <t>VÄSTMANLANDS LÄN</t>
        </is>
      </c>
      <c r="E693" t="inlineStr">
        <is>
          <t>SALA</t>
        </is>
      </c>
      <c r="G693" t="n">
        <v>0.8</v>
      </c>
      <c r="H693" t="n">
        <v>0</v>
      </c>
      <c r="I693" t="n">
        <v>0</v>
      </c>
      <c r="J693" t="n">
        <v>0</v>
      </c>
      <c r="K693" t="n">
        <v>0</v>
      </c>
      <c r="L693" t="n">
        <v>0</v>
      </c>
      <c r="M693" t="n">
        <v>0</v>
      </c>
      <c r="N693" t="n">
        <v>0</v>
      </c>
      <c r="O693" t="n">
        <v>0</v>
      </c>
      <c r="P693" t="n">
        <v>0</v>
      </c>
      <c r="Q693" t="n">
        <v>0</v>
      </c>
      <c r="R693" s="2" t="inlineStr"/>
    </row>
    <row r="694" ht="15" customHeight="1">
      <c r="A694" t="inlineStr">
        <is>
          <t>A 10579-2022</t>
        </is>
      </c>
      <c r="B694" s="1" t="n">
        <v>44624</v>
      </c>
      <c r="C694" s="1" t="n">
        <v>45976</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9335-2022</t>
        </is>
      </c>
      <c r="B695" s="1" t="n">
        <v>44616.56579861111</v>
      </c>
      <c r="C695" s="1" t="n">
        <v>45976</v>
      </c>
      <c r="D695" t="inlineStr">
        <is>
          <t>VÄSTMANLANDS LÄN</t>
        </is>
      </c>
      <c r="E695" t="inlineStr">
        <is>
          <t>SALA</t>
        </is>
      </c>
      <c r="G695" t="n">
        <v>1.5</v>
      </c>
      <c r="H695" t="n">
        <v>0</v>
      </c>
      <c r="I695" t="n">
        <v>0</v>
      </c>
      <c r="J695" t="n">
        <v>0</v>
      </c>
      <c r="K695" t="n">
        <v>0</v>
      </c>
      <c r="L695" t="n">
        <v>0</v>
      </c>
      <c r="M695" t="n">
        <v>0</v>
      </c>
      <c r="N695" t="n">
        <v>0</v>
      </c>
      <c r="O695" t="n">
        <v>0</v>
      </c>
      <c r="P695" t="n">
        <v>0</v>
      </c>
      <c r="Q695" t="n">
        <v>0</v>
      </c>
      <c r="R695" s="2" t="inlineStr"/>
    </row>
    <row r="696" ht="15" customHeight="1">
      <c r="A696" t="inlineStr">
        <is>
          <t>A 45313-2024</t>
        </is>
      </c>
      <c r="B696" s="1" t="n">
        <v>45576</v>
      </c>
      <c r="C696" s="1" t="n">
        <v>45976</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c r="A697" t="inlineStr">
        <is>
          <t>A 23119-2022</t>
        </is>
      </c>
      <c r="B697" s="1" t="n">
        <v>44719.56697916667</v>
      </c>
      <c r="C697" s="1" t="n">
        <v>45976</v>
      </c>
      <c r="D697" t="inlineStr">
        <is>
          <t>VÄSTMANLANDS LÄN</t>
        </is>
      </c>
      <c r="E697" t="inlineStr">
        <is>
          <t>SALA</t>
        </is>
      </c>
      <c r="G697" t="n">
        <v>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2025-11-15T10:09:14Z</dcterms:created>
  <dcterms:modified xmlns:dcterms="http://purl.org/dc/terms/" xmlns:xsi="http://www.w3.org/2001/XMLSchema-instance" xsi:type="dcterms:W3CDTF">2025-11-15T10:09:15Z</dcterms:modified>
</cp:coreProperties>
</file>