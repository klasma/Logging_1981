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45924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45924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45924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45924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45924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45924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45924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45924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45924</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45924</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27488-2023</t>
        </is>
      </c>
      <c r="B12" s="1" t="n">
        <v>45097</v>
      </c>
      <c r="C12" s="1" t="n">
        <v>45924</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45924</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45924</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45924</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45924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45924</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45924</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45924</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40895-2025</t>
        </is>
      </c>
      <c r="B20" s="1" t="n">
        <v>45897.61241898148</v>
      </c>
      <c r="C20" s="1" t="n">
        <v>45924</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47475-2024</t>
        </is>
      </c>
      <c r="B21" s="1" t="n">
        <v>45587.57552083334</v>
      </c>
      <c r="C21" s="1" t="n">
        <v>45924</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45924</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4264-2024</t>
        </is>
      </c>
      <c r="B23" s="1" t="n">
        <v>45324</v>
      </c>
      <c r="C23" s="1" t="n">
        <v>45924</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45924</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45924</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45924</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45924</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45924</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61454-2024</t>
        </is>
      </c>
      <c r="B29" s="1" t="n">
        <v>45646</v>
      </c>
      <c r="C29" s="1" t="n">
        <v>45924</v>
      </c>
      <c r="D29" t="inlineStr">
        <is>
          <t>VÄSTMANLANDS LÄN</t>
        </is>
      </c>
      <c r="E29" t="inlineStr">
        <is>
          <t>SALA</t>
        </is>
      </c>
      <c r="G29" t="n">
        <v>15</v>
      </c>
      <c r="H29" t="n">
        <v>2</v>
      </c>
      <c r="I29" t="n">
        <v>0</v>
      </c>
      <c r="J29" t="n">
        <v>0</v>
      </c>
      <c r="K29" t="n">
        <v>1</v>
      </c>
      <c r="L29" t="n">
        <v>0</v>
      </c>
      <c r="M29" t="n">
        <v>0</v>
      </c>
      <c r="N29" t="n">
        <v>0</v>
      </c>
      <c r="O29" t="n">
        <v>1</v>
      </c>
      <c r="P29" t="n">
        <v>1</v>
      </c>
      <c r="Q29" t="n">
        <v>2</v>
      </c>
      <c r="R29" s="2" t="inlineStr">
        <is>
          <t>Knärot
Mindre vattensalamander</t>
        </is>
      </c>
      <c r="S29">
        <f>HYPERLINK("https://klasma.github.io/Logging_1981/artfynd/A 61454-2024 artfynd.xlsx", "A 61454-2024")</f>
        <v/>
      </c>
      <c r="T29">
        <f>HYPERLINK("https://klasma.github.io/Logging_1981/kartor/A 61454-2024 karta.png", "A 61454-2024")</f>
        <v/>
      </c>
      <c r="U29">
        <f>HYPERLINK("https://klasma.github.io/Logging_1981/knärot/A 61454-2024 karta knärot.png", "A 61454-2024")</f>
        <v/>
      </c>
      <c r="V29">
        <f>HYPERLINK("https://klasma.github.io/Logging_1981/klagomål/A 61454-2024 FSC-klagomål.docx", "A 61454-2024")</f>
        <v/>
      </c>
      <c r="W29">
        <f>HYPERLINK("https://klasma.github.io/Logging_1981/klagomålsmail/A 61454-2024 FSC-klagomål mail.docx", "A 61454-2024")</f>
        <v/>
      </c>
      <c r="X29">
        <f>HYPERLINK("https://klasma.github.io/Logging_1981/tillsyn/A 61454-2024 tillsynsbegäran.docx", "A 61454-2024")</f>
        <v/>
      </c>
      <c r="Y29">
        <f>HYPERLINK("https://klasma.github.io/Logging_1981/tillsynsmail/A 61454-2024 tillsynsbegäran mail.docx", "A 61454-2024")</f>
        <v/>
      </c>
    </row>
    <row r="30" ht="15" customHeight="1">
      <c r="A30" t="inlineStr">
        <is>
          <t>A 11846-2024</t>
        </is>
      </c>
      <c r="B30" s="1" t="n">
        <v>45376.4047337963</v>
      </c>
      <c r="C30" s="1" t="n">
        <v>45924</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13029-2023</t>
        </is>
      </c>
      <c r="B31" s="1" t="n">
        <v>45001</v>
      </c>
      <c r="C31" s="1" t="n">
        <v>45924</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45924</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45924</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45924</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45924</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45924</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45924</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55550-2023</t>
        </is>
      </c>
      <c r="B38" s="1" t="n">
        <v>45232</v>
      </c>
      <c r="C38" s="1" t="n">
        <v>45924</v>
      </c>
      <c r="D38" t="inlineStr">
        <is>
          <t>VÄSTMANLANDS LÄN</t>
        </is>
      </c>
      <c r="E38" t="inlineStr">
        <is>
          <t>SALA</t>
        </is>
      </c>
      <c r="G38" t="n">
        <v>9.9</v>
      </c>
      <c r="H38" t="n">
        <v>1</v>
      </c>
      <c r="I38" t="n">
        <v>0</v>
      </c>
      <c r="J38" t="n">
        <v>0</v>
      </c>
      <c r="K38" t="n">
        <v>1</v>
      </c>
      <c r="L38" t="n">
        <v>0</v>
      </c>
      <c r="M38" t="n">
        <v>0</v>
      </c>
      <c r="N38" t="n">
        <v>0</v>
      </c>
      <c r="O38" t="n">
        <v>1</v>
      </c>
      <c r="P38" t="n">
        <v>1</v>
      </c>
      <c r="Q38" t="n">
        <v>1</v>
      </c>
      <c r="R38" s="2" t="inlineStr">
        <is>
          <t>Knärot</t>
        </is>
      </c>
      <c r="S38">
        <f>HYPERLINK("https://klasma.github.io/Logging_1981/artfynd/A 55550-2023 artfynd.xlsx", "A 55550-2023")</f>
        <v/>
      </c>
      <c r="T38">
        <f>HYPERLINK("https://klasma.github.io/Logging_1981/kartor/A 55550-2023 karta.png", "A 55550-2023")</f>
        <v/>
      </c>
      <c r="U38">
        <f>HYPERLINK("https://klasma.github.io/Logging_1981/knärot/A 55550-2023 karta knärot.png", "A 55550-2023")</f>
        <v/>
      </c>
      <c r="V38">
        <f>HYPERLINK("https://klasma.github.io/Logging_1981/klagomål/A 55550-2023 FSC-klagomål.docx", "A 55550-2023")</f>
        <v/>
      </c>
      <c r="W38">
        <f>HYPERLINK("https://klasma.github.io/Logging_1981/klagomålsmail/A 55550-2023 FSC-klagomål mail.docx", "A 55550-2023")</f>
        <v/>
      </c>
      <c r="X38">
        <f>HYPERLINK("https://klasma.github.io/Logging_1981/tillsyn/A 55550-2023 tillsynsbegäran.docx", "A 55550-2023")</f>
        <v/>
      </c>
      <c r="Y38">
        <f>HYPERLINK("https://klasma.github.io/Logging_1981/tillsynsmail/A 55550-2023 tillsynsbegäran mail.docx", "A 55550-2023")</f>
        <v/>
      </c>
    </row>
    <row r="39" ht="15" customHeight="1">
      <c r="A39" t="inlineStr">
        <is>
          <t>A 69362-2020</t>
        </is>
      </c>
      <c r="B39" s="1" t="n">
        <v>44193</v>
      </c>
      <c r="C39" s="1" t="n">
        <v>45924</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37166-2024</t>
        </is>
      </c>
      <c r="B40" s="1" t="n">
        <v>45539</v>
      </c>
      <c r="C40" s="1" t="n">
        <v>45924</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29727-2023</t>
        </is>
      </c>
      <c r="B41" s="1" t="n">
        <v>45107</v>
      </c>
      <c r="C41" s="1" t="n">
        <v>45924</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32594-2025</t>
        </is>
      </c>
      <c r="B42" s="1" t="n">
        <v>45838</v>
      </c>
      <c r="C42" s="1" t="n">
        <v>45924</v>
      </c>
      <c r="D42" t="inlineStr">
        <is>
          <t>VÄSTMANLANDS LÄN</t>
        </is>
      </c>
      <c r="E42" t="inlineStr">
        <is>
          <t>SALA</t>
        </is>
      </c>
      <c r="F42" t="inlineStr">
        <is>
          <t>Bergvik skog öst AB</t>
        </is>
      </c>
      <c r="G42" t="n">
        <v>0.9</v>
      </c>
      <c r="H42" t="n">
        <v>1</v>
      </c>
      <c r="I42" t="n">
        <v>0</v>
      </c>
      <c r="J42" t="n">
        <v>0</v>
      </c>
      <c r="K42" t="n">
        <v>0</v>
      </c>
      <c r="L42" t="n">
        <v>0</v>
      </c>
      <c r="M42" t="n">
        <v>0</v>
      </c>
      <c r="N42" t="n">
        <v>0</v>
      </c>
      <c r="O42" t="n">
        <v>0</v>
      </c>
      <c r="P42" t="n">
        <v>0</v>
      </c>
      <c r="Q42" t="n">
        <v>1</v>
      </c>
      <c r="R42" s="2" t="inlineStr">
        <is>
          <t>Blåsippa</t>
        </is>
      </c>
      <c r="S42">
        <f>HYPERLINK("https://klasma.github.io/Logging_1981/artfynd/A 32594-2025 artfynd.xlsx", "A 32594-2025")</f>
        <v/>
      </c>
      <c r="T42">
        <f>HYPERLINK("https://klasma.github.io/Logging_1981/kartor/A 32594-2025 karta.png", "A 32594-2025")</f>
        <v/>
      </c>
      <c r="V42">
        <f>HYPERLINK("https://klasma.github.io/Logging_1981/klagomål/A 32594-2025 FSC-klagomål.docx", "A 32594-2025")</f>
        <v/>
      </c>
      <c r="W42">
        <f>HYPERLINK("https://klasma.github.io/Logging_1981/klagomålsmail/A 32594-2025 FSC-klagomål mail.docx", "A 32594-2025")</f>
        <v/>
      </c>
      <c r="X42">
        <f>HYPERLINK("https://klasma.github.io/Logging_1981/tillsyn/A 32594-2025 tillsynsbegäran.docx", "A 32594-2025")</f>
        <v/>
      </c>
      <c r="Y42">
        <f>HYPERLINK("https://klasma.github.io/Logging_1981/tillsynsmail/A 32594-2025 tillsynsbegäran mail.docx", "A 32594-2025")</f>
        <v/>
      </c>
    </row>
    <row r="43" ht="15" customHeight="1">
      <c r="A43" t="inlineStr">
        <is>
          <t>A 38255-2025</t>
        </is>
      </c>
      <c r="B43" s="1" t="n">
        <v>45883.38020833334</v>
      </c>
      <c r="C43" s="1" t="n">
        <v>45924</v>
      </c>
      <c r="D43" t="inlineStr">
        <is>
          <t>VÄSTMANLANDS LÄN</t>
        </is>
      </c>
      <c r="E43" t="inlineStr">
        <is>
          <t>SALA</t>
        </is>
      </c>
      <c r="G43" t="n">
        <v>0.9</v>
      </c>
      <c r="H43" t="n">
        <v>1</v>
      </c>
      <c r="I43" t="n">
        <v>0</v>
      </c>
      <c r="J43" t="n">
        <v>0</v>
      </c>
      <c r="K43" t="n">
        <v>1</v>
      </c>
      <c r="L43" t="n">
        <v>0</v>
      </c>
      <c r="M43" t="n">
        <v>0</v>
      </c>
      <c r="N43" t="n">
        <v>0</v>
      </c>
      <c r="O43" t="n">
        <v>1</v>
      </c>
      <c r="P43" t="n">
        <v>1</v>
      </c>
      <c r="Q43" t="n">
        <v>1</v>
      </c>
      <c r="R43" s="2" t="inlineStr">
        <is>
          <t>Knärot</t>
        </is>
      </c>
      <c r="S43">
        <f>HYPERLINK("https://klasma.github.io/Logging_1981/artfynd/A 38255-2025 artfynd.xlsx", "A 38255-2025")</f>
        <v/>
      </c>
      <c r="T43">
        <f>HYPERLINK("https://klasma.github.io/Logging_1981/kartor/A 38255-2025 karta.png", "A 38255-2025")</f>
        <v/>
      </c>
      <c r="U43">
        <f>HYPERLINK("https://klasma.github.io/Logging_1981/knärot/A 38255-2025 karta knärot.png", "A 38255-2025")</f>
        <v/>
      </c>
      <c r="V43">
        <f>HYPERLINK("https://klasma.github.io/Logging_1981/klagomål/A 38255-2025 FSC-klagomål.docx", "A 38255-2025")</f>
        <v/>
      </c>
      <c r="W43">
        <f>HYPERLINK("https://klasma.github.io/Logging_1981/klagomålsmail/A 38255-2025 FSC-klagomål mail.docx", "A 38255-2025")</f>
        <v/>
      </c>
      <c r="X43">
        <f>HYPERLINK("https://klasma.github.io/Logging_1981/tillsyn/A 38255-2025 tillsynsbegäran.docx", "A 38255-2025")</f>
        <v/>
      </c>
      <c r="Y43">
        <f>HYPERLINK("https://klasma.github.io/Logging_1981/tillsynsmail/A 38255-2025 tillsynsbegäran mail.docx", "A 38255-2025")</f>
        <v/>
      </c>
    </row>
    <row r="44" ht="15" customHeight="1">
      <c r="A44" t="inlineStr">
        <is>
          <t>A 41270-2024</t>
        </is>
      </c>
      <c r="B44" s="1" t="n">
        <v>45559</v>
      </c>
      <c r="C44" s="1" t="n">
        <v>45924</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22350-2024</t>
        </is>
      </c>
      <c r="B45" s="1" t="n">
        <v>45446</v>
      </c>
      <c r="C45" s="1" t="n">
        <v>45924</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14775-2023</t>
        </is>
      </c>
      <c r="B46" s="1" t="n">
        <v>45014</v>
      </c>
      <c r="C46" s="1" t="n">
        <v>45924</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45924</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19361-2025</t>
        </is>
      </c>
      <c r="B48" s="1" t="n">
        <v>45769.63357638889</v>
      </c>
      <c r="C48" s="1" t="n">
        <v>45924</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45924</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43175-2023</t>
        </is>
      </c>
      <c r="B50" s="1" t="n">
        <v>45183</v>
      </c>
      <c r="C50" s="1" t="n">
        <v>45924</v>
      </c>
      <c r="D50" t="inlineStr">
        <is>
          <t>VÄSTMANLANDS LÄN</t>
        </is>
      </c>
      <c r="E50" t="inlineStr">
        <is>
          <t>SALA</t>
        </is>
      </c>
      <c r="G50" t="n">
        <v>5.6</v>
      </c>
      <c r="H50" t="n">
        <v>0</v>
      </c>
      <c r="I50" t="n">
        <v>1</v>
      </c>
      <c r="J50" t="n">
        <v>0</v>
      </c>
      <c r="K50" t="n">
        <v>0</v>
      </c>
      <c r="L50" t="n">
        <v>0</v>
      </c>
      <c r="M50" t="n">
        <v>0</v>
      </c>
      <c r="N50" t="n">
        <v>0</v>
      </c>
      <c r="O50" t="n">
        <v>0</v>
      </c>
      <c r="P50" t="n">
        <v>0</v>
      </c>
      <c r="Q50" t="n">
        <v>1</v>
      </c>
      <c r="R50" s="2" t="inlineStr">
        <is>
          <t>Grönpyrola</t>
        </is>
      </c>
      <c r="S50">
        <f>HYPERLINK("https://klasma.github.io/Logging_1981/artfynd/A 43175-2023 artfynd.xlsx", "A 43175-2023")</f>
        <v/>
      </c>
      <c r="T50">
        <f>HYPERLINK("https://klasma.github.io/Logging_1981/kartor/A 43175-2023 karta.png", "A 43175-2023")</f>
        <v/>
      </c>
      <c r="V50">
        <f>HYPERLINK("https://klasma.github.io/Logging_1981/klagomål/A 43175-2023 FSC-klagomål.docx", "A 43175-2023")</f>
        <v/>
      </c>
      <c r="W50">
        <f>HYPERLINK("https://klasma.github.io/Logging_1981/klagomålsmail/A 43175-2023 FSC-klagomål mail.docx", "A 43175-2023")</f>
        <v/>
      </c>
      <c r="X50">
        <f>HYPERLINK("https://klasma.github.io/Logging_1981/tillsyn/A 43175-2023 tillsynsbegäran.docx", "A 43175-2023")</f>
        <v/>
      </c>
      <c r="Y50">
        <f>HYPERLINK("https://klasma.github.io/Logging_1981/tillsynsmail/A 43175-2023 tillsynsbegäran mail.docx", "A 43175-2023")</f>
        <v/>
      </c>
    </row>
    <row r="51" ht="15" customHeight="1">
      <c r="A51" t="inlineStr">
        <is>
          <t>A 56014-2020</t>
        </is>
      </c>
      <c r="B51" s="1" t="n">
        <v>44132</v>
      </c>
      <c r="C51" s="1" t="n">
        <v>45924</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43068-2024</t>
        </is>
      </c>
      <c r="B52" s="1" t="n">
        <v>45567</v>
      </c>
      <c r="C52" s="1" t="n">
        <v>45924</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60852-2024</t>
        </is>
      </c>
      <c r="B53" s="1" t="n">
        <v>45644</v>
      </c>
      <c r="C53" s="1" t="n">
        <v>45924</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7919-2022</t>
        </is>
      </c>
      <c r="B54" s="1" t="n">
        <v>44608</v>
      </c>
      <c r="C54" s="1" t="n">
        <v>45924</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29985-2022</t>
        </is>
      </c>
      <c r="B55" s="1" t="n">
        <v>44756</v>
      </c>
      <c r="C55" s="1" t="n">
        <v>45924</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7731-2023</t>
        </is>
      </c>
      <c r="B56" s="1" t="n">
        <v>44973</v>
      </c>
      <c r="C56" s="1" t="n">
        <v>45924</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56704-2022</t>
        </is>
      </c>
      <c r="B57" s="1" t="n">
        <v>44893.78075231481</v>
      </c>
      <c r="C57" s="1" t="n">
        <v>45924</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22950-2025</t>
        </is>
      </c>
      <c r="B58" s="1" t="n">
        <v>45790.50728009259</v>
      </c>
      <c r="C58" s="1" t="n">
        <v>45924</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58314-2020</t>
        </is>
      </c>
      <c r="B59" s="1" t="n">
        <v>44145</v>
      </c>
      <c r="C59" s="1" t="n">
        <v>45924</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45924</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45924</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45924</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45924</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45924</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45924</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45924</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45924</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45924</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45924</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45924</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45924</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45924</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45924</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45924</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45924</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45924</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45924</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45924</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45924</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45924</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45924</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45924</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49086-2022</t>
        </is>
      </c>
      <c r="B83" s="1" t="n">
        <v>44860</v>
      </c>
      <c r="C83" s="1" t="n">
        <v>45924</v>
      </c>
      <c r="D83" t="inlineStr">
        <is>
          <t>VÄSTMANLANDS LÄN</t>
        </is>
      </c>
      <c r="E83" t="inlineStr">
        <is>
          <t>SALA</t>
        </is>
      </c>
      <c r="G83" t="n">
        <v>0.9</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45924</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45924</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45924</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45924</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45924</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45924</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45924</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45924</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45924</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45924</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45924</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45924</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45924</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45924</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45924</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45924</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45924</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45924</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28069-2022</t>
        </is>
      </c>
      <c r="B102" s="1" t="n">
        <v>44746</v>
      </c>
      <c r="C102" s="1" t="n">
        <v>45924</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45924</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45924</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45924</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45924</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45924</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45924</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45924</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45924</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45924</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45924</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45924</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45924</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45924</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45924</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45924</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45924</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45924</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45924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45924</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45924</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45924</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73606-2021</t>
        </is>
      </c>
      <c r="B124" s="1" t="n">
        <v>44552</v>
      </c>
      <c r="C124" s="1" t="n">
        <v>45924</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22575-2022</t>
        </is>
      </c>
      <c r="B125" s="1" t="n">
        <v>44713</v>
      </c>
      <c r="C125" s="1" t="n">
        <v>45924</v>
      </c>
      <c r="D125" t="inlineStr">
        <is>
          <t>VÄSTMANLANDS LÄN</t>
        </is>
      </c>
      <c r="E125" t="inlineStr">
        <is>
          <t>SALA</t>
        </is>
      </c>
      <c r="G125" t="n">
        <v>0.7</v>
      </c>
      <c r="H125" t="n">
        <v>0</v>
      </c>
      <c r="I125" t="n">
        <v>0</v>
      </c>
      <c r="J125" t="n">
        <v>0</v>
      </c>
      <c r="K125" t="n">
        <v>0</v>
      </c>
      <c r="L125" t="n">
        <v>0</v>
      </c>
      <c r="M125" t="n">
        <v>0</v>
      </c>
      <c r="N125" t="n">
        <v>0</v>
      </c>
      <c r="O125" t="n">
        <v>0</v>
      </c>
      <c r="P125" t="n">
        <v>0</v>
      </c>
      <c r="Q125" t="n">
        <v>0</v>
      </c>
      <c r="R125" s="2" t="inlineStr"/>
    </row>
    <row r="126" ht="15" customHeight="1">
      <c r="A126" t="inlineStr">
        <is>
          <t>A 49254-2022</t>
        </is>
      </c>
      <c r="B126" s="1" t="n">
        <v>44861</v>
      </c>
      <c r="C126" s="1" t="n">
        <v>45924</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69192-2020</t>
        </is>
      </c>
      <c r="B127" s="1" t="n">
        <v>44191</v>
      </c>
      <c r="C127" s="1" t="n">
        <v>45924</v>
      </c>
      <c r="D127" t="inlineStr">
        <is>
          <t>VÄSTMANLANDS LÄN</t>
        </is>
      </c>
      <c r="E127" t="inlineStr">
        <is>
          <t>SALA</t>
        </is>
      </c>
      <c r="G127" t="n">
        <v>0.8</v>
      </c>
      <c r="H127" t="n">
        <v>0</v>
      </c>
      <c r="I127" t="n">
        <v>0</v>
      </c>
      <c r="J127" t="n">
        <v>0</v>
      </c>
      <c r="K127" t="n">
        <v>0</v>
      </c>
      <c r="L127" t="n">
        <v>0</v>
      </c>
      <c r="M127" t="n">
        <v>0</v>
      </c>
      <c r="N127" t="n">
        <v>0</v>
      </c>
      <c r="O127" t="n">
        <v>0</v>
      </c>
      <c r="P127" t="n">
        <v>0</v>
      </c>
      <c r="Q127" t="n">
        <v>0</v>
      </c>
      <c r="R127" s="2" t="inlineStr"/>
    </row>
    <row r="128" ht="15" customHeight="1">
      <c r="A128" t="inlineStr">
        <is>
          <t>A 53735-2022</t>
        </is>
      </c>
      <c r="B128" s="1" t="n">
        <v>44880.42752314815</v>
      </c>
      <c r="C128" s="1" t="n">
        <v>45924</v>
      </c>
      <c r="D128" t="inlineStr">
        <is>
          <t>VÄSTMANLANDS LÄN</t>
        </is>
      </c>
      <c r="E128" t="inlineStr">
        <is>
          <t>SALA</t>
        </is>
      </c>
      <c r="F128" t="inlineStr">
        <is>
          <t>Bergvik skog öst AB</t>
        </is>
      </c>
      <c r="G128" t="n">
        <v>1.8</v>
      </c>
      <c r="H128" t="n">
        <v>0</v>
      </c>
      <c r="I128" t="n">
        <v>0</v>
      </c>
      <c r="J128" t="n">
        <v>0</v>
      </c>
      <c r="K128" t="n">
        <v>0</v>
      </c>
      <c r="L128" t="n">
        <v>0</v>
      </c>
      <c r="M128" t="n">
        <v>0</v>
      </c>
      <c r="N128" t="n">
        <v>0</v>
      </c>
      <c r="O128" t="n">
        <v>0</v>
      </c>
      <c r="P128" t="n">
        <v>0</v>
      </c>
      <c r="Q128" t="n">
        <v>0</v>
      </c>
      <c r="R128" s="2" t="inlineStr"/>
    </row>
    <row r="129" ht="15" customHeight="1">
      <c r="A129" t="inlineStr">
        <is>
          <t>A 11370-2022</t>
        </is>
      </c>
      <c r="B129" s="1" t="n">
        <v>44630</v>
      </c>
      <c r="C129" s="1" t="n">
        <v>45924</v>
      </c>
      <c r="D129" t="inlineStr">
        <is>
          <t>VÄSTMANLANDS LÄN</t>
        </is>
      </c>
      <c r="E129" t="inlineStr">
        <is>
          <t>SALA</t>
        </is>
      </c>
      <c r="G129" t="n">
        <v>4.3</v>
      </c>
      <c r="H129" t="n">
        <v>0</v>
      </c>
      <c r="I129" t="n">
        <v>0</v>
      </c>
      <c r="J129" t="n">
        <v>0</v>
      </c>
      <c r="K129" t="n">
        <v>0</v>
      </c>
      <c r="L129" t="n">
        <v>0</v>
      </c>
      <c r="M129" t="n">
        <v>0</v>
      </c>
      <c r="N129" t="n">
        <v>0</v>
      </c>
      <c r="O129" t="n">
        <v>0</v>
      </c>
      <c r="P129" t="n">
        <v>0</v>
      </c>
      <c r="Q129" t="n">
        <v>0</v>
      </c>
      <c r="R129" s="2" t="inlineStr"/>
    </row>
    <row r="130" ht="15" customHeight="1">
      <c r="A130" t="inlineStr">
        <is>
          <t>A 40094-2022</t>
        </is>
      </c>
      <c r="B130" s="1" t="n">
        <v>44819</v>
      </c>
      <c r="C130" s="1" t="n">
        <v>45924</v>
      </c>
      <c r="D130" t="inlineStr">
        <is>
          <t>VÄSTMANLANDS LÄN</t>
        </is>
      </c>
      <c r="E130" t="inlineStr">
        <is>
          <t>SALA</t>
        </is>
      </c>
      <c r="G130" t="n">
        <v>1.7</v>
      </c>
      <c r="H130" t="n">
        <v>0</v>
      </c>
      <c r="I130" t="n">
        <v>0</v>
      </c>
      <c r="J130" t="n">
        <v>0</v>
      </c>
      <c r="K130" t="n">
        <v>0</v>
      </c>
      <c r="L130" t="n">
        <v>0</v>
      </c>
      <c r="M130" t="n">
        <v>0</v>
      </c>
      <c r="N130" t="n">
        <v>0</v>
      </c>
      <c r="O130" t="n">
        <v>0</v>
      </c>
      <c r="P130" t="n">
        <v>0</v>
      </c>
      <c r="Q130" t="n">
        <v>0</v>
      </c>
      <c r="R130" s="2" t="inlineStr"/>
    </row>
    <row r="131" ht="15" customHeight="1">
      <c r="A131" t="inlineStr">
        <is>
          <t>A 57517-2021</t>
        </is>
      </c>
      <c r="B131" s="1" t="n">
        <v>44483</v>
      </c>
      <c r="C131" s="1" t="n">
        <v>45924</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65856-2021</t>
        </is>
      </c>
      <c r="B132" s="1" t="n">
        <v>44517</v>
      </c>
      <c r="C132" s="1" t="n">
        <v>45924</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26575-2021</t>
        </is>
      </c>
      <c r="B133" s="1" t="n">
        <v>44348</v>
      </c>
      <c r="C133" s="1" t="n">
        <v>45924</v>
      </c>
      <c r="D133" t="inlineStr">
        <is>
          <t>VÄSTMANLANDS LÄN</t>
        </is>
      </c>
      <c r="E133" t="inlineStr">
        <is>
          <t>SALA</t>
        </is>
      </c>
      <c r="G133" t="n">
        <v>2.7</v>
      </c>
      <c r="H133" t="n">
        <v>0</v>
      </c>
      <c r="I133" t="n">
        <v>0</v>
      </c>
      <c r="J133" t="n">
        <v>0</v>
      </c>
      <c r="K133" t="n">
        <v>0</v>
      </c>
      <c r="L133" t="n">
        <v>0</v>
      </c>
      <c r="M133" t="n">
        <v>0</v>
      </c>
      <c r="N133" t="n">
        <v>0</v>
      </c>
      <c r="O133" t="n">
        <v>0</v>
      </c>
      <c r="P133" t="n">
        <v>0</v>
      </c>
      <c r="Q133" t="n">
        <v>0</v>
      </c>
      <c r="R133" s="2" t="inlineStr"/>
    </row>
    <row r="134" ht="15" customHeight="1">
      <c r="A134" t="inlineStr">
        <is>
          <t>A 14047-2021</t>
        </is>
      </c>
      <c r="B134" s="1" t="n">
        <v>44277</v>
      </c>
      <c r="C134" s="1" t="n">
        <v>45924</v>
      </c>
      <c r="D134" t="inlineStr">
        <is>
          <t>VÄSTMANLANDS LÄN</t>
        </is>
      </c>
      <c r="E134" t="inlineStr">
        <is>
          <t>SALA</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29235-2022</t>
        </is>
      </c>
      <c r="B135" s="1" t="n">
        <v>44750</v>
      </c>
      <c r="C135" s="1" t="n">
        <v>45924</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53630-2022</t>
        </is>
      </c>
      <c r="B136" s="1" t="n">
        <v>44879.87533564815</v>
      </c>
      <c r="C136" s="1" t="n">
        <v>45924</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45924</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44224-2022</t>
        </is>
      </c>
      <c r="B138" s="1" t="n">
        <v>44839.506875</v>
      </c>
      <c r="C138" s="1" t="n">
        <v>45924</v>
      </c>
      <c r="D138" t="inlineStr">
        <is>
          <t>VÄSTMANLANDS LÄN</t>
        </is>
      </c>
      <c r="E138" t="inlineStr">
        <is>
          <t>SALA</t>
        </is>
      </c>
      <c r="G138" t="n">
        <v>2.1</v>
      </c>
      <c r="H138" t="n">
        <v>0</v>
      </c>
      <c r="I138" t="n">
        <v>0</v>
      </c>
      <c r="J138" t="n">
        <v>0</v>
      </c>
      <c r="K138" t="n">
        <v>0</v>
      </c>
      <c r="L138" t="n">
        <v>0</v>
      </c>
      <c r="M138" t="n">
        <v>0</v>
      </c>
      <c r="N138" t="n">
        <v>0</v>
      </c>
      <c r="O138" t="n">
        <v>0</v>
      </c>
      <c r="P138" t="n">
        <v>0</v>
      </c>
      <c r="Q138" t="n">
        <v>0</v>
      </c>
      <c r="R138" s="2" t="inlineStr"/>
    </row>
    <row r="139" ht="15" customHeight="1">
      <c r="A139" t="inlineStr">
        <is>
          <t>A 58781-2020</t>
        </is>
      </c>
      <c r="B139" s="1" t="n">
        <v>44146</v>
      </c>
      <c r="C139" s="1" t="n">
        <v>45924</v>
      </c>
      <c r="D139" t="inlineStr">
        <is>
          <t>VÄSTMANLANDS LÄN</t>
        </is>
      </c>
      <c r="E139" t="inlineStr">
        <is>
          <t>SALA</t>
        </is>
      </c>
      <c r="G139" t="n">
        <v>1.2</v>
      </c>
      <c r="H139" t="n">
        <v>0</v>
      </c>
      <c r="I139" t="n">
        <v>0</v>
      </c>
      <c r="J139" t="n">
        <v>0</v>
      </c>
      <c r="K139" t="n">
        <v>0</v>
      </c>
      <c r="L139" t="n">
        <v>0</v>
      </c>
      <c r="M139" t="n">
        <v>0</v>
      </c>
      <c r="N139" t="n">
        <v>0</v>
      </c>
      <c r="O139" t="n">
        <v>0</v>
      </c>
      <c r="P139" t="n">
        <v>0</v>
      </c>
      <c r="Q139" t="n">
        <v>0</v>
      </c>
      <c r="R139" s="2" t="inlineStr"/>
    </row>
    <row r="140" ht="15" customHeight="1">
      <c r="A140" t="inlineStr">
        <is>
          <t>A 25603-2022</t>
        </is>
      </c>
      <c r="B140" s="1" t="n">
        <v>44732</v>
      </c>
      <c r="C140" s="1" t="n">
        <v>45924</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72405-2021</t>
        </is>
      </c>
      <c r="B141" s="1" t="n">
        <v>44545</v>
      </c>
      <c r="C141" s="1" t="n">
        <v>45924</v>
      </c>
      <c r="D141" t="inlineStr">
        <is>
          <t>VÄSTMANLANDS LÄN</t>
        </is>
      </c>
      <c r="E141" t="inlineStr">
        <is>
          <t>SALA</t>
        </is>
      </c>
      <c r="G141" t="n">
        <v>1</v>
      </c>
      <c r="H141" t="n">
        <v>0</v>
      </c>
      <c r="I141" t="n">
        <v>0</v>
      </c>
      <c r="J141" t="n">
        <v>0</v>
      </c>
      <c r="K141" t="n">
        <v>0</v>
      </c>
      <c r="L141" t="n">
        <v>0</v>
      </c>
      <c r="M141" t="n">
        <v>0</v>
      </c>
      <c r="N141" t="n">
        <v>0</v>
      </c>
      <c r="O141" t="n">
        <v>0</v>
      </c>
      <c r="P141" t="n">
        <v>0</v>
      </c>
      <c r="Q141" t="n">
        <v>0</v>
      </c>
      <c r="R141" s="2" t="inlineStr"/>
    </row>
    <row r="142" ht="15" customHeight="1">
      <c r="A142" t="inlineStr">
        <is>
          <t>A 61415-2020</t>
        </is>
      </c>
      <c r="B142" s="1" t="n">
        <v>44156</v>
      </c>
      <c r="C142" s="1" t="n">
        <v>45924</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63290-2021</t>
        </is>
      </c>
      <c r="B143" s="1" t="n">
        <v>44505</v>
      </c>
      <c r="C143" s="1" t="n">
        <v>45924</v>
      </c>
      <c r="D143" t="inlineStr">
        <is>
          <t>VÄSTMANLANDS LÄN</t>
        </is>
      </c>
      <c r="E143" t="inlineStr">
        <is>
          <t>SALA</t>
        </is>
      </c>
      <c r="G143" t="n">
        <v>0.9</v>
      </c>
      <c r="H143" t="n">
        <v>0</v>
      </c>
      <c r="I143" t="n">
        <v>0</v>
      </c>
      <c r="J143" t="n">
        <v>0</v>
      </c>
      <c r="K143" t="n">
        <v>0</v>
      </c>
      <c r="L143" t="n">
        <v>0</v>
      </c>
      <c r="M143" t="n">
        <v>0</v>
      </c>
      <c r="N143" t="n">
        <v>0</v>
      </c>
      <c r="O143" t="n">
        <v>0</v>
      </c>
      <c r="P143" t="n">
        <v>0</v>
      </c>
      <c r="Q143" t="n">
        <v>0</v>
      </c>
      <c r="R143" s="2" t="inlineStr"/>
    </row>
    <row r="144" ht="15" customHeight="1">
      <c r="A144" t="inlineStr">
        <is>
          <t>A 24882-2022</t>
        </is>
      </c>
      <c r="B144" s="1" t="n">
        <v>44728.56488425926</v>
      </c>
      <c r="C144" s="1" t="n">
        <v>45924</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23757-2022</t>
        </is>
      </c>
      <c r="B145" s="1" t="n">
        <v>44722.37339120371</v>
      </c>
      <c r="C145" s="1" t="n">
        <v>45924</v>
      </c>
      <c r="D145" t="inlineStr">
        <is>
          <t>VÄSTMANLANDS LÄN</t>
        </is>
      </c>
      <c r="E145" t="inlineStr">
        <is>
          <t>SALA</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53628-2022</t>
        </is>
      </c>
      <c r="B146" s="1" t="n">
        <v>44879.87171296297</v>
      </c>
      <c r="C146" s="1" t="n">
        <v>45924</v>
      </c>
      <c r="D146" t="inlineStr">
        <is>
          <t>VÄSTMANLANDS LÄN</t>
        </is>
      </c>
      <c r="E146" t="inlineStr">
        <is>
          <t>SALA</t>
        </is>
      </c>
      <c r="G146" t="n">
        <v>2.7</v>
      </c>
      <c r="H146" t="n">
        <v>0</v>
      </c>
      <c r="I146" t="n">
        <v>0</v>
      </c>
      <c r="J146" t="n">
        <v>0</v>
      </c>
      <c r="K146" t="n">
        <v>0</v>
      </c>
      <c r="L146" t="n">
        <v>0</v>
      </c>
      <c r="M146" t="n">
        <v>0</v>
      </c>
      <c r="N146" t="n">
        <v>0</v>
      </c>
      <c r="O146" t="n">
        <v>0</v>
      </c>
      <c r="P146" t="n">
        <v>0</v>
      </c>
      <c r="Q146" t="n">
        <v>0</v>
      </c>
      <c r="R146" s="2" t="inlineStr"/>
    </row>
    <row r="147" ht="15" customHeight="1">
      <c r="A147" t="inlineStr">
        <is>
          <t>A 23847-2022</t>
        </is>
      </c>
      <c r="B147" s="1" t="n">
        <v>44722</v>
      </c>
      <c r="C147" s="1" t="n">
        <v>45924</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73519-2021</t>
        </is>
      </c>
      <c r="B148" s="1" t="n">
        <v>44551</v>
      </c>
      <c r="C148" s="1" t="n">
        <v>45924</v>
      </c>
      <c r="D148" t="inlineStr">
        <is>
          <t>VÄSTMANLANDS LÄN</t>
        </is>
      </c>
      <c r="E148" t="inlineStr">
        <is>
          <t>SALA</t>
        </is>
      </c>
      <c r="G148" t="n">
        <v>0.3</v>
      </c>
      <c r="H148" t="n">
        <v>0</v>
      </c>
      <c r="I148" t="n">
        <v>0</v>
      </c>
      <c r="J148" t="n">
        <v>0</v>
      </c>
      <c r="K148" t="n">
        <v>0</v>
      </c>
      <c r="L148" t="n">
        <v>0</v>
      </c>
      <c r="M148" t="n">
        <v>0</v>
      </c>
      <c r="N148" t="n">
        <v>0</v>
      </c>
      <c r="O148" t="n">
        <v>0</v>
      </c>
      <c r="P148" t="n">
        <v>0</v>
      </c>
      <c r="Q148" t="n">
        <v>0</v>
      </c>
      <c r="R148" s="2" t="inlineStr"/>
    </row>
    <row r="149" ht="15" customHeight="1">
      <c r="A149" t="inlineStr">
        <is>
          <t>A 70218-2021</t>
        </is>
      </c>
      <c r="B149" s="1" t="n">
        <v>44535.6571412037</v>
      </c>
      <c r="C149" s="1" t="n">
        <v>45924</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37881-2021</t>
        </is>
      </c>
      <c r="B150" s="1" t="n">
        <v>44403</v>
      </c>
      <c r="C150" s="1" t="n">
        <v>45924</v>
      </c>
      <c r="D150" t="inlineStr">
        <is>
          <t>VÄSTMANLANDS LÄN</t>
        </is>
      </c>
      <c r="E150" t="inlineStr">
        <is>
          <t>SALA</t>
        </is>
      </c>
      <c r="G150" t="n">
        <v>4.6</v>
      </c>
      <c r="H150" t="n">
        <v>0</v>
      </c>
      <c r="I150" t="n">
        <v>0</v>
      </c>
      <c r="J150" t="n">
        <v>0</v>
      </c>
      <c r="K150" t="n">
        <v>0</v>
      </c>
      <c r="L150" t="n">
        <v>0</v>
      </c>
      <c r="M150" t="n">
        <v>0</v>
      </c>
      <c r="N150" t="n">
        <v>0</v>
      </c>
      <c r="O150" t="n">
        <v>0</v>
      </c>
      <c r="P150" t="n">
        <v>0</v>
      </c>
      <c r="Q150" t="n">
        <v>0</v>
      </c>
      <c r="R150" s="2" t="inlineStr"/>
    </row>
    <row r="151" ht="15" customHeight="1">
      <c r="A151" t="inlineStr">
        <is>
          <t>A 72805-2021</t>
        </is>
      </c>
      <c r="B151" s="1" t="n">
        <v>44546</v>
      </c>
      <c r="C151" s="1" t="n">
        <v>45924</v>
      </c>
      <c r="D151" t="inlineStr">
        <is>
          <t>VÄSTMANLANDS LÄN</t>
        </is>
      </c>
      <c r="E151" t="inlineStr">
        <is>
          <t>SALA</t>
        </is>
      </c>
      <c r="G151" t="n">
        <v>7.8</v>
      </c>
      <c r="H151" t="n">
        <v>0</v>
      </c>
      <c r="I151" t="n">
        <v>0</v>
      </c>
      <c r="J151" t="n">
        <v>0</v>
      </c>
      <c r="K151" t="n">
        <v>0</v>
      </c>
      <c r="L151" t="n">
        <v>0</v>
      </c>
      <c r="M151" t="n">
        <v>0</v>
      </c>
      <c r="N151" t="n">
        <v>0</v>
      </c>
      <c r="O151" t="n">
        <v>0</v>
      </c>
      <c r="P151" t="n">
        <v>0</v>
      </c>
      <c r="Q151" t="n">
        <v>0</v>
      </c>
      <c r="R151" s="2" t="inlineStr"/>
    </row>
    <row r="152" ht="15" customHeight="1">
      <c r="A152" t="inlineStr">
        <is>
          <t>A 72808-2021</t>
        </is>
      </c>
      <c r="B152" s="1" t="n">
        <v>44546</v>
      </c>
      <c r="C152" s="1" t="n">
        <v>45924</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3204-2022</t>
        </is>
      </c>
      <c r="B153" s="1" t="n">
        <v>44582</v>
      </c>
      <c r="C153" s="1" t="n">
        <v>45924</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45924</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45924</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45924</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26570-2021</t>
        </is>
      </c>
      <c r="B157" s="1" t="n">
        <v>44348</v>
      </c>
      <c r="C157" s="1" t="n">
        <v>45924</v>
      </c>
      <c r="D157" t="inlineStr">
        <is>
          <t>VÄSTMANLANDS LÄN</t>
        </is>
      </c>
      <c r="E157" t="inlineStr">
        <is>
          <t>SALA</t>
        </is>
      </c>
      <c r="G157" t="n">
        <v>2.5</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45924</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40113-2022</t>
        </is>
      </c>
      <c r="B159" s="1" t="n">
        <v>44819</v>
      </c>
      <c r="C159" s="1" t="n">
        <v>45924</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9075-2022</t>
        </is>
      </c>
      <c r="B160" s="1" t="n">
        <v>44615.47800925926</v>
      </c>
      <c r="C160" s="1" t="n">
        <v>45924</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45924</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29002-2022</t>
        </is>
      </c>
      <c r="B162" s="1" t="n">
        <v>44749</v>
      </c>
      <c r="C162" s="1" t="n">
        <v>45924</v>
      </c>
      <c r="D162" t="inlineStr">
        <is>
          <t>VÄSTMANLANDS LÄN</t>
        </is>
      </c>
      <c r="E162" t="inlineStr">
        <is>
          <t>SALA</t>
        </is>
      </c>
      <c r="G162" t="n">
        <v>5.4</v>
      </c>
      <c r="H162" t="n">
        <v>0</v>
      </c>
      <c r="I162" t="n">
        <v>0</v>
      </c>
      <c r="J162" t="n">
        <v>0</v>
      </c>
      <c r="K162" t="n">
        <v>0</v>
      </c>
      <c r="L162" t="n">
        <v>0</v>
      </c>
      <c r="M162" t="n">
        <v>0</v>
      </c>
      <c r="N162" t="n">
        <v>0</v>
      </c>
      <c r="O162" t="n">
        <v>0</v>
      </c>
      <c r="P162" t="n">
        <v>0</v>
      </c>
      <c r="Q162" t="n">
        <v>0</v>
      </c>
      <c r="R162" s="2" t="inlineStr"/>
    </row>
    <row r="163" ht="15" customHeight="1">
      <c r="A163" t="inlineStr">
        <is>
          <t>A 51596-2022</t>
        </is>
      </c>
      <c r="B163" s="1" t="n">
        <v>44871</v>
      </c>
      <c r="C163" s="1" t="n">
        <v>45924</v>
      </c>
      <c r="D163" t="inlineStr">
        <is>
          <t>VÄSTMANLANDS LÄN</t>
        </is>
      </c>
      <c r="E163" t="inlineStr">
        <is>
          <t>SALA</t>
        </is>
      </c>
      <c r="F163" t="inlineStr">
        <is>
          <t>Bergvik skog öst AB</t>
        </is>
      </c>
      <c r="G163" t="n">
        <v>1.2</v>
      </c>
      <c r="H163" t="n">
        <v>0</v>
      </c>
      <c r="I163" t="n">
        <v>0</v>
      </c>
      <c r="J163" t="n">
        <v>0</v>
      </c>
      <c r="K163" t="n">
        <v>0</v>
      </c>
      <c r="L163" t="n">
        <v>0</v>
      </c>
      <c r="M163" t="n">
        <v>0</v>
      </c>
      <c r="N163" t="n">
        <v>0</v>
      </c>
      <c r="O163" t="n">
        <v>0</v>
      </c>
      <c r="P163" t="n">
        <v>0</v>
      </c>
      <c r="Q163" t="n">
        <v>0</v>
      </c>
      <c r="R163" s="2" t="inlineStr"/>
    </row>
    <row r="164" ht="15" customHeight="1">
      <c r="A164" t="inlineStr">
        <is>
          <t>A 66508-2021</t>
        </is>
      </c>
      <c r="B164" s="1" t="n">
        <v>44519.33401620371</v>
      </c>
      <c r="C164" s="1" t="n">
        <v>45924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31452-2021</t>
        </is>
      </c>
      <c r="B165" s="1" t="n">
        <v>44369</v>
      </c>
      <c r="C165" s="1" t="n">
        <v>45924</v>
      </c>
      <c r="D165" t="inlineStr">
        <is>
          <t>VÄSTMANLANDS LÄN</t>
        </is>
      </c>
      <c r="E165" t="inlineStr">
        <is>
          <t>SALA</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22811-2022</t>
        </is>
      </c>
      <c r="B166" s="1" t="n">
        <v>44715</v>
      </c>
      <c r="C166" s="1" t="n">
        <v>45924</v>
      </c>
      <c r="D166" t="inlineStr">
        <is>
          <t>VÄSTMANLANDS LÄN</t>
        </is>
      </c>
      <c r="E166" t="inlineStr">
        <is>
          <t>SALA</t>
        </is>
      </c>
      <c r="G166" t="n">
        <v>5</v>
      </c>
      <c r="H166" t="n">
        <v>0</v>
      </c>
      <c r="I166" t="n">
        <v>0</v>
      </c>
      <c r="J166" t="n">
        <v>0</v>
      </c>
      <c r="K166" t="n">
        <v>0</v>
      </c>
      <c r="L166" t="n">
        <v>0</v>
      </c>
      <c r="M166" t="n">
        <v>0</v>
      </c>
      <c r="N166" t="n">
        <v>0</v>
      </c>
      <c r="O166" t="n">
        <v>0</v>
      </c>
      <c r="P166" t="n">
        <v>0</v>
      </c>
      <c r="Q166" t="n">
        <v>0</v>
      </c>
      <c r="R166" s="2" t="inlineStr"/>
    </row>
    <row r="167" ht="15" customHeight="1">
      <c r="A167" t="inlineStr">
        <is>
          <t>A 65213-2021</t>
        </is>
      </c>
      <c r="B167" s="1" t="n">
        <v>44515</v>
      </c>
      <c r="C167" s="1" t="n">
        <v>45924</v>
      </c>
      <c r="D167" t="inlineStr">
        <is>
          <t>VÄSTMANLANDS LÄN</t>
        </is>
      </c>
      <c r="E167" t="inlineStr">
        <is>
          <t>SALA</t>
        </is>
      </c>
      <c r="G167" t="n">
        <v>0.6</v>
      </c>
      <c r="H167" t="n">
        <v>0</v>
      </c>
      <c r="I167" t="n">
        <v>0</v>
      </c>
      <c r="J167" t="n">
        <v>0</v>
      </c>
      <c r="K167" t="n">
        <v>0</v>
      </c>
      <c r="L167" t="n">
        <v>0</v>
      </c>
      <c r="M167" t="n">
        <v>0</v>
      </c>
      <c r="N167" t="n">
        <v>0</v>
      </c>
      <c r="O167" t="n">
        <v>0</v>
      </c>
      <c r="P167" t="n">
        <v>0</v>
      </c>
      <c r="Q167" t="n">
        <v>0</v>
      </c>
      <c r="R167" s="2" t="inlineStr"/>
    </row>
    <row r="168" ht="15" customHeight="1">
      <c r="A168" t="inlineStr">
        <is>
          <t>A 23181-2022</t>
        </is>
      </c>
      <c r="B168" s="1" t="n">
        <v>44719.79537037037</v>
      </c>
      <c r="C168" s="1" t="n">
        <v>45924</v>
      </c>
      <c r="D168" t="inlineStr">
        <is>
          <t>VÄSTMANLANDS LÄN</t>
        </is>
      </c>
      <c r="E168" t="inlineStr">
        <is>
          <t>SALA</t>
        </is>
      </c>
      <c r="G168" t="n">
        <v>0.8</v>
      </c>
      <c r="H168" t="n">
        <v>0</v>
      </c>
      <c r="I168" t="n">
        <v>0</v>
      </c>
      <c r="J168" t="n">
        <v>0</v>
      </c>
      <c r="K168" t="n">
        <v>0</v>
      </c>
      <c r="L168" t="n">
        <v>0</v>
      </c>
      <c r="M168" t="n">
        <v>0</v>
      </c>
      <c r="N168" t="n">
        <v>0</v>
      </c>
      <c r="O168" t="n">
        <v>0</v>
      </c>
      <c r="P168" t="n">
        <v>0</v>
      </c>
      <c r="Q168" t="n">
        <v>0</v>
      </c>
      <c r="R168" s="2" t="inlineStr"/>
    </row>
    <row r="169" ht="15" customHeight="1">
      <c r="A169" t="inlineStr">
        <is>
          <t>A 65860-2021</t>
        </is>
      </c>
      <c r="B169" s="1" t="n">
        <v>44517.38163194444</v>
      </c>
      <c r="C169" s="1" t="n">
        <v>45924</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45924</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45924</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45924</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45924</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66830-2021</t>
        </is>
      </c>
      <c r="B174" s="1" t="n">
        <v>44522.40886574074</v>
      </c>
      <c r="C174" s="1" t="n">
        <v>45924</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58912-2020</t>
        </is>
      </c>
      <c r="B175" s="1" t="n">
        <v>44146</v>
      </c>
      <c r="C175" s="1" t="n">
        <v>45924</v>
      </c>
      <c r="D175" t="inlineStr">
        <is>
          <t>VÄSTMANLANDS LÄN</t>
        </is>
      </c>
      <c r="E175" t="inlineStr">
        <is>
          <t>SALA</t>
        </is>
      </c>
      <c r="G175" t="n">
        <v>1.1</v>
      </c>
      <c r="H175" t="n">
        <v>0</v>
      </c>
      <c r="I175" t="n">
        <v>0</v>
      </c>
      <c r="J175" t="n">
        <v>0</v>
      </c>
      <c r="K175" t="n">
        <v>0</v>
      </c>
      <c r="L175" t="n">
        <v>0</v>
      </c>
      <c r="M175" t="n">
        <v>0</v>
      </c>
      <c r="N175" t="n">
        <v>0</v>
      </c>
      <c r="O175" t="n">
        <v>0</v>
      </c>
      <c r="P175" t="n">
        <v>0</v>
      </c>
      <c r="Q175" t="n">
        <v>0</v>
      </c>
      <c r="R175" s="2" t="inlineStr"/>
    </row>
    <row r="176" ht="15" customHeight="1">
      <c r="A176" t="inlineStr">
        <is>
          <t>A 28402-2022</t>
        </is>
      </c>
      <c r="B176" s="1" t="n">
        <v>44747</v>
      </c>
      <c r="C176" s="1" t="n">
        <v>45924</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45924</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8130-2022</t>
        </is>
      </c>
      <c r="B178" s="1" t="n">
        <v>44609.5984837963</v>
      </c>
      <c r="C178" s="1" t="n">
        <v>45924</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66307-2021</t>
        </is>
      </c>
      <c r="B179" s="1" t="n">
        <v>44518.48670138889</v>
      </c>
      <c r="C179" s="1" t="n">
        <v>45924</v>
      </c>
      <c r="D179" t="inlineStr">
        <is>
          <t>VÄSTMANLANDS LÄN</t>
        </is>
      </c>
      <c r="E179" t="inlineStr">
        <is>
          <t>SALA</t>
        </is>
      </c>
      <c r="G179" t="n">
        <v>0.7</v>
      </c>
      <c r="H179" t="n">
        <v>0</v>
      </c>
      <c r="I179" t="n">
        <v>0</v>
      </c>
      <c r="J179" t="n">
        <v>0</v>
      </c>
      <c r="K179" t="n">
        <v>0</v>
      </c>
      <c r="L179" t="n">
        <v>0</v>
      </c>
      <c r="M179" t="n">
        <v>0</v>
      </c>
      <c r="N179" t="n">
        <v>0</v>
      </c>
      <c r="O179" t="n">
        <v>0</v>
      </c>
      <c r="P179" t="n">
        <v>0</v>
      </c>
      <c r="Q179" t="n">
        <v>0</v>
      </c>
      <c r="R179" s="2" t="inlineStr"/>
    </row>
    <row r="180" ht="15" customHeight="1">
      <c r="A180" t="inlineStr">
        <is>
          <t>A 65818-2021</t>
        </is>
      </c>
      <c r="B180" s="1" t="n">
        <v>44517</v>
      </c>
      <c r="C180" s="1" t="n">
        <v>45924</v>
      </c>
      <c r="D180" t="inlineStr">
        <is>
          <t>VÄSTMANLANDS LÄN</t>
        </is>
      </c>
      <c r="E180" t="inlineStr">
        <is>
          <t>SALA</t>
        </is>
      </c>
      <c r="G180" t="n">
        <v>0.6</v>
      </c>
      <c r="H180" t="n">
        <v>0</v>
      </c>
      <c r="I180" t="n">
        <v>0</v>
      </c>
      <c r="J180" t="n">
        <v>0</v>
      </c>
      <c r="K180" t="n">
        <v>0</v>
      </c>
      <c r="L180" t="n">
        <v>0</v>
      </c>
      <c r="M180" t="n">
        <v>0</v>
      </c>
      <c r="N180" t="n">
        <v>0</v>
      </c>
      <c r="O180" t="n">
        <v>0</v>
      </c>
      <c r="P180" t="n">
        <v>0</v>
      </c>
      <c r="Q180" t="n">
        <v>0</v>
      </c>
      <c r="R180" s="2" t="inlineStr"/>
    </row>
    <row r="181" ht="15" customHeight="1">
      <c r="A181" t="inlineStr">
        <is>
          <t>A 13022-2023</t>
        </is>
      </c>
      <c r="B181" s="1" t="n">
        <v>45002.33291666667</v>
      </c>
      <c r="C181" s="1" t="n">
        <v>45924</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55881-2020</t>
        </is>
      </c>
      <c r="B182" s="1" t="n">
        <v>44132</v>
      </c>
      <c r="C182" s="1" t="n">
        <v>45924</v>
      </c>
      <c r="D182" t="inlineStr">
        <is>
          <t>VÄSTMANLANDS LÄN</t>
        </is>
      </c>
      <c r="E182" t="inlineStr">
        <is>
          <t>SALA</t>
        </is>
      </c>
      <c r="G182" t="n">
        <v>3</v>
      </c>
      <c r="H182" t="n">
        <v>0</v>
      </c>
      <c r="I182" t="n">
        <v>0</v>
      </c>
      <c r="J182" t="n">
        <v>0</v>
      </c>
      <c r="K182" t="n">
        <v>0</v>
      </c>
      <c r="L182" t="n">
        <v>0</v>
      </c>
      <c r="M182" t="n">
        <v>0</v>
      </c>
      <c r="N182" t="n">
        <v>0</v>
      </c>
      <c r="O182" t="n">
        <v>0</v>
      </c>
      <c r="P182" t="n">
        <v>0</v>
      </c>
      <c r="Q182" t="n">
        <v>0</v>
      </c>
      <c r="R182" s="2" t="inlineStr"/>
    </row>
    <row r="183" ht="15" customHeight="1">
      <c r="A183" t="inlineStr">
        <is>
          <t>A 4853-2023</t>
        </is>
      </c>
      <c r="B183" s="1" t="n">
        <v>44957.73234953704</v>
      </c>
      <c r="C183" s="1" t="n">
        <v>45924</v>
      </c>
      <c r="D183" t="inlineStr">
        <is>
          <t>VÄSTMANLANDS LÄN</t>
        </is>
      </c>
      <c r="E183" t="inlineStr">
        <is>
          <t>SALA</t>
        </is>
      </c>
      <c r="G183" t="n">
        <v>2.7</v>
      </c>
      <c r="H183" t="n">
        <v>0</v>
      </c>
      <c r="I183" t="n">
        <v>0</v>
      </c>
      <c r="J183" t="n">
        <v>0</v>
      </c>
      <c r="K183" t="n">
        <v>0</v>
      </c>
      <c r="L183" t="n">
        <v>0</v>
      </c>
      <c r="M183" t="n">
        <v>0</v>
      </c>
      <c r="N183" t="n">
        <v>0</v>
      </c>
      <c r="O183" t="n">
        <v>0</v>
      </c>
      <c r="P183" t="n">
        <v>0</v>
      </c>
      <c r="Q183" t="n">
        <v>0</v>
      </c>
      <c r="R183" s="2" t="inlineStr"/>
    </row>
    <row r="184" ht="15" customHeight="1">
      <c r="A184" t="inlineStr">
        <is>
          <t>A 27262-2024</t>
        </is>
      </c>
      <c r="B184" s="1" t="n">
        <v>45471</v>
      </c>
      <c r="C184" s="1" t="n">
        <v>45924</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10913-2025</t>
        </is>
      </c>
      <c r="B185" s="1" t="n">
        <v>45722.73423611111</v>
      </c>
      <c r="C185" s="1" t="n">
        <v>45924</v>
      </c>
      <c r="D185" t="inlineStr">
        <is>
          <t>VÄSTMANLANDS LÄN</t>
        </is>
      </c>
      <c r="E185" t="inlineStr">
        <is>
          <t>SALA</t>
        </is>
      </c>
      <c r="G185" t="n">
        <v>7.6</v>
      </c>
      <c r="H185" t="n">
        <v>0</v>
      </c>
      <c r="I185" t="n">
        <v>0</v>
      </c>
      <c r="J185" t="n">
        <v>0</v>
      </c>
      <c r="K185" t="n">
        <v>0</v>
      </c>
      <c r="L185" t="n">
        <v>0</v>
      </c>
      <c r="M185" t="n">
        <v>0</v>
      </c>
      <c r="N185" t="n">
        <v>0</v>
      </c>
      <c r="O185" t="n">
        <v>0</v>
      </c>
      <c r="P185" t="n">
        <v>0</v>
      </c>
      <c r="Q185" t="n">
        <v>0</v>
      </c>
      <c r="R185" s="2" t="inlineStr"/>
    </row>
    <row r="186" ht="15" customHeight="1">
      <c r="A186" t="inlineStr">
        <is>
          <t>A 9050-2022</t>
        </is>
      </c>
      <c r="B186" s="1" t="n">
        <v>44615.45451388889</v>
      </c>
      <c r="C186" s="1" t="n">
        <v>45924</v>
      </c>
      <c r="D186" t="inlineStr">
        <is>
          <t>VÄSTMANLANDS LÄN</t>
        </is>
      </c>
      <c r="E186" t="inlineStr">
        <is>
          <t>SALA</t>
        </is>
      </c>
      <c r="G186" t="n">
        <v>3.1</v>
      </c>
      <c r="H186" t="n">
        <v>0</v>
      </c>
      <c r="I186" t="n">
        <v>0</v>
      </c>
      <c r="J186" t="n">
        <v>0</v>
      </c>
      <c r="K186" t="n">
        <v>0</v>
      </c>
      <c r="L186" t="n">
        <v>0</v>
      </c>
      <c r="M186" t="n">
        <v>0</v>
      </c>
      <c r="N186" t="n">
        <v>0</v>
      </c>
      <c r="O186" t="n">
        <v>0</v>
      </c>
      <c r="P186" t="n">
        <v>0</v>
      </c>
      <c r="Q186" t="n">
        <v>0</v>
      </c>
      <c r="R186" s="2" t="inlineStr"/>
    </row>
    <row r="187" ht="15" customHeight="1">
      <c r="A187" t="inlineStr">
        <is>
          <t>A 10168-2022</t>
        </is>
      </c>
      <c r="B187" s="1" t="n">
        <v>44622.37693287037</v>
      </c>
      <c r="C187" s="1" t="n">
        <v>45924</v>
      </c>
      <c r="D187" t="inlineStr">
        <is>
          <t>VÄSTMANLANDS LÄN</t>
        </is>
      </c>
      <c r="E187" t="inlineStr">
        <is>
          <t>SALA</t>
        </is>
      </c>
      <c r="G187" t="n">
        <v>2.1</v>
      </c>
      <c r="H187" t="n">
        <v>0</v>
      </c>
      <c r="I187" t="n">
        <v>0</v>
      </c>
      <c r="J187" t="n">
        <v>0</v>
      </c>
      <c r="K187" t="n">
        <v>0</v>
      </c>
      <c r="L187" t="n">
        <v>0</v>
      </c>
      <c r="M187" t="n">
        <v>0</v>
      </c>
      <c r="N187" t="n">
        <v>0</v>
      </c>
      <c r="O187" t="n">
        <v>0</v>
      </c>
      <c r="P187" t="n">
        <v>0</v>
      </c>
      <c r="Q187" t="n">
        <v>0</v>
      </c>
      <c r="R187" s="2" t="inlineStr"/>
    </row>
    <row r="188" ht="15" customHeight="1">
      <c r="A188" t="inlineStr">
        <is>
          <t>A 12246-2023</t>
        </is>
      </c>
      <c r="B188" s="1" t="n">
        <v>44995</v>
      </c>
      <c r="C188" s="1" t="n">
        <v>45924</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35410-2022</t>
        </is>
      </c>
      <c r="B189" s="1" t="n">
        <v>44798.62576388889</v>
      </c>
      <c r="C189" s="1" t="n">
        <v>45924</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24169-2025</t>
        </is>
      </c>
      <c r="B190" s="1" t="n">
        <v>45796</v>
      </c>
      <c r="C190" s="1" t="n">
        <v>45924</v>
      </c>
      <c r="D190" t="inlineStr">
        <is>
          <t>VÄSTMANLANDS LÄN</t>
        </is>
      </c>
      <c r="E190" t="inlineStr">
        <is>
          <t>SALA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1118-2024</t>
        </is>
      </c>
      <c r="B191" s="1" t="n">
        <v>45302</v>
      </c>
      <c r="C191" s="1" t="n">
        <v>45924</v>
      </c>
      <c r="D191" t="inlineStr">
        <is>
          <t>VÄSTMANLANDS LÄN</t>
        </is>
      </c>
      <c r="E191" t="inlineStr">
        <is>
          <t>SALA</t>
        </is>
      </c>
      <c r="G191" t="n">
        <v>1.9</v>
      </c>
      <c r="H191" t="n">
        <v>0</v>
      </c>
      <c r="I191" t="n">
        <v>0</v>
      </c>
      <c r="J191" t="n">
        <v>0</v>
      </c>
      <c r="K191" t="n">
        <v>0</v>
      </c>
      <c r="L191" t="n">
        <v>0</v>
      </c>
      <c r="M191" t="n">
        <v>0</v>
      </c>
      <c r="N191" t="n">
        <v>0</v>
      </c>
      <c r="O191" t="n">
        <v>0</v>
      </c>
      <c r="P191" t="n">
        <v>0</v>
      </c>
      <c r="Q191" t="n">
        <v>0</v>
      </c>
      <c r="R191" s="2" t="inlineStr"/>
    </row>
    <row r="192" ht="15" customHeight="1">
      <c r="A192" t="inlineStr">
        <is>
          <t>A 11210-2025</t>
        </is>
      </c>
      <c r="B192" s="1" t="n">
        <v>45726</v>
      </c>
      <c r="C192" s="1" t="n">
        <v>45924</v>
      </c>
      <c r="D192" t="inlineStr">
        <is>
          <t>VÄSTMANLANDS LÄN</t>
        </is>
      </c>
      <c r="E192" t="inlineStr">
        <is>
          <t>SALA</t>
        </is>
      </c>
      <c r="G192" t="n">
        <v>4.1</v>
      </c>
      <c r="H192" t="n">
        <v>0</v>
      </c>
      <c r="I192" t="n">
        <v>0</v>
      </c>
      <c r="J192" t="n">
        <v>0</v>
      </c>
      <c r="K192" t="n">
        <v>0</v>
      </c>
      <c r="L192" t="n">
        <v>0</v>
      </c>
      <c r="M192" t="n">
        <v>0</v>
      </c>
      <c r="N192" t="n">
        <v>0</v>
      </c>
      <c r="O192" t="n">
        <v>0</v>
      </c>
      <c r="P192" t="n">
        <v>0</v>
      </c>
      <c r="Q192" t="n">
        <v>0</v>
      </c>
      <c r="R192" s="2" t="inlineStr"/>
    </row>
    <row r="193" ht="15" customHeight="1">
      <c r="A193" t="inlineStr">
        <is>
          <t>A 19033-2025</t>
        </is>
      </c>
      <c r="B193" s="1" t="n">
        <v>45764.65796296296</v>
      </c>
      <c r="C193" s="1" t="n">
        <v>45924</v>
      </c>
      <c r="D193" t="inlineStr">
        <is>
          <t>VÄSTMANLANDS LÄN</t>
        </is>
      </c>
      <c r="E193" t="inlineStr">
        <is>
          <t>SALA</t>
        </is>
      </c>
      <c r="F193" t="inlineStr">
        <is>
          <t>Bergvik skog öst AB</t>
        </is>
      </c>
      <c r="G193" t="n">
        <v>1.4</v>
      </c>
      <c r="H193" t="n">
        <v>0</v>
      </c>
      <c r="I193" t="n">
        <v>0</v>
      </c>
      <c r="J193" t="n">
        <v>0</v>
      </c>
      <c r="K193" t="n">
        <v>0</v>
      </c>
      <c r="L193" t="n">
        <v>0</v>
      </c>
      <c r="M193" t="n">
        <v>0</v>
      </c>
      <c r="N193" t="n">
        <v>0</v>
      </c>
      <c r="O193" t="n">
        <v>0</v>
      </c>
      <c r="P193" t="n">
        <v>0</v>
      </c>
      <c r="Q193" t="n">
        <v>0</v>
      </c>
      <c r="R193" s="2" t="inlineStr"/>
    </row>
    <row r="194" ht="15" customHeight="1">
      <c r="A194" t="inlineStr">
        <is>
          <t>A 53864-2022</t>
        </is>
      </c>
      <c r="B194" s="1" t="n">
        <v>44880.64016203704</v>
      </c>
      <c r="C194" s="1" t="n">
        <v>45924</v>
      </c>
      <c r="D194" t="inlineStr">
        <is>
          <t>VÄSTMANLANDS LÄN</t>
        </is>
      </c>
      <c r="E194" t="inlineStr">
        <is>
          <t>SALA</t>
        </is>
      </c>
      <c r="G194" t="n">
        <v>5.9</v>
      </c>
      <c r="H194" t="n">
        <v>0</v>
      </c>
      <c r="I194" t="n">
        <v>0</v>
      </c>
      <c r="J194" t="n">
        <v>0</v>
      </c>
      <c r="K194" t="n">
        <v>0</v>
      </c>
      <c r="L194" t="n">
        <v>0</v>
      </c>
      <c r="M194" t="n">
        <v>0</v>
      </c>
      <c r="N194" t="n">
        <v>0</v>
      </c>
      <c r="O194" t="n">
        <v>0</v>
      </c>
      <c r="P194" t="n">
        <v>0</v>
      </c>
      <c r="Q194" t="n">
        <v>0</v>
      </c>
      <c r="R194" s="2" t="inlineStr"/>
    </row>
    <row r="195" ht="15" customHeight="1">
      <c r="A195" t="inlineStr">
        <is>
          <t>A 40085-2024</t>
        </is>
      </c>
      <c r="B195" s="1" t="n">
        <v>45554</v>
      </c>
      <c r="C195" s="1" t="n">
        <v>45924</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3551-2024</t>
        </is>
      </c>
      <c r="B196" s="1" t="n">
        <v>45320.61099537037</v>
      </c>
      <c r="C196" s="1" t="n">
        <v>45924</v>
      </c>
      <c r="D196" t="inlineStr">
        <is>
          <t>VÄSTMANLANDS LÄN</t>
        </is>
      </c>
      <c r="E196" t="inlineStr">
        <is>
          <t>SALA</t>
        </is>
      </c>
      <c r="F196" t="inlineStr">
        <is>
          <t>Kommuner</t>
        </is>
      </c>
      <c r="G196" t="n">
        <v>6</v>
      </c>
      <c r="H196" t="n">
        <v>0</v>
      </c>
      <c r="I196" t="n">
        <v>0</v>
      </c>
      <c r="J196" t="n">
        <v>0</v>
      </c>
      <c r="K196" t="n">
        <v>0</v>
      </c>
      <c r="L196" t="n">
        <v>0</v>
      </c>
      <c r="M196" t="n">
        <v>0</v>
      </c>
      <c r="N196" t="n">
        <v>0</v>
      </c>
      <c r="O196" t="n">
        <v>0</v>
      </c>
      <c r="P196" t="n">
        <v>0</v>
      </c>
      <c r="Q196" t="n">
        <v>0</v>
      </c>
      <c r="R196" s="2" t="inlineStr"/>
    </row>
    <row r="197" ht="15" customHeight="1">
      <c r="A197" t="inlineStr">
        <is>
          <t>A 42447-2022</t>
        </is>
      </c>
      <c r="B197" s="1" t="n">
        <v>44831</v>
      </c>
      <c r="C197" s="1" t="n">
        <v>45924</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24944-2023</t>
        </is>
      </c>
      <c r="B198" s="1" t="n">
        <v>45085</v>
      </c>
      <c r="C198" s="1" t="n">
        <v>45924</v>
      </c>
      <c r="D198" t="inlineStr">
        <is>
          <t>VÄSTMANLANDS LÄN</t>
        </is>
      </c>
      <c r="E198" t="inlineStr">
        <is>
          <t>SALA</t>
        </is>
      </c>
      <c r="G198" t="n">
        <v>3.8</v>
      </c>
      <c r="H198" t="n">
        <v>0</v>
      </c>
      <c r="I198" t="n">
        <v>0</v>
      </c>
      <c r="J198" t="n">
        <v>0</v>
      </c>
      <c r="K198" t="n">
        <v>0</v>
      </c>
      <c r="L198" t="n">
        <v>0</v>
      </c>
      <c r="M198" t="n">
        <v>0</v>
      </c>
      <c r="N198" t="n">
        <v>0</v>
      </c>
      <c r="O198" t="n">
        <v>0</v>
      </c>
      <c r="P198" t="n">
        <v>0</v>
      </c>
      <c r="Q198" t="n">
        <v>0</v>
      </c>
      <c r="R198" s="2" t="inlineStr"/>
    </row>
    <row r="199" ht="15" customHeight="1">
      <c r="A199" t="inlineStr">
        <is>
          <t>A 57000-2021</t>
        </is>
      </c>
      <c r="B199" s="1" t="n">
        <v>44482.46760416667</v>
      </c>
      <c r="C199" s="1" t="n">
        <v>45924</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33732-2023</t>
        </is>
      </c>
      <c r="B200" s="1" t="n">
        <v>45133.32409722222</v>
      </c>
      <c r="C200" s="1" t="n">
        <v>45924</v>
      </c>
      <c r="D200" t="inlineStr">
        <is>
          <t>VÄSTMANLANDS LÄN</t>
        </is>
      </c>
      <c r="E200" t="inlineStr">
        <is>
          <t>SALA</t>
        </is>
      </c>
      <c r="G200" t="n">
        <v>2</v>
      </c>
      <c r="H200" t="n">
        <v>0</v>
      </c>
      <c r="I200" t="n">
        <v>0</v>
      </c>
      <c r="J200" t="n">
        <v>0</v>
      </c>
      <c r="K200" t="n">
        <v>0</v>
      </c>
      <c r="L200" t="n">
        <v>0</v>
      </c>
      <c r="M200" t="n">
        <v>0</v>
      </c>
      <c r="N200" t="n">
        <v>0</v>
      </c>
      <c r="O200" t="n">
        <v>0</v>
      </c>
      <c r="P200" t="n">
        <v>0</v>
      </c>
      <c r="Q200" t="n">
        <v>0</v>
      </c>
      <c r="R200" s="2" t="inlineStr"/>
    </row>
    <row r="201" ht="15" customHeight="1">
      <c r="A201" t="inlineStr">
        <is>
          <t>A 59909-2024</t>
        </is>
      </c>
      <c r="B201" s="1" t="n">
        <v>45641</v>
      </c>
      <c r="C201" s="1" t="n">
        <v>45924</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26579-2021</t>
        </is>
      </c>
      <c r="B202" s="1" t="n">
        <v>44348</v>
      </c>
      <c r="C202" s="1" t="n">
        <v>45924</v>
      </c>
      <c r="D202" t="inlineStr">
        <is>
          <t>VÄSTMANLANDS LÄN</t>
        </is>
      </c>
      <c r="E202" t="inlineStr">
        <is>
          <t>SALA</t>
        </is>
      </c>
      <c r="G202" t="n">
        <v>1.6</v>
      </c>
      <c r="H202" t="n">
        <v>0</v>
      </c>
      <c r="I202" t="n">
        <v>0</v>
      </c>
      <c r="J202" t="n">
        <v>0</v>
      </c>
      <c r="K202" t="n">
        <v>0</v>
      </c>
      <c r="L202" t="n">
        <v>0</v>
      </c>
      <c r="M202" t="n">
        <v>0</v>
      </c>
      <c r="N202" t="n">
        <v>0</v>
      </c>
      <c r="O202" t="n">
        <v>0</v>
      </c>
      <c r="P202" t="n">
        <v>0</v>
      </c>
      <c r="Q202" t="n">
        <v>0</v>
      </c>
      <c r="R202" s="2" t="inlineStr"/>
    </row>
    <row r="203" ht="15" customHeight="1">
      <c r="A203" t="inlineStr">
        <is>
          <t>A 41292-2021</t>
        </is>
      </c>
      <c r="B203" s="1" t="n">
        <v>44424</v>
      </c>
      <c r="C203" s="1" t="n">
        <v>45924</v>
      </c>
      <c r="D203" t="inlineStr">
        <is>
          <t>VÄSTMANLANDS LÄN</t>
        </is>
      </c>
      <c r="E203" t="inlineStr">
        <is>
          <t>SALA</t>
        </is>
      </c>
      <c r="G203" t="n">
        <v>0.3</v>
      </c>
      <c r="H203" t="n">
        <v>0</v>
      </c>
      <c r="I203" t="n">
        <v>0</v>
      </c>
      <c r="J203" t="n">
        <v>0</v>
      </c>
      <c r="K203" t="n">
        <v>0</v>
      </c>
      <c r="L203" t="n">
        <v>0</v>
      </c>
      <c r="M203" t="n">
        <v>0</v>
      </c>
      <c r="N203" t="n">
        <v>0</v>
      </c>
      <c r="O203" t="n">
        <v>0</v>
      </c>
      <c r="P203" t="n">
        <v>0</v>
      </c>
      <c r="Q203" t="n">
        <v>0</v>
      </c>
      <c r="R203" s="2" t="inlineStr"/>
    </row>
    <row r="204" ht="15" customHeight="1">
      <c r="A204" t="inlineStr">
        <is>
          <t>A 24460-2025</t>
        </is>
      </c>
      <c r="B204" s="1" t="n">
        <v>45798</v>
      </c>
      <c r="C204" s="1" t="n">
        <v>45924</v>
      </c>
      <c r="D204" t="inlineStr">
        <is>
          <t>VÄSTMANLANDS LÄN</t>
        </is>
      </c>
      <c r="E204" t="inlineStr">
        <is>
          <t>SALA</t>
        </is>
      </c>
      <c r="F204" t="inlineStr">
        <is>
          <t>Bergvik skog öst AB</t>
        </is>
      </c>
      <c r="G204" t="n">
        <v>2.6</v>
      </c>
      <c r="H204" t="n">
        <v>0</v>
      </c>
      <c r="I204" t="n">
        <v>0</v>
      </c>
      <c r="J204" t="n">
        <v>0</v>
      </c>
      <c r="K204" t="n">
        <v>0</v>
      </c>
      <c r="L204" t="n">
        <v>0</v>
      </c>
      <c r="M204" t="n">
        <v>0</v>
      </c>
      <c r="N204" t="n">
        <v>0</v>
      </c>
      <c r="O204" t="n">
        <v>0</v>
      </c>
      <c r="P204" t="n">
        <v>0</v>
      </c>
      <c r="Q204" t="n">
        <v>0</v>
      </c>
      <c r="R204" s="2" t="inlineStr"/>
    </row>
    <row r="205" ht="15" customHeight="1">
      <c r="A205" t="inlineStr">
        <is>
          <t>A 22961-2023</t>
        </is>
      </c>
      <c r="B205" s="1" t="n">
        <v>45072</v>
      </c>
      <c r="C205" s="1" t="n">
        <v>45924</v>
      </c>
      <c r="D205" t="inlineStr">
        <is>
          <t>VÄSTMANLANDS LÄN</t>
        </is>
      </c>
      <c r="E205" t="inlineStr">
        <is>
          <t>SALA</t>
        </is>
      </c>
      <c r="G205" t="n">
        <v>2.7</v>
      </c>
      <c r="H205" t="n">
        <v>0</v>
      </c>
      <c r="I205" t="n">
        <v>0</v>
      </c>
      <c r="J205" t="n">
        <v>0</v>
      </c>
      <c r="K205" t="n">
        <v>0</v>
      </c>
      <c r="L205" t="n">
        <v>0</v>
      </c>
      <c r="M205" t="n">
        <v>0</v>
      </c>
      <c r="N205" t="n">
        <v>0</v>
      </c>
      <c r="O205" t="n">
        <v>0</v>
      </c>
      <c r="P205" t="n">
        <v>0</v>
      </c>
      <c r="Q205" t="n">
        <v>0</v>
      </c>
      <c r="R205" s="2" t="inlineStr"/>
    </row>
    <row r="206" ht="15" customHeight="1">
      <c r="A206" t="inlineStr">
        <is>
          <t>A 22963-2023</t>
        </is>
      </c>
      <c r="B206" s="1" t="n">
        <v>45072</v>
      </c>
      <c r="C206" s="1" t="n">
        <v>45924</v>
      </c>
      <c r="D206" t="inlineStr">
        <is>
          <t>VÄSTMANLANDS LÄN</t>
        </is>
      </c>
      <c r="E206" t="inlineStr">
        <is>
          <t>SALA</t>
        </is>
      </c>
      <c r="G206" t="n">
        <v>1.2</v>
      </c>
      <c r="H206" t="n">
        <v>0</v>
      </c>
      <c r="I206" t="n">
        <v>0</v>
      </c>
      <c r="J206" t="n">
        <v>0</v>
      </c>
      <c r="K206" t="n">
        <v>0</v>
      </c>
      <c r="L206" t="n">
        <v>0</v>
      </c>
      <c r="M206" t="n">
        <v>0</v>
      </c>
      <c r="N206" t="n">
        <v>0</v>
      </c>
      <c r="O206" t="n">
        <v>0</v>
      </c>
      <c r="P206" t="n">
        <v>0</v>
      </c>
      <c r="Q206" t="n">
        <v>0</v>
      </c>
      <c r="R206" s="2" t="inlineStr"/>
    </row>
    <row r="207" ht="15" customHeight="1">
      <c r="A207" t="inlineStr">
        <is>
          <t>A 24463-2025</t>
        </is>
      </c>
      <c r="B207" s="1" t="n">
        <v>45798</v>
      </c>
      <c r="C207" s="1" t="n">
        <v>45924</v>
      </c>
      <c r="D207" t="inlineStr">
        <is>
          <t>VÄSTMANLANDS LÄN</t>
        </is>
      </c>
      <c r="E207" t="inlineStr">
        <is>
          <t>SALA</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64932-2021</t>
        </is>
      </c>
      <c r="B208" s="1" t="n">
        <v>44512</v>
      </c>
      <c r="C208" s="1" t="n">
        <v>45924</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51464-2024</t>
        </is>
      </c>
      <c r="B209" s="1" t="n">
        <v>45604.49768518518</v>
      </c>
      <c r="C209" s="1" t="n">
        <v>45924</v>
      </c>
      <c r="D209" t="inlineStr">
        <is>
          <t>VÄSTMANLANDS LÄN</t>
        </is>
      </c>
      <c r="E209" t="inlineStr">
        <is>
          <t>SALA</t>
        </is>
      </c>
      <c r="G209" t="n">
        <v>3.9</v>
      </c>
      <c r="H209" t="n">
        <v>0</v>
      </c>
      <c r="I209" t="n">
        <v>0</v>
      </c>
      <c r="J209" t="n">
        <v>0</v>
      </c>
      <c r="K209" t="n">
        <v>0</v>
      </c>
      <c r="L209" t="n">
        <v>0</v>
      </c>
      <c r="M209" t="n">
        <v>0</v>
      </c>
      <c r="N209" t="n">
        <v>0</v>
      </c>
      <c r="O209" t="n">
        <v>0</v>
      </c>
      <c r="P209" t="n">
        <v>0</v>
      </c>
      <c r="Q209" t="n">
        <v>0</v>
      </c>
      <c r="R209" s="2" t="inlineStr"/>
    </row>
    <row r="210" ht="15" customHeight="1">
      <c r="A210" t="inlineStr">
        <is>
          <t>A 54603-2024</t>
        </is>
      </c>
      <c r="B210" s="1" t="n">
        <v>45617.68224537037</v>
      </c>
      <c r="C210" s="1" t="n">
        <v>45924</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69232-2021</t>
        </is>
      </c>
      <c r="B211" s="1" t="n">
        <v>44531.39696759259</v>
      </c>
      <c r="C211" s="1" t="n">
        <v>45924</v>
      </c>
      <c r="D211" t="inlineStr">
        <is>
          <t>VÄSTMANLANDS LÄN</t>
        </is>
      </c>
      <c r="E211" t="inlineStr">
        <is>
          <t>SALA</t>
        </is>
      </c>
      <c r="G211" t="n">
        <v>2.3</v>
      </c>
      <c r="H211" t="n">
        <v>0</v>
      </c>
      <c r="I211" t="n">
        <v>0</v>
      </c>
      <c r="J211" t="n">
        <v>0</v>
      </c>
      <c r="K211" t="n">
        <v>0</v>
      </c>
      <c r="L211" t="n">
        <v>0</v>
      </c>
      <c r="M211" t="n">
        <v>0</v>
      </c>
      <c r="N211" t="n">
        <v>0</v>
      </c>
      <c r="O211" t="n">
        <v>0</v>
      </c>
      <c r="P211" t="n">
        <v>0</v>
      </c>
      <c r="Q211" t="n">
        <v>0</v>
      </c>
      <c r="R211" s="2" t="inlineStr"/>
    </row>
    <row r="212" ht="15" customHeight="1">
      <c r="A212" t="inlineStr">
        <is>
          <t>A 54960-2024</t>
        </is>
      </c>
      <c r="B212" s="1" t="n">
        <v>45619.85208333333</v>
      </c>
      <c r="C212" s="1" t="n">
        <v>45924</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55065-2024</t>
        </is>
      </c>
      <c r="B213" s="1" t="n">
        <v>45618</v>
      </c>
      <c r="C213" s="1" t="n">
        <v>45924</v>
      </c>
      <c r="D213" t="inlineStr">
        <is>
          <t>VÄSTMANLANDS LÄN</t>
        </is>
      </c>
      <c r="E213" t="inlineStr">
        <is>
          <t>SALA</t>
        </is>
      </c>
      <c r="G213" t="n">
        <v>3.5</v>
      </c>
      <c r="H213" t="n">
        <v>0</v>
      </c>
      <c r="I213" t="n">
        <v>0</v>
      </c>
      <c r="J213" t="n">
        <v>0</v>
      </c>
      <c r="K213" t="n">
        <v>0</v>
      </c>
      <c r="L213" t="n">
        <v>0</v>
      </c>
      <c r="M213" t="n">
        <v>0</v>
      </c>
      <c r="N213" t="n">
        <v>0</v>
      </c>
      <c r="O213" t="n">
        <v>0</v>
      </c>
      <c r="P213" t="n">
        <v>0</v>
      </c>
      <c r="Q213" t="n">
        <v>0</v>
      </c>
      <c r="R213" s="2" t="inlineStr"/>
    </row>
    <row r="214" ht="15" customHeight="1">
      <c r="A214" t="inlineStr">
        <is>
          <t>A 24907-2025</t>
        </is>
      </c>
      <c r="B214" s="1" t="n">
        <v>45799</v>
      </c>
      <c r="C214" s="1" t="n">
        <v>45924</v>
      </c>
      <c r="D214" t="inlineStr">
        <is>
          <t>VÄSTMANLANDS LÄN</t>
        </is>
      </c>
      <c r="E214" t="inlineStr">
        <is>
          <t>SALA</t>
        </is>
      </c>
      <c r="G214" t="n">
        <v>3.5</v>
      </c>
      <c r="H214" t="n">
        <v>0</v>
      </c>
      <c r="I214" t="n">
        <v>0</v>
      </c>
      <c r="J214" t="n">
        <v>0</v>
      </c>
      <c r="K214" t="n">
        <v>0</v>
      </c>
      <c r="L214" t="n">
        <v>0</v>
      </c>
      <c r="M214" t="n">
        <v>0</v>
      </c>
      <c r="N214" t="n">
        <v>0</v>
      </c>
      <c r="O214" t="n">
        <v>0</v>
      </c>
      <c r="P214" t="n">
        <v>0</v>
      </c>
      <c r="Q214" t="n">
        <v>0</v>
      </c>
      <c r="R214" s="2" t="inlineStr"/>
    </row>
    <row r="215" ht="15" customHeight="1">
      <c r="A215" t="inlineStr">
        <is>
          <t>A 24910-2025</t>
        </is>
      </c>
      <c r="B215" s="1" t="n">
        <v>45799.53775462963</v>
      </c>
      <c r="C215" s="1" t="n">
        <v>45924</v>
      </c>
      <c r="D215" t="inlineStr">
        <is>
          <t>VÄSTMANLANDS LÄN</t>
        </is>
      </c>
      <c r="E215" t="inlineStr">
        <is>
          <t>SALA</t>
        </is>
      </c>
      <c r="G215" t="n">
        <v>3.5</v>
      </c>
      <c r="H215" t="n">
        <v>0</v>
      </c>
      <c r="I215" t="n">
        <v>0</v>
      </c>
      <c r="J215" t="n">
        <v>0</v>
      </c>
      <c r="K215" t="n">
        <v>0</v>
      </c>
      <c r="L215" t="n">
        <v>0</v>
      </c>
      <c r="M215" t="n">
        <v>0</v>
      </c>
      <c r="N215" t="n">
        <v>0</v>
      </c>
      <c r="O215" t="n">
        <v>0</v>
      </c>
      <c r="P215" t="n">
        <v>0</v>
      </c>
      <c r="Q215" t="n">
        <v>0</v>
      </c>
      <c r="R215" s="2" t="inlineStr"/>
    </row>
    <row r="216" ht="15" customHeight="1">
      <c r="A216" t="inlineStr">
        <is>
          <t>A 19398-2025</t>
        </is>
      </c>
      <c r="B216" s="1" t="n">
        <v>45769</v>
      </c>
      <c r="C216" s="1" t="n">
        <v>45924</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4797-2023</t>
        </is>
      </c>
      <c r="B217" s="1" t="n">
        <v>44957</v>
      </c>
      <c r="C217" s="1" t="n">
        <v>45924</v>
      </c>
      <c r="D217" t="inlineStr">
        <is>
          <t>VÄSTMANLANDS LÄN</t>
        </is>
      </c>
      <c r="E217" t="inlineStr">
        <is>
          <t>SALA</t>
        </is>
      </c>
      <c r="G217" t="n">
        <v>5.7</v>
      </c>
      <c r="H217" t="n">
        <v>0</v>
      </c>
      <c r="I217" t="n">
        <v>0</v>
      </c>
      <c r="J217" t="n">
        <v>0</v>
      </c>
      <c r="K217" t="n">
        <v>0</v>
      </c>
      <c r="L217" t="n">
        <v>0</v>
      </c>
      <c r="M217" t="n">
        <v>0</v>
      </c>
      <c r="N217" t="n">
        <v>0</v>
      </c>
      <c r="O217" t="n">
        <v>0</v>
      </c>
      <c r="P217" t="n">
        <v>0</v>
      </c>
      <c r="Q217" t="n">
        <v>0</v>
      </c>
      <c r="R217" s="2" t="inlineStr"/>
    </row>
    <row r="218" ht="15" customHeight="1">
      <c r="A218" t="inlineStr">
        <is>
          <t>A 27228-2023</t>
        </is>
      </c>
      <c r="B218" s="1" t="n">
        <v>45096.59189814814</v>
      </c>
      <c r="C218" s="1" t="n">
        <v>45924</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26507-2023</t>
        </is>
      </c>
      <c r="B219" s="1" t="n">
        <v>45092</v>
      </c>
      <c r="C219" s="1" t="n">
        <v>45924</v>
      </c>
      <c r="D219" t="inlineStr">
        <is>
          <t>VÄSTMANLANDS LÄN</t>
        </is>
      </c>
      <c r="E219" t="inlineStr">
        <is>
          <t>SALA</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6183-2025</t>
        </is>
      </c>
      <c r="B220" s="1" t="n">
        <v>45698</v>
      </c>
      <c r="C220" s="1" t="n">
        <v>45924</v>
      </c>
      <c r="D220" t="inlineStr">
        <is>
          <t>VÄSTMANLANDS LÄN</t>
        </is>
      </c>
      <c r="E220" t="inlineStr">
        <is>
          <t>SALA</t>
        </is>
      </c>
      <c r="F220" t="inlineStr">
        <is>
          <t>Bergvik skog öst AB</t>
        </is>
      </c>
      <c r="G220" t="n">
        <v>2.3</v>
      </c>
      <c r="H220" t="n">
        <v>0</v>
      </c>
      <c r="I220" t="n">
        <v>0</v>
      </c>
      <c r="J220" t="n">
        <v>0</v>
      </c>
      <c r="K220" t="n">
        <v>0</v>
      </c>
      <c r="L220" t="n">
        <v>0</v>
      </c>
      <c r="M220" t="n">
        <v>0</v>
      </c>
      <c r="N220" t="n">
        <v>0</v>
      </c>
      <c r="O220" t="n">
        <v>0</v>
      </c>
      <c r="P220" t="n">
        <v>0</v>
      </c>
      <c r="Q220" t="n">
        <v>0</v>
      </c>
      <c r="R220" s="2" t="inlineStr"/>
    </row>
    <row r="221" ht="15" customHeight="1">
      <c r="A221" t="inlineStr">
        <is>
          <t>A 16543-2023</t>
        </is>
      </c>
      <c r="B221" s="1" t="n">
        <v>45029</v>
      </c>
      <c r="C221" s="1" t="n">
        <v>45924</v>
      </c>
      <c r="D221" t="inlineStr">
        <is>
          <t>VÄSTMANLANDS LÄN</t>
        </is>
      </c>
      <c r="E221" t="inlineStr">
        <is>
          <t>SALA</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43176-2023</t>
        </is>
      </c>
      <c r="B222" s="1" t="n">
        <v>45183</v>
      </c>
      <c r="C222" s="1" t="n">
        <v>45924</v>
      </c>
      <c r="D222" t="inlineStr">
        <is>
          <t>VÄSTMANLANDS LÄN</t>
        </is>
      </c>
      <c r="E222" t="inlineStr">
        <is>
          <t>SALA</t>
        </is>
      </c>
      <c r="G222" t="n">
        <v>1.2</v>
      </c>
      <c r="H222" t="n">
        <v>0</v>
      </c>
      <c r="I222" t="n">
        <v>0</v>
      </c>
      <c r="J222" t="n">
        <v>0</v>
      </c>
      <c r="K222" t="n">
        <v>0</v>
      </c>
      <c r="L222" t="n">
        <v>0</v>
      </c>
      <c r="M222" t="n">
        <v>0</v>
      </c>
      <c r="N222" t="n">
        <v>0</v>
      </c>
      <c r="O222" t="n">
        <v>0</v>
      </c>
      <c r="P222" t="n">
        <v>0</v>
      </c>
      <c r="Q222" t="n">
        <v>0</v>
      </c>
      <c r="R222" s="2" t="inlineStr"/>
    </row>
    <row r="223" ht="15" customHeight="1">
      <c r="A223" t="inlineStr">
        <is>
          <t>A 37624-2024</t>
        </is>
      </c>
      <c r="B223" s="1" t="n">
        <v>45541</v>
      </c>
      <c r="C223" s="1" t="n">
        <v>45924</v>
      </c>
      <c r="D223" t="inlineStr">
        <is>
          <t>VÄSTMANLANDS LÄN</t>
        </is>
      </c>
      <c r="E223" t="inlineStr">
        <is>
          <t>SALA</t>
        </is>
      </c>
      <c r="G223" t="n">
        <v>0.7</v>
      </c>
      <c r="H223" t="n">
        <v>0</v>
      </c>
      <c r="I223" t="n">
        <v>0</v>
      </c>
      <c r="J223" t="n">
        <v>0</v>
      </c>
      <c r="K223" t="n">
        <v>0</v>
      </c>
      <c r="L223" t="n">
        <v>0</v>
      </c>
      <c r="M223" t="n">
        <v>0</v>
      </c>
      <c r="N223" t="n">
        <v>0</v>
      </c>
      <c r="O223" t="n">
        <v>0</v>
      </c>
      <c r="P223" t="n">
        <v>0</v>
      </c>
      <c r="Q223" t="n">
        <v>0</v>
      </c>
      <c r="R223" s="2" t="inlineStr"/>
    </row>
    <row r="224" ht="15" customHeight="1">
      <c r="A224" t="inlineStr">
        <is>
          <t>A 61517-2024</t>
        </is>
      </c>
      <c r="B224" s="1" t="n">
        <v>45645</v>
      </c>
      <c r="C224" s="1" t="n">
        <v>45924</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58107-2021</t>
        </is>
      </c>
      <c r="B225" s="1" t="n">
        <v>44487</v>
      </c>
      <c r="C225" s="1" t="n">
        <v>45924</v>
      </c>
      <c r="D225" t="inlineStr">
        <is>
          <t>VÄSTMANLANDS LÄN</t>
        </is>
      </c>
      <c r="E225" t="inlineStr">
        <is>
          <t>SALA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1638-2023</t>
        </is>
      </c>
      <c r="B226" s="1" t="n">
        <v>44937</v>
      </c>
      <c r="C226" s="1" t="n">
        <v>45924</v>
      </c>
      <c r="D226" t="inlineStr">
        <is>
          <t>VÄSTMANLANDS LÄN</t>
        </is>
      </c>
      <c r="E226" t="inlineStr">
        <is>
          <t>SALA</t>
        </is>
      </c>
      <c r="G226" t="n">
        <v>3.1</v>
      </c>
      <c r="H226" t="n">
        <v>0</v>
      </c>
      <c r="I226" t="n">
        <v>0</v>
      </c>
      <c r="J226" t="n">
        <v>0</v>
      </c>
      <c r="K226" t="n">
        <v>0</v>
      </c>
      <c r="L226" t="n">
        <v>0</v>
      </c>
      <c r="M226" t="n">
        <v>0</v>
      </c>
      <c r="N226" t="n">
        <v>0</v>
      </c>
      <c r="O226" t="n">
        <v>0</v>
      </c>
      <c r="P226" t="n">
        <v>0</v>
      </c>
      <c r="Q226" t="n">
        <v>0</v>
      </c>
      <c r="R226" s="2" t="inlineStr"/>
    </row>
    <row r="227" ht="15" customHeight="1">
      <c r="A227" t="inlineStr">
        <is>
          <t>A 57895-2024</t>
        </is>
      </c>
      <c r="B227" s="1" t="n">
        <v>45631</v>
      </c>
      <c r="C227" s="1" t="n">
        <v>45924</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47086-2022</t>
        </is>
      </c>
      <c r="B228" s="1" t="n">
        <v>44852</v>
      </c>
      <c r="C228" s="1" t="n">
        <v>45924</v>
      </c>
      <c r="D228" t="inlineStr">
        <is>
          <t>VÄSTMANLANDS LÄN</t>
        </is>
      </c>
      <c r="E228" t="inlineStr">
        <is>
          <t>SALA</t>
        </is>
      </c>
      <c r="G228" t="n">
        <v>12.5</v>
      </c>
      <c r="H228" t="n">
        <v>0</v>
      </c>
      <c r="I228" t="n">
        <v>0</v>
      </c>
      <c r="J228" t="n">
        <v>0</v>
      </c>
      <c r="K228" t="n">
        <v>0</v>
      </c>
      <c r="L228" t="n">
        <v>0</v>
      </c>
      <c r="M228" t="n">
        <v>0</v>
      </c>
      <c r="N228" t="n">
        <v>0</v>
      </c>
      <c r="O228" t="n">
        <v>0</v>
      </c>
      <c r="P228" t="n">
        <v>0</v>
      </c>
      <c r="Q228" t="n">
        <v>0</v>
      </c>
      <c r="R228" s="2" t="inlineStr"/>
    </row>
    <row r="229" ht="15" customHeight="1">
      <c r="A229" t="inlineStr">
        <is>
          <t>A 14010-2021</t>
        </is>
      </c>
      <c r="B229" s="1" t="n">
        <v>44277.63396990741</v>
      </c>
      <c r="C229" s="1" t="n">
        <v>45924</v>
      </c>
      <c r="D229" t="inlineStr">
        <is>
          <t>VÄSTMANLANDS LÄN</t>
        </is>
      </c>
      <c r="E229" t="inlineStr">
        <is>
          <t>SALA</t>
        </is>
      </c>
      <c r="G229" t="n">
        <v>3.5</v>
      </c>
      <c r="H229" t="n">
        <v>0</v>
      </c>
      <c r="I229" t="n">
        <v>0</v>
      </c>
      <c r="J229" t="n">
        <v>0</v>
      </c>
      <c r="K229" t="n">
        <v>0</v>
      </c>
      <c r="L229" t="n">
        <v>0</v>
      </c>
      <c r="M229" t="n">
        <v>0</v>
      </c>
      <c r="N229" t="n">
        <v>0</v>
      </c>
      <c r="O229" t="n">
        <v>0</v>
      </c>
      <c r="P229" t="n">
        <v>0</v>
      </c>
      <c r="Q229" t="n">
        <v>0</v>
      </c>
      <c r="R229" s="2" t="inlineStr"/>
    </row>
    <row r="230" ht="15" customHeight="1">
      <c r="A230" t="inlineStr">
        <is>
          <t>A 54768-2024</t>
        </is>
      </c>
      <c r="B230" s="1" t="n">
        <v>45618</v>
      </c>
      <c r="C230" s="1" t="n">
        <v>45924</v>
      </c>
      <c r="D230" t="inlineStr">
        <is>
          <t>VÄSTMANLANDS LÄN</t>
        </is>
      </c>
      <c r="E230" t="inlineStr">
        <is>
          <t>SALA</t>
        </is>
      </c>
      <c r="G230" t="n">
        <v>2.4</v>
      </c>
      <c r="H230" t="n">
        <v>0</v>
      </c>
      <c r="I230" t="n">
        <v>0</v>
      </c>
      <c r="J230" t="n">
        <v>0</v>
      </c>
      <c r="K230" t="n">
        <v>0</v>
      </c>
      <c r="L230" t="n">
        <v>0</v>
      </c>
      <c r="M230" t="n">
        <v>0</v>
      </c>
      <c r="N230" t="n">
        <v>0</v>
      </c>
      <c r="O230" t="n">
        <v>0</v>
      </c>
      <c r="P230" t="n">
        <v>0</v>
      </c>
      <c r="Q230" t="n">
        <v>0</v>
      </c>
      <c r="R230" s="2" t="inlineStr"/>
    </row>
    <row r="231" ht="15" customHeight="1">
      <c r="A231" t="inlineStr">
        <is>
          <t>A 35462-2024</t>
        </is>
      </c>
      <c r="B231" s="1" t="n">
        <v>45531</v>
      </c>
      <c r="C231" s="1" t="n">
        <v>45924</v>
      </c>
      <c r="D231" t="inlineStr">
        <is>
          <t>VÄSTMANLANDS LÄN</t>
        </is>
      </c>
      <c r="E231" t="inlineStr">
        <is>
          <t>SALA</t>
        </is>
      </c>
      <c r="G231" t="n">
        <v>0.6</v>
      </c>
      <c r="H231" t="n">
        <v>0</v>
      </c>
      <c r="I231" t="n">
        <v>0</v>
      </c>
      <c r="J231" t="n">
        <v>0</v>
      </c>
      <c r="K231" t="n">
        <v>0</v>
      </c>
      <c r="L231" t="n">
        <v>0</v>
      </c>
      <c r="M231" t="n">
        <v>0</v>
      </c>
      <c r="N231" t="n">
        <v>0</v>
      </c>
      <c r="O231" t="n">
        <v>0</v>
      </c>
      <c r="P231" t="n">
        <v>0</v>
      </c>
      <c r="Q231" t="n">
        <v>0</v>
      </c>
      <c r="R231" s="2" t="inlineStr"/>
    </row>
    <row r="232" ht="15" customHeight="1">
      <c r="A232" t="inlineStr">
        <is>
          <t>A 14024-2025</t>
        </is>
      </c>
      <c r="B232" s="1" t="n">
        <v>45740.34650462963</v>
      </c>
      <c r="C232" s="1" t="n">
        <v>45924</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10909-2024</t>
        </is>
      </c>
      <c r="B233" s="1" t="n">
        <v>45370</v>
      </c>
      <c r="C233" s="1" t="n">
        <v>45924</v>
      </c>
      <c r="D233" t="inlineStr">
        <is>
          <t>VÄSTMANLANDS LÄN</t>
        </is>
      </c>
      <c r="E233" t="inlineStr">
        <is>
          <t>SALA</t>
        </is>
      </c>
      <c r="G233" t="n">
        <v>3.3</v>
      </c>
      <c r="H233" t="n">
        <v>0</v>
      </c>
      <c r="I233" t="n">
        <v>0</v>
      </c>
      <c r="J233" t="n">
        <v>0</v>
      </c>
      <c r="K233" t="n">
        <v>0</v>
      </c>
      <c r="L233" t="n">
        <v>0</v>
      </c>
      <c r="M233" t="n">
        <v>0</v>
      </c>
      <c r="N233" t="n">
        <v>0</v>
      </c>
      <c r="O233" t="n">
        <v>0</v>
      </c>
      <c r="P233" t="n">
        <v>0</v>
      </c>
      <c r="Q233" t="n">
        <v>0</v>
      </c>
      <c r="R233" s="2" t="inlineStr"/>
    </row>
    <row r="234" ht="15" customHeight="1">
      <c r="A234" t="inlineStr">
        <is>
          <t>A 26692-2023</t>
        </is>
      </c>
      <c r="B234" s="1" t="n">
        <v>45093.360625</v>
      </c>
      <c r="C234" s="1" t="n">
        <v>45924</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54910-2023</t>
        </is>
      </c>
      <c r="B235" s="1" t="n">
        <v>45229</v>
      </c>
      <c r="C235" s="1" t="n">
        <v>45924</v>
      </c>
      <c r="D235" t="inlineStr">
        <is>
          <t>VÄSTMANLANDS LÄN</t>
        </is>
      </c>
      <c r="E235" t="inlineStr">
        <is>
          <t>SALA</t>
        </is>
      </c>
      <c r="G235" t="n">
        <v>2.4</v>
      </c>
      <c r="H235" t="n">
        <v>0</v>
      </c>
      <c r="I235" t="n">
        <v>0</v>
      </c>
      <c r="J235" t="n">
        <v>0</v>
      </c>
      <c r="K235" t="n">
        <v>0</v>
      </c>
      <c r="L235" t="n">
        <v>0</v>
      </c>
      <c r="M235" t="n">
        <v>0</v>
      </c>
      <c r="N235" t="n">
        <v>0</v>
      </c>
      <c r="O235" t="n">
        <v>0</v>
      </c>
      <c r="P235" t="n">
        <v>0</v>
      </c>
      <c r="Q235" t="n">
        <v>0</v>
      </c>
      <c r="R235" s="2" t="inlineStr"/>
    </row>
    <row r="236" ht="15" customHeight="1">
      <c r="A236" t="inlineStr">
        <is>
          <t>A 56687-2024</t>
        </is>
      </c>
      <c r="B236" s="1" t="n">
        <v>45627.63271990741</v>
      </c>
      <c r="C236" s="1" t="n">
        <v>45924</v>
      </c>
      <c r="D236" t="inlineStr">
        <is>
          <t>VÄSTMANLANDS LÄN</t>
        </is>
      </c>
      <c r="E236" t="inlineStr">
        <is>
          <t>SALA</t>
        </is>
      </c>
      <c r="G236" t="n">
        <v>1.2</v>
      </c>
      <c r="H236" t="n">
        <v>0</v>
      </c>
      <c r="I236" t="n">
        <v>0</v>
      </c>
      <c r="J236" t="n">
        <v>0</v>
      </c>
      <c r="K236" t="n">
        <v>0</v>
      </c>
      <c r="L236" t="n">
        <v>0</v>
      </c>
      <c r="M236" t="n">
        <v>0</v>
      </c>
      <c r="N236" t="n">
        <v>0</v>
      </c>
      <c r="O236" t="n">
        <v>0</v>
      </c>
      <c r="P236" t="n">
        <v>0</v>
      </c>
      <c r="Q236" t="n">
        <v>0</v>
      </c>
      <c r="R236" s="2" t="inlineStr"/>
    </row>
    <row r="237" ht="15" customHeight="1">
      <c r="A237" t="inlineStr">
        <is>
          <t>A 62449-2023</t>
        </is>
      </c>
      <c r="B237" s="1" t="n">
        <v>45268.49008101852</v>
      </c>
      <c r="C237" s="1" t="n">
        <v>45924</v>
      </c>
      <c r="D237" t="inlineStr">
        <is>
          <t>VÄSTMANLANDS LÄN</t>
        </is>
      </c>
      <c r="E237" t="inlineStr">
        <is>
          <t>SALA</t>
        </is>
      </c>
      <c r="G237" t="n">
        <v>0.5</v>
      </c>
      <c r="H237" t="n">
        <v>0</v>
      </c>
      <c r="I237" t="n">
        <v>0</v>
      </c>
      <c r="J237" t="n">
        <v>0</v>
      </c>
      <c r="K237" t="n">
        <v>0</v>
      </c>
      <c r="L237" t="n">
        <v>0</v>
      </c>
      <c r="M237" t="n">
        <v>0</v>
      </c>
      <c r="N237" t="n">
        <v>0</v>
      </c>
      <c r="O237" t="n">
        <v>0</v>
      </c>
      <c r="P237" t="n">
        <v>0</v>
      </c>
      <c r="Q237" t="n">
        <v>0</v>
      </c>
      <c r="R237" s="2" t="inlineStr"/>
    </row>
    <row r="238" ht="15" customHeight="1">
      <c r="A238" t="inlineStr">
        <is>
          <t>A 54347-2024</t>
        </is>
      </c>
      <c r="B238" s="1" t="n">
        <v>45617.39325231482</v>
      </c>
      <c r="C238" s="1" t="n">
        <v>45924</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17458-2024</t>
        </is>
      </c>
      <c r="B239" s="1" t="n">
        <v>45415</v>
      </c>
      <c r="C239" s="1" t="n">
        <v>45924</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15972-2024</t>
        </is>
      </c>
      <c r="B240" s="1" t="n">
        <v>45405.56498842593</v>
      </c>
      <c r="C240" s="1" t="n">
        <v>45924</v>
      </c>
      <c r="D240" t="inlineStr">
        <is>
          <t>VÄSTMANLANDS LÄN</t>
        </is>
      </c>
      <c r="E240" t="inlineStr">
        <is>
          <t>SALA</t>
        </is>
      </c>
      <c r="G240" t="n">
        <v>1.8</v>
      </c>
      <c r="H240" t="n">
        <v>0</v>
      </c>
      <c r="I240" t="n">
        <v>0</v>
      </c>
      <c r="J240" t="n">
        <v>0</v>
      </c>
      <c r="K240" t="n">
        <v>0</v>
      </c>
      <c r="L240" t="n">
        <v>0</v>
      </c>
      <c r="M240" t="n">
        <v>0</v>
      </c>
      <c r="N240" t="n">
        <v>0</v>
      </c>
      <c r="O240" t="n">
        <v>0</v>
      </c>
      <c r="P240" t="n">
        <v>0</v>
      </c>
      <c r="Q240" t="n">
        <v>0</v>
      </c>
      <c r="R240" s="2" t="inlineStr"/>
    </row>
    <row r="241" ht="15" customHeight="1">
      <c r="A241" t="inlineStr">
        <is>
          <t>A 37958-2024</t>
        </is>
      </c>
      <c r="B241" s="1" t="n">
        <v>45544</v>
      </c>
      <c r="C241" s="1" t="n">
        <v>45924</v>
      </c>
      <c r="D241" t="inlineStr">
        <is>
          <t>VÄSTMANLANDS LÄN</t>
        </is>
      </c>
      <c r="E241" t="inlineStr">
        <is>
          <t>SALA</t>
        </is>
      </c>
      <c r="G241" t="n">
        <v>5.6</v>
      </c>
      <c r="H241" t="n">
        <v>0</v>
      </c>
      <c r="I241" t="n">
        <v>0</v>
      </c>
      <c r="J241" t="n">
        <v>0</v>
      </c>
      <c r="K241" t="n">
        <v>0</v>
      </c>
      <c r="L241" t="n">
        <v>0</v>
      </c>
      <c r="M241" t="n">
        <v>0</v>
      </c>
      <c r="N241" t="n">
        <v>0</v>
      </c>
      <c r="O241" t="n">
        <v>0</v>
      </c>
      <c r="P241" t="n">
        <v>0</v>
      </c>
      <c r="Q241" t="n">
        <v>0</v>
      </c>
      <c r="R241" s="2" t="inlineStr"/>
    </row>
    <row r="242" ht="15" customHeight="1">
      <c r="A242" t="inlineStr">
        <is>
          <t>A 64693-2023</t>
        </is>
      </c>
      <c r="B242" s="1" t="n">
        <v>45281.63850694444</v>
      </c>
      <c r="C242" s="1" t="n">
        <v>45924</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64695-2023</t>
        </is>
      </c>
      <c r="B243" s="1" t="n">
        <v>45281.64099537037</v>
      </c>
      <c r="C243" s="1" t="n">
        <v>45924</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27486-2022</t>
        </is>
      </c>
      <c r="B244" s="1" t="n">
        <v>44742.60846064815</v>
      </c>
      <c r="C244" s="1" t="n">
        <v>45924</v>
      </c>
      <c r="D244" t="inlineStr">
        <is>
          <t>VÄSTMANLANDS LÄN</t>
        </is>
      </c>
      <c r="E244" t="inlineStr">
        <is>
          <t>SALA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56543-2024</t>
        </is>
      </c>
      <c r="B245" s="1" t="n">
        <v>45625</v>
      </c>
      <c r="C245" s="1" t="n">
        <v>45924</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31950-2023</t>
        </is>
      </c>
      <c r="B246" s="1" t="n">
        <v>45107</v>
      </c>
      <c r="C246" s="1" t="n">
        <v>45924</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1555-2024</t>
        </is>
      </c>
      <c r="B247" s="1" t="n">
        <v>45306</v>
      </c>
      <c r="C247" s="1" t="n">
        <v>45924</v>
      </c>
      <c r="D247" t="inlineStr">
        <is>
          <t>VÄSTMANLANDS LÄN</t>
        </is>
      </c>
      <c r="E247" t="inlineStr">
        <is>
          <t>SALA</t>
        </is>
      </c>
      <c r="G247" t="n">
        <v>1.3</v>
      </c>
      <c r="H247" t="n">
        <v>0</v>
      </c>
      <c r="I247" t="n">
        <v>0</v>
      </c>
      <c r="J247" t="n">
        <v>0</v>
      </c>
      <c r="K247" t="n">
        <v>0</v>
      </c>
      <c r="L247" t="n">
        <v>0</v>
      </c>
      <c r="M247" t="n">
        <v>0</v>
      </c>
      <c r="N247" t="n">
        <v>0</v>
      </c>
      <c r="O247" t="n">
        <v>0</v>
      </c>
      <c r="P247" t="n">
        <v>0</v>
      </c>
      <c r="Q247" t="n">
        <v>0</v>
      </c>
      <c r="R247" s="2" t="inlineStr"/>
    </row>
    <row r="248" ht="15" customHeight="1">
      <c r="A248" t="inlineStr">
        <is>
          <t>A 35003-2024</t>
        </is>
      </c>
      <c r="B248" s="1" t="n">
        <v>45527.56790509259</v>
      </c>
      <c r="C248" s="1" t="n">
        <v>45924</v>
      </c>
      <c r="D248" t="inlineStr">
        <is>
          <t>VÄSTMANLANDS LÄN</t>
        </is>
      </c>
      <c r="E248" t="inlineStr">
        <is>
          <t>SALA</t>
        </is>
      </c>
      <c r="G248" t="n">
        <v>0.7</v>
      </c>
      <c r="H248" t="n">
        <v>0</v>
      </c>
      <c r="I248" t="n">
        <v>0</v>
      </c>
      <c r="J248" t="n">
        <v>0</v>
      </c>
      <c r="K248" t="n">
        <v>0</v>
      </c>
      <c r="L248" t="n">
        <v>0</v>
      </c>
      <c r="M248" t="n">
        <v>0</v>
      </c>
      <c r="N248" t="n">
        <v>0</v>
      </c>
      <c r="O248" t="n">
        <v>0</v>
      </c>
      <c r="P248" t="n">
        <v>0</v>
      </c>
      <c r="Q248" t="n">
        <v>0</v>
      </c>
      <c r="R248" s="2" t="inlineStr"/>
    </row>
    <row r="249" ht="15" customHeight="1">
      <c r="A249" t="inlineStr">
        <is>
          <t>A 16767-2024</t>
        </is>
      </c>
      <c r="B249" s="1" t="n">
        <v>45411.38171296296</v>
      </c>
      <c r="C249" s="1" t="n">
        <v>45924</v>
      </c>
      <c r="D249" t="inlineStr">
        <is>
          <t>VÄSTMANLANDS LÄN</t>
        </is>
      </c>
      <c r="E249" t="inlineStr">
        <is>
          <t>SALA</t>
        </is>
      </c>
      <c r="G249" t="n">
        <v>2.5</v>
      </c>
      <c r="H249" t="n">
        <v>0</v>
      </c>
      <c r="I249" t="n">
        <v>0</v>
      </c>
      <c r="J249" t="n">
        <v>0</v>
      </c>
      <c r="K249" t="n">
        <v>0</v>
      </c>
      <c r="L249" t="n">
        <v>0</v>
      </c>
      <c r="M249" t="n">
        <v>0</v>
      </c>
      <c r="N249" t="n">
        <v>0</v>
      </c>
      <c r="O249" t="n">
        <v>0</v>
      </c>
      <c r="P249" t="n">
        <v>0</v>
      </c>
      <c r="Q249" t="n">
        <v>0</v>
      </c>
      <c r="R249" s="2" t="inlineStr"/>
    </row>
    <row r="250" ht="15" customHeight="1">
      <c r="A250" t="inlineStr">
        <is>
          <t>A 52498-2022</t>
        </is>
      </c>
      <c r="B250" s="1" t="n">
        <v>44874.50152777778</v>
      </c>
      <c r="C250" s="1" t="n">
        <v>45924</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26661-2025</t>
        </is>
      </c>
      <c r="B251" s="1" t="n">
        <v>45810</v>
      </c>
      <c r="C251" s="1" t="n">
        <v>45924</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6097-2022</t>
        </is>
      </c>
      <c r="B252" s="1" t="n">
        <v>44599</v>
      </c>
      <c r="C252" s="1" t="n">
        <v>45924</v>
      </c>
      <c r="D252" t="inlineStr">
        <is>
          <t>VÄSTMANLANDS LÄN</t>
        </is>
      </c>
      <c r="E252" t="inlineStr">
        <is>
          <t>SALA</t>
        </is>
      </c>
      <c r="G252" t="n">
        <v>0.6</v>
      </c>
      <c r="H252" t="n">
        <v>0</v>
      </c>
      <c r="I252" t="n">
        <v>0</v>
      </c>
      <c r="J252" t="n">
        <v>0</v>
      </c>
      <c r="K252" t="n">
        <v>0</v>
      </c>
      <c r="L252" t="n">
        <v>0</v>
      </c>
      <c r="M252" t="n">
        <v>0</v>
      </c>
      <c r="N252" t="n">
        <v>0</v>
      </c>
      <c r="O252" t="n">
        <v>0</v>
      </c>
      <c r="P252" t="n">
        <v>0</v>
      </c>
      <c r="Q252" t="n">
        <v>0</v>
      </c>
      <c r="R252" s="2" t="inlineStr"/>
    </row>
    <row r="253" ht="15" customHeight="1">
      <c r="A253" t="inlineStr">
        <is>
          <t>A 50801-2020</t>
        </is>
      </c>
      <c r="B253" s="1" t="n">
        <v>44111</v>
      </c>
      <c r="C253" s="1" t="n">
        <v>45924</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48688-2024</t>
        </is>
      </c>
      <c r="B254" s="1" t="n">
        <v>45593.50541666667</v>
      </c>
      <c r="C254" s="1" t="n">
        <v>45924</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15354-2021</t>
        </is>
      </c>
      <c r="B255" s="1" t="n">
        <v>44284</v>
      </c>
      <c r="C255" s="1" t="n">
        <v>45924</v>
      </c>
      <c r="D255" t="inlineStr">
        <is>
          <t>VÄSTMANLANDS LÄN</t>
        </is>
      </c>
      <c r="E255" t="inlineStr">
        <is>
          <t>SALA</t>
        </is>
      </c>
      <c r="F255" t="inlineStr">
        <is>
          <t>Kyrkan</t>
        </is>
      </c>
      <c r="G255" t="n">
        <v>8.5</v>
      </c>
      <c r="H255" t="n">
        <v>0</v>
      </c>
      <c r="I255" t="n">
        <v>0</v>
      </c>
      <c r="J255" t="n">
        <v>0</v>
      </c>
      <c r="K255" t="n">
        <v>0</v>
      </c>
      <c r="L255" t="n">
        <v>0</v>
      </c>
      <c r="M255" t="n">
        <v>0</v>
      </c>
      <c r="N255" t="n">
        <v>0</v>
      </c>
      <c r="O255" t="n">
        <v>0</v>
      </c>
      <c r="P255" t="n">
        <v>0</v>
      </c>
      <c r="Q255" t="n">
        <v>0</v>
      </c>
      <c r="R255" s="2" t="inlineStr"/>
    </row>
    <row r="256" ht="15" customHeight="1">
      <c r="A256" t="inlineStr">
        <is>
          <t>A 63933-2023</t>
        </is>
      </c>
      <c r="B256" s="1" t="n">
        <v>45278</v>
      </c>
      <c r="C256" s="1" t="n">
        <v>45924</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57800-2020</t>
        </is>
      </c>
      <c r="B257" s="1" t="n">
        <v>44141</v>
      </c>
      <c r="C257" s="1" t="n">
        <v>45924</v>
      </c>
      <c r="D257" t="inlineStr">
        <is>
          <t>VÄSTMANLANDS LÄN</t>
        </is>
      </c>
      <c r="E257" t="inlineStr">
        <is>
          <t>SALA</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44746-2024</t>
        </is>
      </c>
      <c r="B258" s="1" t="n">
        <v>45574.59813657407</v>
      </c>
      <c r="C258" s="1" t="n">
        <v>45924</v>
      </c>
      <c r="D258" t="inlineStr">
        <is>
          <t>VÄSTMANLANDS LÄN</t>
        </is>
      </c>
      <c r="E258" t="inlineStr">
        <is>
          <t>SALA</t>
        </is>
      </c>
      <c r="G258" t="n">
        <v>6.7</v>
      </c>
      <c r="H258" t="n">
        <v>0</v>
      </c>
      <c r="I258" t="n">
        <v>0</v>
      </c>
      <c r="J258" t="n">
        <v>0</v>
      </c>
      <c r="K258" t="n">
        <v>0</v>
      </c>
      <c r="L258" t="n">
        <v>0</v>
      </c>
      <c r="M258" t="n">
        <v>0</v>
      </c>
      <c r="N258" t="n">
        <v>0</v>
      </c>
      <c r="O258" t="n">
        <v>0</v>
      </c>
      <c r="P258" t="n">
        <v>0</v>
      </c>
      <c r="Q258" t="n">
        <v>0</v>
      </c>
      <c r="R258" s="2" t="inlineStr"/>
    </row>
    <row r="259" ht="15" customHeight="1">
      <c r="A259" t="inlineStr">
        <is>
          <t>A 33273-2023</t>
        </is>
      </c>
      <c r="B259" s="1" t="n">
        <v>45127</v>
      </c>
      <c r="C259" s="1" t="n">
        <v>45924</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11696-2025</t>
        </is>
      </c>
      <c r="B260" s="1" t="n">
        <v>45727</v>
      </c>
      <c r="C260" s="1" t="n">
        <v>45924</v>
      </c>
      <c r="D260" t="inlineStr">
        <is>
          <t>VÄSTMANLANDS LÄN</t>
        </is>
      </c>
      <c r="E260" t="inlineStr">
        <is>
          <t>SALA</t>
        </is>
      </c>
      <c r="F260" t="inlineStr">
        <is>
          <t>Bergvik skog öst AB</t>
        </is>
      </c>
      <c r="G260" t="n">
        <v>1.6</v>
      </c>
      <c r="H260" t="n">
        <v>0</v>
      </c>
      <c r="I260" t="n">
        <v>0</v>
      </c>
      <c r="J260" t="n">
        <v>0</v>
      </c>
      <c r="K260" t="n">
        <v>0</v>
      </c>
      <c r="L260" t="n">
        <v>0</v>
      </c>
      <c r="M260" t="n">
        <v>0</v>
      </c>
      <c r="N260" t="n">
        <v>0</v>
      </c>
      <c r="O260" t="n">
        <v>0</v>
      </c>
      <c r="P260" t="n">
        <v>0</v>
      </c>
      <c r="Q260" t="n">
        <v>0</v>
      </c>
      <c r="R260" s="2" t="inlineStr"/>
    </row>
    <row r="261" ht="15" customHeight="1">
      <c r="A261" t="inlineStr">
        <is>
          <t>A 15756-2025</t>
        </is>
      </c>
      <c r="B261" s="1" t="n">
        <v>45748.56810185185</v>
      </c>
      <c r="C261" s="1" t="n">
        <v>45924</v>
      </c>
      <c r="D261" t="inlineStr">
        <is>
          <t>VÄSTMANLANDS LÄN</t>
        </is>
      </c>
      <c r="E261" t="inlineStr">
        <is>
          <t>SALA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31000-2022</t>
        </is>
      </c>
      <c r="B262" s="1" t="n">
        <v>44768</v>
      </c>
      <c r="C262" s="1" t="n">
        <v>45924</v>
      </c>
      <c r="D262" t="inlineStr">
        <is>
          <t>VÄSTMANLANDS LÄN</t>
        </is>
      </c>
      <c r="E262" t="inlineStr">
        <is>
          <t>SALA</t>
        </is>
      </c>
      <c r="G262" t="n">
        <v>5.7</v>
      </c>
      <c r="H262" t="n">
        <v>0</v>
      </c>
      <c r="I262" t="n">
        <v>0</v>
      </c>
      <c r="J262" t="n">
        <v>0</v>
      </c>
      <c r="K262" t="n">
        <v>0</v>
      </c>
      <c r="L262" t="n">
        <v>0</v>
      </c>
      <c r="M262" t="n">
        <v>0</v>
      </c>
      <c r="N262" t="n">
        <v>0</v>
      </c>
      <c r="O262" t="n">
        <v>0</v>
      </c>
      <c r="P262" t="n">
        <v>0</v>
      </c>
      <c r="Q262" t="n">
        <v>0</v>
      </c>
      <c r="R262" s="2" t="inlineStr"/>
    </row>
    <row r="263" ht="15" customHeight="1">
      <c r="A263" t="inlineStr">
        <is>
          <t>A 37183-2024</t>
        </is>
      </c>
      <c r="B263" s="1" t="n">
        <v>45539</v>
      </c>
      <c r="C263" s="1" t="n">
        <v>45924</v>
      </c>
      <c r="D263" t="inlineStr">
        <is>
          <t>VÄSTMANLANDS LÄN</t>
        </is>
      </c>
      <c r="E263" t="inlineStr">
        <is>
          <t>SALA</t>
        </is>
      </c>
      <c r="G263" t="n">
        <v>1.2</v>
      </c>
      <c r="H263" t="n">
        <v>0</v>
      </c>
      <c r="I263" t="n">
        <v>0</v>
      </c>
      <c r="J263" t="n">
        <v>0</v>
      </c>
      <c r="K263" t="n">
        <v>0</v>
      </c>
      <c r="L263" t="n">
        <v>0</v>
      </c>
      <c r="M263" t="n">
        <v>0</v>
      </c>
      <c r="N263" t="n">
        <v>0</v>
      </c>
      <c r="O263" t="n">
        <v>0</v>
      </c>
      <c r="P263" t="n">
        <v>0</v>
      </c>
      <c r="Q263" t="n">
        <v>0</v>
      </c>
      <c r="R263" s="2" t="inlineStr"/>
    </row>
    <row r="264" ht="15" customHeight="1">
      <c r="A264" t="inlineStr">
        <is>
          <t>A 27229-2022</t>
        </is>
      </c>
      <c r="B264" s="1" t="n">
        <v>44741</v>
      </c>
      <c r="C264" s="1" t="n">
        <v>45924</v>
      </c>
      <c r="D264" t="inlineStr">
        <is>
          <t>VÄSTMANLANDS LÄN</t>
        </is>
      </c>
      <c r="E264" t="inlineStr">
        <is>
          <t>SALA</t>
        </is>
      </c>
      <c r="F264" t="inlineStr">
        <is>
          <t>Kommuner</t>
        </is>
      </c>
      <c r="G264" t="n">
        <v>1.4</v>
      </c>
      <c r="H264" t="n">
        <v>0</v>
      </c>
      <c r="I264" t="n">
        <v>0</v>
      </c>
      <c r="J264" t="n">
        <v>0</v>
      </c>
      <c r="K264" t="n">
        <v>0</v>
      </c>
      <c r="L264" t="n">
        <v>0</v>
      </c>
      <c r="M264" t="n">
        <v>0</v>
      </c>
      <c r="N264" t="n">
        <v>0</v>
      </c>
      <c r="O264" t="n">
        <v>0</v>
      </c>
      <c r="P264" t="n">
        <v>0</v>
      </c>
      <c r="Q264" t="n">
        <v>0</v>
      </c>
      <c r="R264" s="2" t="inlineStr"/>
    </row>
    <row r="265" ht="15" customHeight="1">
      <c r="A265" t="inlineStr">
        <is>
          <t>A 1793-2023</t>
        </is>
      </c>
      <c r="B265" s="1" t="n">
        <v>44937</v>
      </c>
      <c r="C265" s="1" t="n">
        <v>45924</v>
      </c>
      <c r="D265" t="inlineStr">
        <is>
          <t>VÄSTMANLANDS LÄN</t>
        </is>
      </c>
      <c r="E265" t="inlineStr">
        <is>
          <t>SALA</t>
        </is>
      </c>
      <c r="G265" t="n">
        <v>2.6</v>
      </c>
      <c r="H265" t="n">
        <v>0</v>
      </c>
      <c r="I265" t="n">
        <v>0</v>
      </c>
      <c r="J265" t="n">
        <v>0</v>
      </c>
      <c r="K265" t="n">
        <v>0</v>
      </c>
      <c r="L265" t="n">
        <v>0</v>
      </c>
      <c r="M265" t="n">
        <v>0</v>
      </c>
      <c r="N265" t="n">
        <v>0</v>
      </c>
      <c r="O265" t="n">
        <v>0</v>
      </c>
      <c r="P265" t="n">
        <v>0</v>
      </c>
      <c r="Q265" t="n">
        <v>0</v>
      </c>
      <c r="R265" s="2" t="inlineStr"/>
    </row>
    <row r="266" ht="15" customHeight="1">
      <c r="A266" t="inlineStr">
        <is>
          <t>A 60545-2024</t>
        </is>
      </c>
      <c r="B266" s="1" t="n">
        <v>45643</v>
      </c>
      <c r="C266" s="1" t="n">
        <v>45924</v>
      </c>
      <c r="D266" t="inlineStr">
        <is>
          <t>VÄSTMANLANDS LÄN</t>
        </is>
      </c>
      <c r="E266" t="inlineStr">
        <is>
          <t>SALA</t>
        </is>
      </c>
      <c r="G266" t="n">
        <v>3.3</v>
      </c>
      <c r="H266" t="n">
        <v>0</v>
      </c>
      <c r="I266" t="n">
        <v>0</v>
      </c>
      <c r="J266" t="n">
        <v>0</v>
      </c>
      <c r="K266" t="n">
        <v>0</v>
      </c>
      <c r="L266" t="n">
        <v>0</v>
      </c>
      <c r="M266" t="n">
        <v>0</v>
      </c>
      <c r="N266" t="n">
        <v>0</v>
      </c>
      <c r="O266" t="n">
        <v>0</v>
      </c>
      <c r="P266" t="n">
        <v>0</v>
      </c>
      <c r="Q266" t="n">
        <v>0</v>
      </c>
      <c r="R266" s="2" t="inlineStr"/>
    </row>
    <row r="267" ht="15" customHeight="1">
      <c r="A267" t="inlineStr">
        <is>
          <t>A 60547-2024</t>
        </is>
      </c>
      <c r="B267" s="1" t="n">
        <v>45643</v>
      </c>
      <c r="C267" s="1" t="n">
        <v>45924</v>
      </c>
      <c r="D267" t="inlineStr">
        <is>
          <t>VÄSTMANLANDS LÄN</t>
        </is>
      </c>
      <c r="E267" t="inlineStr">
        <is>
          <t>SALA</t>
        </is>
      </c>
      <c r="G267" t="n">
        <v>0.6</v>
      </c>
      <c r="H267" t="n">
        <v>0</v>
      </c>
      <c r="I267" t="n">
        <v>0</v>
      </c>
      <c r="J267" t="n">
        <v>0</v>
      </c>
      <c r="K267" t="n">
        <v>0</v>
      </c>
      <c r="L267" t="n">
        <v>0</v>
      </c>
      <c r="M267" t="n">
        <v>0</v>
      </c>
      <c r="N267" t="n">
        <v>0</v>
      </c>
      <c r="O267" t="n">
        <v>0</v>
      </c>
      <c r="P267" t="n">
        <v>0</v>
      </c>
      <c r="Q267" t="n">
        <v>0</v>
      </c>
      <c r="R267" s="2" t="inlineStr"/>
    </row>
    <row r="268" ht="15" customHeight="1">
      <c r="A268" t="inlineStr">
        <is>
          <t>A 29248-2022</t>
        </is>
      </c>
      <c r="B268" s="1" t="n">
        <v>44750</v>
      </c>
      <c r="C268" s="1" t="n">
        <v>45924</v>
      </c>
      <c r="D268" t="inlineStr">
        <is>
          <t>VÄSTMANLANDS LÄN</t>
        </is>
      </c>
      <c r="E268" t="inlineStr">
        <is>
          <t>SALA</t>
        </is>
      </c>
      <c r="G268" t="n">
        <v>1.6</v>
      </c>
      <c r="H268" t="n">
        <v>0</v>
      </c>
      <c r="I268" t="n">
        <v>0</v>
      </c>
      <c r="J268" t="n">
        <v>0</v>
      </c>
      <c r="K268" t="n">
        <v>0</v>
      </c>
      <c r="L268" t="n">
        <v>0</v>
      </c>
      <c r="M268" t="n">
        <v>0</v>
      </c>
      <c r="N268" t="n">
        <v>0</v>
      </c>
      <c r="O268" t="n">
        <v>0</v>
      </c>
      <c r="P268" t="n">
        <v>0</v>
      </c>
      <c r="Q268" t="n">
        <v>0</v>
      </c>
      <c r="R268" s="2" t="inlineStr"/>
    </row>
    <row r="269" ht="15" customHeight="1">
      <c r="A269" t="inlineStr">
        <is>
          <t>A 1985-2022</t>
        </is>
      </c>
      <c r="B269" s="1" t="n">
        <v>44575</v>
      </c>
      <c r="C269" s="1" t="n">
        <v>45924</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22397-2022</t>
        </is>
      </c>
      <c r="B270" s="1" t="n">
        <v>44713</v>
      </c>
      <c r="C270" s="1" t="n">
        <v>45924</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27989-2025</t>
        </is>
      </c>
      <c r="B271" s="1" t="n">
        <v>45817.58716435185</v>
      </c>
      <c r="C271" s="1" t="n">
        <v>45924</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28863-2022</t>
        </is>
      </c>
      <c r="B272" s="1" t="n">
        <v>44749.50649305555</v>
      </c>
      <c r="C272" s="1" t="n">
        <v>45924</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27981-2025</t>
        </is>
      </c>
      <c r="B273" s="1" t="n">
        <v>45817.57471064815</v>
      </c>
      <c r="C273" s="1" t="n">
        <v>45924</v>
      </c>
      <c r="D273" t="inlineStr">
        <is>
          <t>VÄSTMANLANDS LÄN</t>
        </is>
      </c>
      <c r="E273" t="inlineStr">
        <is>
          <t>SALA</t>
        </is>
      </c>
      <c r="G273" t="n">
        <v>1.7</v>
      </c>
      <c r="H273" t="n">
        <v>0</v>
      </c>
      <c r="I273" t="n">
        <v>0</v>
      </c>
      <c r="J273" t="n">
        <v>0</v>
      </c>
      <c r="K273" t="n">
        <v>0</v>
      </c>
      <c r="L273" t="n">
        <v>0</v>
      </c>
      <c r="M273" t="n">
        <v>0</v>
      </c>
      <c r="N273" t="n">
        <v>0</v>
      </c>
      <c r="O273" t="n">
        <v>0</v>
      </c>
      <c r="P273" t="n">
        <v>0</v>
      </c>
      <c r="Q273" t="n">
        <v>0</v>
      </c>
      <c r="R273" s="2" t="inlineStr"/>
    </row>
    <row r="274" ht="15" customHeight="1">
      <c r="A274" t="inlineStr">
        <is>
          <t>A 27261-2024</t>
        </is>
      </c>
      <c r="B274" s="1" t="n">
        <v>45471</v>
      </c>
      <c r="C274" s="1" t="n">
        <v>45924</v>
      </c>
      <c r="D274" t="inlineStr">
        <is>
          <t>VÄSTMANLANDS LÄN</t>
        </is>
      </c>
      <c r="E274" t="inlineStr">
        <is>
          <t>SALA</t>
        </is>
      </c>
      <c r="G274" t="n">
        <v>6.1</v>
      </c>
      <c r="H274" t="n">
        <v>0</v>
      </c>
      <c r="I274" t="n">
        <v>0</v>
      </c>
      <c r="J274" t="n">
        <v>0</v>
      </c>
      <c r="K274" t="n">
        <v>0</v>
      </c>
      <c r="L274" t="n">
        <v>0</v>
      </c>
      <c r="M274" t="n">
        <v>0</v>
      </c>
      <c r="N274" t="n">
        <v>0</v>
      </c>
      <c r="O274" t="n">
        <v>0</v>
      </c>
      <c r="P274" t="n">
        <v>0</v>
      </c>
      <c r="Q274" t="n">
        <v>0</v>
      </c>
      <c r="R274" s="2" t="inlineStr"/>
    </row>
    <row r="275" ht="15" customHeight="1">
      <c r="A275" t="inlineStr">
        <is>
          <t>A 28193-2025</t>
        </is>
      </c>
      <c r="B275" s="1" t="n">
        <v>45818.425625</v>
      </c>
      <c r="C275" s="1" t="n">
        <v>45924</v>
      </c>
      <c r="D275" t="inlineStr">
        <is>
          <t>VÄSTMANLANDS LÄN</t>
        </is>
      </c>
      <c r="E275" t="inlineStr">
        <is>
          <t>SALA</t>
        </is>
      </c>
      <c r="G275" t="n">
        <v>1.8</v>
      </c>
      <c r="H275" t="n">
        <v>0</v>
      </c>
      <c r="I275" t="n">
        <v>0</v>
      </c>
      <c r="J275" t="n">
        <v>0</v>
      </c>
      <c r="K275" t="n">
        <v>0</v>
      </c>
      <c r="L275" t="n">
        <v>0</v>
      </c>
      <c r="M275" t="n">
        <v>0</v>
      </c>
      <c r="N275" t="n">
        <v>0</v>
      </c>
      <c r="O275" t="n">
        <v>0</v>
      </c>
      <c r="P275" t="n">
        <v>0</v>
      </c>
      <c r="Q275" t="n">
        <v>0</v>
      </c>
      <c r="R275" s="2" t="inlineStr"/>
    </row>
    <row r="276" ht="15" customHeight="1">
      <c r="A276" t="inlineStr">
        <is>
          <t>A 28284-2025</t>
        </is>
      </c>
      <c r="B276" s="1" t="n">
        <v>45818.58893518519</v>
      </c>
      <c r="C276" s="1" t="n">
        <v>45924</v>
      </c>
      <c r="D276" t="inlineStr">
        <is>
          <t>VÄSTMANLANDS LÄN</t>
        </is>
      </c>
      <c r="E276" t="inlineStr">
        <is>
          <t>SALA</t>
        </is>
      </c>
      <c r="G276" t="n">
        <v>2.4</v>
      </c>
      <c r="H276" t="n">
        <v>0</v>
      </c>
      <c r="I276" t="n">
        <v>0</v>
      </c>
      <c r="J276" t="n">
        <v>0</v>
      </c>
      <c r="K276" t="n">
        <v>0</v>
      </c>
      <c r="L276" t="n">
        <v>0</v>
      </c>
      <c r="M276" t="n">
        <v>0</v>
      </c>
      <c r="N276" t="n">
        <v>0</v>
      </c>
      <c r="O276" t="n">
        <v>0</v>
      </c>
      <c r="P276" t="n">
        <v>0</v>
      </c>
      <c r="Q276" t="n">
        <v>0</v>
      </c>
      <c r="R276" s="2" t="inlineStr"/>
    </row>
    <row r="277" ht="15" customHeight="1">
      <c r="A277" t="inlineStr">
        <is>
          <t>A 28278-2025</t>
        </is>
      </c>
      <c r="B277" s="1" t="n">
        <v>45818.58454861111</v>
      </c>
      <c r="C277" s="1" t="n">
        <v>45924</v>
      </c>
      <c r="D277" t="inlineStr">
        <is>
          <t>VÄSTMANLANDS LÄN</t>
        </is>
      </c>
      <c r="E277" t="inlineStr">
        <is>
          <t>SALA</t>
        </is>
      </c>
      <c r="G277" t="n">
        <v>7.6</v>
      </c>
      <c r="H277" t="n">
        <v>0</v>
      </c>
      <c r="I277" t="n">
        <v>0</v>
      </c>
      <c r="J277" t="n">
        <v>0</v>
      </c>
      <c r="K277" t="n">
        <v>0</v>
      </c>
      <c r="L277" t="n">
        <v>0</v>
      </c>
      <c r="M277" t="n">
        <v>0</v>
      </c>
      <c r="N277" t="n">
        <v>0</v>
      </c>
      <c r="O277" t="n">
        <v>0</v>
      </c>
      <c r="P277" t="n">
        <v>0</v>
      </c>
      <c r="Q277" t="n">
        <v>0</v>
      </c>
      <c r="R277" s="2" t="inlineStr"/>
    </row>
    <row r="278" ht="15" customHeight="1">
      <c r="A278" t="inlineStr">
        <is>
          <t>A 7681-2021</t>
        </is>
      </c>
      <c r="B278" s="1" t="n">
        <v>44242</v>
      </c>
      <c r="C278" s="1" t="n">
        <v>45924</v>
      </c>
      <c r="D278" t="inlineStr">
        <is>
          <t>VÄSTMANLANDS LÄN</t>
        </is>
      </c>
      <c r="E278" t="inlineStr">
        <is>
          <t>SALA</t>
        </is>
      </c>
      <c r="F278" t="inlineStr">
        <is>
          <t>Sveaskog</t>
        </is>
      </c>
      <c r="G278" t="n">
        <v>16.1</v>
      </c>
      <c r="H278" t="n">
        <v>0</v>
      </c>
      <c r="I278" t="n">
        <v>0</v>
      </c>
      <c r="J278" t="n">
        <v>0</v>
      </c>
      <c r="K278" t="n">
        <v>0</v>
      </c>
      <c r="L278" t="n">
        <v>0</v>
      </c>
      <c r="M278" t="n">
        <v>0</v>
      </c>
      <c r="N278" t="n">
        <v>0</v>
      </c>
      <c r="O278" t="n">
        <v>0</v>
      </c>
      <c r="P278" t="n">
        <v>0</v>
      </c>
      <c r="Q278" t="n">
        <v>0</v>
      </c>
      <c r="R278" s="2" t="inlineStr"/>
    </row>
    <row r="279" ht="15" customHeight="1">
      <c r="A279" t="inlineStr">
        <is>
          <t>A 14919-2025</t>
        </is>
      </c>
      <c r="B279" s="1" t="n">
        <v>45743.54256944444</v>
      </c>
      <c r="C279" s="1" t="n">
        <v>45924</v>
      </c>
      <c r="D279" t="inlineStr">
        <is>
          <t>VÄSTMANLANDS LÄN</t>
        </is>
      </c>
      <c r="E279" t="inlineStr">
        <is>
          <t>SALA</t>
        </is>
      </c>
      <c r="G279" t="n">
        <v>0.6</v>
      </c>
      <c r="H279" t="n">
        <v>0</v>
      </c>
      <c r="I279" t="n">
        <v>0</v>
      </c>
      <c r="J279" t="n">
        <v>0</v>
      </c>
      <c r="K279" t="n">
        <v>0</v>
      </c>
      <c r="L279" t="n">
        <v>0</v>
      </c>
      <c r="M279" t="n">
        <v>0</v>
      </c>
      <c r="N279" t="n">
        <v>0</v>
      </c>
      <c r="O279" t="n">
        <v>0</v>
      </c>
      <c r="P279" t="n">
        <v>0</v>
      </c>
      <c r="Q279" t="n">
        <v>0</v>
      </c>
      <c r="R279" s="2" t="inlineStr"/>
    </row>
    <row r="280" ht="15" customHeight="1">
      <c r="A280" t="inlineStr">
        <is>
          <t>A 14920-2025</t>
        </is>
      </c>
      <c r="B280" s="1" t="n">
        <v>45743</v>
      </c>
      <c r="C280" s="1" t="n">
        <v>45924</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28628-2025</t>
        </is>
      </c>
      <c r="B281" s="1" t="n">
        <v>45819.62158564815</v>
      </c>
      <c r="C281" s="1" t="n">
        <v>45924</v>
      </c>
      <c r="D281" t="inlineStr">
        <is>
          <t>VÄSTMANLANDS LÄN</t>
        </is>
      </c>
      <c r="E281" t="inlineStr">
        <is>
          <t>SALA</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40398-2021</t>
        </is>
      </c>
      <c r="B282" s="1" t="n">
        <v>44419</v>
      </c>
      <c r="C282" s="1" t="n">
        <v>45924</v>
      </c>
      <c r="D282" t="inlineStr">
        <is>
          <t>VÄSTMANLANDS LÄN</t>
        </is>
      </c>
      <c r="E282" t="inlineStr">
        <is>
          <t>SALA</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28632-2025</t>
        </is>
      </c>
      <c r="B283" s="1" t="n">
        <v>45819.62344907408</v>
      </c>
      <c r="C283" s="1" t="n">
        <v>45924</v>
      </c>
      <c r="D283" t="inlineStr">
        <is>
          <t>VÄSTMANLANDS LÄN</t>
        </is>
      </c>
      <c r="E283" t="inlineStr">
        <is>
          <t>SALA</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28630-2025</t>
        </is>
      </c>
      <c r="B284" s="1" t="n">
        <v>45819.62274305556</v>
      </c>
      <c r="C284" s="1" t="n">
        <v>45924</v>
      </c>
      <c r="D284" t="inlineStr">
        <is>
          <t>VÄSTMANLANDS LÄN</t>
        </is>
      </c>
      <c r="E284" t="inlineStr">
        <is>
          <t>SALA</t>
        </is>
      </c>
      <c r="F284" t="inlineStr">
        <is>
          <t>Sveaskog</t>
        </is>
      </c>
      <c r="G284" t="n">
        <v>9</v>
      </c>
      <c r="H284" t="n">
        <v>0</v>
      </c>
      <c r="I284" t="n">
        <v>0</v>
      </c>
      <c r="J284" t="n">
        <v>0</v>
      </c>
      <c r="K284" t="n">
        <v>0</v>
      </c>
      <c r="L284" t="n">
        <v>0</v>
      </c>
      <c r="M284" t="n">
        <v>0</v>
      </c>
      <c r="N284" t="n">
        <v>0</v>
      </c>
      <c r="O284" t="n">
        <v>0</v>
      </c>
      <c r="P284" t="n">
        <v>0</v>
      </c>
      <c r="Q284" t="n">
        <v>0</v>
      </c>
      <c r="R284" s="2" t="inlineStr"/>
    </row>
    <row r="285" ht="15" customHeight="1">
      <c r="A285" t="inlineStr">
        <is>
          <t>A 56098-2020</t>
        </is>
      </c>
      <c r="B285" s="1" t="n">
        <v>44132</v>
      </c>
      <c r="C285" s="1" t="n">
        <v>45924</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35976-2024</t>
        </is>
      </c>
      <c r="B286" s="1" t="n">
        <v>45533.49555555556</v>
      </c>
      <c r="C286" s="1" t="n">
        <v>45924</v>
      </c>
      <c r="D286" t="inlineStr">
        <is>
          <t>VÄSTMANLANDS LÄN</t>
        </is>
      </c>
      <c r="E286" t="inlineStr">
        <is>
          <t>SALA</t>
        </is>
      </c>
      <c r="G286" t="n">
        <v>2.3</v>
      </c>
      <c r="H286" t="n">
        <v>0</v>
      </c>
      <c r="I286" t="n">
        <v>0</v>
      </c>
      <c r="J286" t="n">
        <v>0</v>
      </c>
      <c r="K286" t="n">
        <v>0</v>
      </c>
      <c r="L286" t="n">
        <v>0</v>
      </c>
      <c r="M286" t="n">
        <v>0</v>
      </c>
      <c r="N286" t="n">
        <v>0</v>
      </c>
      <c r="O286" t="n">
        <v>0</v>
      </c>
      <c r="P286" t="n">
        <v>0</v>
      </c>
      <c r="Q286" t="n">
        <v>0</v>
      </c>
      <c r="R286" s="2" t="inlineStr"/>
    </row>
    <row r="287" ht="15" customHeight="1">
      <c r="A287" t="inlineStr">
        <is>
          <t>A 43362-2023</t>
        </is>
      </c>
      <c r="B287" s="1" t="n">
        <v>45183</v>
      </c>
      <c r="C287" s="1" t="n">
        <v>45924</v>
      </c>
      <c r="D287" t="inlineStr">
        <is>
          <t>VÄSTMANLANDS LÄN</t>
        </is>
      </c>
      <c r="E287" t="inlineStr">
        <is>
          <t>SALA</t>
        </is>
      </c>
      <c r="G287" t="n">
        <v>2</v>
      </c>
      <c r="H287" t="n">
        <v>0</v>
      </c>
      <c r="I287" t="n">
        <v>0</v>
      </c>
      <c r="J287" t="n">
        <v>0</v>
      </c>
      <c r="K287" t="n">
        <v>0</v>
      </c>
      <c r="L287" t="n">
        <v>0</v>
      </c>
      <c r="M287" t="n">
        <v>0</v>
      </c>
      <c r="N287" t="n">
        <v>0</v>
      </c>
      <c r="O287" t="n">
        <v>0</v>
      </c>
      <c r="P287" t="n">
        <v>0</v>
      </c>
      <c r="Q287" t="n">
        <v>0</v>
      </c>
      <c r="R287" s="2" t="inlineStr"/>
    </row>
    <row r="288" ht="15" customHeight="1">
      <c r="A288" t="inlineStr">
        <is>
          <t>A 55556-2023</t>
        </is>
      </c>
      <c r="B288" s="1" t="n">
        <v>45232</v>
      </c>
      <c r="C288" s="1" t="n">
        <v>45924</v>
      </c>
      <c r="D288" t="inlineStr">
        <is>
          <t>VÄSTMANLANDS LÄN</t>
        </is>
      </c>
      <c r="E288" t="inlineStr">
        <is>
          <t>SALA</t>
        </is>
      </c>
      <c r="G288" t="n">
        <v>1.3</v>
      </c>
      <c r="H288" t="n">
        <v>0</v>
      </c>
      <c r="I288" t="n">
        <v>0</v>
      </c>
      <c r="J288" t="n">
        <v>0</v>
      </c>
      <c r="K288" t="n">
        <v>0</v>
      </c>
      <c r="L288" t="n">
        <v>0</v>
      </c>
      <c r="M288" t="n">
        <v>0</v>
      </c>
      <c r="N288" t="n">
        <v>0</v>
      </c>
      <c r="O288" t="n">
        <v>0</v>
      </c>
      <c r="P288" t="n">
        <v>0</v>
      </c>
      <c r="Q288" t="n">
        <v>0</v>
      </c>
      <c r="R288" s="2" t="inlineStr"/>
    </row>
    <row r="289" ht="15" customHeight="1">
      <c r="A289" t="inlineStr">
        <is>
          <t>A 57650-2024</t>
        </is>
      </c>
      <c r="B289" s="1" t="n">
        <v>45630</v>
      </c>
      <c r="C289" s="1" t="n">
        <v>45924</v>
      </c>
      <c r="D289" t="inlineStr">
        <is>
          <t>VÄSTMANLANDS LÄN</t>
        </is>
      </c>
      <c r="E289" t="inlineStr">
        <is>
          <t>SALA</t>
        </is>
      </c>
      <c r="G289" t="n">
        <v>0.6</v>
      </c>
      <c r="H289" t="n">
        <v>0</v>
      </c>
      <c r="I289" t="n">
        <v>0</v>
      </c>
      <c r="J289" t="n">
        <v>0</v>
      </c>
      <c r="K289" t="n">
        <v>0</v>
      </c>
      <c r="L289" t="n">
        <v>0</v>
      </c>
      <c r="M289" t="n">
        <v>0</v>
      </c>
      <c r="N289" t="n">
        <v>0</v>
      </c>
      <c r="O289" t="n">
        <v>0</v>
      </c>
      <c r="P289" t="n">
        <v>0</v>
      </c>
      <c r="Q289" t="n">
        <v>0</v>
      </c>
      <c r="R289" s="2" t="inlineStr"/>
    </row>
    <row r="290" ht="15" customHeight="1">
      <c r="A290" t="inlineStr">
        <is>
          <t>A 2900-2023</t>
        </is>
      </c>
      <c r="B290" s="1" t="n">
        <v>44943</v>
      </c>
      <c r="C290" s="1" t="n">
        <v>45924</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50479-2022</t>
        </is>
      </c>
      <c r="B291" s="1" t="n">
        <v>44861</v>
      </c>
      <c r="C291" s="1" t="n">
        <v>45924</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6030-2024</t>
        </is>
      </c>
      <c r="B292" s="1" t="n">
        <v>45336.62782407407</v>
      </c>
      <c r="C292" s="1" t="n">
        <v>45924</v>
      </c>
      <c r="D292" t="inlineStr">
        <is>
          <t>VÄSTMANLANDS LÄN</t>
        </is>
      </c>
      <c r="E292" t="inlineStr">
        <is>
          <t>SALA</t>
        </is>
      </c>
      <c r="G292" t="n">
        <v>3.9</v>
      </c>
      <c r="H292" t="n">
        <v>0</v>
      </c>
      <c r="I292" t="n">
        <v>0</v>
      </c>
      <c r="J292" t="n">
        <v>0</v>
      </c>
      <c r="K292" t="n">
        <v>0</v>
      </c>
      <c r="L292" t="n">
        <v>0</v>
      </c>
      <c r="M292" t="n">
        <v>0</v>
      </c>
      <c r="N292" t="n">
        <v>0</v>
      </c>
      <c r="O292" t="n">
        <v>0</v>
      </c>
      <c r="P292" t="n">
        <v>0</v>
      </c>
      <c r="Q292" t="n">
        <v>0</v>
      </c>
      <c r="R292" s="2" t="inlineStr"/>
    </row>
    <row r="293" ht="15" customHeight="1">
      <c r="A293" t="inlineStr">
        <is>
          <t>A 52630-2022</t>
        </is>
      </c>
      <c r="B293" s="1" t="n">
        <v>44874</v>
      </c>
      <c r="C293" s="1" t="n">
        <v>45924</v>
      </c>
      <c r="D293" t="inlineStr">
        <is>
          <t>VÄSTMANLANDS LÄN</t>
        </is>
      </c>
      <c r="E293" t="inlineStr">
        <is>
          <t>SALA</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45790-2023</t>
        </is>
      </c>
      <c r="B294" s="1" t="n">
        <v>45195.45958333334</v>
      </c>
      <c r="C294" s="1" t="n">
        <v>45924</v>
      </c>
      <c r="D294" t="inlineStr">
        <is>
          <t>VÄSTMANLANDS LÄN</t>
        </is>
      </c>
      <c r="E294" t="inlineStr">
        <is>
          <t>SALA</t>
        </is>
      </c>
      <c r="G294" t="n">
        <v>5.7</v>
      </c>
      <c r="H294" t="n">
        <v>0</v>
      </c>
      <c r="I294" t="n">
        <v>0</v>
      </c>
      <c r="J294" t="n">
        <v>0</v>
      </c>
      <c r="K294" t="n">
        <v>0</v>
      </c>
      <c r="L294" t="n">
        <v>0</v>
      </c>
      <c r="M294" t="n">
        <v>0</v>
      </c>
      <c r="N294" t="n">
        <v>0</v>
      </c>
      <c r="O294" t="n">
        <v>0</v>
      </c>
      <c r="P294" t="n">
        <v>0</v>
      </c>
      <c r="Q294" t="n">
        <v>0</v>
      </c>
      <c r="R294" s="2" t="inlineStr"/>
    </row>
    <row r="295" ht="15" customHeight="1">
      <c r="A295" t="inlineStr">
        <is>
          <t>A 28837-2025</t>
        </is>
      </c>
      <c r="B295" s="1" t="n">
        <v>45820.56243055555</v>
      </c>
      <c r="C295" s="1" t="n">
        <v>45924</v>
      </c>
      <c r="D295" t="inlineStr">
        <is>
          <t>VÄSTMANLANDS LÄN</t>
        </is>
      </c>
      <c r="E295" t="inlineStr">
        <is>
          <t>SALA</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28849-2025</t>
        </is>
      </c>
      <c r="B296" s="1" t="n">
        <v>45820</v>
      </c>
      <c r="C296" s="1" t="n">
        <v>45924</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14690-2025</t>
        </is>
      </c>
      <c r="B297" s="1" t="n">
        <v>45742.58212962963</v>
      </c>
      <c r="C297" s="1" t="n">
        <v>45924</v>
      </c>
      <c r="D297" t="inlineStr">
        <is>
          <t>VÄSTMANLANDS LÄN</t>
        </is>
      </c>
      <c r="E297" t="inlineStr">
        <is>
          <t>SALA</t>
        </is>
      </c>
      <c r="G297" t="n">
        <v>3.4</v>
      </c>
      <c r="H297" t="n">
        <v>0</v>
      </c>
      <c r="I297" t="n">
        <v>0</v>
      </c>
      <c r="J297" t="n">
        <v>0</v>
      </c>
      <c r="K297" t="n">
        <v>0</v>
      </c>
      <c r="L297" t="n">
        <v>0</v>
      </c>
      <c r="M297" t="n">
        <v>0</v>
      </c>
      <c r="N297" t="n">
        <v>0</v>
      </c>
      <c r="O297" t="n">
        <v>0</v>
      </c>
      <c r="P297" t="n">
        <v>0</v>
      </c>
      <c r="Q297" t="n">
        <v>0</v>
      </c>
      <c r="R297" s="2" t="inlineStr"/>
    </row>
    <row r="298" ht="15" customHeight="1">
      <c r="A298" t="inlineStr">
        <is>
          <t>A 29085-2025</t>
        </is>
      </c>
      <c r="B298" s="1" t="n">
        <v>45821</v>
      </c>
      <c r="C298" s="1" t="n">
        <v>45924</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2521-2025</t>
        </is>
      </c>
      <c r="B299" s="1" t="n">
        <v>45674</v>
      </c>
      <c r="C299" s="1" t="n">
        <v>45924</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39364-2024</t>
        </is>
      </c>
      <c r="B300" s="1" t="n">
        <v>45551.46748842593</v>
      </c>
      <c r="C300" s="1" t="n">
        <v>45924</v>
      </c>
      <c r="D300" t="inlineStr">
        <is>
          <t>VÄSTMANLANDS LÄN</t>
        </is>
      </c>
      <c r="E300" t="inlineStr">
        <is>
          <t>SALA</t>
        </is>
      </c>
      <c r="G300" t="n">
        <v>2.8</v>
      </c>
      <c r="H300" t="n">
        <v>0</v>
      </c>
      <c r="I300" t="n">
        <v>0</v>
      </c>
      <c r="J300" t="n">
        <v>0</v>
      </c>
      <c r="K300" t="n">
        <v>0</v>
      </c>
      <c r="L300" t="n">
        <v>0</v>
      </c>
      <c r="M300" t="n">
        <v>0</v>
      </c>
      <c r="N300" t="n">
        <v>0</v>
      </c>
      <c r="O300" t="n">
        <v>0</v>
      </c>
      <c r="P300" t="n">
        <v>0</v>
      </c>
      <c r="Q300" t="n">
        <v>0</v>
      </c>
      <c r="R300" s="2" t="inlineStr"/>
    </row>
    <row r="301" ht="15" customHeight="1">
      <c r="A301" t="inlineStr">
        <is>
          <t>A 4736-2021</t>
        </is>
      </c>
      <c r="B301" s="1" t="n">
        <v>44225</v>
      </c>
      <c r="C301" s="1" t="n">
        <v>45924</v>
      </c>
      <c r="D301" t="inlineStr">
        <is>
          <t>VÄSTMANLANDS LÄN</t>
        </is>
      </c>
      <c r="E301" t="inlineStr">
        <is>
          <t>SALA</t>
        </is>
      </c>
      <c r="G301" t="n">
        <v>4.2</v>
      </c>
      <c r="H301" t="n">
        <v>0</v>
      </c>
      <c r="I301" t="n">
        <v>0</v>
      </c>
      <c r="J301" t="n">
        <v>0</v>
      </c>
      <c r="K301" t="n">
        <v>0</v>
      </c>
      <c r="L301" t="n">
        <v>0</v>
      </c>
      <c r="M301" t="n">
        <v>0</v>
      </c>
      <c r="N301" t="n">
        <v>0</v>
      </c>
      <c r="O301" t="n">
        <v>0</v>
      </c>
      <c r="P301" t="n">
        <v>0</v>
      </c>
      <c r="Q301" t="n">
        <v>0</v>
      </c>
      <c r="R301" s="2" t="inlineStr"/>
    </row>
    <row r="302" ht="15" customHeight="1">
      <c r="A302" t="inlineStr">
        <is>
          <t>A 29691-2025</t>
        </is>
      </c>
      <c r="B302" s="1" t="n">
        <v>45825.53645833334</v>
      </c>
      <c r="C302" s="1" t="n">
        <v>45924</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2928-2024</t>
        </is>
      </c>
      <c r="B303" s="1" t="n">
        <v>45315.59041666667</v>
      </c>
      <c r="C303" s="1" t="n">
        <v>45924</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73673-2021</t>
        </is>
      </c>
      <c r="B304" s="1" t="n">
        <v>44552.46501157407</v>
      </c>
      <c r="C304" s="1" t="n">
        <v>45924</v>
      </c>
      <c r="D304" t="inlineStr">
        <is>
          <t>VÄSTMANLANDS LÄN</t>
        </is>
      </c>
      <c r="E304" t="inlineStr">
        <is>
          <t>SALA</t>
        </is>
      </c>
      <c r="G304" t="n">
        <v>11.4</v>
      </c>
      <c r="H304" t="n">
        <v>0</v>
      </c>
      <c r="I304" t="n">
        <v>0</v>
      </c>
      <c r="J304" t="n">
        <v>0</v>
      </c>
      <c r="K304" t="n">
        <v>0</v>
      </c>
      <c r="L304" t="n">
        <v>0</v>
      </c>
      <c r="M304" t="n">
        <v>0</v>
      </c>
      <c r="N304" t="n">
        <v>0</v>
      </c>
      <c r="O304" t="n">
        <v>0</v>
      </c>
      <c r="P304" t="n">
        <v>0</v>
      </c>
      <c r="Q304" t="n">
        <v>0</v>
      </c>
      <c r="R304" s="2" t="inlineStr"/>
    </row>
    <row r="305" ht="15" customHeight="1">
      <c r="A305" t="inlineStr">
        <is>
          <t>A 60541-2024</t>
        </is>
      </c>
      <c r="B305" s="1" t="n">
        <v>45643</v>
      </c>
      <c r="C305" s="1" t="n">
        <v>45924</v>
      </c>
      <c r="D305" t="inlineStr">
        <is>
          <t>VÄSTMANLANDS LÄN</t>
        </is>
      </c>
      <c r="E305" t="inlineStr">
        <is>
          <t>SALA</t>
        </is>
      </c>
      <c r="G305" t="n">
        <v>10.6</v>
      </c>
      <c r="H305" t="n">
        <v>0</v>
      </c>
      <c r="I305" t="n">
        <v>0</v>
      </c>
      <c r="J305" t="n">
        <v>0</v>
      </c>
      <c r="K305" t="n">
        <v>0</v>
      </c>
      <c r="L305" t="n">
        <v>0</v>
      </c>
      <c r="M305" t="n">
        <v>0</v>
      </c>
      <c r="N305" t="n">
        <v>0</v>
      </c>
      <c r="O305" t="n">
        <v>0</v>
      </c>
      <c r="P305" t="n">
        <v>0</v>
      </c>
      <c r="Q305" t="n">
        <v>0</v>
      </c>
      <c r="R305" s="2" t="inlineStr"/>
    </row>
    <row r="306" ht="15" customHeight="1">
      <c r="A306" t="inlineStr">
        <is>
          <t>A 60548-2024</t>
        </is>
      </c>
      <c r="B306" s="1" t="n">
        <v>45643.80978009259</v>
      </c>
      <c r="C306" s="1" t="n">
        <v>45924</v>
      </c>
      <c r="D306" t="inlineStr">
        <is>
          <t>VÄSTMANLANDS LÄN</t>
        </is>
      </c>
      <c r="E306" t="inlineStr">
        <is>
          <t>SALA</t>
        </is>
      </c>
      <c r="G306" t="n">
        <v>1.6</v>
      </c>
      <c r="H306" t="n">
        <v>0</v>
      </c>
      <c r="I306" t="n">
        <v>0</v>
      </c>
      <c r="J306" t="n">
        <v>0</v>
      </c>
      <c r="K306" t="n">
        <v>0</v>
      </c>
      <c r="L306" t="n">
        <v>0</v>
      </c>
      <c r="M306" t="n">
        <v>0</v>
      </c>
      <c r="N306" t="n">
        <v>0</v>
      </c>
      <c r="O306" t="n">
        <v>0</v>
      </c>
      <c r="P306" t="n">
        <v>0</v>
      </c>
      <c r="Q306" t="n">
        <v>0</v>
      </c>
      <c r="R306" s="2" t="inlineStr"/>
    </row>
    <row r="307" ht="15" customHeight="1">
      <c r="A307" t="inlineStr">
        <is>
          <t>A 26761-2023</t>
        </is>
      </c>
      <c r="B307" s="1" t="n">
        <v>45093</v>
      </c>
      <c r="C307" s="1" t="n">
        <v>45924</v>
      </c>
      <c r="D307" t="inlineStr">
        <is>
          <t>VÄSTMANLANDS LÄN</t>
        </is>
      </c>
      <c r="E307" t="inlineStr">
        <is>
          <t>SALA</t>
        </is>
      </c>
      <c r="G307" t="n">
        <v>4.3</v>
      </c>
      <c r="H307" t="n">
        <v>0</v>
      </c>
      <c r="I307" t="n">
        <v>0</v>
      </c>
      <c r="J307" t="n">
        <v>0</v>
      </c>
      <c r="K307" t="n">
        <v>0</v>
      </c>
      <c r="L307" t="n">
        <v>0</v>
      </c>
      <c r="M307" t="n">
        <v>0</v>
      </c>
      <c r="N307" t="n">
        <v>0</v>
      </c>
      <c r="O307" t="n">
        <v>0</v>
      </c>
      <c r="P307" t="n">
        <v>0</v>
      </c>
      <c r="Q307" t="n">
        <v>0</v>
      </c>
      <c r="R307" s="2" t="inlineStr"/>
    </row>
    <row r="308" ht="15" customHeight="1">
      <c r="A308" t="inlineStr">
        <is>
          <t>A 40871-2021</t>
        </is>
      </c>
      <c r="B308" s="1" t="n">
        <v>44421</v>
      </c>
      <c r="C308" s="1" t="n">
        <v>45924</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29826-2025</t>
        </is>
      </c>
      <c r="B309" s="1" t="n">
        <v>45825.85761574074</v>
      </c>
      <c r="C309" s="1" t="n">
        <v>45924</v>
      </c>
      <c r="D309" t="inlineStr">
        <is>
          <t>VÄSTMANLANDS LÄN</t>
        </is>
      </c>
      <c r="E309" t="inlineStr">
        <is>
          <t>SALA</t>
        </is>
      </c>
      <c r="G309" t="n">
        <v>1.9</v>
      </c>
      <c r="H309" t="n">
        <v>0</v>
      </c>
      <c r="I309" t="n">
        <v>0</v>
      </c>
      <c r="J309" t="n">
        <v>0</v>
      </c>
      <c r="K309" t="n">
        <v>0</v>
      </c>
      <c r="L309" t="n">
        <v>0</v>
      </c>
      <c r="M309" t="n">
        <v>0</v>
      </c>
      <c r="N309" t="n">
        <v>0</v>
      </c>
      <c r="O309" t="n">
        <v>0</v>
      </c>
      <c r="P309" t="n">
        <v>0</v>
      </c>
      <c r="Q309" t="n">
        <v>0</v>
      </c>
      <c r="R309" s="2" t="inlineStr"/>
    </row>
    <row r="310" ht="15" customHeight="1">
      <c r="A310" t="inlineStr">
        <is>
          <t>A 55035-2023</t>
        </is>
      </c>
      <c r="B310" s="1" t="n">
        <v>45229</v>
      </c>
      <c r="C310" s="1" t="n">
        <v>45924</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60249-2023</t>
        </is>
      </c>
      <c r="B311" s="1" t="n">
        <v>45258</v>
      </c>
      <c r="C311" s="1" t="n">
        <v>45924</v>
      </c>
      <c r="D311" t="inlineStr">
        <is>
          <t>VÄSTMANLANDS LÄN</t>
        </is>
      </c>
      <c r="E311" t="inlineStr">
        <is>
          <t>SALA</t>
        </is>
      </c>
      <c r="G311" t="n">
        <v>2</v>
      </c>
      <c r="H311" t="n">
        <v>0</v>
      </c>
      <c r="I311" t="n">
        <v>0</v>
      </c>
      <c r="J311" t="n">
        <v>0</v>
      </c>
      <c r="K311" t="n">
        <v>0</v>
      </c>
      <c r="L311" t="n">
        <v>0</v>
      </c>
      <c r="M311" t="n">
        <v>0</v>
      </c>
      <c r="N311" t="n">
        <v>0</v>
      </c>
      <c r="O311" t="n">
        <v>0</v>
      </c>
      <c r="P311" t="n">
        <v>0</v>
      </c>
      <c r="Q311" t="n">
        <v>0</v>
      </c>
      <c r="R311" s="2" t="inlineStr"/>
    </row>
    <row r="312" ht="15" customHeight="1">
      <c r="A312" t="inlineStr">
        <is>
          <t>A 14271-2025</t>
        </is>
      </c>
      <c r="B312" s="1" t="n">
        <v>45740.64129629629</v>
      </c>
      <c r="C312" s="1" t="n">
        <v>45924</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29972-2025</t>
        </is>
      </c>
      <c r="B313" s="1" t="n">
        <v>45826</v>
      </c>
      <c r="C313" s="1" t="n">
        <v>45924</v>
      </c>
      <c r="D313" t="inlineStr">
        <is>
          <t>VÄSTMANLANDS LÄN</t>
        </is>
      </c>
      <c r="E313" t="inlineStr">
        <is>
          <t>SALA</t>
        </is>
      </c>
      <c r="G313" t="n">
        <v>2.7</v>
      </c>
      <c r="H313" t="n">
        <v>0</v>
      </c>
      <c r="I313" t="n">
        <v>0</v>
      </c>
      <c r="J313" t="n">
        <v>0</v>
      </c>
      <c r="K313" t="n">
        <v>0</v>
      </c>
      <c r="L313" t="n">
        <v>0</v>
      </c>
      <c r="M313" t="n">
        <v>0</v>
      </c>
      <c r="N313" t="n">
        <v>0</v>
      </c>
      <c r="O313" t="n">
        <v>0</v>
      </c>
      <c r="P313" t="n">
        <v>0</v>
      </c>
      <c r="Q313" t="n">
        <v>0</v>
      </c>
      <c r="R313" s="2" t="inlineStr"/>
    </row>
    <row r="314" ht="15" customHeight="1">
      <c r="A314" t="inlineStr">
        <is>
          <t>A 25868-2024</t>
        </is>
      </c>
      <c r="B314" s="1" t="n">
        <v>45467.47506944444</v>
      </c>
      <c r="C314" s="1" t="n">
        <v>45924</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54199-2024</t>
        </is>
      </c>
      <c r="B315" s="1" t="n">
        <v>45616.64703703704</v>
      </c>
      <c r="C315" s="1" t="n">
        <v>45924</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6312-2025</t>
        </is>
      </c>
      <c r="B316" s="1" t="n">
        <v>45698</v>
      </c>
      <c r="C316" s="1" t="n">
        <v>45924</v>
      </c>
      <c r="D316" t="inlineStr">
        <is>
          <t>VÄSTMANLANDS LÄN</t>
        </is>
      </c>
      <c r="E316" t="inlineStr">
        <is>
          <t>SALA</t>
        </is>
      </c>
      <c r="G316" t="n">
        <v>1.2</v>
      </c>
      <c r="H316" t="n">
        <v>0</v>
      </c>
      <c r="I316" t="n">
        <v>0</v>
      </c>
      <c r="J316" t="n">
        <v>0</v>
      </c>
      <c r="K316" t="n">
        <v>0</v>
      </c>
      <c r="L316" t="n">
        <v>0</v>
      </c>
      <c r="M316" t="n">
        <v>0</v>
      </c>
      <c r="N316" t="n">
        <v>0</v>
      </c>
      <c r="O316" t="n">
        <v>0</v>
      </c>
      <c r="P316" t="n">
        <v>0</v>
      </c>
      <c r="Q316" t="n">
        <v>0</v>
      </c>
      <c r="R316" s="2" t="inlineStr"/>
    </row>
    <row r="317" ht="15" customHeight="1">
      <c r="A317" t="inlineStr">
        <is>
          <t>A 31597-2024</t>
        </is>
      </c>
      <c r="B317" s="1" t="n">
        <v>45506</v>
      </c>
      <c r="C317" s="1" t="n">
        <v>45924</v>
      </c>
      <c r="D317" t="inlineStr">
        <is>
          <t>VÄSTMANLANDS LÄN</t>
        </is>
      </c>
      <c r="E317" t="inlineStr">
        <is>
          <t>SALA</t>
        </is>
      </c>
      <c r="G317" t="n">
        <v>2.4</v>
      </c>
      <c r="H317" t="n">
        <v>0</v>
      </c>
      <c r="I317" t="n">
        <v>0</v>
      </c>
      <c r="J317" t="n">
        <v>0</v>
      </c>
      <c r="K317" t="n">
        <v>0</v>
      </c>
      <c r="L317" t="n">
        <v>0</v>
      </c>
      <c r="M317" t="n">
        <v>0</v>
      </c>
      <c r="N317" t="n">
        <v>0</v>
      </c>
      <c r="O317" t="n">
        <v>0</v>
      </c>
      <c r="P317" t="n">
        <v>0</v>
      </c>
      <c r="Q317" t="n">
        <v>0</v>
      </c>
      <c r="R317" s="2" t="inlineStr"/>
    </row>
    <row r="318" ht="15" customHeight="1">
      <c r="A318" t="inlineStr">
        <is>
          <t>A 31599-2024</t>
        </is>
      </c>
      <c r="B318" s="1" t="n">
        <v>45506</v>
      </c>
      <c r="C318" s="1" t="n">
        <v>45924</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31601-2024</t>
        </is>
      </c>
      <c r="B319" s="1" t="n">
        <v>45506</v>
      </c>
      <c r="C319" s="1" t="n">
        <v>45924</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31608-2024</t>
        </is>
      </c>
      <c r="B320" s="1" t="n">
        <v>45506</v>
      </c>
      <c r="C320" s="1" t="n">
        <v>45924</v>
      </c>
      <c r="D320" t="inlineStr">
        <is>
          <t>VÄSTMANLANDS LÄN</t>
        </is>
      </c>
      <c r="E320" t="inlineStr">
        <is>
          <t>SALA</t>
        </is>
      </c>
      <c r="G320" t="n">
        <v>1.7</v>
      </c>
      <c r="H320" t="n">
        <v>0</v>
      </c>
      <c r="I320" t="n">
        <v>0</v>
      </c>
      <c r="J320" t="n">
        <v>0</v>
      </c>
      <c r="K320" t="n">
        <v>0</v>
      </c>
      <c r="L320" t="n">
        <v>0</v>
      </c>
      <c r="M320" t="n">
        <v>0</v>
      </c>
      <c r="N320" t="n">
        <v>0</v>
      </c>
      <c r="O320" t="n">
        <v>0</v>
      </c>
      <c r="P320" t="n">
        <v>0</v>
      </c>
      <c r="Q320" t="n">
        <v>0</v>
      </c>
      <c r="R320" s="2" t="inlineStr"/>
    </row>
    <row r="321" ht="15" customHeight="1">
      <c r="A321" t="inlineStr">
        <is>
          <t>A 31612-2024</t>
        </is>
      </c>
      <c r="B321" s="1" t="n">
        <v>45506</v>
      </c>
      <c r="C321" s="1" t="n">
        <v>45924</v>
      </c>
      <c r="D321" t="inlineStr">
        <is>
          <t>VÄSTMANLANDS LÄN</t>
        </is>
      </c>
      <c r="E321" t="inlineStr">
        <is>
          <t>SALA</t>
        </is>
      </c>
      <c r="G321" t="n">
        <v>3.2</v>
      </c>
      <c r="H321" t="n">
        <v>0</v>
      </c>
      <c r="I321" t="n">
        <v>0</v>
      </c>
      <c r="J321" t="n">
        <v>0</v>
      </c>
      <c r="K321" t="n">
        <v>0</v>
      </c>
      <c r="L321" t="n">
        <v>0</v>
      </c>
      <c r="M321" t="n">
        <v>0</v>
      </c>
      <c r="N321" t="n">
        <v>0</v>
      </c>
      <c r="O321" t="n">
        <v>0</v>
      </c>
      <c r="P321" t="n">
        <v>0</v>
      </c>
      <c r="Q321" t="n">
        <v>0</v>
      </c>
      <c r="R321" s="2" t="inlineStr"/>
    </row>
    <row r="322" ht="15" customHeight="1">
      <c r="A322" t="inlineStr">
        <is>
          <t>A 52500-2024</t>
        </is>
      </c>
      <c r="B322" s="1" t="n">
        <v>45609</v>
      </c>
      <c r="C322" s="1" t="n">
        <v>45924</v>
      </c>
      <c r="D322" t="inlineStr">
        <is>
          <t>VÄSTMANLANDS LÄN</t>
        </is>
      </c>
      <c r="E322" t="inlineStr">
        <is>
          <t>SALA</t>
        </is>
      </c>
      <c r="G322" t="n">
        <v>1.3</v>
      </c>
      <c r="H322" t="n">
        <v>0</v>
      </c>
      <c r="I322" t="n">
        <v>0</v>
      </c>
      <c r="J322" t="n">
        <v>0</v>
      </c>
      <c r="K322" t="n">
        <v>0</v>
      </c>
      <c r="L322" t="n">
        <v>0</v>
      </c>
      <c r="M322" t="n">
        <v>0</v>
      </c>
      <c r="N322" t="n">
        <v>0</v>
      </c>
      <c r="O322" t="n">
        <v>0</v>
      </c>
      <c r="P322" t="n">
        <v>0</v>
      </c>
      <c r="Q322" t="n">
        <v>0</v>
      </c>
      <c r="R322" s="2" t="inlineStr"/>
    </row>
    <row r="323" ht="15" customHeight="1">
      <c r="A323" t="inlineStr">
        <is>
          <t>A 31608-2025</t>
        </is>
      </c>
      <c r="B323" s="1" t="n">
        <v>45833</v>
      </c>
      <c r="C323" s="1" t="n">
        <v>45924</v>
      </c>
      <c r="D323" t="inlineStr">
        <is>
          <t>VÄSTMANLANDS LÄN</t>
        </is>
      </c>
      <c r="E323" t="inlineStr">
        <is>
          <t>SALA</t>
        </is>
      </c>
      <c r="G323" t="n">
        <v>6.1</v>
      </c>
      <c r="H323" t="n">
        <v>0</v>
      </c>
      <c r="I323" t="n">
        <v>0</v>
      </c>
      <c r="J323" t="n">
        <v>0</v>
      </c>
      <c r="K323" t="n">
        <v>0</v>
      </c>
      <c r="L323" t="n">
        <v>0</v>
      </c>
      <c r="M323" t="n">
        <v>0</v>
      </c>
      <c r="N323" t="n">
        <v>0</v>
      </c>
      <c r="O323" t="n">
        <v>0</v>
      </c>
      <c r="P323" t="n">
        <v>0</v>
      </c>
      <c r="Q323" t="n">
        <v>0</v>
      </c>
      <c r="R323" s="2" t="inlineStr"/>
    </row>
    <row r="324" ht="15" customHeight="1">
      <c r="A324" t="inlineStr">
        <is>
          <t>A 30866-2025</t>
        </is>
      </c>
      <c r="B324" s="1" t="n">
        <v>45832.3246875</v>
      </c>
      <c r="C324" s="1" t="n">
        <v>45924</v>
      </c>
      <c r="D324" t="inlineStr">
        <is>
          <t>VÄSTMANLANDS LÄN</t>
        </is>
      </c>
      <c r="E324" t="inlineStr">
        <is>
          <t>SALA</t>
        </is>
      </c>
      <c r="G324" t="n">
        <v>14.3</v>
      </c>
      <c r="H324" t="n">
        <v>0</v>
      </c>
      <c r="I324" t="n">
        <v>0</v>
      </c>
      <c r="J324" t="n">
        <v>0</v>
      </c>
      <c r="K324" t="n">
        <v>0</v>
      </c>
      <c r="L324" t="n">
        <v>0</v>
      </c>
      <c r="M324" t="n">
        <v>0</v>
      </c>
      <c r="N324" t="n">
        <v>0</v>
      </c>
      <c r="O324" t="n">
        <v>0</v>
      </c>
      <c r="P324" t="n">
        <v>0</v>
      </c>
      <c r="Q324" t="n">
        <v>0</v>
      </c>
      <c r="R324" s="2" t="inlineStr"/>
    </row>
    <row r="325" ht="15" customHeight="1">
      <c r="A325" t="inlineStr">
        <is>
          <t>A 30874-2025</t>
        </is>
      </c>
      <c r="B325" s="1" t="n">
        <v>45832.34430555555</v>
      </c>
      <c r="C325" s="1" t="n">
        <v>45924</v>
      </c>
      <c r="D325" t="inlineStr">
        <is>
          <t>VÄSTMANLANDS LÄN</t>
        </is>
      </c>
      <c r="E325" t="inlineStr">
        <is>
          <t>SALA</t>
        </is>
      </c>
      <c r="G325" t="n">
        <v>8.4</v>
      </c>
      <c r="H325" t="n">
        <v>0</v>
      </c>
      <c r="I325" t="n">
        <v>0</v>
      </c>
      <c r="J325" t="n">
        <v>0</v>
      </c>
      <c r="K325" t="n">
        <v>0</v>
      </c>
      <c r="L325" t="n">
        <v>0</v>
      </c>
      <c r="M325" t="n">
        <v>0</v>
      </c>
      <c r="N325" t="n">
        <v>0</v>
      </c>
      <c r="O325" t="n">
        <v>0</v>
      </c>
      <c r="P325" t="n">
        <v>0</v>
      </c>
      <c r="Q325" t="n">
        <v>0</v>
      </c>
      <c r="R325" s="2" t="inlineStr"/>
    </row>
    <row r="326" ht="15" customHeight="1">
      <c r="A326" t="inlineStr">
        <is>
          <t>A 31573-2025</t>
        </is>
      </c>
      <c r="B326" s="1" t="n">
        <v>45833</v>
      </c>
      <c r="C326" s="1" t="n">
        <v>45924</v>
      </c>
      <c r="D326" t="inlineStr">
        <is>
          <t>VÄSTMANLANDS LÄN</t>
        </is>
      </c>
      <c r="E326" t="inlineStr">
        <is>
          <t>SALA</t>
        </is>
      </c>
      <c r="G326" t="n">
        <v>0.6</v>
      </c>
      <c r="H326" t="n">
        <v>0</v>
      </c>
      <c r="I326" t="n">
        <v>0</v>
      </c>
      <c r="J326" t="n">
        <v>0</v>
      </c>
      <c r="K326" t="n">
        <v>0</v>
      </c>
      <c r="L326" t="n">
        <v>0</v>
      </c>
      <c r="M326" t="n">
        <v>0</v>
      </c>
      <c r="N326" t="n">
        <v>0</v>
      </c>
      <c r="O326" t="n">
        <v>0</v>
      </c>
      <c r="P326" t="n">
        <v>0</v>
      </c>
      <c r="Q326" t="n">
        <v>0</v>
      </c>
      <c r="R326" s="2" t="inlineStr"/>
    </row>
    <row r="327" ht="15" customHeight="1">
      <c r="A327" t="inlineStr">
        <is>
          <t>A 31288-2025</t>
        </is>
      </c>
      <c r="B327" s="1" t="n">
        <v>45833</v>
      </c>
      <c r="C327" s="1" t="n">
        <v>45924</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31554-2025</t>
        </is>
      </c>
      <c r="B328" s="1" t="n">
        <v>45833</v>
      </c>
      <c r="C328" s="1" t="n">
        <v>45924</v>
      </c>
      <c r="D328" t="inlineStr">
        <is>
          <t>VÄSTMANLANDS LÄN</t>
        </is>
      </c>
      <c r="E328" t="inlineStr">
        <is>
          <t>SALA</t>
        </is>
      </c>
      <c r="G328" t="n">
        <v>1.5</v>
      </c>
      <c r="H328" t="n">
        <v>0</v>
      </c>
      <c r="I328" t="n">
        <v>0</v>
      </c>
      <c r="J328" t="n">
        <v>0</v>
      </c>
      <c r="K328" t="n">
        <v>0</v>
      </c>
      <c r="L328" t="n">
        <v>0</v>
      </c>
      <c r="M328" t="n">
        <v>0</v>
      </c>
      <c r="N328" t="n">
        <v>0</v>
      </c>
      <c r="O328" t="n">
        <v>0</v>
      </c>
      <c r="P328" t="n">
        <v>0</v>
      </c>
      <c r="Q328" t="n">
        <v>0</v>
      </c>
      <c r="R328" s="2" t="inlineStr"/>
    </row>
    <row r="329" ht="15" customHeight="1">
      <c r="A329" t="inlineStr">
        <is>
          <t>A 30899-2025</t>
        </is>
      </c>
      <c r="B329" s="1" t="n">
        <v>45832.35767361111</v>
      </c>
      <c r="C329" s="1" t="n">
        <v>45924</v>
      </c>
      <c r="D329" t="inlineStr">
        <is>
          <t>VÄSTMANLANDS LÄN</t>
        </is>
      </c>
      <c r="E329" t="inlineStr">
        <is>
          <t>SALA</t>
        </is>
      </c>
      <c r="G329" t="n">
        <v>3.1</v>
      </c>
      <c r="H329" t="n">
        <v>0</v>
      </c>
      <c r="I329" t="n">
        <v>0</v>
      </c>
      <c r="J329" t="n">
        <v>0</v>
      </c>
      <c r="K329" t="n">
        <v>0</v>
      </c>
      <c r="L329" t="n">
        <v>0</v>
      </c>
      <c r="M329" t="n">
        <v>0</v>
      </c>
      <c r="N329" t="n">
        <v>0</v>
      </c>
      <c r="O329" t="n">
        <v>0</v>
      </c>
      <c r="P329" t="n">
        <v>0</v>
      </c>
      <c r="Q329" t="n">
        <v>0</v>
      </c>
      <c r="R329" s="2" t="inlineStr"/>
    </row>
    <row r="330" ht="15" customHeight="1">
      <c r="A330" t="inlineStr">
        <is>
          <t>A 44857-2023</t>
        </is>
      </c>
      <c r="B330" s="1" t="n">
        <v>45190.58479166667</v>
      </c>
      <c r="C330" s="1" t="n">
        <v>45924</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31065-2025</t>
        </is>
      </c>
      <c r="B331" s="1" t="n">
        <v>45832.57571759259</v>
      </c>
      <c r="C331" s="1" t="n">
        <v>45924</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56949-2023</t>
        </is>
      </c>
      <c r="B332" s="1" t="n">
        <v>45244.61589120371</v>
      </c>
      <c r="C332" s="1" t="n">
        <v>45924</v>
      </c>
      <c r="D332" t="inlineStr">
        <is>
          <t>VÄSTMANLANDS LÄN</t>
        </is>
      </c>
      <c r="E332" t="inlineStr">
        <is>
          <t>SALA</t>
        </is>
      </c>
      <c r="G332" t="n">
        <v>4.7</v>
      </c>
      <c r="H332" t="n">
        <v>0</v>
      </c>
      <c r="I332" t="n">
        <v>0</v>
      </c>
      <c r="J332" t="n">
        <v>0</v>
      </c>
      <c r="K332" t="n">
        <v>0</v>
      </c>
      <c r="L332" t="n">
        <v>0</v>
      </c>
      <c r="M332" t="n">
        <v>0</v>
      </c>
      <c r="N332" t="n">
        <v>0</v>
      </c>
      <c r="O332" t="n">
        <v>0</v>
      </c>
      <c r="P332" t="n">
        <v>0</v>
      </c>
      <c r="Q332" t="n">
        <v>0</v>
      </c>
      <c r="R332" s="2" t="inlineStr"/>
    </row>
    <row r="333" ht="15" customHeight="1">
      <c r="A333" t="inlineStr">
        <is>
          <t>A 31296-2025</t>
        </is>
      </c>
      <c r="B333" s="1" t="n">
        <v>45833.36765046296</v>
      </c>
      <c r="C333" s="1" t="n">
        <v>45924</v>
      </c>
      <c r="D333" t="inlineStr">
        <is>
          <t>VÄSTMANLANDS LÄN</t>
        </is>
      </c>
      <c r="E333" t="inlineStr">
        <is>
          <t>SALA</t>
        </is>
      </c>
      <c r="G333" t="n">
        <v>3.7</v>
      </c>
      <c r="H333" t="n">
        <v>0</v>
      </c>
      <c r="I333" t="n">
        <v>0</v>
      </c>
      <c r="J333" t="n">
        <v>0</v>
      </c>
      <c r="K333" t="n">
        <v>0</v>
      </c>
      <c r="L333" t="n">
        <v>0</v>
      </c>
      <c r="M333" t="n">
        <v>0</v>
      </c>
      <c r="N333" t="n">
        <v>0</v>
      </c>
      <c r="O333" t="n">
        <v>0</v>
      </c>
      <c r="P333" t="n">
        <v>0</v>
      </c>
      <c r="Q333" t="n">
        <v>0</v>
      </c>
      <c r="R333" s="2" t="inlineStr"/>
    </row>
    <row r="334" ht="15" customHeight="1">
      <c r="A334" t="inlineStr">
        <is>
          <t>A 31748-2025</t>
        </is>
      </c>
      <c r="B334" s="1" t="n">
        <v>45834</v>
      </c>
      <c r="C334" s="1" t="n">
        <v>45924</v>
      </c>
      <c r="D334" t="inlineStr">
        <is>
          <t>VÄSTMANLANDS LÄN</t>
        </is>
      </c>
      <c r="E334" t="inlineStr">
        <is>
          <t>SALA</t>
        </is>
      </c>
      <c r="G334" t="n">
        <v>2</v>
      </c>
      <c r="H334" t="n">
        <v>0</v>
      </c>
      <c r="I334" t="n">
        <v>0</v>
      </c>
      <c r="J334" t="n">
        <v>0</v>
      </c>
      <c r="K334" t="n">
        <v>0</v>
      </c>
      <c r="L334" t="n">
        <v>0</v>
      </c>
      <c r="M334" t="n">
        <v>0</v>
      </c>
      <c r="N334" t="n">
        <v>0</v>
      </c>
      <c r="O334" t="n">
        <v>0</v>
      </c>
      <c r="P334" t="n">
        <v>0</v>
      </c>
      <c r="Q334" t="n">
        <v>0</v>
      </c>
      <c r="R334" s="2" t="inlineStr"/>
    </row>
    <row r="335" ht="15" customHeight="1">
      <c r="A335" t="inlineStr">
        <is>
          <t>A 32210-2025</t>
        </is>
      </c>
      <c r="B335" s="1" t="n">
        <v>45835</v>
      </c>
      <c r="C335" s="1" t="n">
        <v>45924</v>
      </c>
      <c r="D335" t="inlineStr">
        <is>
          <t>VÄSTMANLANDS LÄN</t>
        </is>
      </c>
      <c r="E335" t="inlineStr">
        <is>
          <t>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53164-2024</t>
        </is>
      </c>
      <c r="B336" s="1" t="n">
        <v>45611.64887731482</v>
      </c>
      <c r="C336" s="1" t="n">
        <v>45924</v>
      </c>
      <c r="D336" t="inlineStr">
        <is>
          <t>VÄSTMANLANDS LÄN</t>
        </is>
      </c>
      <c r="E336" t="inlineStr">
        <is>
          <t>SALA</t>
        </is>
      </c>
      <c r="G336" t="n">
        <v>2.6</v>
      </c>
      <c r="H336" t="n">
        <v>0</v>
      </c>
      <c r="I336" t="n">
        <v>0</v>
      </c>
      <c r="J336" t="n">
        <v>0</v>
      </c>
      <c r="K336" t="n">
        <v>0</v>
      </c>
      <c r="L336" t="n">
        <v>0</v>
      </c>
      <c r="M336" t="n">
        <v>0</v>
      </c>
      <c r="N336" t="n">
        <v>0</v>
      </c>
      <c r="O336" t="n">
        <v>0</v>
      </c>
      <c r="P336" t="n">
        <v>0</v>
      </c>
      <c r="Q336" t="n">
        <v>0</v>
      </c>
      <c r="R336" s="2" t="inlineStr"/>
    </row>
    <row r="337" ht="15" customHeight="1">
      <c r="A337" t="inlineStr">
        <is>
          <t>A 31610-2025</t>
        </is>
      </c>
      <c r="B337" s="1" t="n">
        <v>45833.78650462963</v>
      </c>
      <c r="C337" s="1" t="n">
        <v>45924</v>
      </c>
      <c r="D337" t="inlineStr">
        <is>
          <t>VÄSTMANLANDS LÄN</t>
        </is>
      </c>
      <c r="E337" t="inlineStr">
        <is>
          <t>SALA</t>
        </is>
      </c>
      <c r="G337" t="n">
        <v>8</v>
      </c>
      <c r="H337" t="n">
        <v>0</v>
      </c>
      <c r="I337" t="n">
        <v>0</v>
      </c>
      <c r="J337" t="n">
        <v>0</v>
      </c>
      <c r="K337" t="n">
        <v>0</v>
      </c>
      <c r="L337" t="n">
        <v>0</v>
      </c>
      <c r="M337" t="n">
        <v>0</v>
      </c>
      <c r="N337" t="n">
        <v>0</v>
      </c>
      <c r="O337" t="n">
        <v>0</v>
      </c>
      <c r="P337" t="n">
        <v>0</v>
      </c>
      <c r="Q337" t="n">
        <v>0</v>
      </c>
      <c r="R337" s="2" t="inlineStr"/>
    </row>
    <row r="338" ht="15" customHeight="1">
      <c r="A338" t="inlineStr">
        <is>
          <t>A 32201-2025</t>
        </is>
      </c>
      <c r="B338" s="1" t="n">
        <v>45835</v>
      </c>
      <c r="C338" s="1" t="n">
        <v>45924</v>
      </c>
      <c r="D338" t="inlineStr">
        <is>
          <t>VÄSTMANLANDS LÄN</t>
        </is>
      </c>
      <c r="E338" t="inlineStr">
        <is>
          <t>SALA</t>
        </is>
      </c>
      <c r="F338" t="inlineStr">
        <is>
          <t>Bergvik skog öst AB</t>
        </is>
      </c>
      <c r="G338" t="n">
        <v>1.8</v>
      </c>
      <c r="H338" t="n">
        <v>0</v>
      </c>
      <c r="I338" t="n">
        <v>0</v>
      </c>
      <c r="J338" t="n">
        <v>0</v>
      </c>
      <c r="K338" t="n">
        <v>0</v>
      </c>
      <c r="L338" t="n">
        <v>0</v>
      </c>
      <c r="M338" t="n">
        <v>0</v>
      </c>
      <c r="N338" t="n">
        <v>0</v>
      </c>
      <c r="O338" t="n">
        <v>0</v>
      </c>
      <c r="P338" t="n">
        <v>0</v>
      </c>
      <c r="Q338" t="n">
        <v>0</v>
      </c>
      <c r="R338" s="2" t="inlineStr"/>
    </row>
    <row r="339" ht="15" customHeight="1">
      <c r="A339" t="inlineStr">
        <is>
          <t>A 31612-2025</t>
        </is>
      </c>
      <c r="B339" s="1" t="n">
        <v>45833.80056712963</v>
      </c>
      <c r="C339" s="1" t="n">
        <v>45924</v>
      </c>
      <c r="D339" t="inlineStr">
        <is>
          <t>VÄSTMANLANDS LÄN</t>
        </is>
      </c>
      <c r="E339" t="inlineStr">
        <is>
          <t>SALA</t>
        </is>
      </c>
      <c r="G339" t="n">
        <v>6.3</v>
      </c>
      <c r="H339" t="n">
        <v>0</v>
      </c>
      <c r="I339" t="n">
        <v>0</v>
      </c>
      <c r="J339" t="n">
        <v>0</v>
      </c>
      <c r="K339" t="n">
        <v>0</v>
      </c>
      <c r="L339" t="n">
        <v>0</v>
      </c>
      <c r="M339" t="n">
        <v>0</v>
      </c>
      <c r="N339" t="n">
        <v>0</v>
      </c>
      <c r="O339" t="n">
        <v>0</v>
      </c>
      <c r="P339" t="n">
        <v>0</v>
      </c>
      <c r="Q339" t="n">
        <v>0</v>
      </c>
      <c r="R339" s="2" t="inlineStr"/>
    </row>
    <row r="340" ht="15" customHeight="1">
      <c r="A340" t="inlineStr">
        <is>
          <t>A 62654-2022</t>
        </is>
      </c>
      <c r="B340" s="1" t="n">
        <v>44917</v>
      </c>
      <c r="C340" s="1" t="n">
        <v>45924</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43188-2023</t>
        </is>
      </c>
      <c r="B341" s="1" t="n">
        <v>45183</v>
      </c>
      <c r="C341" s="1" t="n">
        <v>45924</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96-2024</t>
        </is>
      </c>
      <c r="B342" s="1" t="n">
        <v>45293.85872685185</v>
      </c>
      <c r="C342" s="1" t="n">
        <v>45924</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43205-2023</t>
        </is>
      </c>
      <c r="B343" s="1" t="n">
        <v>45183</v>
      </c>
      <c r="C343" s="1" t="n">
        <v>45924</v>
      </c>
      <c r="D343" t="inlineStr">
        <is>
          <t>VÄSTMANLANDS LÄN</t>
        </is>
      </c>
      <c r="E343" t="inlineStr">
        <is>
          <t>SALA</t>
        </is>
      </c>
      <c r="G343" t="n">
        <v>2.1</v>
      </c>
      <c r="H343" t="n">
        <v>0</v>
      </c>
      <c r="I343" t="n">
        <v>0</v>
      </c>
      <c r="J343" t="n">
        <v>0</v>
      </c>
      <c r="K343" t="n">
        <v>0</v>
      </c>
      <c r="L343" t="n">
        <v>0</v>
      </c>
      <c r="M343" t="n">
        <v>0</v>
      </c>
      <c r="N343" t="n">
        <v>0</v>
      </c>
      <c r="O343" t="n">
        <v>0</v>
      </c>
      <c r="P343" t="n">
        <v>0</v>
      </c>
      <c r="Q343" t="n">
        <v>0</v>
      </c>
      <c r="R343" s="2" t="inlineStr"/>
    </row>
    <row r="344" ht="15" customHeight="1">
      <c r="A344" t="inlineStr">
        <is>
          <t>A 61892-2021</t>
        </is>
      </c>
      <c r="B344" s="1" t="n">
        <v>44502</v>
      </c>
      <c r="C344" s="1" t="n">
        <v>45924</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31860-2025</t>
        </is>
      </c>
      <c r="B345" s="1" t="n">
        <v>45834</v>
      </c>
      <c r="C345" s="1" t="n">
        <v>45924</v>
      </c>
      <c r="D345" t="inlineStr">
        <is>
          <t>VÄSTMANLANDS LÄN</t>
        </is>
      </c>
      <c r="E345" t="inlineStr">
        <is>
          <t>SALA</t>
        </is>
      </c>
      <c r="G345" t="n">
        <v>7.4</v>
      </c>
      <c r="H345" t="n">
        <v>0</v>
      </c>
      <c r="I345" t="n">
        <v>0</v>
      </c>
      <c r="J345" t="n">
        <v>0</v>
      </c>
      <c r="K345" t="n">
        <v>0</v>
      </c>
      <c r="L345" t="n">
        <v>0</v>
      </c>
      <c r="M345" t="n">
        <v>0</v>
      </c>
      <c r="N345" t="n">
        <v>0</v>
      </c>
      <c r="O345" t="n">
        <v>0</v>
      </c>
      <c r="P345" t="n">
        <v>0</v>
      </c>
      <c r="Q345" t="n">
        <v>0</v>
      </c>
      <c r="R345" s="2" t="inlineStr"/>
    </row>
    <row r="346" ht="15" customHeight="1">
      <c r="A346" t="inlineStr">
        <is>
          <t>A 31864-2025</t>
        </is>
      </c>
      <c r="B346" s="1" t="n">
        <v>45834.63819444444</v>
      </c>
      <c r="C346" s="1" t="n">
        <v>45924</v>
      </c>
      <c r="D346" t="inlineStr">
        <is>
          <t>VÄSTMANLANDS LÄN</t>
        </is>
      </c>
      <c r="E346" t="inlineStr">
        <is>
          <t>SALA</t>
        </is>
      </c>
      <c r="G346" t="n">
        <v>6.3</v>
      </c>
      <c r="H346" t="n">
        <v>0</v>
      </c>
      <c r="I346" t="n">
        <v>0</v>
      </c>
      <c r="J346" t="n">
        <v>0</v>
      </c>
      <c r="K346" t="n">
        <v>0</v>
      </c>
      <c r="L346" t="n">
        <v>0</v>
      </c>
      <c r="M346" t="n">
        <v>0</v>
      </c>
      <c r="N346" t="n">
        <v>0</v>
      </c>
      <c r="O346" t="n">
        <v>0</v>
      </c>
      <c r="P346" t="n">
        <v>0</v>
      </c>
      <c r="Q346" t="n">
        <v>0</v>
      </c>
      <c r="R346" s="2" t="inlineStr"/>
    </row>
    <row r="347" ht="15" customHeight="1">
      <c r="A347" t="inlineStr">
        <is>
          <t>A 32207-2025</t>
        </is>
      </c>
      <c r="B347" s="1" t="n">
        <v>45835</v>
      </c>
      <c r="C347" s="1" t="n">
        <v>45924</v>
      </c>
      <c r="D347" t="inlineStr">
        <is>
          <t>VÄSTMANLANDS LÄN</t>
        </is>
      </c>
      <c r="E347" t="inlineStr">
        <is>
          <t>SALA</t>
        </is>
      </c>
      <c r="F347" t="inlineStr">
        <is>
          <t>Bergvik skog öst AB</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54118-2023</t>
        </is>
      </c>
      <c r="B348" s="1" t="n">
        <v>45232</v>
      </c>
      <c r="C348" s="1" t="n">
        <v>45924</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31762-2025</t>
        </is>
      </c>
      <c r="B349" s="1" t="n">
        <v>45834.49288194445</v>
      </c>
      <c r="C349" s="1" t="n">
        <v>45924</v>
      </c>
      <c r="D349" t="inlineStr">
        <is>
          <t>VÄSTMANLANDS LÄN</t>
        </is>
      </c>
      <c r="E349" t="inlineStr">
        <is>
          <t>SALA</t>
        </is>
      </c>
      <c r="G349" t="n">
        <v>5.9</v>
      </c>
      <c r="H349" t="n">
        <v>0</v>
      </c>
      <c r="I349" t="n">
        <v>0</v>
      </c>
      <c r="J349" t="n">
        <v>0</v>
      </c>
      <c r="K349" t="n">
        <v>0</v>
      </c>
      <c r="L349" t="n">
        <v>0</v>
      </c>
      <c r="M349" t="n">
        <v>0</v>
      </c>
      <c r="N349" t="n">
        <v>0</v>
      </c>
      <c r="O349" t="n">
        <v>0</v>
      </c>
      <c r="P349" t="n">
        <v>0</v>
      </c>
      <c r="Q349" t="n">
        <v>0</v>
      </c>
      <c r="R349" s="2" t="inlineStr"/>
    </row>
    <row r="350" ht="15" customHeight="1">
      <c r="A350" t="inlineStr">
        <is>
          <t>A 29213-2022</t>
        </is>
      </c>
      <c r="B350" s="1" t="n">
        <v>44750.57474537037</v>
      </c>
      <c r="C350" s="1" t="n">
        <v>45924</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31771-2025</t>
        </is>
      </c>
      <c r="B351" s="1" t="n">
        <v>45834.50910879629</v>
      </c>
      <c r="C351" s="1" t="n">
        <v>45924</v>
      </c>
      <c r="D351" t="inlineStr">
        <is>
          <t>VÄSTMANLANDS LÄN</t>
        </is>
      </c>
      <c r="E351" t="inlineStr">
        <is>
          <t>SALA</t>
        </is>
      </c>
      <c r="G351" t="n">
        <v>5.1</v>
      </c>
      <c r="H351" t="n">
        <v>0</v>
      </c>
      <c r="I351" t="n">
        <v>0</v>
      </c>
      <c r="J351" t="n">
        <v>0</v>
      </c>
      <c r="K351" t="n">
        <v>0</v>
      </c>
      <c r="L351" t="n">
        <v>0</v>
      </c>
      <c r="M351" t="n">
        <v>0</v>
      </c>
      <c r="N351" t="n">
        <v>0</v>
      </c>
      <c r="O351" t="n">
        <v>0</v>
      </c>
      <c r="P351" t="n">
        <v>0</v>
      </c>
      <c r="Q351" t="n">
        <v>0</v>
      </c>
      <c r="R351" s="2" t="inlineStr"/>
    </row>
    <row r="352" ht="15" customHeight="1">
      <c r="A352" t="inlineStr">
        <is>
          <t>A 32205-2025</t>
        </is>
      </c>
      <c r="B352" s="1" t="n">
        <v>45835</v>
      </c>
      <c r="C352" s="1" t="n">
        <v>45924</v>
      </c>
      <c r="D352" t="inlineStr">
        <is>
          <t>VÄSTMANLANDS LÄN</t>
        </is>
      </c>
      <c r="E352" t="inlineStr">
        <is>
          <t>SALA</t>
        </is>
      </c>
      <c r="F352" t="inlineStr">
        <is>
          <t>Bergvik skog öst AB</t>
        </is>
      </c>
      <c r="G352" t="n">
        <v>1.1</v>
      </c>
      <c r="H352" t="n">
        <v>0</v>
      </c>
      <c r="I352" t="n">
        <v>0</v>
      </c>
      <c r="J352" t="n">
        <v>0</v>
      </c>
      <c r="K352" t="n">
        <v>0</v>
      </c>
      <c r="L352" t="n">
        <v>0</v>
      </c>
      <c r="M352" t="n">
        <v>0</v>
      </c>
      <c r="N352" t="n">
        <v>0</v>
      </c>
      <c r="O352" t="n">
        <v>0</v>
      </c>
      <c r="P352" t="n">
        <v>0</v>
      </c>
      <c r="Q352" t="n">
        <v>0</v>
      </c>
      <c r="R352" s="2" t="inlineStr"/>
    </row>
    <row r="353" ht="15" customHeight="1">
      <c r="A353" t="inlineStr">
        <is>
          <t>A 31887-2025</t>
        </is>
      </c>
      <c r="B353" s="1" t="n">
        <v>45834.6608449074</v>
      </c>
      <c r="C353" s="1" t="n">
        <v>45924</v>
      </c>
      <c r="D353" t="inlineStr">
        <is>
          <t>VÄSTMANLANDS LÄN</t>
        </is>
      </c>
      <c r="E353" t="inlineStr">
        <is>
          <t>SALA</t>
        </is>
      </c>
      <c r="G353" t="n">
        <v>7</v>
      </c>
      <c r="H353" t="n">
        <v>0</v>
      </c>
      <c r="I353" t="n">
        <v>0</v>
      </c>
      <c r="J353" t="n">
        <v>0</v>
      </c>
      <c r="K353" t="n">
        <v>0</v>
      </c>
      <c r="L353" t="n">
        <v>0</v>
      </c>
      <c r="M353" t="n">
        <v>0</v>
      </c>
      <c r="N353" t="n">
        <v>0</v>
      </c>
      <c r="O353" t="n">
        <v>0</v>
      </c>
      <c r="P353" t="n">
        <v>0</v>
      </c>
      <c r="Q353" t="n">
        <v>0</v>
      </c>
      <c r="R353" s="2" t="inlineStr"/>
    </row>
    <row r="354" ht="15" customHeight="1">
      <c r="A354" t="inlineStr">
        <is>
          <t>A 32286-2025</t>
        </is>
      </c>
      <c r="B354" s="1" t="n">
        <v>45835</v>
      </c>
      <c r="C354" s="1" t="n">
        <v>45924</v>
      </c>
      <c r="D354" t="inlineStr">
        <is>
          <t>VÄSTMANLANDS LÄN</t>
        </is>
      </c>
      <c r="E354" t="inlineStr">
        <is>
          <t>SALA</t>
        </is>
      </c>
      <c r="G354" t="n">
        <v>6.4</v>
      </c>
      <c r="H354" t="n">
        <v>0</v>
      </c>
      <c r="I354" t="n">
        <v>0</v>
      </c>
      <c r="J354" t="n">
        <v>0</v>
      </c>
      <c r="K354" t="n">
        <v>0</v>
      </c>
      <c r="L354" t="n">
        <v>0</v>
      </c>
      <c r="M354" t="n">
        <v>0</v>
      </c>
      <c r="N354" t="n">
        <v>0</v>
      </c>
      <c r="O354" t="n">
        <v>0</v>
      </c>
      <c r="P354" t="n">
        <v>0</v>
      </c>
      <c r="Q354" t="n">
        <v>0</v>
      </c>
      <c r="R354" s="2" t="inlineStr"/>
    </row>
    <row r="355" ht="15" customHeight="1">
      <c r="A355" t="inlineStr">
        <is>
          <t>A 59483-2022</t>
        </is>
      </c>
      <c r="B355" s="1" t="n">
        <v>44907.45679398148</v>
      </c>
      <c r="C355" s="1" t="n">
        <v>45924</v>
      </c>
      <c r="D355" t="inlineStr">
        <is>
          <t>VÄSTMANLANDS LÄN</t>
        </is>
      </c>
      <c r="E355" t="inlineStr">
        <is>
          <t>SALA</t>
        </is>
      </c>
      <c r="G355" t="n">
        <v>5.2</v>
      </c>
      <c r="H355" t="n">
        <v>0</v>
      </c>
      <c r="I355" t="n">
        <v>0</v>
      </c>
      <c r="J355" t="n">
        <v>0</v>
      </c>
      <c r="K355" t="n">
        <v>0</v>
      </c>
      <c r="L355" t="n">
        <v>0</v>
      </c>
      <c r="M355" t="n">
        <v>0</v>
      </c>
      <c r="N355" t="n">
        <v>0</v>
      </c>
      <c r="O355" t="n">
        <v>0</v>
      </c>
      <c r="P355" t="n">
        <v>0</v>
      </c>
      <c r="Q355" t="n">
        <v>0</v>
      </c>
      <c r="R355" s="2" t="inlineStr"/>
    </row>
    <row r="356" ht="15" customHeight="1">
      <c r="A356" t="inlineStr">
        <is>
          <t>A 34814-2021</t>
        </is>
      </c>
      <c r="B356" s="1" t="n">
        <v>44383</v>
      </c>
      <c r="C356" s="1" t="n">
        <v>45924</v>
      </c>
      <c r="D356" t="inlineStr">
        <is>
          <t>VÄSTMANLANDS LÄN</t>
        </is>
      </c>
      <c r="E356" t="inlineStr">
        <is>
          <t>SALA</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25748-2022</t>
        </is>
      </c>
      <c r="B357" s="1" t="n">
        <v>44732</v>
      </c>
      <c r="C357" s="1" t="n">
        <v>45924</v>
      </c>
      <c r="D357" t="inlineStr">
        <is>
          <t>VÄSTMANLANDS LÄN</t>
        </is>
      </c>
      <c r="E357" t="inlineStr">
        <is>
          <t>SALA</t>
        </is>
      </c>
      <c r="G357" t="n">
        <v>7.7</v>
      </c>
      <c r="H357" t="n">
        <v>0</v>
      </c>
      <c r="I357" t="n">
        <v>0</v>
      </c>
      <c r="J357" t="n">
        <v>0</v>
      </c>
      <c r="K357" t="n">
        <v>0</v>
      </c>
      <c r="L357" t="n">
        <v>0</v>
      </c>
      <c r="M357" t="n">
        <v>0</v>
      </c>
      <c r="N357" t="n">
        <v>0</v>
      </c>
      <c r="O357" t="n">
        <v>0</v>
      </c>
      <c r="P357" t="n">
        <v>0</v>
      </c>
      <c r="Q357" t="n">
        <v>0</v>
      </c>
      <c r="R357" s="2" t="inlineStr"/>
    </row>
    <row r="358" ht="15" customHeight="1">
      <c r="A358" t="inlineStr">
        <is>
          <t>A 32902-2025</t>
        </is>
      </c>
      <c r="B358" s="1" t="n">
        <v>45839</v>
      </c>
      <c r="C358" s="1" t="n">
        <v>45924</v>
      </c>
      <c r="D358" t="inlineStr">
        <is>
          <t>VÄSTMANLANDS LÄN</t>
        </is>
      </c>
      <c r="E358" t="inlineStr">
        <is>
          <t>SALA</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16160-2024</t>
        </is>
      </c>
      <c r="B359" s="1" t="n">
        <v>45406</v>
      </c>
      <c r="C359" s="1" t="n">
        <v>45924</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21968-2024</t>
        </is>
      </c>
      <c r="B360" s="1" t="n">
        <v>45443</v>
      </c>
      <c r="C360" s="1" t="n">
        <v>45924</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3733-2023</t>
        </is>
      </c>
      <c r="B361" s="1" t="n">
        <v>44951.42501157407</v>
      </c>
      <c r="C361" s="1" t="n">
        <v>45924</v>
      </c>
      <c r="D361" t="inlineStr">
        <is>
          <t>VÄSTMANLANDS LÄN</t>
        </is>
      </c>
      <c r="E361" t="inlineStr">
        <is>
          <t>SALA</t>
        </is>
      </c>
      <c r="G361" t="n">
        <v>3.1</v>
      </c>
      <c r="H361" t="n">
        <v>0</v>
      </c>
      <c r="I361" t="n">
        <v>0</v>
      </c>
      <c r="J361" t="n">
        <v>0</v>
      </c>
      <c r="K361" t="n">
        <v>0</v>
      </c>
      <c r="L361" t="n">
        <v>0</v>
      </c>
      <c r="M361" t="n">
        <v>0</v>
      </c>
      <c r="N361" t="n">
        <v>0</v>
      </c>
      <c r="O361" t="n">
        <v>0</v>
      </c>
      <c r="P361" t="n">
        <v>0</v>
      </c>
      <c r="Q361" t="n">
        <v>0</v>
      </c>
      <c r="R361" s="2" t="inlineStr"/>
    </row>
    <row r="362" ht="15" customHeight="1">
      <c r="A362" t="inlineStr">
        <is>
          <t>A 39597-2022</t>
        </is>
      </c>
      <c r="B362" s="1" t="n">
        <v>44818</v>
      </c>
      <c r="C362" s="1" t="n">
        <v>45924</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6136-2025</t>
        </is>
      </c>
      <c r="B363" s="1" t="n">
        <v>45698.37601851852</v>
      </c>
      <c r="C363" s="1" t="n">
        <v>45924</v>
      </c>
      <c r="D363" t="inlineStr">
        <is>
          <t>VÄSTMANLANDS LÄN</t>
        </is>
      </c>
      <c r="E363" t="inlineStr">
        <is>
          <t>SALA</t>
        </is>
      </c>
      <c r="F363" t="inlineStr">
        <is>
          <t>Bergvik skog öst AB</t>
        </is>
      </c>
      <c r="G363" t="n">
        <v>2.2</v>
      </c>
      <c r="H363" t="n">
        <v>0</v>
      </c>
      <c r="I363" t="n">
        <v>0</v>
      </c>
      <c r="J363" t="n">
        <v>0</v>
      </c>
      <c r="K363" t="n">
        <v>0</v>
      </c>
      <c r="L363" t="n">
        <v>0</v>
      </c>
      <c r="M363" t="n">
        <v>0</v>
      </c>
      <c r="N363" t="n">
        <v>0</v>
      </c>
      <c r="O363" t="n">
        <v>0</v>
      </c>
      <c r="P363" t="n">
        <v>0</v>
      </c>
      <c r="Q363" t="n">
        <v>0</v>
      </c>
      <c r="R363" s="2" t="inlineStr"/>
    </row>
    <row r="364" ht="15" customHeight="1">
      <c r="A364" t="inlineStr">
        <is>
          <t>A 6190-2025</t>
        </is>
      </c>
      <c r="B364" s="1" t="n">
        <v>45698</v>
      </c>
      <c r="C364" s="1" t="n">
        <v>45924</v>
      </c>
      <c r="D364" t="inlineStr">
        <is>
          <t>VÄSTMANLANDS LÄN</t>
        </is>
      </c>
      <c r="E364" t="inlineStr">
        <is>
          <t>SALA</t>
        </is>
      </c>
      <c r="F364" t="inlineStr">
        <is>
          <t>Bergvik skog öst AB</t>
        </is>
      </c>
      <c r="G364" t="n">
        <v>4.6</v>
      </c>
      <c r="H364" t="n">
        <v>0</v>
      </c>
      <c r="I364" t="n">
        <v>0</v>
      </c>
      <c r="J364" t="n">
        <v>0</v>
      </c>
      <c r="K364" t="n">
        <v>0</v>
      </c>
      <c r="L364" t="n">
        <v>0</v>
      </c>
      <c r="M364" t="n">
        <v>0</v>
      </c>
      <c r="N364" t="n">
        <v>0</v>
      </c>
      <c r="O364" t="n">
        <v>0</v>
      </c>
      <c r="P364" t="n">
        <v>0</v>
      </c>
      <c r="Q364" t="n">
        <v>0</v>
      </c>
      <c r="R364" s="2" t="inlineStr"/>
    </row>
    <row r="365" ht="15" customHeight="1">
      <c r="A365" t="inlineStr">
        <is>
          <t>A 38294-2025</t>
        </is>
      </c>
      <c r="B365" s="1" t="n">
        <v>45883.44854166666</v>
      </c>
      <c r="C365" s="1" t="n">
        <v>45924</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16760-2024</t>
        </is>
      </c>
      <c r="B366" s="1" t="n">
        <v>45411</v>
      </c>
      <c r="C366" s="1" t="n">
        <v>45924</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22921-2023</t>
        </is>
      </c>
      <c r="B367" s="1" t="n">
        <v>45070</v>
      </c>
      <c r="C367" s="1" t="n">
        <v>45924</v>
      </c>
      <c r="D367" t="inlineStr">
        <is>
          <t>VÄSTMANLANDS LÄN</t>
        </is>
      </c>
      <c r="E367" t="inlineStr">
        <is>
          <t>SALA</t>
        </is>
      </c>
      <c r="G367" t="n">
        <v>1.3</v>
      </c>
      <c r="H367" t="n">
        <v>0</v>
      </c>
      <c r="I367" t="n">
        <v>0</v>
      </c>
      <c r="J367" t="n">
        <v>0</v>
      </c>
      <c r="K367" t="n">
        <v>0</v>
      </c>
      <c r="L367" t="n">
        <v>0</v>
      </c>
      <c r="M367" t="n">
        <v>0</v>
      </c>
      <c r="N367" t="n">
        <v>0</v>
      </c>
      <c r="O367" t="n">
        <v>0</v>
      </c>
      <c r="P367" t="n">
        <v>0</v>
      </c>
      <c r="Q367" t="n">
        <v>0</v>
      </c>
      <c r="R367" s="2" t="inlineStr"/>
    </row>
    <row r="368" ht="15" customHeight="1">
      <c r="A368" t="inlineStr">
        <is>
          <t>A 38574-2025</t>
        </is>
      </c>
      <c r="B368" s="1" t="n">
        <v>45884.46390046296</v>
      </c>
      <c r="C368" s="1" t="n">
        <v>45924</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36858-2023</t>
        </is>
      </c>
      <c r="B369" s="1" t="n">
        <v>45154.55184027777</v>
      </c>
      <c r="C369" s="1" t="n">
        <v>45924</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6127-2025</t>
        </is>
      </c>
      <c r="B370" s="1" t="n">
        <v>45698</v>
      </c>
      <c r="C370" s="1" t="n">
        <v>45924</v>
      </c>
      <c r="D370" t="inlineStr">
        <is>
          <t>VÄSTMANLANDS LÄN</t>
        </is>
      </c>
      <c r="E370" t="inlineStr">
        <is>
          <t>SALA</t>
        </is>
      </c>
      <c r="F370" t="inlineStr">
        <is>
          <t>Bergvik skog öst AB</t>
        </is>
      </c>
      <c r="G370" t="n">
        <v>4.3</v>
      </c>
      <c r="H370" t="n">
        <v>0</v>
      </c>
      <c r="I370" t="n">
        <v>0</v>
      </c>
      <c r="J370" t="n">
        <v>0</v>
      </c>
      <c r="K370" t="n">
        <v>0</v>
      </c>
      <c r="L370" t="n">
        <v>0</v>
      </c>
      <c r="M370" t="n">
        <v>0</v>
      </c>
      <c r="N370" t="n">
        <v>0</v>
      </c>
      <c r="O370" t="n">
        <v>0</v>
      </c>
      <c r="P370" t="n">
        <v>0</v>
      </c>
      <c r="Q370" t="n">
        <v>0</v>
      </c>
      <c r="R370" s="2" t="inlineStr"/>
    </row>
    <row r="371" ht="15" customHeight="1">
      <c r="A371" t="inlineStr">
        <is>
          <t>A 55024-2023</t>
        </is>
      </c>
      <c r="B371" s="1" t="n">
        <v>45229</v>
      </c>
      <c r="C371" s="1" t="n">
        <v>45924</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55032-2023</t>
        </is>
      </c>
      <c r="B372" s="1" t="n">
        <v>45229</v>
      </c>
      <c r="C372" s="1" t="n">
        <v>45924</v>
      </c>
      <c r="D372" t="inlineStr">
        <is>
          <t>VÄSTMANLANDS LÄN</t>
        </is>
      </c>
      <c r="E372" t="inlineStr">
        <is>
          <t>SALA</t>
        </is>
      </c>
      <c r="G372" t="n">
        <v>1.5</v>
      </c>
      <c r="H372" t="n">
        <v>0</v>
      </c>
      <c r="I372" t="n">
        <v>0</v>
      </c>
      <c r="J372" t="n">
        <v>0</v>
      </c>
      <c r="K372" t="n">
        <v>0</v>
      </c>
      <c r="L372" t="n">
        <v>0</v>
      </c>
      <c r="M372" t="n">
        <v>0</v>
      </c>
      <c r="N372" t="n">
        <v>0</v>
      </c>
      <c r="O372" t="n">
        <v>0</v>
      </c>
      <c r="P372" t="n">
        <v>0</v>
      </c>
      <c r="Q372" t="n">
        <v>0</v>
      </c>
      <c r="R372" s="2" t="inlineStr"/>
    </row>
    <row r="373" ht="15" customHeight="1">
      <c r="A373" t="inlineStr">
        <is>
          <t>A 20352-2022</t>
        </is>
      </c>
      <c r="B373" s="1" t="n">
        <v>44699.37318287037</v>
      </c>
      <c r="C373" s="1" t="n">
        <v>45924</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5032-2025</t>
        </is>
      </c>
      <c r="B374" s="1" t="n">
        <v>45691</v>
      </c>
      <c r="C374" s="1" t="n">
        <v>45924</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988-2025</t>
        </is>
      </c>
      <c r="B375" s="1" t="n">
        <v>45666.44038194444</v>
      </c>
      <c r="C375" s="1" t="n">
        <v>45924</v>
      </c>
      <c r="D375" t="inlineStr">
        <is>
          <t>VÄSTMANLANDS LÄN</t>
        </is>
      </c>
      <c r="E375" t="inlineStr">
        <is>
          <t>SALA</t>
        </is>
      </c>
      <c r="G375" t="n">
        <v>1.3</v>
      </c>
      <c r="H375" t="n">
        <v>0</v>
      </c>
      <c r="I375" t="n">
        <v>0</v>
      </c>
      <c r="J375" t="n">
        <v>0</v>
      </c>
      <c r="K375" t="n">
        <v>0</v>
      </c>
      <c r="L375" t="n">
        <v>0</v>
      </c>
      <c r="M375" t="n">
        <v>0</v>
      </c>
      <c r="N375" t="n">
        <v>0</v>
      </c>
      <c r="O375" t="n">
        <v>0</v>
      </c>
      <c r="P375" t="n">
        <v>0</v>
      </c>
      <c r="Q375" t="n">
        <v>0</v>
      </c>
      <c r="R375" s="2" t="inlineStr"/>
    </row>
    <row r="376" ht="15" customHeight="1">
      <c r="A376" t="inlineStr">
        <is>
          <t>A 60328-2024</t>
        </is>
      </c>
      <c r="B376" s="1" t="n">
        <v>45643.38416666666</v>
      </c>
      <c r="C376" s="1" t="n">
        <v>45924</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17117-2023</t>
        </is>
      </c>
      <c r="B377" s="1" t="n">
        <v>45034</v>
      </c>
      <c r="C377" s="1" t="n">
        <v>45924</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35016-2024</t>
        </is>
      </c>
      <c r="B378" s="1" t="n">
        <v>45527.59115740741</v>
      </c>
      <c r="C378" s="1" t="n">
        <v>45924</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25897-2024</t>
        </is>
      </c>
      <c r="B379" s="1" t="n">
        <v>45467.54435185185</v>
      </c>
      <c r="C379" s="1" t="n">
        <v>45924</v>
      </c>
      <c r="D379" t="inlineStr">
        <is>
          <t>VÄSTMANLANDS LÄN</t>
        </is>
      </c>
      <c r="E379" t="inlineStr">
        <is>
          <t>SALA</t>
        </is>
      </c>
      <c r="G379" t="n">
        <v>9.9</v>
      </c>
      <c r="H379" t="n">
        <v>0</v>
      </c>
      <c r="I379" t="n">
        <v>0</v>
      </c>
      <c r="J379" t="n">
        <v>0</v>
      </c>
      <c r="K379" t="n">
        <v>0</v>
      </c>
      <c r="L379" t="n">
        <v>0</v>
      </c>
      <c r="M379" t="n">
        <v>0</v>
      </c>
      <c r="N379" t="n">
        <v>0</v>
      </c>
      <c r="O379" t="n">
        <v>0</v>
      </c>
      <c r="P379" t="n">
        <v>0</v>
      </c>
      <c r="Q379" t="n">
        <v>0</v>
      </c>
      <c r="R379" s="2" t="inlineStr"/>
    </row>
    <row r="380" ht="15" customHeight="1">
      <c r="A380" t="inlineStr">
        <is>
          <t>A 34069-2025</t>
        </is>
      </c>
      <c r="B380" s="1" t="n">
        <v>45845.43560185185</v>
      </c>
      <c r="C380" s="1" t="n">
        <v>45924</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c r="U380">
        <f>HYPERLINK("https://klasma.github.io/Logging_1981/knärot/A 34069-2025 karta knärot.png", "A 34069-2025")</f>
        <v/>
      </c>
      <c r="V380">
        <f>HYPERLINK("https://klasma.github.io/Logging_1981/klagomål/A 34069-2025 FSC-klagomål.docx", "A 34069-2025")</f>
        <v/>
      </c>
      <c r="W380">
        <f>HYPERLINK("https://klasma.github.io/Logging_1981/klagomålsmail/A 34069-2025 FSC-klagomål mail.docx", "A 34069-2025")</f>
        <v/>
      </c>
      <c r="X380">
        <f>HYPERLINK("https://klasma.github.io/Logging_1981/tillsyn/A 34069-2025 tillsynsbegäran.docx", "A 34069-2025")</f>
        <v/>
      </c>
      <c r="Y380">
        <f>HYPERLINK("https://klasma.github.io/Logging_1981/tillsynsmail/A 34069-2025 tillsynsbegäran mail.docx", "A 34069-2025")</f>
        <v/>
      </c>
    </row>
    <row r="381" ht="15" customHeight="1">
      <c r="A381" t="inlineStr">
        <is>
          <t>A 31072-2021</t>
        </is>
      </c>
      <c r="B381" s="1" t="n">
        <v>44368</v>
      </c>
      <c r="C381" s="1" t="n">
        <v>45924</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19243-2025</t>
        </is>
      </c>
      <c r="B382" s="1" t="n">
        <v>45769</v>
      </c>
      <c r="C382" s="1" t="n">
        <v>45924</v>
      </c>
      <c r="D382" t="inlineStr">
        <is>
          <t>VÄSTMANLANDS LÄN</t>
        </is>
      </c>
      <c r="E382" t="inlineStr">
        <is>
          <t>SALA</t>
        </is>
      </c>
      <c r="F382" t="inlineStr">
        <is>
          <t>Bergvik skog öst AB</t>
        </is>
      </c>
      <c r="G382" t="n">
        <v>1.5</v>
      </c>
      <c r="H382" t="n">
        <v>0</v>
      </c>
      <c r="I382" t="n">
        <v>0</v>
      </c>
      <c r="J382" t="n">
        <v>0</v>
      </c>
      <c r="K382" t="n">
        <v>0</v>
      </c>
      <c r="L382" t="n">
        <v>0</v>
      </c>
      <c r="M382" t="n">
        <v>0</v>
      </c>
      <c r="N382" t="n">
        <v>0</v>
      </c>
      <c r="O382" t="n">
        <v>0</v>
      </c>
      <c r="P382" t="n">
        <v>0</v>
      </c>
      <c r="Q382" t="n">
        <v>0</v>
      </c>
      <c r="R382" s="2" t="inlineStr"/>
    </row>
    <row r="383" ht="15" customHeight="1">
      <c r="A383" t="inlineStr">
        <is>
          <t>A 57371-2022</t>
        </is>
      </c>
      <c r="B383" s="1" t="n">
        <v>44896.43832175926</v>
      </c>
      <c r="C383" s="1" t="n">
        <v>45924</v>
      </c>
      <c r="D383" t="inlineStr">
        <is>
          <t>VÄSTMANLANDS LÄN</t>
        </is>
      </c>
      <c r="E383" t="inlineStr">
        <is>
          <t>SALA</t>
        </is>
      </c>
      <c r="G383" t="n">
        <v>0.7</v>
      </c>
      <c r="H383" t="n">
        <v>0</v>
      </c>
      <c r="I383" t="n">
        <v>0</v>
      </c>
      <c r="J383" t="n">
        <v>0</v>
      </c>
      <c r="K383" t="n">
        <v>0</v>
      </c>
      <c r="L383" t="n">
        <v>0</v>
      </c>
      <c r="M383" t="n">
        <v>0</v>
      </c>
      <c r="N383" t="n">
        <v>0</v>
      </c>
      <c r="O383" t="n">
        <v>0</v>
      </c>
      <c r="P383" t="n">
        <v>0</v>
      </c>
      <c r="Q383" t="n">
        <v>0</v>
      </c>
      <c r="R383" s="2" t="inlineStr"/>
    </row>
    <row r="384" ht="15" customHeight="1">
      <c r="A384" t="inlineStr">
        <is>
          <t>A 22019-2021</t>
        </is>
      </c>
      <c r="B384" s="1" t="n">
        <v>44323</v>
      </c>
      <c r="C384" s="1" t="n">
        <v>45924</v>
      </c>
      <c r="D384" t="inlineStr">
        <is>
          <t>VÄSTMANLANDS LÄN</t>
        </is>
      </c>
      <c r="E384" t="inlineStr">
        <is>
          <t>SALA</t>
        </is>
      </c>
      <c r="G384" t="n">
        <v>1.9</v>
      </c>
      <c r="H384" t="n">
        <v>0</v>
      </c>
      <c r="I384" t="n">
        <v>0</v>
      </c>
      <c r="J384" t="n">
        <v>0</v>
      </c>
      <c r="K384" t="n">
        <v>0</v>
      </c>
      <c r="L384" t="n">
        <v>0</v>
      </c>
      <c r="M384" t="n">
        <v>0</v>
      </c>
      <c r="N384" t="n">
        <v>0</v>
      </c>
      <c r="O384" t="n">
        <v>0</v>
      </c>
      <c r="P384" t="n">
        <v>0</v>
      </c>
      <c r="Q384" t="n">
        <v>0</v>
      </c>
      <c r="R384" s="2" t="inlineStr"/>
    </row>
    <row r="385" ht="15" customHeight="1">
      <c r="A385" t="inlineStr">
        <is>
          <t>A 55784-2024</t>
        </is>
      </c>
      <c r="B385" s="1" t="n">
        <v>45623</v>
      </c>
      <c r="C385" s="1" t="n">
        <v>45924</v>
      </c>
      <c r="D385" t="inlineStr">
        <is>
          <t>VÄSTMANLANDS LÄN</t>
        </is>
      </c>
      <c r="E385" t="inlineStr">
        <is>
          <t>SALA</t>
        </is>
      </c>
      <c r="F385" t="inlineStr">
        <is>
          <t>Bergvik skog öst AB</t>
        </is>
      </c>
      <c r="G385" t="n">
        <v>28.4</v>
      </c>
      <c r="H385" t="n">
        <v>0</v>
      </c>
      <c r="I385" t="n">
        <v>0</v>
      </c>
      <c r="J385" t="n">
        <v>0</v>
      </c>
      <c r="K385" t="n">
        <v>0</v>
      </c>
      <c r="L385" t="n">
        <v>0</v>
      </c>
      <c r="M385" t="n">
        <v>0</v>
      </c>
      <c r="N385" t="n">
        <v>0</v>
      </c>
      <c r="O385" t="n">
        <v>0</v>
      </c>
      <c r="P385" t="n">
        <v>0</v>
      </c>
      <c r="Q385" t="n">
        <v>0</v>
      </c>
      <c r="R385" s="2" t="inlineStr"/>
    </row>
    <row r="386" ht="15" customHeight="1">
      <c r="A386" t="inlineStr">
        <is>
          <t>A 15744-2025</t>
        </is>
      </c>
      <c r="B386" s="1" t="n">
        <v>45748</v>
      </c>
      <c r="C386" s="1" t="n">
        <v>45924</v>
      </c>
      <c r="D386" t="inlineStr">
        <is>
          <t>VÄSTMANLANDS LÄN</t>
        </is>
      </c>
      <c r="E386" t="inlineStr">
        <is>
          <t>SALA</t>
        </is>
      </c>
      <c r="G386" t="n">
        <v>1.6</v>
      </c>
      <c r="H386" t="n">
        <v>0</v>
      </c>
      <c r="I386" t="n">
        <v>0</v>
      </c>
      <c r="J386" t="n">
        <v>0</v>
      </c>
      <c r="K386" t="n">
        <v>0</v>
      </c>
      <c r="L386" t="n">
        <v>0</v>
      </c>
      <c r="M386" t="n">
        <v>0</v>
      </c>
      <c r="N386" t="n">
        <v>0</v>
      </c>
      <c r="O386" t="n">
        <v>0</v>
      </c>
      <c r="P386" t="n">
        <v>0</v>
      </c>
      <c r="Q386" t="n">
        <v>0</v>
      </c>
      <c r="R386" s="2" t="inlineStr"/>
    </row>
    <row r="387" ht="15" customHeight="1">
      <c r="A387" t="inlineStr">
        <is>
          <t>A 16651-2021</t>
        </is>
      </c>
      <c r="B387" s="1" t="n">
        <v>44294.50096064815</v>
      </c>
      <c r="C387" s="1" t="n">
        <v>45924</v>
      </c>
      <c r="D387" t="inlineStr">
        <is>
          <t>VÄSTMANLANDS LÄN</t>
        </is>
      </c>
      <c r="E387" t="inlineStr">
        <is>
          <t>SALA</t>
        </is>
      </c>
      <c r="G387" t="n">
        <v>7.7</v>
      </c>
      <c r="H387" t="n">
        <v>0</v>
      </c>
      <c r="I387" t="n">
        <v>0</v>
      </c>
      <c r="J387" t="n">
        <v>0</v>
      </c>
      <c r="K387" t="n">
        <v>0</v>
      </c>
      <c r="L387" t="n">
        <v>0</v>
      </c>
      <c r="M387" t="n">
        <v>0</v>
      </c>
      <c r="N387" t="n">
        <v>0</v>
      </c>
      <c r="O387" t="n">
        <v>0</v>
      </c>
      <c r="P387" t="n">
        <v>0</v>
      </c>
      <c r="Q387" t="n">
        <v>0</v>
      </c>
      <c r="R387" s="2" t="inlineStr"/>
    </row>
    <row r="388" ht="15" customHeight="1">
      <c r="A388" t="inlineStr">
        <is>
          <t>A 19803-2024</t>
        </is>
      </c>
      <c r="B388" s="1" t="n">
        <v>45432</v>
      </c>
      <c r="C388" s="1" t="n">
        <v>45924</v>
      </c>
      <c r="D388" t="inlineStr">
        <is>
          <t>VÄSTMANLANDS LÄN</t>
        </is>
      </c>
      <c r="E388" t="inlineStr">
        <is>
          <t>SALA</t>
        </is>
      </c>
      <c r="G388" t="n">
        <v>3.1</v>
      </c>
      <c r="H388" t="n">
        <v>0</v>
      </c>
      <c r="I388" t="n">
        <v>0</v>
      </c>
      <c r="J388" t="n">
        <v>0</v>
      </c>
      <c r="K388" t="n">
        <v>0</v>
      </c>
      <c r="L388" t="n">
        <v>0</v>
      </c>
      <c r="M388" t="n">
        <v>0</v>
      </c>
      <c r="N388" t="n">
        <v>0</v>
      </c>
      <c r="O388" t="n">
        <v>0</v>
      </c>
      <c r="P388" t="n">
        <v>0</v>
      </c>
      <c r="Q388" t="n">
        <v>0</v>
      </c>
      <c r="R388" s="2" t="inlineStr"/>
    </row>
    <row r="389" ht="15" customHeight="1">
      <c r="A389" t="inlineStr">
        <is>
          <t>A 39167-2025</t>
        </is>
      </c>
      <c r="B389" s="1" t="n">
        <v>45888</v>
      </c>
      <c r="C389" s="1" t="n">
        <v>45924</v>
      </c>
      <c r="D389" t="inlineStr">
        <is>
          <t>VÄSTMANLANDS LÄN</t>
        </is>
      </c>
      <c r="E389" t="inlineStr">
        <is>
          <t>SALA</t>
        </is>
      </c>
      <c r="G389" t="n">
        <v>5.5</v>
      </c>
      <c r="H389" t="n">
        <v>0</v>
      </c>
      <c r="I389" t="n">
        <v>0</v>
      </c>
      <c r="J389" t="n">
        <v>0</v>
      </c>
      <c r="K389" t="n">
        <v>0</v>
      </c>
      <c r="L389" t="n">
        <v>0</v>
      </c>
      <c r="M389" t="n">
        <v>0</v>
      </c>
      <c r="N389" t="n">
        <v>0</v>
      </c>
      <c r="O389" t="n">
        <v>0</v>
      </c>
      <c r="P389" t="n">
        <v>0</v>
      </c>
      <c r="Q389" t="n">
        <v>0</v>
      </c>
      <c r="R389" s="2" t="inlineStr"/>
    </row>
    <row r="390" ht="15" customHeight="1">
      <c r="A390" t="inlineStr">
        <is>
          <t>A 7166-2025</t>
        </is>
      </c>
      <c r="B390" s="1" t="n">
        <v>45702</v>
      </c>
      <c r="C390" s="1" t="n">
        <v>45924</v>
      </c>
      <c r="D390" t="inlineStr">
        <is>
          <t>VÄSTMANLANDS LÄN</t>
        </is>
      </c>
      <c r="E390" t="inlineStr">
        <is>
          <t>SALA</t>
        </is>
      </c>
      <c r="G390" t="n">
        <v>6.1</v>
      </c>
      <c r="H390" t="n">
        <v>0</v>
      </c>
      <c r="I390" t="n">
        <v>0</v>
      </c>
      <c r="J390" t="n">
        <v>0</v>
      </c>
      <c r="K390" t="n">
        <v>0</v>
      </c>
      <c r="L390" t="n">
        <v>0</v>
      </c>
      <c r="M390" t="n">
        <v>0</v>
      </c>
      <c r="N390" t="n">
        <v>0</v>
      </c>
      <c r="O390" t="n">
        <v>0</v>
      </c>
      <c r="P390" t="n">
        <v>0</v>
      </c>
      <c r="Q390" t="n">
        <v>0</v>
      </c>
      <c r="R390" s="2" t="inlineStr"/>
    </row>
    <row r="391" ht="15" customHeight="1">
      <c r="A391" t="inlineStr">
        <is>
          <t>A 36393-2023</t>
        </is>
      </c>
      <c r="B391" s="1" t="n">
        <v>45152</v>
      </c>
      <c r="C391" s="1" t="n">
        <v>45924</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26416-2023</t>
        </is>
      </c>
      <c r="B392" s="1" t="n">
        <v>45092.38087962963</v>
      </c>
      <c r="C392" s="1" t="n">
        <v>45924</v>
      </c>
      <c r="D392" t="inlineStr">
        <is>
          <t>VÄSTMANLANDS LÄN</t>
        </is>
      </c>
      <c r="E392" t="inlineStr">
        <is>
          <t>SALA</t>
        </is>
      </c>
      <c r="G392" t="n">
        <v>2.9</v>
      </c>
      <c r="H392" t="n">
        <v>0</v>
      </c>
      <c r="I392" t="n">
        <v>0</v>
      </c>
      <c r="J392" t="n">
        <v>0</v>
      </c>
      <c r="K392" t="n">
        <v>0</v>
      </c>
      <c r="L392" t="n">
        <v>0</v>
      </c>
      <c r="M392" t="n">
        <v>0</v>
      </c>
      <c r="N392" t="n">
        <v>0</v>
      </c>
      <c r="O392" t="n">
        <v>0</v>
      </c>
      <c r="P392" t="n">
        <v>0</v>
      </c>
      <c r="Q392" t="n">
        <v>0</v>
      </c>
      <c r="R392" s="2" t="inlineStr"/>
    </row>
    <row r="393" ht="15" customHeight="1">
      <c r="A393" t="inlineStr">
        <is>
          <t>A 66821-2020</t>
        </is>
      </c>
      <c r="B393" s="1" t="n">
        <v>44179.88008101852</v>
      </c>
      <c r="C393" s="1" t="n">
        <v>45924</v>
      </c>
      <c r="D393" t="inlineStr">
        <is>
          <t>VÄSTMANLANDS LÄN</t>
        </is>
      </c>
      <c r="E393" t="inlineStr">
        <is>
          <t>SALA</t>
        </is>
      </c>
      <c r="G393" t="n">
        <v>1.4</v>
      </c>
      <c r="H393" t="n">
        <v>0</v>
      </c>
      <c r="I393" t="n">
        <v>0</v>
      </c>
      <c r="J393" t="n">
        <v>0</v>
      </c>
      <c r="K393" t="n">
        <v>0</v>
      </c>
      <c r="L393" t="n">
        <v>0</v>
      </c>
      <c r="M393" t="n">
        <v>0</v>
      </c>
      <c r="N393" t="n">
        <v>0</v>
      </c>
      <c r="O393" t="n">
        <v>0</v>
      </c>
      <c r="P393" t="n">
        <v>0</v>
      </c>
      <c r="Q393" t="n">
        <v>0</v>
      </c>
      <c r="R393" s="2" t="inlineStr"/>
    </row>
    <row r="394" ht="15" customHeight="1">
      <c r="A394" t="inlineStr">
        <is>
          <t>A 7196-2025</t>
        </is>
      </c>
      <c r="B394" s="1" t="n">
        <v>45702</v>
      </c>
      <c r="C394" s="1" t="n">
        <v>45924</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28661-2024</t>
        </is>
      </c>
      <c r="B395" s="1" t="n">
        <v>45478</v>
      </c>
      <c r="C395" s="1" t="n">
        <v>45924</v>
      </c>
      <c r="D395" t="inlineStr">
        <is>
          <t>VÄSTMANLANDS LÄN</t>
        </is>
      </c>
      <c r="E395" t="inlineStr">
        <is>
          <t>SALA</t>
        </is>
      </c>
      <c r="G395" t="n">
        <v>0.6</v>
      </c>
      <c r="H395" t="n">
        <v>0</v>
      </c>
      <c r="I395" t="n">
        <v>0</v>
      </c>
      <c r="J395" t="n">
        <v>0</v>
      </c>
      <c r="K395" t="n">
        <v>0</v>
      </c>
      <c r="L395" t="n">
        <v>0</v>
      </c>
      <c r="M395" t="n">
        <v>0</v>
      </c>
      <c r="N395" t="n">
        <v>0</v>
      </c>
      <c r="O395" t="n">
        <v>0</v>
      </c>
      <c r="P395" t="n">
        <v>0</v>
      </c>
      <c r="Q395" t="n">
        <v>0</v>
      </c>
      <c r="R395" s="2" t="inlineStr"/>
    </row>
    <row r="396" ht="15" customHeight="1">
      <c r="A396" t="inlineStr">
        <is>
          <t>A 27255-2023</t>
        </is>
      </c>
      <c r="B396" s="1" t="n">
        <v>45096</v>
      </c>
      <c r="C396" s="1" t="n">
        <v>45924</v>
      </c>
      <c r="D396" t="inlineStr">
        <is>
          <t>VÄSTMANLANDS LÄN</t>
        </is>
      </c>
      <c r="E396" t="inlineStr">
        <is>
          <t>SALA</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40597-2022</t>
        </is>
      </c>
      <c r="B397" s="1" t="n">
        <v>44823.84862268518</v>
      </c>
      <c r="C397" s="1" t="n">
        <v>45924</v>
      </c>
      <c r="D397" t="inlineStr">
        <is>
          <t>VÄSTMANLANDS LÄN</t>
        </is>
      </c>
      <c r="E397" t="inlineStr">
        <is>
          <t>SALA</t>
        </is>
      </c>
      <c r="G397" t="n">
        <v>3.5</v>
      </c>
      <c r="H397" t="n">
        <v>0</v>
      </c>
      <c r="I397" t="n">
        <v>0</v>
      </c>
      <c r="J397" t="n">
        <v>0</v>
      </c>
      <c r="K397" t="n">
        <v>0</v>
      </c>
      <c r="L397" t="n">
        <v>0</v>
      </c>
      <c r="M397" t="n">
        <v>0</v>
      </c>
      <c r="N397" t="n">
        <v>0</v>
      </c>
      <c r="O397" t="n">
        <v>0</v>
      </c>
      <c r="P397" t="n">
        <v>0</v>
      </c>
      <c r="Q397" t="n">
        <v>0</v>
      </c>
      <c r="R397" s="2" t="inlineStr"/>
    </row>
    <row r="398" ht="15" customHeight="1">
      <c r="A398" t="inlineStr">
        <is>
          <t>A 7197-2025</t>
        </is>
      </c>
      <c r="B398" s="1" t="n">
        <v>45702</v>
      </c>
      <c r="C398" s="1" t="n">
        <v>45924</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12921-2025</t>
        </is>
      </c>
      <c r="B399" s="1" t="n">
        <v>45734.28016203704</v>
      </c>
      <c r="C399" s="1" t="n">
        <v>45924</v>
      </c>
      <c r="D399" t="inlineStr">
        <is>
          <t>VÄSTMANLANDS LÄN</t>
        </is>
      </c>
      <c r="E399" t="inlineStr">
        <is>
          <t>SALA</t>
        </is>
      </c>
      <c r="G399" t="n">
        <v>0.9</v>
      </c>
      <c r="H399" t="n">
        <v>0</v>
      </c>
      <c r="I399" t="n">
        <v>0</v>
      </c>
      <c r="J399" t="n">
        <v>0</v>
      </c>
      <c r="K399" t="n">
        <v>0</v>
      </c>
      <c r="L399" t="n">
        <v>0</v>
      </c>
      <c r="M399" t="n">
        <v>0</v>
      </c>
      <c r="N399" t="n">
        <v>0</v>
      </c>
      <c r="O399" t="n">
        <v>0</v>
      </c>
      <c r="P399" t="n">
        <v>0</v>
      </c>
      <c r="Q399" t="n">
        <v>0</v>
      </c>
      <c r="R399" s="2" t="inlineStr"/>
    </row>
    <row r="400" ht="15" customHeight="1">
      <c r="A400" t="inlineStr">
        <is>
          <t>A 39182-2025</t>
        </is>
      </c>
      <c r="B400" s="1" t="n">
        <v>45888.66204861111</v>
      </c>
      <c r="C400" s="1" t="n">
        <v>45924</v>
      </c>
      <c r="D400" t="inlineStr">
        <is>
          <t>VÄSTMANLANDS LÄN</t>
        </is>
      </c>
      <c r="E400" t="inlineStr">
        <is>
          <t>SALA</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64925-2023</t>
        </is>
      </c>
      <c r="B401" s="1" t="n">
        <v>45282</v>
      </c>
      <c r="C401" s="1" t="n">
        <v>45924</v>
      </c>
      <c r="D401" t="inlineStr">
        <is>
          <t>VÄSTMANLANDS LÄN</t>
        </is>
      </c>
      <c r="E401" t="inlineStr">
        <is>
          <t>SALA</t>
        </is>
      </c>
      <c r="G401" t="n">
        <v>2.5</v>
      </c>
      <c r="H401" t="n">
        <v>0</v>
      </c>
      <c r="I401" t="n">
        <v>0</v>
      </c>
      <c r="J401" t="n">
        <v>0</v>
      </c>
      <c r="K401" t="n">
        <v>0</v>
      </c>
      <c r="L401" t="n">
        <v>0</v>
      </c>
      <c r="M401" t="n">
        <v>0</v>
      </c>
      <c r="N401" t="n">
        <v>0</v>
      </c>
      <c r="O401" t="n">
        <v>0</v>
      </c>
      <c r="P401" t="n">
        <v>0</v>
      </c>
      <c r="Q401" t="n">
        <v>0</v>
      </c>
      <c r="R401" s="2" t="inlineStr"/>
    </row>
    <row r="402" ht="15" customHeight="1">
      <c r="A402" t="inlineStr">
        <is>
          <t>A 40554-2025</t>
        </is>
      </c>
      <c r="B402" s="1" t="n">
        <v>45896.44506944445</v>
      </c>
      <c r="C402" s="1" t="n">
        <v>45924</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40620-2025</t>
        </is>
      </c>
      <c r="B403" s="1" t="n">
        <v>45896.58609953704</v>
      </c>
      <c r="C403" s="1" t="n">
        <v>45924</v>
      </c>
      <c r="D403" t="inlineStr">
        <is>
          <t>VÄSTMANLANDS LÄN</t>
        </is>
      </c>
      <c r="E403" t="inlineStr">
        <is>
          <t>SALA</t>
        </is>
      </c>
      <c r="G403" t="n">
        <v>6.7</v>
      </c>
      <c r="H403" t="n">
        <v>0</v>
      </c>
      <c r="I403" t="n">
        <v>0</v>
      </c>
      <c r="J403" t="n">
        <v>0</v>
      </c>
      <c r="K403" t="n">
        <v>0</v>
      </c>
      <c r="L403" t="n">
        <v>0</v>
      </c>
      <c r="M403" t="n">
        <v>0</v>
      </c>
      <c r="N403" t="n">
        <v>0</v>
      </c>
      <c r="O403" t="n">
        <v>0</v>
      </c>
      <c r="P403" t="n">
        <v>0</v>
      </c>
      <c r="Q403" t="n">
        <v>0</v>
      </c>
      <c r="R403" s="2" t="inlineStr"/>
    </row>
    <row r="404" ht="15" customHeight="1">
      <c r="A404" t="inlineStr">
        <is>
          <t>A 23406-2024</t>
        </is>
      </c>
      <c r="B404" s="1" t="n">
        <v>45453.58296296297</v>
      </c>
      <c r="C404" s="1" t="n">
        <v>45924</v>
      </c>
      <c r="D404" t="inlineStr">
        <is>
          <t>VÄSTMANLANDS LÄN</t>
        </is>
      </c>
      <c r="E404" t="inlineStr">
        <is>
          <t>SALA</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13752-2025</t>
        </is>
      </c>
      <c r="B405" s="1" t="n">
        <v>45737.41416666667</v>
      </c>
      <c r="C405" s="1" t="n">
        <v>45924</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40559-2025</t>
        </is>
      </c>
      <c r="B406" s="1" t="n">
        <v>45896.45037037037</v>
      </c>
      <c r="C406" s="1" t="n">
        <v>45924</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16133-2025</t>
        </is>
      </c>
      <c r="B407" s="1" t="n">
        <v>45750</v>
      </c>
      <c r="C407" s="1" t="n">
        <v>45924</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15099-2025</t>
        </is>
      </c>
      <c r="B408" s="1" t="n">
        <v>45744.3434837963</v>
      </c>
      <c r="C408" s="1" t="n">
        <v>45924</v>
      </c>
      <c r="D408" t="inlineStr">
        <is>
          <t>VÄSTMANLANDS LÄN</t>
        </is>
      </c>
      <c r="E408" t="inlineStr">
        <is>
          <t>SALA</t>
        </is>
      </c>
      <c r="F408" t="inlineStr">
        <is>
          <t>Sveaskog</t>
        </is>
      </c>
      <c r="G408" t="n">
        <v>14.4</v>
      </c>
      <c r="H408" t="n">
        <v>0</v>
      </c>
      <c r="I408" t="n">
        <v>0</v>
      </c>
      <c r="J408" t="n">
        <v>0</v>
      </c>
      <c r="K408" t="n">
        <v>0</v>
      </c>
      <c r="L408" t="n">
        <v>0</v>
      </c>
      <c r="M408" t="n">
        <v>0</v>
      </c>
      <c r="N408" t="n">
        <v>0</v>
      </c>
      <c r="O408" t="n">
        <v>0</v>
      </c>
      <c r="P408" t="n">
        <v>0</v>
      </c>
      <c r="Q408" t="n">
        <v>0</v>
      </c>
      <c r="R408" s="2" t="inlineStr"/>
    </row>
    <row r="409" ht="15" customHeight="1">
      <c r="A409" t="inlineStr">
        <is>
          <t>A 40556-2025</t>
        </is>
      </c>
      <c r="B409" s="1" t="n">
        <v>45896.44944444444</v>
      </c>
      <c r="C409" s="1" t="n">
        <v>45924</v>
      </c>
      <c r="D409" t="inlineStr">
        <is>
          <t>VÄSTMANLANDS LÄN</t>
        </is>
      </c>
      <c r="E409" t="inlineStr">
        <is>
          <t>SALA</t>
        </is>
      </c>
      <c r="G409" t="n">
        <v>1.9</v>
      </c>
      <c r="H409" t="n">
        <v>0</v>
      </c>
      <c r="I409" t="n">
        <v>0</v>
      </c>
      <c r="J409" t="n">
        <v>0</v>
      </c>
      <c r="K409" t="n">
        <v>0</v>
      </c>
      <c r="L409" t="n">
        <v>0</v>
      </c>
      <c r="M409" t="n">
        <v>0</v>
      </c>
      <c r="N409" t="n">
        <v>0</v>
      </c>
      <c r="O409" t="n">
        <v>0</v>
      </c>
      <c r="P409" t="n">
        <v>0</v>
      </c>
      <c r="Q409" t="n">
        <v>0</v>
      </c>
      <c r="R409" s="2" t="inlineStr"/>
    </row>
    <row r="410" ht="15" customHeight="1">
      <c r="A410" t="inlineStr">
        <is>
          <t>A 2927-2024</t>
        </is>
      </c>
      <c r="B410" s="1" t="n">
        <v>45315.58989583333</v>
      </c>
      <c r="C410" s="1" t="n">
        <v>45924</v>
      </c>
      <c r="D410" t="inlineStr">
        <is>
          <t>VÄSTMANLANDS LÄN</t>
        </is>
      </c>
      <c r="E410" t="inlineStr">
        <is>
          <t>SALA</t>
        </is>
      </c>
      <c r="G410" t="n">
        <v>2.5</v>
      </c>
      <c r="H410" t="n">
        <v>0</v>
      </c>
      <c r="I410" t="n">
        <v>0</v>
      </c>
      <c r="J410" t="n">
        <v>0</v>
      </c>
      <c r="K410" t="n">
        <v>0</v>
      </c>
      <c r="L410" t="n">
        <v>0</v>
      </c>
      <c r="M410" t="n">
        <v>0</v>
      </c>
      <c r="N410" t="n">
        <v>0</v>
      </c>
      <c r="O410" t="n">
        <v>0</v>
      </c>
      <c r="P410" t="n">
        <v>0</v>
      </c>
      <c r="Q410" t="n">
        <v>0</v>
      </c>
      <c r="R410" s="2" t="inlineStr"/>
    </row>
    <row r="411" ht="15" customHeight="1">
      <c r="A411" t="inlineStr">
        <is>
          <t>A 60036-2024</t>
        </is>
      </c>
      <c r="B411" s="1" t="n">
        <v>45642.46434027778</v>
      </c>
      <c r="C411" s="1" t="n">
        <v>45924</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41414-2025</t>
        </is>
      </c>
      <c r="B412" s="1" t="n">
        <v>45901.360625</v>
      </c>
      <c r="C412" s="1" t="n">
        <v>45924</v>
      </c>
      <c r="D412" t="inlineStr">
        <is>
          <t>VÄSTMANLANDS LÄN</t>
        </is>
      </c>
      <c r="E412" t="inlineStr">
        <is>
          <t>SALA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41431-2025</t>
        </is>
      </c>
      <c r="B413" s="1" t="n">
        <v>45901.39347222223</v>
      </c>
      <c r="C413" s="1" t="n">
        <v>45924</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52827-2024</t>
        </is>
      </c>
      <c r="B414" s="1" t="n">
        <v>45610</v>
      </c>
      <c r="C414" s="1" t="n">
        <v>45924</v>
      </c>
      <c r="D414" t="inlineStr">
        <is>
          <t>VÄSTMANLANDS LÄN</t>
        </is>
      </c>
      <c r="E414" t="inlineStr">
        <is>
          <t>SALA</t>
        </is>
      </c>
      <c r="G414" t="n">
        <v>0.2</v>
      </c>
      <c r="H414" t="n">
        <v>0</v>
      </c>
      <c r="I414" t="n">
        <v>0</v>
      </c>
      <c r="J414" t="n">
        <v>0</v>
      </c>
      <c r="K414" t="n">
        <v>0</v>
      </c>
      <c r="L414" t="n">
        <v>0</v>
      </c>
      <c r="M414" t="n">
        <v>0</v>
      </c>
      <c r="N414" t="n">
        <v>0</v>
      </c>
      <c r="O414" t="n">
        <v>0</v>
      </c>
      <c r="P414" t="n">
        <v>0</v>
      </c>
      <c r="Q414" t="n">
        <v>0</v>
      </c>
      <c r="R414" s="2" t="inlineStr"/>
    </row>
    <row r="415" ht="15" customHeight="1">
      <c r="A415" t="inlineStr">
        <is>
          <t>A 26854-2024</t>
        </is>
      </c>
      <c r="B415" s="1" t="n">
        <v>45470</v>
      </c>
      <c r="C415" s="1" t="n">
        <v>45924</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16328-2025</t>
        </is>
      </c>
      <c r="B416" s="1" t="n">
        <v>45751</v>
      </c>
      <c r="C416" s="1" t="n">
        <v>45924</v>
      </c>
      <c r="D416" t="inlineStr">
        <is>
          <t>VÄSTMANLANDS LÄN</t>
        </is>
      </c>
      <c r="E416" t="inlineStr">
        <is>
          <t>SALA</t>
        </is>
      </c>
      <c r="G416" t="n">
        <v>2.9</v>
      </c>
      <c r="H416" t="n">
        <v>0</v>
      </c>
      <c r="I416" t="n">
        <v>0</v>
      </c>
      <c r="J416" t="n">
        <v>0</v>
      </c>
      <c r="K416" t="n">
        <v>0</v>
      </c>
      <c r="L416" t="n">
        <v>0</v>
      </c>
      <c r="M416" t="n">
        <v>0</v>
      </c>
      <c r="N416" t="n">
        <v>0</v>
      </c>
      <c r="O416" t="n">
        <v>0</v>
      </c>
      <c r="P416" t="n">
        <v>0</v>
      </c>
      <c r="Q416" t="n">
        <v>0</v>
      </c>
      <c r="R416" s="2" t="inlineStr"/>
    </row>
    <row r="417" ht="15" customHeight="1">
      <c r="A417" t="inlineStr">
        <is>
          <t>A 6154-2025</t>
        </is>
      </c>
      <c r="B417" s="1" t="n">
        <v>45698.40719907408</v>
      </c>
      <c r="C417" s="1" t="n">
        <v>45924</v>
      </c>
      <c r="D417" t="inlineStr">
        <is>
          <t>VÄSTMANLANDS LÄN</t>
        </is>
      </c>
      <c r="E417" t="inlineStr">
        <is>
          <t>SALA</t>
        </is>
      </c>
      <c r="F417" t="inlineStr">
        <is>
          <t>Bergvik skog öst AB</t>
        </is>
      </c>
      <c r="G417" t="n">
        <v>3.9</v>
      </c>
      <c r="H417" t="n">
        <v>0</v>
      </c>
      <c r="I417" t="n">
        <v>0</v>
      </c>
      <c r="J417" t="n">
        <v>0</v>
      </c>
      <c r="K417" t="n">
        <v>0</v>
      </c>
      <c r="L417" t="n">
        <v>0</v>
      </c>
      <c r="M417" t="n">
        <v>0</v>
      </c>
      <c r="N417" t="n">
        <v>0</v>
      </c>
      <c r="O417" t="n">
        <v>0</v>
      </c>
      <c r="P417" t="n">
        <v>0</v>
      </c>
      <c r="Q417" t="n">
        <v>0</v>
      </c>
      <c r="R417" s="2" t="inlineStr"/>
    </row>
    <row r="418" ht="15" customHeight="1">
      <c r="A418" t="inlineStr">
        <is>
          <t>A 41230-2025</t>
        </is>
      </c>
      <c r="B418" s="1" t="n">
        <v>45898</v>
      </c>
      <c r="C418" s="1" t="n">
        <v>45924</v>
      </c>
      <c r="D418" t="inlineStr">
        <is>
          <t>VÄSTMANLANDS LÄN</t>
        </is>
      </c>
      <c r="E418" t="inlineStr">
        <is>
          <t>SALA</t>
        </is>
      </c>
      <c r="G418" t="n">
        <v>2.3</v>
      </c>
      <c r="H418" t="n">
        <v>0</v>
      </c>
      <c r="I418" t="n">
        <v>0</v>
      </c>
      <c r="J418" t="n">
        <v>0</v>
      </c>
      <c r="K418" t="n">
        <v>0</v>
      </c>
      <c r="L418" t="n">
        <v>0</v>
      </c>
      <c r="M418" t="n">
        <v>0</v>
      </c>
      <c r="N418" t="n">
        <v>0</v>
      </c>
      <c r="O418" t="n">
        <v>0</v>
      </c>
      <c r="P418" t="n">
        <v>0</v>
      </c>
      <c r="Q418" t="n">
        <v>0</v>
      </c>
      <c r="R418" s="2" t="inlineStr"/>
    </row>
    <row r="419" ht="15" customHeight="1">
      <c r="A419" t="inlineStr">
        <is>
          <t>A 35775-2025</t>
        </is>
      </c>
      <c r="B419" s="1" t="n">
        <v>45860</v>
      </c>
      <c r="C419" s="1" t="n">
        <v>45924</v>
      </c>
      <c r="D419" t="inlineStr">
        <is>
          <t>VÄSTMANLANDS LÄN</t>
        </is>
      </c>
      <c r="E419" t="inlineStr">
        <is>
          <t>SALA</t>
        </is>
      </c>
      <c r="G419" t="n">
        <v>2.6</v>
      </c>
      <c r="H419" t="n">
        <v>0</v>
      </c>
      <c r="I419" t="n">
        <v>0</v>
      </c>
      <c r="J419" t="n">
        <v>0</v>
      </c>
      <c r="K419" t="n">
        <v>0</v>
      </c>
      <c r="L419" t="n">
        <v>0</v>
      </c>
      <c r="M419" t="n">
        <v>0</v>
      </c>
      <c r="N419" t="n">
        <v>0</v>
      </c>
      <c r="O419" t="n">
        <v>0</v>
      </c>
      <c r="P419" t="n">
        <v>0</v>
      </c>
      <c r="Q419" t="n">
        <v>0</v>
      </c>
      <c r="R419" s="2" t="inlineStr"/>
    </row>
    <row r="420" ht="15" customHeight="1">
      <c r="A420" t="inlineStr">
        <is>
          <t>A 35779-2025</t>
        </is>
      </c>
      <c r="B420" s="1" t="n">
        <v>45860.69495370371</v>
      </c>
      <c r="C420" s="1" t="n">
        <v>45924</v>
      </c>
      <c r="D420" t="inlineStr">
        <is>
          <t>VÄSTMANLANDS LÄN</t>
        </is>
      </c>
      <c r="E420" t="inlineStr">
        <is>
          <t>SALA</t>
        </is>
      </c>
      <c r="G420" t="n">
        <v>2.4</v>
      </c>
      <c r="H420" t="n">
        <v>0</v>
      </c>
      <c r="I420" t="n">
        <v>0</v>
      </c>
      <c r="J420" t="n">
        <v>0</v>
      </c>
      <c r="K420" t="n">
        <v>0</v>
      </c>
      <c r="L420" t="n">
        <v>0</v>
      </c>
      <c r="M420" t="n">
        <v>0</v>
      </c>
      <c r="N420" t="n">
        <v>0</v>
      </c>
      <c r="O420" t="n">
        <v>0</v>
      </c>
      <c r="P420" t="n">
        <v>0</v>
      </c>
      <c r="Q420" t="n">
        <v>0</v>
      </c>
      <c r="R420" s="2" t="inlineStr"/>
    </row>
    <row r="421" ht="15" customHeight="1">
      <c r="A421" t="inlineStr">
        <is>
          <t>A 48570-2024</t>
        </is>
      </c>
      <c r="B421" s="1" t="n">
        <v>45591</v>
      </c>
      <c r="C421" s="1" t="n">
        <v>45924</v>
      </c>
      <c r="D421" t="inlineStr">
        <is>
          <t>VÄSTMANLANDS LÄN</t>
        </is>
      </c>
      <c r="E421" t="inlineStr">
        <is>
          <t>SALA</t>
        </is>
      </c>
      <c r="G421" t="n">
        <v>3</v>
      </c>
      <c r="H421" t="n">
        <v>0</v>
      </c>
      <c r="I421" t="n">
        <v>0</v>
      </c>
      <c r="J421" t="n">
        <v>0</v>
      </c>
      <c r="K421" t="n">
        <v>0</v>
      </c>
      <c r="L421" t="n">
        <v>0</v>
      </c>
      <c r="M421" t="n">
        <v>0</v>
      </c>
      <c r="N421" t="n">
        <v>0</v>
      </c>
      <c r="O421" t="n">
        <v>0</v>
      </c>
      <c r="P421" t="n">
        <v>0</v>
      </c>
      <c r="Q421" t="n">
        <v>0</v>
      </c>
      <c r="R421" s="2" t="inlineStr"/>
    </row>
    <row r="422" ht="15" customHeight="1">
      <c r="A422" t="inlineStr">
        <is>
          <t>A 10812-2021</t>
        </is>
      </c>
      <c r="B422" s="1" t="n">
        <v>44259</v>
      </c>
      <c r="C422" s="1" t="n">
        <v>45924</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35776-2025</t>
        </is>
      </c>
      <c r="B423" s="1" t="n">
        <v>45860.69211805556</v>
      </c>
      <c r="C423" s="1" t="n">
        <v>45924</v>
      </c>
      <c r="D423" t="inlineStr">
        <is>
          <t>VÄSTMANLANDS LÄN</t>
        </is>
      </c>
      <c r="E423" t="inlineStr">
        <is>
          <t>SALA</t>
        </is>
      </c>
      <c r="G423" t="n">
        <v>14.2</v>
      </c>
      <c r="H423" t="n">
        <v>0</v>
      </c>
      <c r="I423" t="n">
        <v>0</v>
      </c>
      <c r="J423" t="n">
        <v>0</v>
      </c>
      <c r="K423" t="n">
        <v>0</v>
      </c>
      <c r="L423" t="n">
        <v>0</v>
      </c>
      <c r="M423" t="n">
        <v>0</v>
      </c>
      <c r="N423" t="n">
        <v>0</v>
      </c>
      <c r="O423" t="n">
        <v>0</v>
      </c>
      <c r="P423" t="n">
        <v>0</v>
      </c>
      <c r="Q423" t="n">
        <v>0</v>
      </c>
      <c r="R423" s="2" t="inlineStr"/>
    </row>
    <row r="424" ht="15" customHeight="1">
      <c r="A424" t="inlineStr">
        <is>
          <t>A 35715-2025</t>
        </is>
      </c>
      <c r="B424" s="1" t="n">
        <v>45860.42148148148</v>
      </c>
      <c r="C424" s="1" t="n">
        <v>45924</v>
      </c>
      <c r="D424" t="inlineStr">
        <is>
          <t>VÄSTMANLANDS LÄN</t>
        </is>
      </c>
      <c r="E424" t="inlineStr">
        <is>
          <t>SALA</t>
        </is>
      </c>
      <c r="G424" t="n">
        <v>3.8</v>
      </c>
      <c r="H424" t="n">
        <v>0</v>
      </c>
      <c r="I424" t="n">
        <v>0</v>
      </c>
      <c r="J424" t="n">
        <v>0</v>
      </c>
      <c r="K424" t="n">
        <v>0</v>
      </c>
      <c r="L424" t="n">
        <v>0</v>
      </c>
      <c r="M424" t="n">
        <v>0</v>
      </c>
      <c r="N424" t="n">
        <v>0</v>
      </c>
      <c r="O424" t="n">
        <v>0</v>
      </c>
      <c r="P424" t="n">
        <v>0</v>
      </c>
      <c r="Q424" t="n">
        <v>0</v>
      </c>
      <c r="R424" s="2" t="inlineStr"/>
    </row>
    <row r="425" ht="15" customHeight="1">
      <c r="A425" t="inlineStr">
        <is>
          <t>A 66908-2021</t>
        </is>
      </c>
      <c r="B425" s="1" t="n">
        <v>44522</v>
      </c>
      <c r="C425" s="1" t="n">
        <v>45924</v>
      </c>
      <c r="D425" t="inlineStr">
        <is>
          <t>VÄSTMANLANDS LÄN</t>
        </is>
      </c>
      <c r="E425" t="inlineStr">
        <is>
          <t>SALA</t>
        </is>
      </c>
      <c r="G425" t="n">
        <v>2.6</v>
      </c>
      <c r="H425" t="n">
        <v>0</v>
      </c>
      <c r="I425" t="n">
        <v>0</v>
      </c>
      <c r="J425" t="n">
        <v>0</v>
      </c>
      <c r="K425" t="n">
        <v>0</v>
      </c>
      <c r="L425" t="n">
        <v>0</v>
      </c>
      <c r="M425" t="n">
        <v>0</v>
      </c>
      <c r="N425" t="n">
        <v>0</v>
      </c>
      <c r="O425" t="n">
        <v>0</v>
      </c>
      <c r="P425" t="n">
        <v>0</v>
      </c>
      <c r="Q425" t="n">
        <v>0</v>
      </c>
      <c r="R425" s="2" t="inlineStr"/>
    </row>
    <row r="426" ht="15" customHeight="1">
      <c r="A426" t="inlineStr">
        <is>
          <t>A 73835-2021</t>
        </is>
      </c>
      <c r="B426" s="1" t="n">
        <v>44552.92112268518</v>
      </c>
      <c r="C426" s="1" t="n">
        <v>45924</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46279-2021</t>
        </is>
      </c>
      <c r="B427" s="1" t="n">
        <v>44442.57797453704</v>
      </c>
      <c r="C427" s="1" t="n">
        <v>45924</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3810-2023</t>
        </is>
      </c>
      <c r="B428" s="1" t="n">
        <v>44951.60454861111</v>
      </c>
      <c r="C428" s="1" t="n">
        <v>45924</v>
      </c>
      <c r="D428" t="inlineStr">
        <is>
          <t>VÄSTMANLANDS LÄN</t>
        </is>
      </c>
      <c r="E428" t="inlineStr">
        <is>
          <t>SALA</t>
        </is>
      </c>
      <c r="G428" t="n">
        <v>4.2</v>
      </c>
      <c r="H428" t="n">
        <v>0</v>
      </c>
      <c r="I428" t="n">
        <v>0</v>
      </c>
      <c r="J428" t="n">
        <v>0</v>
      </c>
      <c r="K428" t="n">
        <v>0</v>
      </c>
      <c r="L428" t="n">
        <v>0</v>
      </c>
      <c r="M428" t="n">
        <v>0</v>
      </c>
      <c r="N428" t="n">
        <v>0</v>
      </c>
      <c r="O428" t="n">
        <v>0</v>
      </c>
      <c r="P428" t="n">
        <v>0</v>
      </c>
      <c r="Q428" t="n">
        <v>0</v>
      </c>
      <c r="R428" s="2" t="inlineStr"/>
    </row>
    <row r="429" ht="15" customHeight="1">
      <c r="A429" t="inlineStr">
        <is>
          <t>A 57883-2024</t>
        </is>
      </c>
      <c r="B429" s="1" t="n">
        <v>45630</v>
      </c>
      <c r="C429" s="1" t="n">
        <v>45924</v>
      </c>
      <c r="D429" t="inlineStr">
        <is>
          <t>VÄSTMANLANDS LÄN</t>
        </is>
      </c>
      <c r="E429" t="inlineStr">
        <is>
          <t>SALA</t>
        </is>
      </c>
      <c r="G429" t="n">
        <v>5.4</v>
      </c>
      <c r="H429" t="n">
        <v>0</v>
      </c>
      <c r="I429" t="n">
        <v>0</v>
      </c>
      <c r="J429" t="n">
        <v>0</v>
      </c>
      <c r="K429" t="n">
        <v>0</v>
      </c>
      <c r="L429" t="n">
        <v>0</v>
      </c>
      <c r="M429" t="n">
        <v>0</v>
      </c>
      <c r="N429" t="n">
        <v>0</v>
      </c>
      <c r="O429" t="n">
        <v>0</v>
      </c>
      <c r="P429" t="n">
        <v>0</v>
      </c>
      <c r="Q429" t="n">
        <v>0</v>
      </c>
      <c r="R429" s="2" t="inlineStr"/>
    </row>
    <row r="430" ht="15" customHeight="1">
      <c r="A430" t="inlineStr">
        <is>
          <t>A 35651-2025</t>
        </is>
      </c>
      <c r="B430" s="1" t="n">
        <v>45859.52435185185</v>
      </c>
      <c r="C430" s="1" t="n">
        <v>45924</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16769-2024</t>
        </is>
      </c>
      <c r="B431" s="1" t="n">
        <v>45411.38738425926</v>
      </c>
      <c r="C431" s="1" t="n">
        <v>45924</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35774-2025</t>
        </is>
      </c>
      <c r="B432" s="1" t="n">
        <v>45860.68780092592</v>
      </c>
      <c r="C432" s="1" t="n">
        <v>45924</v>
      </c>
      <c r="D432" t="inlineStr">
        <is>
          <t>VÄSTMANLANDS LÄN</t>
        </is>
      </c>
      <c r="E432" t="inlineStr">
        <is>
          <t>SALA</t>
        </is>
      </c>
      <c r="G432" t="n">
        <v>6.5</v>
      </c>
      <c r="H432" t="n">
        <v>0</v>
      </c>
      <c r="I432" t="n">
        <v>0</v>
      </c>
      <c r="J432" t="n">
        <v>0</v>
      </c>
      <c r="K432" t="n">
        <v>0</v>
      </c>
      <c r="L432" t="n">
        <v>0</v>
      </c>
      <c r="M432" t="n">
        <v>0</v>
      </c>
      <c r="N432" t="n">
        <v>0</v>
      </c>
      <c r="O432" t="n">
        <v>0</v>
      </c>
      <c r="P432" t="n">
        <v>0</v>
      </c>
      <c r="Q432" t="n">
        <v>0</v>
      </c>
      <c r="R432" s="2" t="inlineStr"/>
    </row>
    <row r="433" ht="15" customHeight="1">
      <c r="A433" t="inlineStr">
        <is>
          <t>A 18877-2023</t>
        </is>
      </c>
      <c r="B433" s="1" t="n">
        <v>45044</v>
      </c>
      <c r="C433" s="1" t="n">
        <v>45924</v>
      </c>
      <c r="D433" t="inlineStr">
        <is>
          <t>VÄSTMANLANDS LÄN</t>
        </is>
      </c>
      <c r="E433" t="inlineStr">
        <is>
          <t>SALA</t>
        </is>
      </c>
      <c r="F433" t="inlineStr">
        <is>
          <t>Kommuner</t>
        </is>
      </c>
      <c r="G433" t="n">
        <v>4.4</v>
      </c>
      <c r="H433" t="n">
        <v>0</v>
      </c>
      <c r="I433" t="n">
        <v>0</v>
      </c>
      <c r="J433" t="n">
        <v>0</v>
      </c>
      <c r="K433" t="n">
        <v>0</v>
      </c>
      <c r="L433" t="n">
        <v>0</v>
      </c>
      <c r="M433" t="n">
        <v>0</v>
      </c>
      <c r="N433" t="n">
        <v>0</v>
      </c>
      <c r="O433" t="n">
        <v>0</v>
      </c>
      <c r="P433" t="n">
        <v>0</v>
      </c>
      <c r="Q433" t="n">
        <v>0</v>
      </c>
      <c r="R433" s="2" t="inlineStr"/>
    </row>
    <row r="434" ht="15" customHeight="1">
      <c r="A434" t="inlineStr">
        <is>
          <t>A 42421-2025</t>
        </is>
      </c>
      <c r="B434" s="1" t="n">
        <v>45905.40067129629</v>
      </c>
      <c r="C434" s="1" t="n">
        <v>45924</v>
      </c>
      <c r="D434" t="inlineStr">
        <is>
          <t>VÄSTMANLANDS LÄN</t>
        </is>
      </c>
      <c r="E434" t="inlineStr">
        <is>
          <t>SALA</t>
        </is>
      </c>
      <c r="G434" t="n">
        <v>1.3</v>
      </c>
      <c r="H434" t="n">
        <v>0</v>
      </c>
      <c r="I434" t="n">
        <v>0</v>
      </c>
      <c r="J434" t="n">
        <v>0</v>
      </c>
      <c r="K434" t="n">
        <v>0</v>
      </c>
      <c r="L434" t="n">
        <v>0</v>
      </c>
      <c r="M434" t="n">
        <v>0</v>
      </c>
      <c r="N434" t="n">
        <v>0</v>
      </c>
      <c r="O434" t="n">
        <v>0</v>
      </c>
      <c r="P434" t="n">
        <v>0</v>
      </c>
      <c r="Q434" t="n">
        <v>0</v>
      </c>
      <c r="R434" s="2" t="inlineStr"/>
    </row>
    <row r="435" ht="15" customHeight="1">
      <c r="A435" t="inlineStr">
        <is>
          <t>A 44544-2024</t>
        </is>
      </c>
      <c r="B435" s="1" t="n">
        <v>45574.46119212963</v>
      </c>
      <c r="C435" s="1" t="n">
        <v>45924</v>
      </c>
      <c r="D435" t="inlineStr">
        <is>
          <t>VÄSTMANLANDS LÄN</t>
        </is>
      </c>
      <c r="E435" t="inlineStr">
        <is>
          <t>SALA</t>
        </is>
      </c>
      <c r="G435" t="n">
        <v>3.3</v>
      </c>
      <c r="H435" t="n">
        <v>0</v>
      </c>
      <c r="I435" t="n">
        <v>0</v>
      </c>
      <c r="J435" t="n">
        <v>0</v>
      </c>
      <c r="K435" t="n">
        <v>0</v>
      </c>
      <c r="L435" t="n">
        <v>0</v>
      </c>
      <c r="M435" t="n">
        <v>0</v>
      </c>
      <c r="N435" t="n">
        <v>0</v>
      </c>
      <c r="O435" t="n">
        <v>0</v>
      </c>
      <c r="P435" t="n">
        <v>0</v>
      </c>
      <c r="Q435" t="n">
        <v>0</v>
      </c>
      <c r="R435" s="2" t="inlineStr"/>
    </row>
    <row r="436" ht="15" customHeight="1">
      <c r="A436" t="inlineStr">
        <is>
          <t>A 12252-2023</t>
        </is>
      </c>
      <c r="B436" s="1" t="n">
        <v>44995</v>
      </c>
      <c r="C436" s="1" t="n">
        <v>45924</v>
      </c>
      <c r="D436" t="inlineStr">
        <is>
          <t>VÄSTMANLANDS LÄN</t>
        </is>
      </c>
      <c r="E436" t="inlineStr">
        <is>
          <t>SALA</t>
        </is>
      </c>
      <c r="G436" t="n">
        <v>2.6</v>
      </c>
      <c r="H436" t="n">
        <v>0</v>
      </c>
      <c r="I436" t="n">
        <v>0</v>
      </c>
      <c r="J436" t="n">
        <v>0</v>
      </c>
      <c r="K436" t="n">
        <v>0</v>
      </c>
      <c r="L436" t="n">
        <v>0</v>
      </c>
      <c r="M436" t="n">
        <v>0</v>
      </c>
      <c r="N436" t="n">
        <v>0</v>
      </c>
      <c r="O436" t="n">
        <v>0</v>
      </c>
      <c r="P436" t="n">
        <v>0</v>
      </c>
      <c r="Q436" t="n">
        <v>0</v>
      </c>
      <c r="R436" s="2" t="inlineStr"/>
    </row>
    <row r="437" ht="15" customHeight="1">
      <c r="A437" t="inlineStr">
        <is>
          <t>A 60379-2022</t>
        </is>
      </c>
      <c r="B437" s="1" t="n">
        <v>44910</v>
      </c>
      <c r="C437" s="1" t="n">
        <v>45924</v>
      </c>
      <c r="D437" t="inlineStr">
        <is>
          <t>VÄSTMANLANDS LÄN</t>
        </is>
      </c>
      <c r="E437" t="inlineStr">
        <is>
          <t>SALA</t>
        </is>
      </c>
      <c r="F437" t="inlineStr">
        <is>
          <t>Kyrkan</t>
        </is>
      </c>
      <c r="G437" t="n">
        <v>2.5</v>
      </c>
      <c r="H437" t="n">
        <v>0</v>
      </c>
      <c r="I437" t="n">
        <v>0</v>
      </c>
      <c r="J437" t="n">
        <v>0</v>
      </c>
      <c r="K437" t="n">
        <v>0</v>
      </c>
      <c r="L437" t="n">
        <v>0</v>
      </c>
      <c r="M437" t="n">
        <v>0</v>
      </c>
      <c r="N437" t="n">
        <v>0</v>
      </c>
      <c r="O437" t="n">
        <v>0</v>
      </c>
      <c r="P437" t="n">
        <v>0</v>
      </c>
      <c r="Q437" t="n">
        <v>0</v>
      </c>
      <c r="R437" s="2" t="inlineStr"/>
    </row>
    <row r="438" ht="15" customHeight="1">
      <c r="A438" t="inlineStr">
        <is>
          <t>A 56547-2022</t>
        </is>
      </c>
      <c r="B438" s="1" t="n">
        <v>44893.48284722222</v>
      </c>
      <c r="C438" s="1" t="n">
        <v>45924</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29542-2023</t>
        </is>
      </c>
      <c r="B439" s="1" t="n">
        <v>45098</v>
      </c>
      <c r="C439" s="1" t="n">
        <v>45924</v>
      </c>
      <c r="D439" t="inlineStr">
        <is>
          <t>VÄSTMANLANDS LÄN</t>
        </is>
      </c>
      <c r="E439" t="inlineStr">
        <is>
          <t>SALA</t>
        </is>
      </c>
      <c r="G439" t="n">
        <v>4.8</v>
      </c>
      <c r="H439" t="n">
        <v>0</v>
      </c>
      <c r="I439" t="n">
        <v>0</v>
      </c>
      <c r="J439" t="n">
        <v>0</v>
      </c>
      <c r="K439" t="n">
        <v>0</v>
      </c>
      <c r="L439" t="n">
        <v>0</v>
      </c>
      <c r="M439" t="n">
        <v>0</v>
      </c>
      <c r="N439" t="n">
        <v>0</v>
      </c>
      <c r="O439" t="n">
        <v>0</v>
      </c>
      <c r="P439" t="n">
        <v>0</v>
      </c>
      <c r="Q439" t="n">
        <v>0</v>
      </c>
      <c r="R439" s="2" t="inlineStr"/>
    </row>
    <row r="440" ht="15" customHeight="1">
      <c r="A440" t="inlineStr">
        <is>
          <t>A 36060-2025</t>
        </is>
      </c>
      <c r="B440" s="1" t="n">
        <v>45866.39469907407</v>
      </c>
      <c r="C440" s="1" t="n">
        <v>45924</v>
      </c>
      <c r="D440" t="inlineStr">
        <is>
          <t>VÄSTMANLANDS LÄN</t>
        </is>
      </c>
      <c r="E440" t="inlineStr">
        <is>
          <t>SALA</t>
        </is>
      </c>
      <c r="F440" t="inlineStr">
        <is>
          <t>Kommuner</t>
        </is>
      </c>
      <c r="G440" t="n">
        <v>4.3</v>
      </c>
      <c r="H440" t="n">
        <v>0</v>
      </c>
      <c r="I440" t="n">
        <v>0</v>
      </c>
      <c r="J440" t="n">
        <v>0</v>
      </c>
      <c r="K440" t="n">
        <v>0</v>
      </c>
      <c r="L440" t="n">
        <v>0</v>
      </c>
      <c r="M440" t="n">
        <v>0</v>
      </c>
      <c r="N440" t="n">
        <v>0</v>
      </c>
      <c r="O440" t="n">
        <v>0</v>
      </c>
      <c r="P440" t="n">
        <v>0</v>
      </c>
      <c r="Q440" t="n">
        <v>0</v>
      </c>
      <c r="R440" s="2" t="inlineStr"/>
    </row>
    <row r="441" ht="15" customHeight="1">
      <c r="A441" t="inlineStr">
        <is>
          <t>A 43031-2025</t>
        </is>
      </c>
      <c r="B441" s="1" t="n">
        <v>45909.53856481481</v>
      </c>
      <c r="C441" s="1" t="n">
        <v>45924</v>
      </c>
      <c r="D441" t="inlineStr">
        <is>
          <t>VÄSTMANLANDS LÄN</t>
        </is>
      </c>
      <c r="E441" t="inlineStr">
        <is>
          <t>SALA</t>
        </is>
      </c>
      <c r="G441" t="n">
        <v>0.2</v>
      </c>
      <c r="H441" t="n">
        <v>0</v>
      </c>
      <c r="I441" t="n">
        <v>0</v>
      </c>
      <c r="J441" t="n">
        <v>0</v>
      </c>
      <c r="K441" t="n">
        <v>0</v>
      </c>
      <c r="L441" t="n">
        <v>0</v>
      </c>
      <c r="M441" t="n">
        <v>0</v>
      </c>
      <c r="N441" t="n">
        <v>0</v>
      </c>
      <c r="O441" t="n">
        <v>0</v>
      </c>
      <c r="P441" t="n">
        <v>0</v>
      </c>
      <c r="Q441" t="n">
        <v>0</v>
      </c>
      <c r="R441" s="2" t="inlineStr"/>
    </row>
    <row r="442" ht="15" customHeight="1">
      <c r="A442" t="inlineStr">
        <is>
          <t>A 16638-2023</t>
        </is>
      </c>
      <c r="B442" s="1" t="n">
        <v>45027</v>
      </c>
      <c r="C442" s="1" t="n">
        <v>45924</v>
      </c>
      <c r="D442" t="inlineStr">
        <is>
          <t>VÄSTMANLANDS LÄN</t>
        </is>
      </c>
      <c r="E442" t="inlineStr">
        <is>
          <t>SALA</t>
        </is>
      </c>
      <c r="G442" t="n">
        <v>14.8</v>
      </c>
      <c r="H442" t="n">
        <v>0</v>
      </c>
      <c r="I442" t="n">
        <v>0</v>
      </c>
      <c r="J442" t="n">
        <v>0</v>
      </c>
      <c r="K442" t="n">
        <v>0</v>
      </c>
      <c r="L442" t="n">
        <v>0</v>
      </c>
      <c r="M442" t="n">
        <v>0</v>
      </c>
      <c r="N442" t="n">
        <v>0</v>
      </c>
      <c r="O442" t="n">
        <v>0</v>
      </c>
      <c r="P442" t="n">
        <v>0</v>
      </c>
      <c r="Q442" t="n">
        <v>0</v>
      </c>
      <c r="R442" s="2" t="inlineStr"/>
    </row>
    <row r="443" ht="15" customHeight="1">
      <c r="A443" t="inlineStr">
        <is>
          <t>A 36031-2025</t>
        </is>
      </c>
      <c r="B443" s="1" t="n">
        <v>45865.46111111111</v>
      </c>
      <c r="C443" s="1" t="n">
        <v>45924</v>
      </c>
      <c r="D443" t="inlineStr">
        <is>
          <t>VÄSTMANLANDS LÄN</t>
        </is>
      </c>
      <c r="E443" t="inlineStr">
        <is>
          <t>SALA</t>
        </is>
      </c>
      <c r="G443" t="n">
        <v>7.2</v>
      </c>
      <c r="H443" t="n">
        <v>0</v>
      </c>
      <c r="I443" t="n">
        <v>0</v>
      </c>
      <c r="J443" t="n">
        <v>0</v>
      </c>
      <c r="K443" t="n">
        <v>0</v>
      </c>
      <c r="L443" t="n">
        <v>0</v>
      </c>
      <c r="M443" t="n">
        <v>0</v>
      </c>
      <c r="N443" t="n">
        <v>0</v>
      </c>
      <c r="O443" t="n">
        <v>0</v>
      </c>
      <c r="P443" t="n">
        <v>0</v>
      </c>
      <c r="Q443" t="n">
        <v>0</v>
      </c>
      <c r="R443" s="2" t="inlineStr"/>
    </row>
    <row r="444" ht="15" customHeight="1">
      <c r="A444" t="inlineStr">
        <is>
          <t>A 36043-2025</t>
        </is>
      </c>
      <c r="B444" s="1" t="n">
        <v>45866.35333333333</v>
      </c>
      <c r="C444" s="1" t="n">
        <v>45924</v>
      </c>
      <c r="D444" t="inlineStr">
        <is>
          <t>VÄSTMANLANDS LÄN</t>
        </is>
      </c>
      <c r="E444" t="inlineStr">
        <is>
          <t>SALA</t>
        </is>
      </c>
      <c r="F444" t="inlineStr">
        <is>
          <t>Kommuner</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37190-2024</t>
        </is>
      </c>
      <c r="B445" s="1" t="n">
        <v>45539</v>
      </c>
      <c r="C445" s="1" t="n">
        <v>45924</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36032-2025</t>
        </is>
      </c>
      <c r="B446" s="1" t="n">
        <v>45865.48740740741</v>
      </c>
      <c r="C446" s="1" t="n">
        <v>45924</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36049-2025</t>
        </is>
      </c>
      <c r="B447" s="1" t="n">
        <v>45866.37065972222</v>
      </c>
      <c r="C447" s="1" t="n">
        <v>45924</v>
      </c>
      <c r="D447" t="inlineStr">
        <is>
          <t>VÄSTMANLANDS LÄN</t>
        </is>
      </c>
      <c r="E447" t="inlineStr">
        <is>
          <t>SALA</t>
        </is>
      </c>
      <c r="F447" t="inlineStr">
        <is>
          <t>Kommuner</t>
        </is>
      </c>
      <c r="G447" t="n">
        <v>1.9</v>
      </c>
      <c r="H447" t="n">
        <v>0</v>
      </c>
      <c r="I447" t="n">
        <v>0</v>
      </c>
      <c r="J447" t="n">
        <v>0</v>
      </c>
      <c r="K447" t="n">
        <v>0</v>
      </c>
      <c r="L447" t="n">
        <v>0</v>
      </c>
      <c r="M447" t="n">
        <v>0</v>
      </c>
      <c r="N447" t="n">
        <v>0</v>
      </c>
      <c r="O447" t="n">
        <v>0</v>
      </c>
      <c r="P447" t="n">
        <v>0</v>
      </c>
      <c r="Q447" t="n">
        <v>0</v>
      </c>
      <c r="R447" s="2" t="inlineStr"/>
    </row>
    <row r="448" ht="15" customHeight="1">
      <c r="A448" t="inlineStr">
        <is>
          <t>A 25260-2023</t>
        </is>
      </c>
      <c r="B448" s="1" t="n">
        <v>45086</v>
      </c>
      <c r="C448" s="1" t="n">
        <v>45924</v>
      </c>
      <c r="D448" t="inlineStr">
        <is>
          <t>VÄSTMANLANDS LÄN</t>
        </is>
      </c>
      <c r="E448" t="inlineStr">
        <is>
          <t>SALA</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57404-2024</t>
        </is>
      </c>
      <c r="B449" s="1" t="n">
        <v>45629.71967592592</v>
      </c>
      <c r="C449" s="1" t="n">
        <v>45924</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23222-2023</t>
        </is>
      </c>
      <c r="B450" s="1" t="n">
        <v>45075</v>
      </c>
      <c r="C450" s="1" t="n">
        <v>45924</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23224-2023</t>
        </is>
      </c>
      <c r="B451" s="1" t="n">
        <v>45075.65040509259</v>
      </c>
      <c r="C451" s="1" t="n">
        <v>45924</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13128-2023</t>
        </is>
      </c>
      <c r="B452" s="1" t="n">
        <v>45002</v>
      </c>
      <c r="C452" s="1" t="n">
        <v>45924</v>
      </c>
      <c r="D452" t="inlineStr">
        <is>
          <t>VÄSTMANLANDS LÄN</t>
        </is>
      </c>
      <c r="E452" t="inlineStr">
        <is>
          <t>SALA</t>
        </is>
      </c>
      <c r="G452" t="n">
        <v>7.9</v>
      </c>
      <c r="H452" t="n">
        <v>0</v>
      </c>
      <c r="I452" t="n">
        <v>0</v>
      </c>
      <c r="J452" t="n">
        <v>0</v>
      </c>
      <c r="K452" t="n">
        <v>0</v>
      </c>
      <c r="L452" t="n">
        <v>0</v>
      </c>
      <c r="M452" t="n">
        <v>0</v>
      </c>
      <c r="N452" t="n">
        <v>0</v>
      </c>
      <c r="O452" t="n">
        <v>0</v>
      </c>
      <c r="P452" t="n">
        <v>0</v>
      </c>
      <c r="Q452" t="n">
        <v>0</v>
      </c>
      <c r="R452" s="2" t="inlineStr"/>
    </row>
    <row r="453" ht="15" customHeight="1">
      <c r="A453" t="inlineStr">
        <is>
          <t>A 43028-2025</t>
        </is>
      </c>
      <c r="B453" s="1" t="n">
        <v>45909.53472222222</v>
      </c>
      <c r="C453" s="1" t="n">
        <v>45924</v>
      </c>
      <c r="D453" t="inlineStr">
        <is>
          <t>VÄSTMANLANDS LÄN</t>
        </is>
      </c>
      <c r="E453" t="inlineStr">
        <is>
          <t>SALA</t>
        </is>
      </c>
      <c r="G453" t="n">
        <v>3.8</v>
      </c>
      <c r="H453" t="n">
        <v>0</v>
      </c>
      <c r="I453" t="n">
        <v>0</v>
      </c>
      <c r="J453" t="n">
        <v>0</v>
      </c>
      <c r="K453" t="n">
        <v>0</v>
      </c>
      <c r="L453" t="n">
        <v>0</v>
      </c>
      <c r="M453" t="n">
        <v>0</v>
      </c>
      <c r="N453" t="n">
        <v>0</v>
      </c>
      <c r="O453" t="n">
        <v>0</v>
      </c>
      <c r="P453" t="n">
        <v>0</v>
      </c>
      <c r="Q453" t="n">
        <v>0</v>
      </c>
      <c r="R453" s="2" t="inlineStr"/>
    </row>
    <row r="454" ht="15" customHeight="1">
      <c r="A454" t="inlineStr">
        <is>
          <t>A 36045-2025</t>
        </is>
      </c>
      <c r="B454" s="1" t="n">
        <v>45866.36200231482</v>
      </c>
      <c r="C454" s="1" t="n">
        <v>45924</v>
      </c>
      <c r="D454" t="inlineStr">
        <is>
          <t>VÄSTMANLANDS LÄN</t>
        </is>
      </c>
      <c r="E454" t="inlineStr">
        <is>
          <t>SALA</t>
        </is>
      </c>
      <c r="F454" t="inlineStr">
        <is>
          <t>Kommuner</t>
        </is>
      </c>
      <c r="G454" t="n">
        <v>1.7</v>
      </c>
      <c r="H454" t="n">
        <v>0</v>
      </c>
      <c r="I454" t="n">
        <v>0</v>
      </c>
      <c r="J454" t="n">
        <v>0</v>
      </c>
      <c r="K454" t="n">
        <v>0</v>
      </c>
      <c r="L454" t="n">
        <v>0</v>
      </c>
      <c r="M454" t="n">
        <v>0</v>
      </c>
      <c r="N454" t="n">
        <v>0</v>
      </c>
      <c r="O454" t="n">
        <v>0</v>
      </c>
      <c r="P454" t="n">
        <v>0</v>
      </c>
      <c r="Q454" t="n">
        <v>0</v>
      </c>
      <c r="R454" s="2" t="inlineStr"/>
    </row>
    <row r="455" ht="15" customHeight="1">
      <c r="A455" t="inlineStr">
        <is>
          <t>A 43328-2025</t>
        </is>
      </c>
      <c r="B455" s="1" t="n">
        <v>45910</v>
      </c>
      <c r="C455" s="1" t="n">
        <v>45924</v>
      </c>
      <c r="D455" t="inlineStr">
        <is>
          <t>VÄSTMANLANDS LÄN</t>
        </is>
      </c>
      <c r="E455" t="inlineStr">
        <is>
          <t>SALA</t>
        </is>
      </c>
      <c r="G455" t="n">
        <v>0.8</v>
      </c>
      <c r="H455" t="n">
        <v>0</v>
      </c>
      <c r="I455" t="n">
        <v>0</v>
      </c>
      <c r="J455" t="n">
        <v>0</v>
      </c>
      <c r="K455" t="n">
        <v>0</v>
      </c>
      <c r="L455" t="n">
        <v>0</v>
      </c>
      <c r="M455" t="n">
        <v>0</v>
      </c>
      <c r="N455" t="n">
        <v>0</v>
      </c>
      <c r="O455" t="n">
        <v>0</v>
      </c>
      <c r="P455" t="n">
        <v>0</v>
      </c>
      <c r="Q455" t="n">
        <v>0</v>
      </c>
      <c r="R455" s="2" t="inlineStr"/>
    </row>
    <row r="456" ht="15" customHeight="1">
      <c r="A456" t="inlineStr">
        <is>
          <t>A 22026-2021</t>
        </is>
      </c>
      <c r="B456" s="1" t="n">
        <v>44323</v>
      </c>
      <c r="C456" s="1" t="n">
        <v>45924</v>
      </c>
      <c r="D456" t="inlineStr">
        <is>
          <t>VÄSTMANLANDS LÄN</t>
        </is>
      </c>
      <c r="E456" t="inlineStr">
        <is>
          <t>SALA</t>
        </is>
      </c>
      <c r="G456" t="n">
        <v>2.9</v>
      </c>
      <c r="H456" t="n">
        <v>0</v>
      </c>
      <c r="I456" t="n">
        <v>0</v>
      </c>
      <c r="J456" t="n">
        <v>0</v>
      </c>
      <c r="K456" t="n">
        <v>0</v>
      </c>
      <c r="L456" t="n">
        <v>0</v>
      </c>
      <c r="M456" t="n">
        <v>0</v>
      </c>
      <c r="N456" t="n">
        <v>0</v>
      </c>
      <c r="O456" t="n">
        <v>0</v>
      </c>
      <c r="P456" t="n">
        <v>0</v>
      </c>
      <c r="Q456" t="n">
        <v>0</v>
      </c>
      <c r="R456" s="2" t="inlineStr"/>
    </row>
    <row r="457" ht="15" customHeight="1">
      <c r="A457" t="inlineStr">
        <is>
          <t>A 68864-2021</t>
        </is>
      </c>
      <c r="B457" s="1" t="n">
        <v>44530</v>
      </c>
      <c r="C457" s="1" t="n">
        <v>45924</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17766-2025</t>
        </is>
      </c>
      <c r="B458" s="1" t="n">
        <v>45758</v>
      </c>
      <c r="C458" s="1" t="n">
        <v>45924</v>
      </c>
      <c r="D458" t="inlineStr">
        <is>
          <t>VÄSTMANLANDS LÄN</t>
        </is>
      </c>
      <c r="E458" t="inlineStr">
        <is>
          <t>SALA</t>
        </is>
      </c>
      <c r="G458" t="n">
        <v>16.5</v>
      </c>
      <c r="H458" t="n">
        <v>0</v>
      </c>
      <c r="I458" t="n">
        <v>0</v>
      </c>
      <c r="J458" t="n">
        <v>0</v>
      </c>
      <c r="K458" t="n">
        <v>0</v>
      </c>
      <c r="L458" t="n">
        <v>0</v>
      </c>
      <c r="M458" t="n">
        <v>0</v>
      </c>
      <c r="N458" t="n">
        <v>0</v>
      </c>
      <c r="O458" t="n">
        <v>0</v>
      </c>
      <c r="P458" t="n">
        <v>0</v>
      </c>
      <c r="Q458" t="n">
        <v>0</v>
      </c>
      <c r="R458" s="2" t="inlineStr"/>
    </row>
    <row r="459" ht="15" customHeight="1">
      <c r="A459" t="inlineStr">
        <is>
          <t>A 43359-2024</t>
        </is>
      </c>
      <c r="B459" s="1" t="n">
        <v>45568.57724537037</v>
      </c>
      <c r="C459" s="1" t="n">
        <v>45924</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19065-2022</t>
        </is>
      </c>
      <c r="B460" s="1" t="n">
        <v>44691.44309027777</v>
      </c>
      <c r="C460" s="1" t="n">
        <v>45924</v>
      </c>
      <c r="D460" t="inlineStr">
        <is>
          <t>VÄSTMANLANDS LÄN</t>
        </is>
      </c>
      <c r="E460" t="inlineStr">
        <is>
          <t>SALA</t>
        </is>
      </c>
      <c r="G460" t="n">
        <v>3.4</v>
      </c>
      <c r="H460" t="n">
        <v>0</v>
      </c>
      <c r="I460" t="n">
        <v>0</v>
      </c>
      <c r="J460" t="n">
        <v>0</v>
      </c>
      <c r="K460" t="n">
        <v>0</v>
      </c>
      <c r="L460" t="n">
        <v>0</v>
      </c>
      <c r="M460" t="n">
        <v>0</v>
      </c>
      <c r="N460" t="n">
        <v>0</v>
      </c>
      <c r="O460" t="n">
        <v>0</v>
      </c>
      <c r="P460" t="n">
        <v>0</v>
      </c>
      <c r="Q460" t="n">
        <v>0</v>
      </c>
      <c r="R460" s="2" t="inlineStr"/>
    </row>
    <row r="461" ht="15" customHeight="1">
      <c r="A461" t="inlineStr">
        <is>
          <t>A 31863-2025</t>
        </is>
      </c>
      <c r="B461" s="1" t="n">
        <v>45834.63303240741</v>
      </c>
      <c r="C461" s="1" t="n">
        <v>45924</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37612-2024</t>
        </is>
      </c>
      <c r="B462" s="1" t="n">
        <v>45541</v>
      </c>
      <c r="C462" s="1" t="n">
        <v>45924</v>
      </c>
      <c r="D462" t="inlineStr">
        <is>
          <t>VÄSTMANLANDS LÄN</t>
        </is>
      </c>
      <c r="E462" t="inlineStr">
        <is>
          <t>SALA</t>
        </is>
      </c>
      <c r="G462" t="n">
        <v>2.2</v>
      </c>
      <c r="H462" t="n">
        <v>0</v>
      </c>
      <c r="I462" t="n">
        <v>0</v>
      </c>
      <c r="J462" t="n">
        <v>0</v>
      </c>
      <c r="K462" t="n">
        <v>0</v>
      </c>
      <c r="L462" t="n">
        <v>0</v>
      </c>
      <c r="M462" t="n">
        <v>0</v>
      </c>
      <c r="N462" t="n">
        <v>0</v>
      </c>
      <c r="O462" t="n">
        <v>0</v>
      </c>
      <c r="P462" t="n">
        <v>0</v>
      </c>
      <c r="Q462" t="n">
        <v>0</v>
      </c>
      <c r="R462" s="2" t="inlineStr"/>
    </row>
    <row r="463" ht="15" customHeight="1">
      <c r="A463" t="inlineStr">
        <is>
          <t>A 37615-2024</t>
        </is>
      </c>
      <c r="B463" s="1" t="n">
        <v>45541.50673611111</v>
      </c>
      <c r="C463" s="1" t="n">
        <v>45924</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18158-2025</t>
        </is>
      </c>
      <c r="B464" s="1" t="n">
        <v>45761</v>
      </c>
      <c r="C464" s="1" t="n">
        <v>45924</v>
      </c>
      <c r="D464" t="inlineStr">
        <is>
          <t>VÄSTMANLANDS LÄN</t>
        </is>
      </c>
      <c r="E464" t="inlineStr">
        <is>
          <t>SALA</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3546-2025</t>
        </is>
      </c>
      <c r="B465" s="1" t="n">
        <v>45680</v>
      </c>
      <c r="C465" s="1" t="n">
        <v>45924</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31869-2025</t>
        </is>
      </c>
      <c r="B466" s="1" t="n">
        <v>45834.64555555556</v>
      </c>
      <c r="C466" s="1" t="n">
        <v>45924</v>
      </c>
      <c r="D466" t="inlineStr">
        <is>
          <t>VÄSTMANLANDS LÄN</t>
        </is>
      </c>
      <c r="E466" t="inlineStr">
        <is>
          <t>SALA</t>
        </is>
      </c>
      <c r="G466" t="n">
        <v>17.5</v>
      </c>
      <c r="H466" t="n">
        <v>0</v>
      </c>
      <c r="I466" t="n">
        <v>0</v>
      </c>
      <c r="J466" t="n">
        <v>0</v>
      </c>
      <c r="K466" t="n">
        <v>0</v>
      </c>
      <c r="L466" t="n">
        <v>0</v>
      </c>
      <c r="M466" t="n">
        <v>0</v>
      </c>
      <c r="N466" t="n">
        <v>0</v>
      </c>
      <c r="O466" t="n">
        <v>0</v>
      </c>
      <c r="P466" t="n">
        <v>0</v>
      </c>
      <c r="Q466" t="n">
        <v>0</v>
      </c>
      <c r="R466" s="2" t="inlineStr"/>
    </row>
    <row r="467" ht="15" customHeight="1">
      <c r="A467" t="inlineStr">
        <is>
          <t>A 44100-2025</t>
        </is>
      </c>
      <c r="B467" s="1" t="n">
        <v>45915.56707175926</v>
      </c>
      <c r="C467" s="1" t="n">
        <v>45924</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7664-2023</t>
        </is>
      </c>
      <c r="B468" s="1" t="n">
        <v>44972</v>
      </c>
      <c r="C468" s="1" t="n">
        <v>45924</v>
      </c>
      <c r="D468" t="inlineStr">
        <is>
          <t>VÄSTMANLANDS LÄN</t>
        </is>
      </c>
      <c r="E468" t="inlineStr">
        <is>
          <t>SALA</t>
        </is>
      </c>
      <c r="G468" t="n">
        <v>1.4</v>
      </c>
      <c r="H468" t="n">
        <v>0</v>
      </c>
      <c r="I468" t="n">
        <v>0</v>
      </c>
      <c r="J468" t="n">
        <v>0</v>
      </c>
      <c r="K468" t="n">
        <v>0</v>
      </c>
      <c r="L468" t="n">
        <v>0</v>
      </c>
      <c r="M468" t="n">
        <v>0</v>
      </c>
      <c r="N468" t="n">
        <v>0</v>
      </c>
      <c r="O468" t="n">
        <v>0</v>
      </c>
      <c r="P468" t="n">
        <v>0</v>
      </c>
      <c r="Q468" t="n">
        <v>0</v>
      </c>
      <c r="R468" s="2" t="inlineStr"/>
    </row>
    <row r="469" ht="15" customHeight="1">
      <c r="A469" t="inlineStr">
        <is>
          <t>A 9962-2025</t>
        </is>
      </c>
      <c r="B469" s="1" t="n">
        <v>45719.37072916667</v>
      </c>
      <c r="C469" s="1" t="n">
        <v>45924</v>
      </c>
      <c r="D469" t="inlineStr">
        <is>
          <t>VÄSTMANLANDS LÄN</t>
        </is>
      </c>
      <c r="E469" t="inlineStr">
        <is>
          <t>SALA</t>
        </is>
      </c>
      <c r="G469" t="n">
        <v>4.5</v>
      </c>
      <c r="H469" t="n">
        <v>0</v>
      </c>
      <c r="I469" t="n">
        <v>0</v>
      </c>
      <c r="J469" t="n">
        <v>0</v>
      </c>
      <c r="K469" t="n">
        <v>0</v>
      </c>
      <c r="L469" t="n">
        <v>0</v>
      </c>
      <c r="M469" t="n">
        <v>0</v>
      </c>
      <c r="N469" t="n">
        <v>0</v>
      </c>
      <c r="O469" t="n">
        <v>0</v>
      </c>
      <c r="P469" t="n">
        <v>0</v>
      </c>
      <c r="Q469" t="n">
        <v>0</v>
      </c>
      <c r="R469" s="2" t="inlineStr"/>
    </row>
    <row r="470" ht="15" customHeight="1">
      <c r="A470" t="inlineStr">
        <is>
          <t>A 24864-2024</t>
        </is>
      </c>
      <c r="B470" s="1" t="n">
        <v>45461.48888888889</v>
      </c>
      <c r="C470" s="1" t="n">
        <v>45924</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37602-2024</t>
        </is>
      </c>
      <c r="B471" s="1" t="n">
        <v>45541</v>
      </c>
      <c r="C471" s="1" t="n">
        <v>45924</v>
      </c>
      <c r="D471" t="inlineStr">
        <is>
          <t>VÄSTMANLANDS LÄN</t>
        </is>
      </c>
      <c r="E471" t="inlineStr">
        <is>
          <t>SALA</t>
        </is>
      </c>
      <c r="G471" t="n">
        <v>1.5</v>
      </c>
      <c r="H471" t="n">
        <v>0</v>
      </c>
      <c r="I471" t="n">
        <v>0</v>
      </c>
      <c r="J471" t="n">
        <v>0</v>
      </c>
      <c r="K471" t="n">
        <v>0</v>
      </c>
      <c r="L471" t="n">
        <v>0</v>
      </c>
      <c r="M471" t="n">
        <v>0</v>
      </c>
      <c r="N471" t="n">
        <v>0</v>
      </c>
      <c r="O471" t="n">
        <v>0</v>
      </c>
      <c r="P471" t="n">
        <v>0</v>
      </c>
      <c r="Q471" t="n">
        <v>0</v>
      </c>
      <c r="R471" s="2" t="inlineStr"/>
    </row>
    <row r="472" ht="15" customHeight="1">
      <c r="A472" t="inlineStr">
        <is>
          <t>A 17985-2025</t>
        </is>
      </c>
      <c r="B472" s="1" t="n">
        <v>45761</v>
      </c>
      <c r="C472" s="1" t="n">
        <v>45924</v>
      </c>
      <c r="D472" t="inlineStr">
        <is>
          <t>VÄSTMANLANDS LÄN</t>
        </is>
      </c>
      <c r="E472" t="inlineStr">
        <is>
          <t>SALA</t>
        </is>
      </c>
      <c r="G472" t="n">
        <v>12.5</v>
      </c>
      <c r="H472" t="n">
        <v>0</v>
      </c>
      <c r="I472" t="n">
        <v>0</v>
      </c>
      <c r="J472" t="n">
        <v>0</v>
      </c>
      <c r="K472" t="n">
        <v>0</v>
      </c>
      <c r="L472" t="n">
        <v>0</v>
      </c>
      <c r="M472" t="n">
        <v>0</v>
      </c>
      <c r="N472" t="n">
        <v>0</v>
      </c>
      <c r="O472" t="n">
        <v>0</v>
      </c>
      <c r="P472" t="n">
        <v>0</v>
      </c>
      <c r="Q472" t="n">
        <v>0</v>
      </c>
      <c r="R472" s="2" t="inlineStr"/>
    </row>
    <row r="473" ht="15" customHeight="1">
      <c r="A473" t="inlineStr">
        <is>
          <t>A 18762-2024</t>
        </is>
      </c>
      <c r="B473" s="1" t="n">
        <v>45426.55240740741</v>
      </c>
      <c r="C473" s="1" t="n">
        <v>45924</v>
      </c>
      <c r="D473" t="inlineStr">
        <is>
          <t>VÄSTMANLANDS LÄN</t>
        </is>
      </c>
      <c r="E473" t="inlineStr">
        <is>
          <t>SALA</t>
        </is>
      </c>
      <c r="G473" t="n">
        <v>6.2</v>
      </c>
      <c r="H473" t="n">
        <v>0</v>
      </c>
      <c r="I473" t="n">
        <v>0</v>
      </c>
      <c r="J473" t="n">
        <v>0</v>
      </c>
      <c r="K473" t="n">
        <v>0</v>
      </c>
      <c r="L473" t="n">
        <v>0</v>
      </c>
      <c r="M473" t="n">
        <v>0</v>
      </c>
      <c r="N473" t="n">
        <v>0</v>
      </c>
      <c r="O473" t="n">
        <v>0</v>
      </c>
      <c r="P473" t="n">
        <v>0</v>
      </c>
      <c r="Q473" t="n">
        <v>0</v>
      </c>
      <c r="R473" s="2" t="inlineStr"/>
    </row>
    <row r="474" ht="15" customHeight="1">
      <c r="A474" t="inlineStr">
        <is>
          <t>A 24755-2021</t>
        </is>
      </c>
      <c r="B474" s="1" t="n">
        <v>44340</v>
      </c>
      <c r="C474" s="1" t="n">
        <v>45924</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39011-2023</t>
        </is>
      </c>
      <c r="B475" s="1" t="n">
        <v>45162</v>
      </c>
      <c r="C475" s="1" t="n">
        <v>45924</v>
      </c>
      <c r="D475" t="inlineStr">
        <is>
          <t>VÄSTMANLANDS LÄN</t>
        </is>
      </c>
      <c r="E475" t="inlineStr">
        <is>
          <t>SALA</t>
        </is>
      </c>
      <c r="G475" t="n">
        <v>1.6</v>
      </c>
      <c r="H475" t="n">
        <v>0</v>
      </c>
      <c r="I475" t="n">
        <v>0</v>
      </c>
      <c r="J475" t="n">
        <v>0</v>
      </c>
      <c r="K475" t="n">
        <v>0</v>
      </c>
      <c r="L475" t="n">
        <v>0</v>
      </c>
      <c r="M475" t="n">
        <v>0</v>
      </c>
      <c r="N475" t="n">
        <v>0</v>
      </c>
      <c r="O475" t="n">
        <v>0</v>
      </c>
      <c r="P475" t="n">
        <v>0</v>
      </c>
      <c r="Q475" t="n">
        <v>0</v>
      </c>
      <c r="R475" s="2" t="inlineStr"/>
    </row>
    <row r="476" ht="15" customHeight="1">
      <c r="A476" t="inlineStr">
        <is>
          <t>A 44524-2025</t>
        </is>
      </c>
      <c r="B476" s="1" t="n">
        <v>45916.72920138889</v>
      </c>
      <c r="C476" s="1" t="n">
        <v>45924</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46352-2023</t>
        </is>
      </c>
      <c r="B477" s="1" t="n">
        <v>45192</v>
      </c>
      <c r="C477" s="1" t="n">
        <v>45924</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43751-2021</t>
        </is>
      </c>
      <c r="B478" s="1" t="n">
        <v>44433</v>
      </c>
      <c r="C478" s="1" t="n">
        <v>45924</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1128-2025</t>
        </is>
      </c>
      <c r="B479" s="1" t="n">
        <v>45666.68469907407</v>
      </c>
      <c r="C479" s="1" t="n">
        <v>45924</v>
      </c>
      <c r="D479" t="inlineStr">
        <is>
          <t>VÄSTMANLANDS LÄN</t>
        </is>
      </c>
      <c r="E479" t="inlineStr">
        <is>
          <t>SALA</t>
        </is>
      </c>
      <c r="G479" t="n">
        <v>2.5</v>
      </c>
      <c r="H479" t="n">
        <v>0</v>
      </c>
      <c r="I479" t="n">
        <v>0</v>
      </c>
      <c r="J479" t="n">
        <v>0</v>
      </c>
      <c r="K479" t="n">
        <v>0</v>
      </c>
      <c r="L479" t="n">
        <v>0</v>
      </c>
      <c r="M479" t="n">
        <v>0</v>
      </c>
      <c r="N479" t="n">
        <v>0</v>
      </c>
      <c r="O479" t="n">
        <v>0</v>
      </c>
      <c r="P479" t="n">
        <v>0</v>
      </c>
      <c r="Q479" t="n">
        <v>0</v>
      </c>
      <c r="R479" s="2" t="inlineStr"/>
    </row>
    <row r="480" ht="15" customHeight="1">
      <c r="A480" t="inlineStr">
        <is>
          <t>A 37103-2025</t>
        </is>
      </c>
      <c r="B480" s="1" t="n">
        <v>45875.47743055555</v>
      </c>
      <c r="C480" s="1" t="n">
        <v>45924</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44486-2025</t>
        </is>
      </c>
      <c r="B481" s="1" t="n">
        <v>45916.65517361111</v>
      </c>
      <c r="C481" s="1" t="n">
        <v>45924</v>
      </c>
      <c r="D481" t="inlineStr">
        <is>
          <t>VÄSTMANLANDS LÄN</t>
        </is>
      </c>
      <c r="E481" t="inlineStr">
        <is>
          <t>SALA</t>
        </is>
      </c>
      <c r="G481" t="n">
        <v>1.7</v>
      </c>
      <c r="H481" t="n">
        <v>0</v>
      </c>
      <c r="I481" t="n">
        <v>0</v>
      </c>
      <c r="J481" t="n">
        <v>0</v>
      </c>
      <c r="K481" t="n">
        <v>0</v>
      </c>
      <c r="L481" t="n">
        <v>0</v>
      </c>
      <c r="M481" t="n">
        <v>0</v>
      </c>
      <c r="N481" t="n">
        <v>0</v>
      </c>
      <c r="O481" t="n">
        <v>0</v>
      </c>
      <c r="P481" t="n">
        <v>0</v>
      </c>
      <c r="Q481" t="n">
        <v>0</v>
      </c>
      <c r="R481" s="2" t="inlineStr"/>
    </row>
    <row r="482" ht="15" customHeight="1">
      <c r="A482" t="inlineStr">
        <is>
          <t>A 61717-2024</t>
        </is>
      </c>
      <c r="B482" s="1" t="n">
        <v>45648</v>
      </c>
      <c r="C482" s="1" t="n">
        <v>45924</v>
      </c>
      <c r="D482" t="inlineStr">
        <is>
          <t>VÄSTMANLANDS LÄN</t>
        </is>
      </c>
      <c r="E482" t="inlineStr">
        <is>
          <t>SALA</t>
        </is>
      </c>
      <c r="G482" t="n">
        <v>3.7</v>
      </c>
      <c r="H482" t="n">
        <v>0</v>
      </c>
      <c r="I482" t="n">
        <v>0</v>
      </c>
      <c r="J482" t="n">
        <v>0</v>
      </c>
      <c r="K482" t="n">
        <v>0</v>
      </c>
      <c r="L482" t="n">
        <v>0</v>
      </c>
      <c r="M482" t="n">
        <v>0</v>
      </c>
      <c r="N482" t="n">
        <v>0</v>
      </c>
      <c r="O482" t="n">
        <v>0</v>
      </c>
      <c r="P482" t="n">
        <v>0</v>
      </c>
      <c r="Q482" t="n">
        <v>0</v>
      </c>
      <c r="R482" s="2" t="inlineStr"/>
    </row>
    <row r="483" ht="15" customHeight="1">
      <c r="A483" t="inlineStr">
        <is>
          <t>A 37017-2025</t>
        </is>
      </c>
      <c r="B483" s="1" t="n">
        <v>45874</v>
      </c>
      <c r="C483" s="1" t="n">
        <v>45924</v>
      </c>
      <c r="D483" t="inlineStr">
        <is>
          <t>VÄSTMANLANDS LÄN</t>
        </is>
      </c>
      <c r="E483" t="inlineStr">
        <is>
          <t>SALA</t>
        </is>
      </c>
      <c r="G483" t="n">
        <v>11.1</v>
      </c>
      <c r="H483" t="n">
        <v>0</v>
      </c>
      <c r="I483" t="n">
        <v>0</v>
      </c>
      <c r="J483" t="n">
        <v>0</v>
      </c>
      <c r="K483" t="n">
        <v>0</v>
      </c>
      <c r="L483" t="n">
        <v>0</v>
      </c>
      <c r="M483" t="n">
        <v>0</v>
      </c>
      <c r="N483" t="n">
        <v>0</v>
      </c>
      <c r="O483" t="n">
        <v>0</v>
      </c>
      <c r="P483" t="n">
        <v>0</v>
      </c>
      <c r="Q483" t="n">
        <v>0</v>
      </c>
      <c r="R483" s="2" t="inlineStr"/>
    </row>
    <row r="484" ht="15" customHeight="1">
      <c r="A484" t="inlineStr">
        <is>
          <t>A 17495-2024</t>
        </is>
      </c>
      <c r="B484" s="1" t="n">
        <v>45415</v>
      </c>
      <c r="C484" s="1" t="n">
        <v>45924</v>
      </c>
      <c r="D484" t="inlineStr">
        <is>
          <t>VÄSTMANLANDS LÄN</t>
        </is>
      </c>
      <c r="E484" t="inlineStr">
        <is>
          <t>SALA</t>
        </is>
      </c>
      <c r="G484" t="n">
        <v>3.1</v>
      </c>
      <c r="H484" t="n">
        <v>0</v>
      </c>
      <c r="I484" t="n">
        <v>0</v>
      </c>
      <c r="J484" t="n">
        <v>0</v>
      </c>
      <c r="K484" t="n">
        <v>0</v>
      </c>
      <c r="L484" t="n">
        <v>0</v>
      </c>
      <c r="M484" t="n">
        <v>0</v>
      </c>
      <c r="N484" t="n">
        <v>0</v>
      </c>
      <c r="O484" t="n">
        <v>0</v>
      </c>
      <c r="P484" t="n">
        <v>0</v>
      </c>
      <c r="Q484" t="n">
        <v>0</v>
      </c>
      <c r="R484" s="2" t="inlineStr"/>
    </row>
    <row r="485" ht="15" customHeight="1">
      <c r="A485" t="inlineStr">
        <is>
          <t>A 31950-2023</t>
        </is>
      </c>
      <c r="B485" s="1" t="n">
        <v>45107</v>
      </c>
      <c r="C485" s="1" t="n">
        <v>45924</v>
      </c>
      <c r="D485" t="inlineStr">
        <is>
          <t>VÄSTMANLANDS LÄN</t>
        </is>
      </c>
      <c r="E485" t="inlineStr">
        <is>
          <t>SALA</t>
        </is>
      </c>
      <c r="G485" t="n">
        <v>0.1</v>
      </c>
      <c r="H485" t="n">
        <v>0</v>
      </c>
      <c r="I485" t="n">
        <v>0</v>
      </c>
      <c r="J485" t="n">
        <v>0</v>
      </c>
      <c r="K485" t="n">
        <v>0</v>
      </c>
      <c r="L485" t="n">
        <v>0</v>
      </c>
      <c r="M485" t="n">
        <v>0</v>
      </c>
      <c r="N485" t="n">
        <v>0</v>
      </c>
      <c r="O485" t="n">
        <v>0</v>
      </c>
      <c r="P485" t="n">
        <v>0</v>
      </c>
      <c r="Q485" t="n">
        <v>0</v>
      </c>
      <c r="R485" s="2" t="inlineStr"/>
    </row>
    <row r="486" ht="15" customHeight="1">
      <c r="A486" t="inlineStr">
        <is>
          <t>A 37246-2025</t>
        </is>
      </c>
      <c r="B486" s="1" t="n">
        <v>45876.39435185185</v>
      </c>
      <c r="C486" s="1" t="n">
        <v>45924</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37253-2025</t>
        </is>
      </c>
      <c r="B487" s="1" t="n">
        <v>45876.42290509259</v>
      </c>
      <c r="C487" s="1" t="n">
        <v>45924</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28696-2023</t>
        </is>
      </c>
      <c r="B488" s="1" t="n">
        <v>45103.71759259259</v>
      </c>
      <c r="C488" s="1" t="n">
        <v>45924</v>
      </c>
      <c r="D488" t="inlineStr">
        <is>
          <t>VÄSTMANLANDS LÄN</t>
        </is>
      </c>
      <c r="E488" t="inlineStr">
        <is>
          <t>SALA</t>
        </is>
      </c>
      <c r="F488" t="inlineStr">
        <is>
          <t>Kommuner</t>
        </is>
      </c>
      <c r="G488" t="n">
        <v>5.9</v>
      </c>
      <c r="H488" t="n">
        <v>0</v>
      </c>
      <c r="I488" t="n">
        <v>0</v>
      </c>
      <c r="J488" t="n">
        <v>0</v>
      </c>
      <c r="K488" t="n">
        <v>0</v>
      </c>
      <c r="L488" t="n">
        <v>0</v>
      </c>
      <c r="M488" t="n">
        <v>0</v>
      </c>
      <c r="N488" t="n">
        <v>0</v>
      </c>
      <c r="O488" t="n">
        <v>0</v>
      </c>
      <c r="P488" t="n">
        <v>0</v>
      </c>
      <c r="Q488" t="n">
        <v>0</v>
      </c>
      <c r="R488" s="2" t="inlineStr"/>
    </row>
    <row r="489" ht="15" customHeight="1">
      <c r="A489" t="inlineStr">
        <is>
          <t>A 37263-2025</t>
        </is>
      </c>
      <c r="B489" s="1" t="n">
        <v>45876.4584837963</v>
      </c>
      <c r="C489" s="1" t="n">
        <v>45924</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6691-2025</t>
        </is>
      </c>
      <c r="B490" s="1" t="n">
        <v>45700.50625</v>
      </c>
      <c r="C490" s="1" t="n">
        <v>45924</v>
      </c>
      <c r="D490" t="inlineStr">
        <is>
          <t>VÄSTMANLANDS LÄN</t>
        </is>
      </c>
      <c r="E490" t="inlineStr">
        <is>
          <t>SALA</t>
        </is>
      </c>
      <c r="G490" t="n">
        <v>2.1</v>
      </c>
      <c r="H490" t="n">
        <v>0</v>
      </c>
      <c r="I490" t="n">
        <v>0</v>
      </c>
      <c r="J490" t="n">
        <v>0</v>
      </c>
      <c r="K490" t="n">
        <v>0</v>
      </c>
      <c r="L490" t="n">
        <v>0</v>
      </c>
      <c r="M490" t="n">
        <v>0</v>
      </c>
      <c r="N490" t="n">
        <v>0</v>
      </c>
      <c r="O490" t="n">
        <v>0</v>
      </c>
      <c r="P490" t="n">
        <v>0</v>
      </c>
      <c r="Q490" t="n">
        <v>0</v>
      </c>
      <c r="R490" s="2" t="inlineStr"/>
    </row>
    <row r="491" ht="15" customHeight="1">
      <c r="A491" t="inlineStr">
        <is>
          <t>A 56540-2024</t>
        </is>
      </c>
      <c r="B491" s="1" t="n">
        <v>45625</v>
      </c>
      <c r="C491" s="1" t="n">
        <v>45924</v>
      </c>
      <c r="D491" t="inlineStr">
        <is>
          <t>VÄSTMANLANDS LÄN</t>
        </is>
      </c>
      <c r="E491" t="inlineStr">
        <is>
          <t>SALA</t>
        </is>
      </c>
      <c r="G491" t="n">
        <v>1.8</v>
      </c>
      <c r="H491" t="n">
        <v>0</v>
      </c>
      <c r="I491" t="n">
        <v>0</v>
      </c>
      <c r="J491" t="n">
        <v>0</v>
      </c>
      <c r="K491" t="n">
        <v>0</v>
      </c>
      <c r="L491" t="n">
        <v>0</v>
      </c>
      <c r="M491" t="n">
        <v>0</v>
      </c>
      <c r="N491" t="n">
        <v>0</v>
      </c>
      <c r="O491" t="n">
        <v>0</v>
      </c>
      <c r="P491" t="n">
        <v>0</v>
      </c>
      <c r="Q491" t="n">
        <v>0</v>
      </c>
      <c r="R491" s="2" t="inlineStr"/>
    </row>
    <row r="492" ht="15" customHeight="1">
      <c r="A492" t="inlineStr">
        <is>
          <t>A 1934-2023</t>
        </is>
      </c>
      <c r="B492" s="1" t="n">
        <v>44939.43024305555</v>
      </c>
      <c r="C492" s="1" t="n">
        <v>45924</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35519-2024</t>
        </is>
      </c>
      <c r="B493" s="1" t="n">
        <v>45531</v>
      </c>
      <c r="C493" s="1" t="n">
        <v>45924</v>
      </c>
      <c r="D493" t="inlineStr">
        <is>
          <t>VÄSTMANLANDS LÄN</t>
        </is>
      </c>
      <c r="E493" t="inlineStr">
        <is>
          <t>SALA</t>
        </is>
      </c>
      <c r="G493" t="n">
        <v>1.8</v>
      </c>
      <c r="H493" t="n">
        <v>0</v>
      </c>
      <c r="I493" t="n">
        <v>0</v>
      </c>
      <c r="J493" t="n">
        <v>0</v>
      </c>
      <c r="K493" t="n">
        <v>0</v>
      </c>
      <c r="L493" t="n">
        <v>0</v>
      </c>
      <c r="M493" t="n">
        <v>0</v>
      </c>
      <c r="N493" t="n">
        <v>0</v>
      </c>
      <c r="O493" t="n">
        <v>0</v>
      </c>
      <c r="P493" t="n">
        <v>0</v>
      </c>
      <c r="Q493" t="n">
        <v>0</v>
      </c>
      <c r="R493" s="2" t="inlineStr"/>
    </row>
    <row r="494" ht="15" customHeight="1">
      <c r="A494" t="inlineStr">
        <is>
          <t>A 6116-2023</t>
        </is>
      </c>
      <c r="B494" s="1" t="n">
        <v>44964</v>
      </c>
      <c r="C494" s="1" t="n">
        <v>45924</v>
      </c>
      <c r="D494" t="inlineStr">
        <is>
          <t>VÄSTMANLANDS LÄN</t>
        </is>
      </c>
      <c r="E494" t="inlineStr">
        <is>
          <t>SALA</t>
        </is>
      </c>
      <c r="G494" t="n">
        <v>1.9</v>
      </c>
      <c r="H494" t="n">
        <v>0</v>
      </c>
      <c r="I494" t="n">
        <v>0</v>
      </c>
      <c r="J494" t="n">
        <v>0</v>
      </c>
      <c r="K494" t="n">
        <v>0</v>
      </c>
      <c r="L494" t="n">
        <v>0</v>
      </c>
      <c r="M494" t="n">
        <v>0</v>
      </c>
      <c r="N494" t="n">
        <v>0</v>
      </c>
      <c r="O494" t="n">
        <v>0</v>
      </c>
      <c r="P494" t="n">
        <v>0</v>
      </c>
      <c r="Q494" t="n">
        <v>0</v>
      </c>
      <c r="R494" s="2" t="inlineStr"/>
    </row>
    <row r="495" ht="15" customHeight="1">
      <c r="A495" t="inlineStr">
        <is>
          <t>A 25860-2024</t>
        </is>
      </c>
      <c r="B495" s="1" t="n">
        <v>45467.46278935186</v>
      </c>
      <c r="C495" s="1" t="n">
        <v>45924</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10154-2021</t>
        </is>
      </c>
      <c r="B496" s="1" t="n">
        <v>44256</v>
      </c>
      <c r="C496" s="1" t="n">
        <v>45924</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50241-2023</t>
        </is>
      </c>
      <c r="B497" s="1" t="n">
        <v>45216</v>
      </c>
      <c r="C497" s="1" t="n">
        <v>45924</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45177-2025</t>
        </is>
      </c>
      <c r="B498" s="1" t="n">
        <v>45919.52444444445</v>
      </c>
      <c r="C498" s="1" t="n">
        <v>45924</v>
      </c>
      <c r="D498" t="inlineStr">
        <is>
          <t>VÄSTMANLANDS LÄN</t>
        </is>
      </c>
      <c r="E498" t="inlineStr">
        <is>
          <t>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30971-2022</t>
        </is>
      </c>
      <c r="B499" s="1" t="n">
        <v>44768.46725694444</v>
      </c>
      <c r="C499" s="1" t="n">
        <v>45924</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56916-2022</t>
        </is>
      </c>
      <c r="B500" s="1" t="n">
        <v>44888</v>
      </c>
      <c r="C500" s="1" t="n">
        <v>45924</v>
      </c>
      <c r="D500" t="inlineStr">
        <is>
          <t>VÄSTMANLANDS LÄN</t>
        </is>
      </c>
      <c r="E500" t="inlineStr">
        <is>
          <t>SALA</t>
        </is>
      </c>
      <c r="G500" t="n">
        <v>1.7</v>
      </c>
      <c r="H500" t="n">
        <v>0</v>
      </c>
      <c r="I500" t="n">
        <v>0</v>
      </c>
      <c r="J500" t="n">
        <v>0</v>
      </c>
      <c r="K500" t="n">
        <v>0</v>
      </c>
      <c r="L500" t="n">
        <v>0</v>
      </c>
      <c r="M500" t="n">
        <v>0</v>
      </c>
      <c r="N500" t="n">
        <v>0</v>
      </c>
      <c r="O500" t="n">
        <v>0</v>
      </c>
      <c r="P500" t="n">
        <v>0</v>
      </c>
      <c r="Q500" t="n">
        <v>0</v>
      </c>
      <c r="R500" s="2" t="inlineStr"/>
    </row>
    <row r="501" ht="15" customHeight="1">
      <c r="A501" t="inlineStr">
        <is>
          <t>A 35637-2022</t>
        </is>
      </c>
      <c r="B501" s="1" t="n">
        <v>44799.55194444444</v>
      </c>
      <c r="C501" s="1" t="n">
        <v>45924</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37590-2025</t>
        </is>
      </c>
      <c r="B502" s="1" t="n">
        <v>45880.41138888889</v>
      </c>
      <c r="C502" s="1" t="n">
        <v>45924</v>
      </c>
      <c r="D502" t="inlineStr">
        <is>
          <t>VÄSTMANLANDS LÄN</t>
        </is>
      </c>
      <c r="E502" t="inlineStr">
        <is>
          <t>SALA</t>
        </is>
      </c>
      <c r="G502" t="n">
        <v>2.2</v>
      </c>
      <c r="H502" t="n">
        <v>0</v>
      </c>
      <c r="I502" t="n">
        <v>0</v>
      </c>
      <c r="J502" t="n">
        <v>0</v>
      </c>
      <c r="K502" t="n">
        <v>0</v>
      </c>
      <c r="L502" t="n">
        <v>0</v>
      </c>
      <c r="M502" t="n">
        <v>0</v>
      </c>
      <c r="N502" t="n">
        <v>0</v>
      </c>
      <c r="O502" t="n">
        <v>0</v>
      </c>
      <c r="P502" t="n">
        <v>0</v>
      </c>
      <c r="Q502" t="n">
        <v>0</v>
      </c>
      <c r="R502" s="2" t="inlineStr"/>
    </row>
    <row r="503" ht="15" customHeight="1">
      <c r="A503" t="inlineStr">
        <is>
          <t>A 37593-2025</t>
        </is>
      </c>
      <c r="B503" s="1" t="n">
        <v>45880.41325231481</v>
      </c>
      <c r="C503" s="1" t="n">
        <v>45924</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19304-2025</t>
        </is>
      </c>
      <c r="B504" s="1" t="n">
        <v>45769</v>
      </c>
      <c r="C504" s="1" t="n">
        <v>45924</v>
      </c>
      <c r="D504" t="inlineStr">
        <is>
          <t>VÄSTMANLANDS LÄN</t>
        </is>
      </c>
      <c r="E504" t="inlineStr">
        <is>
          <t>SALA</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27038-2023</t>
        </is>
      </c>
      <c r="B505" s="1" t="n">
        <v>45095</v>
      </c>
      <c r="C505" s="1" t="n">
        <v>45924</v>
      </c>
      <c r="D505" t="inlineStr">
        <is>
          <t>VÄSTMANLANDS LÄN</t>
        </is>
      </c>
      <c r="E505" t="inlineStr">
        <is>
          <t>SALA</t>
        </is>
      </c>
      <c r="G505" t="n">
        <v>0.8</v>
      </c>
      <c r="H505" t="n">
        <v>0</v>
      </c>
      <c r="I505" t="n">
        <v>0</v>
      </c>
      <c r="J505" t="n">
        <v>0</v>
      </c>
      <c r="K505" t="n">
        <v>0</v>
      </c>
      <c r="L505" t="n">
        <v>0</v>
      </c>
      <c r="M505" t="n">
        <v>0</v>
      </c>
      <c r="N505" t="n">
        <v>0</v>
      </c>
      <c r="O505" t="n">
        <v>0</v>
      </c>
      <c r="P505" t="n">
        <v>0</v>
      </c>
      <c r="Q505" t="n">
        <v>0</v>
      </c>
      <c r="R505" s="2" t="inlineStr"/>
    </row>
    <row r="506" ht="15" customHeight="1">
      <c r="A506" t="inlineStr">
        <is>
          <t>A 23182-2022</t>
        </is>
      </c>
      <c r="B506" s="1" t="n">
        <v>44719.79707175926</v>
      </c>
      <c r="C506" s="1" t="n">
        <v>45924</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45371-2025</t>
        </is>
      </c>
      <c r="B507" s="1" t="n">
        <v>45922.39001157408</v>
      </c>
      <c r="C507" s="1" t="n">
        <v>45924</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43122-2025</t>
        </is>
      </c>
      <c r="B508" s="1" t="n">
        <v>45909</v>
      </c>
      <c r="C508" s="1" t="n">
        <v>45924</v>
      </c>
      <c r="D508" t="inlineStr">
        <is>
          <t>VÄSTMANLANDS LÄN</t>
        </is>
      </c>
      <c r="E508" t="inlineStr">
        <is>
          <t>SALA</t>
        </is>
      </c>
      <c r="G508" t="n">
        <v>3.2</v>
      </c>
      <c r="H508" t="n">
        <v>0</v>
      </c>
      <c r="I508" t="n">
        <v>0</v>
      </c>
      <c r="J508" t="n">
        <v>0</v>
      </c>
      <c r="K508" t="n">
        <v>0</v>
      </c>
      <c r="L508" t="n">
        <v>0</v>
      </c>
      <c r="M508" t="n">
        <v>0</v>
      </c>
      <c r="N508" t="n">
        <v>0</v>
      </c>
      <c r="O508" t="n">
        <v>0</v>
      </c>
      <c r="P508" t="n">
        <v>0</v>
      </c>
      <c r="Q508" t="n">
        <v>0</v>
      </c>
      <c r="R508" s="2" t="inlineStr"/>
    </row>
    <row r="509" ht="15" customHeight="1">
      <c r="A509" t="inlineStr">
        <is>
          <t>A 71471-2021</t>
        </is>
      </c>
      <c r="B509" s="1" t="n">
        <v>44540.53421296296</v>
      </c>
      <c r="C509" s="1" t="n">
        <v>45924</v>
      </c>
      <c r="D509" t="inlineStr">
        <is>
          <t>VÄSTMANLANDS LÄN</t>
        </is>
      </c>
      <c r="E509" t="inlineStr">
        <is>
          <t>SALA</t>
        </is>
      </c>
      <c r="G509" t="n">
        <v>13</v>
      </c>
      <c r="H509" t="n">
        <v>0</v>
      </c>
      <c r="I509" t="n">
        <v>0</v>
      </c>
      <c r="J509" t="n">
        <v>0</v>
      </c>
      <c r="K509" t="n">
        <v>0</v>
      </c>
      <c r="L509" t="n">
        <v>0</v>
      </c>
      <c r="M509" t="n">
        <v>0</v>
      </c>
      <c r="N509" t="n">
        <v>0</v>
      </c>
      <c r="O509" t="n">
        <v>0</v>
      </c>
      <c r="P509" t="n">
        <v>0</v>
      </c>
      <c r="Q509" t="n">
        <v>0</v>
      </c>
      <c r="R509" s="2" t="inlineStr"/>
    </row>
    <row r="510" ht="15" customHeight="1">
      <c r="A510" t="inlineStr">
        <is>
          <t>A 31859-2023</t>
        </is>
      </c>
      <c r="B510" s="1" t="n">
        <v>45118</v>
      </c>
      <c r="C510" s="1" t="n">
        <v>45924</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c r="U510">
        <f>HYPERLINK("https://klasma.github.io/Logging_1981/knärot/A 31859-2023 karta knärot.png", "A 31859-2023")</f>
        <v/>
      </c>
      <c r="V510">
        <f>HYPERLINK("https://klasma.github.io/Logging_1981/klagomål/A 31859-2023 FSC-klagomål.docx", "A 31859-2023")</f>
        <v/>
      </c>
      <c r="W510">
        <f>HYPERLINK("https://klasma.github.io/Logging_1981/klagomålsmail/A 31859-2023 FSC-klagomål mail.docx", "A 31859-2023")</f>
        <v/>
      </c>
      <c r="X510">
        <f>HYPERLINK("https://klasma.github.io/Logging_1981/tillsyn/A 31859-2023 tillsynsbegäran.docx", "A 31859-2023")</f>
        <v/>
      </c>
      <c r="Y510">
        <f>HYPERLINK("https://klasma.github.io/Logging_1981/tillsynsmail/A 31859-2023 tillsynsbegäran mail.docx", "A 31859-2023")</f>
        <v/>
      </c>
    </row>
    <row r="511" ht="15" customHeight="1">
      <c r="A511" t="inlineStr">
        <is>
          <t>A 7469-2025</t>
        </is>
      </c>
      <c r="B511" s="1" t="n">
        <v>45705</v>
      </c>
      <c r="C511" s="1" t="n">
        <v>45924</v>
      </c>
      <c r="D511" t="inlineStr">
        <is>
          <t>VÄSTMANLANDS LÄN</t>
        </is>
      </c>
      <c r="E511" t="inlineStr">
        <is>
          <t>SALA</t>
        </is>
      </c>
      <c r="G511" t="n">
        <v>2.1</v>
      </c>
      <c r="H511" t="n">
        <v>0</v>
      </c>
      <c r="I511" t="n">
        <v>0</v>
      </c>
      <c r="J511" t="n">
        <v>0</v>
      </c>
      <c r="K511" t="n">
        <v>0</v>
      </c>
      <c r="L511" t="n">
        <v>0</v>
      </c>
      <c r="M511" t="n">
        <v>0</v>
      </c>
      <c r="N511" t="n">
        <v>0</v>
      </c>
      <c r="O511" t="n">
        <v>0</v>
      </c>
      <c r="P511" t="n">
        <v>0</v>
      </c>
      <c r="Q511" t="n">
        <v>0</v>
      </c>
      <c r="R511" s="2" t="inlineStr"/>
    </row>
    <row r="512" ht="15" customHeight="1">
      <c r="A512" t="inlineStr">
        <is>
          <t>A 45909-2025</t>
        </is>
      </c>
      <c r="B512" s="1" t="n">
        <v>45923.75078703704</v>
      </c>
      <c r="C512" s="1" t="n">
        <v>45924</v>
      </c>
      <c r="D512" t="inlineStr">
        <is>
          <t>VÄSTMANLANDS LÄN</t>
        </is>
      </c>
      <c r="E512" t="inlineStr">
        <is>
          <t>SALA</t>
        </is>
      </c>
      <c r="G512" t="n">
        <v>1.4</v>
      </c>
      <c r="H512" t="n">
        <v>0</v>
      </c>
      <c r="I512" t="n">
        <v>0</v>
      </c>
      <c r="J512" t="n">
        <v>0</v>
      </c>
      <c r="K512" t="n">
        <v>0</v>
      </c>
      <c r="L512" t="n">
        <v>0</v>
      </c>
      <c r="M512" t="n">
        <v>0</v>
      </c>
      <c r="N512" t="n">
        <v>0</v>
      </c>
      <c r="O512" t="n">
        <v>0</v>
      </c>
      <c r="P512" t="n">
        <v>0</v>
      </c>
      <c r="Q512" t="n">
        <v>0</v>
      </c>
      <c r="R512" s="2" t="inlineStr"/>
    </row>
    <row r="513" ht="15" customHeight="1">
      <c r="A513" t="inlineStr">
        <is>
          <t>A 17722-2025</t>
        </is>
      </c>
      <c r="B513" s="1" t="n">
        <v>45758</v>
      </c>
      <c r="C513" s="1" t="n">
        <v>45924</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13987-2023</t>
        </is>
      </c>
      <c r="B514" s="1" t="n">
        <v>45007</v>
      </c>
      <c r="C514" s="1" t="n">
        <v>45924</v>
      </c>
      <c r="D514" t="inlineStr">
        <is>
          <t>VÄSTMANLANDS LÄN</t>
        </is>
      </c>
      <c r="E514" t="inlineStr">
        <is>
          <t>SALA</t>
        </is>
      </c>
      <c r="G514" t="n">
        <v>3.2</v>
      </c>
      <c r="H514" t="n">
        <v>0</v>
      </c>
      <c r="I514" t="n">
        <v>0</v>
      </c>
      <c r="J514" t="n">
        <v>0</v>
      </c>
      <c r="K514" t="n">
        <v>0</v>
      </c>
      <c r="L514" t="n">
        <v>0</v>
      </c>
      <c r="M514" t="n">
        <v>0</v>
      </c>
      <c r="N514" t="n">
        <v>0</v>
      </c>
      <c r="O514" t="n">
        <v>0</v>
      </c>
      <c r="P514" t="n">
        <v>0</v>
      </c>
      <c r="Q514" t="n">
        <v>0</v>
      </c>
      <c r="R514" s="2" t="inlineStr"/>
    </row>
    <row r="515" ht="15" customHeight="1">
      <c r="A515" t="inlineStr">
        <is>
          <t>A 13990-2023</t>
        </is>
      </c>
      <c r="B515" s="1" t="n">
        <v>45007</v>
      </c>
      <c r="C515" s="1" t="n">
        <v>45924</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60034-2024</t>
        </is>
      </c>
      <c r="B516" s="1" t="n">
        <v>45642.46261574074</v>
      </c>
      <c r="C516" s="1" t="n">
        <v>45924</v>
      </c>
      <c r="D516" t="inlineStr">
        <is>
          <t>VÄSTMANLANDS LÄN</t>
        </is>
      </c>
      <c r="E516" t="inlineStr">
        <is>
          <t>SALA</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45914-2025</t>
        </is>
      </c>
      <c r="B517" s="1" t="n">
        <v>45923.82582175926</v>
      </c>
      <c r="C517" s="1" t="n">
        <v>45924</v>
      </c>
      <c r="D517" t="inlineStr">
        <is>
          <t>VÄSTMANLANDS LÄN</t>
        </is>
      </c>
      <c r="E517" t="inlineStr">
        <is>
          <t>SALA</t>
        </is>
      </c>
      <c r="F517" t="inlineStr">
        <is>
          <t>Kommuner</t>
        </is>
      </c>
      <c r="G517" t="n">
        <v>18.2</v>
      </c>
      <c r="H517" t="n">
        <v>0</v>
      </c>
      <c r="I517" t="n">
        <v>0</v>
      </c>
      <c r="J517" t="n">
        <v>0</v>
      </c>
      <c r="K517" t="n">
        <v>0</v>
      </c>
      <c r="L517" t="n">
        <v>0</v>
      </c>
      <c r="M517" t="n">
        <v>0</v>
      </c>
      <c r="N517" t="n">
        <v>0</v>
      </c>
      <c r="O517" t="n">
        <v>0</v>
      </c>
      <c r="P517" t="n">
        <v>0</v>
      </c>
      <c r="Q517" t="n">
        <v>0</v>
      </c>
      <c r="R517" s="2" t="inlineStr"/>
    </row>
    <row r="518" ht="15" customHeight="1">
      <c r="A518" t="inlineStr">
        <is>
          <t>A 1993-2022</t>
        </is>
      </c>
      <c r="B518" s="1" t="n">
        <v>44575</v>
      </c>
      <c r="C518" s="1" t="n">
        <v>45924</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17051-2025</t>
        </is>
      </c>
      <c r="B519" s="1" t="n">
        <v>45755</v>
      </c>
      <c r="C519" s="1" t="n">
        <v>45924</v>
      </c>
      <c r="D519" t="inlineStr">
        <is>
          <t>VÄSTMANLANDS LÄN</t>
        </is>
      </c>
      <c r="E519" t="inlineStr">
        <is>
          <t>SALA</t>
        </is>
      </c>
      <c r="G519" t="n">
        <v>2.9</v>
      </c>
      <c r="H519" t="n">
        <v>0</v>
      </c>
      <c r="I519" t="n">
        <v>0</v>
      </c>
      <c r="J519" t="n">
        <v>0</v>
      </c>
      <c r="K519" t="n">
        <v>0</v>
      </c>
      <c r="L519" t="n">
        <v>0</v>
      </c>
      <c r="M519" t="n">
        <v>0</v>
      </c>
      <c r="N519" t="n">
        <v>0</v>
      </c>
      <c r="O519" t="n">
        <v>0</v>
      </c>
      <c r="P519" t="n">
        <v>0</v>
      </c>
      <c r="Q519" t="n">
        <v>0</v>
      </c>
      <c r="R519" s="2" t="inlineStr"/>
    </row>
    <row r="520" ht="15" customHeight="1">
      <c r="A520" t="inlineStr">
        <is>
          <t>A 43509-2021</t>
        </is>
      </c>
      <c r="B520" s="1" t="n">
        <v>44433</v>
      </c>
      <c r="C520" s="1" t="n">
        <v>45924</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54959-2024</t>
        </is>
      </c>
      <c r="B521" s="1" t="n">
        <v>45619</v>
      </c>
      <c r="C521" s="1" t="n">
        <v>45924</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56964-2023</t>
        </is>
      </c>
      <c r="B522" s="1" t="n">
        <v>45244.63140046296</v>
      </c>
      <c r="C522" s="1" t="n">
        <v>45924</v>
      </c>
      <c r="D522" t="inlineStr">
        <is>
          <t>VÄSTMANLANDS LÄN</t>
        </is>
      </c>
      <c r="E522" t="inlineStr">
        <is>
          <t>SALA</t>
        </is>
      </c>
      <c r="G522" t="n">
        <v>4.6</v>
      </c>
      <c r="H522" t="n">
        <v>0</v>
      </c>
      <c r="I522" t="n">
        <v>0</v>
      </c>
      <c r="J522" t="n">
        <v>0</v>
      </c>
      <c r="K522" t="n">
        <v>0</v>
      </c>
      <c r="L522" t="n">
        <v>0</v>
      </c>
      <c r="M522" t="n">
        <v>0</v>
      </c>
      <c r="N522" t="n">
        <v>0</v>
      </c>
      <c r="O522" t="n">
        <v>0</v>
      </c>
      <c r="P522" t="n">
        <v>0</v>
      </c>
      <c r="Q522" t="n">
        <v>0</v>
      </c>
      <c r="R522" s="2" t="inlineStr"/>
    </row>
    <row r="523" ht="15" customHeight="1">
      <c r="A523" t="inlineStr">
        <is>
          <t>A 37337-2024</t>
        </is>
      </c>
      <c r="B523" s="1" t="n">
        <v>45540</v>
      </c>
      <c r="C523" s="1" t="n">
        <v>45924</v>
      </c>
      <c r="D523" t="inlineStr">
        <is>
          <t>VÄSTMANLANDS LÄN</t>
        </is>
      </c>
      <c r="E523" t="inlineStr">
        <is>
          <t>SALA</t>
        </is>
      </c>
      <c r="G523" t="n">
        <v>6.5</v>
      </c>
      <c r="H523" t="n">
        <v>0</v>
      </c>
      <c r="I523" t="n">
        <v>0</v>
      </c>
      <c r="J523" t="n">
        <v>0</v>
      </c>
      <c r="K523" t="n">
        <v>0</v>
      </c>
      <c r="L523" t="n">
        <v>0</v>
      </c>
      <c r="M523" t="n">
        <v>0</v>
      </c>
      <c r="N523" t="n">
        <v>0</v>
      </c>
      <c r="O523" t="n">
        <v>0</v>
      </c>
      <c r="P523" t="n">
        <v>0</v>
      </c>
      <c r="Q523" t="n">
        <v>0</v>
      </c>
      <c r="R523" s="2" t="inlineStr"/>
    </row>
    <row r="524" ht="15" customHeight="1">
      <c r="A524" t="inlineStr">
        <is>
          <t>A 17120-2023</t>
        </is>
      </c>
      <c r="B524" s="1" t="n">
        <v>45034</v>
      </c>
      <c r="C524" s="1" t="n">
        <v>45924</v>
      </c>
      <c r="D524" t="inlineStr">
        <is>
          <t>VÄSTMANLANDS LÄN</t>
        </is>
      </c>
      <c r="E524" t="inlineStr">
        <is>
          <t>SALA</t>
        </is>
      </c>
      <c r="G524" t="n">
        <v>0.1</v>
      </c>
      <c r="H524" t="n">
        <v>0</v>
      </c>
      <c r="I524" t="n">
        <v>0</v>
      </c>
      <c r="J524" t="n">
        <v>0</v>
      </c>
      <c r="K524" t="n">
        <v>0</v>
      </c>
      <c r="L524" t="n">
        <v>0</v>
      </c>
      <c r="M524" t="n">
        <v>0</v>
      </c>
      <c r="N524" t="n">
        <v>0</v>
      </c>
      <c r="O524" t="n">
        <v>0</v>
      </c>
      <c r="P524" t="n">
        <v>0</v>
      </c>
      <c r="Q524" t="n">
        <v>0</v>
      </c>
      <c r="R524" s="2" t="inlineStr"/>
    </row>
    <row r="525" ht="15" customHeight="1">
      <c r="A525" t="inlineStr">
        <is>
          <t>A 34494-2023</t>
        </is>
      </c>
      <c r="B525" s="1" t="n">
        <v>45133</v>
      </c>
      <c r="C525" s="1" t="n">
        <v>45924</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10579-2022</t>
        </is>
      </c>
      <c r="B526" s="1" t="n">
        <v>44624</v>
      </c>
      <c r="C526" s="1" t="n">
        <v>45924</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34867-2023</t>
        </is>
      </c>
      <c r="B527" s="1" t="n">
        <v>45142.33481481481</v>
      </c>
      <c r="C527" s="1" t="n">
        <v>45924</v>
      </c>
      <c r="D527" t="inlineStr">
        <is>
          <t>VÄSTMANLANDS LÄN</t>
        </is>
      </c>
      <c r="E527" t="inlineStr">
        <is>
          <t>SALA</t>
        </is>
      </c>
      <c r="G527" t="n">
        <v>1.1</v>
      </c>
      <c r="H527" t="n">
        <v>0</v>
      </c>
      <c r="I527" t="n">
        <v>0</v>
      </c>
      <c r="J527" t="n">
        <v>0</v>
      </c>
      <c r="K527" t="n">
        <v>0</v>
      </c>
      <c r="L527" t="n">
        <v>0</v>
      </c>
      <c r="M527" t="n">
        <v>0</v>
      </c>
      <c r="N527" t="n">
        <v>0</v>
      </c>
      <c r="O527" t="n">
        <v>0</v>
      </c>
      <c r="P527" t="n">
        <v>0</v>
      </c>
      <c r="Q527" t="n">
        <v>0</v>
      </c>
      <c r="R527" s="2" t="inlineStr"/>
    </row>
    <row r="528" ht="15" customHeight="1">
      <c r="A528" t="inlineStr">
        <is>
          <t>A 9335-2022</t>
        </is>
      </c>
      <c r="B528" s="1" t="n">
        <v>44616.56579861111</v>
      </c>
      <c r="C528" s="1" t="n">
        <v>45924</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45313-2024</t>
        </is>
      </c>
      <c r="B529" s="1" t="n">
        <v>45576</v>
      </c>
      <c r="C529" s="1" t="n">
        <v>45924</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23119-2022</t>
        </is>
      </c>
      <c r="B530" s="1" t="n">
        <v>44719.56697916667</v>
      </c>
      <c r="C530" s="1" t="n">
        <v>45924</v>
      </c>
      <c r="D530" t="inlineStr">
        <is>
          <t>VÄSTMANLANDS LÄN</t>
        </is>
      </c>
      <c r="E530" t="inlineStr">
        <is>
          <t>SALA</t>
        </is>
      </c>
      <c r="G530" t="n">
        <v>7</v>
      </c>
      <c r="H530" t="n">
        <v>0</v>
      </c>
      <c r="I530" t="n">
        <v>0</v>
      </c>
      <c r="J530" t="n">
        <v>0</v>
      </c>
      <c r="K530" t="n">
        <v>0</v>
      </c>
      <c r="L530" t="n">
        <v>0</v>
      </c>
      <c r="M530" t="n">
        <v>0</v>
      </c>
      <c r="N530" t="n">
        <v>0</v>
      </c>
      <c r="O530" t="n">
        <v>0</v>
      </c>
      <c r="P530" t="n">
        <v>0</v>
      </c>
      <c r="Q530" t="n">
        <v>0</v>
      </c>
      <c r="R530" s="2" t="inlineStr"/>
    </row>
    <row r="531" ht="15" customHeight="1">
      <c r="A531" t="inlineStr">
        <is>
          <t>A 11631-2023</t>
        </is>
      </c>
      <c r="B531" s="1" t="n">
        <v>44994.44001157407</v>
      </c>
      <c r="C531" s="1" t="n">
        <v>45924</v>
      </c>
      <c r="D531" t="inlineStr">
        <is>
          <t>VÄSTMANLANDS LÄN</t>
        </is>
      </c>
      <c r="E531" t="inlineStr">
        <is>
          <t>SALA</t>
        </is>
      </c>
      <c r="F531" t="inlineStr">
        <is>
          <t>Kommuner</t>
        </is>
      </c>
      <c r="G531" t="n">
        <v>1.9</v>
      </c>
      <c r="H531" t="n">
        <v>0</v>
      </c>
      <c r="I531" t="n">
        <v>0</v>
      </c>
      <c r="J531" t="n">
        <v>0</v>
      </c>
      <c r="K531" t="n">
        <v>0</v>
      </c>
      <c r="L531" t="n">
        <v>0</v>
      </c>
      <c r="M531" t="n">
        <v>0</v>
      </c>
      <c r="N531" t="n">
        <v>0</v>
      </c>
      <c r="O531" t="n">
        <v>0</v>
      </c>
      <c r="P531" t="n">
        <v>0</v>
      </c>
      <c r="Q531" t="n">
        <v>0</v>
      </c>
      <c r="R531" s="2" t="inlineStr"/>
    </row>
    <row r="532" ht="15" customHeight="1">
      <c r="A532" t="inlineStr">
        <is>
          <t>A 1196-2023</t>
        </is>
      </c>
      <c r="B532" s="1" t="n">
        <v>44935.82290509259</v>
      </c>
      <c r="C532" s="1" t="n">
        <v>45924</v>
      </c>
      <c r="D532" t="inlineStr">
        <is>
          <t>VÄSTMANLANDS LÄN</t>
        </is>
      </c>
      <c r="E532" t="inlineStr">
        <is>
          <t>SALA</t>
        </is>
      </c>
      <c r="G532" t="n">
        <v>4.1</v>
      </c>
      <c r="H532" t="n">
        <v>0</v>
      </c>
      <c r="I532" t="n">
        <v>0</v>
      </c>
      <c r="J532" t="n">
        <v>0</v>
      </c>
      <c r="K532" t="n">
        <v>0</v>
      </c>
      <c r="L532" t="n">
        <v>0</v>
      </c>
      <c r="M532" t="n">
        <v>0</v>
      </c>
      <c r="N532" t="n">
        <v>0</v>
      </c>
      <c r="O532" t="n">
        <v>0</v>
      </c>
      <c r="P532" t="n">
        <v>0</v>
      </c>
      <c r="Q532" t="n">
        <v>0</v>
      </c>
      <c r="R532" s="2" t="inlineStr"/>
    </row>
    <row r="533" ht="15" customHeight="1">
      <c r="A533" t="inlineStr">
        <is>
          <t>A 52503-2024</t>
        </is>
      </c>
      <c r="B533" s="1" t="n">
        <v>45609.58806712963</v>
      </c>
      <c r="C533" s="1" t="n">
        <v>45924</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8775-2024</t>
        </is>
      </c>
      <c r="B534" s="1" t="n">
        <v>45356</v>
      </c>
      <c r="C534" s="1" t="n">
        <v>45924</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48710-2024</t>
        </is>
      </c>
      <c r="B535" s="1" t="n">
        <v>45593.53636574074</v>
      </c>
      <c r="C535" s="1" t="n">
        <v>45924</v>
      </c>
      <c r="D535" t="inlineStr">
        <is>
          <t>VÄSTMANLANDS LÄN</t>
        </is>
      </c>
      <c r="E535" t="inlineStr">
        <is>
          <t>SALA</t>
        </is>
      </c>
      <c r="G535" t="n">
        <v>6.5</v>
      </c>
      <c r="H535" t="n">
        <v>0</v>
      </c>
      <c r="I535" t="n">
        <v>0</v>
      </c>
      <c r="J535" t="n">
        <v>0</v>
      </c>
      <c r="K535" t="n">
        <v>0</v>
      </c>
      <c r="L535" t="n">
        <v>0</v>
      </c>
      <c r="M535" t="n">
        <v>0</v>
      </c>
      <c r="N535" t="n">
        <v>0</v>
      </c>
      <c r="O535" t="n">
        <v>0</v>
      </c>
      <c r="P535" t="n">
        <v>0</v>
      </c>
      <c r="Q535" t="n">
        <v>0</v>
      </c>
      <c r="R535" s="2" t="inlineStr"/>
    </row>
    <row r="536" ht="15" customHeight="1">
      <c r="A536" t="inlineStr">
        <is>
          <t>A 16404-2022</t>
        </is>
      </c>
      <c r="B536" s="1" t="n">
        <v>44671</v>
      </c>
      <c r="C536" s="1" t="n">
        <v>45924</v>
      </c>
      <c r="D536" t="inlineStr">
        <is>
          <t>VÄSTMANLANDS LÄN</t>
        </is>
      </c>
      <c r="E536" t="inlineStr">
        <is>
          <t>SALA</t>
        </is>
      </c>
      <c r="G536" t="n">
        <v>0.8</v>
      </c>
      <c r="H536" t="n">
        <v>0</v>
      </c>
      <c r="I536" t="n">
        <v>0</v>
      </c>
      <c r="J536" t="n">
        <v>0</v>
      </c>
      <c r="K536" t="n">
        <v>0</v>
      </c>
      <c r="L536" t="n">
        <v>0</v>
      </c>
      <c r="M536" t="n">
        <v>0</v>
      </c>
      <c r="N536" t="n">
        <v>0</v>
      </c>
      <c r="O536" t="n">
        <v>0</v>
      </c>
      <c r="P536" t="n">
        <v>0</v>
      </c>
      <c r="Q536" t="n">
        <v>0</v>
      </c>
      <c r="R536" s="2" t="inlineStr"/>
    </row>
    <row r="537" ht="15" customHeight="1">
      <c r="A537" t="inlineStr">
        <is>
          <t>A 7953-2024</t>
        </is>
      </c>
      <c r="B537" s="1" t="n">
        <v>45350</v>
      </c>
      <c r="C537" s="1" t="n">
        <v>45924</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30028-2024</t>
        </is>
      </c>
      <c r="B538" s="1" t="n">
        <v>45485</v>
      </c>
      <c r="C538" s="1" t="n">
        <v>45924</v>
      </c>
      <c r="D538" t="inlineStr">
        <is>
          <t>VÄSTMANLANDS LÄN</t>
        </is>
      </c>
      <c r="E538" t="inlineStr">
        <is>
          <t>SALA</t>
        </is>
      </c>
      <c r="G538" t="n">
        <v>2.6</v>
      </c>
      <c r="H538" t="n">
        <v>0</v>
      </c>
      <c r="I538" t="n">
        <v>0</v>
      </c>
      <c r="J538" t="n">
        <v>0</v>
      </c>
      <c r="K538" t="n">
        <v>0</v>
      </c>
      <c r="L538" t="n">
        <v>0</v>
      </c>
      <c r="M538" t="n">
        <v>0</v>
      </c>
      <c r="N538" t="n">
        <v>0</v>
      </c>
      <c r="O538" t="n">
        <v>0</v>
      </c>
      <c r="P538" t="n">
        <v>0</v>
      </c>
      <c r="Q538" t="n">
        <v>0</v>
      </c>
      <c r="R538" s="2" t="inlineStr"/>
    </row>
    <row r="539" ht="15" customHeight="1">
      <c r="A539" t="inlineStr">
        <is>
          <t>A 7950-2025</t>
        </is>
      </c>
      <c r="B539" s="1" t="n">
        <v>45707.41799768519</v>
      </c>
      <c r="C539" s="1" t="n">
        <v>45924</v>
      </c>
      <c r="D539" t="inlineStr">
        <is>
          <t>VÄSTMANLANDS LÄN</t>
        </is>
      </c>
      <c r="E539" t="inlineStr">
        <is>
          <t>SALA</t>
        </is>
      </c>
      <c r="G539" t="n">
        <v>3.2</v>
      </c>
      <c r="H539" t="n">
        <v>0</v>
      </c>
      <c r="I539" t="n">
        <v>0</v>
      </c>
      <c r="J539" t="n">
        <v>0</v>
      </c>
      <c r="K539" t="n">
        <v>0</v>
      </c>
      <c r="L539" t="n">
        <v>0</v>
      </c>
      <c r="M539" t="n">
        <v>0</v>
      </c>
      <c r="N539" t="n">
        <v>0</v>
      </c>
      <c r="O539" t="n">
        <v>0</v>
      </c>
      <c r="P539" t="n">
        <v>0</v>
      </c>
      <c r="Q539" t="n">
        <v>0</v>
      </c>
      <c r="R539" s="2" t="inlineStr"/>
    </row>
    <row r="540" ht="15" customHeight="1">
      <c r="A540" t="inlineStr">
        <is>
          <t>A 50818-2020</t>
        </is>
      </c>
      <c r="B540" s="1" t="n">
        <v>44111</v>
      </c>
      <c r="C540" s="1" t="n">
        <v>45924</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24248-2023</t>
        </is>
      </c>
      <c r="B541" s="1" t="n">
        <v>45079</v>
      </c>
      <c r="C541" s="1" t="n">
        <v>45924</v>
      </c>
      <c r="D541" t="inlineStr">
        <is>
          <t>VÄSTMANLANDS LÄN</t>
        </is>
      </c>
      <c r="E541" t="inlineStr">
        <is>
          <t>SALA</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27657-2023</t>
        </is>
      </c>
      <c r="B542" s="1" t="n">
        <v>45097.76631944445</v>
      </c>
      <c r="C542" s="1" t="n">
        <v>45924</v>
      </c>
      <c r="D542" t="inlineStr">
        <is>
          <t>VÄSTMANLANDS LÄN</t>
        </is>
      </c>
      <c r="E542" t="inlineStr">
        <is>
          <t>SALA</t>
        </is>
      </c>
      <c r="G542" t="n">
        <v>0.1</v>
      </c>
      <c r="H542" t="n">
        <v>0</v>
      </c>
      <c r="I542" t="n">
        <v>0</v>
      </c>
      <c r="J542" t="n">
        <v>0</v>
      </c>
      <c r="K542" t="n">
        <v>0</v>
      </c>
      <c r="L542" t="n">
        <v>0</v>
      </c>
      <c r="M542" t="n">
        <v>0</v>
      </c>
      <c r="N542" t="n">
        <v>0</v>
      </c>
      <c r="O542" t="n">
        <v>0</v>
      </c>
      <c r="P542" t="n">
        <v>0</v>
      </c>
      <c r="Q542" t="n">
        <v>0</v>
      </c>
      <c r="R542" s="2" t="inlineStr"/>
    </row>
    <row r="543" ht="15" customHeight="1">
      <c r="A543" t="inlineStr">
        <is>
          <t>A 13855-2023</t>
        </is>
      </c>
      <c r="B543" s="1" t="n">
        <v>45007</v>
      </c>
      <c r="C543" s="1" t="n">
        <v>45924</v>
      </c>
      <c r="D543" t="inlineStr">
        <is>
          <t>VÄSTMANLANDS LÄN</t>
        </is>
      </c>
      <c r="E543" t="inlineStr">
        <is>
          <t>SALA</t>
        </is>
      </c>
      <c r="G543" t="n">
        <v>2.9</v>
      </c>
      <c r="H543" t="n">
        <v>0</v>
      </c>
      <c r="I543" t="n">
        <v>0</v>
      </c>
      <c r="J543" t="n">
        <v>0</v>
      </c>
      <c r="K543" t="n">
        <v>0</v>
      </c>
      <c r="L543" t="n">
        <v>0</v>
      </c>
      <c r="M543" t="n">
        <v>0</v>
      </c>
      <c r="N543" t="n">
        <v>0</v>
      </c>
      <c r="O543" t="n">
        <v>0</v>
      </c>
      <c r="P543" t="n">
        <v>0</v>
      </c>
      <c r="Q543" t="n">
        <v>0</v>
      </c>
      <c r="R543" s="2" t="inlineStr"/>
    </row>
    <row r="544" ht="15" customHeight="1">
      <c r="A544" t="inlineStr">
        <is>
          <t>A 33309-2022</t>
        </is>
      </c>
      <c r="B544" s="1" t="n">
        <v>44788.40986111111</v>
      </c>
      <c r="C544" s="1" t="n">
        <v>45924</v>
      </c>
      <c r="D544" t="inlineStr">
        <is>
          <t>VÄSTMANLANDS LÄN</t>
        </is>
      </c>
      <c r="E544" t="inlineStr">
        <is>
          <t>SALA</t>
        </is>
      </c>
      <c r="G544" t="n">
        <v>2.6</v>
      </c>
      <c r="H544" t="n">
        <v>0</v>
      </c>
      <c r="I544" t="n">
        <v>0</v>
      </c>
      <c r="J544" t="n">
        <v>0</v>
      </c>
      <c r="K544" t="n">
        <v>0</v>
      </c>
      <c r="L544" t="n">
        <v>0</v>
      </c>
      <c r="M544" t="n">
        <v>0</v>
      </c>
      <c r="N544" t="n">
        <v>0</v>
      </c>
      <c r="O544" t="n">
        <v>0</v>
      </c>
      <c r="P544" t="n">
        <v>0</v>
      </c>
      <c r="Q544" t="n">
        <v>0</v>
      </c>
      <c r="R544" s="2" t="inlineStr"/>
    </row>
    <row r="545" ht="15" customHeight="1">
      <c r="A545" t="inlineStr">
        <is>
          <t>A 47909-2022</t>
        </is>
      </c>
      <c r="B545" s="1" t="n">
        <v>44855</v>
      </c>
      <c r="C545" s="1" t="n">
        <v>45924</v>
      </c>
      <c r="D545" t="inlineStr">
        <is>
          <t>VÄSTMANLANDS LÄN</t>
        </is>
      </c>
      <c r="E545" t="inlineStr">
        <is>
          <t>SALA</t>
        </is>
      </c>
      <c r="F545" t="inlineStr">
        <is>
          <t>Bergvik skog öst AB</t>
        </is>
      </c>
      <c r="G545" t="n">
        <v>2</v>
      </c>
      <c r="H545" t="n">
        <v>0</v>
      </c>
      <c r="I545" t="n">
        <v>0</v>
      </c>
      <c r="J545" t="n">
        <v>0</v>
      </c>
      <c r="K545" t="n">
        <v>0</v>
      </c>
      <c r="L545" t="n">
        <v>0</v>
      </c>
      <c r="M545" t="n">
        <v>0</v>
      </c>
      <c r="N545" t="n">
        <v>0</v>
      </c>
      <c r="O545" t="n">
        <v>0</v>
      </c>
      <c r="P545" t="n">
        <v>0</v>
      </c>
      <c r="Q545" t="n">
        <v>0</v>
      </c>
      <c r="R545" s="2" t="inlineStr"/>
    </row>
    <row r="546" ht="15" customHeight="1">
      <c r="A546" t="inlineStr">
        <is>
          <t>A 10559-2024</t>
        </is>
      </c>
      <c r="B546" s="1" t="n">
        <v>45366</v>
      </c>
      <c r="C546" s="1" t="n">
        <v>45924</v>
      </c>
      <c r="D546" t="inlineStr">
        <is>
          <t>VÄSTMANLANDS LÄN</t>
        </is>
      </c>
      <c r="E546" t="inlineStr">
        <is>
          <t>SALA</t>
        </is>
      </c>
      <c r="G546" t="n">
        <v>0.3</v>
      </c>
      <c r="H546" t="n">
        <v>0</v>
      </c>
      <c r="I546" t="n">
        <v>0</v>
      </c>
      <c r="J546" t="n">
        <v>0</v>
      </c>
      <c r="K546" t="n">
        <v>0</v>
      </c>
      <c r="L546" t="n">
        <v>0</v>
      </c>
      <c r="M546" t="n">
        <v>0</v>
      </c>
      <c r="N546" t="n">
        <v>0</v>
      </c>
      <c r="O546" t="n">
        <v>0</v>
      </c>
      <c r="P546" t="n">
        <v>0</v>
      </c>
      <c r="Q546" t="n">
        <v>0</v>
      </c>
      <c r="R546" s="2" t="inlineStr"/>
    </row>
    <row r="547" ht="15" customHeight="1">
      <c r="A547" t="inlineStr">
        <is>
          <t>A 40214-2023</t>
        </is>
      </c>
      <c r="B547" s="1" t="n">
        <v>45169.45173611111</v>
      </c>
      <c r="C547" s="1" t="n">
        <v>45924</v>
      </c>
      <c r="D547" t="inlineStr">
        <is>
          <t>VÄSTMANLANDS LÄN</t>
        </is>
      </c>
      <c r="E547" t="inlineStr">
        <is>
          <t>SALA</t>
        </is>
      </c>
      <c r="G547" t="n">
        <v>5.5</v>
      </c>
      <c r="H547" t="n">
        <v>0</v>
      </c>
      <c r="I547" t="n">
        <v>0</v>
      </c>
      <c r="J547" t="n">
        <v>0</v>
      </c>
      <c r="K547" t="n">
        <v>0</v>
      </c>
      <c r="L547" t="n">
        <v>0</v>
      </c>
      <c r="M547" t="n">
        <v>0</v>
      </c>
      <c r="N547" t="n">
        <v>0</v>
      </c>
      <c r="O547" t="n">
        <v>0</v>
      </c>
      <c r="P547" t="n">
        <v>0</v>
      </c>
      <c r="Q547" t="n">
        <v>0</v>
      </c>
      <c r="R547" s="2" t="inlineStr"/>
    </row>
    <row r="548" ht="15" customHeight="1">
      <c r="A548" t="inlineStr">
        <is>
          <t>A 9856-2022</t>
        </is>
      </c>
      <c r="B548" s="1" t="n">
        <v>44620</v>
      </c>
      <c r="C548" s="1" t="n">
        <v>45924</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18100-2023</t>
        </is>
      </c>
      <c r="B549" s="1" t="n">
        <v>45040</v>
      </c>
      <c r="C549" s="1" t="n">
        <v>45924</v>
      </c>
      <c r="D549" t="inlineStr">
        <is>
          <t>VÄSTMANLANDS LÄN</t>
        </is>
      </c>
      <c r="E549" t="inlineStr">
        <is>
          <t>SALA</t>
        </is>
      </c>
      <c r="G549" t="n">
        <v>1.8</v>
      </c>
      <c r="H549" t="n">
        <v>0</v>
      </c>
      <c r="I549" t="n">
        <v>0</v>
      </c>
      <c r="J549" t="n">
        <v>0</v>
      </c>
      <c r="K549" t="n">
        <v>0</v>
      </c>
      <c r="L549" t="n">
        <v>0</v>
      </c>
      <c r="M549" t="n">
        <v>0</v>
      </c>
      <c r="N549" t="n">
        <v>0</v>
      </c>
      <c r="O549" t="n">
        <v>0</v>
      </c>
      <c r="P549" t="n">
        <v>0</v>
      </c>
      <c r="Q549" t="n">
        <v>0</v>
      </c>
      <c r="R549" s="2" t="inlineStr"/>
    </row>
    <row r="550" ht="15" customHeight="1">
      <c r="A550" t="inlineStr">
        <is>
          <t>A 23374-2023</t>
        </is>
      </c>
      <c r="B550" s="1" t="n">
        <v>45076.4399537037</v>
      </c>
      <c r="C550" s="1" t="n">
        <v>45924</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15272-2025</t>
        </is>
      </c>
      <c r="B551" s="1" t="n">
        <v>45744</v>
      </c>
      <c r="C551" s="1" t="n">
        <v>45924</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11183-2023</t>
        </is>
      </c>
      <c r="B552" s="1" t="n">
        <v>44992.57782407408</v>
      </c>
      <c r="C552" s="1" t="n">
        <v>45924</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11190-2023</t>
        </is>
      </c>
      <c r="B553" s="1" t="n">
        <v>44992</v>
      </c>
      <c r="C553" s="1" t="n">
        <v>45924</v>
      </c>
      <c r="D553" t="inlineStr">
        <is>
          <t>VÄSTMANLANDS LÄN</t>
        </is>
      </c>
      <c r="E553" t="inlineStr">
        <is>
          <t>SALA</t>
        </is>
      </c>
      <c r="G553" t="n">
        <v>1</v>
      </c>
      <c r="H553" t="n">
        <v>0</v>
      </c>
      <c r="I553" t="n">
        <v>0</v>
      </c>
      <c r="J553" t="n">
        <v>0</v>
      </c>
      <c r="K553" t="n">
        <v>0</v>
      </c>
      <c r="L553" t="n">
        <v>0</v>
      </c>
      <c r="M553" t="n">
        <v>0</v>
      </c>
      <c r="N553" t="n">
        <v>0</v>
      </c>
      <c r="O553" t="n">
        <v>0</v>
      </c>
      <c r="P553" t="n">
        <v>0</v>
      </c>
      <c r="Q553" t="n">
        <v>0</v>
      </c>
      <c r="R553" s="2" t="inlineStr"/>
    </row>
    <row r="554" ht="15" customHeight="1">
      <c r="A554" t="inlineStr">
        <is>
          <t>A 6134-2024</t>
        </is>
      </c>
      <c r="B554" s="1" t="n">
        <v>45337</v>
      </c>
      <c r="C554" s="1" t="n">
        <v>45924</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48117-2024</t>
        </is>
      </c>
      <c r="B555" s="1" t="n">
        <v>45589</v>
      </c>
      <c r="C555" s="1" t="n">
        <v>45924</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53838-2022</t>
        </is>
      </c>
      <c r="B556" s="1" t="n">
        <v>44880.59363425926</v>
      </c>
      <c r="C556" s="1" t="n">
        <v>45924</v>
      </c>
      <c r="D556" t="inlineStr">
        <is>
          <t>VÄSTMANLANDS LÄN</t>
        </is>
      </c>
      <c r="E556" t="inlineStr">
        <is>
          <t>SALA</t>
        </is>
      </c>
      <c r="G556" t="n">
        <v>3.9</v>
      </c>
      <c r="H556" t="n">
        <v>0</v>
      </c>
      <c r="I556" t="n">
        <v>0</v>
      </c>
      <c r="J556" t="n">
        <v>0</v>
      </c>
      <c r="K556" t="n">
        <v>0</v>
      </c>
      <c r="L556" t="n">
        <v>0</v>
      </c>
      <c r="M556" t="n">
        <v>0</v>
      </c>
      <c r="N556" t="n">
        <v>0</v>
      </c>
      <c r="O556" t="n">
        <v>0</v>
      </c>
      <c r="P556" t="n">
        <v>0</v>
      </c>
      <c r="Q556" t="n">
        <v>0</v>
      </c>
      <c r="R556" s="2" t="inlineStr"/>
    </row>
    <row r="557" ht="15" customHeight="1">
      <c r="A557" t="inlineStr">
        <is>
          <t>A 6088-2021</t>
        </is>
      </c>
      <c r="B557" s="1" t="n">
        <v>44232</v>
      </c>
      <c r="C557" s="1" t="n">
        <v>45924</v>
      </c>
      <c r="D557" t="inlineStr">
        <is>
          <t>VÄSTMANLANDS LÄN</t>
        </is>
      </c>
      <c r="E557" t="inlineStr">
        <is>
          <t>SALA</t>
        </is>
      </c>
      <c r="G557" t="n">
        <v>0.2</v>
      </c>
      <c r="H557" t="n">
        <v>0</v>
      </c>
      <c r="I557" t="n">
        <v>0</v>
      </c>
      <c r="J557" t="n">
        <v>0</v>
      </c>
      <c r="K557" t="n">
        <v>0</v>
      </c>
      <c r="L557" t="n">
        <v>0</v>
      </c>
      <c r="M557" t="n">
        <v>0</v>
      </c>
      <c r="N557" t="n">
        <v>0</v>
      </c>
      <c r="O557" t="n">
        <v>0</v>
      </c>
      <c r="P557" t="n">
        <v>0</v>
      </c>
      <c r="Q557" t="n">
        <v>0</v>
      </c>
      <c r="R557" s="2" t="inlineStr"/>
    </row>
    <row r="558" ht="15" customHeight="1">
      <c r="A558" t="inlineStr">
        <is>
          <t>A 53166-2024</t>
        </is>
      </c>
      <c r="B558" s="1" t="n">
        <v>45611</v>
      </c>
      <c r="C558" s="1" t="n">
        <v>45924</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28827-2022</t>
        </is>
      </c>
      <c r="B559" s="1" t="n">
        <v>44749.45561342593</v>
      </c>
      <c r="C559" s="1" t="n">
        <v>45924</v>
      </c>
      <c r="D559" t="inlineStr">
        <is>
          <t>VÄSTMANLANDS LÄN</t>
        </is>
      </c>
      <c r="E559" t="inlineStr">
        <is>
          <t>SALA</t>
        </is>
      </c>
      <c r="F559" t="inlineStr">
        <is>
          <t>Kommuner</t>
        </is>
      </c>
      <c r="G559" t="n">
        <v>11.9</v>
      </c>
      <c r="H559" t="n">
        <v>0</v>
      </c>
      <c r="I559" t="n">
        <v>0</v>
      </c>
      <c r="J559" t="n">
        <v>0</v>
      </c>
      <c r="K559" t="n">
        <v>0</v>
      </c>
      <c r="L559" t="n">
        <v>0</v>
      </c>
      <c r="M559" t="n">
        <v>0</v>
      </c>
      <c r="N559" t="n">
        <v>0</v>
      </c>
      <c r="O559" t="n">
        <v>0</v>
      </c>
      <c r="P559" t="n">
        <v>0</v>
      </c>
      <c r="Q559" t="n">
        <v>0</v>
      </c>
      <c r="R559" s="2" t="inlineStr"/>
    </row>
    <row r="560" ht="15" customHeight="1">
      <c r="A560" t="inlineStr">
        <is>
          <t>A 17866-2025</t>
        </is>
      </c>
      <c r="B560" s="1" t="n">
        <v>45758</v>
      </c>
      <c r="C560" s="1" t="n">
        <v>45924</v>
      </c>
      <c r="D560" t="inlineStr">
        <is>
          <t>VÄSTMANLANDS LÄN</t>
        </is>
      </c>
      <c r="E560" t="inlineStr">
        <is>
          <t>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31082-2021</t>
        </is>
      </c>
      <c r="B561" s="1" t="n">
        <v>44368</v>
      </c>
      <c r="C561" s="1" t="n">
        <v>45924</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54836-2024</t>
        </is>
      </c>
      <c r="B562" s="1" t="n">
        <v>45618</v>
      </c>
      <c r="C562" s="1" t="n">
        <v>45924</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64729-2023</t>
        </is>
      </c>
      <c r="B563" s="1" t="n">
        <v>45281</v>
      </c>
      <c r="C563" s="1" t="n">
        <v>45924</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31470-2021</t>
        </is>
      </c>
      <c r="B564" s="1" t="n">
        <v>44369</v>
      </c>
      <c r="C564" s="1" t="n">
        <v>45924</v>
      </c>
      <c r="D564" t="inlineStr">
        <is>
          <t>VÄSTMANLANDS LÄN</t>
        </is>
      </c>
      <c r="E564" t="inlineStr">
        <is>
          <t>SALA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10585-2022</t>
        </is>
      </c>
      <c r="B565" s="1" t="n">
        <v>44624</v>
      </c>
      <c r="C565" s="1" t="n">
        <v>45924</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22523-2023</t>
        </is>
      </c>
      <c r="B566" s="1" t="n">
        <v>45069</v>
      </c>
      <c r="C566" s="1" t="n">
        <v>45924</v>
      </c>
      <c r="D566" t="inlineStr">
        <is>
          <t>VÄSTMANLANDS LÄN</t>
        </is>
      </c>
      <c r="E566" t="inlineStr">
        <is>
          <t>SALA</t>
        </is>
      </c>
      <c r="G566" t="n">
        <v>2.4</v>
      </c>
      <c r="H566" t="n">
        <v>0</v>
      </c>
      <c r="I566" t="n">
        <v>0</v>
      </c>
      <c r="J566" t="n">
        <v>0</v>
      </c>
      <c r="K566" t="n">
        <v>0</v>
      </c>
      <c r="L566" t="n">
        <v>0</v>
      </c>
      <c r="M566" t="n">
        <v>0</v>
      </c>
      <c r="N566" t="n">
        <v>0</v>
      </c>
      <c r="O566" t="n">
        <v>0</v>
      </c>
      <c r="P566" t="n">
        <v>0</v>
      </c>
      <c r="Q566" t="n">
        <v>0</v>
      </c>
      <c r="R566" s="2" t="inlineStr"/>
    </row>
    <row r="567" ht="15" customHeight="1">
      <c r="A567" t="inlineStr">
        <is>
          <t>A 24175-2024</t>
        </is>
      </c>
      <c r="B567" s="1" t="n">
        <v>45456</v>
      </c>
      <c r="C567" s="1" t="n">
        <v>45924</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31609-2024</t>
        </is>
      </c>
      <c r="B568" s="1" t="n">
        <v>45506</v>
      </c>
      <c r="C568" s="1" t="n">
        <v>45924</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28328-2023</t>
        </is>
      </c>
      <c r="B569" s="1" t="n">
        <v>45099.71063657408</v>
      </c>
      <c r="C569" s="1" t="n">
        <v>45924</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56057-2023</t>
        </is>
      </c>
      <c r="B570" s="1" t="n">
        <v>45233</v>
      </c>
      <c r="C570" s="1" t="n">
        <v>45924</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922-2025</t>
        </is>
      </c>
      <c r="B571" s="1" t="n">
        <v>45665.80069444444</v>
      </c>
      <c r="C571" s="1" t="n">
        <v>45924</v>
      </c>
      <c r="D571" t="inlineStr">
        <is>
          <t>VÄSTMANLANDS LÄN</t>
        </is>
      </c>
      <c r="E571" t="inlineStr">
        <is>
          <t>SALA</t>
        </is>
      </c>
      <c r="G571" t="n">
        <v>6.2</v>
      </c>
      <c r="H571" t="n">
        <v>0</v>
      </c>
      <c r="I571" t="n">
        <v>0</v>
      </c>
      <c r="J571" t="n">
        <v>0</v>
      </c>
      <c r="K571" t="n">
        <v>0</v>
      </c>
      <c r="L571" t="n">
        <v>0</v>
      </c>
      <c r="M571" t="n">
        <v>0</v>
      </c>
      <c r="N571" t="n">
        <v>0</v>
      </c>
      <c r="O571" t="n">
        <v>0</v>
      </c>
      <c r="P571" t="n">
        <v>0</v>
      </c>
      <c r="Q571" t="n">
        <v>0</v>
      </c>
      <c r="R571" s="2" t="inlineStr"/>
    </row>
    <row r="572" ht="15" customHeight="1">
      <c r="A572" t="inlineStr">
        <is>
          <t>A 61715-2024</t>
        </is>
      </c>
      <c r="B572" s="1" t="n">
        <v>45648.89519675926</v>
      </c>
      <c r="C572" s="1" t="n">
        <v>45924</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38195-2021</t>
        </is>
      </c>
      <c r="B573" s="1" t="n">
        <v>44405</v>
      </c>
      <c r="C573" s="1" t="n">
        <v>45924</v>
      </c>
      <c r="D573" t="inlineStr">
        <is>
          <t>VÄSTMANLANDS LÄN</t>
        </is>
      </c>
      <c r="E573" t="inlineStr">
        <is>
          <t>SALA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6132-2025</t>
        </is>
      </c>
      <c r="B574" s="1" t="n">
        <v>45698</v>
      </c>
      <c r="C574" s="1" t="n">
        <v>45924</v>
      </c>
      <c r="D574" t="inlineStr">
        <is>
          <t>VÄSTMANLANDS LÄN</t>
        </is>
      </c>
      <c r="E574" t="inlineStr">
        <is>
          <t>SALA</t>
        </is>
      </c>
      <c r="F574" t="inlineStr">
        <is>
          <t>Bergvik skog öst AB</t>
        </is>
      </c>
      <c r="G574" t="n">
        <v>1.5</v>
      </c>
      <c r="H574" t="n">
        <v>0</v>
      </c>
      <c r="I574" t="n">
        <v>0</v>
      </c>
      <c r="J574" t="n">
        <v>0</v>
      </c>
      <c r="K574" t="n">
        <v>0</v>
      </c>
      <c r="L574" t="n">
        <v>0</v>
      </c>
      <c r="M574" t="n">
        <v>0</v>
      </c>
      <c r="N574" t="n">
        <v>0</v>
      </c>
      <c r="O574" t="n">
        <v>0</v>
      </c>
      <c r="P574" t="n">
        <v>0</v>
      </c>
      <c r="Q574" t="n">
        <v>0</v>
      </c>
      <c r="R574" s="2" t="inlineStr"/>
    </row>
    <row r="575" ht="15" customHeight="1">
      <c r="A575" t="inlineStr">
        <is>
          <t>A 21777-2022</t>
        </is>
      </c>
      <c r="B575" s="1" t="n">
        <v>44708.48194444444</v>
      </c>
      <c r="C575" s="1" t="n">
        <v>45924</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11389-2024</t>
        </is>
      </c>
      <c r="B576" s="1" t="n">
        <v>45372.45016203704</v>
      </c>
      <c r="C576" s="1" t="n">
        <v>45924</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62635-2022</t>
        </is>
      </c>
      <c r="B577" s="1" t="n">
        <v>44917</v>
      </c>
      <c r="C577" s="1" t="n">
        <v>45924</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4852-2023</t>
        </is>
      </c>
      <c r="B578" s="1" t="n">
        <v>44957.72496527778</v>
      </c>
      <c r="C578" s="1" t="n">
        <v>45924</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39714-2023</t>
        </is>
      </c>
      <c r="B579" s="1" t="n">
        <v>45167.62133101852</v>
      </c>
      <c r="C579" s="1" t="n">
        <v>45924</v>
      </c>
      <c r="D579" t="inlineStr">
        <is>
          <t>VÄSTMANLANDS LÄN</t>
        </is>
      </c>
      <c r="E579" t="inlineStr">
        <is>
          <t>SALA</t>
        </is>
      </c>
      <c r="G579" t="n">
        <v>1.3</v>
      </c>
      <c r="H579" t="n">
        <v>0</v>
      </c>
      <c r="I579" t="n">
        <v>0</v>
      </c>
      <c r="J579" t="n">
        <v>0</v>
      </c>
      <c r="K579" t="n">
        <v>0</v>
      </c>
      <c r="L579" t="n">
        <v>0</v>
      </c>
      <c r="M579" t="n">
        <v>0</v>
      </c>
      <c r="N579" t="n">
        <v>0</v>
      </c>
      <c r="O579" t="n">
        <v>0</v>
      </c>
      <c r="P579" t="n">
        <v>0</v>
      </c>
      <c r="Q579" t="n">
        <v>0</v>
      </c>
      <c r="R579" s="2" t="inlineStr"/>
    </row>
    <row r="580" ht="15" customHeight="1">
      <c r="A580" t="inlineStr">
        <is>
          <t>A 54923-2020</t>
        </is>
      </c>
      <c r="B580" s="1" t="n">
        <v>44127</v>
      </c>
      <c r="C580" s="1" t="n">
        <v>45924</v>
      </c>
      <c r="D580" t="inlineStr">
        <is>
          <t>VÄSTMANLANDS LÄN</t>
        </is>
      </c>
      <c r="E580" t="inlineStr">
        <is>
          <t>SALA</t>
        </is>
      </c>
      <c r="G580" t="n">
        <v>4.9</v>
      </c>
      <c r="H580" t="n">
        <v>0</v>
      </c>
      <c r="I580" t="n">
        <v>0</v>
      </c>
      <c r="J580" t="n">
        <v>0</v>
      </c>
      <c r="K580" t="n">
        <v>0</v>
      </c>
      <c r="L580" t="n">
        <v>0</v>
      </c>
      <c r="M580" t="n">
        <v>0</v>
      </c>
      <c r="N580" t="n">
        <v>0</v>
      </c>
      <c r="O580" t="n">
        <v>0</v>
      </c>
      <c r="P580" t="n">
        <v>0</v>
      </c>
      <c r="Q580" t="n">
        <v>0</v>
      </c>
      <c r="R580" s="2" t="inlineStr"/>
    </row>
    <row r="581" ht="15" customHeight="1">
      <c r="A581" t="inlineStr">
        <is>
          <t>A 2925-2024</t>
        </is>
      </c>
      <c r="B581" s="1" t="n">
        <v>45315.58909722222</v>
      </c>
      <c r="C581" s="1" t="n">
        <v>45924</v>
      </c>
      <c r="D581" t="inlineStr">
        <is>
          <t>VÄSTMANLANDS LÄN</t>
        </is>
      </c>
      <c r="E581" t="inlineStr">
        <is>
          <t>SALA</t>
        </is>
      </c>
      <c r="G581" t="n">
        <v>1.3</v>
      </c>
      <c r="H581" t="n">
        <v>0</v>
      </c>
      <c r="I581" t="n">
        <v>0</v>
      </c>
      <c r="J581" t="n">
        <v>0</v>
      </c>
      <c r="K581" t="n">
        <v>0</v>
      </c>
      <c r="L581" t="n">
        <v>0</v>
      </c>
      <c r="M581" t="n">
        <v>0</v>
      </c>
      <c r="N581" t="n">
        <v>0</v>
      </c>
      <c r="O581" t="n">
        <v>0</v>
      </c>
      <c r="P581" t="n">
        <v>0</v>
      </c>
      <c r="Q581" t="n">
        <v>0</v>
      </c>
      <c r="R581" s="2" t="inlineStr"/>
    </row>
    <row r="582" ht="15" customHeight="1">
      <c r="A582" t="inlineStr">
        <is>
          <t>A 42984-2023</t>
        </is>
      </c>
      <c r="B582" s="1" t="n">
        <v>45179</v>
      </c>
      <c r="C582" s="1" t="n">
        <v>45924</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38636-2024</t>
        </is>
      </c>
      <c r="B583" s="1" t="n">
        <v>45546</v>
      </c>
      <c r="C583" s="1" t="n">
        <v>45924</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39439-2021</t>
        </is>
      </c>
      <c r="B584" s="1" t="n">
        <v>44414</v>
      </c>
      <c r="C584" s="1" t="n">
        <v>45924</v>
      </c>
      <c r="D584" t="inlineStr">
        <is>
          <t>VÄSTMANLANDS LÄN</t>
        </is>
      </c>
      <c r="E584" t="inlineStr">
        <is>
          <t>SALA</t>
        </is>
      </c>
      <c r="G584" t="n">
        <v>1.1</v>
      </c>
      <c r="H584" t="n">
        <v>0</v>
      </c>
      <c r="I584" t="n">
        <v>0</v>
      </c>
      <c r="J584" t="n">
        <v>0</v>
      </c>
      <c r="K584" t="n">
        <v>0</v>
      </c>
      <c r="L584" t="n">
        <v>0</v>
      </c>
      <c r="M584" t="n">
        <v>0</v>
      </c>
      <c r="N584" t="n">
        <v>0</v>
      </c>
      <c r="O584" t="n">
        <v>0</v>
      </c>
      <c r="P584" t="n">
        <v>0</v>
      </c>
      <c r="Q584" t="n">
        <v>0</v>
      </c>
      <c r="R584" s="2" t="inlineStr"/>
    </row>
    <row r="585" ht="15" customHeight="1">
      <c r="A585" t="inlineStr">
        <is>
          <t>A 56535-2022</t>
        </is>
      </c>
      <c r="B585" s="1" t="n">
        <v>44893.47173611111</v>
      </c>
      <c r="C585" s="1" t="n">
        <v>45924</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3332-2024</t>
        </is>
      </c>
      <c r="B586" s="1" t="n">
        <v>45317</v>
      </c>
      <c r="C586" s="1" t="n">
        <v>45924</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2529-2022</t>
        </is>
      </c>
      <c r="B587" s="1" t="n">
        <v>44579.86452546297</v>
      </c>
      <c r="C587" s="1" t="n">
        <v>45924</v>
      </c>
      <c r="D587" t="inlineStr">
        <is>
          <t>VÄSTMANLANDS LÄN</t>
        </is>
      </c>
      <c r="E587" t="inlineStr">
        <is>
          <t>SALA</t>
        </is>
      </c>
      <c r="G587" t="n">
        <v>1.7</v>
      </c>
      <c r="H587" t="n">
        <v>0</v>
      </c>
      <c r="I587" t="n">
        <v>0</v>
      </c>
      <c r="J587" t="n">
        <v>0</v>
      </c>
      <c r="K587" t="n">
        <v>0</v>
      </c>
      <c r="L587" t="n">
        <v>0</v>
      </c>
      <c r="M587" t="n">
        <v>0</v>
      </c>
      <c r="N587" t="n">
        <v>0</v>
      </c>
      <c r="O587" t="n">
        <v>0</v>
      </c>
      <c r="P587" t="n">
        <v>0</v>
      </c>
      <c r="Q587" t="n">
        <v>0</v>
      </c>
      <c r="R587" s="2" t="inlineStr"/>
    </row>
    <row r="588" ht="15" customHeight="1">
      <c r="A588" t="inlineStr">
        <is>
          <t>A 60550-2024</t>
        </is>
      </c>
      <c r="B588" s="1" t="n">
        <v>45643</v>
      </c>
      <c r="C588" s="1" t="n">
        <v>45924</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13746-2025</t>
        </is>
      </c>
      <c r="B589" s="1" t="n">
        <v>45737.40944444444</v>
      </c>
      <c r="C589" s="1" t="n">
        <v>45924</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29230-2022</t>
        </is>
      </c>
      <c r="B590" s="1" t="n">
        <v>44750</v>
      </c>
      <c r="C590" s="1" t="n">
        <v>45924</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13471-2025</t>
        </is>
      </c>
      <c r="B591" s="1" t="n">
        <v>45736.40579861111</v>
      </c>
      <c r="C591" s="1" t="n">
        <v>45924</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59175-2022</t>
        </is>
      </c>
      <c r="B592" s="1" t="n">
        <v>44904.48502314815</v>
      </c>
      <c r="C592" s="1" t="n">
        <v>45924</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19381-2025</t>
        </is>
      </c>
      <c r="B593" s="1" t="n">
        <v>45769</v>
      </c>
      <c r="C593" s="1" t="n">
        <v>45924</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15681-2025</t>
        </is>
      </c>
      <c r="B594" s="1" t="n">
        <v>45748.45454861111</v>
      </c>
      <c r="C594" s="1" t="n">
        <v>45924</v>
      </c>
      <c r="D594" t="inlineStr">
        <is>
          <t>VÄSTMANLANDS LÄN</t>
        </is>
      </c>
      <c r="E594" t="inlineStr">
        <is>
          <t>SALA</t>
        </is>
      </c>
      <c r="F594" t="inlineStr">
        <is>
          <t>Bergvik skog öst AB</t>
        </is>
      </c>
      <c r="G594" t="n">
        <v>4.3</v>
      </c>
      <c r="H594" t="n">
        <v>0</v>
      </c>
      <c r="I594" t="n">
        <v>0</v>
      </c>
      <c r="J594" t="n">
        <v>0</v>
      </c>
      <c r="K594" t="n">
        <v>0</v>
      </c>
      <c r="L594" t="n">
        <v>0</v>
      </c>
      <c r="M594" t="n">
        <v>0</v>
      </c>
      <c r="N594" t="n">
        <v>0</v>
      </c>
      <c r="O594" t="n">
        <v>0</v>
      </c>
      <c r="P594" t="n">
        <v>0</v>
      </c>
      <c r="Q594" t="n">
        <v>0</v>
      </c>
      <c r="R594" s="2" t="inlineStr"/>
    </row>
    <row r="595" ht="15" customHeight="1">
      <c r="A595" t="inlineStr">
        <is>
          <t>A 18431-2023</t>
        </is>
      </c>
      <c r="B595" s="1" t="n">
        <v>45042</v>
      </c>
      <c r="C595" s="1" t="n">
        <v>45924</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42938-2023</t>
        </is>
      </c>
      <c r="B596" s="1" t="n">
        <v>45179</v>
      </c>
      <c r="C596" s="1" t="n">
        <v>45924</v>
      </c>
      <c r="D596" t="inlineStr">
        <is>
          <t>VÄSTMANLANDS LÄN</t>
        </is>
      </c>
      <c r="E596" t="inlineStr">
        <is>
          <t>SALA</t>
        </is>
      </c>
      <c r="G596" t="n">
        <v>10.9</v>
      </c>
      <c r="H596" t="n">
        <v>0</v>
      </c>
      <c r="I596" t="n">
        <v>0</v>
      </c>
      <c r="J596" t="n">
        <v>0</v>
      </c>
      <c r="K596" t="n">
        <v>0</v>
      </c>
      <c r="L596" t="n">
        <v>0</v>
      </c>
      <c r="M596" t="n">
        <v>0</v>
      </c>
      <c r="N596" t="n">
        <v>0</v>
      </c>
      <c r="O596" t="n">
        <v>0</v>
      </c>
      <c r="P596" t="n">
        <v>0</v>
      </c>
      <c r="Q596" t="n">
        <v>0</v>
      </c>
      <c r="R596" s="2" t="inlineStr"/>
    </row>
    <row r="597" ht="15" customHeight="1">
      <c r="A597" t="inlineStr">
        <is>
          <t>A 27424-2023</t>
        </is>
      </c>
      <c r="B597" s="1" t="n">
        <v>45097.37690972222</v>
      </c>
      <c r="C597" s="1" t="n">
        <v>45924</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19222-2025</t>
        </is>
      </c>
      <c r="B598" s="1" t="n">
        <v>45769</v>
      </c>
      <c r="C598" s="1" t="n">
        <v>45924</v>
      </c>
      <c r="D598" t="inlineStr">
        <is>
          <t>VÄSTMANLANDS LÄN</t>
        </is>
      </c>
      <c r="E598" t="inlineStr">
        <is>
          <t>SALA</t>
        </is>
      </c>
      <c r="G598" t="n">
        <v>1.8</v>
      </c>
      <c r="H598" t="n">
        <v>0</v>
      </c>
      <c r="I598" t="n">
        <v>0</v>
      </c>
      <c r="J598" t="n">
        <v>0</v>
      </c>
      <c r="K598" t="n">
        <v>0</v>
      </c>
      <c r="L598" t="n">
        <v>0</v>
      </c>
      <c r="M598" t="n">
        <v>0</v>
      </c>
      <c r="N598" t="n">
        <v>0</v>
      </c>
      <c r="O598" t="n">
        <v>0</v>
      </c>
      <c r="P598" t="n">
        <v>0</v>
      </c>
      <c r="Q598" t="n">
        <v>0</v>
      </c>
      <c r="R598" s="2" t="inlineStr"/>
    </row>
    <row r="599" ht="15" customHeight="1">
      <c r="A599" t="inlineStr">
        <is>
          <t>A 19241-2025</t>
        </is>
      </c>
      <c r="B599" s="1" t="n">
        <v>45769</v>
      </c>
      <c r="C599" s="1" t="n">
        <v>45924</v>
      </c>
      <c r="D599" t="inlineStr">
        <is>
          <t>VÄSTMANLANDS LÄN</t>
        </is>
      </c>
      <c r="E599" t="inlineStr">
        <is>
          <t>SALA</t>
        </is>
      </c>
      <c r="G599" t="n">
        <v>3.6</v>
      </c>
      <c r="H599" t="n">
        <v>0</v>
      </c>
      <c r="I599" t="n">
        <v>0</v>
      </c>
      <c r="J599" t="n">
        <v>0</v>
      </c>
      <c r="K599" t="n">
        <v>0</v>
      </c>
      <c r="L599" t="n">
        <v>0</v>
      </c>
      <c r="M599" t="n">
        <v>0</v>
      </c>
      <c r="N599" t="n">
        <v>0</v>
      </c>
      <c r="O599" t="n">
        <v>0</v>
      </c>
      <c r="P599" t="n">
        <v>0</v>
      </c>
      <c r="Q599" t="n">
        <v>0</v>
      </c>
      <c r="R599" s="2" t="inlineStr"/>
    </row>
    <row r="600" ht="15" customHeight="1">
      <c r="A600" t="inlineStr">
        <is>
          <t>A 58701-2021</t>
        </is>
      </c>
      <c r="B600" s="1" t="n">
        <v>44489.46454861111</v>
      </c>
      <c r="C600" s="1" t="n">
        <v>45924</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60823-2024</t>
        </is>
      </c>
      <c r="B601" s="1" t="n">
        <v>45644</v>
      </c>
      <c r="C601" s="1" t="n">
        <v>45924</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11244-2024</t>
        </is>
      </c>
      <c r="B602" s="1" t="n">
        <v>45371</v>
      </c>
      <c r="C602" s="1" t="n">
        <v>45924</v>
      </c>
      <c r="D602" t="inlineStr">
        <is>
          <t>VÄSTMANLANDS LÄN</t>
        </is>
      </c>
      <c r="E602" t="inlineStr">
        <is>
          <t>SALA</t>
        </is>
      </c>
      <c r="G602" t="n">
        <v>1.2</v>
      </c>
      <c r="H602" t="n">
        <v>0</v>
      </c>
      <c r="I602" t="n">
        <v>0</v>
      </c>
      <c r="J602" t="n">
        <v>0</v>
      </c>
      <c r="K602" t="n">
        <v>0</v>
      </c>
      <c r="L602" t="n">
        <v>0</v>
      </c>
      <c r="M602" t="n">
        <v>0</v>
      </c>
      <c r="N602" t="n">
        <v>0</v>
      </c>
      <c r="O602" t="n">
        <v>0</v>
      </c>
      <c r="P602" t="n">
        <v>0</v>
      </c>
      <c r="Q602" t="n">
        <v>0</v>
      </c>
      <c r="R602" s="2" t="inlineStr"/>
    </row>
    <row r="603" ht="15" customHeight="1">
      <c r="A603" t="inlineStr">
        <is>
          <t>A 12225-2023</t>
        </is>
      </c>
      <c r="B603" s="1" t="n">
        <v>44995</v>
      </c>
      <c r="C603" s="1" t="n">
        <v>45924</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61681-2024</t>
        </is>
      </c>
      <c r="B604" s="1" t="n">
        <v>45647</v>
      </c>
      <c r="C604" s="1" t="n">
        <v>45924</v>
      </c>
      <c r="D604" t="inlineStr">
        <is>
          <t>VÄSTMANLANDS LÄN</t>
        </is>
      </c>
      <c r="E604" t="inlineStr">
        <is>
          <t>SALA</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61874-2021</t>
        </is>
      </c>
      <c r="B605" s="1" t="n">
        <v>44502</v>
      </c>
      <c r="C605" s="1" t="n">
        <v>45924</v>
      </c>
      <c r="D605" t="inlineStr">
        <is>
          <t>VÄSTMANLANDS LÄN</t>
        </is>
      </c>
      <c r="E605" t="inlineStr">
        <is>
          <t>SALA</t>
        </is>
      </c>
      <c r="F605" t="inlineStr">
        <is>
          <t>Kyrkan</t>
        </is>
      </c>
      <c r="G605" t="n">
        <v>1.3</v>
      </c>
      <c r="H605" t="n">
        <v>0</v>
      </c>
      <c r="I605" t="n">
        <v>0</v>
      </c>
      <c r="J605" t="n">
        <v>0</v>
      </c>
      <c r="K605" t="n">
        <v>0</v>
      </c>
      <c r="L605" t="n">
        <v>0</v>
      </c>
      <c r="M605" t="n">
        <v>0</v>
      </c>
      <c r="N605" t="n">
        <v>0</v>
      </c>
      <c r="O605" t="n">
        <v>0</v>
      </c>
      <c r="P605" t="n">
        <v>0</v>
      </c>
      <c r="Q605" t="n">
        <v>0</v>
      </c>
      <c r="R605" s="2" t="inlineStr"/>
    </row>
    <row r="606" ht="15" customHeight="1">
      <c r="A606" t="inlineStr">
        <is>
          <t>A 62651-2022</t>
        </is>
      </c>
      <c r="B606" s="1" t="n">
        <v>44917</v>
      </c>
      <c r="C606" s="1" t="n">
        <v>45924</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15968-2024</t>
        </is>
      </c>
      <c r="B607" s="1" t="n">
        <v>45405.56021990741</v>
      </c>
      <c r="C607" s="1" t="n">
        <v>45924</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60730-2023</t>
        </is>
      </c>
      <c r="B608" s="1" t="n">
        <v>45260</v>
      </c>
      <c r="C608" s="1" t="n">
        <v>45924</v>
      </c>
      <c r="D608" t="inlineStr">
        <is>
          <t>VÄSTMANLANDS LÄN</t>
        </is>
      </c>
      <c r="E608" t="inlineStr">
        <is>
          <t>SALA</t>
        </is>
      </c>
      <c r="G608" t="n">
        <v>1.3</v>
      </c>
      <c r="H608" t="n">
        <v>0</v>
      </c>
      <c r="I608" t="n">
        <v>0</v>
      </c>
      <c r="J608" t="n">
        <v>0</v>
      </c>
      <c r="K608" t="n">
        <v>0</v>
      </c>
      <c r="L608" t="n">
        <v>0</v>
      </c>
      <c r="M608" t="n">
        <v>0</v>
      </c>
      <c r="N608" t="n">
        <v>0</v>
      </c>
      <c r="O608" t="n">
        <v>0</v>
      </c>
      <c r="P608" t="n">
        <v>0</v>
      </c>
      <c r="Q608" t="n">
        <v>0</v>
      </c>
      <c r="R608" s="2" t="inlineStr"/>
    </row>
    <row r="609" ht="15" customHeight="1">
      <c r="A609" t="inlineStr">
        <is>
          <t>A 60731-2023</t>
        </is>
      </c>
      <c r="B609" s="1" t="n">
        <v>45260</v>
      </c>
      <c r="C609" s="1" t="n">
        <v>45924</v>
      </c>
      <c r="D609" t="inlineStr">
        <is>
          <t>VÄSTMANLANDS LÄN</t>
        </is>
      </c>
      <c r="E609" t="inlineStr">
        <is>
          <t>SALA</t>
        </is>
      </c>
      <c r="G609" t="n">
        <v>1</v>
      </c>
      <c r="H609" t="n">
        <v>0</v>
      </c>
      <c r="I609" t="n">
        <v>0</v>
      </c>
      <c r="J609" t="n">
        <v>0</v>
      </c>
      <c r="K609" t="n">
        <v>0</v>
      </c>
      <c r="L609" t="n">
        <v>0</v>
      </c>
      <c r="M609" t="n">
        <v>0</v>
      </c>
      <c r="N609" t="n">
        <v>0</v>
      </c>
      <c r="O609" t="n">
        <v>0</v>
      </c>
      <c r="P609" t="n">
        <v>0</v>
      </c>
      <c r="Q609" t="n">
        <v>0</v>
      </c>
      <c r="R609" s="2" t="inlineStr"/>
    </row>
    <row r="610" ht="15" customHeight="1">
      <c r="A610" t="inlineStr">
        <is>
          <t>A 49661-2024</t>
        </is>
      </c>
      <c r="B610" s="1" t="n">
        <v>45596</v>
      </c>
      <c r="C610" s="1" t="n">
        <v>45924</v>
      </c>
      <c r="D610" t="inlineStr">
        <is>
          <t>VÄSTMANLANDS LÄN</t>
        </is>
      </c>
      <c r="E610" t="inlineStr">
        <is>
          <t>SALA</t>
        </is>
      </c>
      <c r="G610" t="n">
        <v>6.7</v>
      </c>
      <c r="H610" t="n">
        <v>0</v>
      </c>
      <c r="I610" t="n">
        <v>0</v>
      </c>
      <c r="J610" t="n">
        <v>0</v>
      </c>
      <c r="K610" t="n">
        <v>0</v>
      </c>
      <c r="L610" t="n">
        <v>0</v>
      </c>
      <c r="M610" t="n">
        <v>0</v>
      </c>
      <c r="N610" t="n">
        <v>0</v>
      </c>
      <c r="O610" t="n">
        <v>0</v>
      </c>
      <c r="P610" t="n">
        <v>0</v>
      </c>
      <c r="Q610" t="n">
        <v>0</v>
      </c>
      <c r="R610" s="2" t="inlineStr"/>
    </row>
    <row r="611" ht="15" customHeight="1">
      <c r="A611" t="inlineStr">
        <is>
          <t>A 59297-2023</t>
        </is>
      </c>
      <c r="B611" s="1" t="n">
        <v>45253</v>
      </c>
      <c r="C611" s="1" t="n">
        <v>45924</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18461-2024</t>
        </is>
      </c>
      <c r="B612" s="1" t="n">
        <v>45425.47435185185</v>
      </c>
      <c r="C612" s="1" t="n">
        <v>45924</v>
      </c>
      <c r="D612" t="inlineStr">
        <is>
          <t>VÄSTMANLANDS LÄN</t>
        </is>
      </c>
      <c r="E612" t="inlineStr">
        <is>
          <t>SALA</t>
        </is>
      </c>
      <c r="G612" t="n">
        <v>1.7</v>
      </c>
      <c r="H612" t="n">
        <v>0</v>
      </c>
      <c r="I612" t="n">
        <v>0</v>
      </c>
      <c r="J612" t="n">
        <v>0</v>
      </c>
      <c r="K612" t="n">
        <v>0</v>
      </c>
      <c r="L612" t="n">
        <v>0</v>
      </c>
      <c r="M612" t="n">
        <v>0</v>
      </c>
      <c r="N612" t="n">
        <v>0</v>
      </c>
      <c r="O612" t="n">
        <v>0</v>
      </c>
      <c r="P612" t="n">
        <v>0</v>
      </c>
      <c r="Q612" t="n">
        <v>0</v>
      </c>
      <c r="R612" s="2" t="inlineStr"/>
    </row>
    <row r="613" ht="15" customHeight="1">
      <c r="A613" t="inlineStr">
        <is>
          <t>A 4663-2022</t>
        </is>
      </c>
      <c r="B613" s="1" t="n">
        <v>44592.45429398148</v>
      </c>
      <c r="C613" s="1" t="n">
        <v>45924</v>
      </c>
      <c r="D613" t="inlineStr">
        <is>
          <t>VÄSTMANLANDS LÄN</t>
        </is>
      </c>
      <c r="E613" t="inlineStr">
        <is>
          <t>SALA</t>
        </is>
      </c>
      <c r="G613" t="n">
        <v>2.5</v>
      </c>
      <c r="H613" t="n">
        <v>0</v>
      </c>
      <c r="I613" t="n">
        <v>0</v>
      </c>
      <c r="J613" t="n">
        <v>0</v>
      </c>
      <c r="K613" t="n">
        <v>0</v>
      </c>
      <c r="L613" t="n">
        <v>0</v>
      </c>
      <c r="M613" t="n">
        <v>0</v>
      </c>
      <c r="N613" t="n">
        <v>0</v>
      </c>
      <c r="O613" t="n">
        <v>0</v>
      </c>
      <c r="P613" t="n">
        <v>0</v>
      </c>
      <c r="Q613" t="n">
        <v>0</v>
      </c>
      <c r="R613" s="2" t="inlineStr"/>
    </row>
    <row r="614" ht="15" customHeight="1">
      <c r="A614" t="inlineStr">
        <is>
          <t>A 15965-2024</t>
        </is>
      </c>
      <c r="B614" s="1" t="n">
        <v>45405.55740740741</v>
      </c>
      <c r="C614" s="1" t="n">
        <v>45924</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6032-2025</t>
        </is>
      </c>
      <c r="B615" s="1" t="n">
        <v>45695.6371875</v>
      </c>
      <c r="C615" s="1" t="n">
        <v>45924</v>
      </c>
      <c r="D615" t="inlineStr">
        <is>
          <t>VÄSTMANLANDS LÄN</t>
        </is>
      </c>
      <c r="E615" t="inlineStr">
        <is>
          <t>SALA</t>
        </is>
      </c>
      <c r="F615" t="inlineStr">
        <is>
          <t>Bergvik skog öst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23180-2022</t>
        </is>
      </c>
      <c r="B616" s="1" t="n">
        <v>44719.79344907407</v>
      </c>
      <c r="C616" s="1" t="n">
        <v>45924</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21455-2023</t>
        </is>
      </c>
      <c r="B617" s="1" t="n">
        <v>45058</v>
      </c>
      <c r="C617" s="1" t="n">
        <v>45924</v>
      </c>
      <c r="D617" t="inlineStr">
        <is>
          <t>VÄSTMANLANDS LÄN</t>
        </is>
      </c>
      <c r="E617" t="inlineStr">
        <is>
          <t>SALA</t>
        </is>
      </c>
      <c r="G617" t="n">
        <v>6.4</v>
      </c>
      <c r="H617" t="n">
        <v>0</v>
      </c>
      <c r="I617" t="n">
        <v>0</v>
      </c>
      <c r="J617" t="n">
        <v>0</v>
      </c>
      <c r="K617" t="n">
        <v>0</v>
      </c>
      <c r="L617" t="n">
        <v>0</v>
      </c>
      <c r="M617" t="n">
        <v>0</v>
      </c>
      <c r="N617" t="n">
        <v>0</v>
      </c>
      <c r="O617" t="n">
        <v>0</v>
      </c>
      <c r="P617" t="n">
        <v>0</v>
      </c>
      <c r="Q617" t="n">
        <v>0</v>
      </c>
      <c r="R617" s="2" t="inlineStr"/>
    </row>
    <row r="618" ht="15" customHeight="1">
      <c r="A618" t="inlineStr">
        <is>
          <t>A 2766-2024</t>
        </is>
      </c>
      <c r="B618" s="1" t="n">
        <v>45314.60950231482</v>
      </c>
      <c r="C618" s="1" t="n">
        <v>45924</v>
      </c>
      <c r="D618" t="inlineStr">
        <is>
          <t>VÄSTMANLANDS LÄN</t>
        </is>
      </c>
      <c r="E618" t="inlineStr">
        <is>
          <t>SALA</t>
        </is>
      </c>
      <c r="G618" t="n">
        <v>2.8</v>
      </c>
      <c r="H618" t="n">
        <v>0</v>
      </c>
      <c r="I618" t="n">
        <v>0</v>
      </c>
      <c r="J618" t="n">
        <v>0</v>
      </c>
      <c r="K618" t="n">
        <v>0</v>
      </c>
      <c r="L618" t="n">
        <v>0</v>
      </c>
      <c r="M618" t="n">
        <v>0</v>
      </c>
      <c r="N618" t="n">
        <v>0</v>
      </c>
      <c r="O618" t="n">
        <v>0</v>
      </c>
      <c r="P618" t="n">
        <v>0</v>
      </c>
      <c r="Q618" t="n">
        <v>0</v>
      </c>
      <c r="R618" s="2" t="inlineStr"/>
    </row>
    <row r="619" ht="15" customHeight="1">
      <c r="A619" t="inlineStr">
        <is>
          <t>A 6351-2023</t>
        </is>
      </c>
      <c r="B619" s="1" t="n">
        <v>44965</v>
      </c>
      <c r="C619" s="1" t="n">
        <v>45924</v>
      </c>
      <c r="D619" t="inlineStr">
        <is>
          <t>VÄSTMANLANDS LÄN</t>
        </is>
      </c>
      <c r="E619" t="inlineStr">
        <is>
          <t>SALA</t>
        </is>
      </c>
      <c r="F619" t="inlineStr">
        <is>
          <t>Kommuner</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45187-2024</t>
        </is>
      </c>
      <c r="B620" s="1" t="n">
        <v>45575</v>
      </c>
      <c r="C620" s="1" t="n">
        <v>45924</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21053-2022</t>
        </is>
      </c>
      <c r="B621" s="1" t="n">
        <v>44704</v>
      </c>
      <c r="C621" s="1" t="n">
        <v>45924</v>
      </c>
      <c r="D621" t="inlineStr">
        <is>
          <t>VÄSTMANLANDS LÄN</t>
        </is>
      </c>
      <c r="E621" t="inlineStr">
        <is>
          <t>SALA</t>
        </is>
      </c>
      <c r="G621" t="n">
        <v>2</v>
      </c>
      <c r="H621" t="n">
        <v>0</v>
      </c>
      <c r="I621" t="n">
        <v>0</v>
      </c>
      <c r="J621" t="n">
        <v>0</v>
      </c>
      <c r="K621" t="n">
        <v>0</v>
      </c>
      <c r="L621" t="n">
        <v>0</v>
      </c>
      <c r="M621" t="n">
        <v>0</v>
      </c>
      <c r="N621" t="n">
        <v>0</v>
      </c>
      <c r="O621" t="n">
        <v>0</v>
      </c>
      <c r="P621" t="n">
        <v>0</v>
      </c>
      <c r="Q621" t="n">
        <v>0</v>
      </c>
      <c r="R621" s="2" t="inlineStr"/>
    </row>
    <row r="622" ht="15" customHeight="1">
      <c r="A622" t="inlineStr">
        <is>
          <t>A 33527-2023</t>
        </is>
      </c>
      <c r="B622" s="1" t="n">
        <v>45131</v>
      </c>
      <c r="C622" s="1" t="n">
        <v>45924</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7377-2023</t>
        </is>
      </c>
      <c r="B623" s="1" t="n">
        <v>44971</v>
      </c>
      <c r="C623" s="1" t="n">
        <v>45924</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6308-2021</t>
        </is>
      </c>
      <c r="B624" s="1" t="n">
        <v>44235</v>
      </c>
      <c r="C624" s="1" t="n">
        <v>45924</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11927-2025</t>
        </is>
      </c>
      <c r="B625" s="1" t="n">
        <v>45728.5137962963</v>
      </c>
      <c r="C625" s="1" t="n">
        <v>45924</v>
      </c>
      <c r="D625" t="inlineStr">
        <is>
          <t>VÄSTMANLANDS LÄN</t>
        </is>
      </c>
      <c r="E625" t="inlineStr">
        <is>
          <t>SALA</t>
        </is>
      </c>
      <c r="G625" t="n">
        <v>0.7</v>
      </c>
      <c r="H625" t="n">
        <v>0</v>
      </c>
      <c r="I625" t="n">
        <v>0</v>
      </c>
      <c r="J625" t="n">
        <v>0</v>
      </c>
      <c r="K625" t="n">
        <v>0</v>
      </c>
      <c r="L625" t="n">
        <v>0</v>
      </c>
      <c r="M625" t="n">
        <v>0</v>
      </c>
      <c r="N625" t="n">
        <v>0</v>
      </c>
      <c r="O625" t="n">
        <v>0</v>
      </c>
      <c r="P625" t="n">
        <v>0</v>
      </c>
      <c r="Q625" t="n">
        <v>0</v>
      </c>
      <c r="R625" s="2" t="inlineStr"/>
    </row>
    <row r="626" ht="15" customHeight="1">
      <c r="A626" t="inlineStr">
        <is>
          <t>A 21159-2022</t>
        </is>
      </c>
      <c r="B626" s="1" t="n">
        <v>44704</v>
      </c>
      <c r="C626" s="1" t="n">
        <v>45924</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50876-2023</t>
        </is>
      </c>
      <c r="B627" s="1" t="n">
        <v>45211</v>
      </c>
      <c r="C627" s="1" t="n">
        <v>45924</v>
      </c>
      <c r="D627" t="inlineStr">
        <is>
          <t>VÄSTMANLANDS LÄN</t>
        </is>
      </c>
      <c r="E627" t="inlineStr">
        <is>
          <t>SALA</t>
        </is>
      </c>
      <c r="G627" t="n">
        <v>1.9</v>
      </c>
      <c r="H627" t="n">
        <v>0</v>
      </c>
      <c r="I627" t="n">
        <v>0</v>
      </c>
      <c r="J627" t="n">
        <v>0</v>
      </c>
      <c r="K627" t="n">
        <v>0</v>
      </c>
      <c r="L627" t="n">
        <v>0</v>
      </c>
      <c r="M627" t="n">
        <v>0</v>
      </c>
      <c r="N627" t="n">
        <v>0</v>
      </c>
      <c r="O627" t="n">
        <v>0</v>
      </c>
      <c r="P627" t="n">
        <v>0</v>
      </c>
      <c r="Q627" t="n">
        <v>0</v>
      </c>
      <c r="R627" s="2" t="inlineStr"/>
    </row>
    <row r="628" ht="15" customHeight="1">
      <c r="A628" t="inlineStr">
        <is>
          <t>A 56688-2024</t>
        </is>
      </c>
      <c r="B628" s="1" t="n">
        <v>45627.66478009259</v>
      </c>
      <c r="C628" s="1" t="n">
        <v>45924</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10255-2024</t>
        </is>
      </c>
      <c r="B629" s="1" t="n">
        <v>45365</v>
      </c>
      <c r="C629" s="1" t="n">
        <v>45924</v>
      </c>
      <c r="D629" t="inlineStr">
        <is>
          <t>VÄSTMANLANDS LÄN</t>
        </is>
      </c>
      <c r="E629" t="inlineStr">
        <is>
          <t>SALA</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62648-2022</t>
        </is>
      </c>
      <c r="B630" s="1" t="n">
        <v>44917</v>
      </c>
      <c r="C630" s="1" t="n">
        <v>45924</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16159-2024</t>
        </is>
      </c>
      <c r="B631" s="1" t="n">
        <v>45406</v>
      </c>
      <c r="C631" s="1" t="n">
        <v>45924</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56548-2024</t>
        </is>
      </c>
      <c r="B632" s="1" t="n">
        <v>45625</v>
      </c>
      <c r="C632" s="1" t="n">
        <v>45924</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5477-2024</t>
        </is>
      </c>
      <c r="B633" s="1" t="n">
        <v>45333.67833333334</v>
      </c>
      <c r="C633" s="1" t="n">
        <v>45924</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39451-2022</t>
        </is>
      </c>
      <c r="B634" s="1" t="n">
        <v>44818.36606481481</v>
      </c>
      <c r="C634" s="1" t="n">
        <v>45924</v>
      </c>
      <c r="D634" t="inlineStr">
        <is>
          <t>VÄSTMANLANDS LÄN</t>
        </is>
      </c>
      <c r="E634" t="inlineStr">
        <is>
          <t>SALA</t>
        </is>
      </c>
      <c r="G634" t="n">
        <v>9.4</v>
      </c>
      <c r="H634" t="n">
        <v>0</v>
      </c>
      <c r="I634" t="n">
        <v>0</v>
      </c>
      <c r="J634" t="n">
        <v>0</v>
      </c>
      <c r="K634" t="n">
        <v>0</v>
      </c>
      <c r="L634" t="n">
        <v>0</v>
      </c>
      <c r="M634" t="n">
        <v>0</v>
      </c>
      <c r="N634" t="n">
        <v>0</v>
      </c>
      <c r="O634" t="n">
        <v>0</v>
      </c>
      <c r="P634" t="n">
        <v>0</v>
      </c>
      <c r="Q634" t="n">
        <v>0</v>
      </c>
      <c r="R634" s="2" t="inlineStr"/>
    </row>
    <row r="635" ht="15" customHeight="1">
      <c r="A635" t="inlineStr">
        <is>
          <t>A 7772-2023</t>
        </is>
      </c>
      <c r="B635" s="1" t="n">
        <v>44973.40076388889</v>
      </c>
      <c r="C635" s="1" t="n">
        <v>45924</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54771-2024</t>
        </is>
      </c>
      <c r="B636" s="1" t="n">
        <v>45618</v>
      </c>
      <c r="C636" s="1" t="n">
        <v>45924</v>
      </c>
      <c r="D636" t="inlineStr">
        <is>
          <t>VÄSTMANLANDS LÄN</t>
        </is>
      </c>
      <c r="E636" t="inlineStr">
        <is>
          <t>SALA</t>
        </is>
      </c>
      <c r="G636" t="n">
        <v>2.8</v>
      </c>
      <c r="H636" t="n">
        <v>0</v>
      </c>
      <c r="I636" t="n">
        <v>0</v>
      </c>
      <c r="J636" t="n">
        <v>0</v>
      </c>
      <c r="K636" t="n">
        <v>0</v>
      </c>
      <c r="L636" t="n">
        <v>0</v>
      </c>
      <c r="M636" t="n">
        <v>0</v>
      </c>
      <c r="N636" t="n">
        <v>0</v>
      </c>
      <c r="O636" t="n">
        <v>0</v>
      </c>
      <c r="P636" t="n">
        <v>0</v>
      </c>
      <c r="Q636" t="n">
        <v>0</v>
      </c>
      <c r="R636" s="2" t="inlineStr"/>
    </row>
    <row r="637" ht="15" customHeight="1">
      <c r="A637" t="inlineStr">
        <is>
          <t>A 19751-2022</t>
        </is>
      </c>
      <c r="B637" s="1" t="n">
        <v>44694</v>
      </c>
      <c r="C637" s="1" t="n">
        <v>45924</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44713-2023</t>
        </is>
      </c>
      <c r="B638" s="1" t="n">
        <v>45184</v>
      </c>
      <c r="C638" s="1" t="n">
        <v>45924</v>
      </c>
      <c r="D638" t="inlineStr">
        <is>
          <t>VÄSTMANLANDS LÄN</t>
        </is>
      </c>
      <c r="E638" t="inlineStr">
        <is>
          <t>SALA</t>
        </is>
      </c>
      <c r="F638" t="inlineStr">
        <is>
          <t>Kyrkan</t>
        </is>
      </c>
      <c r="G638" t="n">
        <v>7.6</v>
      </c>
      <c r="H638" t="n">
        <v>0</v>
      </c>
      <c r="I638" t="n">
        <v>0</v>
      </c>
      <c r="J638" t="n">
        <v>0</v>
      </c>
      <c r="K638" t="n">
        <v>0</v>
      </c>
      <c r="L638" t="n">
        <v>0</v>
      </c>
      <c r="M638" t="n">
        <v>0</v>
      </c>
      <c r="N638" t="n">
        <v>0</v>
      </c>
      <c r="O638" t="n">
        <v>0</v>
      </c>
      <c r="P638" t="n">
        <v>0</v>
      </c>
      <c r="Q638" t="n">
        <v>0</v>
      </c>
      <c r="R638" s="2" t="inlineStr"/>
    </row>
    <row r="639" ht="15" customHeight="1">
      <c r="A639" t="inlineStr">
        <is>
          <t>A 18713-2025</t>
        </is>
      </c>
      <c r="B639" s="1" t="n">
        <v>45763</v>
      </c>
      <c r="C639" s="1" t="n">
        <v>45924</v>
      </c>
      <c r="D639" t="inlineStr">
        <is>
          <t>VÄSTMANLANDS LÄN</t>
        </is>
      </c>
      <c r="E639" t="inlineStr">
        <is>
          <t>SALA</t>
        </is>
      </c>
      <c r="F639" t="inlineStr">
        <is>
          <t>Bergvik skog öst AB</t>
        </is>
      </c>
      <c r="G639" t="n">
        <v>11.6</v>
      </c>
      <c r="H639" t="n">
        <v>0</v>
      </c>
      <c r="I639" t="n">
        <v>0</v>
      </c>
      <c r="J639" t="n">
        <v>0</v>
      </c>
      <c r="K639" t="n">
        <v>0</v>
      </c>
      <c r="L639" t="n">
        <v>0</v>
      </c>
      <c r="M639" t="n">
        <v>0</v>
      </c>
      <c r="N639" t="n">
        <v>0</v>
      </c>
      <c r="O639" t="n">
        <v>0</v>
      </c>
      <c r="P639" t="n">
        <v>0</v>
      </c>
      <c r="Q639" t="n">
        <v>0</v>
      </c>
      <c r="R639" s="2" t="inlineStr"/>
    </row>
    <row r="640" ht="15" customHeight="1">
      <c r="A640" t="inlineStr">
        <is>
          <t>A 47479-2024</t>
        </is>
      </c>
      <c r="B640" s="1" t="n">
        <v>45587</v>
      </c>
      <c r="C640" s="1" t="n">
        <v>45924</v>
      </c>
      <c r="D640" t="inlineStr">
        <is>
          <t>VÄSTMANLANDS LÄN</t>
        </is>
      </c>
      <c r="E640" t="inlineStr">
        <is>
          <t>SALA</t>
        </is>
      </c>
      <c r="F640" t="inlineStr">
        <is>
          <t>Kommuner</t>
        </is>
      </c>
      <c r="G640" t="n">
        <v>0.8</v>
      </c>
      <c r="H640" t="n">
        <v>0</v>
      </c>
      <c r="I640" t="n">
        <v>0</v>
      </c>
      <c r="J640" t="n">
        <v>0</v>
      </c>
      <c r="K640" t="n">
        <v>0</v>
      </c>
      <c r="L640" t="n">
        <v>0</v>
      </c>
      <c r="M640" t="n">
        <v>0</v>
      </c>
      <c r="N640" t="n">
        <v>0</v>
      </c>
      <c r="O640" t="n">
        <v>0</v>
      </c>
      <c r="P640" t="n">
        <v>0</v>
      </c>
      <c r="Q640" t="n">
        <v>0</v>
      </c>
      <c r="R640" s="2" t="inlineStr"/>
    </row>
    <row r="641" ht="15" customHeight="1">
      <c r="A641" t="inlineStr">
        <is>
          <t>A 69236-2021</t>
        </is>
      </c>
      <c r="B641" s="1" t="n">
        <v>44531.4047337963</v>
      </c>
      <c r="C641" s="1" t="n">
        <v>45924</v>
      </c>
      <c r="D641" t="inlineStr">
        <is>
          <t>VÄSTMANLANDS LÄN</t>
        </is>
      </c>
      <c r="E641" t="inlineStr">
        <is>
          <t>SALA</t>
        </is>
      </c>
      <c r="G641" t="n">
        <v>2.8</v>
      </c>
      <c r="H641" t="n">
        <v>0</v>
      </c>
      <c r="I641" t="n">
        <v>0</v>
      </c>
      <c r="J641" t="n">
        <v>0</v>
      </c>
      <c r="K641" t="n">
        <v>0</v>
      </c>
      <c r="L641" t="n">
        <v>0</v>
      </c>
      <c r="M641" t="n">
        <v>0</v>
      </c>
      <c r="N641" t="n">
        <v>0</v>
      </c>
      <c r="O641" t="n">
        <v>0</v>
      </c>
      <c r="P641" t="n">
        <v>0</v>
      </c>
      <c r="Q641" t="n">
        <v>0</v>
      </c>
      <c r="R641" s="2" t="inlineStr"/>
    </row>
    <row r="642" ht="15" customHeight="1">
      <c r="A642" t="inlineStr">
        <is>
          <t>A 25541-2024</t>
        </is>
      </c>
      <c r="B642" s="1" t="n">
        <v>45463.56337962963</v>
      </c>
      <c r="C642" s="1" t="n">
        <v>45924</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5728-2022</t>
        </is>
      </c>
      <c r="B643" s="1" t="n">
        <v>44596.42082175926</v>
      </c>
      <c r="C643" s="1" t="n">
        <v>45924</v>
      </c>
      <c r="D643" t="inlineStr">
        <is>
          <t>VÄSTMANLANDS LÄN</t>
        </is>
      </c>
      <c r="E643" t="inlineStr">
        <is>
          <t>SALA</t>
        </is>
      </c>
      <c r="G643" t="n">
        <v>1.7</v>
      </c>
      <c r="H643" t="n">
        <v>0</v>
      </c>
      <c r="I643" t="n">
        <v>0</v>
      </c>
      <c r="J643" t="n">
        <v>0</v>
      </c>
      <c r="K643" t="n">
        <v>0</v>
      </c>
      <c r="L643" t="n">
        <v>0</v>
      </c>
      <c r="M643" t="n">
        <v>0</v>
      </c>
      <c r="N643" t="n">
        <v>0</v>
      </c>
      <c r="O643" t="n">
        <v>0</v>
      </c>
      <c r="P643" t="n">
        <v>0</v>
      </c>
      <c r="Q643" t="n">
        <v>0</v>
      </c>
      <c r="R643" s="2" t="inlineStr"/>
    </row>
    <row r="644" ht="15" customHeight="1">
      <c r="A644" t="inlineStr">
        <is>
          <t>A 10250-2025</t>
        </is>
      </c>
      <c r="B644" s="1" t="n">
        <v>45720.36165509259</v>
      </c>
      <c r="C644" s="1" t="n">
        <v>45924</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49512-2024</t>
        </is>
      </c>
      <c r="B645" s="1" t="n">
        <v>45591</v>
      </c>
      <c r="C645" s="1" t="n">
        <v>45924</v>
      </c>
      <c r="D645" t="inlineStr">
        <is>
          <t>VÄSTMANLANDS LÄN</t>
        </is>
      </c>
      <c r="E645" t="inlineStr">
        <is>
          <t>SALA</t>
        </is>
      </c>
      <c r="G645" t="n">
        <v>8.1</v>
      </c>
      <c r="H645" t="n">
        <v>0</v>
      </c>
      <c r="I645" t="n">
        <v>0</v>
      </c>
      <c r="J645" t="n">
        <v>0</v>
      </c>
      <c r="K645" t="n">
        <v>0</v>
      </c>
      <c r="L645" t="n">
        <v>0</v>
      </c>
      <c r="M645" t="n">
        <v>0</v>
      </c>
      <c r="N645" t="n">
        <v>0</v>
      </c>
      <c r="O645" t="n">
        <v>0</v>
      </c>
      <c r="P645" t="n">
        <v>0</v>
      </c>
      <c r="Q645" t="n">
        <v>0</v>
      </c>
      <c r="R645" s="2" t="inlineStr"/>
    </row>
    <row r="646" ht="15" customHeight="1">
      <c r="A646" t="inlineStr">
        <is>
          <t>A 42416-2022</t>
        </is>
      </c>
      <c r="B646" s="1" t="n">
        <v>44831</v>
      </c>
      <c r="C646" s="1" t="n">
        <v>45924</v>
      </c>
      <c r="D646" t="inlineStr">
        <is>
          <t>VÄSTMANLANDS LÄN</t>
        </is>
      </c>
      <c r="E646" t="inlineStr">
        <is>
          <t>SALA</t>
        </is>
      </c>
      <c r="G646" t="n">
        <v>2.2</v>
      </c>
      <c r="H646" t="n">
        <v>0</v>
      </c>
      <c r="I646" t="n">
        <v>0</v>
      </c>
      <c r="J646" t="n">
        <v>0</v>
      </c>
      <c r="K646" t="n">
        <v>0</v>
      </c>
      <c r="L646" t="n">
        <v>0</v>
      </c>
      <c r="M646" t="n">
        <v>0</v>
      </c>
      <c r="N646" t="n">
        <v>0</v>
      </c>
      <c r="O646" t="n">
        <v>0</v>
      </c>
      <c r="P646" t="n">
        <v>0</v>
      </c>
      <c r="Q646" t="n">
        <v>0</v>
      </c>
      <c r="R646" s="2" t="inlineStr"/>
    </row>
    <row r="647" ht="15" customHeight="1">
      <c r="A647" t="inlineStr">
        <is>
          <t>A 6135-2023</t>
        </is>
      </c>
      <c r="B647" s="1" t="n">
        <v>44964.62628472222</v>
      </c>
      <c r="C647" s="1" t="n">
        <v>45924</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16693-2023</t>
        </is>
      </c>
      <c r="B648" s="1" t="n">
        <v>45028</v>
      </c>
      <c r="C648" s="1" t="n">
        <v>45924</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8285-2025</t>
        </is>
      </c>
      <c r="B649" s="1" t="n">
        <v>45708</v>
      </c>
      <c r="C649" s="1" t="n">
        <v>45924</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15584-2021</t>
        </is>
      </c>
      <c r="B650" s="1" t="n">
        <v>44285</v>
      </c>
      <c r="C650" s="1" t="n">
        <v>45924</v>
      </c>
      <c r="D650" t="inlineStr">
        <is>
          <t>VÄSTMANLANDS LÄN</t>
        </is>
      </c>
      <c r="E650" t="inlineStr">
        <is>
          <t>SALA</t>
        </is>
      </c>
      <c r="G650" t="n">
        <v>3.4</v>
      </c>
      <c r="H650" t="n">
        <v>0</v>
      </c>
      <c r="I650" t="n">
        <v>0</v>
      </c>
      <c r="J650" t="n">
        <v>0</v>
      </c>
      <c r="K650" t="n">
        <v>0</v>
      </c>
      <c r="L650" t="n">
        <v>0</v>
      </c>
      <c r="M650" t="n">
        <v>0</v>
      </c>
      <c r="N650" t="n">
        <v>0</v>
      </c>
      <c r="O650" t="n">
        <v>0</v>
      </c>
      <c r="P650" t="n">
        <v>0</v>
      </c>
      <c r="Q650" t="n">
        <v>0</v>
      </c>
      <c r="R650" s="2" t="inlineStr"/>
    </row>
    <row r="651" ht="15" customHeight="1">
      <c r="A651" t="inlineStr">
        <is>
          <t>A 15650-2025</t>
        </is>
      </c>
      <c r="B651" s="1" t="n">
        <v>45748.40172453703</v>
      </c>
      <c r="C651" s="1" t="n">
        <v>45924</v>
      </c>
      <c r="D651" t="inlineStr">
        <is>
          <t>VÄSTMANLANDS LÄN</t>
        </is>
      </c>
      <c r="E651" t="inlineStr">
        <is>
          <t>SALA</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18340-2025</t>
        </is>
      </c>
      <c r="B652" s="1" t="n">
        <v>45762</v>
      </c>
      <c r="C652" s="1" t="n">
        <v>45924</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56706-2022</t>
        </is>
      </c>
      <c r="B653" s="1" t="n">
        <v>44893.78893518518</v>
      </c>
      <c r="C653" s="1" t="n">
        <v>45924</v>
      </c>
      <c r="D653" t="inlineStr">
        <is>
          <t>VÄSTMANLANDS LÄN</t>
        </is>
      </c>
      <c r="E653" t="inlineStr">
        <is>
          <t>SALA</t>
        </is>
      </c>
      <c r="G653" t="n">
        <v>4.5</v>
      </c>
      <c r="H653" t="n">
        <v>0</v>
      </c>
      <c r="I653" t="n">
        <v>0</v>
      </c>
      <c r="J653" t="n">
        <v>0</v>
      </c>
      <c r="K653" t="n">
        <v>0</v>
      </c>
      <c r="L653" t="n">
        <v>0</v>
      </c>
      <c r="M653" t="n">
        <v>0</v>
      </c>
      <c r="N653" t="n">
        <v>0</v>
      </c>
      <c r="O653" t="n">
        <v>0</v>
      </c>
      <c r="P653" t="n">
        <v>0</v>
      </c>
      <c r="Q653" t="n">
        <v>0</v>
      </c>
      <c r="R653" s="2" t="inlineStr"/>
    </row>
    <row r="654" ht="15" customHeight="1">
      <c r="A654" t="inlineStr">
        <is>
          <t>A 56707-2022</t>
        </is>
      </c>
      <c r="B654" s="1" t="n">
        <v>44893.79412037037</v>
      </c>
      <c r="C654" s="1" t="n">
        <v>45924</v>
      </c>
      <c r="D654" t="inlineStr">
        <is>
          <t>VÄSTMANLANDS LÄN</t>
        </is>
      </c>
      <c r="E654" t="inlineStr">
        <is>
          <t>SALA</t>
        </is>
      </c>
      <c r="G654" t="n">
        <v>1</v>
      </c>
      <c r="H654" t="n">
        <v>0</v>
      </c>
      <c r="I654" t="n">
        <v>0</v>
      </c>
      <c r="J654" t="n">
        <v>0</v>
      </c>
      <c r="K654" t="n">
        <v>0</v>
      </c>
      <c r="L654" t="n">
        <v>0</v>
      </c>
      <c r="M654" t="n">
        <v>0</v>
      </c>
      <c r="N654" t="n">
        <v>0</v>
      </c>
      <c r="O654" t="n">
        <v>0</v>
      </c>
      <c r="P654" t="n">
        <v>0</v>
      </c>
      <c r="Q654" t="n">
        <v>0</v>
      </c>
      <c r="R654" s="2" t="inlineStr"/>
    </row>
    <row r="655" ht="15" customHeight="1">
      <c r="A655" t="inlineStr">
        <is>
          <t>A 48571-2024</t>
        </is>
      </c>
      <c r="B655" s="1" t="n">
        <v>45591</v>
      </c>
      <c r="C655" s="1" t="n">
        <v>45924</v>
      </c>
      <c r="D655" t="inlineStr">
        <is>
          <t>VÄSTMANLANDS LÄN</t>
        </is>
      </c>
      <c r="E655" t="inlineStr">
        <is>
          <t>SALA</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13188-2025</t>
        </is>
      </c>
      <c r="B656" s="1" t="n">
        <v>45735.39246527778</v>
      </c>
      <c r="C656" s="1" t="n">
        <v>45924</v>
      </c>
      <c r="D656" t="inlineStr">
        <is>
          <t>VÄSTMANLANDS LÄN</t>
        </is>
      </c>
      <c r="E656" t="inlineStr">
        <is>
          <t>SALA</t>
        </is>
      </c>
      <c r="F656" t="inlineStr">
        <is>
          <t>Naturvårdsverket</t>
        </is>
      </c>
      <c r="G656" t="n">
        <v>18.4</v>
      </c>
      <c r="H656" t="n">
        <v>0</v>
      </c>
      <c r="I656" t="n">
        <v>0</v>
      </c>
      <c r="J656" t="n">
        <v>0</v>
      </c>
      <c r="K656" t="n">
        <v>0</v>
      </c>
      <c r="L656" t="n">
        <v>0</v>
      </c>
      <c r="M656" t="n">
        <v>0</v>
      </c>
      <c r="N656" t="n">
        <v>0</v>
      </c>
      <c r="O656" t="n">
        <v>0</v>
      </c>
      <c r="P656" t="n">
        <v>0</v>
      </c>
      <c r="Q656" t="n">
        <v>0</v>
      </c>
      <c r="R656" s="2" t="inlineStr"/>
    </row>
    <row r="657" ht="15" customHeight="1">
      <c r="A657" t="inlineStr">
        <is>
          <t>A 23431-2024</t>
        </is>
      </c>
      <c r="B657" s="1" t="n">
        <v>45453</v>
      </c>
      <c r="C657" s="1" t="n">
        <v>45924</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21168-2025</t>
        </is>
      </c>
      <c r="B658" s="1" t="n">
        <v>45777</v>
      </c>
      <c r="C658" s="1" t="n">
        <v>45924</v>
      </c>
      <c r="D658" t="inlineStr">
        <is>
          <t>VÄSTMANLANDS LÄN</t>
        </is>
      </c>
      <c r="E658" t="inlineStr">
        <is>
          <t>SALA</t>
        </is>
      </c>
      <c r="G658" t="n">
        <v>4.5</v>
      </c>
      <c r="H658" t="n">
        <v>0</v>
      </c>
      <c r="I658" t="n">
        <v>0</v>
      </c>
      <c r="J658" t="n">
        <v>0</v>
      </c>
      <c r="K658" t="n">
        <v>0</v>
      </c>
      <c r="L658" t="n">
        <v>0</v>
      </c>
      <c r="M658" t="n">
        <v>0</v>
      </c>
      <c r="N658" t="n">
        <v>0</v>
      </c>
      <c r="O658" t="n">
        <v>0</v>
      </c>
      <c r="P658" t="n">
        <v>0</v>
      </c>
      <c r="Q658" t="n">
        <v>0</v>
      </c>
      <c r="R658" s="2" t="inlineStr"/>
    </row>
    <row r="659" ht="15" customHeight="1">
      <c r="A659" t="inlineStr">
        <is>
          <t>A 21738-2025</t>
        </is>
      </c>
      <c r="B659" s="1" t="n">
        <v>45783.59173611111</v>
      </c>
      <c r="C659" s="1" t="n">
        <v>45924</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21721-2025</t>
        </is>
      </c>
      <c r="B660" s="1" t="n">
        <v>45783</v>
      </c>
      <c r="C660" s="1" t="n">
        <v>45924</v>
      </c>
      <c r="D660" t="inlineStr">
        <is>
          <t>VÄSTMANLANDS LÄN</t>
        </is>
      </c>
      <c r="E660" t="inlineStr">
        <is>
          <t>SALA</t>
        </is>
      </c>
      <c r="G660" t="n">
        <v>6.1</v>
      </c>
      <c r="H660" t="n">
        <v>0</v>
      </c>
      <c r="I660" t="n">
        <v>0</v>
      </c>
      <c r="J660" t="n">
        <v>0</v>
      </c>
      <c r="K660" t="n">
        <v>0</v>
      </c>
      <c r="L660" t="n">
        <v>0</v>
      </c>
      <c r="M660" t="n">
        <v>0</v>
      </c>
      <c r="N660" t="n">
        <v>0</v>
      </c>
      <c r="O660" t="n">
        <v>0</v>
      </c>
      <c r="P660" t="n">
        <v>0</v>
      </c>
      <c r="Q660" t="n">
        <v>0</v>
      </c>
      <c r="R660" s="2" t="inlineStr"/>
    </row>
    <row r="661" ht="15" customHeight="1">
      <c r="A661" t="inlineStr">
        <is>
          <t>A 21754-2025</t>
        </is>
      </c>
      <c r="B661" s="1" t="n">
        <v>45783.61837962963</v>
      </c>
      <c r="C661" s="1" t="n">
        <v>45924</v>
      </c>
      <c r="D661" t="inlineStr">
        <is>
          <t>VÄSTMANLANDS LÄN</t>
        </is>
      </c>
      <c r="E661" t="inlineStr">
        <is>
          <t>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21751-2025</t>
        </is>
      </c>
      <c r="B662" s="1" t="n">
        <v>45783.61372685185</v>
      </c>
      <c r="C662" s="1" t="n">
        <v>45924</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37587-2024</t>
        </is>
      </c>
      <c r="B663" s="1" t="n">
        <v>45541</v>
      </c>
      <c r="C663" s="1" t="n">
        <v>45924</v>
      </c>
      <c r="D663" t="inlineStr">
        <is>
          <t>VÄSTMANLANDS LÄN</t>
        </is>
      </c>
      <c r="E663" t="inlineStr">
        <is>
          <t>SALA</t>
        </is>
      </c>
      <c r="G663" t="n">
        <v>1.2</v>
      </c>
      <c r="H663" t="n">
        <v>0</v>
      </c>
      <c r="I663" t="n">
        <v>0</v>
      </c>
      <c r="J663" t="n">
        <v>0</v>
      </c>
      <c r="K663" t="n">
        <v>0</v>
      </c>
      <c r="L663" t="n">
        <v>0</v>
      </c>
      <c r="M663" t="n">
        <v>0</v>
      </c>
      <c r="N663" t="n">
        <v>0</v>
      </c>
      <c r="O663" t="n">
        <v>0</v>
      </c>
      <c r="P663" t="n">
        <v>0</v>
      </c>
      <c r="Q663" t="n">
        <v>0</v>
      </c>
      <c r="R663" s="2" t="inlineStr"/>
    </row>
    <row r="664" ht="15" customHeight="1">
      <c r="A664" t="inlineStr">
        <is>
          <t>A 64724-2023</t>
        </is>
      </c>
      <c r="B664" s="1" t="n">
        <v>45281.7602662037</v>
      </c>
      <c r="C664" s="1" t="n">
        <v>45924</v>
      </c>
      <c r="D664" t="inlineStr">
        <is>
          <t>VÄSTMANLANDS LÄN</t>
        </is>
      </c>
      <c r="E664" t="inlineStr">
        <is>
          <t>SALA</t>
        </is>
      </c>
      <c r="G664" t="n">
        <v>2.3</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45924</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43600-2024</t>
        </is>
      </c>
      <c r="B666" s="1" t="n">
        <v>45569</v>
      </c>
      <c r="C666" s="1" t="n">
        <v>45924</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31405-2024</t>
        </is>
      </c>
      <c r="B667" s="1" t="n">
        <v>45505.5490625</v>
      </c>
      <c r="C667" s="1" t="n">
        <v>45924</v>
      </c>
      <c r="D667" t="inlineStr">
        <is>
          <t>VÄSTMANLANDS LÄN</t>
        </is>
      </c>
      <c r="E667" t="inlineStr">
        <is>
          <t>SALA</t>
        </is>
      </c>
      <c r="G667" t="n">
        <v>5.2</v>
      </c>
      <c r="H667" t="n">
        <v>0</v>
      </c>
      <c r="I667" t="n">
        <v>0</v>
      </c>
      <c r="J667" t="n">
        <v>0</v>
      </c>
      <c r="K667" t="n">
        <v>0</v>
      </c>
      <c r="L667" t="n">
        <v>0</v>
      </c>
      <c r="M667" t="n">
        <v>0</v>
      </c>
      <c r="N667" t="n">
        <v>0</v>
      </c>
      <c r="O667" t="n">
        <v>0</v>
      </c>
      <c r="P667" t="n">
        <v>0</v>
      </c>
      <c r="Q667" t="n">
        <v>0</v>
      </c>
      <c r="R667" s="2" t="inlineStr"/>
    </row>
    <row r="668" ht="15" customHeight="1">
      <c r="A668" t="inlineStr">
        <is>
          <t>A 22616-2025</t>
        </is>
      </c>
      <c r="B668" s="1" t="n">
        <v>45789.42752314815</v>
      </c>
      <c r="C668" s="1" t="n">
        <v>45924</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22353-2025</t>
        </is>
      </c>
      <c r="B669" s="1" t="n">
        <v>45786</v>
      </c>
      <c r="C669" s="1" t="n">
        <v>45924</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22383-2025</t>
        </is>
      </c>
      <c r="B670" s="1" t="n">
        <v>45786</v>
      </c>
      <c r="C670" s="1" t="n">
        <v>45924</v>
      </c>
      <c r="D670" t="inlineStr">
        <is>
          <t>VÄSTMANLANDS LÄN</t>
        </is>
      </c>
      <c r="E670" t="inlineStr">
        <is>
          <t>SALA</t>
        </is>
      </c>
      <c r="G670" t="n">
        <v>2.2</v>
      </c>
      <c r="H670" t="n">
        <v>0</v>
      </c>
      <c r="I670" t="n">
        <v>0</v>
      </c>
      <c r="J670" t="n">
        <v>0</v>
      </c>
      <c r="K670" t="n">
        <v>0</v>
      </c>
      <c r="L670" t="n">
        <v>0</v>
      </c>
      <c r="M670" t="n">
        <v>0</v>
      </c>
      <c r="N670" t="n">
        <v>0</v>
      </c>
      <c r="O670" t="n">
        <v>0</v>
      </c>
      <c r="P670" t="n">
        <v>0</v>
      </c>
      <c r="Q670" t="n">
        <v>0</v>
      </c>
      <c r="R670" s="2" t="inlineStr"/>
    </row>
    <row r="671" ht="15" customHeight="1">
      <c r="A671" t="inlineStr">
        <is>
          <t>A 22624-2025</t>
        </is>
      </c>
      <c r="B671" s="1" t="n">
        <v>45789.43327546296</v>
      </c>
      <c r="C671" s="1" t="n">
        <v>45924</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22370-2025</t>
        </is>
      </c>
      <c r="B672" s="1" t="n">
        <v>45786</v>
      </c>
      <c r="C672" s="1" t="n">
        <v>45924</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13130-2025</t>
        </is>
      </c>
      <c r="B673" s="1" t="n">
        <v>45734</v>
      </c>
      <c r="C673" s="1" t="n">
        <v>45924</v>
      </c>
      <c r="D673" t="inlineStr">
        <is>
          <t>VÄSTMANLANDS LÄN</t>
        </is>
      </c>
      <c r="E673" t="inlineStr">
        <is>
          <t>SALA</t>
        </is>
      </c>
      <c r="G673" t="n">
        <v>1.5</v>
      </c>
      <c r="H673" t="n">
        <v>0</v>
      </c>
      <c r="I673" t="n">
        <v>0</v>
      </c>
      <c r="J673" t="n">
        <v>0</v>
      </c>
      <c r="K673" t="n">
        <v>0</v>
      </c>
      <c r="L673" t="n">
        <v>0</v>
      </c>
      <c r="M673" t="n">
        <v>0</v>
      </c>
      <c r="N673" t="n">
        <v>0</v>
      </c>
      <c r="O673" t="n">
        <v>0</v>
      </c>
      <c r="P673" t="n">
        <v>0</v>
      </c>
      <c r="Q673" t="n">
        <v>0</v>
      </c>
      <c r="R673" s="2" t="inlineStr"/>
    </row>
    <row r="674" ht="15" customHeight="1">
      <c r="A674" t="inlineStr">
        <is>
          <t>A 23804-2025</t>
        </is>
      </c>
      <c r="B674" s="1" t="n">
        <v>45793.55995370371</v>
      </c>
      <c r="C674" s="1" t="n">
        <v>45924</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22126-2025</t>
        </is>
      </c>
      <c r="B675" s="1" t="n">
        <v>45785</v>
      </c>
      <c r="C675" s="1" t="n">
        <v>45924</v>
      </c>
      <c r="D675" t="inlineStr">
        <is>
          <t>VÄSTMANLANDS LÄN</t>
        </is>
      </c>
      <c r="E675" t="inlineStr">
        <is>
          <t>SALA</t>
        </is>
      </c>
      <c r="G675" t="n">
        <v>10.6</v>
      </c>
      <c r="H675" t="n">
        <v>0</v>
      </c>
      <c r="I675" t="n">
        <v>0</v>
      </c>
      <c r="J675" t="n">
        <v>0</v>
      </c>
      <c r="K675" t="n">
        <v>0</v>
      </c>
      <c r="L675" t="n">
        <v>0</v>
      </c>
      <c r="M675" t="n">
        <v>0</v>
      </c>
      <c r="N675" t="n">
        <v>0</v>
      </c>
      <c r="O675" t="n">
        <v>0</v>
      </c>
      <c r="P675" t="n">
        <v>0</v>
      </c>
      <c r="Q675" t="n">
        <v>0</v>
      </c>
      <c r="R675" s="2" t="inlineStr"/>
    </row>
    <row r="676" ht="15" customHeight="1">
      <c r="A676" t="inlineStr">
        <is>
          <t>A 19297-2025</t>
        </is>
      </c>
      <c r="B676" s="1" t="n">
        <v>45769.56261574074</v>
      </c>
      <c r="C676" s="1" t="n">
        <v>45924</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c r="A677" t="inlineStr">
        <is>
          <t>A 23810-2025</t>
        </is>
      </c>
      <c r="B677" s="1" t="n">
        <v>45793.56989583333</v>
      </c>
      <c r="C677" s="1" t="n">
        <v>45924</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2025-09-24T10:15:17Z</dcterms:created>
  <dcterms:modified xmlns:dcterms="http://purl.org/dc/terms/" xmlns:xsi="http://www.w3.org/2001/XMLSchema-instance" xsi:type="dcterms:W3CDTF">2025-09-24T10:15:17Z</dcterms:modified>
</cp:coreProperties>
</file>