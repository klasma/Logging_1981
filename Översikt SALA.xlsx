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45933</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45933</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3566-2024</t>
        </is>
      </c>
      <c r="B10" s="1" t="n">
        <v>45320.63596064815</v>
      </c>
      <c r="C10" s="1" t="n">
        <v>45933</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1182-2022</t>
        </is>
      </c>
      <c r="B11" s="1" t="n">
        <v>44572</v>
      </c>
      <c r="C11" s="1" t="n">
        <v>45933</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54934-2020</t>
        </is>
      </c>
      <c r="B12" s="1" t="n">
        <v>44127</v>
      </c>
      <c r="C12" s="1" t="n">
        <v>45933</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10344-2025</t>
        </is>
      </c>
      <c r="B13" s="1" t="n">
        <v>45720</v>
      </c>
      <c r="C13" s="1" t="n">
        <v>45933</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45933</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45933</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45933</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45933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45933</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45933</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45933</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45933</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34065-2025</t>
        </is>
      </c>
      <c r="B22" s="1" t="n">
        <v>45845.42806712963</v>
      </c>
      <c r="C22" s="1" t="n">
        <v>45933</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40895-2025</t>
        </is>
      </c>
      <c r="B23" s="1" t="n">
        <v>45897.61241898148</v>
      </c>
      <c r="C23" s="1" t="n">
        <v>45933</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53019-2024</t>
        </is>
      </c>
      <c r="B24" s="1" t="n">
        <v>45610</v>
      </c>
      <c r="C24" s="1" t="n">
        <v>45933</v>
      </c>
      <c r="D24" t="inlineStr">
        <is>
          <t>VÄSTMANLANDS LÄN</t>
        </is>
      </c>
      <c r="E24" t="inlineStr">
        <is>
          <t>SALA</t>
        </is>
      </c>
      <c r="G24" t="n">
        <v>1.1</v>
      </c>
      <c r="H24" t="n">
        <v>2</v>
      </c>
      <c r="I24" t="n">
        <v>0</v>
      </c>
      <c r="J24" t="n">
        <v>1</v>
      </c>
      <c r="K24" t="n">
        <v>1</v>
      </c>
      <c r="L24" t="n">
        <v>0</v>
      </c>
      <c r="M24" t="n">
        <v>0</v>
      </c>
      <c r="N24" t="n">
        <v>0</v>
      </c>
      <c r="O24" t="n">
        <v>2</v>
      </c>
      <c r="P24" t="n">
        <v>1</v>
      </c>
      <c r="Q24" t="n">
        <v>3</v>
      </c>
      <c r="R24" s="2" t="inlineStr">
        <is>
          <t>Knärot
Ullticka
Kungsfågel</t>
        </is>
      </c>
      <c r="S24">
        <f>HYPERLINK("https://klasma.github.io/Logging_1981/artfynd/A 53019-2024 artfynd.xlsx", "A 53019-2024")</f>
        <v/>
      </c>
      <c r="T24">
        <f>HYPERLINK("https://klasma.github.io/Logging_1981/kartor/A 53019-2024 karta.png", "A 53019-2024")</f>
        <v/>
      </c>
      <c r="U24">
        <f>HYPERLINK("https://klasma.github.io/Logging_1981/knärot/A 53019-2024 karta knärot.png", "A 53019-2024")</f>
        <v/>
      </c>
      <c r="V24">
        <f>HYPERLINK("https://klasma.github.io/Logging_1981/klagomål/A 53019-2024 FSC-klagomål.docx", "A 53019-2024")</f>
        <v/>
      </c>
      <c r="W24">
        <f>HYPERLINK("https://klasma.github.io/Logging_1981/klagomålsmail/A 53019-2024 FSC-klagomål mail.docx", "A 53019-2024")</f>
        <v/>
      </c>
      <c r="X24">
        <f>HYPERLINK("https://klasma.github.io/Logging_1981/tillsyn/A 53019-2024 tillsynsbegäran.docx", "A 53019-2024")</f>
        <v/>
      </c>
      <c r="Y24">
        <f>HYPERLINK("https://klasma.github.io/Logging_1981/tillsynsmail/A 53019-2024 tillsynsbegäran mail.docx", "A 53019-2024")</f>
        <v/>
      </c>
      <c r="Z24">
        <f>HYPERLINK("https://klasma.github.io/Logging_1981/fåglar/A 53019-2024 prioriterade fågelarter.docx", "A 53019-2024")</f>
        <v/>
      </c>
    </row>
    <row r="25" ht="15" customHeight="1">
      <c r="A25" t="inlineStr">
        <is>
          <t>A 47475-2024</t>
        </is>
      </c>
      <c r="B25" s="1" t="n">
        <v>45587.57552083334</v>
      </c>
      <c r="C25" s="1" t="n">
        <v>45933</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35461-2024</t>
        </is>
      </c>
      <c r="B26" s="1" t="n">
        <v>45531</v>
      </c>
      <c r="C26" s="1" t="n">
        <v>45933</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28215-2022</t>
        </is>
      </c>
      <c r="B27" s="1" t="n">
        <v>44746</v>
      </c>
      <c r="C27" s="1" t="n">
        <v>45933</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45933</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45933</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1500-2022</t>
        </is>
      </c>
      <c r="B31" s="1" t="n">
        <v>44573.54357638889</v>
      </c>
      <c r="C31" s="1" t="n">
        <v>45933</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12444-2024</t>
        </is>
      </c>
      <c r="B32" s="1" t="n">
        <v>45379.46285879629</v>
      </c>
      <c r="C32" s="1" t="n">
        <v>45933</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13029-2023</t>
        </is>
      </c>
      <c r="B33" s="1" t="n">
        <v>45001</v>
      </c>
      <c r="C33" s="1" t="n">
        <v>45933</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61454-2024</t>
        </is>
      </c>
      <c r="B34" s="1" t="n">
        <v>45646</v>
      </c>
      <c r="C34" s="1" t="n">
        <v>45933</v>
      </c>
      <c r="D34" t="inlineStr">
        <is>
          <t>VÄSTMANLANDS LÄN</t>
        </is>
      </c>
      <c r="E34" t="inlineStr">
        <is>
          <t>SALA</t>
        </is>
      </c>
      <c r="G34" t="n">
        <v>15</v>
      </c>
      <c r="H34" t="n">
        <v>2</v>
      </c>
      <c r="I34" t="n">
        <v>0</v>
      </c>
      <c r="J34" t="n">
        <v>0</v>
      </c>
      <c r="K34" t="n">
        <v>1</v>
      </c>
      <c r="L34" t="n">
        <v>0</v>
      </c>
      <c r="M34" t="n">
        <v>0</v>
      </c>
      <c r="N34" t="n">
        <v>0</v>
      </c>
      <c r="O34" t="n">
        <v>1</v>
      </c>
      <c r="P34" t="n">
        <v>1</v>
      </c>
      <c r="Q34" t="n">
        <v>2</v>
      </c>
      <c r="R34" s="2" t="inlineStr">
        <is>
          <t>Knärot
Mindre vattensalamander</t>
        </is>
      </c>
      <c r="S34">
        <f>HYPERLINK("https://klasma.github.io/Logging_1981/artfynd/A 61454-2024 artfynd.xlsx", "A 61454-2024")</f>
        <v/>
      </c>
      <c r="T34">
        <f>HYPERLINK("https://klasma.github.io/Logging_1981/kartor/A 61454-2024 karta.png", "A 61454-2024")</f>
        <v/>
      </c>
      <c r="U34">
        <f>HYPERLINK("https://klasma.github.io/Logging_1981/knärot/A 61454-2024 karta knärot.png", "A 61454-2024")</f>
        <v/>
      </c>
      <c r="V34">
        <f>HYPERLINK("https://klasma.github.io/Logging_1981/klagomål/A 61454-2024 FSC-klagomål.docx", "A 61454-2024")</f>
        <v/>
      </c>
      <c r="W34">
        <f>HYPERLINK("https://klasma.github.io/Logging_1981/klagomålsmail/A 61454-2024 FSC-klagomål mail.docx", "A 61454-2024")</f>
        <v/>
      </c>
      <c r="X34">
        <f>HYPERLINK("https://klasma.github.io/Logging_1981/tillsyn/A 61454-2024 tillsynsbegäran.docx", "A 61454-2024")</f>
        <v/>
      </c>
      <c r="Y34">
        <f>HYPERLINK("https://klasma.github.io/Logging_1981/tillsynsmail/A 61454-2024 tillsynsbegäran mail.docx", "A 61454-2024")</f>
        <v/>
      </c>
    </row>
    <row r="35" ht="15" customHeight="1">
      <c r="A35" t="inlineStr">
        <is>
          <t>A 15102-2025</t>
        </is>
      </c>
      <c r="B35" s="1" t="n">
        <v>45744.34585648148</v>
      </c>
      <c r="C35" s="1" t="n">
        <v>45933</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24872-2025</t>
        </is>
      </c>
      <c r="B36" s="1" t="n">
        <v>45799.49038194444</v>
      </c>
      <c r="C36" s="1" t="n">
        <v>45933</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45933</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13973-2021</t>
        </is>
      </c>
      <c r="B38" s="1" t="n">
        <v>44277</v>
      </c>
      <c r="C38" s="1" t="n">
        <v>45933</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43705-2022</t>
        </is>
      </c>
      <c r="B39" s="1" t="n">
        <v>44837</v>
      </c>
      <c r="C39" s="1" t="n">
        <v>45933</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69362-2020</t>
        </is>
      </c>
      <c r="B40" s="1" t="n">
        <v>44193</v>
      </c>
      <c r="C40" s="1" t="n">
        <v>45933</v>
      </c>
      <c r="D40" t="inlineStr">
        <is>
          <t>VÄSTMANLANDS LÄN</t>
        </is>
      </c>
      <c r="E40" t="inlineStr">
        <is>
          <t>SALA</t>
        </is>
      </c>
      <c r="G40" t="n">
        <v>13.7</v>
      </c>
      <c r="H40" t="n">
        <v>1</v>
      </c>
      <c r="I40" t="n">
        <v>0</v>
      </c>
      <c r="J40" t="n">
        <v>1</v>
      </c>
      <c r="K40" t="n">
        <v>0</v>
      </c>
      <c r="L40" t="n">
        <v>0</v>
      </c>
      <c r="M40" t="n">
        <v>0</v>
      </c>
      <c r="N40" t="n">
        <v>0</v>
      </c>
      <c r="O40" t="n">
        <v>1</v>
      </c>
      <c r="P40" t="n">
        <v>0</v>
      </c>
      <c r="Q40" t="n">
        <v>1</v>
      </c>
      <c r="R40" s="2" t="inlineStr">
        <is>
          <t>Havsörn</t>
        </is>
      </c>
      <c r="S40">
        <f>HYPERLINK("https://klasma.github.io/Logging_1981/artfynd/A 69362-2020 artfynd.xlsx", "A 69362-2020")</f>
        <v/>
      </c>
      <c r="T40">
        <f>HYPERLINK("https://klasma.github.io/Logging_1981/kartor/A 69362-2020 karta.png", "A 69362-2020")</f>
        <v/>
      </c>
      <c r="V40">
        <f>HYPERLINK("https://klasma.github.io/Logging_1981/klagomål/A 69362-2020 FSC-klagomål.docx", "A 69362-2020")</f>
        <v/>
      </c>
      <c r="W40">
        <f>HYPERLINK("https://klasma.github.io/Logging_1981/klagomålsmail/A 69362-2020 FSC-klagomål mail.docx", "A 69362-2020")</f>
        <v/>
      </c>
      <c r="X40">
        <f>HYPERLINK("https://klasma.github.io/Logging_1981/tillsyn/A 69362-2020 tillsynsbegäran.docx", "A 69362-2020")</f>
        <v/>
      </c>
      <c r="Y40">
        <f>HYPERLINK("https://klasma.github.io/Logging_1981/tillsynsmail/A 69362-2020 tillsynsbegäran mail.docx", "A 69362-2020")</f>
        <v/>
      </c>
      <c r="Z40">
        <f>HYPERLINK("https://klasma.github.io/Logging_1981/fåglar/A 69362-2020 prioriterade fågelarter.docx", "A 69362-2020")</f>
        <v/>
      </c>
    </row>
    <row r="41" ht="15" customHeight="1">
      <c r="A41" t="inlineStr">
        <is>
          <t>A 43175-2023</t>
        </is>
      </c>
      <c r="B41" s="1" t="n">
        <v>45183</v>
      </c>
      <c r="C41" s="1" t="n">
        <v>45933</v>
      </c>
      <c r="D41" t="inlineStr">
        <is>
          <t>VÄSTMANLANDS LÄN</t>
        </is>
      </c>
      <c r="E41" t="inlineStr">
        <is>
          <t>SALA</t>
        </is>
      </c>
      <c r="G41" t="n">
        <v>5.6</v>
      </c>
      <c r="H41" t="n">
        <v>0</v>
      </c>
      <c r="I41" t="n">
        <v>1</v>
      </c>
      <c r="J41" t="n">
        <v>0</v>
      </c>
      <c r="K41" t="n">
        <v>0</v>
      </c>
      <c r="L41" t="n">
        <v>0</v>
      </c>
      <c r="M41" t="n">
        <v>0</v>
      </c>
      <c r="N41" t="n">
        <v>0</v>
      </c>
      <c r="O41" t="n">
        <v>0</v>
      </c>
      <c r="P41" t="n">
        <v>0</v>
      </c>
      <c r="Q41" t="n">
        <v>1</v>
      </c>
      <c r="R41" s="2" t="inlineStr">
        <is>
          <t>Grönpyrola</t>
        </is>
      </c>
      <c r="S41">
        <f>HYPERLINK("https://klasma.github.io/Logging_1981/artfynd/A 43175-2023 artfynd.xlsx", "A 43175-2023")</f>
        <v/>
      </c>
      <c r="T41">
        <f>HYPERLINK("https://klasma.github.io/Logging_1981/kartor/A 43175-2023 karta.png", "A 43175-2023")</f>
        <v/>
      </c>
      <c r="V41">
        <f>HYPERLINK("https://klasma.github.io/Logging_1981/klagomål/A 43175-2023 FSC-klagomål.docx", "A 43175-2023")</f>
        <v/>
      </c>
      <c r="W41">
        <f>HYPERLINK("https://klasma.github.io/Logging_1981/klagomålsmail/A 43175-2023 FSC-klagomål mail.docx", "A 43175-2023")</f>
        <v/>
      </c>
      <c r="X41">
        <f>HYPERLINK("https://klasma.github.io/Logging_1981/tillsyn/A 43175-2023 tillsynsbegäran.docx", "A 43175-2023")</f>
        <v/>
      </c>
      <c r="Y41">
        <f>HYPERLINK("https://klasma.github.io/Logging_1981/tillsynsmail/A 43175-2023 tillsynsbegäran mail.docx", "A 43175-2023")</f>
        <v/>
      </c>
    </row>
    <row r="42" ht="15" customHeight="1">
      <c r="A42" t="inlineStr">
        <is>
          <t>A 56704-2022</t>
        </is>
      </c>
      <c r="B42" s="1" t="n">
        <v>44893.78075231481</v>
      </c>
      <c r="C42" s="1" t="n">
        <v>45933</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32594-2025</t>
        </is>
      </c>
      <c r="B43" s="1" t="n">
        <v>45838</v>
      </c>
      <c r="C43" s="1" t="n">
        <v>45933</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41270-2024</t>
        </is>
      </c>
      <c r="B44" s="1" t="n">
        <v>45559</v>
      </c>
      <c r="C44" s="1" t="n">
        <v>45933</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22350-2024</t>
        </is>
      </c>
      <c r="B45" s="1" t="n">
        <v>45446</v>
      </c>
      <c r="C45" s="1" t="n">
        <v>45933</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38255-2025</t>
        </is>
      </c>
      <c r="B46" s="1" t="n">
        <v>45883.38020833334</v>
      </c>
      <c r="C46" s="1" t="n">
        <v>45933</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43068-2024</t>
        </is>
      </c>
      <c r="B47" s="1" t="n">
        <v>45567</v>
      </c>
      <c r="C47" s="1" t="n">
        <v>45933</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7731-2023</t>
        </is>
      </c>
      <c r="B48" s="1" t="n">
        <v>44973</v>
      </c>
      <c r="C48" s="1" t="n">
        <v>45933</v>
      </c>
      <c r="D48" t="inlineStr">
        <is>
          <t>VÄSTMANLANDS LÄN</t>
        </is>
      </c>
      <c r="E48" t="inlineStr">
        <is>
          <t>SALA</t>
        </is>
      </c>
      <c r="F48" t="inlineStr">
        <is>
          <t>Bergvik skog öst AB</t>
        </is>
      </c>
      <c r="G48" t="n">
        <v>1.7</v>
      </c>
      <c r="H48" t="n">
        <v>1</v>
      </c>
      <c r="I48" t="n">
        <v>0</v>
      </c>
      <c r="J48" t="n">
        <v>1</v>
      </c>
      <c r="K48" t="n">
        <v>0</v>
      </c>
      <c r="L48" t="n">
        <v>0</v>
      </c>
      <c r="M48" t="n">
        <v>0</v>
      </c>
      <c r="N48" t="n">
        <v>0</v>
      </c>
      <c r="O48" t="n">
        <v>1</v>
      </c>
      <c r="P48" t="n">
        <v>0</v>
      </c>
      <c r="Q48" t="n">
        <v>1</v>
      </c>
      <c r="R48" s="2" t="inlineStr">
        <is>
          <t>Ävjepilört</t>
        </is>
      </c>
      <c r="S48">
        <f>HYPERLINK("https://klasma.github.io/Logging_1981/artfynd/A 7731-2023 artfynd.xlsx", "A 7731-2023")</f>
        <v/>
      </c>
      <c r="T48">
        <f>HYPERLINK("https://klasma.github.io/Logging_1981/kartor/A 7731-2023 karta.png", "A 7731-2023")</f>
        <v/>
      </c>
      <c r="V48">
        <f>HYPERLINK("https://klasma.github.io/Logging_1981/klagomål/A 7731-2023 FSC-klagomål.docx", "A 7731-2023")</f>
        <v/>
      </c>
      <c r="W48">
        <f>HYPERLINK("https://klasma.github.io/Logging_1981/klagomålsmail/A 7731-2023 FSC-klagomål mail.docx", "A 7731-2023")</f>
        <v/>
      </c>
      <c r="X48">
        <f>HYPERLINK("https://klasma.github.io/Logging_1981/tillsyn/A 7731-2023 tillsynsbegäran.docx", "A 7731-2023")</f>
        <v/>
      </c>
      <c r="Y48">
        <f>HYPERLINK("https://klasma.github.io/Logging_1981/tillsynsmail/A 7731-2023 tillsynsbegäran mail.docx", "A 7731-2023")</f>
        <v/>
      </c>
    </row>
    <row r="49" ht="15" customHeight="1">
      <c r="A49" t="inlineStr">
        <is>
          <t>A 12509-2023</t>
        </is>
      </c>
      <c r="B49" s="1" t="n">
        <v>44999.95988425926</v>
      </c>
      <c r="C49" s="1" t="n">
        <v>45933</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29985-2022</t>
        </is>
      </c>
      <c r="B50" s="1" t="n">
        <v>44756</v>
      </c>
      <c r="C50" s="1" t="n">
        <v>45933</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60852-2024</t>
        </is>
      </c>
      <c r="B51" s="1" t="n">
        <v>45644</v>
      </c>
      <c r="C51" s="1" t="n">
        <v>45933</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7919-2022</t>
        </is>
      </c>
      <c r="B52" s="1" t="n">
        <v>44608</v>
      </c>
      <c r="C52" s="1" t="n">
        <v>45933</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14775-2023</t>
        </is>
      </c>
      <c r="B53" s="1" t="n">
        <v>45014</v>
      </c>
      <c r="C53" s="1" t="n">
        <v>45933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19361-2025</t>
        </is>
      </c>
      <c r="B54" s="1" t="n">
        <v>45769.63357638889</v>
      </c>
      <c r="C54" s="1" t="n">
        <v>45933</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45933</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56014-2020</t>
        </is>
      </c>
      <c r="B56" s="1" t="n">
        <v>44132</v>
      </c>
      <c r="C56" s="1" t="n">
        <v>45933</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29727-2023</t>
        </is>
      </c>
      <c r="B57" s="1" t="n">
        <v>45107</v>
      </c>
      <c r="C57" s="1" t="n">
        <v>45933</v>
      </c>
      <c r="D57" t="inlineStr">
        <is>
          <t>VÄSTMANLANDS LÄN</t>
        </is>
      </c>
      <c r="E57" t="inlineStr">
        <is>
          <t>SALA</t>
        </is>
      </c>
      <c r="G57" t="n">
        <v>1.9</v>
      </c>
      <c r="H57" t="n">
        <v>0</v>
      </c>
      <c r="I57" t="n">
        <v>0</v>
      </c>
      <c r="J57" t="n">
        <v>1</v>
      </c>
      <c r="K57" t="n">
        <v>0</v>
      </c>
      <c r="L57" t="n">
        <v>0</v>
      </c>
      <c r="M57" t="n">
        <v>0</v>
      </c>
      <c r="N57" t="n">
        <v>0</v>
      </c>
      <c r="O57" t="n">
        <v>1</v>
      </c>
      <c r="P57" t="n">
        <v>0</v>
      </c>
      <c r="Q57" t="n">
        <v>1</v>
      </c>
      <c r="R57" s="2" t="inlineStr">
        <is>
          <t>Vedtrappmossa</t>
        </is>
      </c>
      <c r="S57">
        <f>HYPERLINK("https://klasma.github.io/Logging_1981/artfynd/A 29727-2023 artfynd.xlsx", "A 29727-2023")</f>
        <v/>
      </c>
      <c r="T57">
        <f>HYPERLINK("https://klasma.github.io/Logging_1981/kartor/A 29727-2023 karta.png", "A 29727-2023")</f>
        <v/>
      </c>
      <c r="V57">
        <f>HYPERLINK("https://klasma.github.io/Logging_1981/klagomål/A 29727-2023 FSC-klagomål.docx", "A 29727-2023")</f>
        <v/>
      </c>
      <c r="W57">
        <f>HYPERLINK("https://klasma.github.io/Logging_1981/klagomålsmail/A 29727-2023 FSC-klagomål mail.docx", "A 29727-2023")</f>
        <v/>
      </c>
      <c r="X57">
        <f>HYPERLINK("https://klasma.github.io/Logging_1981/tillsyn/A 29727-2023 tillsynsbegäran.docx", "A 29727-2023")</f>
        <v/>
      </c>
      <c r="Y57">
        <f>HYPERLINK("https://klasma.github.io/Logging_1981/tillsynsmail/A 29727-2023 tillsynsbegäran mail.docx", "A 29727-2023")</f>
        <v/>
      </c>
    </row>
    <row r="58" ht="15" customHeight="1">
      <c r="A58" t="inlineStr">
        <is>
          <t>A 37166-2024</t>
        </is>
      </c>
      <c r="B58" s="1" t="n">
        <v>45539</v>
      </c>
      <c r="C58" s="1" t="n">
        <v>45933</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55550-2023</t>
        </is>
      </c>
      <c r="B59" s="1" t="n">
        <v>45232</v>
      </c>
      <c r="C59" s="1" t="n">
        <v>45933</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21738-2025</t>
        </is>
      </c>
      <c r="B60" s="1" t="n">
        <v>45783.59173611111</v>
      </c>
      <c r="C60" s="1" t="n">
        <v>45933</v>
      </c>
      <c r="D60" t="inlineStr">
        <is>
          <t>VÄSTMANLANDS LÄN</t>
        </is>
      </c>
      <c r="E60" t="inlineStr">
        <is>
          <t>SALA</t>
        </is>
      </c>
      <c r="G60" t="n">
        <v>2.1</v>
      </c>
      <c r="H60" t="n">
        <v>0</v>
      </c>
      <c r="I60" t="n">
        <v>0</v>
      </c>
      <c r="J60" t="n">
        <v>1</v>
      </c>
      <c r="K60" t="n">
        <v>0</v>
      </c>
      <c r="L60" t="n">
        <v>0</v>
      </c>
      <c r="M60" t="n">
        <v>0</v>
      </c>
      <c r="N60" t="n">
        <v>0</v>
      </c>
      <c r="O60" t="n">
        <v>1</v>
      </c>
      <c r="P60" t="n">
        <v>0</v>
      </c>
      <c r="Q60" t="n">
        <v>1</v>
      </c>
      <c r="R60" s="2" t="inlineStr">
        <is>
          <t>Motaggsvamp</t>
        </is>
      </c>
      <c r="S60">
        <f>HYPERLINK("https://klasma.github.io/Logging_1981/artfynd/A 21738-2025 artfynd.xlsx", "A 21738-2025")</f>
        <v/>
      </c>
      <c r="T60">
        <f>HYPERLINK("https://klasma.github.io/Logging_1981/kartor/A 21738-2025 karta.png", "A 21738-2025")</f>
        <v/>
      </c>
      <c r="V60">
        <f>HYPERLINK("https://klasma.github.io/Logging_1981/klagomål/A 21738-2025 FSC-klagomål.docx", "A 21738-2025")</f>
        <v/>
      </c>
      <c r="W60">
        <f>HYPERLINK("https://klasma.github.io/Logging_1981/klagomålsmail/A 21738-2025 FSC-klagomål mail.docx", "A 21738-2025")</f>
        <v/>
      </c>
      <c r="X60">
        <f>HYPERLINK("https://klasma.github.io/Logging_1981/tillsyn/A 21738-2025 tillsynsbegäran.docx", "A 21738-2025")</f>
        <v/>
      </c>
      <c r="Y60">
        <f>HYPERLINK("https://klasma.github.io/Logging_1981/tillsynsmail/A 21738-2025 tillsynsbegäran mail.docx", "A 21738-2025")</f>
        <v/>
      </c>
    </row>
    <row r="61" ht="15" customHeight="1">
      <c r="A61" t="inlineStr">
        <is>
          <t>A 22950-2025</t>
        </is>
      </c>
      <c r="B61" s="1" t="n">
        <v>45790.50728009259</v>
      </c>
      <c r="C61" s="1" t="n">
        <v>45933</v>
      </c>
      <c r="D61" t="inlineStr">
        <is>
          <t>VÄSTMANLANDS LÄN</t>
        </is>
      </c>
      <c r="E61" t="inlineStr">
        <is>
          <t>SALA</t>
        </is>
      </c>
      <c r="G61" t="n">
        <v>6.2</v>
      </c>
      <c r="H61" t="n">
        <v>1</v>
      </c>
      <c r="I61" t="n">
        <v>0</v>
      </c>
      <c r="J61" t="n">
        <v>1</v>
      </c>
      <c r="K61" t="n">
        <v>0</v>
      </c>
      <c r="L61" t="n">
        <v>0</v>
      </c>
      <c r="M61" t="n">
        <v>0</v>
      </c>
      <c r="N61" t="n">
        <v>0</v>
      </c>
      <c r="O61" t="n">
        <v>1</v>
      </c>
      <c r="P61" t="n">
        <v>0</v>
      </c>
      <c r="Q61" t="n">
        <v>1</v>
      </c>
      <c r="R61" s="2" t="inlineStr">
        <is>
          <t>Svartvit flugsnappare</t>
        </is>
      </c>
      <c r="S61">
        <f>HYPERLINK("https://klasma.github.io/Logging_1981/artfynd/A 22950-2025 artfynd.xlsx", "A 22950-2025")</f>
        <v/>
      </c>
      <c r="T61">
        <f>HYPERLINK("https://klasma.github.io/Logging_1981/kartor/A 22950-2025 karta.png", "A 22950-2025")</f>
        <v/>
      </c>
      <c r="V61">
        <f>HYPERLINK("https://klasma.github.io/Logging_1981/klagomål/A 22950-2025 FSC-klagomål.docx", "A 22950-2025")</f>
        <v/>
      </c>
      <c r="W61">
        <f>HYPERLINK("https://klasma.github.io/Logging_1981/klagomålsmail/A 22950-2025 FSC-klagomål mail.docx", "A 22950-2025")</f>
        <v/>
      </c>
      <c r="X61">
        <f>HYPERLINK("https://klasma.github.io/Logging_1981/tillsyn/A 22950-2025 tillsynsbegäran.docx", "A 22950-2025")</f>
        <v/>
      </c>
      <c r="Y61">
        <f>HYPERLINK("https://klasma.github.io/Logging_1981/tillsynsmail/A 22950-2025 tillsynsbegäran mail.docx", "A 22950-2025")</f>
        <v/>
      </c>
      <c r="Z61">
        <f>HYPERLINK("https://klasma.github.io/Logging_1981/fåglar/A 22950-2025 prioriterade fågelarter.docx", "A 22950-2025")</f>
        <v/>
      </c>
    </row>
    <row r="62" ht="15" customHeight="1">
      <c r="A62" t="inlineStr">
        <is>
          <t>A 58314-2020</t>
        </is>
      </c>
      <c r="B62" s="1" t="n">
        <v>44145</v>
      </c>
      <c r="C62" s="1" t="n">
        <v>45933</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45933</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45933</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45933</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45933</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45933</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45933</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45933</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45933</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45933</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45933</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45933</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45933</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45933</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45933</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45933</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45933</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45933</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45933</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45933</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45933</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45933</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45933</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45933</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45933</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45933</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45933</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45933</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45933</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45933</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45933</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45933</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45933</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45933</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45933</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45933</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45933</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45933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45933</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45933</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45933</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45933</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45933</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45933</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45933</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45933</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45933</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45933</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45933</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45933</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45933</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45933</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45933</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45933</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45933</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45933</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67962-2021</t>
        </is>
      </c>
      <c r="B125" s="1" t="n">
        <v>44525</v>
      </c>
      <c r="C125" s="1" t="n">
        <v>45933</v>
      </c>
      <c r="D125" t="inlineStr">
        <is>
          <t>VÄSTMANLANDS LÄN</t>
        </is>
      </c>
      <c r="E125" t="inlineStr">
        <is>
          <t>SALA</t>
        </is>
      </c>
      <c r="G125" t="n">
        <v>1.4</v>
      </c>
      <c r="H125" t="n">
        <v>0</v>
      </c>
      <c r="I125" t="n">
        <v>0</v>
      </c>
      <c r="J125" t="n">
        <v>0</v>
      </c>
      <c r="K125" t="n">
        <v>0</v>
      </c>
      <c r="L125" t="n">
        <v>0</v>
      </c>
      <c r="M125" t="n">
        <v>0</v>
      </c>
      <c r="N125" t="n">
        <v>0</v>
      </c>
      <c r="O125" t="n">
        <v>0</v>
      </c>
      <c r="P125" t="n">
        <v>0</v>
      </c>
      <c r="Q125" t="n">
        <v>0</v>
      </c>
      <c r="R125" s="2" t="inlineStr"/>
    </row>
    <row r="126" ht="15" customHeight="1">
      <c r="A126" t="inlineStr">
        <is>
          <t>A 44224-2022</t>
        </is>
      </c>
      <c r="B126" s="1" t="n">
        <v>44839.506875</v>
      </c>
      <c r="C126" s="1" t="n">
        <v>45933</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57517-2021</t>
        </is>
      </c>
      <c r="B127" s="1" t="n">
        <v>44483</v>
      </c>
      <c r="C127" s="1" t="n">
        <v>45933</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58781-2020</t>
        </is>
      </c>
      <c r="B128" s="1" t="n">
        <v>44146</v>
      </c>
      <c r="C128" s="1" t="n">
        <v>45933</v>
      </c>
      <c r="D128" t="inlineStr">
        <is>
          <t>VÄSTMANLANDS LÄN</t>
        </is>
      </c>
      <c r="E128" t="inlineStr">
        <is>
          <t>SALA</t>
        </is>
      </c>
      <c r="G128" t="n">
        <v>1.2</v>
      </c>
      <c r="H128" t="n">
        <v>0</v>
      </c>
      <c r="I128" t="n">
        <v>0</v>
      </c>
      <c r="J128" t="n">
        <v>0</v>
      </c>
      <c r="K128" t="n">
        <v>0</v>
      </c>
      <c r="L128" t="n">
        <v>0</v>
      </c>
      <c r="M128" t="n">
        <v>0</v>
      </c>
      <c r="N128" t="n">
        <v>0</v>
      </c>
      <c r="O128" t="n">
        <v>0</v>
      </c>
      <c r="P128" t="n">
        <v>0</v>
      </c>
      <c r="Q128" t="n">
        <v>0</v>
      </c>
      <c r="R128" s="2" t="inlineStr"/>
    </row>
    <row r="129" ht="15" customHeight="1">
      <c r="A129" t="inlineStr">
        <is>
          <t>A 25603-2022</t>
        </is>
      </c>
      <c r="B129" s="1" t="n">
        <v>44732</v>
      </c>
      <c r="C129" s="1" t="n">
        <v>45933</v>
      </c>
      <c r="D129" t="inlineStr">
        <is>
          <t>VÄSTMANLANDS LÄN</t>
        </is>
      </c>
      <c r="E129" t="inlineStr">
        <is>
          <t>SALA</t>
        </is>
      </c>
      <c r="G129" t="n">
        <v>2</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45933</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45933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72405-2021</t>
        </is>
      </c>
      <c r="B132" s="1" t="n">
        <v>44545</v>
      </c>
      <c r="C132" s="1" t="n">
        <v>45933</v>
      </c>
      <c r="D132" t="inlineStr">
        <is>
          <t>VÄSTMANLANDS LÄN</t>
        </is>
      </c>
      <c r="E132" t="inlineStr">
        <is>
          <t>SALA</t>
        </is>
      </c>
      <c r="G132" t="n">
        <v>1</v>
      </c>
      <c r="H132" t="n">
        <v>0</v>
      </c>
      <c r="I132" t="n">
        <v>0</v>
      </c>
      <c r="J132" t="n">
        <v>0</v>
      </c>
      <c r="K132" t="n">
        <v>0</v>
      </c>
      <c r="L132" t="n">
        <v>0</v>
      </c>
      <c r="M132" t="n">
        <v>0</v>
      </c>
      <c r="N132" t="n">
        <v>0</v>
      </c>
      <c r="O132" t="n">
        <v>0</v>
      </c>
      <c r="P132" t="n">
        <v>0</v>
      </c>
      <c r="Q132" t="n">
        <v>0</v>
      </c>
      <c r="R132" s="2" t="inlineStr"/>
    </row>
    <row r="133" ht="15" customHeight="1">
      <c r="A133" t="inlineStr">
        <is>
          <t>A 61415-2020</t>
        </is>
      </c>
      <c r="B133" s="1" t="n">
        <v>44156</v>
      </c>
      <c r="C133" s="1" t="n">
        <v>45933</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63290-2021</t>
        </is>
      </c>
      <c r="B134" s="1" t="n">
        <v>44505</v>
      </c>
      <c r="C134" s="1" t="n">
        <v>45933</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53628-2022</t>
        </is>
      </c>
      <c r="B135" s="1" t="n">
        <v>44879.87171296297</v>
      </c>
      <c r="C135" s="1" t="n">
        <v>45933</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24882-2022</t>
        </is>
      </c>
      <c r="B136" s="1" t="n">
        <v>44728.56488425926</v>
      </c>
      <c r="C136" s="1" t="n">
        <v>45933</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23847-2022</t>
        </is>
      </c>
      <c r="B137" s="1" t="n">
        <v>44722</v>
      </c>
      <c r="C137" s="1" t="n">
        <v>45933</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23757-2022</t>
        </is>
      </c>
      <c r="B138" s="1" t="n">
        <v>44722.37339120371</v>
      </c>
      <c r="C138" s="1" t="n">
        <v>45933</v>
      </c>
      <c r="D138" t="inlineStr">
        <is>
          <t>VÄSTMANLANDS LÄN</t>
        </is>
      </c>
      <c r="E138" t="inlineStr">
        <is>
          <t>SALA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73519-2021</t>
        </is>
      </c>
      <c r="B139" s="1" t="n">
        <v>44551</v>
      </c>
      <c r="C139" s="1" t="n">
        <v>45933</v>
      </c>
      <c r="D139" t="inlineStr">
        <is>
          <t>VÄSTMANLANDS LÄN</t>
        </is>
      </c>
      <c r="E139" t="inlineStr">
        <is>
          <t>SALA</t>
        </is>
      </c>
      <c r="G139" t="n">
        <v>0.3</v>
      </c>
      <c r="H139" t="n">
        <v>0</v>
      </c>
      <c r="I139" t="n">
        <v>0</v>
      </c>
      <c r="J139" t="n">
        <v>0</v>
      </c>
      <c r="K139" t="n">
        <v>0</v>
      </c>
      <c r="L139" t="n">
        <v>0</v>
      </c>
      <c r="M139" t="n">
        <v>0</v>
      </c>
      <c r="N139" t="n">
        <v>0</v>
      </c>
      <c r="O139" t="n">
        <v>0</v>
      </c>
      <c r="P139" t="n">
        <v>0</v>
      </c>
      <c r="Q139" t="n">
        <v>0</v>
      </c>
      <c r="R139" s="2" t="inlineStr"/>
    </row>
    <row r="140" ht="15" customHeight="1">
      <c r="A140" t="inlineStr">
        <is>
          <t>A 37881-2021</t>
        </is>
      </c>
      <c r="B140" s="1" t="n">
        <v>44403</v>
      </c>
      <c r="C140" s="1" t="n">
        <v>45933</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45933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72805-2021</t>
        </is>
      </c>
      <c r="B142" s="1" t="n">
        <v>44546</v>
      </c>
      <c r="C142" s="1" t="n">
        <v>45933</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72808-2021</t>
        </is>
      </c>
      <c r="B143" s="1" t="n">
        <v>44546</v>
      </c>
      <c r="C143" s="1" t="n">
        <v>45933</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45933</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45933</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40113-2022</t>
        </is>
      </c>
      <c r="B146" s="1" t="n">
        <v>44819</v>
      </c>
      <c r="C146" s="1" t="n">
        <v>45933</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30915-2021</t>
        </is>
      </c>
      <c r="B147" s="1" t="n">
        <v>44365</v>
      </c>
      <c r="C147" s="1" t="n">
        <v>45933</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30918-2021</t>
        </is>
      </c>
      <c r="B148" s="1" t="n">
        <v>44365.60569444444</v>
      </c>
      <c r="C148" s="1" t="n">
        <v>45933</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22562-2022</t>
        </is>
      </c>
      <c r="B149" s="1" t="n">
        <v>44713</v>
      </c>
      <c r="C149" s="1" t="n">
        <v>45933</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51596-2022</t>
        </is>
      </c>
      <c r="B150" s="1" t="n">
        <v>44871</v>
      </c>
      <c r="C150" s="1" t="n">
        <v>45933</v>
      </c>
      <c r="D150" t="inlineStr">
        <is>
          <t>VÄSTMANLANDS LÄN</t>
        </is>
      </c>
      <c r="E150" t="inlineStr">
        <is>
          <t>SALA</t>
        </is>
      </c>
      <c r="F150" t="inlineStr">
        <is>
          <t>Bergvik skog öst AB</t>
        </is>
      </c>
      <c r="G150" t="n">
        <v>1.2</v>
      </c>
      <c r="H150" t="n">
        <v>0</v>
      </c>
      <c r="I150" t="n">
        <v>0</v>
      </c>
      <c r="J150" t="n">
        <v>0</v>
      </c>
      <c r="K150" t="n">
        <v>0</v>
      </c>
      <c r="L150" t="n">
        <v>0</v>
      </c>
      <c r="M150" t="n">
        <v>0</v>
      </c>
      <c r="N150" t="n">
        <v>0</v>
      </c>
      <c r="O150" t="n">
        <v>0</v>
      </c>
      <c r="P150" t="n">
        <v>0</v>
      </c>
      <c r="Q150" t="n">
        <v>0</v>
      </c>
      <c r="R150" s="2" t="inlineStr"/>
    </row>
    <row r="151" ht="15" customHeight="1">
      <c r="A151" t="inlineStr">
        <is>
          <t>A 66508-2021</t>
        </is>
      </c>
      <c r="B151" s="1" t="n">
        <v>44519.33401620371</v>
      </c>
      <c r="C151" s="1" t="n">
        <v>45933</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30904-2021</t>
        </is>
      </c>
      <c r="B152" s="1" t="n">
        <v>44365.5983449074</v>
      </c>
      <c r="C152" s="1" t="n">
        <v>45933</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31452-2021</t>
        </is>
      </c>
      <c r="B153" s="1" t="n">
        <v>44369</v>
      </c>
      <c r="C153" s="1" t="n">
        <v>45933</v>
      </c>
      <c r="D153" t="inlineStr">
        <is>
          <t>VÄSTMANLANDS LÄN</t>
        </is>
      </c>
      <c r="E153" t="inlineStr">
        <is>
          <t>SALA</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9075-2022</t>
        </is>
      </c>
      <c r="B154" s="1" t="n">
        <v>44615.47800925926</v>
      </c>
      <c r="C154" s="1" t="n">
        <v>45933</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22811-2022</t>
        </is>
      </c>
      <c r="B155" s="1" t="n">
        <v>44715</v>
      </c>
      <c r="C155" s="1" t="n">
        <v>45933</v>
      </c>
      <c r="D155" t="inlineStr">
        <is>
          <t>VÄSTMANLANDS LÄN</t>
        </is>
      </c>
      <c r="E155" t="inlineStr">
        <is>
          <t>SALA</t>
        </is>
      </c>
      <c r="G155" t="n">
        <v>5</v>
      </c>
      <c r="H155" t="n">
        <v>0</v>
      </c>
      <c r="I155" t="n">
        <v>0</v>
      </c>
      <c r="J155" t="n">
        <v>0</v>
      </c>
      <c r="K155" t="n">
        <v>0</v>
      </c>
      <c r="L155" t="n">
        <v>0</v>
      </c>
      <c r="M155" t="n">
        <v>0</v>
      </c>
      <c r="N155" t="n">
        <v>0</v>
      </c>
      <c r="O155" t="n">
        <v>0</v>
      </c>
      <c r="P155" t="n">
        <v>0</v>
      </c>
      <c r="Q155" t="n">
        <v>0</v>
      </c>
      <c r="R155" s="2" t="inlineStr"/>
    </row>
    <row r="156" ht="15" customHeight="1">
      <c r="A156" t="inlineStr">
        <is>
          <t>A 29002-2022</t>
        </is>
      </c>
      <c r="B156" s="1" t="n">
        <v>44749</v>
      </c>
      <c r="C156" s="1" t="n">
        <v>45933</v>
      </c>
      <c r="D156" t="inlineStr">
        <is>
          <t>VÄSTMANLANDS LÄN</t>
        </is>
      </c>
      <c r="E156" t="inlineStr">
        <is>
          <t>SALA</t>
        </is>
      </c>
      <c r="G156" t="n">
        <v>5.4</v>
      </c>
      <c r="H156" t="n">
        <v>0</v>
      </c>
      <c r="I156" t="n">
        <v>0</v>
      </c>
      <c r="J156" t="n">
        <v>0</v>
      </c>
      <c r="K156" t="n">
        <v>0</v>
      </c>
      <c r="L156" t="n">
        <v>0</v>
      </c>
      <c r="M156" t="n">
        <v>0</v>
      </c>
      <c r="N156" t="n">
        <v>0</v>
      </c>
      <c r="O156" t="n">
        <v>0</v>
      </c>
      <c r="P156" t="n">
        <v>0</v>
      </c>
      <c r="Q156" t="n">
        <v>0</v>
      </c>
      <c r="R156" s="2" t="inlineStr"/>
    </row>
    <row r="157" ht="15" customHeight="1">
      <c r="A157" t="inlineStr">
        <is>
          <t>A 65213-2021</t>
        </is>
      </c>
      <c r="B157" s="1" t="n">
        <v>44515</v>
      </c>
      <c r="C157" s="1" t="n">
        <v>45933</v>
      </c>
      <c r="D157" t="inlineStr">
        <is>
          <t>VÄSTMANLANDS LÄN</t>
        </is>
      </c>
      <c r="E157" t="inlineStr">
        <is>
          <t>SALA</t>
        </is>
      </c>
      <c r="G157" t="n">
        <v>0.6</v>
      </c>
      <c r="H157" t="n">
        <v>0</v>
      </c>
      <c r="I157" t="n">
        <v>0</v>
      </c>
      <c r="J157" t="n">
        <v>0</v>
      </c>
      <c r="K157" t="n">
        <v>0</v>
      </c>
      <c r="L157" t="n">
        <v>0</v>
      </c>
      <c r="M157" t="n">
        <v>0</v>
      </c>
      <c r="N157" t="n">
        <v>0</v>
      </c>
      <c r="O157" t="n">
        <v>0</v>
      </c>
      <c r="P157" t="n">
        <v>0</v>
      </c>
      <c r="Q157" t="n">
        <v>0</v>
      </c>
      <c r="R157" s="2" t="inlineStr"/>
    </row>
    <row r="158" ht="15" customHeight="1">
      <c r="A158" t="inlineStr">
        <is>
          <t>A 29233-2022</t>
        </is>
      </c>
      <c r="B158" s="1" t="n">
        <v>44750</v>
      </c>
      <c r="C158" s="1" t="n">
        <v>45933</v>
      </c>
      <c r="D158" t="inlineStr">
        <is>
          <t>VÄSTMANLANDS LÄN</t>
        </is>
      </c>
      <c r="E158" t="inlineStr">
        <is>
          <t>SALA</t>
        </is>
      </c>
      <c r="G158" t="n">
        <v>2.4</v>
      </c>
      <c r="H158" t="n">
        <v>0</v>
      </c>
      <c r="I158" t="n">
        <v>0</v>
      </c>
      <c r="J158" t="n">
        <v>0</v>
      </c>
      <c r="K158" t="n">
        <v>0</v>
      </c>
      <c r="L158" t="n">
        <v>0</v>
      </c>
      <c r="M158" t="n">
        <v>0</v>
      </c>
      <c r="N158" t="n">
        <v>0</v>
      </c>
      <c r="O158" t="n">
        <v>0</v>
      </c>
      <c r="P158" t="n">
        <v>0</v>
      </c>
      <c r="Q158" t="n">
        <v>0</v>
      </c>
      <c r="R158" s="2" t="inlineStr"/>
    </row>
    <row r="159" ht="15" customHeight="1">
      <c r="A159" t="inlineStr">
        <is>
          <t>A 23181-2022</t>
        </is>
      </c>
      <c r="B159" s="1" t="n">
        <v>44719.79537037037</v>
      </c>
      <c r="C159" s="1" t="n">
        <v>45933</v>
      </c>
      <c r="D159" t="inlineStr">
        <is>
          <t>VÄSTMANLANDS LÄN</t>
        </is>
      </c>
      <c r="E159" t="inlineStr">
        <is>
          <t>SALA</t>
        </is>
      </c>
      <c r="G159" t="n">
        <v>0.8</v>
      </c>
      <c r="H159" t="n">
        <v>0</v>
      </c>
      <c r="I159" t="n">
        <v>0</v>
      </c>
      <c r="J159" t="n">
        <v>0</v>
      </c>
      <c r="K159" t="n">
        <v>0</v>
      </c>
      <c r="L159" t="n">
        <v>0</v>
      </c>
      <c r="M159" t="n">
        <v>0</v>
      </c>
      <c r="N159" t="n">
        <v>0</v>
      </c>
      <c r="O159" t="n">
        <v>0</v>
      </c>
      <c r="P159" t="n">
        <v>0</v>
      </c>
      <c r="Q159" t="n">
        <v>0</v>
      </c>
      <c r="R159" s="2" t="inlineStr"/>
    </row>
    <row r="160" ht="15" customHeight="1">
      <c r="A160" t="inlineStr">
        <is>
          <t>A 65860-2021</t>
        </is>
      </c>
      <c r="B160" s="1" t="n">
        <v>44517.38163194444</v>
      </c>
      <c r="C160" s="1" t="n">
        <v>45933</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45933</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66830-2021</t>
        </is>
      </c>
      <c r="B162" s="1" t="n">
        <v>44522.40886574074</v>
      </c>
      <c r="C162" s="1" t="n">
        <v>45933</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58912-2020</t>
        </is>
      </c>
      <c r="B163" s="1" t="n">
        <v>44146</v>
      </c>
      <c r="C163" s="1" t="n">
        <v>45933</v>
      </c>
      <c r="D163" t="inlineStr">
        <is>
          <t>VÄSTMANLANDS LÄN</t>
        </is>
      </c>
      <c r="E163" t="inlineStr">
        <is>
          <t>SALA</t>
        </is>
      </c>
      <c r="G163" t="n">
        <v>1.1</v>
      </c>
      <c r="H163" t="n">
        <v>0</v>
      </c>
      <c r="I163" t="n">
        <v>0</v>
      </c>
      <c r="J163" t="n">
        <v>0</v>
      </c>
      <c r="K163" t="n">
        <v>0</v>
      </c>
      <c r="L163" t="n">
        <v>0</v>
      </c>
      <c r="M163" t="n">
        <v>0</v>
      </c>
      <c r="N163" t="n">
        <v>0</v>
      </c>
      <c r="O163" t="n">
        <v>0</v>
      </c>
      <c r="P163" t="n">
        <v>0</v>
      </c>
      <c r="Q163" t="n">
        <v>0</v>
      </c>
      <c r="R163" s="2" t="inlineStr"/>
    </row>
    <row r="164" ht="15" customHeight="1">
      <c r="A164" t="inlineStr">
        <is>
          <t>A 28402-2022</t>
        </is>
      </c>
      <c r="B164" s="1" t="n">
        <v>44747</v>
      </c>
      <c r="C164" s="1" t="n">
        <v>45933</v>
      </c>
      <c r="D164" t="inlineStr">
        <is>
          <t>VÄSTMANLANDS LÄN</t>
        </is>
      </c>
      <c r="E164" t="inlineStr">
        <is>
          <t>SALA</t>
        </is>
      </c>
      <c r="G164" t="n">
        <v>0.6</v>
      </c>
      <c r="H164" t="n">
        <v>0</v>
      </c>
      <c r="I164" t="n">
        <v>0</v>
      </c>
      <c r="J164" t="n">
        <v>0</v>
      </c>
      <c r="K164" t="n">
        <v>0</v>
      </c>
      <c r="L164" t="n">
        <v>0</v>
      </c>
      <c r="M164" t="n">
        <v>0</v>
      </c>
      <c r="N164" t="n">
        <v>0</v>
      </c>
      <c r="O164" t="n">
        <v>0</v>
      </c>
      <c r="P164" t="n">
        <v>0</v>
      </c>
      <c r="Q164" t="n">
        <v>0</v>
      </c>
      <c r="R164" s="2" t="inlineStr"/>
    </row>
    <row r="165" ht="15" customHeight="1">
      <c r="A165" t="inlineStr">
        <is>
          <t>A 73606-2021</t>
        </is>
      </c>
      <c r="B165" s="1" t="n">
        <v>44552</v>
      </c>
      <c r="C165" s="1" t="n">
        <v>45933</v>
      </c>
      <c r="D165" t="inlineStr">
        <is>
          <t>VÄSTMANLANDS LÄN</t>
        </is>
      </c>
      <c r="E165" t="inlineStr">
        <is>
          <t>SALA</t>
        </is>
      </c>
      <c r="G165" t="n">
        <v>1.5</v>
      </c>
      <c r="H165" t="n">
        <v>0</v>
      </c>
      <c r="I165" t="n">
        <v>0</v>
      </c>
      <c r="J165" t="n">
        <v>0</v>
      </c>
      <c r="K165" t="n">
        <v>0</v>
      </c>
      <c r="L165" t="n">
        <v>0</v>
      </c>
      <c r="M165" t="n">
        <v>0</v>
      </c>
      <c r="N165" t="n">
        <v>0</v>
      </c>
      <c r="O165" t="n">
        <v>0</v>
      </c>
      <c r="P165" t="n">
        <v>0</v>
      </c>
      <c r="Q165" t="n">
        <v>0</v>
      </c>
      <c r="R165" s="2" t="inlineStr"/>
    </row>
    <row r="166" ht="15" customHeight="1">
      <c r="A166" t="inlineStr">
        <is>
          <t>A 8130-2022</t>
        </is>
      </c>
      <c r="B166" s="1" t="n">
        <v>44609.5984837963</v>
      </c>
      <c r="C166" s="1" t="n">
        <v>45933</v>
      </c>
      <c r="D166" t="inlineStr">
        <is>
          <t>VÄSTMANLANDS LÄN</t>
        </is>
      </c>
      <c r="E166" t="inlineStr">
        <is>
          <t>SALA</t>
        </is>
      </c>
      <c r="G166" t="n">
        <v>3.5</v>
      </c>
      <c r="H166" t="n">
        <v>0</v>
      </c>
      <c r="I166" t="n">
        <v>0</v>
      </c>
      <c r="J166" t="n">
        <v>0</v>
      </c>
      <c r="K166" t="n">
        <v>0</v>
      </c>
      <c r="L166" t="n">
        <v>0</v>
      </c>
      <c r="M166" t="n">
        <v>0</v>
      </c>
      <c r="N166" t="n">
        <v>0</v>
      </c>
      <c r="O166" t="n">
        <v>0</v>
      </c>
      <c r="P166" t="n">
        <v>0</v>
      </c>
      <c r="Q166" t="n">
        <v>0</v>
      </c>
      <c r="R166" s="2" t="inlineStr"/>
    </row>
    <row r="167" ht="15" customHeight="1">
      <c r="A167" t="inlineStr">
        <is>
          <t>A 22575-2022</t>
        </is>
      </c>
      <c r="B167" s="1" t="n">
        <v>44713</v>
      </c>
      <c r="C167" s="1" t="n">
        <v>45933</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65818-2021</t>
        </is>
      </c>
      <c r="B168" s="1" t="n">
        <v>44517</v>
      </c>
      <c r="C168" s="1" t="n">
        <v>45933</v>
      </c>
      <c r="D168" t="inlineStr">
        <is>
          <t>VÄSTMANLANDS LÄN</t>
        </is>
      </c>
      <c r="E168" t="inlineStr">
        <is>
          <t>SALA</t>
        </is>
      </c>
      <c r="G168" t="n">
        <v>0.6</v>
      </c>
      <c r="H168" t="n">
        <v>0</v>
      </c>
      <c r="I168" t="n">
        <v>0</v>
      </c>
      <c r="J168" t="n">
        <v>0</v>
      </c>
      <c r="K168" t="n">
        <v>0</v>
      </c>
      <c r="L168" t="n">
        <v>0</v>
      </c>
      <c r="M168" t="n">
        <v>0</v>
      </c>
      <c r="N168" t="n">
        <v>0</v>
      </c>
      <c r="O168" t="n">
        <v>0</v>
      </c>
      <c r="P168" t="n">
        <v>0</v>
      </c>
      <c r="Q168" t="n">
        <v>0</v>
      </c>
      <c r="R168" s="2" t="inlineStr"/>
    </row>
    <row r="169" ht="15" customHeight="1">
      <c r="A169" t="inlineStr">
        <is>
          <t>A 69192-2020</t>
        </is>
      </c>
      <c r="B169" s="1" t="n">
        <v>44191</v>
      </c>
      <c r="C169" s="1" t="n">
        <v>45933</v>
      </c>
      <c r="D169" t="inlineStr">
        <is>
          <t>VÄSTMANLANDS LÄN</t>
        </is>
      </c>
      <c r="E169" t="inlineStr">
        <is>
          <t>SALA</t>
        </is>
      </c>
      <c r="G169" t="n">
        <v>0.8</v>
      </c>
      <c r="H169" t="n">
        <v>0</v>
      </c>
      <c r="I169" t="n">
        <v>0</v>
      </c>
      <c r="J169" t="n">
        <v>0</v>
      </c>
      <c r="K169" t="n">
        <v>0</v>
      </c>
      <c r="L169" t="n">
        <v>0</v>
      </c>
      <c r="M169" t="n">
        <v>0</v>
      </c>
      <c r="N169" t="n">
        <v>0</v>
      </c>
      <c r="O169" t="n">
        <v>0</v>
      </c>
      <c r="P169" t="n">
        <v>0</v>
      </c>
      <c r="Q169" t="n">
        <v>0</v>
      </c>
      <c r="R169" s="2" t="inlineStr"/>
    </row>
    <row r="170" ht="15" customHeight="1">
      <c r="A170" t="inlineStr">
        <is>
          <t>A 41876-2022</t>
        </is>
      </c>
      <c r="B170" s="1" t="n">
        <v>44829.97008101852</v>
      </c>
      <c r="C170" s="1" t="n">
        <v>45933</v>
      </c>
      <c r="D170" t="inlineStr">
        <is>
          <t>VÄSTMANLANDS LÄN</t>
        </is>
      </c>
      <c r="E170" t="inlineStr">
        <is>
          <t>SALA</t>
        </is>
      </c>
      <c r="G170" t="n">
        <v>3.6</v>
      </c>
      <c r="H170" t="n">
        <v>0</v>
      </c>
      <c r="I170" t="n">
        <v>0</v>
      </c>
      <c r="J170" t="n">
        <v>0</v>
      </c>
      <c r="K170" t="n">
        <v>0</v>
      </c>
      <c r="L170" t="n">
        <v>0</v>
      </c>
      <c r="M170" t="n">
        <v>0</v>
      </c>
      <c r="N170" t="n">
        <v>0</v>
      </c>
      <c r="O170" t="n">
        <v>0</v>
      </c>
      <c r="P170" t="n">
        <v>0</v>
      </c>
      <c r="Q170" t="n">
        <v>0</v>
      </c>
      <c r="R170" s="2" t="inlineStr"/>
    </row>
    <row r="171" ht="15" customHeight="1">
      <c r="A171" t="inlineStr">
        <is>
          <t>A 67958-2021</t>
        </is>
      </c>
      <c r="B171" s="1" t="n">
        <v>44525</v>
      </c>
      <c r="C171" s="1" t="n">
        <v>45933</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67965-2021</t>
        </is>
      </c>
      <c r="B172" s="1" t="n">
        <v>44525</v>
      </c>
      <c r="C172" s="1" t="n">
        <v>45933</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53735-2022</t>
        </is>
      </c>
      <c r="B173" s="1" t="n">
        <v>44880.42752314815</v>
      </c>
      <c r="C173" s="1" t="n">
        <v>45933</v>
      </c>
      <c r="D173" t="inlineStr">
        <is>
          <t>VÄSTMANLANDS LÄN</t>
        </is>
      </c>
      <c r="E173" t="inlineStr">
        <is>
          <t>SALA</t>
        </is>
      </c>
      <c r="F173" t="inlineStr">
        <is>
          <t>Bergvik skog öst AB</t>
        </is>
      </c>
      <c r="G173" t="n">
        <v>1.8</v>
      </c>
      <c r="H173" t="n">
        <v>0</v>
      </c>
      <c r="I173" t="n">
        <v>0</v>
      </c>
      <c r="J173" t="n">
        <v>0</v>
      </c>
      <c r="K173" t="n">
        <v>0</v>
      </c>
      <c r="L173" t="n">
        <v>0</v>
      </c>
      <c r="M173" t="n">
        <v>0</v>
      </c>
      <c r="N173" t="n">
        <v>0</v>
      </c>
      <c r="O173" t="n">
        <v>0</v>
      </c>
      <c r="P173" t="n">
        <v>0</v>
      </c>
      <c r="Q173" t="n">
        <v>0</v>
      </c>
      <c r="R173" s="2" t="inlineStr"/>
    </row>
    <row r="174" ht="15" customHeight="1">
      <c r="A174" t="inlineStr">
        <is>
          <t>A 40094-2022</t>
        </is>
      </c>
      <c r="B174" s="1" t="n">
        <v>44819</v>
      </c>
      <c r="C174" s="1" t="n">
        <v>45933</v>
      </c>
      <c r="D174" t="inlineStr">
        <is>
          <t>VÄSTMANLANDS LÄN</t>
        </is>
      </c>
      <c r="E174" t="inlineStr">
        <is>
          <t>SALA</t>
        </is>
      </c>
      <c r="G174" t="n">
        <v>1.7</v>
      </c>
      <c r="H174" t="n">
        <v>0</v>
      </c>
      <c r="I174" t="n">
        <v>0</v>
      </c>
      <c r="J174" t="n">
        <v>0</v>
      </c>
      <c r="K174" t="n">
        <v>0</v>
      </c>
      <c r="L174" t="n">
        <v>0</v>
      </c>
      <c r="M174" t="n">
        <v>0</v>
      </c>
      <c r="N174" t="n">
        <v>0</v>
      </c>
      <c r="O174" t="n">
        <v>0</v>
      </c>
      <c r="P174" t="n">
        <v>0</v>
      </c>
      <c r="Q174" t="n">
        <v>0</v>
      </c>
      <c r="R174" s="2" t="inlineStr"/>
    </row>
    <row r="175" ht="15" customHeight="1">
      <c r="A175" t="inlineStr">
        <is>
          <t>A 55881-2020</t>
        </is>
      </c>
      <c r="B175" s="1" t="n">
        <v>44132</v>
      </c>
      <c r="C175" s="1" t="n">
        <v>45933</v>
      </c>
      <c r="D175" t="inlineStr">
        <is>
          <t>VÄSTMANLANDS LÄN</t>
        </is>
      </c>
      <c r="E175" t="inlineStr">
        <is>
          <t>SALA</t>
        </is>
      </c>
      <c r="G175" t="n">
        <v>3</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45933</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14047-2021</t>
        </is>
      </c>
      <c r="B177" s="1" t="n">
        <v>44277</v>
      </c>
      <c r="C177" s="1" t="n">
        <v>45933</v>
      </c>
      <c r="D177" t="inlineStr">
        <is>
          <t>VÄSTMANLANDS LÄN</t>
        </is>
      </c>
      <c r="E177" t="inlineStr">
        <is>
          <t>SALA</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65856-2021</t>
        </is>
      </c>
      <c r="B178" s="1" t="n">
        <v>44517</v>
      </c>
      <c r="C178" s="1" t="n">
        <v>45933</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9050-2022</t>
        </is>
      </c>
      <c r="B179" s="1" t="n">
        <v>44615.45451388889</v>
      </c>
      <c r="C179" s="1" t="n">
        <v>45933</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53630-2022</t>
        </is>
      </c>
      <c r="B180" s="1" t="n">
        <v>44879.87533564815</v>
      </c>
      <c r="C180" s="1" t="n">
        <v>45933</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49254-2022</t>
        </is>
      </c>
      <c r="B181" s="1" t="n">
        <v>44861</v>
      </c>
      <c r="C181" s="1" t="n">
        <v>45933</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44544-2024</t>
        </is>
      </c>
      <c r="B182" s="1" t="n">
        <v>45574.46119212963</v>
      </c>
      <c r="C182" s="1" t="n">
        <v>45933</v>
      </c>
      <c r="D182" t="inlineStr">
        <is>
          <t>VÄSTMANLANDS LÄN</t>
        </is>
      </c>
      <c r="E182" t="inlineStr">
        <is>
          <t>SALA</t>
        </is>
      </c>
      <c r="G182" t="n">
        <v>3.3</v>
      </c>
      <c r="H182" t="n">
        <v>0</v>
      </c>
      <c r="I182" t="n">
        <v>0</v>
      </c>
      <c r="J182" t="n">
        <v>0</v>
      </c>
      <c r="K182" t="n">
        <v>0</v>
      </c>
      <c r="L182" t="n">
        <v>0</v>
      </c>
      <c r="M182" t="n">
        <v>0</v>
      </c>
      <c r="N182" t="n">
        <v>0</v>
      </c>
      <c r="O182" t="n">
        <v>0</v>
      </c>
      <c r="P182" t="n">
        <v>0</v>
      </c>
      <c r="Q182" t="n">
        <v>0</v>
      </c>
      <c r="R182" s="2" t="inlineStr"/>
    </row>
    <row r="183" ht="15" customHeight="1">
      <c r="A183" t="inlineStr">
        <is>
          <t>A 64729-2023</t>
        </is>
      </c>
      <c r="B183" s="1" t="n">
        <v>45281</v>
      </c>
      <c r="C183" s="1" t="n">
        <v>45933</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10168-2022</t>
        </is>
      </c>
      <c r="B184" s="1" t="n">
        <v>44622.37693287037</v>
      </c>
      <c r="C184" s="1" t="n">
        <v>45933</v>
      </c>
      <c r="D184" t="inlineStr">
        <is>
          <t>VÄSTMANLANDS LÄN</t>
        </is>
      </c>
      <c r="E184" t="inlineStr">
        <is>
          <t>SALA</t>
        </is>
      </c>
      <c r="G184" t="n">
        <v>2.1</v>
      </c>
      <c r="H184" t="n">
        <v>0</v>
      </c>
      <c r="I184" t="n">
        <v>0</v>
      </c>
      <c r="J184" t="n">
        <v>0</v>
      </c>
      <c r="K184" t="n">
        <v>0</v>
      </c>
      <c r="L184" t="n">
        <v>0</v>
      </c>
      <c r="M184" t="n">
        <v>0</v>
      </c>
      <c r="N184" t="n">
        <v>0</v>
      </c>
      <c r="O184" t="n">
        <v>0</v>
      </c>
      <c r="P184" t="n">
        <v>0</v>
      </c>
      <c r="Q184" t="n">
        <v>0</v>
      </c>
      <c r="R184" s="2" t="inlineStr"/>
    </row>
    <row r="185" ht="15" customHeight="1">
      <c r="A185" t="inlineStr">
        <is>
          <t>A 11370-2022</t>
        </is>
      </c>
      <c r="B185" s="1" t="n">
        <v>44630</v>
      </c>
      <c r="C185" s="1" t="n">
        <v>45933</v>
      </c>
      <c r="D185" t="inlineStr">
        <is>
          <t>VÄSTMANLANDS LÄN</t>
        </is>
      </c>
      <c r="E185" t="inlineStr">
        <is>
          <t>SALA</t>
        </is>
      </c>
      <c r="G185" t="n">
        <v>4.3</v>
      </c>
      <c r="H185" t="n">
        <v>0</v>
      </c>
      <c r="I185" t="n">
        <v>0</v>
      </c>
      <c r="J185" t="n">
        <v>0</v>
      </c>
      <c r="K185" t="n">
        <v>0</v>
      </c>
      <c r="L185" t="n">
        <v>0</v>
      </c>
      <c r="M185" t="n">
        <v>0</v>
      </c>
      <c r="N185" t="n">
        <v>0</v>
      </c>
      <c r="O185" t="n">
        <v>0</v>
      </c>
      <c r="P185" t="n">
        <v>0</v>
      </c>
      <c r="Q185" t="n">
        <v>0</v>
      </c>
      <c r="R185" s="2" t="inlineStr"/>
    </row>
    <row r="186" ht="15" customHeight="1">
      <c r="A186" t="inlineStr">
        <is>
          <t>A 56098-2020</t>
        </is>
      </c>
      <c r="B186" s="1" t="n">
        <v>44132</v>
      </c>
      <c r="C186" s="1" t="n">
        <v>45933</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68864-2021</t>
        </is>
      </c>
      <c r="B187" s="1" t="n">
        <v>44530</v>
      </c>
      <c r="C187" s="1" t="n">
        <v>45933</v>
      </c>
      <c r="D187" t="inlineStr">
        <is>
          <t>VÄSTMANLANDS LÄN</t>
        </is>
      </c>
      <c r="E187" t="inlineStr">
        <is>
          <t>SALA</t>
        </is>
      </c>
      <c r="G187" t="n">
        <v>1.1</v>
      </c>
      <c r="H187" t="n">
        <v>0</v>
      </c>
      <c r="I187" t="n">
        <v>0</v>
      </c>
      <c r="J187" t="n">
        <v>0</v>
      </c>
      <c r="K187" t="n">
        <v>0</v>
      </c>
      <c r="L187" t="n">
        <v>0</v>
      </c>
      <c r="M187" t="n">
        <v>0</v>
      </c>
      <c r="N187" t="n">
        <v>0</v>
      </c>
      <c r="O187" t="n">
        <v>0</v>
      </c>
      <c r="P187" t="n">
        <v>0</v>
      </c>
      <c r="Q187" t="n">
        <v>0</v>
      </c>
      <c r="R187" s="2" t="inlineStr"/>
    </row>
    <row r="188" ht="15" customHeight="1">
      <c r="A188" t="inlineStr">
        <is>
          <t>A 35976-2024</t>
        </is>
      </c>
      <c r="B188" s="1" t="n">
        <v>45533.49555555556</v>
      </c>
      <c r="C188" s="1" t="n">
        <v>45933</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38636-2024</t>
        </is>
      </c>
      <c r="B189" s="1" t="n">
        <v>45546</v>
      </c>
      <c r="C189" s="1" t="n">
        <v>45933</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57000-2021</t>
        </is>
      </c>
      <c r="B190" s="1" t="n">
        <v>44482.46760416667</v>
      </c>
      <c r="C190" s="1" t="n">
        <v>45933</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71471-2021</t>
        </is>
      </c>
      <c r="B191" s="1" t="n">
        <v>44540.53421296296</v>
      </c>
      <c r="C191" s="1" t="n">
        <v>45933</v>
      </c>
      <c r="D191" t="inlineStr">
        <is>
          <t>VÄSTMANLANDS LÄN</t>
        </is>
      </c>
      <c r="E191" t="inlineStr">
        <is>
          <t>SALA</t>
        </is>
      </c>
      <c r="G191" t="n">
        <v>13</v>
      </c>
      <c r="H191" t="n">
        <v>0</v>
      </c>
      <c r="I191" t="n">
        <v>0</v>
      </c>
      <c r="J191" t="n">
        <v>0</v>
      </c>
      <c r="K191" t="n">
        <v>0</v>
      </c>
      <c r="L191" t="n">
        <v>0</v>
      </c>
      <c r="M191" t="n">
        <v>0</v>
      </c>
      <c r="N191" t="n">
        <v>0</v>
      </c>
      <c r="O191" t="n">
        <v>0</v>
      </c>
      <c r="P191" t="n">
        <v>0</v>
      </c>
      <c r="Q191" t="n">
        <v>0</v>
      </c>
      <c r="R191" s="2" t="inlineStr"/>
    </row>
    <row r="192" ht="15" customHeight="1">
      <c r="A192" t="inlineStr">
        <is>
          <t>A 26579-2021</t>
        </is>
      </c>
      <c r="B192" s="1" t="n">
        <v>44348</v>
      </c>
      <c r="C192" s="1" t="n">
        <v>45933</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8775-2024</t>
        </is>
      </c>
      <c r="B193" s="1" t="n">
        <v>45356</v>
      </c>
      <c r="C193" s="1" t="n">
        <v>45933</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64925-2023</t>
        </is>
      </c>
      <c r="B194" s="1" t="n">
        <v>45282</v>
      </c>
      <c r="C194" s="1" t="n">
        <v>45933</v>
      </c>
      <c r="D194" t="inlineStr">
        <is>
          <t>VÄSTMANLANDS LÄN</t>
        </is>
      </c>
      <c r="E194" t="inlineStr">
        <is>
          <t>SALA</t>
        </is>
      </c>
      <c r="G194" t="n">
        <v>2.5</v>
      </c>
      <c r="H194" t="n">
        <v>0</v>
      </c>
      <c r="I194" t="n">
        <v>0</v>
      </c>
      <c r="J194" t="n">
        <v>0</v>
      </c>
      <c r="K194" t="n">
        <v>0</v>
      </c>
      <c r="L194" t="n">
        <v>0</v>
      </c>
      <c r="M194" t="n">
        <v>0</v>
      </c>
      <c r="N194" t="n">
        <v>0</v>
      </c>
      <c r="O194" t="n">
        <v>0</v>
      </c>
      <c r="P194" t="n">
        <v>0</v>
      </c>
      <c r="Q194" t="n">
        <v>0</v>
      </c>
      <c r="R194" s="2" t="inlineStr"/>
    </row>
    <row r="195" ht="15" customHeight="1">
      <c r="A195" t="inlineStr">
        <is>
          <t>A 48570-2024</t>
        </is>
      </c>
      <c r="B195" s="1" t="n">
        <v>45591</v>
      </c>
      <c r="C195" s="1" t="n">
        <v>45933</v>
      </c>
      <c r="D195" t="inlineStr">
        <is>
          <t>VÄSTMANLANDS LÄN</t>
        </is>
      </c>
      <c r="E195" t="inlineStr">
        <is>
          <t>SALA</t>
        </is>
      </c>
      <c r="G195" t="n">
        <v>3</v>
      </c>
      <c r="H195" t="n">
        <v>0</v>
      </c>
      <c r="I195" t="n">
        <v>0</v>
      </c>
      <c r="J195" t="n">
        <v>0</v>
      </c>
      <c r="K195" t="n">
        <v>0</v>
      </c>
      <c r="L195" t="n">
        <v>0</v>
      </c>
      <c r="M195" t="n">
        <v>0</v>
      </c>
      <c r="N195" t="n">
        <v>0</v>
      </c>
      <c r="O195" t="n">
        <v>0</v>
      </c>
      <c r="P195" t="n">
        <v>0</v>
      </c>
      <c r="Q195" t="n">
        <v>0</v>
      </c>
      <c r="R195" s="2" t="inlineStr"/>
    </row>
    <row r="196" ht="15" customHeight="1">
      <c r="A196" t="inlineStr">
        <is>
          <t>A 61517-2024</t>
        </is>
      </c>
      <c r="B196" s="1" t="n">
        <v>45645</v>
      </c>
      <c r="C196" s="1" t="n">
        <v>45933</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16760-2024</t>
        </is>
      </c>
      <c r="B197" s="1" t="n">
        <v>45411</v>
      </c>
      <c r="C197" s="1" t="n">
        <v>45933</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53164-2024</t>
        </is>
      </c>
      <c r="B198" s="1" t="n">
        <v>45611.64887731482</v>
      </c>
      <c r="C198" s="1" t="n">
        <v>45933</v>
      </c>
      <c r="D198" t="inlineStr">
        <is>
          <t>VÄSTMANLANDS LÄN</t>
        </is>
      </c>
      <c r="E198" t="inlineStr">
        <is>
          <t>SALA</t>
        </is>
      </c>
      <c r="G198" t="n">
        <v>2.6</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45933</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39011-2023</t>
        </is>
      </c>
      <c r="B200" s="1" t="n">
        <v>45162</v>
      </c>
      <c r="C200" s="1" t="n">
        <v>45933</v>
      </c>
      <c r="D200" t="inlineStr">
        <is>
          <t>VÄSTMANLANDS LÄN</t>
        </is>
      </c>
      <c r="E200" t="inlineStr">
        <is>
          <t>SALA</t>
        </is>
      </c>
      <c r="G200" t="n">
        <v>1.6</v>
      </c>
      <c r="H200" t="n">
        <v>0</v>
      </c>
      <c r="I200" t="n">
        <v>0</v>
      </c>
      <c r="J200" t="n">
        <v>0</v>
      </c>
      <c r="K200" t="n">
        <v>0</v>
      </c>
      <c r="L200" t="n">
        <v>0</v>
      </c>
      <c r="M200" t="n">
        <v>0</v>
      </c>
      <c r="N200" t="n">
        <v>0</v>
      </c>
      <c r="O200" t="n">
        <v>0</v>
      </c>
      <c r="P200" t="n">
        <v>0</v>
      </c>
      <c r="Q200" t="n">
        <v>0</v>
      </c>
      <c r="R200" s="2" t="inlineStr"/>
    </row>
    <row r="201" ht="15" customHeight="1">
      <c r="A201" t="inlineStr">
        <is>
          <t>A 56547-2022</t>
        </is>
      </c>
      <c r="B201" s="1" t="n">
        <v>44893.48284722222</v>
      </c>
      <c r="C201" s="1" t="n">
        <v>45933</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26661-2025</t>
        </is>
      </c>
      <c r="B202" s="1" t="n">
        <v>45810</v>
      </c>
      <c r="C202" s="1" t="n">
        <v>45933</v>
      </c>
      <c r="D202" t="inlineStr">
        <is>
          <t>VÄSTMANLANDS LÄN</t>
        </is>
      </c>
      <c r="E202" t="inlineStr">
        <is>
          <t>SALA</t>
        </is>
      </c>
      <c r="G202" t="n">
        <v>3.5</v>
      </c>
      <c r="H202" t="n">
        <v>0</v>
      </c>
      <c r="I202" t="n">
        <v>0</v>
      </c>
      <c r="J202" t="n">
        <v>0</v>
      </c>
      <c r="K202" t="n">
        <v>0</v>
      </c>
      <c r="L202" t="n">
        <v>0</v>
      </c>
      <c r="M202" t="n">
        <v>0</v>
      </c>
      <c r="N202" t="n">
        <v>0</v>
      </c>
      <c r="O202" t="n">
        <v>0</v>
      </c>
      <c r="P202" t="n">
        <v>0</v>
      </c>
      <c r="Q202" t="n">
        <v>0</v>
      </c>
      <c r="R202" s="2" t="inlineStr"/>
    </row>
    <row r="203" ht="15" customHeight="1">
      <c r="A203" t="inlineStr">
        <is>
          <t>A 18762-2024</t>
        </is>
      </c>
      <c r="B203" s="1" t="n">
        <v>45426.55240740741</v>
      </c>
      <c r="C203" s="1" t="n">
        <v>45933</v>
      </c>
      <c r="D203" t="inlineStr">
        <is>
          <t>VÄSTMANLANDS LÄN</t>
        </is>
      </c>
      <c r="E203" t="inlineStr">
        <is>
          <t>SALA</t>
        </is>
      </c>
      <c r="G203" t="n">
        <v>6.2</v>
      </c>
      <c r="H203" t="n">
        <v>0</v>
      </c>
      <c r="I203" t="n">
        <v>0</v>
      </c>
      <c r="J203" t="n">
        <v>0</v>
      </c>
      <c r="K203" t="n">
        <v>0</v>
      </c>
      <c r="L203" t="n">
        <v>0</v>
      </c>
      <c r="M203" t="n">
        <v>0</v>
      </c>
      <c r="N203" t="n">
        <v>0</v>
      </c>
      <c r="O203" t="n">
        <v>0</v>
      </c>
      <c r="P203" t="n">
        <v>0</v>
      </c>
      <c r="Q203" t="n">
        <v>0</v>
      </c>
      <c r="R203" s="2" t="inlineStr"/>
    </row>
    <row r="204" ht="15" customHeight="1">
      <c r="A204" t="inlineStr">
        <is>
          <t>A 17120-2023</t>
        </is>
      </c>
      <c r="B204" s="1" t="n">
        <v>45034</v>
      </c>
      <c r="C204" s="1" t="n">
        <v>45933</v>
      </c>
      <c r="D204" t="inlineStr">
        <is>
          <t>VÄSTMANLANDS LÄN</t>
        </is>
      </c>
      <c r="E204" t="inlineStr">
        <is>
          <t>SALA</t>
        </is>
      </c>
      <c r="G204" t="n">
        <v>0.1</v>
      </c>
      <c r="H204" t="n">
        <v>0</v>
      </c>
      <c r="I204" t="n">
        <v>0</v>
      </c>
      <c r="J204" t="n">
        <v>0</v>
      </c>
      <c r="K204" t="n">
        <v>0</v>
      </c>
      <c r="L204" t="n">
        <v>0</v>
      </c>
      <c r="M204" t="n">
        <v>0</v>
      </c>
      <c r="N204" t="n">
        <v>0</v>
      </c>
      <c r="O204" t="n">
        <v>0</v>
      </c>
      <c r="P204" t="n">
        <v>0</v>
      </c>
      <c r="Q204" t="n">
        <v>0</v>
      </c>
      <c r="R204" s="2" t="inlineStr"/>
    </row>
    <row r="205" ht="15" customHeight="1">
      <c r="A205" t="inlineStr">
        <is>
          <t>A 42938-2023</t>
        </is>
      </c>
      <c r="B205" s="1" t="n">
        <v>45179</v>
      </c>
      <c r="C205" s="1" t="n">
        <v>45933</v>
      </c>
      <c r="D205" t="inlineStr">
        <is>
          <t>VÄSTMANLANDS LÄN</t>
        </is>
      </c>
      <c r="E205" t="inlineStr">
        <is>
          <t>SALA</t>
        </is>
      </c>
      <c r="G205" t="n">
        <v>10.9</v>
      </c>
      <c r="H205" t="n">
        <v>0</v>
      </c>
      <c r="I205" t="n">
        <v>0</v>
      </c>
      <c r="J205" t="n">
        <v>0</v>
      </c>
      <c r="K205" t="n">
        <v>0</v>
      </c>
      <c r="L205" t="n">
        <v>0</v>
      </c>
      <c r="M205" t="n">
        <v>0</v>
      </c>
      <c r="N205" t="n">
        <v>0</v>
      </c>
      <c r="O205" t="n">
        <v>0</v>
      </c>
      <c r="P205" t="n">
        <v>0</v>
      </c>
      <c r="Q205" t="n">
        <v>0</v>
      </c>
      <c r="R205" s="2" t="inlineStr"/>
    </row>
    <row r="206" ht="15" customHeight="1">
      <c r="A206" t="inlineStr">
        <is>
          <t>A 42984-2023</t>
        </is>
      </c>
      <c r="B206" s="1" t="n">
        <v>45179</v>
      </c>
      <c r="C206" s="1" t="n">
        <v>45933</v>
      </c>
      <c r="D206" t="inlineStr">
        <is>
          <t>VÄSTMANLANDS LÄN</t>
        </is>
      </c>
      <c r="E206" t="inlineStr">
        <is>
          <t>SALA</t>
        </is>
      </c>
      <c r="G206" t="n">
        <v>1.1</v>
      </c>
      <c r="H206" t="n">
        <v>0</v>
      </c>
      <c r="I206" t="n">
        <v>0</v>
      </c>
      <c r="J206" t="n">
        <v>0</v>
      </c>
      <c r="K206" t="n">
        <v>0</v>
      </c>
      <c r="L206" t="n">
        <v>0</v>
      </c>
      <c r="M206" t="n">
        <v>0</v>
      </c>
      <c r="N206" t="n">
        <v>0</v>
      </c>
      <c r="O206" t="n">
        <v>0</v>
      </c>
      <c r="P206" t="n">
        <v>0</v>
      </c>
      <c r="Q206" t="n">
        <v>0</v>
      </c>
      <c r="R206" s="2" t="inlineStr"/>
    </row>
    <row r="207" ht="15" customHeight="1">
      <c r="A207" t="inlineStr">
        <is>
          <t>A 15972-2024</t>
        </is>
      </c>
      <c r="B207" s="1" t="n">
        <v>45405.56498842593</v>
      </c>
      <c r="C207" s="1" t="n">
        <v>45933</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39714-2023</t>
        </is>
      </c>
      <c r="B208" s="1" t="n">
        <v>45167.62133101852</v>
      </c>
      <c r="C208" s="1" t="n">
        <v>45933</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56916-2022</t>
        </is>
      </c>
      <c r="B209" s="1" t="n">
        <v>44888</v>
      </c>
      <c r="C209" s="1" t="n">
        <v>45933</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64932-2021</t>
        </is>
      </c>
      <c r="B210" s="1" t="n">
        <v>44512</v>
      </c>
      <c r="C210" s="1" t="n">
        <v>45933</v>
      </c>
      <c r="D210" t="inlineStr">
        <is>
          <t>VÄSTMANLANDS LÄN</t>
        </is>
      </c>
      <c r="E210" t="inlineStr">
        <is>
          <t>SALA</t>
        </is>
      </c>
      <c r="G210" t="n">
        <v>0.8</v>
      </c>
      <c r="H210" t="n">
        <v>0</v>
      </c>
      <c r="I210" t="n">
        <v>0</v>
      </c>
      <c r="J210" t="n">
        <v>0</v>
      </c>
      <c r="K210" t="n">
        <v>0</v>
      </c>
      <c r="L210" t="n">
        <v>0</v>
      </c>
      <c r="M210" t="n">
        <v>0</v>
      </c>
      <c r="N210" t="n">
        <v>0</v>
      </c>
      <c r="O210" t="n">
        <v>0</v>
      </c>
      <c r="P210" t="n">
        <v>0</v>
      </c>
      <c r="Q210" t="n">
        <v>0</v>
      </c>
      <c r="R210" s="2" t="inlineStr"/>
    </row>
    <row r="211" ht="15" customHeight="1">
      <c r="A211" t="inlineStr">
        <is>
          <t>A 33527-2023</t>
        </is>
      </c>
      <c r="B211" s="1" t="n">
        <v>45131</v>
      </c>
      <c r="C211" s="1" t="n">
        <v>45933</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10913-2025</t>
        </is>
      </c>
      <c r="B212" s="1" t="n">
        <v>45722.73423611111</v>
      </c>
      <c r="C212" s="1" t="n">
        <v>45933</v>
      </c>
      <c r="D212" t="inlineStr">
        <is>
          <t>VÄSTMANLANDS LÄN</t>
        </is>
      </c>
      <c r="E212" t="inlineStr">
        <is>
          <t>SALA</t>
        </is>
      </c>
      <c r="G212" t="n">
        <v>7.6</v>
      </c>
      <c r="H212" t="n">
        <v>0</v>
      </c>
      <c r="I212" t="n">
        <v>0</v>
      </c>
      <c r="J212" t="n">
        <v>0</v>
      </c>
      <c r="K212" t="n">
        <v>0</v>
      </c>
      <c r="L212" t="n">
        <v>0</v>
      </c>
      <c r="M212" t="n">
        <v>0</v>
      </c>
      <c r="N212" t="n">
        <v>0</v>
      </c>
      <c r="O212" t="n">
        <v>0</v>
      </c>
      <c r="P212" t="n">
        <v>0</v>
      </c>
      <c r="Q212" t="n">
        <v>0</v>
      </c>
      <c r="R212" s="2" t="inlineStr"/>
    </row>
    <row r="213" ht="15" customHeight="1">
      <c r="A213" t="inlineStr">
        <is>
          <t>A 58107-2021</t>
        </is>
      </c>
      <c r="B213" s="1" t="n">
        <v>44487</v>
      </c>
      <c r="C213" s="1" t="n">
        <v>45933</v>
      </c>
      <c r="D213" t="inlineStr">
        <is>
          <t>VÄSTMANLANDS LÄN</t>
        </is>
      </c>
      <c r="E213" t="inlineStr">
        <is>
          <t>SALA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2927-2024</t>
        </is>
      </c>
      <c r="B214" s="1" t="n">
        <v>45315.58989583333</v>
      </c>
      <c r="C214" s="1" t="n">
        <v>45933</v>
      </c>
      <c r="D214" t="inlineStr">
        <is>
          <t>VÄSTMANLANDS LÄN</t>
        </is>
      </c>
      <c r="E214" t="inlineStr">
        <is>
          <t>SALA</t>
        </is>
      </c>
      <c r="G214" t="n">
        <v>2.5</v>
      </c>
      <c r="H214" t="n">
        <v>0</v>
      </c>
      <c r="I214" t="n">
        <v>0</v>
      </c>
      <c r="J214" t="n">
        <v>0</v>
      </c>
      <c r="K214" t="n">
        <v>0</v>
      </c>
      <c r="L214" t="n">
        <v>0</v>
      </c>
      <c r="M214" t="n">
        <v>0</v>
      </c>
      <c r="N214" t="n">
        <v>0</v>
      </c>
      <c r="O214" t="n">
        <v>0</v>
      </c>
      <c r="P214" t="n">
        <v>0</v>
      </c>
      <c r="Q214" t="n">
        <v>0</v>
      </c>
      <c r="R214" s="2" t="inlineStr"/>
    </row>
    <row r="215" ht="15" customHeight="1">
      <c r="A215" t="inlineStr">
        <is>
          <t>A 56688-2024</t>
        </is>
      </c>
      <c r="B215" s="1" t="n">
        <v>45627.66478009259</v>
      </c>
      <c r="C215" s="1" t="n">
        <v>45933</v>
      </c>
      <c r="D215" t="inlineStr">
        <is>
          <t>VÄSTMANLANDS LÄN</t>
        </is>
      </c>
      <c r="E215" t="inlineStr">
        <is>
          <t>SALA</t>
        </is>
      </c>
      <c r="G215" t="n">
        <v>0.9</v>
      </c>
      <c r="H215" t="n">
        <v>0</v>
      </c>
      <c r="I215" t="n">
        <v>0</v>
      </c>
      <c r="J215" t="n">
        <v>0</v>
      </c>
      <c r="K215" t="n">
        <v>0</v>
      </c>
      <c r="L215" t="n">
        <v>0</v>
      </c>
      <c r="M215" t="n">
        <v>0</v>
      </c>
      <c r="N215" t="n">
        <v>0</v>
      </c>
      <c r="O215" t="n">
        <v>0</v>
      </c>
      <c r="P215" t="n">
        <v>0</v>
      </c>
      <c r="Q215" t="n">
        <v>0</v>
      </c>
      <c r="R215" s="2" t="inlineStr"/>
    </row>
    <row r="216" ht="15" customHeight="1">
      <c r="A216" t="inlineStr">
        <is>
          <t>A 27261-2024</t>
        </is>
      </c>
      <c r="B216" s="1" t="n">
        <v>45471</v>
      </c>
      <c r="C216" s="1" t="n">
        <v>45933</v>
      </c>
      <c r="D216" t="inlineStr">
        <is>
          <t>VÄSTMANLANDS LÄN</t>
        </is>
      </c>
      <c r="E216" t="inlineStr">
        <is>
          <t>SALA</t>
        </is>
      </c>
      <c r="G216" t="n">
        <v>6.1</v>
      </c>
      <c r="H216" t="n">
        <v>0</v>
      </c>
      <c r="I216" t="n">
        <v>0</v>
      </c>
      <c r="J216" t="n">
        <v>0</v>
      </c>
      <c r="K216" t="n">
        <v>0</v>
      </c>
      <c r="L216" t="n">
        <v>0</v>
      </c>
      <c r="M216" t="n">
        <v>0</v>
      </c>
      <c r="N216" t="n">
        <v>0</v>
      </c>
      <c r="O216" t="n">
        <v>0</v>
      </c>
      <c r="P216" t="n">
        <v>0</v>
      </c>
      <c r="Q216" t="n">
        <v>0</v>
      </c>
      <c r="R216" s="2" t="inlineStr"/>
    </row>
    <row r="217" ht="15" customHeight="1">
      <c r="A217" t="inlineStr">
        <is>
          <t>A 18713-2025</t>
        </is>
      </c>
      <c r="B217" s="1" t="n">
        <v>45763</v>
      </c>
      <c r="C217" s="1" t="n">
        <v>45933</v>
      </c>
      <c r="D217" t="inlineStr">
        <is>
          <t>VÄSTMANLANDS LÄN</t>
        </is>
      </c>
      <c r="E217" t="inlineStr">
        <is>
          <t>SALA</t>
        </is>
      </c>
      <c r="F217" t="inlineStr">
        <is>
          <t>Bergvik skog öst AB</t>
        </is>
      </c>
      <c r="G217" t="n">
        <v>11.6</v>
      </c>
      <c r="H217" t="n">
        <v>0</v>
      </c>
      <c r="I217" t="n">
        <v>0</v>
      </c>
      <c r="J217" t="n">
        <v>0</v>
      </c>
      <c r="K217" t="n">
        <v>0</v>
      </c>
      <c r="L217" t="n">
        <v>0</v>
      </c>
      <c r="M217" t="n">
        <v>0</v>
      </c>
      <c r="N217" t="n">
        <v>0</v>
      </c>
      <c r="O217" t="n">
        <v>0</v>
      </c>
      <c r="P217" t="n">
        <v>0</v>
      </c>
      <c r="Q217" t="n">
        <v>0</v>
      </c>
      <c r="R217" s="2" t="inlineStr"/>
    </row>
    <row r="218" ht="15" customHeight="1">
      <c r="A218" t="inlineStr">
        <is>
          <t>A 54959-2024</t>
        </is>
      </c>
      <c r="B218" s="1" t="n">
        <v>45619</v>
      </c>
      <c r="C218" s="1" t="n">
        <v>45933</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37183-2024</t>
        </is>
      </c>
      <c r="B219" s="1" t="n">
        <v>45539</v>
      </c>
      <c r="C219" s="1" t="n">
        <v>45933</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27486-2022</t>
        </is>
      </c>
      <c r="B220" s="1" t="n">
        <v>44742.60846064815</v>
      </c>
      <c r="C220" s="1" t="n">
        <v>45933</v>
      </c>
      <c r="D220" t="inlineStr">
        <is>
          <t>VÄSTMANLANDS LÄN</t>
        </is>
      </c>
      <c r="E220" t="inlineStr">
        <is>
          <t>SALA</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16651-2021</t>
        </is>
      </c>
      <c r="B221" s="1" t="n">
        <v>44294.50096064815</v>
      </c>
      <c r="C221" s="1" t="n">
        <v>45933</v>
      </c>
      <c r="D221" t="inlineStr">
        <is>
          <t>VÄSTMANLANDS LÄN</t>
        </is>
      </c>
      <c r="E221" t="inlineStr">
        <is>
          <t>SALA</t>
        </is>
      </c>
      <c r="G221" t="n">
        <v>7.7</v>
      </c>
      <c r="H221" t="n">
        <v>0</v>
      </c>
      <c r="I221" t="n">
        <v>0</v>
      </c>
      <c r="J221" t="n">
        <v>0</v>
      </c>
      <c r="K221" t="n">
        <v>0</v>
      </c>
      <c r="L221" t="n">
        <v>0</v>
      </c>
      <c r="M221" t="n">
        <v>0</v>
      </c>
      <c r="N221" t="n">
        <v>0</v>
      </c>
      <c r="O221" t="n">
        <v>0</v>
      </c>
      <c r="P221" t="n">
        <v>0</v>
      </c>
      <c r="Q221" t="n">
        <v>0</v>
      </c>
      <c r="R221" s="2" t="inlineStr"/>
    </row>
    <row r="222" ht="15" customHeight="1">
      <c r="A222" t="inlineStr">
        <is>
          <t>A 28193-2025</t>
        </is>
      </c>
      <c r="B222" s="1" t="n">
        <v>45818.425625</v>
      </c>
      <c r="C222" s="1" t="n">
        <v>45933</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27981-2025</t>
        </is>
      </c>
      <c r="B223" s="1" t="n">
        <v>45817.57471064815</v>
      </c>
      <c r="C223" s="1" t="n">
        <v>45933</v>
      </c>
      <c r="D223" t="inlineStr">
        <is>
          <t>VÄSTMANLANDS LÄN</t>
        </is>
      </c>
      <c r="E223" t="inlineStr">
        <is>
          <t>SALA</t>
        </is>
      </c>
      <c r="G223" t="n">
        <v>1.7</v>
      </c>
      <c r="H223" t="n">
        <v>0</v>
      </c>
      <c r="I223" t="n">
        <v>0</v>
      </c>
      <c r="J223" t="n">
        <v>0</v>
      </c>
      <c r="K223" t="n">
        <v>0</v>
      </c>
      <c r="L223" t="n">
        <v>0</v>
      </c>
      <c r="M223" t="n">
        <v>0</v>
      </c>
      <c r="N223" t="n">
        <v>0</v>
      </c>
      <c r="O223" t="n">
        <v>0</v>
      </c>
      <c r="P223" t="n">
        <v>0</v>
      </c>
      <c r="Q223" t="n">
        <v>0</v>
      </c>
      <c r="R223" s="2" t="inlineStr"/>
    </row>
    <row r="224" ht="15" customHeight="1">
      <c r="A224" t="inlineStr">
        <is>
          <t>A 28278-2025</t>
        </is>
      </c>
      <c r="B224" s="1" t="n">
        <v>45818.58454861111</v>
      </c>
      <c r="C224" s="1" t="n">
        <v>45933</v>
      </c>
      <c r="D224" t="inlineStr">
        <is>
          <t>VÄSTMANLANDS LÄN</t>
        </is>
      </c>
      <c r="E224" t="inlineStr">
        <is>
          <t>SALA</t>
        </is>
      </c>
      <c r="G224" t="n">
        <v>7.6</v>
      </c>
      <c r="H224" t="n">
        <v>0</v>
      </c>
      <c r="I224" t="n">
        <v>0</v>
      </c>
      <c r="J224" t="n">
        <v>0</v>
      </c>
      <c r="K224" t="n">
        <v>0</v>
      </c>
      <c r="L224" t="n">
        <v>0</v>
      </c>
      <c r="M224" t="n">
        <v>0</v>
      </c>
      <c r="N224" t="n">
        <v>0</v>
      </c>
      <c r="O224" t="n">
        <v>0</v>
      </c>
      <c r="P224" t="n">
        <v>0</v>
      </c>
      <c r="Q224" t="n">
        <v>0</v>
      </c>
      <c r="R224" s="2" t="inlineStr"/>
    </row>
    <row r="225" ht="15" customHeight="1">
      <c r="A225" t="inlineStr">
        <is>
          <t>A 54199-2024</t>
        </is>
      </c>
      <c r="B225" s="1" t="n">
        <v>45616.64703703704</v>
      </c>
      <c r="C225" s="1" t="n">
        <v>45933</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6134-2024</t>
        </is>
      </c>
      <c r="B226" s="1" t="n">
        <v>45337</v>
      </c>
      <c r="C226" s="1" t="n">
        <v>45933</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15354-2021</t>
        </is>
      </c>
      <c r="B227" s="1" t="n">
        <v>44284</v>
      </c>
      <c r="C227" s="1" t="n">
        <v>45933</v>
      </c>
      <c r="D227" t="inlineStr">
        <is>
          <t>VÄSTMANLANDS LÄN</t>
        </is>
      </c>
      <c r="E227" t="inlineStr">
        <is>
          <t>SALA</t>
        </is>
      </c>
      <c r="F227" t="inlineStr">
        <is>
          <t>Kyrkan</t>
        </is>
      </c>
      <c r="G227" t="n">
        <v>8.5</v>
      </c>
      <c r="H227" t="n">
        <v>0</v>
      </c>
      <c r="I227" t="n">
        <v>0</v>
      </c>
      <c r="J227" t="n">
        <v>0</v>
      </c>
      <c r="K227" t="n">
        <v>0</v>
      </c>
      <c r="L227" t="n">
        <v>0</v>
      </c>
      <c r="M227" t="n">
        <v>0</v>
      </c>
      <c r="N227" t="n">
        <v>0</v>
      </c>
      <c r="O227" t="n">
        <v>0</v>
      </c>
      <c r="P227" t="n">
        <v>0</v>
      </c>
      <c r="Q227" t="n">
        <v>0</v>
      </c>
      <c r="R227" s="2" t="inlineStr"/>
    </row>
    <row r="228" ht="15" customHeight="1">
      <c r="A228" t="inlineStr">
        <is>
          <t>A 27989-2025</t>
        </is>
      </c>
      <c r="B228" s="1" t="n">
        <v>45817.58716435185</v>
      </c>
      <c r="C228" s="1" t="n">
        <v>45933</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60548-2024</t>
        </is>
      </c>
      <c r="B229" s="1" t="n">
        <v>45643.80978009259</v>
      </c>
      <c r="C229" s="1" t="n">
        <v>45933</v>
      </c>
      <c r="D229" t="inlineStr">
        <is>
          <t>VÄSTMANLANDS LÄN</t>
        </is>
      </c>
      <c r="E229" t="inlineStr">
        <is>
          <t>SALA</t>
        </is>
      </c>
      <c r="G229" t="n">
        <v>1.6</v>
      </c>
      <c r="H229" t="n">
        <v>0</v>
      </c>
      <c r="I229" t="n">
        <v>0</v>
      </c>
      <c r="J229" t="n">
        <v>0</v>
      </c>
      <c r="K229" t="n">
        <v>0</v>
      </c>
      <c r="L229" t="n">
        <v>0</v>
      </c>
      <c r="M229" t="n">
        <v>0</v>
      </c>
      <c r="N229" t="n">
        <v>0</v>
      </c>
      <c r="O229" t="n">
        <v>0</v>
      </c>
      <c r="P229" t="n">
        <v>0</v>
      </c>
      <c r="Q229" t="n">
        <v>0</v>
      </c>
      <c r="R229" s="2" t="inlineStr"/>
    </row>
    <row r="230" ht="15" customHeight="1">
      <c r="A230" t="inlineStr">
        <is>
          <t>A 6154-2025</t>
        </is>
      </c>
      <c r="B230" s="1" t="n">
        <v>45698.40719907408</v>
      </c>
      <c r="C230" s="1" t="n">
        <v>45933</v>
      </c>
      <c r="D230" t="inlineStr">
        <is>
          <t>VÄSTMANLANDS LÄN</t>
        </is>
      </c>
      <c r="E230" t="inlineStr">
        <is>
          <t>SALA</t>
        </is>
      </c>
      <c r="F230" t="inlineStr">
        <is>
          <t>Bergvik skog öst AB</t>
        </is>
      </c>
      <c r="G230" t="n">
        <v>3.9</v>
      </c>
      <c r="H230" t="n">
        <v>0</v>
      </c>
      <c r="I230" t="n">
        <v>0</v>
      </c>
      <c r="J230" t="n">
        <v>0</v>
      </c>
      <c r="K230" t="n">
        <v>0</v>
      </c>
      <c r="L230" t="n">
        <v>0</v>
      </c>
      <c r="M230" t="n">
        <v>0</v>
      </c>
      <c r="N230" t="n">
        <v>0</v>
      </c>
      <c r="O230" t="n">
        <v>0</v>
      </c>
      <c r="P230" t="n">
        <v>0</v>
      </c>
      <c r="Q230" t="n">
        <v>0</v>
      </c>
      <c r="R230" s="2" t="inlineStr"/>
    </row>
    <row r="231" ht="15" customHeight="1">
      <c r="A231" t="inlineStr">
        <is>
          <t>A 45313-2024</t>
        </is>
      </c>
      <c r="B231" s="1" t="n">
        <v>45576</v>
      </c>
      <c r="C231" s="1" t="n">
        <v>45933</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28284-2025</t>
        </is>
      </c>
      <c r="B232" s="1" t="n">
        <v>45818.58893518519</v>
      </c>
      <c r="C232" s="1" t="n">
        <v>45933</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56535-2022</t>
        </is>
      </c>
      <c r="B233" s="1" t="n">
        <v>44893.47173611111</v>
      </c>
      <c r="C233" s="1" t="n">
        <v>45933</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47909-2022</t>
        </is>
      </c>
      <c r="B234" s="1" t="n">
        <v>44855</v>
      </c>
      <c r="C234" s="1" t="n">
        <v>45933</v>
      </c>
      <c r="D234" t="inlineStr">
        <is>
          <t>VÄSTMANLANDS LÄN</t>
        </is>
      </c>
      <c r="E234" t="inlineStr">
        <is>
          <t>SALA</t>
        </is>
      </c>
      <c r="F234" t="inlineStr">
        <is>
          <t>Bergvik skog öst AB</t>
        </is>
      </c>
      <c r="G234" t="n">
        <v>2</v>
      </c>
      <c r="H234" t="n">
        <v>0</v>
      </c>
      <c r="I234" t="n">
        <v>0</v>
      </c>
      <c r="J234" t="n">
        <v>0</v>
      </c>
      <c r="K234" t="n">
        <v>0</v>
      </c>
      <c r="L234" t="n">
        <v>0</v>
      </c>
      <c r="M234" t="n">
        <v>0</v>
      </c>
      <c r="N234" t="n">
        <v>0</v>
      </c>
      <c r="O234" t="n">
        <v>0</v>
      </c>
      <c r="P234" t="n">
        <v>0</v>
      </c>
      <c r="Q234" t="n">
        <v>0</v>
      </c>
      <c r="R234" s="2" t="inlineStr"/>
    </row>
    <row r="235" ht="15" customHeight="1">
      <c r="A235" t="inlineStr">
        <is>
          <t>A 52630-2022</t>
        </is>
      </c>
      <c r="B235" s="1" t="n">
        <v>44874</v>
      </c>
      <c r="C235" s="1" t="n">
        <v>45933</v>
      </c>
      <c r="D235" t="inlineStr">
        <is>
          <t>VÄSTMANLANDS LÄN</t>
        </is>
      </c>
      <c r="E235" t="inlineStr">
        <is>
          <t>SALA</t>
        </is>
      </c>
      <c r="F235" t="inlineStr">
        <is>
          <t>Sveaskog</t>
        </is>
      </c>
      <c r="G235" t="n">
        <v>1.8</v>
      </c>
      <c r="H235" t="n">
        <v>0</v>
      </c>
      <c r="I235" t="n">
        <v>0</v>
      </c>
      <c r="J235" t="n">
        <v>0</v>
      </c>
      <c r="K235" t="n">
        <v>0</v>
      </c>
      <c r="L235" t="n">
        <v>0</v>
      </c>
      <c r="M235" t="n">
        <v>0</v>
      </c>
      <c r="N235" t="n">
        <v>0</v>
      </c>
      <c r="O235" t="n">
        <v>0</v>
      </c>
      <c r="P235" t="n">
        <v>0</v>
      </c>
      <c r="Q235" t="n">
        <v>0</v>
      </c>
      <c r="R235" s="2" t="inlineStr"/>
    </row>
    <row r="236" ht="15" customHeight="1">
      <c r="A236" t="inlineStr">
        <is>
          <t>A 39597-2022</t>
        </is>
      </c>
      <c r="B236" s="1" t="n">
        <v>44818</v>
      </c>
      <c r="C236" s="1" t="n">
        <v>45933</v>
      </c>
      <c r="D236" t="inlineStr">
        <is>
          <t>VÄSTMANLANDS LÄN</t>
        </is>
      </c>
      <c r="E236" t="inlineStr">
        <is>
          <t>SALA</t>
        </is>
      </c>
      <c r="G236" t="n">
        <v>2.3</v>
      </c>
      <c r="H236" t="n">
        <v>0</v>
      </c>
      <c r="I236" t="n">
        <v>0</v>
      </c>
      <c r="J236" t="n">
        <v>0</v>
      </c>
      <c r="K236" t="n">
        <v>0</v>
      </c>
      <c r="L236" t="n">
        <v>0</v>
      </c>
      <c r="M236" t="n">
        <v>0</v>
      </c>
      <c r="N236" t="n">
        <v>0</v>
      </c>
      <c r="O236" t="n">
        <v>0</v>
      </c>
      <c r="P236" t="n">
        <v>0</v>
      </c>
      <c r="Q236" t="n">
        <v>0</v>
      </c>
      <c r="R236" s="2" t="inlineStr"/>
    </row>
    <row r="237" ht="15" customHeight="1">
      <c r="A237" t="inlineStr">
        <is>
          <t>A 28632-2025</t>
        </is>
      </c>
      <c r="B237" s="1" t="n">
        <v>45819.62344907408</v>
      </c>
      <c r="C237" s="1" t="n">
        <v>45933</v>
      </c>
      <c r="D237" t="inlineStr">
        <is>
          <t>VÄSTMANLANDS LÄN</t>
        </is>
      </c>
      <c r="E237" t="inlineStr">
        <is>
          <t>SALA</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56687-2024</t>
        </is>
      </c>
      <c r="B238" s="1" t="n">
        <v>45627.63271990741</v>
      </c>
      <c r="C238" s="1" t="n">
        <v>45933</v>
      </c>
      <c r="D238" t="inlineStr">
        <is>
          <t>VÄSTMANLANDS LÄN</t>
        </is>
      </c>
      <c r="E238" t="inlineStr">
        <is>
          <t>SALA</t>
        </is>
      </c>
      <c r="G238" t="n">
        <v>1.2</v>
      </c>
      <c r="H238" t="n">
        <v>0</v>
      </c>
      <c r="I238" t="n">
        <v>0</v>
      </c>
      <c r="J238" t="n">
        <v>0</v>
      </c>
      <c r="K238" t="n">
        <v>0</v>
      </c>
      <c r="L238" t="n">
        <v>0</v>
      </c>
      <c r="M238" t="n">
        <v>0</v>
      </c>
      <c r="N238" t="n">
        <v>0</v>
      </c>
      <c r="O238" t="n">
        <v>0</v>
      </c>
      <c r="P238" t="n">
        <v>0</v>
      </c>
      <c r="Q238" t="n">
        <v>0</v>
      </c>
      <c r="R238" s="2" t="inlineStr"/>
    </row>
    <row r="239" ht="15" customHeight="1">
      <c r="A239" t="inlineStr">
        <is>
          <t>A 54768-2024</t>
        </is>
      </c>
      <c r="B239" s="1" t="n">
        <v>45618</v>
      </c>
      <c r="C239" s="1" t="n">
        <v>45933</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28628-2025</t>
        </is>
      </c>
      <c r="B240" s="1" t="n">
        <v>45819.62158564815</v>
      </c>
      <c r="C240" s="1" t="n">
        <v>45933</v>
      </c>
      <c r="D240" t="inlineStr">
        <is>
          <t>VÄSTMANLANDS LÄN</t>
        </is>
      </c>
      <c r="E240" t="inlineStr">
        <is>
          <t>SALA</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28630-2025</t>
        </is>
      </c>
      <c r="B241" s="1" t="n">
        <v>45819.62274305556</v>
      </c>
      <c r="C241" s="1" t="n">
        <v>45933</v>
      </c>
      <c r="D241" t="inlineStr">
        <is>
          <t>VÄSTMANLANDS LÄN</t>
        </is>
      </c>
      <c r="E241" t="inlineStr">
        <is>
          <t>SALA</t>
        </is>
      </c>
      <c r="F241" t="inlineStr">
        <is>
          <t>Sveaskog</t>
        </is>
      </c>
      <c r="G241" t="n">
        <v>9</v>
      </c>
      <c r="H241" t="n">
        <v>0</v>
      </c>
      <c r="I241" t="n">
        <v>0</v>
      </c>
      <c r="J241" t="n">
        <v>0</v>
      </c>
      <c r="K241" t="n">
        <v>0</v>
      </c>
      <c r="L241" t="n">
        <v>0</v>
      </c>
      <c r="M241" t="n">
        <v>0</v>
      </c>
      <c r="N241" t="n">
        <v>0</v>
      </c>
      <c r="O241" t="n">
        <v>0</v>
      </c>
      <c r="P241" t="n">
        <v>0</v>
      </c>
      <c r="Q241" t="n">
        <v>0</v>
      </c>
      <c r="R241" s="2" t="inlineStr"/>
    </row>
    <row r="242" ht="15" customHeight="1">
      <c r="A242" t="inlineStr">
        <is>
          <t>A 25860-2024</t>
        </is>
      </c>
      <c r="B242" s="1" t="n">
        <v>45467.46278935186</v>
      </c>
      <c r="C242" s="1" t="n">
        <v>45933</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61715-2024</t>
        </is>
      </c>
      <c r="B243" s="1" t="n">
        <v>45648.89519675926</v>
      </c>
      <c r="C243" s="1" t="n">
        <v>45933</v>
      </c>
      <c r="D243" t="inlineStr">
        <is>
          <t>VÄSTMANLANDS LÄN</t>
        </is>
      </c>
      <c r="E243" t="inlineStr">
        <is>
          <t>SALA</t>
        </is>
      </c>
      <c r="G243" t="n">
        <v>2.5</v>
      </c>
      <c r="H243" t="n">
        <v>0</v>
      </c>
      <c r="I243" t="n">
        <v>0</v>
      </c>
      <c r="J243" t="n">
        <v>0</v>
      </c>
      <c r="K243" t="n">
        <v>0</v>
      </c>
      <c r="L243" t="n">
        <v>0</v>
      </c>
      <c r="M243" t="n">
        <v>0</v>
      </c>
      <c r="N243" t="n">
        <v>0</v>
      </c>
      <c r="O243" t="n">
        <v>0</v>
      </c>
      <c r="P243" t="n">
        <v>0</v>
      </c>
      <c r="Q243" t="n">
        <v>0</v>
      </c>
      <c r="R243" s="2" t="inlineStr"/>
    </row>
    <row r="244" ht="15" customHeight="1">
      <c r="A244" t="inlineStr">
        <is>
          <t>A 28837-2025</t>
        </is>
      </c>
      <c r="B244" s="1" t="n">
        <v>45820.56243055555</v>
      </c>
      <c r="C244" s="1" t="n">
        <v>45933</v>
      </c>
      <c r="D244" t="inlineStr">
        <is>
          <t>VÄSTMANLANDS LÄN</t>
        </is>
      </c>
      <c r="E244" t="inlineStr">
        <is>
          <t>SALA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28849-2025</t>
        </is>
      </c>
      <c r="B245" s="1" t="n">
        <v>45820</v>
      </c>
      <c r="C245" s="1" t="n">
        <v>45933</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22026-2021</t>
        </is>
      </c>
      <c r="B246" s="1" t="n">
        <v>44323</v>
      </c>
      <c r="C246" s="1" t="n">
        <v>45933</v>
      </c>
      <c r="D246" t="inlineStr">
        <is>
          <t>VÄSTMANLANDS LÄN</t>
        </is>
      </c>
      <c r="E246" t="inlineStr">
        <is>
          <t>SALA</t>
        </is>
      </c>
      <c r="G246" t="n">
        <v>2.9</v>
      </c>
      <c r="H246" t="n">
        <v>0</v>
      </c>
      <c r="I246" t="n">
        <v>0</v>
      </c>
      <c r="J246" t="n">
        <v>0</v>
      </c>
      <c r="K246" t="n">
        <v>0</v>
      </c>
      <c r="L246" t="n">
        <v>0</v>
      </c>
      <c r="M246" t="n">
        <v>0</v>
      </c>
      <c r="N246" t="n">
        <v>0</v>
      </c>
      <c r="O246" t="n">
        <v>0</v>
      </c>
      <c r="P246" t="n">
        <v>0</v>
      </c>
      <c r="Q246" t="n">
        <v>0</v>
      </c>
      <c r="R246" s="2" t="inlineStr"/>
    </row>
    <row r="247" ht="15" customHeight="1">
      <c r="A247" t="inlineStr">
        <is>
          <t>A 16404-2022</t>
        </is>
      </c>
      <c r="B247" s="1" t="n">
        <v>44671</v>
      </c>
      <c r="C247" s="1" t="n">
        <v>45933</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6097-2022</t>
        </is>
      </c>
      <c r="B248" s="1" t="n">
        <v>44599</v>
      </c>
      <c r="C248" s="1" t="n">
        <v>45933</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29085-2025</t>
        </is>
      </c>
      <c r="B249" s="1" t="n">
        <v>45821</v>
      </c>
      <c r="C249" s="1" t="n">
        <v>45933</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10559-2024</t>
        </is>
      </c>
      <c r="B250" s="1" t="n">
        <v>45366</v>
      </c>
      <c r="C250" s="1" t="n">
        <v>45933</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57895-2024</t>
        </is>
      </c>
      <c r="B251" s="1" t="n">
        <v>45631</v>
      </c>
      <c r="C251" s="1" t="n">
        <v>45933</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31597-2024</t>
        </is>
      </c>
      <c r="B252" s="1" t="n">
        <v>45506</v>
      </c>
      <c r="C252" s="1" t="n">
        <v>45933</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60545-2024</t>
        </is>
      </c>
      <c r="B253" s="1" t="n">
        <v>45643</v>
      </c>
      <c r="C253" s="1" t="n">
        <v>45933</v>
      </c>
      <c r="D253" t="inlineStr">
        <is>
          <t>VÄSTMANLANDS LÄN</t>
        </is>
      </c>
      <c r="E253" t="inlineStr">
        <is>
          <t>SALA</t>
        </is>
      </c>
      <c r="G253" t="n">
        <v>3.3</v>
      </c>
      <c r="H253" t="n">
        <v>0</v>
      </c>
      <c r="I253" t="n">
        <v>0</v>
      </c>
      <c r="J253" t="n">
        <v>0</v>
      </c>
      <c r="K253" t="n">
        <v>0</v>
      </c>
      <c r="L253" t="n">
        <v>0</v>
      </c>
      <c r="M253" t="n">
        <v>0</v>
      </c>
      <c r="N253" t="n">
        <v>0</v>
      </c>
      <c r="O253" t="n">
        <v>0</v>
      </c>
      <c r="P253" t="n">
        <v>0</v>
      </c>
      <c r="Q253" t="n">
        <v>0</v>
      </c>
      <c r="R253" s="2" t="inlineStr"/>
    </row>
    <row r="254" ht="15" customHeight="1">
      <c r="A254" t="inlineStr">
        <is>
          <t>A 60547-2024</t>
        </is>
      </c>
      <c r="B254" s="1" t="n">
        <v>45643</v>
      </c>
      <c r="C254" s="1" t="n">
        <v>45933</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17458-2024</t>
        </is>
      </c>
      <c r="B255" s="1" t="n">
        <v>45415</v>
      </c>
      <c r="C255" s="1" t="n">
        <v>45933</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56543-2024</t>
        </is>
      </c>
      <c r="B256" s="1" t="n">
        <v>45625</v>
      </c>
      <c r="C256" s="1" t="n">
        <v>45933</v>
      </c>
      <c r="D256" t="inlineStr">
        <is>
          <t>VÄSTMANLANDS LÄN</t>
        </is>
      </c>
      <c r="E256" t="inlineStr">
        <is>
          <t>SALA</t>
        </is>
      </c>
      <c r="G256" t="n">
        <v>0.7</v>
      </c>
      <c r="H256" t="n">
        <v>0</v>
      </c>
      <c r="I256" t="n">
        <v>0</v>
      </c>
      <c r="J256" t="n">
        <v>0</v>
      </c>
      <c r="K256" t="n">
        <v>0</v>
      </c>
      <c r="L256" t="n">
        <v>0</v>
      </c>
      <c r="M256" t="n">
        <v>0</v>
      </c>
      <c r="N256" t="n">
        <v>0</v>
      </c>
      <c r="O256" t="n">
        <v>0</v>
      </c>
      <c r="P256" t="n">
        <v>0</v>
      </c>
      <c r="Q256" t="n">
        <v>0</v>
      </c>
      <c r="R256" s="2" t="inlineStr"/>
    </row>
    <row r="257" ht="15" customHeight="1">
      <c r="A257" t="inlineStr">
        <is>
          <t>A 60541-2024</t>
        </is>
      </c>
      <c r="B257" s="1" t="n">
        <v>45643</v>
      </c>
      <c r="C257" s="1" t="n">
        <v>45933</v>
      </c>
      <c r="D257" t="inlineStr">
        <is>
          <t>VÄSTMANLANDS LÄN</t>
        </is>
      </c>
      <c r="E257" t="inlineStr">
        <is>
          <t>SALA</t>
        </is>
      </c>
      <c r="G257" t="n">
        <v>10.6</v>
      </c>
      <c r="H257" t="n">
        <v>0</v>
      </c>
      <c r="I257" t="n">
        <v>0</v>
      </c>
      <c r="J257" t="n">
        <v>0</v>
      </c>
      <c r="K257" t="n">
        <v>0</v>
      </c>
      <c r="L257" t="n">
        <v>0</v>
      </c>
      <c r="M257" t="n">
        <v>0</v>
      </c>
      <c r="N257" t="n">
        <v>0</v>
      </c>
      <c r="O257" t="n">
        <v>0</v>
      </c>
      <c r="P257" t="n">
        <v>0</v>
      </c>
      <c r="Q257" t="n">
        <v>0</v>
      </c>
      <c r="R257" s="2" t="inlineStr"/>
    </row>
    <row r="258" ht="15" customHeight="1">
      <c r="A258" t="inlineStr">
        <is>
          <t>A 29826-2025</t>
        </is>
      </c>
      <c r="B258" s="1" t="n">
        <v>45825.85761574074</v>
      </c>
      <c r="C258" s="1" t="n">
        <v>45933</v>
      </c>
      <c r="D258" t="inlineStr">
        <is>
          <t>VÄSTMANLANDS LÄN</t>
        </is>
      </c>
      <c r="E258" t="inlineStr">
        <is>
          <t>SALA</t>
        </is>
      </c>
      <c r="G258" t="n">
        <v>1.9</v>
      </c>
      <c r="H258" t="n">
        <v>0</v>
      </c>
      <c r="I258" t="n">
        <v>0</v>
      </c>
      <c r="J258" t="n">
        <v>0</v>
      </c>
      <c r="K258" t="n">
        <v>0</v>
      </c>
      <c r="L258" t="n">
        <v>0</v>
      </c>
      <c r="M258" t="n">
        <v>0</v>
      </c>
      <c r="N258" t="n">
        <v>0</v>
      </c>
      <c r="O258" t="n">
        <v>0</v>
      </c>
      <c r="P258" t="n">
        <v>0</v>
      </c>
      <c r="Q258" t="n">
        <v>0</v>
      </c>
      <c r="R258" s="2" t="inlineStr"/>
    </row>
    <row r="259" ht="15" customHeight="1">
      <c r="A259" t="inlineStr">
        <is>
          <t>A 16160-2024</t>
        </is>
      </c>
      <c r="B259" s="1" t="n">
        <v>45406</v>
      </c>
      <c r="C259" s="1" t="n">
        <v>45933</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15965-2024</t>
        </is>
      </c>
      <c r="B260" s="1" t="n">
        <v>45405.55740740741</v>
      </c>
      <c r="C260" s="1" t="n">
        <v>45933</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40597-2022</t>
        </is>
      </c>
      <c r="B261" s="1" t="n">
        <v>44823.84862268518</v>
      </c>
      <c r="C261" s="1" t="n">
        <v>45933</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28661-2024</t>
        </is>
      </c>
      <c r="B262" s="1" t="n">
        <v>45478</v>
      </c>
      <c r="C262" s="1" t="n">
        <v>45933</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2529-2022</t>
        </is>
      </c>
      <c r="B263" s="1" t="n">
        <v>44579.86452546297</v>
      </c>
      <c r="C263" s="1" t="n">
        <v>45933</v>
      </c>
      <c r="D263" t="inlineStr">
        <is>
          <t>VÄSTMANLANDS LÄN</t>
        </is>
      </c>
      <c r="E263" t="inlineStr">
        <is>
          <t>SALA</t>
        </is>
      </c>
      <c r="G263" t="n">
        <v>1.7</v>
      </c>
      <c r="H263" t="n">
        <v>0</v>
      </c>
      <c r="I263" t="n">
        <v>0</v>
      </c>
      <c r="J263" t="n">
        <v>0</v>
      </c>
      <c r="K263" t="n">
        <v>0</v>
      </c>
      <c r="L263" t="n">
        <v>0</v>
      </c>
      <c r="M263" t="n">
        <v>0</v>
      </c>
      <c r="N263" t="n">
        <v>0</v>
      </c>
      <c r="O263" t="n">
        <v>0</v>
      </c>
      <c r="P263" t="n">
        <v>0</v>
      </c>
      <c r="Q263" t="n">
        <v>0</v>
      </c>
      <c r="R263" s="2" t="inlineStr"/>
    </row>
    <row r="264" ht="15" customHeight="1">
      <c r="A264" t="inlineStr">
        <is>
          <t>A 56540-2024</t>
        </is>
      </c>
      <c r="B264" s="1" t="n">
        <v>45625</v>
      </c>
      <c r="C264" s="1" t="n">
        <v>45933</v>
      </c>
      <c r="D264" t="inlineStr">
        <is>
          <t>VÄSTMANLANDS LÄN</t>
        </is>
      </c>
      <c r="E264" t="inlineStr">
        <is>
          <t>SALA</t>
        </is>
      </c>
      <c r="G264" t="n">
        <v>1.8</v>
      </c>
      <c r="H264" t="n">
        <v>0</v>
      </c>
      <c r="I264" t="n">
        <v>0</v>
      </c>
      <c r="J264" t="n">
        <v>0</v>
      </c>
      <c r="K264" t="n">
        <v>0</v>
      </c>
      <c r="L264" t="n">
        <v>0</v>
      </c>
      <c r="M264" t="n">
        <v>0</v>
      </c>
      <c r="N264" t="n">
        <v>0</v>
      </c>
      <c r="O264" t="n">
        <v>0</v>
      </c>
      <c r="P264" t="n">
        <v>0</v>
      </c>
      <c r="Q264" t="n">
        <v>0</v>
      </c>
      <c r="R264" s="2" t="inlineStr"/>
    </row>
    <row r="265" ht="15" customHeight="1">
      <c r="A265" t="inlineStr">
        <is>
          <t>A 31599-2024</t>
        </is>
      </c>
      <c r="B265" s="1" t="n">
        <v>45506</v>
      </c>
      <c r="C265" s="1" t="n">
        <v>45933</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31601-2024</t>
        </is>
      </c>
      <c r="B266" s="1" t="n">
        <v>45506</v>
      </c>
      <c r="C266" s="1" t="n">
        <v>45933</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31608-2024</t>
        </is>
      </c>
      <c r="B267" s="1" t="n">
        <v>45506</v>
      </c>
      <c r="C267" s="1" t="n">
        <v>45933</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31612-2024</t>
        </is>
      </c>
      <c r="B268" s="1" t="n">
        <v>45506</v>
      </c>
      <c r="C268" s="1" t="n">
        <v>45933</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1196-2023</t>
        </is>
      </c>
      <c r="B269" s="1" t="n">
        <v>44935.82290509259</v>
      </c>
      <c r="C269" s="1" t="n">
        <v>45933</v>
      </c>
      <c r="D269" t="inlineStr">
        <is>
          <t>VÄSTMANLANDS LÄN</t>
        </is>
      </c>
      <c r="E269" t="inlineStr">
        <is>
          <t>SALA</t>
        </is>
      </c>
      <c r="G269" t="n">
        <v>4.1</v>
      </c>
      <c r="H269" t="n">
        <v>0</v>
      </c>
      <c r="I269" t="n">
        <v>0</v>
      </c>
      <c r="J269" t="n">
        <v>0</v>
      </c>
      <c r="K269" t="n">
        <v>0</v>
      </c>
      <c r="L269" t="n">
        <v>0</v>
      </c>
      <c r="M269" t="n">
        <v>0</v>
      </c>
      <c r="N269" t="n">
        <v>0</v>
      </c>
      <c r="O269" t="n">
        <v>0</v>
      </c>
      <c r="P269" t="n">
        <v>0</v>
      </c>
      <c r="Q269" t="n">
        <v>0</v>
      </c>
      <c r="R269" s="2" t="inlineStr"/>
    </row>
    <row r="270" ht="15" customHeight="1">
      <c r="A270" t="inlineStr">
        <is>
          <t>A 7196-2025</t>
        </is>
      </c>
      <c r="B270" s="1" t="n">
        <v>45702</v>
      </c>
      <c r="C270" s="1" t="n">
        <v>45933</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6183-2025</t>
        </is>
      </c>
      <c r="B271" s="1" t="n">
        <v>45698</v>
      </c>
      <c r="C271" s="1" t="n">
        <v>45933</v>
      </c>
      <c r="D271" t="inlineStr">
        <is>
          <t>VÄSTMANLANDS LÄN</t>
        </is>
      </c>
      <c r="E271" t="inlineStr">
        <is>
          <t>SALA</t>
        </is>
      </c>
      <c r="F271" t="inlineStr">
        <is>
          <t>Bergvik skog öst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29691-2025</t>
        </is>
      </c>
      <c r="B272" s="1" t="n">
        <v>45825.53645833334</v>
      </c>
      <c r="C272" s="1" t="n">
        <v>45933</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10579-2022</t>
        </is>
      </c>
      <c r="B273" s="1" t="n">
        <v>44624</v>
      </c>
      <c r="C273" s="1" t="n">
        <v>45933</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62651-2022</t>
        </is>
      </c>
      <c r="B274" s="1" t="n">
        <v>44917</v>
      </c>
      <c r="C274" s="1" t="n">
        <v>45933</v>
      </c>
      <c r="D274" t="inlineStr">
        <is>
          <t>VÄSTMANLANDS LÄN</t>
        </is>
      </c>
      <c r="E274" t="inlineStr">
        <is>
          <t>SALA</t>
        </is>
      </c>
      <c r="G274" t="n">
        <v>0.4</v>
      </c>
      <c r="H274" t="n">
        <v>0</v>
      </c>
      <c r="I274" t="n">
        <v>0</v>
      </c>
      <c r="J274" t="n">
        <v>0</v>
      </c>
      <c r="K274" t="n">
        <v>0</v>
      </c>
      <c r="L274" t="n">
        <v>0</v>
      </c>
      <c r="M274" t="n">
        <v>0</v>
      </c>
      <c r="N274" t="n">
        <v>0</v>
      </c>
      <c r="O274" t="n">
        <v>0</v>
      </c>
      <c r="P274" t="n">
        <v>0</v>
      </c>
      <c r="Q274" t="n">
        <v>0</v>
      </c>
      <c r="R274" s="2" t="inlineStr"/>
    </row>
    <row r="275" ht="15" customHeight="1">
      <c r="A275" t="inlineStr">
        <is>
          <t>A 54836-2024</t>
        </is>
      </c>
      <c r="B275" s="1" t="n">
        <v>45618</v>
      </c>
      <c r="C275" s="1" t="n">
        <v>45933</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13987-2023</t>
        </is>
      </c>
      <c r="B276" s="1" t="n">
        <v>45007</v>
      </c>
      <c r="C276" s="1" t="n">
        <v>45933</v>
      </c>
      <c r="D276" t="inlineStr">
        <is>
          <t>VÄSTMANLANDS LÄN</t>
        </is>
      </c>
      <c r="E276" t="inlineStr">
        <is>
          <t>SALA</t>
        </is>
      </c>
      <c r="G276" t="n">
        <v>3.2</v>
      </c>
      <c r="H276" t="n">
        <v>0</v>
      </c>
      <c r="I276" t="n">
        <v>0</v>
      </c>
      <c r="J276" t="n">
        <v>0</v>
      </c>
      <c r="K276" t="n">
        <v>0</v>
      </c>
      <c r="L276" t="n">
        <v>0</v>
      </c>
      <c r="M276" t="n">
        <v>0</v>
      </c>
      <c r="N276" t="n">
        <v>0</v>
      </c>
      <c r="O276" t="n">
        <v>0</v>
      </c>
      <c r="P276" t="n">
        <v>0</v>
      </c>
      <c r="Q276" t="n">
        <v>0</v>
      </c>
      <c r="R276" s="2" t="inlineStr"/>
    </row>
    <row r="277" ht="15" customHeight="1">
      <c r="A277" t="inlineStr">
        <is>
          <t>A 13990-2023</t>
        </is>
      </c>
      <c r="B277" s="1" t="n">
        <v>45007</v>
      </c>
      <c r="C277" s="1" t="n">
        <v>45933</v>
      </c>
      <c r="D277" t="inlineStr">
        <is>
          <t>VÄSTMANLANDS LÄN</t>
        </is>
      </c>
      <c r="E277" t="inlineStr">
        <is>
          <t>SALA</t>
        </is>
      </c>
      <c r="G277" t="n">
        <v>2.6</v>
      </c>
      <c r="H277" t="n">
        <v>0</v>
      </c>
      <c r="I277" t="n">
        <v>0</v>
      </c>
      <c r="J277" t="n">
        <v>0</v>
      </c>
      <c r="K277" t="n">
        <v>0</v>
      </c>
      <c r="L277" t="n">
        <v>0</v>
      </c>
      <c r="M277" t="n">
        <v>0</v>
      </c>
      <c r="N277" t="n">
        <v>0</v>
      </c>
      <c r="O277" t="n">
        <v>0</v>
      </c>
      <c r="P277" t="n">
        <v>0</v>
      </c>
      <c r="Q277" t="n">
        <v>0</v>
      </c>
      <c r="R277" s="2" t="inlineStr"/>
    </row>
    <row r="278" ht="15" customHeight="1">
      <c r="A278" t="inlineStr">
        <is>
          <t>A 40871-2021</t>
        </is>
      </c>
      <c r="B278" s="1" t="n">
        <v>44421</v>
      </c>
      <c r="C278" s="1" t="n">
        <v>45933</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51464-2024</t>
        </is>
      </c>
      <c r="B279" s="1" t="n">
        <v>45604.49768518518</v>
      </c>
      <c r="C279" s="1" t="n">
        <v>45933</v>
      </c>
      <c r="D279" t="inlineStr">
        <is>
          <t>VÄSTMANLANDS LÄN</t>
        </is>
      </c>
      <c r="E279" t="inlineStr">
        <is>
          <t>SALA</t>
        </is>
      </c>
      <c r="G279" t="n">
        <v>3.9</v>
      </c>
      <c r="H279" t="n">
        <v>0</v>
      </c>
      <c r="I279" t="n">
        <v>0</v>
      </c>
      <c r="J279" t="n">
        <v>0</v>
      </c>
      <c r="K279" t="n">
        <v>0</v>
      </c>
      <c r="L279" t="n">
        <v>0</v>
      </c>
      <c r="M279" t="n">
        <v>0</v>
      </c>
      <c r="N279" t="n">
        <v>0</v>
      </c>
      <c r="O279" t="n">
        <v>0</v>
      </c>
      <c r="P279" t="n">
        <v>0</v>
      </c>
      <c r="Q279" t="n">
        <v>0</v>
      </c>
      <c r="R279" s="2" t="inlineStr"/>
    </row>
    <row r="280" ht="15" customHeight="1">
      <c r="A280" t="inlineStr">
        <is>
          <t>A 19803-2024</t>
        </is>
      </c>
      <c r="B280" s="1" t="n">
        <v>45432</v>
      </c>
      <c r="C280" s="1" t="n">
        <v>45933</v>
      </c>
      <c r="D280" t="inlineStr">
        <is>
          <t>VÄSTMANLANDS LÄN</t>
        </is>
      </c>
      <c r="E280" t="inlineStr">
        <is>
          <t>SALA</t>
        </is>
      </c>
      <c r="G280" t="n">
        <v>3.1</v>
      </c>
      <c r="H280" t="n">
        <v>0</v>
      </c>
      <c r="I280" t="n">
        <v>0</v>
      </c>
      <c r="J280" t="n">
        <v>0</v>
      </c>
      <c r="K280" t="n">
        <v>0</v>
      </c>
      <c r="L280" t="n">
        <v>0</v>
      </c>
      <c r="M280" t="n">
        <v>0</v>
      </c>
      <c r="N280" t="n">
        <v>0</v>
      </c>
      <c r="O280" t="n">
        <v>0</v>
      </c>
      <c r="P280" t="n">
        <v>0</v>
      </c>
      <c r="Q280" t="n">
        <v>0</v>
      </c>
      <c r="R280" s="2" t="inlineStr"/>
    </row>
    <row r="281" ht="15" customHeight="1">
      <c r="A281" t="inlineStr">
        <is>
          <t>A 64693-2023</t>
        </is>
      </c>
      <c r="B281" s="1" t="n">
        <v>45281.63850694444</v>
      </c>
      <c r="C281" s="1" t="n">
        <v>45933</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64695-2023</t>
        </is>
      </c>
      <c r="B282" s="1" t="n">
        <v>45281.64099537037</v>
      </c>
      <c r="C282" s="1" t="n">
        <v>45933</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1128-2025</t>
        </is>
      </c>
      <c r="B283" s="1" t="n">
        <v>45666.68469907407</v>
      </c>
      <c r="C283" s="1" t="n">
        <v>45933</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43176-2023</t>
        </is>
      </c>
      <c r="B284" s="1" t="n">
        <v>45183</v>
      </c>
      <c r="C284" s="1" t="n">
        <v>45933</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73835-2021</t>
        </is>
      </c>
      <c r="B285" s="1" t="n">
        <v>44552.92112268518</v>
      </c>
      <c r="C285" s="1" t="n">
        <v>45933</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60379-2022</t>
        </is>
      </c>
      <c r="B286" s="1" t="n">
        <v>44910</v>
      </c>
      <c r="C286" s="1" t="n">
        <v>45933</v>
      </c>
      <c r="D286" t="inlineStr">
        <is>
          <t>VÄSTMANLANDS LÄN</t>
        </is>
      </c>
      <c r="E286" t="inlineStr">
        <is>
          <t>SALA</t>
        </is>
      </c>
      <c r="F286" t="inlineStr">
        <is>
          <t>Kyrkan</t>
        </is>
      </c>
      <c r="G286" t="n">
        <v>2.5</v>
      </c>
      <c r="H286" t="n">
        <v>0</v>
      </c>
      <c r="I286" t="n">
        <v>0</v>
      </c>
      <c r="J286" t="n">
        <v>0</v>
      </c>
      <c r="K286" t="n">
        <v>0</v>
      </c>
      <c r="L286" t="n">
        <v>0</v>
      </c>
      <c r="M286" t="n">
        <v>0</v>
      </c>
      <c r="N286" t="n">
        <v>0</v>
      </c>
      <c r="O286" t="n">
        <v>0</v>
      </c>
      <c r="P286" t="n">
        <v>0</v>
      </c>
      <c r="Q286" t="n">
        <v>0</v>
      </c>
      <c r="R286" s="2" t="inlineStr"/>
    </row>
    <row r="287" ht="15" customHeight="1">
      <c r="A287" t="inlineStr">
        <is>
          <t>A 1638-2023</t>
        </is>
      </c>
      <c r="B287" s="1" t="n">
        <v>44937</v>
      </c>
      <c r="C287" s="1" t="n">
        <v>45933</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7953-2024</t>
        </is>
      </c>
      <c r="B288" s="1" t="n">
        <v>45350</v>
      </c>
      <c r="C288" s="1" t="n">
        <v>45933</v>
      </c>
      <c r="D288" t="inlineStr">
        <is>
          <t>VÄSTMANLANDS LÄN</t>
        </is>
      </c>
      <c r="E288" t="inlineStr">
        <is>
          <t>SALA</t>
        </is>
      </c>
      <c r="G288" t="n">
        <v>2.6</v>
      </c>
      <c r="H288" t="n">
        <v>0</v>
      </c>
      <c r="I288" t="n">
        <v>0</v>
      </c>
      <c r="J288" t="n">
        <v>0</v>
      </c>
      <c r="K288" t="n">
        <v>0</v>
      </c>
      <c r="L288" t="n">
        <v>0</v>
      </c>
      <c r="M288" t="n">
        <v>0</v>
      </c>
      <c r="N288" t="n">
        <v>0</v>
      </c>
      <c r="O288" t="n">
        <v>0</v>
      </c>
      <c r="P288" t="n">
        <v>0</v>
      </c>
      <c r="Q288" t="n">
        <v>0</v>
      </c>
      <c r="R288" s="2" t="inlineStr"/>
    </row>
    <row r="289" ht="15" customHeight="1">
      <c r="A289" t="inlineStr">
        <is>
          <t>A 30874-2025</t>
        </is>
      </c>
      <c r="B289" s="1" t="n">
        <v>45832.34430555555</v>
      </c>
      <c r="C289" s="1" t="n">
        <v>45933</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5477-2024</t>
        </is>
      </c>
      <c r="B290" s="1" t="n">
        <v>45333.67833333334</v>
      </c>
      <c r="C290" s="1" t="n">
        <v>45933</v>
      </c>
      <c r="D290" t="inlineStr">
        <is>
          <t>VÄSTMANLANDS LÄN</t>
        </is>
      </c>
      <c r="E290" t="inlineStr">
        <is>
          <t>SALA</t>
        </is>
      </c>
      <c r="G290" t="n">
        <v>2.3</v>
      </c>
      <c r="H290" t="n">
        <v>0</v>
      </c>
      <c r="I290" t="n">
        <v>0</v>
      </c>
      <c r="J290" t="n">
        <v>0</v>
      </c>
      <c r="K290" t="n">
        <v>0</v>
      </c>
      <c r="L290" t="n">
        <v>0</v>
      </c>
      <c r="M290" t="n">
        <v>0</v>
      </c>
      <c r="N290" t="n">
        <v>0</v>
      </c>
      <c r="O290" t="n">
        <v>0</v>
      </c>
      <c r="P290" t="n">
        <v>0</v>
      </c>
      <c r="Q290" t="n">
        <v>0</v>
      </c>
      <c r="R290" s="2" t="inlineStr"/>
    </row>
    <row r="291" ht="15" customHeight="1">
      <c r="A291" t="inlineStr">
        <is>
          <t>A 30899-2025</t>
        </is>
      </c>
      <c r="B291" s="1" t="n">
        <v>45832.35767361111</v>
      </c>
      <c r="C291" s="1" t="n">
        <v>45933</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30866-2025</t>
        </is>
      </c>
      <c r="B292" s="1" t="n">
        <v>45832.3246875</v>
      </c>
      <c r="C292" s="1" t="n">
        <v>45933</v>
      </c>
      <c r="D292" t="inlineStr">
        <is>
          <t>VÄSTMANLANDS LÄN</t>
        </is>
      </c>
      <c r="E292" t="inlineStr">
        <is>
          <t>SALA</t>
        </is>
      </c>
      <c r="G292" t="n">
        <v>14.3</v>
      </c>
      <c r="H292" t="n">
        <v>0</v>
      </c>
      <c r="I292" t="n">
        <v>0</v>
      </c>
      <c r="J292" t="n">
        <v>0</v>
      </c>
      <c r="K292" t="n">
        <v>0</v>
      </c>
      <c r="L292" t="n">
        <v>0</v>
      </c>
      <c r="M292" t="n">
        <v>0</v>
      </c>
      <c r="N292" t="n">
        <v>0</v>
      </c>
      <c r="O292" t="n">
        <v>0</v>
      </c>
      <c r="P292" t="n">
        <v>0</v>
      </c>
      <c r="Q292" t="n">
        <v>0</v>
      </c>
      <c r="R292" s="2" t="inlineStr"/>
    </row>
    <row r="293" ht="15" customHeight="1">
      <c r="A293" t="inlineStr">
        <is>
          <t>A 24864-2024</t>
        </is>
      </c>
      <c r="B293" s="1" t="n">
        <v>45461.48888888889</v>
      </c>
      <c r="C293" s="1" t="n">
        <v>45933</v>
      </c>
      <c r="D293" t="inlineStr">
        <is>
          <t>VÄSTMANLANDS LÄN</t>
        </is>
      </c>
      <c r="E293" t="inlineStr">
        <is>
          <t>SALA</t>
        </is>
      </c>
      <c r="G293" t="n">
        <v>0.6</v>
      </c>
      <c r="H293" t="n">
        <v>0</v>
      </c>
      <c r="I293" t="n">
        <v>0</v>
      </c>
      <c r="J293" t="n">
        <v>0</v>
      </c>
      <c r="K293" t="n">
        <v>0</v>
      </c>
      <c r="L293" t="n">
        <v>0</v>
      </c>
      <c r="M293" t="n">
        <v>0</v>
      </c>
      <c r="N293" t="n">
        <v>0</v>
      </c>
      <c r="O293" t="n">
        <v>0</v>
      </c>
      <c r="P293" t="n">
        <v>0</v>
      </c>
      <c r="Q293" t="n">
        <v>0</v>
      </c>
      <c r="R293" s="2" t="inlineStr"/>
    </row>
    <row r="294" ht="15" customHeight="1">
      <c r="A294" t="inlineStr">
        <is>
          <t>A 1118-2024</t>
        </is>
      </c>
      <c r="B294" s="1" t="n">
        <v>45302</v>
      </c>
      <c r="C294" s="1" t="n">
        <v>45933</v>
      </c>
      <c r="D294" t="inlineStr">
        <is>
          <t>VÄSTMANLANDS LÄN</t>
        </is>
      </c>
      <c r="E294" t="inlineStr">
        <is>
          <t>SALA</t>
        </is>
      </c>
      <c r="G294" t="n">
        <v>1.9</v>
      </c>
      <c r="H294" t="n">
        <v>0</v>
      </c>
      <c r="I294" t="n">
        <v>0</v>
      </c>
      <c r="J294" t="n">
        <v>0</v>
      </c>
      <c r="K294" t="n">
        <v>0</v>
      </c>
      <c r="L294" t="n">
        <v>0</v>
      </c>
      <c r="M294" t="n">
        <v>0</v>
      </c>
      <c r="N294" t="n">
        <v>0</v>
      </c>
      <c r="O294" t="n">
        <v>0</v>
      </c>
      <c r="P294" t="n">
        <v>0</v>
      </c>
      <c r="Q294" t="n">
        <v>0</v>
      </c>
      <c r="R294" s="2" t="inlineStr"/>
    </row>
    <row r="295" ht="15" customHeight="1">
      <c r="A295" t="inlineStr">
        <is>
          <t>A 63933-2023</t>
        </is>
      </c>
      <c r="B295" s="1" t="n">
        <v>45278</v>
      </c>
      <c r="C295" s="1" t="n">
        <v>45933</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55784-2024</t>
        </is>
      </c>
      <c r="B296" s="1" t="n">
        <v>45623</v>
      </c>
      <c r="C296" s="1" t="n">
        <v>45933</v>
      </c>
      <c r="D296" t="inlineStr">
        <is>
          <t>VÄSTMANLANDS LÄN</t>
        </is>
      </c>
      <c r="E296" t="inlineStr">
        <is>
          <t>SALA</t>
        </is>
      </c>
      <c r="F296" t="inlineStr">
        <is>
          <t>Bergvik skog öst AB</t>
        </is>
      </c>
      <c r="G296" t="n">
        <v>28.4</v>
      </c>
      <c r="H296" t="n">
        <v>0</v>
      </c>
      <c r="I296" t="n">
        <v>0</v>
      </c>
      <c r="J296" t="n">
        <v>0</v>
      </c>
      <c r="K296" t="n">
        <v>0</v>
      </c>
      <c r="L296" t="n">
        <v>0</v>
      </c>
      <c r="M296" t="n">
        <v>0</v>
      </c>
      <c r="N296" t="n">
        <v>0</v>
      </c>
      <c r="O296" t="n">
        <v>0</v>
      </c>
      <c r="P296" t="n">
        <v>0</v>
      </c>
      <c r="Q296" t="n">
        <v>0</v>
      </c>
      <c r="R296" s="2" t="inlineStr"/>
    </row>
    <row r="297" ht="15" customHeight="1">
      <c r="A297" t="inlineStr">
        <is>
          <t>A 31065-2025</t>
        </is>
      </c>
      <c r="B297" s="1" t="n">
        <v>45832.57571759259</v>
      </c>
      <c r="C297" s="1" t="n">
        <v>45933</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26507-2023</t>
        </is>
      </c>
      <c r="B298" s="1" t="n">
        <v>45092</v>
      </c>
      <c r="C298" s="1" t="n">
        <v>45933</v>
      </c>
      <c r="D298" t="inlineStr">
        <is>
          <t>VÄSTMANLANDS LÄN</t>
        </is>
      </c>
      <c r="E298" t="inlineStr">
        <is>
          <t>SALA</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6032-2025</t>
        </is>
      </c>
      <c r="B299" s="1" t="n">
        <v>45695.6371875</v>
      </c>
      <c r="C299" s="1" t="n">
        <v>45933</v>
      </c>
      <c r="D299" t="inlineStr">
        <is>
          <t>VÄSTMANLANDS LÄN</t>
        </is>
      </c>
      <c r="E299" t="inlineStr">
        <is>
          <t>SALA</t>
        </is>
      </c>
      <c r="F299" t="inlineStr">
        <is>
          <t>Bergvik skog öst AB</t>
        </is>
      </c>
      <c r="G299" t="n">
        <v>8.1</v>
      </c>
      <c r="H299" t="n">
        <v>0</v>
      </c>
      <c r="I299" t="n">
        <v>0</v>
      </c>
      <c r="J299" t="n">
        <v>0</v>
      </c>
      <c r="K299" t="n">
        <v>0</v>
      </c>
      <c r="L299" t="n">
        <v>0</v>
      </c>
      <c r="M299" t="n">
        <v>0</v>
      </c>
      <c r="N299" t="n">
        <v>0</v>
      </c>
      <c r="O299" t="n">
        <v>0</v>
      </c>
      <c r="P299" t="n">
        <v>0</v>
      </c>
      <c r="Q299" t="n">
        <v>0</v>
      </c>
      <c r="R299" s="2" t="inlineStr"/>
    </row>
    <row r="300" ht="15" customHeight="1">
      <c r="A300" t="inlineStr">
        <is>
          <t>A 31612-2025</t>
        </is>
      </c>
      <c r="B300" s="1" t="n">
        <v>45833.80056712963</v>
      </c>
      <c r="C300" s="1" t="n">
        <v>45933</v>
      </c>
      <c r="D300" t="inlineStr">
        <is>
          <t>VÄSTMANLANDS LÄN</t>
        </is>
      </c>
      <c r="E300" t="inlineStr">
        <is>
          <t>SALA</t>
        </is>
      </c>
      <c r="G300" t="n">
        <v>6.3</v>
      </c>
      <c r="H300" t="n">
        <v>0</v>
      </c>
      <c r="I300" t="n">
        <v>0</v>
      </c>
      <c r="J300" t="n">
        <v>0</v>
      </c>
      <c r="K300" t="n">
        <v>0</v>
      </c>
      <c r="L300" t="n">
        <v>0</v>
      </c>
      <c r="M300" t="n">
        <v>0</v>
      </c>
      <c r="N300" t="n">
        <v>0</v>
      </c>
      <c r="O300" t="n">
        <v>0</v>
      </c>
      <c r="P300" t="n">
        <v>0</v>
      </c>
      <c r="Q300" t="n">
        <v>0</v>
      </c>
      <c r="R300" s="2" t="inlineStr"/>
    </row>
    <row r="301" ht="15" customHeight="1">
      <c r="A301" t="inlineStr">
        <is>
          <t>A 37190-2024</t>
        </is>
      </c>
      <c r="B301" s="1" t="n">
        <v>45539</v>
      </c>
      <c r="C301" s="1" t="n">
        <v>45933</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31748-2025</t>
        </is>
      </c>
      <c r="B302" s="1" t="n">
        <v>45834</v>
      </c>
      <c r="C302" s="1" t="n">
        <v>45933</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31288-2025</t>
        </is>
      </c>
      <c r="B303" s="1" t="n">
        <v>45833</v>
      </c>
      <c r="C303" s="1" t="n">
        <v>45933</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45933</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31771-2025</t>
        </is>
      </c>
      <c r="B305" s="1" t="n">
        <v>45834.50910879629</v>
      </c>
      <c r="C305" s="1" t="n">
        <v>45933</v>
      </c>
      <c r="D305" t="inlineStr">
        <is>
          <t>VÄSTMANLANDS LÄN</t>
        </is>
      </c>
      <c r="E305" t="inlineStr">
        <is>
          <t>SALA</t>
        </is>
      </c>
      <c r="G305" t="n">
        <v>5.1</v>
      </c>
      <c r="H305" t="n">
        <v>0</v>
      </c>
      <c r="I305" t="n">
        <v>0</v>
      </c>
      <c r="J305" t="n">
        <v>0</v>
      </c>
      <c r="K305" t="n">
        <v>0</v>
      </c>
      <c r="L305" t="n">
        <v>0</v>
      </c>
      <c r="M305" t="n">
        <v>0</v>
      </c>
      <c r="N305" t="n">
        <v>0</v>
      </c>
      <c r="O305" t="n">
        <v>0</v>
      </c>
      <c r="P305" t="n">
        <v>0</v>
      </c>
      <c r="Q305" t="n">
        <v>0</v>
      </c>
      <c r="R305" s="2" t="inlineStr"/>
    </row>
    <row r="306" ht="15" customHeight="1">
      <c r="A306" t="inlineStr">
        <is>
          <t>A 34814-2021</t>
        </is>
      </c>
      <c r="B306" s="1" t="n">
        <v>44383</v>
      </c>
      <c r="C306" s="1" t="n">
        <v>45933</v>
      </c>
      <c r="D306" t="inlineStr">
        <is>
          <t>VÄSTMANLANDS LÄN</t>
        </is>
      </c>
      <c r="E306" t="inlineStr">
        <is>
          <t>SALA</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31860-2025</t>
        </is>
      </c>
      <c r="B307" s="1" t="n">
        <v>45834</v>
      </c>
      <c r="C307" s="1" t="n">
        <v>45933</v>
      </c>
      <c r="D307" t="inlineStr">
        <is>
          <t>VÄSTMANLANDS LÄN</t>
        </is>
      </c>
      <c r="E307" t="inlineStr">
        <is>
          <t>SALA</t>
        </is>
      </c>
      <c r="G307" t="n">
        <v>7.4</v>
      </c>
      <c r="H307" t="n">
        <v>0</v>
      </c>
      <c r="I307" t="n">
        <v>0</v>
      </c>
      <c r="J307" t="n">
        <v>0</v>
      </c>
      <c r="K307" t="n">
        <v>0</v>
      </c>
      <c r="L307" t="n">
        <v>0</v>
      </c>
      <c r="M307" t="n">
        <v>0</v>
      </c>
      <c r="N307" t="n">
        <v>0</v>
      </c>
      <c r="O307" t="n">
        <v>0</v>
      </c>
      <c r="P307" t="n">
        <v>0</v>
      </c>
      <c r="Q307" t="n">
        <v>0</v>
      </c>
      <c r="R307" s="2" t="inlineStr"/>
    </row>
    <row r="308" ht="15" customHeight="1">
      <c r="A308" t="inlineStr">
        <is>
          <t>A 29542-2023</t>
        </is>
      </c>
      <c r="B308" s="1" t="n">
        <v>45098</v>
      </c>
      <c r="C308" s="1" t="n">
        <v>45933</v>
      </c>
      <c r="D308" t="inlineStr">
        <is>
          <t>VÄSTMANLANDS LÄN</t>
        </is>
      </c>
      <c r="E308" t="inlineStr">
        <is>
          <t>SALA</t>
        </is>
      </c>
      <c r="G308" t="n">
        <v>4.8</v>
      </c>
      <c r="H308" t="n">
        <v>0</v>
      </c>
      <c r="I308" t="n">
        <v>0</v>
      </c>
      <c r="J308" t="n">
        <v>0</v>
      </c>
      <c r="K308" t="n">
        <v>0</v>
      </c>
      <c r="L308" t="n">
        <v>0</v>
      </c>
      <c r="M308" t="n">
        <v>0</v>
      </c>
      <c r="N308" t="n">
        <v>0</v>
      </c>
      <c r="O308" t="n">
        <v>0</v>
      </c>
      <c r="P308" t="n">
        <v>0</v>
      </c>
      <c r="Q308" t="n">
        <v>0</v>
      </c>
      <c r="R308" s="2" t="inlineStr"/>
    </row>
    <row r="309" ht="15" customHeight="1">
      <c r="A309" t="inlineStr">
        <is>
          <t>A 31554-2025</t>
        </is>
      </c>
      <c r="B309" s="1" t="n">
        <v>45833</v>
      </c>
      <c r="C309" s="1" t="n">
        <v>45933</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31762-2025</t>
        </is>
      </c>
      <c r="B310" s="1" t="n">
        <v>45834.49288194445</v>
      </c>
      <c r="C310" s="1" t="n">
        <v>45933</v>
      </c>
      <c r="D310" t="inlineStr">
        <is>
          <t>VÄSTMANLANDS LÄN</t>
        </is>
      </c>
      <c r="E310" t="inlineStr">
        <is>
          <t>SALA</t>
        </is>
      </c>
      <c r="G310" t="n">
        <v>5.9</v>
      </c>
      <c r="H310" t="n">
        <v>0</v>
      </c>
      <c r="I310" t="n">
        <v>0</v>
      </c>
      <c r="J310" t="n">
        <v>0</v>
      </c>
      <c r="K310" t="n">
        <v>0</v>
      </c>
      <c r="L310" t="n">
        <v>0</v>
      </c>
      <c r="M310" t="n">
        <v>0</v>
      </c>
      <c r="N310" t="n">
        <v>0</v>
      </c>
      <c r="O310" t="n">
        <v>0</v>
      </c>
      <c r="P310" t="n">
        <v>0</v>
      </c>
      <c r="Q310" t="n">
        <v>0</v>
      </c>
      <c r="R310" s="2" t="inlineStr"/>
    </row>
    <row r="311" ht="15" customHeight="1">
      <c r="A311" t="inlineStr">
        <is>
          <t>A 31608-2025</t>
        </is>
      </c>
      <c r="B311" s="1" t="n">
        <v>45833</v>
      </c>
      <c r="C311" s="1" t="n">
        <v>45933</v>
      </c>
      <c r="D311" t="inlineStr">
        <is>
          <t>VÄSTMANLANDS LÄN</t>
        </is>
      </c>
      <c r="E311" t="inlineStr">
        <is>
          <t>SALA</t>
        </is>
      </c>
      <c r="G311" t="n">
        <v>6.1</v>
      </c>
      <c r="H311" t="n">
        <v>0</v>
      </c>
      <c r="I311" t="n">
        <v>0</v>
      </c>
      <c r="J311" t="n">
        <v>0</v>
      </c>
      <c r="K311" t="n">
        <v>0</v>
      </c>
      <c r="L311" t="n">
        <v>0</v>
      </c>
      <c r="M311" t="n">
        <v>0</v>
      </c>
      <c r="N311" t="n">
        <v>0</v>
      </c>
      <c r="O311" t="n">
        <v>0</v>
      </c>
      <c r="P311" t="n">
        <v>0</v>
      </c>
      <c r="Q311" t="n">
        <v>0</v>
      </c>
      <c r="R311" s="2" t="inlineStr"/>
    </row>
    <row r="312" ht="15" customHeight="1">
      <c r="A312" t="inlineStr">
        <is>
          <t>A 27038-2023</t>
        </is>
      </c>
      <c r="B312" s="1" t="n">
        <v>45095</v>
      </c>
      <c r="C312" s="1" t="n">
        <v>45933</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31610-2025</t>
        </is>
      </c>
      <c r="B313" s="1" t="n">
        <v>45833.78650462963</v>
      </c>
      <c r="C313" s="1" t="n">
        <v>45933</v>
      </c>
      <c r="D313" t="inlineStr">
        <is>
          <t>VÄSTMANLANDS LÄN</t>
        </is>
      </c>
      <c r="E313" t="inlineStr">
        <is>
          <t>SALA</t>
        </is>
      </c>
      <c r="G313" t="n">
        <v>8</v>
      </c>
      <c r="H313" t="n">
        <v>0</v>
      </c>
      <c r="I313" t="n">
        <v>0</v>
      </c>
      <c r="J313" t="n">
        <v>0</v>
      </c>
      <c r="K313" t="n">
        <v>0</v>
      </c>
      <c r="L313" t="n">
        <v>0</v>
      </c>
      <c r="M313" t="n">
        <v>0</v>
      </c>
      <c r="N313" t="n">
        <v>0</v>
      </c>
      <c r="O313" t="n">
        <v>0</v>
      </c>
      <c r="P313" t="n">
        <v>0</v>
      </c>
      <c r="Q313" t="n">
        <v>0</v>
      </c>
      <c r="R313" s="2" t="inlineStr"/>
    </row>
    <row r="314" ht="15" customHeight="1">
      <c r="A314" t="inlineStr">
        <is>
          <t>A 31296-2025</t>
        </is>
      </c>
      <c r="B314" s="1" t="n">
        <v>45833.36765046296</v>
      </c>
      <c r="C314" s="1" t="n">
        <v>45933</v>
      </c>
      <c r="D314" t="inlineStr">
        <is>
          <t>VÄSTMANLANDS LÄN</t>
        </is>
      </c>
      <c r="E314" t="inlineStr">
        <is>
          <t>SALA</t>
        </is>
      </c>
      <c r="G314" t="n">
        <v>3.7</v>
      </c>
      <c r="H314" t="n">
        <v>0</v>
      </c>
      <c r="I314" t="n">
        <v>0</v>
      </c>
      <c r="J314" t="n">
        <v>0</v>
      </c>
      <c r="K314" t="n">
        <v>0</v>
      </c>
      <c r="L314" t="n">
        <v>0</v>
      </c>
      <c r="M314" t="n">
        <v>0</v>
      </c>
      <c r="N314" t="n">
        <v>0</v>
      </c>
      <c r="O314" t="n">
        <v>0</v>
      </c>
      <c r="P314" t="n">
        <v>0</v>
      </c>
      <c r="Q314" t="n">
        <v>0</v>
      </c>
      <c r="R314" s="2" t="inlineStr"/>
    </row>
    <row r="315" ht="15" customHeight="1">
      <c r="A315" t="inlineStr">
        <is>
          <t>A 54118-2023</t>
        </is>
      </c>
      <c r="B315" s="1" t="n">
        <v>45232</v>
      </c>
      <c r="C315" s="1" t="n">
        <v>45933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31573-2025</t>
        </is>
      </c>
      <c r="B316" s="1" t="n">
        <v>45833</v>
      </c>
      <c r="C316" s="1" t="n">
        <v>45933</v>
      </c>
      <c r="D316" t="inlineStr">
        <is>
          <t>VÄSTMANLANDS LÄN</t>
        </is>
      </c>
      <c r="E316" t="inlineStr">
        <is>
          <t>SALA</t>
        </is>
      </c>
      <c r="G316" t="n">
        <v>0.6</v>
      </c>
      <c r="H316" t="n">
        <v>0</v>
      </c>
      <c r="I316" t="n">
        <v>0</v>
      </c>
      <c r="J316" t="n">
        <v>0</v>
      </c>
      <c r="K316" t="n">
        <v>0</v>
      </c>
      <c r="L316" t="n">
        <v>0</v>
      </c>
      <c r="M316" t="n">
        <v>0</v>
      </c>
      <c r="N316" t="n">
        <v>0</v>
      </c>
      <c r="O316" t="n">
        <v>0</v>
      </c>
      <c r="P316" t="n">
        <v>0</v>
      </c>
      <c r="Q316" t="n">
        <v>0</v>
      </c>
      <c r="R316" s="2" t="inlineStr"/>
    </row>
    <row r="317" ht="15" customHeight="1">
      <c r="A317" t="inlineStr">
        <is>
          <t>A 35462-2024</t>
        </is>
      </c>
      <c r="B317" s="1" t="n">
        <v>45531</v>
      </c>
      <c r="C317" s="1" t="n">
        <v>45933</v>
      </c>
      <c r="D317" t="inlineStr">
        <is>
          <t>VÄSTMANLANDS LÄN</t>
        </is>
      </c>
      <c r="E317" t="inlineStr">
        <is>
          <t>SALA</t>
        </is>
      </c>
      <c r="G317" t="n">
        <v>0.6</v>
      </c>
      <c r="H317" t="n">
        <v>0</v>
      </c>
      <c r="I317" t="n">
        <v>0</v>
      </c>
      <c r="J317" t="n">
        <v>0</v>
      </c>
      <c r="K317" t="n">
        <v>0</v>
      </c>
      <c r="L317" t="n">
        <v>0</v>
      </c>
      <c r="M317" t="n">
        <v>0</v>
      </c>
      <c r="N317" t="n">
        <v>0</v>
      </c>
      <c r="O317" t="n">
        <v>0</v>
      </c>
      <c r="P317" t="n">
        <v>0</v>
      </c>
      <c r="Q317" t="n">
        <v>0</v>
      </c>
      <c r="R317" s="2" t="inlineStr"/>
    </row>
    <row r="318" ht="15" customHeight="1">
      <c r="A318" t="inlineStr">
        <is>
          <t>A 32201-2025</t>
        </is>
      </c>
      <c r="B318" s="1" t="n">
        <v>45835</v>
      </c>
      <c r="C318" s="1" t="n">
        <v>45933</v>
      </c>
      <c r="D318" t="inlineStr">
        <is>
          <t>VÄSTMANLANDS LÄN</t>
        </is>
      </c>
      <c r="E318" t="inlineStr">
        <is>
          <t>SALA</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32205-2025</t>
        </is>
      </c>
      <c r="B319" s="1" t="n">
        <v>45835</v>
      </c>
      <c r="C319" s="1" t="n">
        <v>45933</v>
      </c>
      <c r="D319" t="inlineStr">
        <is>
          <t>VÄSTMANLANDS LÄN</t>
        </is>
      </c>
      <c r="E319" t="inlineStr">
        <is>
          <t>SALA</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32210-2025</t>
        </is>
      </c>
      <c r="B320" s="1" t="n">
        <v>45835</v>
      </c>
      <c r="C320" s="1" t="n">
        <v>45933</v>
      </c>
      <c r="D320" t="inlineStr">
        <is>
          <t>VÄSTMANLANDS LÄN</t>
        </is>
      </c>
      <c r="E320" t="inlineStr">
        <is>
          <t>SALA</t>
        </is>
      </c>
      <c r="F320" t="inlineStr">
        <is>
          <t>Bergvik skog öst AB</t>
        </is>
      </c>
      <c r="G320" t="n">
        <v>1.5</v>
      </c>
      <c r="H320" t="n">
        <v>0</v>
      </c>
      <c r="I320" t="n">
        <v>0</v>
      </c>
      <c r="J320" t="n">
        <v>0</v>
      </c>
      <c r="K320" t="n">
        <v>0</v>
      </c>
      <c r="L320" t="n">
        <v>0</v>
      </c>
      <c r="M320" t="n">
        <v>0</v>
      </c>
      <c r="N320" t="n">
        <v>0</v>
      </c>
      <c r="O320" t="n">
        <v>0</v>
      </c>
      <c r="P320" t="n">
        <v>0</v>
      </c>
      <c r="Q320" t="n">
        <v>0</v>
      </c>
      <c r="R320" s="2" t="inlineStr"/>
    </row>
    <row r="321" ht="15" customHeight="1">
      <c r="A321" t="inlineStr">
        <is>
          <t>A 11389-2024</t>
        </is>
      </c>
      <c r="B321" s="1" t="n">
        <v>45372.45016203704</v>
      </c>
      <c r="C321" s="1" t="n">
        <v>45933</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56706-2022</t>
        </is>
      </c>
      <c r="B322" s="1" t="n">
        <v>44893.78893518518</v>
      </c>
      <c r="C322" s="1" t="n">
        <v>45933</v>
      </c>
      <c r="D322" t="inlineStr">
        <is>
          <t>VÄSTMANLANDS LÄN</t>
        </is>
      </c>
      <c r="E322" t="inlineStr">
        <is>
          <t>SALA</t>
        </is>
      </c>
      <c r="G322" t="n">
        <v>4.5</v>
      </c>
      <c r="H322" t="n">
        <v>0</v>
      </c>
      <c r="I322" t="n">
        <v>0</v>
      </c>
      <c r="J322" t="n">
        <v>0</v>
      </c>
      <c r="K322" t="n">
        <v>0</v>
      </c>
      <c r="L322" t="n">
        <v>0</v>
      </c>
      <c r="M322" t="n">
        <v>0</v>
      </c>
      <c r="N322" t="n">
        <v>0</v>
      </c>
      <c r="O322" t="n">
        <v>0</v>
      </c>
      <c r="P322" t="n">
        <v>0</v>
      </c>
      <c r="Q322" t="n">
        <v>0</v>
      </c>
      <c r="R322" s="2" t="inlineStr"/>
    </row>
    <row r="323" ht="15" customHeight="1">
      <c r="A323" t="inlineStr">
        <is>
          <t>A 56707-2022</t>
        </is>
      </c>
      <c r="B323" s="1" t="n">
        <v>44893.79412037037</v>
      </c>
      <c r="C323" s="1" t="n">
        <v>45933</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30971-2022</t>
        </is>
      </c>
      <c r="B324" s="1" t="n">
        <v>44768.46725694444</v>
      </c>
      <c r="C324" s="1" t="n">
        <v>45933</v>
      </c>
      <c r="D324" t="inlineStr">
        <is>
          <t>VÄSTMANLANDS LÄN</t>
        </is>
      </c>
      <c r="E324" t="inlineStr">
        <is>
          <t>SALA</t>
        </is>
      </c>
      <c r="G324" t="n">
        <v>2.4</v>
      </c>
      <c r="H324" t="n">
        <v>0</v>
      </c>
      <c r="I324" t="n">
        <v>0</v>
      </c>
      <c r="J324" t="n">
        <v>0</v>
      </c>
      <c r="K324" t="n">
        <v>0</v>
      </c>
      <c r="L324" t="n">
        <v>0</v>
      </c>
      <c r="M324" t="n">
        <v>0</v>
      </c>
      <c r="N324" t="n">
        <v>0</v>
      </c>
      <c r="O324" t="n">
        <v>0</v>
      </c>
      <c r="P324" t="n">
        <v>0</v>
      </c>
      <c r="Q324" t="n">
        <v>0</v>
      </c>
      <c r="R324" s="2" t="inlineStr"/>
    </row>
    <row r="325" ht="15" customHeight="1">
      <c r="A325" t="inlineStr">
        <is>
          <t>A 32286-2025</t>
        </is>
      </c>
      <c r="B325" s="1" t="n">
        <v>45835</v>
      </c>
      <c r="C325" s="1" t="n">
        <v>45933</v>
      </c>
      <c r="D325" t="inlineStr">
        <is>
          <t>VÄSTMANLANDS LÄN</t>
        </is>
      </c>
      <c r="E325" t="inlineStr">
        <is>
          <t>SALA</t>
        </is>
      </c>
      <c r="G325" t="n">
        <v>6.4</v>
      </c>
      <c r="H325" t="n">
        <v>0</v>
      </c>
      <c r="I325" t="n">
        <v>0</v>
      </c>
      <c r="J325" t="n">
        <v>0</v>
      </c>
      <c r="K325" t="n">
        <v>0</v>
      </c>
      <c r="L325" t="n">
        <v>0</v>
      </c>
      <c r="M325" t="n">
        <v>0</v>
      </c>
      <c r="N325" t="n">
        <v>0</v>
      </c>
      <c r="O325" t="n">
        <v>0</v>
      </c>
      <c r="P325" t="n">
        <v>0</v>
      </c>
      <c r="Q325" t="n">
        <v>0</v>
      </c>
      <c r="R325" s="2" t="inlineStr"/>
    </row>
    <row r="326" ht="15" customHeight="1">
      <c r="A326" t="inlineStr">
        <is>
          <t>A 32207-2025</t>
        </is>
      </c>
      <c r="B326" s="1" t="n">
        <v>45835</v>
      </c>
      <c r="C326" s="1" t="n">
        <v>45933</v>
      </c>
      <c r="D326" t="inlineStr">
        <is>
          <t>VÄSTMANLANDS LÄN</t>
        </is>
      </c>
      <c r="E326" t="inlineStr">
        <is>
          <t>SALA</t>
        </is>
      </c>
      <c r="F326" t="inlineStr">
        <is>
          <t>Bergvik skog öst AB</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66821-2020</t>
        </is>
      </c>
      <c r="B327" s="1" t="n">
        <v>44179.88008101852</v>
      </c>
      <c r="C327" s="1" t="n">
        <v>45933</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36393-2023</t>
        </is>
      </c>
      <c r="B328" s="1" t="n">
        <v>45152</v>
      </c>
      <c r="C328" s="1" t="n">
        <v>45933</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45790-2023</t>
        </is>
      </c>
      <c r="B329" s="1" t="n">
        <v>45195.45958333334</v>
      </c>
      <c r="C329" s="1" t="n">
        <v>45933</v>
      </c>
      <c r="D329" t="inlineStr">
        <is>
          <t>VÄSTMANLANDS LÄN</t>
        </is>
      </c>
      <c r="E329" t="inlineStr">
        <is>
          <t>SALA</t>
        </is>
      </c>
      <c r="G329" t="n">
        <v>5.7</v>
      </c>
      <c r="H329" t="n">
        <v>0</v>
      </c>
      <c r="I329" t="n">
        <v>0</v>
      </c>
      <c r="J329" t="n">
        <v>0</v>
      </c>
      <c r="K329" t="n">
        <v>0</v>
      </c>
      <c r="L329" t="n">
        <v>0</v>
      </c>
      <c r="M329" t="n">
        <v>0</v>
      </c>
      <c r="N329" t="n">
        <v>0</v>
      </c>
      <c r="O329" t="n">
        <v>0</v>
      </c>
      <c r="P329" t="n">
        <v>0</v>
      </c>
      <c r="Q329" t="n">
        <v>0</v>
      </c>
      <c r="R329" s="2" t="inlineStr"/>
    </row>
    <row r="330" ht="15" customHeight="1">
      <c r="A330" t="inlineStr">
        <is>
          <t>A 56949-2023</t>
        </is>
      </c>
      <c r="B330" s="1" t="n">
        <v>45244.61589120371</v>
      </c>
      <c r="C330" s="1" t="n">
        <v>45933</v>
      </c>
      <c r="D330" t="inlineStr">
        <is>
          <t>VÄSTMANLANDS LÄN</t>
        </is>
      </c>
      <c r="E330" t="inlineStr">
        <is>
          <t>SALA</t>
        </is>
      </c>
      <c r="G330" t="n">
        <v>4.7</v>
      </c>
      <c r="H330" t="n">
        <v>0</v>
      </c>
      <c r="I330" t="n">
        <v>0</v>
      </c>
      <c r="J330" t="n">
        <v>0</v>
      </c>
      <c r="K330" t="n">
        <v>0</v>
      </c>
      <c r="L330" t="n">
        <v>0</v>
      </c>
      <c r="M330" t="n">
        <v>0</v>
      </c>
      <c r="N330" t="n">
        <v>0</v>
      </c>
      <c r="O330" t="n">
        <v>0</v>
      </c>
      <c r="P330" t="n">
        <v>0</v>
      </c>
      <c r="Q330" t="n">
        <v>0</v>
      </c>
      <c r="R330" s="2" t="inlineStr"/>
    </row>
    <row r="331" ht="15" customHeight="1">
      <c r="A331" t="inlineStr">
        <is>
          <t>A 32902-2025</t>
        </is>
      </c>
      <c r="B331" s="1" t="n">
        <v>45839</v>
      </c>
      <c r="C331" s="1" t="n">
        <v>45933</v>
      </c>
      <c r="D331" t="inlineStr">
        <is>
          <t>VÄSTMANLANDS LÄN</t>
        </is>
      </c>
      <c r="E331" t="inlineStr">
        <is>
          <t>SALA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17051-2025</t>
        </is>
      </c>
      <c r="B332" s="1" t="n">
        <v>45755</v>
      </c>
      <c r="C332" s="1" t="n">
        <v>45933</v>
      </c>
      <c r="D332" t="inlineStr">
        <is>
          <t>VÄSTMANLANDS LÄN</t>
        </is>
      </c>
      <c r="E332" t="inlineStr">
        <is>
          <t>SALA</t>
        </is>
      </c>
      <c r="G332" t="n">
        <v>2.9</v>
      </c>
      <c r="H332" t="n">
        <v>0</v>
      </c>
      <c r="I332" t="n">
        <v>0</v>
      </c>
      <c r="J332" t="n">
        <v>0</v>
      </c>
      <c r="K332" t="n">
        <v>0</v>
      </c>
      <c r="L332" t="n">
        <v>0</v>
      </c>
      <c r="M332" t="n">
        <v>0</v>
      </c>
      <c r="N332" t="n">
        <v>0</v>
      </c>
      <c r="O332" t="n">
        <v>0</v>
      </c>
      <c r="P332" t="n">
        <v>0</v>
      </c>
      <c r="Q332" t="n">
        <v>0</v>
      </c>
      <c r="R332" s="2" t="inlineStr"/>
    </row>
    <row r="333" ht="15" customHeight="1">
      <c r="A333" t="inlineStr">
        <is>
          <t>A 40214-2023</t>
        </is>
      </c>
      <c r="B333" s="1" t="n">
        <v>45169.45173611111</v>
      </c>
      <c r="C333" s="1" t="n">
        <v>45933</v>
      </c>
      <c r="D333" t="inlineStr">
        <is>
          <t>VÄSTMANLANDS LÄN</t>
        </is>
      </c>
      <c r="E333" t="inlineStr">
        <is>
          <t>SALA</t>
        </is>
      </c>
      <c r="G333" t="n">
        <v>5.5</v>
      </c>
      <c r="H333" t="n">
        <v>0</v>
      </c>
      <c r="I333" t="n">
        <v>0</v>
      </c>
      <c r="J333" t="n">
        <v>0</v>
      </c>
      <c r="K333" t="n">
        <v>0</v>
      </c>
      <c r="L333" t="n">
        <v>0</v>
      </c>
      <c r="M333" t="n">
        <v>0</v>
      </c>
      <c r="N333" t="n">
        <v>0</v>
      </c>
      <c r="O333" t="n">
        <v>0</v>
      </c>
      <c r="P333" t="n">
        <v>0</v>
      </c>
      <c r="Q333" t="n">
        <v>0</v>
      </c>
      <c r="R333" s="2" t="inlineStr"/>
    </row>
    <row r="334" ht="15" customHeight="1">
      <c r="A334" t="inlineStr">
        <is>
          <t>A 35016-2024</t>
        </is>
      </c>
      <c r="B334" s="1" t="n">
        <v>45527.59115740741</v>
      </c>
      <c r="C334" s="1" t="n">
        <v>45933</v>
      </c>
      <c r="D334" t="inlineStr">
        <is>
          <t>VÄSTMANLANDS LÄN</t>
        </is>
      </c>
      <c r="E334" t="inlineStr">
        <is>
          <t>SALA</t>
        </is>
      </c>
      <c r="G334" t="n">
        <v>0.4</v>
      </c>
      <c r="H334" t="n">
        <v>0</v>
      </c>
      <c r="I334" t="n">
        <v>0</v>
      </c>
      <c r="J334" t="n">
        <v>0</v>
      </c>
      <c r="K334" t="n">
        <v>0</v>
      </c>
      <c r="L334" t="n">
        <v>0</v>
      </c>
      <c r="M334" t="n">
        <v>0</v>
      </c>
      <c r="N334" t="n">
        <v>0</v>
      </c>
      <c r="O334" t="n">
        <v>0</v>
      </c>
      <c r="P334" t="n">
        <v>0</v>
      </c>
      <c r="Q334" t="n">
        <v>0</v>
      </c>
      <c r="R334" s="2" t="inlineStr"/>
    </row>
    <row r="335" ht="15" customHeight="1">
      <c r="A335" t="inlineStr">
        <is>
          <t>A 2900-2023</t>
        </is>
      </c>
      <c r="B335" s="1" t="n">
        <v>44943</v>
      </c>
      <c r="C335" s="1" t="n">
        <v>45933</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37612-2024</t>
        </is>
      </c>
      <c r="B336" s="1" t="n">
        <v>45541</v>
      </c>
      <c r="C336" s="1" t="n">
        <v>45933</v>
      </c>
      <c r="D336" t="inlineStr">
        <is>
          <t>VÄSTMANLANDS LÄN</t>
        </is>
      </c>
      <c r="E336" t="inlineStr">
        <is>
          <t>SALA</t>
        </is>
      </c>
      <c r="G336" t="n">
        <v>2.2</v>
      </c>
      <c r="H336" t="n">
        <v>0</v>
      </c>
      <c r="I336" t="n">
        <v>0</v>
      </c>
      <c r="J336" t="n">
        <v>0</v>
      </c>
      <c r="K336" t="n">
        <v>0</v>
      </c>
      <c r="L336" t="n">
        <v>0</v>
      </c>
      <c r="M336" t="n">
        <v>0</v>
      </c>
      <c r="N336" t="n">
        <v>0</v>
      </c>
      <c r="O336" t="n">
        <v>0</v>
      </c>
      <c r="P336" t="n">
        <v>0</v>
      </c>
      <c r="Q336" t="n">
        <v>0</v>
      </c>
      <c r="R336" s="2" t="inlineStr"/>
    </row>
    <row r="337" ht="15" customHeight="1">
      <c r="A337" t="inlineStr">
        <is>
          <t>A 37615-2024</t>
        </is>
      </c>
      <c r="B337" s="1" t="n">
        <v>45541.50673611111</v>
      </c>
      <c r="C337" s="1" t="n">
        <v>45933</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5728-2022</t>
        </is>
      </c>
      <c r="B338" s="1" t="n">
        <v>44596.42082175926</v>
      </c>
      <c r="C338" s="1" t="n">
        <v>45933</v>
      </c>
      <c r="D338" t="inlineStr">
        <is>
          <t>VÄSTMANLANDS LÄN</t>
        </is>
      </c>
      <c r="E338" t="inlineStr">
        <is>
          <t>SALA</t>
        </is>
      </c>
      <c r="G338" t="n">
        <v>1.7</v>
      </c>
      <c r="H338" t="n">
        <v>0</v>
      </c>
      <c r="I338" t="n">
        <v>0</v>
      </c>
      <c r="J338" t="n">
        <v>0</v>
      </c>
      <c r="K338" t="n">
        <v>0</v>
      </c>
      <c r="L338" t="n">
        <v>0</v>
      </c>
      <c r="M338" t="n">
        <v>0</v>
      </c>
      <c r="N338" t="n">
        <v>0</v>
      </c>
      <c r="O338" t="n">
        <v>0</v>
      </c>
      <c r="P338" t="n">
        <v>0</v>
      </c>
      <c r="Q338" t="n">
        <v>0</v>
      </c>
      <c r="R338" s="2" t="inlineStr"/>
    </row>
    <row r="339" ht="15" customHeight="1">
      <c r="A339" t="inlineStr">
        <is>
          <t>A 7681-2021</t>
        </is>
      </c>
      <c r="B339" s="1" t="n">
        <v>44242</v>
      </c>
      <c r="C339" s="1" t="n">
        <v>45933</v>
      </c>
      <c r="D339" t="inlineStr">
        <is>
          <t>VÄSTMANLANDS LÄN</t>
        </is>
      </c>
      <c r="E339" t="inlineStr">
        <is>
          <t>SALA</t>
        </is>
      </c>
      <c r="F339" t="inlineStr">
        <is>
          <t>Sveaskog</t>
        </is>
      </c>
      <c r="G339" t="n">
        <v>16.1</v>
      </c>
      <c r="H339" t="n">
        <v>0</v>
      </c>
      <c r="I339" t="n">
        <v>0</v>
      </c>
      <c r="J339" t="n">
        <v>0</v>
      </c>
      <c r="K339" t="n">
        <v>0</v>
      </c>
      <c r="L339" t="n">
        <v>0</v>
      </c>
      <c r="M339" t="n">
        <v>0</v>
      </c>
      <c r="N339" t="n">
        <v>0</v>
      </c>
      <c r="O339" t="n">
        <v>0</v>
      </c>
      <c r="P339" t="n">
        <v>0</v>
      </c>
      <c r="Q339" t="n">
        <v>0</v>
      </c>
      <c r="R339" s="2" t="inlineStr"/>
    </row>
    <row r="340" ht="15" customHeight="1">
      <c r="A340" t="inlineStr">
        <is>
          <t>A 60730-2023</t>
        </is>
      </c>
      <c r="B340" s="1" t="n">
        <v>45260</v>
      </c>
      <c r="C340" s="1" t="n">
        <v>45933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60731-2023</t>
        </is>
      </c>
      <c r="B341" s="1" t="n">
        <v>45260</v>
      </c>
      <c r="C341" s="1" t="n">
        <v>45933</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8285-2025</t>
        </is>
      </c>
      <c r="B342" s="1" t="n">
        <v>45708</v>
      </c>
      <c r="C342" s="1" t="n">
        <v>45933</v>
      </c>
      <c r="D342" t="inlineStr">
        <is>
          <t>VÄSTMANLANDS LÄN</t>
        </is>
      </c>
      <c r="E342" t="inlineStr">
        <is>
          <t>SALA</t>
        </is>
      </c>
      <c r="G342" t="n">
        <v>5.7</v>
      </c>
      <c r="H342" t="n">
        <v>0</v>
      </c>
      <c r="I342" t="n">
        <v>0</v>
      </c>
      <c r="J342" t="n">
        <v>0</v>
      </c>
      <c r="K342" t="n">
        <v>0</v>
      </c>
      <c r="L342" t="n">
        <v>0</v>
      </c>
      <c r="M342" t="n">
        <v>0</v>
      </c>
      <c r="N342" t="n">
        <v>0</v>
      </c>
      <c r="O342" t="n">
        <v>0</v>
      </c>
      <c r="P342" t="n">
        <v>0</v>
      </c>
      <c r="Q342" t="n">
        <v>0</v>
      </c>
      <c r="R342" s="2" t="inlineStr"/>
    </row>
    <row r="343" ht="15" customHeight="1">
      <c r="A343" t="inlineStr">
        <is>
          <t>A 19751-2022</t>
        </is>
      </c>
      <c r="B343" s="1" t="n">
        <v>44694</v>
      </c>
      <c r="C343" s="1" t="n">
        <v>45933</v>
      </c>
      <c r="D343" t="inlineStr">
        <is>
          <t>VÄSTMANLANDS LÄN</t>
        </is>
      </c>
      <c r="E343" t="inlineStr">
        <is>
          <t>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14010-2021</t>
        </is>
      </c>
      <c r="B344" s="1" t="n">
        <v>44277.63396990741</v>
      </c>
      <c r="C344" s="1" t="n">
        <v>45933</v>
      </c>
      <c r="D344" t="inlineStr">
        <is>
          <t>VÄSTMANLANDS LÄN</t>
        </is>
      </c>
      <c r="E344" t="inlineStr">
        <is>
          <t>SALA</t>
        </is>
      </c>
      <c r="G344" t="n">
        <v>3.5</v>
      </c>
      <c r="H344" t="n">
        <v>0</v>
      </c>
      <c r="I344" t="n">
        <v>0</v>
      </c>
      <c r="J344" t="n">
        <v>0</v>
      </c>
      <c r="K344" t="n">
        <v>0</v>
      </c>
      <c r="L344" t="n">
        <v>0</v>
      </c>
      <c r="M344" t="n">
        <v>0</v>
      </c>
      <c r="N344" t="n">
        <v>0</v>
      </c>
      <c r="O344" t="n">
        <v>0</v>
      </c>
      <c r="P344" t="n">
        <v>0</v>
      </c>
      <c r="Q344" t="n">
        <v>0</v>
      </c>
      <c r="R344" s="2" t="inlineStr"/>
    </row>
    <row r="345" ht="15" customHeight="1">
      <c r="A345" t="inlineStr">
        <is>
          <t>A 34069-2025</t>
        </is>
      </c>
      <c r="B345" s="1" t="n">
        <v>45845.43560185185</v>
      </c>
      <c r="C345" s="1" t="n">
        <v>45933</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c r="U345">
        <f>HYPERLINK("https://klasma.github.io/Logging_1981/knärot/A 34069-2025 karta knärot.png", "A 34069-2025")</f>
        <v/>
      </c>
      <c r="V345">
        <f>HYPERLINK("https://klasma.github.io/Logging_1981/klagomål/A 34069-2025 FSC-klagomål.docx", "A 34069-2025")</f>
        <v/>
      </c>
      <c r="W345">
        <f>HYPERLINK("https://klasma.github.io/Logging_1981/klagomålsmail/A 34069-2025 FSC-klagomål mail.docx", "A 34069-2025")</f>
        <v/>
      </c>
      <c r="X345">
        <f>HYPERLINK("https://klasma.github.io/Logging_1981/tillsyn/A 34069-2025 tillsynsbegäran.docx", "A 34069-2025")</f>
        <v/>
      </c>
      <c r="Y345">
        <f>HYPERLINK("https://klasma.github.io/Logging_1981/tillsynsmail/A 34069-2025 tillsynsbegäran mail.docx", "A 34069-2025")</f>
        <v/>
      </c>
    </row>
    <row r="346" ht="15" customHeight="1">
      <c r="A346" t="inlineStr">
        <is>
          <t>A 22019-2021</t>
        </is>
      </c>
      <c r="B346" s="1" t="n">
        <v>44323</v>
      </c>
      <c r="C346" s="1" t="n">
        <v>45933</v>
      </c>
      <c r="D346" t="inlineStr">
        <is>
          <t>VÄSTMANLANDS LÄN</t>
        </is>
      </c>
      <c r="E346" t="inlineStr">
        <is>
          <t>SALA</t>
        </is>
      </c>
      <c r="G346" t="n">
        <v>1.9</v>
      </c>
      <c r="H346" t="n">
        <v>0</v>
      </c>
      <c r="I346" t="n">
        <v>0</v>
      </c>
      <c r="J346" t="n">
        <v>0</v>
      </c>
      <c r="K346" t="n">
        <v>0</v>
      </c>
      <c r="L346" t="n">
        <v>0</v>
      </c>
      <c r="M346" t="n">
        <v>0</v>
      </c>
      <c r="N346" t="n">
        <v>0</v>
      </c>
      <c r="O346" t="n">
        <v>0</v>
      </c>
      <c r="P346" t="n">
        <v>0</v>
      </c>
      <c r="Q346" t="n">
        <v>0</v>
      </c>
      <c r="R346" s="2" t="inlineStr"/>
    </row>
    <row r="347" ht="15" customHeight="1">
      <c r="A347" t="inlineStr">
        <is>
          <t>A 57404-2024</t>
        </is>
      </c>
      <c r="B347" s="1" t="n">
        <v>45629.71967592592</v>
      </c>
      <c r="C347" s="1" t="n">
        <v>45933</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6312-2025</t>
        </is>
      </c>
      <c r="B348" s="1" t="n">
        <v>45698</v>
      </c>
      <c r="C348" s="1" t="n">
        <v>45933</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15744-2025</t>
        </is>
      </c>
      <c r="B349" s="1" t="n">
        <v>45748</v>
      </c>
      <c r="C349" s="1" t="n">
        <v>45933</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55035-2023</t>
        </is>
      </c>
      <c r="B350" s="1" t="n">
        <v>45229</v>
      </c>
      <c r="C350" s="1" t="n">
        <v>45933</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4736-2021</t>
        </is>
      </c>
      <c r="B351" s="1" t="n">
        <v>44225</v>
      </c>
      <c r="C351" s="1" t="n">
        <v>45933</v>
      </c>
      <c r="D351" t="inlineStr">
        <is>
          <t>VÄSTMANLANDS LÄN</t>
        </is>
      </c>
      <c r="E351" t="inlineStr">
        <is>
          <t>SALA</t>
        </is>
      </c>
      <c r="G351" t="n">
        <v>4.2</v>
      </c>
      <c r="H351" t="n">
        <v>0</v>
      </c>
      <c r="I351" t="n">
        <v>0</v>
      </c>
      <c r="J351" t="n">
        <v>0</v>
      </c>
      <c r="K351" t="n">
        <v>0</v>
      </c>
      <c r="L351" t="n">
        <v>0</v>
      </c>
      <c r="M351" t="n">
        <v>0</v>
      </c>
      <c r="N351" t="n">
        <v>0</v>
      </c>
      <c r="O351" t="n">
        <v>0</v>
      </c>
      <c r="P351" t="n">
        <v>0</v>
      </c>
      <c r="Q351" t="n">
        <v>0</v>
      </c>
      <c r="R351" s="2" t="inlineStr"/>
    </row>
    <row r="352" ht="15" customHeight="1">
      <c r="A352" t="inlineStr">
        <is>
          <t>A 21777-2022</t>
        </is>
      </c>
      <c r="B352" s="1" t="n">
        <v>44708.48194444444</v>
      </c>
      <c r="C352" s="1" t="n">
        <v>45933</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17866-2025</t>
        </is>
      </c>
      <c r="B353" s="1" t="n">
        <v>45758</v>
      </c>
      <c r="C353" s="1" t="n">
        <v>45933</v>
      </c>
      <c r="D353" t="inlineStr">
        <is>
          <t>VÄSTMANLANDS LÄN</t>
        </is>
      </c>
      <c r="E353" t="inlineStr">
        <is>
          <t>SALA</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33732-2023</t>
        </is>
      </c>
      <c r="B354" s="1" t="n">
        <v>45133.32409722222</v>
      </c>
      <c r="C354" s="1" t="n">
        <v>45933</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52500-2024</t>
        </is>
      </c>
      <c r="B355" s="1" t="n">
        <v>45609</v>
      </c>
      <c r="C355" s="1" t="n">
        <v>45933</v>
      </c>
      <c r="D355" t="inlineStr">
        <is>
          <t>VÄSTMANLANDS LÄN</t>
        </is>
      </c>
      <c r="E355" t="inlineStr">
        <is>
          <t>SALA</t>
        </is>
      </c>
      <c r="G355" t="n">
        <v>1.3</v>
      </c>
      <c r="H355" t="n">
        <v>0</v>
      </c>
      <c r="I355" t="n">
        <v>0</v>
      </c>
      <c r="J355" t="n">
        <v>0</v>
      </c>
      <c r="K355" t="n">
        <v>0</v>
      </c>
      <c r="L355" t="n">
        <v>0</v>
      </c>
      <c r="M355" t="n">
        <v>0</v>
      </c>
      <c r="N355" t="n">
        <v>0</v>
      </c>
      <c r="O355" t="n">
        <v>0</v>
      </c>
      <c r="P355" t="n">
        <v>0</v>
      </c>
      <c r="Q355" t="n">
        <v>0</v>
      </c>
      <c r="R355" s="2" t="inlineStr"/>
    </row>
    <row r="356" ht="15" customHeight="1">
      <c r="A356" t="inlineStr">
        <is>
          <t>A 7166-2025</t>
        </is>
      </c>
      <c r="B356" s="1" t="n">
        <v>45702</v>
      </c>
      <c r="C356" s="1" t="n">
        <v>45933</v>
      </c>
      <c r="D356" t="inlineStr">
        <is>
          <t>VÄSTMANLANDS LÄN</t>
        </is>
      </c>
      <c r="E356" t="inlineStr">
        <is>
          <t>SALA</t>
        </is>
      </c>
      <c r="G356" t="n">
        <v>6.1</v>
      </c>
      <c r="H356" t="n">
        <v>0</v>
      </c>
      <c r="I356" t="n">
        <v>0</v>
      </c>
      <c r="J356" t="n">
        <v>0</v>
      </c>
      <c r="K356" t="n">
        <v>0</v>
      </c>
      <c r="L356" t="n">
        <v>0</v>
      </c>
      <c r="M356" t="n">
        <v>0</v>
      </c>
      <c r="N356" t="n">
        <v>0</v>
      </c>
      <c r="O356" t="n">
        <v>0</v>
      </c>
      <c r="P356" t="n">
        <v>0</v>
      </c>
      <c r="Q356" t="n">
        <v>0</v>
      </c>
      <c r="R356" s="2" t="inlineStr"/>
    </row>
    <row r="357" ht="15" customHeight="1">
      <c r="A357" t="inlineStr">
        <is>
          <t>A 44857-2023</t>
        </is>
      </c>
      <c r="B357" s="1" t="n">
        <v>45190.58479166667</v>
      </c>
      <c r="C357" s="1" t="n">
        <v>45933</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46352-2023</t>
        </is>
      </c>
      <c r="B358" s="1" t="n">
        <v>45192</v>
      </c>
      <c r="C358" s="1" t="n">
        <v>45933</v>
      </c>
      <c r="D358" t="inlineStr">
        <is>
          <t>VÄSTMANLANDS LÄN</t>
        </is>
      </c>
      <c r="E358" t="inlineStr">
        <is>
          <t>SALA</t>
        </is>
      </c>
      <c r="G358" t="n">
        <v>1.9</v>
      </c>
      <c r="H358" t="n">
        <v>0</v>
      </c>
      <c r="I358" t="n">
        <v>0</v>
      </c>
      <c r="J358" t="n">
        <v>0</v>
      </c>
      <c r="K358" t="n">
        <v>0</v>
      </c>
      <c r="L358" t="n">
        <v>0</v>
      </c>
      <c r="M358" t="n">
        <v>0</v>
      </c>
      <c r="N358" t="n">
        <v>0</v>
      </c>
      <c r="O358" t="n">
        <v>0</v>
      </c>
      <c r="P358" t="n">
        <v>0</v>
      </c>
      <c r="Q358" t="n">
        <v>0</v>
      </c>
      <c r="R358" s="2" t="inlineStr"/>
    </row>
    <row r="359" ht="15" customHeight="1">
      <c r="A359" t="inlineStr">
        <is>
          <t>A 7950-2025</t>
        </is>
      </c>
      <c r="B359" s="1" t="n">
        <v>45707.41799768519</v>
      </c>
      <c r="C359" s="1" t="n">
        <v>45933</v>
      </c>
      <c r="D359" t="inlineStr">
        <is>
          <t>VÄSTMANLANDS LÄN</t>
        </is>
      </c>
      <c r="E359" t="inlineStr">
        <is>
          <t>SALA</t>
        </is>
      </c>
      <c r="G359" t="n">
        <v>3.2</v>
      </c>
      <c r="H359" t="n">
        <v>0</v>
      </c>
      <c r="I359" t="n">
        <v>0</v>
      </c>
      <c r="J359" t="n">
        <v>0</v>
      </c>
      <c r="K359" t="n">
        <v>0</v>
      </c>
      <c r="L359" t="n">
        <v>0</v>
      </c>
      <c r="M359" t="n">
        <v>0</v>
      </c>
      <c r="N359" t="n">
        <v>0</v>
      </c>
      <c r="O359" t="n">
        <v>0</v>
      </c>
      <c r="P359" t="n">
        <v>0</v>
      </c>
      <c r="Q359" t="n">
        <v>0</v>
      </c>
      <c r="R359" s="2" t="inlineStr"/>
    </row>
    <row r="360" ht="15" customHeight="1">
      <c r="A360" t="inlineStr">
        <is>
          <t>A 22397-2022</t>
        </is>
      </c>
      <c r="B360" s="1" t="n">
        <v>44713</v>
      </c>
      <c r="C360" s="1" t="n">
        <v>45933</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10812-2021</t>
        </is>
      </c>
      <c r="B361" s="1" t="n">
        <v>44259</v>
      </c>
      <c r="C361" s="1" t="n">
        <v>45933</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10154-2021</t>
        </is>
      </c>
      <c r="B362" s="1" t="n">
        <v>44256</v>
      </c>
      <c r="C362" s="1" t="n">
        <v>45933</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27424-2023</t>
        </is>
      </c>
      <c r="B363" s="1" t="n">
        <v>45097.37690972222</v>
      </c>
      <c r="C363" s="1" t="n">
        <v>45933</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7469-2025</t>
        </is>
      </c>
      <c r="B364" s="1" t="n">
        <v>45705</v>
      </c>
      <c r="C364" s="1" t="n">
        <v>45933</v>
      </c>
      <c r="D364" t="inlineStr">
        <is>
          <t>VÄSTMANLANDS LÄN</t>
        </is>
      </c>
      <c r="E364" t="inlineStr">
        <is>
          <t>SALA</t>
        </is>
      </c>
      <c r="G364" t="n">
        <v>2.1</v>
      </c>
      <c r="H364" t="n">
        <v>0</v>
      </c>
      <c r="I364" t="n">
        <v>0</v>
      </c>
      <c r="J364" t="n">
        <v>0</v>
      </c>
      <c r="K364" t="n">
        <v>0</v>
      </c>
      <c r="L364" t="n">
        <v>0</v>
      </c>
      <c r="M364" t="n">
        <v>0</v>
      </c>
      <c r="N364" t="n">
        <v>0</v>
      </c>
      <c r="O364" t="n">
        <v>0</v>
      </c>
      <c r="P364" t="n">
        <v>0</v>
      </c>
      <c r="Q364" t="n">
        <v>0</v>
      </c>
      <c r="R364" s="2" t="inlineStr"/>
    </row>
    <row r="365" ht="15" customHeight="1">
      <c r="A365" t="inlineStr">
        <is>
          <t>A 6691-2025</t>
        </is>
      </c>
      <c r="B365" s="1" t="n">
        <v>45700.50625</v>
      </c>
      <c r="C365" s="1" t="n">
        <v>45933</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60036-2024</t>
        </is>
      </c>
      <c r="B366" s="1" t="n">
        <v>45642.46434027778</v>
      </c>
      <c r="C366" s="1" t="n">
        <v>45933</v>
      </c>
      <c r="D366" t="inlineStr">
        <is>
          <t>VÄSTMANLANDS LÄN</t>
        </is>
      </c>
      <c r="E366" t="inlineStr">
        <is>
          <t>SALA</t>
        </is>
      </c>
      <c r="G366" t="n">
        <v>2.5</v>
      </c>
      <c r="H366" t="n">
        <v>0</v>
      </c>
      <c r="I366" t="n">
        <v>0</v>
      </c>
      <c r="J366" t="n">
        <v>0</v>
      </c>
      <c r="K366" t="n">
        <v>0</v>
      </c>
      <c r="L366" t="n">
        <v>0</v>
      </c>
      <c r="M366" t="n">
        <v>0</v>
      </c>
      <c r="N366" t="n">
        <v>0</v>
      </c>
      <c r="O366" t="n">
        <v>0</v>
      </c>
      <c r="P366" t="n">
        <v>0</v>
      </c>
      <c r="Q366" t="n">
        <v>0</v>
      </c>
      <c r="R366" s="2" t="inlineStr"/>
    </row>
    <row r="367" ht="15" customHeight="1">
      <c r="A367" t="inlineStr">
        <is>
          <t>A 40559-2025</t>
        </is>
      </c>
      <c r="B367" s="1" t="n">
        <v>45896.45037037037</v>
      </c>
      <c r="C367" s="1" t="n">
        <v>45933</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73673-2021</t>
        </is>
      </c>
      <c r="B368" s="1" t="n">
        <v>44552.46501157407</v>
      </c>
      <c r="C368" s="1" t="n">
        <v>45933</v>
      </c>
      <c r="D368" t="inlineStr">
        <is>
          <t>VÄSTMANLANDS LÄN</t>
        </is>
      </c>
      <c r="E368" t="inlineStr">
        <is>
          <t>SALA</t>
        </is>
      </c>
      <c r="G368" t="n">
        <v>11.4</v>
      </c>
      <c r="H368" t="n">
        <v>0</v>
      </c>
      <c r="I368" t="n">
        <v>0</v>
      </c>
      <c r="J368" t="n">
        <v>0</v>
      </c>
      <c r="K368" t="n">
        <v>0</v>
      </c>
      <c r="L368" t="n">
        <v>0</v>
      </c>
      <c r="M368" t="n">
        <v>0</v>
      </c>
      <c r="N368" t="n">
        <v>0</v>
      </c>
      <c r="O368" t="n">
        <v>0</v>
      </c>
      <c r="P368" t="n">
        <v>0</v>
      </c>
      <c r="Q368" t="n">
        <v>0</v>
      </c>
      <c r="R368" s="2" t="inlineStr"/>
    </row>
    <row r="369" ht="15" customHeight="1">
      <c r="A369" t="inlineStr">
        <is>
          <t>A 40554-2025</t>
        </is>
      </c>
      <c r="B369" s="1" t="n">
        <v>45896.44506944445</v>
      </c>
      <c r="C369" s="1" t="n">
        <v>45933</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40620-2025</t>
        </is>
      </c>
      <c r="B370" s="1" t="n">
        <v>45896.58609953704</v>
      </c>
      <c r="C370" s="1" t="n">
        <v>45933</v>
      </c>
      <c r="D370" t="inlineStr">
        <is>
          <t>VÄSTMANLANDS LÄN</t>
        </is>
      </c>
      <c r="E370" t="inlineStr">
        <is>
          <t>SALA</t>
        </is>
      </c>
      <c r="G370" t="n">
        <v>6.7</v>
      </c>
      <c r="H370" t="n">
        <v>0</v>
      </c>
      <c r="I370" t="n">
        <v>0</v>
      </c>
      <c r="J370" t="n">
        <v>0</v>
      </c>
      <c r="K370" t="n">
        <v>0</v>
      </c>
      <c r="L370" t="n">
        <v>0</v>
      </c>
      <c r="M370" t="n">
        <v>0</v>
      </c>
      <c r="N370" t="n">
        <v>0</v>
      </c>
      <c r="O370" t="n">
        <v>0</v>
      </c>
      <c r="P370" t="n">
        <v>0</v>
      </c>
      <c r="Q370" t="n">
        <v>0</v>
      </c>
      <c r="R370" s="2" t="inlineStr"/>
    </row>
    <row r="371" ht="15" customHeight="1">
      <c r="A371" t="inlineStr">
        <is>
          <t>A 40556-2025</t>
        </is>
      </c>
      <c r="B371" s="1" t="n">
        <v>45896.44944444444</v>
      </c>
      <c r="C371" s="1" t="n">
        <v>45933</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16328-2025</t>
        </is>
      </c>
      <c r="B372" s="1" t="n">
        <v>45751</v>
      </c>
      <c r="C372" s="1" t="n">
        <v>45933</v>
      </c>
      <c r="D372" t="inlineStr">
        <is>
          <t>VÄSTMANLANDS LÄN</t>
        </is>
      </c>
      <c r="E372" t="inlineStr">
        <is>
          <t>SALA</t>
        </is>
      </c>
      <c r="G372" t="n">
        <v>2.9</v>
      </c>
      <c r="H372" t="n">
        <v>0</v>
      </c>
      <c r="I372" t="n">
        <v>0</v>
      </c>
      <c r="J372" t="n">
        <v>0</v>
      </c>
      <c r="K372" t="n">
        <v>0</v>
      </c>
      <c r="L372" t="n">
        <v>0</v>
      </c>
      <c r="M372" t="n">
        <v>0</v>
      </c>
      <c r="N372" t="n">
        <v>0</v>
      </c>
      <c r="O372" t="n">
        <v>0</v>
      </c>
      <c r="P372" t="n">
        <v>0</v>
      </c>
      <c r="Q372" t="n">
        <v>0</v>
      </c>
      <c r="R372" s="2" t="inlineStr"/>
    </row>
    <row r="373" ht="15" customHeight="1">
      <c r="A373" t="inlineStr">
        <is>
          <t>A 38574-2025</t>
        </is>
      </c>
      <c r="B373" s="1" t="n">
        <v>45884.46390046296</v>
      </c>
      <c r="C373" s="1" t="n">
        <v>45933</v>
      </c>
      <c r="D373" t="inlineStr">
        <is>
          <t>VÄSTMANLANDS LÄN</t>
        </is>
      </c>
      <c r="E373" t="inlineStr">
        <is>
          <t>SALA</t>
        </is>
      </c>
      <c r="G373" t="n">
        <v>2.1</v>
      </c>
      <c r="H373" t="n">
        <v>0</v>
      </c>
      <c r="I373" t="n">
        <v>0</v>
      </c>
      <c r="J373" t="n">
        <v>0</v>
      </c>
      <c r="K373" t="n">
        <v>0</v>
      </c>
      <c r="L373" t="n">
        <v>0</v>
      </c>
      <c r="M373" t="n">
        <v>0</v>
      </c>
      <c r="N373" t="n">
        <v>0</v>
      </c>
      <c r="O373" t="n">
        <v>0</v>
      </c>
      <c r="P373" t="n">
        <v>0</v>
      </c>
      <c r="Q373" t="n">
        <v>0</v>
      </c>
      <c r="R373" s="2" t="inlineStr"/>
    </row>
    <row r="374" ht="15" customHeight="1">
      <c r="A374" t="inlineStr">
        <is>
          <t>A 16651-2021</t>
        </is>
      </c>
      <c r="B374" s="1" t="n">
        <v>44294.50096064815</v>
      </c>
      <c r="C374" s="1" t="n">
        <v>45933</v>
      </c>
      <c r="D374" t="inlineStr">
        <is>
          <t>VÄSTMANLANDS LÄN</t>
        </is>
      </c>
      <c r="E374" t="inlineStr">
        <is>
          <t>SALA</t>
        </is>
      </c>
      <c r="G374" t="n">
        <v>7.7</v>
      </c>
      <c r="H374" t="n">
        <v>0</v>
      </c>
      <c r="I374" t="n">
        <v>0</v>
      </c>
      <c r="J374" t="n">
        <v>0</v>
      </c>
      <c r="K374" t="n">
        <v>0</v>
      </c>
      <c r="L374" t="n">
        <v>0</v>
      </c>
      <c r="M374" t="n">
        <v>0</v>
      </c>
      <c r="N374" t="n">
        <v>0</v>
      </c>
      <c r="O374" t="n">
        <v>0</v>
      </c>
      <c r="P374" t="n">
        <v>0</v>
      </c>
      <c r="Q374" t="n">
        <v>0</v>
      </c>
      <c r="R374" s="2" t="inlineStr"/>
    </row>
    <row r="375" ht="15" customHeight="1">
      <c r="A375" t="inlineStr">
        <is>
          <t>A 38294-2025</t>
        </is>
      </c>
      <c r="B375" s="1" t="n">
        <v>45883.44854166666</v>
      </c>
      <c r="C375" s="1" t="n">
        <v>45933</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43188-2023</t>
        </is>
      </c>
      <c r="B376" s="1" t="n">
        <v>45183</v>
      </c>
      <c r="C376" s="1" t="n">
        <v>45933</v>
      </c>
      <c r="D376" t="inlineStr">
        <is>
          <t>VÄSTMANLANDS LÄN</t>
        </is>
      </c>
      <c r="E376" t="inlineStr">
        <is>
          <t>SALA</t>
        </is>
      </c>
      <c r="G376" t="n">
        <v>1.2</v>
      </c>
      <c r="H376" t="n">
        <v>0</v>
      </c>
      <c r="I376" t="n">
        <v>0</v>
      </c>
      <c r="J376" t="n">
        <v>0</v>
      </c>
      <c r="K376" t="n">
        <v>0</v>
      </c>
      <c r="L376" t="n">
        <v>0</v>
      </c>
      <c r="M376" t="n">
        <v>0</v>
      </c>
      <c r="N376" t="n">
        <v>0</v>
      </c>
      <c r="O376" t="n">
        <v>0</v>
      </c>
      <c r="P376" t="n">
        <v>0</v>
      </c>
      <c r="Q376" t="n">
        <v>0</v>
      </c>
      <c r="R376" s="2" t="inlineStr"/>
    </row>
    <row r="377" ht="15" customHeight="1">
      <c r="A377" t="inlineStr">
        <is>
          <t>A 43205-2023</t>
        </is>
      </c>
      <c r="B377" s="1" t="n">
        <v>45183</v>
      </c>
      <c r="C377" s="1" t="n">
        <v>45933</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28827-2022</t>
        </is>
      </c>
      <c r="B378" s="1" t="n">
        <v>44749.45561342593</v>
      </c>
      <c r="C378" s="1" t="n">
        <v>45933</v>
      </c>
      <c r="D378" t="inlineStr">
        <is>
          <t>VÄSTMANLANDS LÄN</t>
        </is>
      </c>
      <c r="E378" t="inlineStr">
        <is>
          <t>SALA</t>
        </is>
      </c>
      <c r="F378" t="inlineStr">
        <is>
          <t>Kommuner</t>
        </is>
      </c>
      <c r="G378" t="n">
        <v>11.9</v>
      </c>
      <c r="H378" t="n">
        <v>0</v>
      </c>
      <c r="I378" t="n">
        <v>0</v>
      </c>
      <c r="J378" t="n">
        <v>0</v>
      </c>
      <c r="K378" t="n">
        <v>0</v>
      </c>
      <c r="L378" t="n">
        <v>0</v>
      </c>
      <c r="M378" t="n">
        <v>0</v>
      </c>
      <c r="N378" t="n">
        <v>0</v>
      </c>
      <c r="O378" t="n">
        <v>0</v>
      </c>
      <c r="P378" t="n">
        <v>0</v>
      </c>
      <c r="Q378" t="n">
        <v>0</v>
      </c>
      <c r="R378" s="2" t="inlineStr"/>
    </row>
    <row r="379" ht="15" customHeight="1">
      <c r="A379" t="inlineStr">
        <is>
          <t>A 31609-2024</t>
        </is>
      </c>
      <c r="B379" s="1" t="n">
        <v>45506</v>
      </c>
      <c r="C379" s="1" t="n">
        <v>45933</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15756-2025</t>
        </is>
      </c>
      <c r="B380" s="1" t="n">
        <v>45748.56810185185</v>
      </c>
      <c r="C380" s="1" t="n">
        <v>45933</v>
      </c>
      <c r="D380" t="inlineStr">
        <is>
          <t>VÄSTMANLANDS LÄN</t>
        </is>
      </c>
      <c r="E380" t="inlineStr">
        <is>
          <t>SALA</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19243-2025</t>
        </is>
      </c>
      <c r="B381" s="1" t="n">
        <v>45769</v>
      </c>
      <c r="C381" s="1" t="n">
        <v>45933</v>
      </c>
      <c r="D381" t="inlineStr">
        <is>
          <t>VÄSTMANLANDS LÄN</t>
        </is>
      </c>
      <c r="E381" t="inlineStr">
        <is>
          <t>SALA</t>
        </is>
      </c>
      <c r="F381" t="inlineStr">
        <is>
          <t>Bergvik skog öst AB</t>
        </is>
      </c>
      <c r="G381" t="n">
        <v>1.5</v>
      </c>
      <c r="H381" t="n">
        <v>0</v>
      </c>
      <c r="I381" t="n">
        <v>0</v>
      </c>
      <c r="J381" t="n">
        <v>0</v>
      </c>
      <c r="K381" t="n">
        <v>0</v>
      </c>
      <c r="L381" t="n">
        <v>0</v>
      </c>
      <c r="M381" t="n">
        <v>0</v>
      </c>
      <c r="N381" t="n">
        <v>0</v>
      </c>
      <c r="O381" t="n">
        <v>0</v>
      </c>
      <c r="P381" t="n">
        <v>0</v>
      </c>
      <c r="Q381" t="n">
        <v>0</v>
      </c>
      <c r="R381" s="2" t="inlineStr"/>
    </row>
    <row r="382" ht="15" customHeight="1">
      <c r="A382" t="inlineStr">
        <is>
          <t>A 59297-2023</t>
        </is>
      </c>
      <c r="B382" s="1" t="n">
        <v>45253</v>
      </c>
      <c r="C382" s="1" t="n">
        <v>45933</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41230-2025</t>
        </is>
      </c>
      <c r="B383" s="1" t="n">
        <v>45898</v>
      </c>
      <c r="C383" s="1" t="n">
        <v>45933</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6136-2025</t>
        </is>
      </c>
      <c r="B384" s="1" t="n">
        <v>45698.37601851852</v>
      </c>
      <c r="C384" s="1" t="n">
        <v>45933</v>
      </c>
      <c r="D384" t="inlineStr">
        <is>
          <t>VÄSTMANLANDS LÄN</t>
        </is>
      </c>
      <c r="E384" t="inlineStr">
        <is>
          <t>SALA</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6190-2025</t>
        </is>
      </c>
      <c r="B385" s="1" t="n">
        <v>45698</v>
      </c>
      <c r="C385" s="1" t="n">
        <v>45933</v>
      </c>
      <c r="D385" t="inlineStr">
        <is>
          <t>VÄSTMANLANDS LÄN</t>
        </is>
      </c>
      <c r="E385" t="inlineStr">
        <is>
          <t>SALA</t>
        </is>
      </c>
      <c r="F385" t="inlineStr">
        <is>
          <t>Bergvik skog öst AB</t>
        </is>
      </c>
      <c r="G385" t="n">
        <v>4.6</v>
      </c>
      <c r="H385" t="n">
        <v>0</v>
      </c>
      <c r="I385" t="n">
        <v>0</v>
      </c>
      <c r="J385" t="n">
        <v>0</v>
      </c>
      <c r="K385" t="n">
        <v>0</v>
      </c>
      <c r="L385" t="n">
        <v>0</v>
      </c>
      <c r="M385" t="n">
        <v>0</v>
      </c>
      <c r="N385" t="n">
        <v>0</v>
      </c>
      <c r="O385" t="n">
        <v>0</v>
      </c>
      <c r="P385" t="n">
        <v>0</v>
      </c>
      <c r="Q385" t="n">
        <v>0</v>
      </c>
      <c r="R385" s="2" t="inlineStr"/>
    </row>
    <row r="386" ht="15" customHeight="1">
      <c r="A386" t="inlineStr">
        <is>
          <t>A 35715-2025</t>
        </is>
      </c>
      <c r="B386" s="1" t="n">
        <v>45860.42148148148</v>
      </c>
      <c r="C386" s="1" t="n">
        <v>45933</v>
      </c>
      <c r="D386" t="inlineStr">
        <is>
          <t>VÄSTMANLANDS LÄN</t>
        </is>
      </c>
      <c r="E386" t="inlineStr">
        <is>
          <t>SALA</t>
        </is>
      </c>
      <c r="G386" t="n">
        <v>3.8</v>
      </c>
      <c r="H386" t="n">
        <v>0</v>
      </c>
      <c r="I386" t="n">
        <v>0</v>
      </c>
      <c r="J386" t="n">
        <v>0</v>
      </c>
      <c r="K386" t="n">
        <v>0</v>
      </c>
      <c r="L386" t="n">
        <v>0</v>
      </c>
      <c r="M386" t="n">
        <v>0</v>
      </c>
      <c r="N386" t="n">
        <v>0</v>
      </c>
      <c r="O386" t="n">
        <v>0</v>
      </c>
      <c r="P386" t="n">
        <v>0</v>
      </c>
      <c r="Q386" t="n">
        <v>0</v>
      </c>
      <c r="R386" s="2" t="inlineStr"/>
    </row>
    <row r="387" ht="15" customHeight="1">
      <c r="A387" t="inlineStr">
        <is>
          <t>A 35651-2025</t>
        </is>
      </c>
      <c r="B387" s="1" t="n">
        <v>45859.52435185185</v>
      </c>
      <c r="C387" s="1" t="n">
        <v>45933</v>
      </c>
      <c r="D387" t="inlineStr">
        <is>
          <t>VÄSTMANLANDS LÄN</t>
        </is>
      </c>
      <c r="E387" t="inlineStr">
        <is>
          <t>SALA</t>
        </is>
      </c>
      <c r="G387" t="n">
        <v>6.3</v>
      </c>
      <c r="H387" t="n">
        <v>0</v>
      </c>
      <c r="I387" t="n">
        <v>0</v>
      </c>
      <c r="J387" t="n">
        <v>0</v>
      </c>
      <c r="K387" t="n">
        <v>0</v>
      </c>
      <c r="L387" t="n">
        <v>0</v>
      </c>
      <c r="M387" t="n">
        <v>0</v>
      </c>
      <c r="N387" t="n">
        <v>0</v>
      </c>
      <c r="O387" t="n">
        <v>0</v>
      </c>
      <c r="P387" t="n">
        <v>0</v>
      </c>
      <c r="Q387" t="n">
        <v>0</v>
      </c>
      <c r="R387" s="2" t="inlineStr"/>
    </row>
    <row r="388" ht="15" customHeight="1">
      <c r="A388" t="inlineStr">
        <is>
          <t>A 35410-2022</t>
        </is>
      </c>
      <c r="B388" s="1" t="n">
        <v>44798.62576388889</v>
      </c>
      <c r="C388" s="1" t="n">
        <v>45933</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28863-2022</t>
        </is>
      </c>
      <c r="B389" s="1" t="n">
        <v>44749.50649305555</v>
      </c>
      <c r="C389" s="1" t="n">
        <v>45933</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35775-2025</t>
        </is>
      </c>
      <c r="B390" s="1" t="n">
        <v>45860</v>
      </c>
      <c r="C390" s="1" t="n">
        <v>45933</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35774-2025</t>
        </is>
      </c>
      <c r="B391" s="1" t="n">
        <v>45860.68780092592</v>
      </c>
      <c r="C391" s="1" t="n">
        <v>45933</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35776-2025</t>
        </is>
      </c>
      <c r="B392" s="1" t="n">
        <v>45860.69211805556</v>
      </c>
      <c r="C392" s="1" t="n">
        <v>45933</v>
      </c>
      <c r="D392" t="inlineStr">
        <is>
          <t>VÄSTMANLANDS LÄN</t>
        </is>
      </c>
      <c r="E392" t="inlineStr">
        <is>
          <t>SALA</t>
        </is>
      </c>
      <c r="G392" t="n">
        <v>14.2</v>
      </c>
      <c r="H392" t="n">
        <v>0</v>
      </c>
      <c r="I392" t="n">
        <v>0</v>
      </c>
      <c r="J392" t="n">
        <v>0</v>
      </c>
      <c r="K392" t="n">
        <v>0</v>
      </c>
      <c r="L392" t="n">
        <v>0</v>
      </c>
      <c r="M392" t="n">
        <v>0</v>
      </c>
      <c r="N392" t="n">
        <v>0</v>
      </c>
      <c r="O392" t="n">
        <v>0</v>
      </c>
      <c r="P392" t="n">
        <v>0</v>
      </c>
      <c r="Q392" t="n">
        <v>0</v>
      </c>
      <c r="R392" s="2" t="inlineStr"/>
    </row>
    <row r="393" ht="15" customHeight="1">
      <c r="A393" t="inlineStr">
        <is>
          <t>A 35779-2025</t>
        </is>
      </c>
      <c r="B393" s="1" t="n">
        <v>45860.69495370371</v>
      </c>
      <c r="C393" s="1" t="n">
        <v>45933</v>
      </c>
      <c r="D393" t="inlineStr">
        <is>
          <t>VÄSTMANLANDS LÄN</t>
        </is>
      </c>
      <c r="E393" t="inlineStr">
        <is>
          <t>SALA</t>
        </is>
      </c>
      <c r="G393" t="n">
        <v>2.4</v>
      </c>
      <c r="H393" t="n">
        <v>0</v>
      </c>
      <c r="I393" t="n">
        <v>0</v>
      </c>
      <c r="J393" t="n">
        <v>0</v>
      </c>
      <c r="K393" t="n">
        <v>0</v>
      </c>
      <c r="L393" t="n">
        <v>0</v>
      </c>
      <c r="M393" t="n">
        <v>0</v>
      </c>
      <c r="N393" t="n">
        <v>0</v>
      </c>
      <c r="O393" t="n">
        <v>0</v>
      </c>
      <c r="P393" t="n">
        <v>0</v>
      </c>
      <c r="Q393" t="n">
        <v>0</v>
      </c>
      <c r="R393" s="2" t="inlineStr"/>
    </row>
    <row r="394" ht="15" customHeight="1">
      <c r="A394" t="inlineStr">
        <is>
          <t>A 41414-2025</t>
        </is>
      </c>
      <c r="B394" s="1" t="n">
        <v>45901.360625</v>
      </c>
      <c r="C394" s="1" t="n">
        <v>45933</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41431-2025</t>
        </is>
      </c>
      <c r="B395" s="1" t="n">
        <v>45901.39347222223</v>
      </c>
      <c r="C395" s="1" t="n">
        <v>45933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25541-2024</t>
        </is>
      </c>
      <c r="B396" s="1" t="n">
        <v>45463.56337962963</v>
      </c>
      <c r="C396" s="1" t="n">
        <v>45933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50801-2020</t>
        </is>
      </c>
      <c r="B397" s="1" t="n">
        <v>44111</v>
      </c>
      <c r="C397" s="1" t="n">
        <v>45933</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21159-2022</t>
        </is>
      </c>
      <c r="B398" s="1" t="n">
        <v>44704</v>
      </c>
      <c r="C398" s="1" t="n">
        <v>45933</v>
      </c>
      <c r="D398" t="inlineStr">
        <is>
          <t>VÄSTMANLANDS LÄN</t>
        </is>
      </c>
      <c r="E398" t="inlineStr">
        <is>
          <t>SALA</t>
        </is>
      </c>
      <c r="G398" t="n">
        <v>1.4</v>
      </c>
      <c r="H398" t="n">
        <v>0</v>
      </c>
      <c r="I398" t="n">
        <v>0</v>
      </c>
      <c r="J398" t="n">
        <v>0</v>
      </c>
      <c r="K398" t="n">
        <v>0</v>
      </c>
      <c r="L398" t="n">
        <v>0</v>
      </c>
      <c r="M398" t="n">
        <v>0</v>
      </c>
      <c r="N398" t="n">
        <v>0</v>
      </c>
      <c r="O398" t="n">
        <v>0</v>
      </c>
      <c r="P398" t="n">
        <v>0</v>
      </c>
      <c r="Q398" t="n">
        <v>0</v>
      </c>
      <c r="R398" s="2" t="inlineStr"/>
    </row>
    <row r="399" ht="15" customHeight="1">
      <c r="A399" t="inlineStr">
        <is>
          <t>A 29213-2022</t>
        </is>
      </c>
      <c r="B399" s="1" t="n">
        <v>44750.57474537037</v>
      </c>
      <c r="C399" s="1" t="n">
        <v>45933</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56964-2023</t>
        </is>
      </c>
      <c r="B400" s="1" t="n">
        <v>45244.63140046296</v>
      </c>
      <c r="C400" s="1" t="n">
        <v>45933</v>
      </c>
      <c r="D400" t="inlineStr">
        <is>
          <t>VÄSTMANLANDS LÄN</t>
        </is>
      </c>
      <c r="E400" t="inlineStr">
        <is>
          <t>SALA</t>
        </is>
      </c>
      <c r="G400" t="n">
        <v>4.6</v>
      </c>
      <c r="H400" t="n">
        <v>0</v>
      </c>
      <c r="I400" t="n">
        <v>0</v>
      </c>
      <c r="J400" t="n">
        <v>0</v>
      </c>
      <c r="K400" t="n">
        <v>0</v>
      </c>
      <c r="L400" t="n">
        <v>0</v>
      </c>
      <c r="M400" t="n">
        <v>0</v>
      </c>
      <c r="N400" t="n">
        <v>0</v>
      </c>
      <c r="O400" t="n">
        <v>0</v>
      </c>
      <c r="P400" t="n">
        <v>0</v>
      </c>
      <c r="Q400" t="n">
        <v>0</v>
      </c>
      <c r="R400" s="2" t="inlineStr"/>
    </row>
    <row r="401" ht="15" customHeight="1">
      <c r="A401" t="inlineStr">
        <is>
          <t>A 41292-2021</t>
        </is>
      </c>
      <c r="B401" s="1" t="n">
        <v>44424</v>
      </c>
      <c r="C401" s="1" t="n">
        <v>45933</v>
      </c>
      <c r="D401" t="inlineStr">
        <is>
          <t>VÄSTMANLANDS LÄN</t>
        </is>
      </c>
      <c r="E401" t="inlineStr">
        <is>
          <t>SALA</t>
        </is>
      </c>
      <c r="G401" t="n">
        <v>0.3</v>
      </c>
      <c r="H401" t="n">
        <v>0</v>
      </c>
      <c r="I401" t="n">
        <v>0</v>
      </c>
      <c r="J401" t="n">
        <v>0</v>
      </c>
      <c r="K401" t="n">
        <v>0</v>
      </c>
      <c r="L401" t="n">
        <v>0</v>
      </c>
      <c r="M401" t="n">
        <v>0</v>
      </c>
      <c r="N401" t="n">
        <v>0</v>
      </c>
      <c r="O401" t="n">
        <v>0</v>
      </c>
      <c r="P401" t="n">
        <v>0</v>
      </c>
      <c r="Q401" t="n">
        <v>0</v>
      </c>
      <c r="R401" s="2" t="inlineStr"/>
    </row>
    <row r="402" ht="15" customHeight="1">
      <c r="A402" t="inlineStr">
        <is>
          <t>A 36049-2025</t>
        </is>
      </c>
      <c r="B402" s="1" t="n">
        <v>45866.37065972222</v>
      </c>
      <c r="C402" s="1" t="n">
        <v>45933</v>
      </c>
      <c r="D402" t="inlineStr">
        <is>
          <t>VÄSTMANLANDS LÄN</t>
        </is>
      </c>
      <c r="E402" t="inlineStr">
        <is>
          <t>SALA</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60328-2024</t>
        </is>
      </c>
      <c r="B403" s="1" t="n">
        <v>45643.38416666666</v>
      </c>
      <c r="C403" s="1" t="n">
        <v>45933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42421-2025</t>
        </is>
      </c>
      <c r="B404" s="1" t="n">
        <v>45905.40067129629</v>
      </c>
      <c r="C404" s="1" t="n">
        <v>45933</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6088-2021</t>
        </is>
      </c>
      <c r="B405" s="1" t="n">
        <v>44232</v>
      </c>
      <c r="C405" s="1" t="n">
        <v>45933</v>
      </c>
      <c r="D405" t="inlineStr">
        <is>
          <t>VÄSTMANLANDS LÄN</t>
        </is>
      </c>
      <c r="E405" t="inlineStr">
        <is>
          <t>SALA</t>
        </is>
      </c>
      <c r="G405" t="n">
        <v>0.2</v>
      </c>
      <c r="H405" t="n">
        <v>0</v>
      </c>
      <c r="I405" t="n">
        <v>0</v>
      </c>
      <c r="J405" t="n">
        <v>0</v>
      </c>
      <c r="K405" t="n">
        <v>0</v>
      </c>
      <c r="L405" t="n">
        <v>0</v>
      </c>
      <c r="M405" t="n">
        <v>0</v>
      </c>
      <c r="N405" t="n">
        <v>0</v>
      </c>
      <c r="O405" t="n">
        <v>0</v>
      </c>
      <c r="P405" t="n">
        <v>0</v>
      </c>
      <c r="Q405" t="n">
        <v>0</v>
      </c>
      <c r="R405" s="2" t="inlineStr"/>
    </row>
    <row r="406" ht="15" customHeight="1">
      <c r="A406" t="inlineStr">
        <is>
          <t>A 33273-2023</t>
        </is>
      </c>
      <c r="B406" s="1" t="n">
        <v>45127</v>
      </c>
      <c r="C406" s="1" t="n">
        <v>45933</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36031-2025</t>
        </is>
      </c>
      <c r="B407" s="1" t="n">
        <v>45865.46111111111</v>
      </c>
      <c r="C407" s="1" t="n">
        <v>45933</v>
      </c>
      <c r="D407" t="inlineStr">
        <is>
          <t>VÄSTMANLANDS LÄN</t>
        </is>
      </c>
      <c r="E407" t="inlineStr">
        <is>
          <t>SALA</t>
        </is>
      </c>
      <c r="G407" t="n">
        <v>7.2</v>
      </c>
      <c r="H407" t="n">
        <v>0</v>
      </c>
      <c r="I407" t="n">
        <v>0</v>
      </c>
      <c r="J407" t="n">
        <v>0</v>
      </c>
      <c r="K407" t="n">
        <v>0</v>
      </c>
      <c r="L407" t="n">
        <v>0</v>
      </c>
      <c r="M407" t="n">
        <v>0</v>
      </c>
      <c r="N407" t="n">
        <v>0</v>
      </c>
      <c r="O407" t="n">
        <v>0</v>
      </c>
      <c r="P407" t="n">
        <v>0</v>
      </c>
      <c r="Q407" t="n">
        <v>0</v>
      </c>
      <c r="R407" s="2" t="inlineStr"/>
    </row>
    <row r="408" ht="15" customHeight="1">
      <c r="A408" t="inlineStr">
        <is>
          <t>A 36060-2025</t>
        </is>
      </c>
      <c r="B408" s="1" t="n">
        <v>45866.39469907407</v>
      </c>
      <c r="C408" s="1" t="n">
        <v>45933</v>
      </c>
      <c r="D408" t="inlineStr">
        <is>
          <t>VÄSTMANLANDS LÄN</t>
        </is>
      </c>
      <c r="E408" t="inlineStr">
        <is>
          <t>SALA</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36032-2025</t>
        </is>
      </c>
      <c r="B409" s="1" t="n">
        <v>45865.48740740741</v>
      </c>
      <c r="C409" s="1" t="n">
        <v>45933</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36043-2025</t>
        </is>
      </c>
      <c r="B410" s="1" t="n">
        <v>45866.35333333333</v>
      </c>
      <c r="C410" s="1" t="n">
        <v>45933</v>
      </c>
      <c r="D410" t="inlineStr">
        <is>
          <t>VÄSTMANLANDS LÄN</t>
        </is>
      </c>
      <c r="E410" t="inlineStr">
        <is>
          <t>SALA</t>
        </is>
      </c>
      <c r="F410" t="inlineStr">
        <is>
          <t>Kommuner</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36045-2025</t>
        </is>
      </c>
      <c r="B411" s="1" t="n">
        <v>45866.36200231482</v>
      </c>
      <c r="C411" s="1" t="n">
        <v>45933</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43028-2025</t>
        </is>
      </c>
      <c r="B412" s="1" t="n">
        <v>45909.53472222222</v>
      </c>
      <c r="C412" s="1" t="n">
        <v>45933</v>
      </c>
      <c r="D412" t="inlineStr">
        <is>
          <t>VÄSTMANLANDS LÄN</t>
        </is>
      </c>
      <c r="E412" t="inlineStr">
        <is>
          <t>SALA</t>
        </is>
      </c>
      <c r="G412" t="n">
        <v>3.8</v>
      </c>
      <c r="H412" t="n">
        <v>0</v>
      </c>
      <c r="I412" t="n">
        <v>0</v>
      </c>
      <c r="J412" t="n">
        <v>0</v>
      </c>
      <c r="K412" t="n">
        <v>0</v>
      </c>
      <c r="L412" t="n">
        <v>0</v>
      </c>
      <c r="M412" t="n">
        <v>0</v>
      </c>
      <c r="N412" t="n">
        <v>0</v>
      </c>
      <c r="O412" t="n">
        <v>0</v>
      </c>
      <c r="P412" t="n">
        <v>0</v>
      </c>
      <c r="Q412" t="n">
        <v>0</v>
      </c>
      <c r="R412" s="2" t="inlineStr"/>
    </row>
    <row r="413" ht="15" customHeight="1">
      <c r="A413" t="inlineStr">
        <is>
          <t>A 1555-2024</t>
        </is>
      </c>
      <c r="B413" s="1" t="n">
        <v>45306</v>
      </c>
      <c r="C413" s="1" t="n">
        <v>45933</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13188-2025</t>
        </is>
      </c>
      <c r="B414" s="1" t="n">
        <v>45735.39246527778</v>
      </c>
      <c r="C414" s="1" t="n">
        <v>45933</v>
      </c>
      <c r="D414" t="inlineStr">
        <is>
          <t>VÄSTMANLANDS LÄN</t>
        </is>
      </c>
      <c r="E414" t="inlineStr">
        <is>
          <t>SALA</t>
        </is>
      </c>
      <c r="F414" t="inlineStr">
        <is>
          <t>Naturvårdsverket</t>
        </is>
      </c>
      <c r="G414" t="n">
        <v>18.4</v>
      </c>
      <c r="H414" t="n">
        <v>0</v>
      </c>
      <c r="I414" t="n">
        <v>0</v>
      </c>
      <c r="J414" t="n">
        <v>0</v>
      </c>
      <c r="K414" t="n">
        <v>0</v>
      </c>
      <c r="L414" t="n">
        <v>0</v>
      </c>
      <c r="M414" t="n">
        <v>0</v>
      </c>
      <c r="N414" t="n">
        <v>0</v>
      </c>
      <c r="O414" t="n">
        <v>0</v>
      </c>
      <c r="P414" t="n">
        <v>0</v>
      </c>
      <c r="Q414" t="n">
        <v>0</v>
      </c>
      <c r="R414" s="2" t="inlineStr"/>
    </row>
    <row r="415" ht="15" customHeight="1">
      <c r="A415" t="inlineStr">
        <is>
          <t>A 52827-2024</t>
        </is>
      </c>
      <c r="B415" s="1" t="n">
        <v>45610</v>
      </c>
      <c r="C415" s="1" t="n">
        <v>45933</v>
      </c>
      <c r="D415" t="inlineStr">
        <is>
          <t>VÄSTMANLANDS LÄN</t>
        </is>
      </c>
      <c r="E415" t="inlineStr">
        <is>
          <t>SALA</t>
        </is>
      </c>
      <c r="G415" t="n">
        <v>0.2</v>
      </c>
      <c r="H415" t="n">
        <v>0</v>
      </c>
      <c r="I415" t="n">
        <v>0</v>
      </c>
      <c r="J415" t="n">
        <v>0</v>
      </c>
      <c r="K415" t="n">
        <v>0</v>
      </c>
      <c r="L415" t="n">
        <v>0</v>
      </c>
      <c r="M415" t="n">
        <v>0</v>
      </c>
      <c r="N415" t="n">
        <v>0</v>
      </c>
      <c r="O415" t="n">
        <v>0</v>
      </c>
      <c r="P415" t="n">
        <v>0</v>
      </c>
      <c r="Q415" t="n">
        <v>0</v>
      </c>
      <c r="R415" s="2" t="inlineStr"/>
    </row>
    <row r="416" ht="15" customHeight="1">
      <c r="A416" t="inlineStr">
        <is>
          <t>A 53166-2024</t>
        </is>
      </c>
      <c r="B416" s="1" t="n">
        <v>45611</v>
      </c>
      <c r="C416" s="1" t="n">
        <v>45933</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11244-2024</t>
        </is>
      </c>
      <c r="B417" s="1" t="n">
        <v>45371</v>
      </c>
      <c r="C417" s="1" t="n">
        <v>45933</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62654-2022</t>
        </is>
      </c>
      <c r="B418" s="1" t="n">
        <v>44917</v>
      </c>
      <c r="C418" s="1" t="n">
        <v>45933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6135-2023</t>
        </is>
      </c>
      <c r="B419" s="1" t="n">
        <v>44964.62628472222</v>
      </c>
      <c r="C419" s="1" t="n">
        <v>45933</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53864-2022</t>
        </is>
      </c>
      <c r="B420" s="1" t="n">
        <v>44880.64016203704</v>
      </c>
      <c r="C420" s="1" t="n">
        <v>45933</v>
      </c>
      <c r="D420" t="inlineStr">
        <is>
          <t>VÄSTMANLANDS LÄN</t>
        </is>
      </c>
      <c r="E420" t="inlineStr">
        <is>
          <t>SALA</t>
        </is>
      </c>
      <c r="G420" t="n">
        <v>5.9</v>
      </c>
      <c r="H420" t="n">
        <v>0</v>
      </c>
      <c r="I420" t="n">
        <v>0</v>
      </c>
      <c r="J420" t="n">
        <v>0</v>
      </c>
      <c r="K420" t="n">
        <v>0</v>
      </c>
      <c r="L420" t="n">
        <v>0</v>
      </c>
      <c r="M420" t="n">
        <v>0</v>
      </c>
      <c r="N420" t="n">
        <v>0</v>
      </c>
      <c r="O420" t="n">
        <v>0</v>
      </c>
      <c r="P420" t="n">
        <v>0</v>
      </c>
      <c r="Q420" t="n">
        <v>0</v>
      </c>
      <c r="R420" s="2" t="inlineStr"/>
    </row>
    <row r="421" ht="15" customHeight="1">
      <c r="A421" t="inlineStr">
        <is>
          <t>A 27255-2023</t>
        </is>
      </c>
      <c r="B421" s="1" t="n">
        <v>45096</v>
      </c>
      <c r="C421" s="1" t="n">
        <v>45933</v>
      </c>
      <c r="D421" t="inlineStr">
        <is>
          <t>VÄSTMANLANDS LÄN</t>
        </is>
      </c>
      <c r="E421" t="inlineStr">
        <is>
          <t>SALA</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7197-2025</t>
        </is>
      </c>
      <c r="B422" s="1" t="n">
        <v>45702</v>
      </c>
      <c r="C422" s="1" t="n">
        <v>45933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43031-2025</t>
        </is>
      </c>
      <c r="B423" s="1" t="n">
        <v>45909.53856481481</v>
      </c>
      <c r="C423" s="1" t="n">
        <v>45933</v>
      </c>
      <c r="D423" t="inlineStr">
        <is>
          <t>VÄSTMANLANDS LÄN</t>
        </is>
      </c>
      <c r="E423" t="inlineStr">
        <is>
          <t>SALA</t>
        </is>
      </c>
      <c r="G423" t="n">
        <v>0.2</v>
      </c>
      <c r="H423" t="n">
        <v>0</v>
      </c>
      <c r="I423" t="n">
        <v>0</v>
      </c>
      <c r="J423" t="n">
        <v>0</v>
      </c>
      <c r="K423" t="n">
        <v>0</v>
      </c>
      <c r="L423" t="n">
        <v>0</v>
      </c>
      <c r="M423" t="n">
        <v>0</v>
      </c>
      <c r="N423" t="n">
        <v>0</v>
      </c>
      <c r="O423" t="n">
        <v>0</v>
      </c>
      <c r="P423" t="n">
        <v>0</v>
      </c>
      <c r="Q423" t="n">
        <v>0</v>
      </c>
      <c r="R423" s="2" t="inlineStr"/>
    </row>
    <row r="424" ht="15" customHeight="1">
      <c r="A424" t="inlineStr">
        <is>
          <t>A 17985-2025</t>
        </is>
      </c>
      <c r="B424" s="1" t="n">
        <v>45761</v>
      </c>
      <c r="C424" s="1" t="n">
        <v>45933</v>
      </c>
      <c r="D424" t="inlineStr">
        <is>
          <t>VÄSTMANLANDS LÄN</t>
        </is>
      </c>
      <c r="E424" t="inlineStr">
        <is>
          <t>SALA</t>
        </is>
      </c>
      <c r="G424" t="n">
        <v>12.5</v>
      </c>
      <c r="H424" t="n">
        <v>0</v>
      </c>
      <c r="I424" t="n">
        <v>0</v>
      </c>
      <c r="J424" t="n">
        <v>0</v>
      </c>
      <c r="K424" t="n">
        <v>0</v>
      </c>
      <c r="L424" t="n">
        <v>0</v>
      </c>
      <c r="M424" t="n">
        <v>0</v>
      </c>
      <c r="N424" t="n">
        <v>0</v>
      </c>
      <c r="O424" t="n">
        <v>0</v>
      </c>
      <c r="P424" t="n">
        <v>0</v>
      </c>
      <c r="Q424" t="n">
        <v>0</v>
      </c>
      <c r="R424" s="2" t="inlineStr"/>
    </row>
    <row r="425" ht="15" customHeight="1">
      <c r="A425" t="inlineStr">
        <is>
          <t>A 31869-2025</t>
        </is>
      </c>
      <c r="B425" s="1" t="n">
        <v>45834.64555555556</v>
      </c>
      <c r="C425" s="1" t="n">
        <v>45933</v>
      </c>
      <c r="D425" t="inlineStr">
        <is>
          <t>VÄSTMANLANDS LÄN</t>
        </is>
      </c>
      <c r="E425" t="inlineStr">
        <is>
          <t>SALA</t>
        </is>
      </c>
      <c r="G425" t="n">
        <v>17.5</v>
      </c>
      <c r="H425" t="n">
        <v>0</v>
      </c>
      <c r="I425" t="n">
        <v>0</v>
      </c>
      <c r="J425" t="n">
        <v>0</v>
      </c>
      <c r="K425" t="n">
        <v>0</v>
      </c>
      <c r="L425" t="n">
        <v>0</v>
      </c>
      <c r="M425" t="n">
        <v>0</v>
      </c>
      <c r="N425" t="n">
        <v>0</v>
      </c>
      <c r="O425" t="n">
        <v>0</v>
      </c>
      <c r="P425" t="n">
        <v>0</v>
      </c>
      <c r="Q425" t="n">
        <v>0</v>
      </c>
      <c r="R425" s="2" t="inlineStr"/>
    </row>
    <row r="426" ht="15" customHeight="1">
      <c r="A426" t="inlineStr">
        <is>
          <t>A 15099-2025</t>
        </is>
      </c>
      <c r="B426" s="1" t="n">
        <v>45744.3434837963</v>
      </c>
      <c r="C426" s="1" t="n">
        <v>45933</v>
      </c>
      <c r="D426" t="inlineStr">
        <is>
          <t>VÄSTMANLANDS LÄN</t>
        </is>
      </c>
      <c r="E426" t="inlineStr">
        <is>
          <t>SALA</t>
        </is>
      </c>
      <c r="F426" t="inlineStr">
        <is>
          <t>Sveaskog</t>
        </is>
      </c>
      <c r="G426" t="n">
        <v>14.4</v>
      </c>
      <c r="H426" t="n">
        <v>0</v>
      </c>
      <c r="I426" t="n">
        <v>0</v>
      </c>
      <c r="J426" t="n">
        <v>0</v>
      </c>
      <c r="K426" t="n">
        <v>0</v>
      </c>
      <c r="L426" t="n">
        <v>0</v>
      </c>
      <c r="M426" t="n">
        <v>0</v>
      </c>
      <c r="N426" t="n">
        <v>0</v>
      </c>
      <c r="O426" t="n">
        <v>0</v>
      </c>
      <c r="P426" t="n">
        <v>0</v>
      </c>
      <c r="Q426" t="n">
        <v>0</v>
      </c>
      <c r="R426" s="2" t="inlineStr"/>
    </row>
    <row r="427" ht="15" customHeight="1">
      <c r="A427" t="inlineStr">
        <is>
          <t>A 60034-2024</t>
        </is>
      </c>
      <c r="B427" s="1" t="n">
        <v>45642.46261574074</v>
      </c>
      <c r="C427" s="1" t="n">
        <v>45933</v>
      </c>
      <c r="D427" t="inlineStr">
        <is>
          <t>VÄSTMANLANDS LÄN</t>
        </is>
      </c>
      <c r="E427" t="inlineStr">
        <is>
          <t>SALA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31863-2025</t>
        </is>
      </c>
      <c r="B428" s="1" t="n">
        <v>45834.63303240741</v>
      </c>
      <c r="C428" s="1" t="n">
        <v>45933</v>
      </c>
      <c r="D428" t="inlineStr">
        <is>
          <t>VÄSTMANLANDS LÄN</t>
        </is>
      </c>
      <c r="E428" t="inlineStr">
        <is>
          <t>SALA</t>
        </is>
      </c>
      <c r="G428" t="n">
        <v>2.5</v>
      </c>
      <c r="H428" t="n">
        <v>0</v>
      </c>
      <c r="I428" t="n">
        <v>0</v>
      </c>
      <c r="J428" t="n">
        <v>0</v>
      </c>
      <c r="K428" t="n">
        <v>0</v>
      </c>
      <c r="L428" t="n">
        <v>0</v>
      </c>
      <c r="M428" t="n">
        <v>0</v>
      </c>
      <c r="N428" t="n">
        <v>0</v>
      </c>
      <c r="O428" t="n">
        <v>0</v>
      </c>
      <c r="P428" t="n">
        <v>0</v>
      </c>
      <c r="Q428" t="n">
        <v>0</v>
      </c>
      <c r="R428" s="2" t="inlineStr"/>
    </row>
    <row r="429" ht="15" customHeight="1">
      <c r="A429" t="inlineStr">
        <is>
          <t>A 3810-2023</t>
        </is>
      </c>
      <c r="B429" s="1" t="n">
        <v>44951.60454861111</v>
      </c>
      <c r="C429" s="1" t="n">
        <v>45933</v>
      </c>
      <c r="D429" t="inlineStr">
        <is>
          <t>VÄSTMANLANDS LÄN</t>
        </is>
      </c>
      <c r="E429" t="inlineStr">
        <is>
          <t>SALA</t>
        </is>
      </c>
      <c r="G429" t="n">
        <v>4.2</v>
      </c>
      <c r="H429" t="n">
        <v>0</v>
      </c>
      <c r="I429" t="n">
        <v>0</v>
      </c>
      <c r="J429" t="n">
        <v>0</v>
      </c>
      <c r="K429" t="n">
        <v>0</v>
      </c>
      <c r="L429" t="n">
        <v>0</v>
      </c>
      <c r="M429" t="n">
        <v>0</v>
      </c>
      <c r="N429" t="n">
        <v>0</v>
      </c>
      <c r="O429" t="n">
        <v>0</v>
      </c>
      <c r="P429" t="n">
        <v>0</v>
      </c>
      <c r="Q429" t="n">
        <v>0</v>
      </c>
      <c r="R429" s="2" t="inlineStr"/>
    </row>
    <row r="430" ht="15" customHeight="1">
      <c r="A430" t="inlineStr">
        <is>
          <t>A 17766-2025</t>
        </is>
      </c>
      <c r="B430" s="1" t="n">
        <v>45758</v>
      </c>
      <c r="C430" s="1" t="n">
        <v>45933</v>
      </c>
      <c r="D430" t="inlineStr">
        <is>
          <t>VÄSTMANLANDS LÄN</t>
        </is>
      </c>
      <c r="E430" t="inlineStr">
        <is>
          <t>SALA</t>
        </is>
      </c>
      <c r="G430" t="n">
        <v>16.5</v>
      </c>
      <c r="H430" t="n">
        <v>0</v>
      </c>
      <c r="I430" t="n">
        <v>0</v>
      </c>
      <c r="J430" t="n">
        <v>0</v>
      </c>
      <c r="K430" t="n">
        <v>0</v>
      </c>
      <c r="L430" t="n">
        <v>0</v>
      </c>
      <c r="M430" t="n">
        <v>0</v>
      </c>
      <c r="N430" t="n">
        <v>0</v>
      </c>
      <c r="O430" t="n">
        <v>0</v>
      </c>
      <c r="P430" t="n">
        <v>0</v>
      </c>
      <c r="Q430" t="n">
        <v>0</v>
      </c>
      <c r="R430" s="2" t="inlineStr"/>
    </row>
    <row r="431" ht="15" customHeight="1">
      <c r="A431" t="inlineStr">
        <is>
          <t>A 7664-2023</t>
        </is>
      </c>
      <c r="B431" s="1" t="n">
        <v>44972</v>
      </c>
      <c r="C431" s="1" t="n">
        <v>45933</v>
      </c>
      <c r="D431" t="inlineStr">
        <is>
          <t>VÄSTMANLANDS LÄN</t>
        </is>
      </c>
      <c r="E431" t="inlineStr">
        <is>
          <t>SALA</t>
        </is>
      </c>
      <c r="G431" t="n">
        <v>1.4</v>
      </c>
      <c r="H431" t="n">
        <v>0</v>
      </c>
      <c r="I431" t="n">
        <v>0</v>
      </c>
      <c r="J431" t="n">
        <v>0</v>
      </c>
      <c r="K431" t="n">
        <v>0</v>
      </c>
      <c r="L431" t="n">
        <v>0</v>
      </c>
      <c r="M431" t="n">
        <v>0</v>
      </c>
      <c r="N431" t="n">
        <v>0</v>
      </c>
      <c r="O431" t="n">
        <v>0</v>
      </c>
      <c r="P431" t="n">
        <v>0</v>
      </c>
      <c r="Q431" t="n">
        <v>0</v>
      </c>
      <c r="R431" s="2" t="inlineStr"/>
    </row>
    <row r="432" ht="15" customHeight="1">
      <c r="A432" t="inlineStr">
        <is>
          <t>A 3546-2025</t>
        </is>
      </c>
      <c r="B432" s="1" t="n">
        <v>45680</v>
      </c>
      <c r="C432" s="1" t="n">
        <v>45933</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43328-2025</t>
        </is>
      </c>
      <c r="B433" s="1" t="n">
        <v>45910</v>
      </c>
      <c r="C433" s="1" t="n">
        <v>45933</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2928-2024</t>
        </is>
      </c>
      <c r="B434" s="1" t="n">
        <v>45315.59041666667</v>
      </c>
      <c r="C434" s="1" t="n">
        <v>45933</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52503-2024</t>
        </is>
      </c>
      <c r="B435" s="1" t="n">
        <v>45609.58806712963</v>
      </c>
      <c r="C435" s="1" t="n">
        <v>45933</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44524-2025</t>
        </is>
      </c>
      <c r="B436" s="1" t="n">
        <v>45916.72920138889</v>
      </c>
      <c r="C436" s="1" t="n">
        <v>45933</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2521-2025</t>
        </is>
      </c>
      <c r="B437" s="1" t="n">
        <v>45674</v>
      </c>
      <c r="C437" s="1" t="n">
        <v>45933</v>
      </c>
      <c r="D437" t="inlineStr">
        <is>
          <t>VÄSTMANLANDS LÄN</t>
        </is>
      </c>
      <c r="E437" t="inlineStr">
        <is>
          <t>SALA</t>
        </is>
      </c>
      <c r="G437" t="n">
        <v>3.5</v>
      </c>
      <c r="H437" t="n">
        <v>0</v>
      </c>
      <c r="I437" t="n">
        <v>0</v>
      </c>
      <c r="J437" t="n">
        <v>0</v>
      </c>
      <c r="K437" t="n">
        <v>0</v>
      </c>
      <c r="L437" t="n">
        <v>0</v>
      </c>
      <c r="M437" t="n">
        <v>0</v>
      </c>
      <c r="N437" t="n">
        <v>0</v>
      </c>
      <c r="O437" t="n">
        <v>0</v>
      </c>
      <c r="P437" t="n">
        <v>0</v>
      </c>
      <c r="Q437" t="n">
        <v>0</v>
      </c>
      <c r="R437" s="2" t="inlineStr"/>
    </row>
    <row r="438" ht="15" customHeight="1">
      <c r="A438" t="inlineStr">
        <is>
          <t>A 9962-2025</t>
        </is>
      </c>
      <c r="B438" s="1" t="n">
        <v>45719.37072916667</v>
      </c>
      <c r="C438" s="1" t="n">
        <v>45933</v>
      </c>
      <c r="D438" t="inlineStr">
        <is>
          <t>VÄSTMANLANDS LÄN</t>
        </is>
      </c>
      <c r="E438" t="inlineStr">
        <is>
          <t>SALA</t>
        </is>
      </c>
      <c r="G438" t="n">
        <v>4.5</v>
      </c>
      <c r="H438" t="n">
        <v>0</v>
      </c>
      <c r="I438" t="n">
        <v>0</v>
      </c>
      <c r="J438" t="n">
        <v>0</v>
      </c>
      <c r="K438" t="n">
        <v>0</v>
      </c>
      <c r="L438" t="n">
        <v>0</v>
      </c>
      <c r="M438" t="n">
        <v>0</v>
      </c>
      <c r="N438" t="n">
        <v>0</v>
      </c>
      <c r="O438" t="n">
        <v>0</v>
      </c>
      <c r="P438" t="n">
        <v>0</v>
      </c>
      <c r="Q438" t="n">
        <v>0</v>
      </c>
      <c r="R438" s="2" t="inlineStr"/>
    </row>
    <row r="439" ht="15" customHeight="1">
      <c r="A439" t="inlineStr">
        <is>
          <t>A 31000-2022</t>
        </is>
      </c>
      <c r="B439" s="1" t="n">
        <v>44768</v>
      </c>
      <c r="C439" s="1" t="n">
        <v>45933</v>
      </c>
      <c r="D439" t="inlineStr">
        <is>
          <t>VÄSTMANLANDS LÄN</t>
        </is>
      </c>
      <c r="E439" t="inlineStr">
        <is>
          <t>SALA</t>
        </is>
      </c>
      <c r="G439" t="n">
        <v>5.7</v>
      </c>
      <c r="H439" t="n">
        <v>0</v>
      </c>
      <c r="I439" t="n">
        <v>0</v>
      </c>
      <c r="J439" t="n">
        <v>0</v>
      </c>
      <c r="K439" t="n">
        <v>0</v>
      </c>
      <c r="L439" t="n">
        <v>0</v>
      </c>
      <c r="M439" t="n">
        <v>0</v>
      </c>
      <c r="N439" t="n">
        <v>0</v>
      </c>
      <c r="O439" t="n">
        <v>0</v>
      </c>
      <c r="P439" t="n">
        <v>0</v>
      </c>
      <c r="Q439" t="n">
        <v>0</v>
      </c>
      <c r="R439" s="2" t="inlineStr"/>
    </row>
    <row r="440" ht="15" customHeight="1">
      <c r="A440" t="inlineStr">
        <is>
          <t>A 39182-2025</t>
        </is>
      </c>
      <c r="B440" s="1" t="n">
        <v>45888.66204861111</v>
      </c>
      <c r="C440" s="1" t="n">
        <v>45933</v>
      </c>
      <c r="D440" t="inlineStr">
        <is>
          <t>VÄSTMANLANDS LÄN</t>
        </is>
      </c>
      <c r="E440" t="inlineStr">
        <is>
          <t>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14024-2025</t>
        </is>
      </c>
      <c r="B441" s="1" t="n">
        <v>45740.34650462963</v>
      </c>
      <c r="C441" s="1" t="n">
        <v>45933</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44486-2025</t>
        </is>
      </c>
      <c r="B442" s="1" t="n">
        <v>45916.65517361111</v>
      </c>
      <c r="C442" s="1" t="n">
        <v>45933</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3551-2024</t>
        </is>
      </c>
      <c r="B443" s="1" t="n">
        <v>45320.61099537037</v>
      </c>
      <c r="C443" s="1" t="n">
        <v>45933</v>
      </c>
      <c r="D443" t="inlineStr">
        <is>
          <t>VÄSTMANLANDS LÄN</t>
        </is>
      </c>
      <c r="E443" t="inlineStr">
        <is>
          <t>SALA</t>
        </is>
      </c>
      <c r="F443" t="inlineStr">
        <is>
          <t>Kommuner</t>
        </is>
      </c>
      <c r="G443" t="n">
        <v>6</v>
      </c>
      <c r="H443" t="n">
        <v>0</v>
      </c>
      <c r="I443" t="n">
        <v>0</v>
      </c>
      <c r="J443" t="n">
        <v>0</v>
      </c>
      <c r="K443" t="n">
        <v>0</v>
      </c>
      <c r="L443" t="n">
        <v>0</v>
      </c>
      <c r="M443" t="n">
        <v>0</v>
      </c>
      <c r="N443" t="n">
        <v>0</v>
      </c>
      <c r="O443" t="n">
        <v>0</v>
      </c>
      <c r="P443" t="n">
        <v>0</v>
      </c>
      <c r="Q443" t="n">
        <v>0</v>
      </c>
      <c r="R443" s="2" t="inlineStr"/>
    </row>
    <row r="444" ht="15" customHeight="1">
      <c r="A444" t="inlineStr">
        <is>
          <t>A 31950-2023</t>
        </is>
      </c>
      <c r="B444" s="1" t="n">
        <v>45107</v>
      </c>
      <c r="C444" s="1" t="n">
        <v>45933</v>
      </c>
      <c r="D444" t="inlineStr">
        <is>
          <t>VÄSTMANLANDS LÄN</t>
        </is>
      </c>
      <c r="E444" t="inlineStr">
        <is>
          <t>SALA</t>
        </is>
      </c>
      <c r="G444" t="n">
        <v>0.1</v>
      </c>
      <c r="H444" t="n">
        <v>0</v>
      </c>
      <c r="I444" t="n">
        <v>0</v>
      </c>
      <c r="J444" t="n">
        <v>0</v>
      </c>
      <c r="K444" t="n">
        <v>0</v>
      </c>
      <c r="L444" t="n">
        <v>0</v>
      </c>
      <c r="M444" t="n">
        <v>0</v>
      </c>
      <c r="N444" t="n">
        <v>0</v>
      </c>
      <c r="O444" t="n">
        <v>0</v>
      </c>
      <c r="P444" t="n">
        <v>0</v>
      </c>
      <c r="Q444" t="n">
        <v>0</v>
      </c>
      <c r="R444" s="2" t="inlineStr"/>
    </row>
    <row r="445" ht="15" customHeight="1">
      <c r="A445" t="inlineStr">
        <is>
          <t>A 62635-2022</t>
        </is>
      </c>
      <c r="B445" s="1" t="n">
        <v>44917</v>
      </c>
      <c r="C445" s="1" t="n">
        <v>45933</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46279-2021</t>
        </is>
      </c>
      <c r="B446" s="1" t="n">
        <v>44442.57797453704</v>
      </c>
      <c r="C446" s="1" t="n">
        <v>45933</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46915-2025</t>
        </is>
      </c>
      <c r="B447" s="1" t="n">
        <v>45929.42114583333</v>
      </c>
      <c r="C447" s="1" t="n">
        <v>45933</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16693-2023</t>
        </is>
      </c>
      <c r="B448" s="1" t="n">
        <v>45028</v>
      </c>
      <c r="C448" s="1" t="n">
        <v>45933</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19304-2025</t>
        </is>
      </c>
      <c r="B449" s="1" t="n">
        <v>45769</v>
      </c>
      <c r="C449" s="1" t="n">
        <v>45933</v>
      </c>
      <c r="D449" t="inlineStr">
        <is>
          <t>VÄSTMANLANDS LÄN</t>
        </is>
      </c>
      <c r="E449" t="inlineStr">
        <is>
          <t>SALA</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23182-2022</t>
        </is>
      </c>
      <c r="B450" s="1" t="n">
        <v>44719.79707175926</v>
      </c>
      <c r="C450" s="1" t="n">
        <v>45933</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37017-2025</t>
        </is>
      </c>
      <c r="B451" s="1" t="n">
        <v>45874</v>
      </c>
      <c r="C451" s="1" t="n">
        <v>45933</v>
      </c>
      <c r="D451" t="inlineStr">
        <is>
          <t>VÄSTMANLANDS LÄN</t>
        </is>
      </c>
      <c r="E451" t="inlineStr">
        <is>
          <t>SALA</t>
        </is>
      </c>
      <c r="G451" t="n">
        <v>11.1</v>
      </c>
      <c r="H451" t="n">
        <v>0</v>
      </c>
      <c r="I451" t="n">
        <v>0</v>
      </c>
      <c r="J451" t="n">
        <v>0</v>
      </c>
      <c r="K451" t="n">
        <v>0</v>
      </c>
      <c r="L451" t="n">
        <v>0</v>
      </c>
      <c r="M451" t="n">
        <v>0</v>
      </c>
      <c r="N451" t="n">
        <v>0</v>
      </c>
      <c r="O451" t="n">
        <v>0</v>
      </c>
      <c r="P451" t="n">
        <v>0</v>
      </c>
      <c r="Q451" t="n">
        <v>0</v>
      </c>
      <c r="R451" s="2" t="inlineStr"/>
    </row>
    <row r="452" ht="15" customHeight="1">
      <c r="A452" t="inlineStr">
        <is>
          <t>A 44100-2025</t>
        </is>
      </c>
      <c r="B452" s="1" t="n">
        <v>45915.56707175926</v>
      </c>
      <c r="C452" s="1" t="n">
        <v>45933</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46661-2025</t>
        </is>
      </c>
      <c r="B453" s="1" t="n">
        <v>45926</v>
      </c>
      <c r="C453" s="1" t="n">
        <v>45933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31864-2025</t>
        </is>
      </c>
      <c r="B454" s="1" t="n">
        <v>45834.63819444444</v>
      </c>
      <c r="C454" s="1" t="n">
        <v>45933</v>
      </c>
      <c r="D454" t="inlineStr">
        <is>
          <t>VÄSTMANLANDS LÄN</t>
        </is>
      </c>
      <c r="E454" t="inlineStr">
        <is>
          <t>SALA</t>
        </is>
      </c>
      <c r="G454" t="n">
        <v>6.3</v>
      </c>
      <c r="H454" t="n">
        <v>0</v>
      </c>
      <c r="I454" t="n">
        <v>0</v>
      </c>
      <c r="J454" t="n">
        <v>0</v>
      </c>
      <c r="K454" t="n">
        <v>0</v>
      </c>
      <c r="L454" t="n">
        <v>0</v>
      </c>
      <c r="M454" t="n">
        <v>0</v>
      </c>
      <c r="N454" t="n">
        <v>0</v>
      </c>
      <c r="O454" t="n">
        <v>0</v>
      </c>
      <c r="P454" t="n">
        <v>0</v>
      </c>
      <c r="Q454" t="n">
        <v>0</v>
      </c>
      <c r="R454" s="2" t="inlineStr"/>
    </row>
    <row r="455" ht="15" customHeight="1">
      <c r="A455" t="inlineStr">
        <is>
          <t>A 56057-2023</t>
        </is>
      </c>
      <c r="B455" s="1" t="n">
        <v>45233</v>
      </c>
      <c r="C455" s="1" t="n">
        <v>45933</v>
      </c>
      <c r="D455" t="inlineStr">
        <is>
          <t>VÄSTMANLANDS LÄN</t>
        </is>
      </c>
      <c r="E455" t="inlineStr">
        <is>
          <t>SALA</t>
        </is>
      </c>
      <c r="G455" t="n">
        <v>0.6</v>
      </c>
      <c r="H455" t="n">
        <v>0</v>
      </c>
      <c r="I455" t="n">
        <v>0</v>
      </c>
      <c r="J455" t="n">
        <v>0</v>
      </c>
      <c r="K455" t="n">
        <v>0</v>
      </c>
      <c r="L455" t="n">
        <v>0</v>
      </c>
      <c r="M455" t="n">
        <v>0</v>
      </c>
      <c r="N455" t="n">
        <v>0</v>
      </c>
      <c r="O455" t="n">
        <v>0</v>
      </c>
      <c r="P455" t="n">
        <v>0</v>
      </c>
      <c r="Q455" t="n">
        <v>0</v>
      </c>
      <c r="R455" s="2" t="inlineStr"/>
    </row>
    <row r="456" ht="15" customHeight="1">
      <c r="A456" t="inlineStr">
        <is>
          <t>A 57371-2022</t>
        </is>
      </c>
      <c r="B456" s="1" t="n">
        <v>44896.43832175926</v>
      </c>
      <c r="C456" s="1" t="n">
        <v>45933</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37103-2025</t>
        </is>
      </c>
      <c r="B457" s="1" t="n">
        <v>45875.47743055555</v>
      </c>
      <c r="C457" s="1" t="n">
        <v>45933</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39167-2025</t>
        </is>
      </c>
      <c r="B458" s="1" t="n">
        <v>45888</v>
      </c>
      <c r="C458" s="1" t="n">
        <v>45933</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37246-2025</t>
        </is>
      </c>
      <c r="B459" s="1" t="n">
        <v>45876.39435185185</v>
      </c>
      <c r="C459" s="1" t="n">
        <v>45933</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37263-2025</t>
        </is>
      </c>
      <c r="B460" s="1" t="n">
        <v>45876.4584837963</v>
      </c>
      <c r="C460" s="1" t="n">
        <v>45933</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61717-2024</t>
        </is>
      </c>
      <c r="B461" s="1" t="n">
        <v>45648</v>
      </c>
      <c r="C461" s="1" t="n">
        <v>45933</v>
      </c>
      <c r="D461" t="inlineStr">
        <is>
          <t>VÄSTMANLANDS LÄN</t>
        </is>
      </c>
      <c r="E461" t="inlineStr">
        <is>
          <t>SALA</t>
        </is>
      </c>
      <c r="G461" t="n">
        <v>3.7</v>
      </c>
      <c r="H461" t="n">
        <v>0</v>
      </c>
      <c r="I461" t="n">
        <v>0</v>
      </c>
      <c r="J461" t="n">
        <v>0</v>
      </c>
      <c r="K461" t="n">
        <v>0</v>
      </c>
      <c r="L461" t="n">
        <v>0</v>
      </c>
      <c r="M461" t="n">
        <v>0</v>
      </c>
      <c r="N461" t="n">
        <v>0</v>
      </c>
      <c r="O461" t="n">
        <v>0</v>
      </c>
      <c r="P461" t="n">
        <v>0</v>
      </c>
      <c r="Q461" t="n">
        <v>0</v>
      </c>
      <c r="R461" s="2" t="inlineStr"/>
    </row>
    <row r="462" ht="15" customHeight="1">
      <c r="A462" t="inlineStr">
        <is>
          <t>A 37253-2025</t>
        </is>
      </c>
      <c r="B462" s="1" t="n">
        <v>45876.42290509259</v>
      </c>
      <c r="C462" s="1" t="n">
        <v>45933</v>
      </c>
      <c r="D462" t="inlineStr">
        <is>
          <t>VÄSTMANLANDS LÄN</t>
        </is>
      </c>
      <c r="E462" t="inlineStr">
        <is>
          <t>SALA</t>
        </is>
      </c>
      <c r="G462" t="n">
        <v>2.6</v>
      </c>
      <c r="H462" t="n">
        <v>0</v>
      </c>
      <c r="I462" t="n">
        <v>0</v>
      </c>
      <c r="J462" t="n">
        <v>0</v>
      </c>
      <c r="K462" t="n">
        <v>0</v>
      </c>
      <c r="L462" t="n">
        <v>0</v>
      </c>
      <c r="M462" t="n">
        <v>0</v>
      </c>
      <c r="N462" t="n">
        <v>0</v>
      </c>
      <c r="O462" t="n">
        <v>0</v>
      </c>
      <c r="P462" t="n">
        <v>0</v>
      </c>
      <c r="Q462" t="n">
        <v>0</v>
      </c>
      <c r="R462" s="2" t="inlineStr"/>
    </row>
    <row r="463" ht="15" customHeight="1">
      <c r="A463" t="inlineStr">
        <is>
          <t>A 56548-2024</t>
        </is>
      </c>
      <c r="B463" s="1" t="n">
        <v>45625</v>
      </c>
      <c r="C463" s="1" t="n">
        <v>45933</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47086-2022</t>
        </is>
      </c>
      <c r="B464" s="1" t="n">
        <v>44852</v>
      </c>
      <c r="C464" s="1" t="n">
        <v>45933</v>
      </c>
      <c r="D464" t="inlineStr">
        <is>
          <t>VÄSTMANLANDS LÄN</t>
        </is>
      </c>
      <c r="E464" t="inlineStr">
        <is>
          <t>SALA</t>
        </is>
      </c>
      <c r="G464" t="n">
        <v>12.5</v>
      </c>
      <c r="H464" t="n">
        <v>0</v>
      </c>
      <c r="I464" t="n">
        <v>0</v>
      </c>
      <c r="J464" t="n">
        <v>0</v>
      </c>
      <c r="K464" t="n">
        <v>0</v>
      </c>
      <c r="L464" t="n">
        <v>0</v>
      </c>
      <c r="M464" t="n">
        <v>0</v>
      </c>
      <c r="N464" t="n">
        <v>0</v>
      </c>
      <c r="O464" t="n">
        <v>0</v>
      </c>
      <c r="P464" t="n">
        <v>0</v>
      </c>
      <c r="Q464" t="n">
        <v>0</v>
      </c>
      <c r="R464" s="2" t="inlineStr"/>
    </row>
    <row r="465" ht="15" customHeight="1">
      <c r="A465" t="inlineStr">
        <is>
          <t>A 55024-2023</t>
        </is>
      </c>
      <c r="B465" s="1" t="n">
        <v>45229</v>
      </c>
      <c r="C465" s="1" t="n">
        <v>45933</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55032-2023</t>
        </is>
      </c>
      <c r="B466" s="1" t="n">
        <v>45229</v>
      </c>
      <c r="C466" s="1" t="n">
        <v>45933</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17722-2025</t>
        </is>
      </c>
      <c r="B467" s="1" t="n">
        <v>45758</v>
      </c>
      <c r="C467" s="1" t="n">
        <v>45933</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29248-2022</t>
        </is>
      </c>
      <c r="B468" s="1" t="n">
        <v>44750</v>
      </c>
      <c r="C468" s="1" t="n">
        <v>45933</v>
      </c>
      <c r="D468" t="inlineStr">
        <is>
          <t>VÄSTMANLANDS LÄN</t>
        </is>
      </c>
      <c r="E468" t="inlineStr">
        <is>
          <t>SALA</t>
        </is>
      </c>
      <c r="G468" t="n">
        <v>1.6</v>
      </c>
      <c r="H468" t="n">
        <v>0</v>
      </c>
      <c r="I468" t="n">
        <v>0</v>
      </c>
      <c r="J468" t="n">
        <v>0</v>
      </c>
      <c r="K468" t="n">
        <v>0</v>
      </c>
      <c r="L468" t="n">
        <v>0</v>
      </c>
      <c r="M468" t="n">
        <v>0</v>
      </c>
      <c r="N468" t="n">
        <v>0</v>
      </c>
      <c r="O468" t="n">
        <v>0</v>
      </c>
      <c r="P468" t="n">
        <v>0</v>
      </c>
      <c r="Q468" t="n">
        <v>0</v>
      </c>
      <c r="R468" s="2" t="inlineStr"/>
    </row>
    <row r="469" ht="15" customHeight="1">
      <c r="A469" t="inlineStr">
        <is>
          <t>A 59175-2022</t>
        </is>
      </c>
      <c r="B469" s="1" t="n">
        <v>44904.48502314815</v>
      </c>
      <c r="C469" s="1" t="n">
        <v>45933</v>
      </c>
      <c r="D469" t="inlineStr">
        <is>
          <t>VÄSTMANLANDS LÄN</t>
        </is>
      </c>
      <c r="E469" t="inlineStr">
        <is>
          <t>SALA</t>
        </is>
      </c>
      <c r="G469" t="n">
        <v>2.1</v>
      </c>
      <c r="H469" t="n">
        <v>0</v>
      </c>
      <c r="I469" t="n">
        <v>0</v>
      </c>
      <c r="J469" t="n">
        <v>0</v>
      </c>
      <c r="K469" t="n">
        <v>0</v>
      </c>
      <c r="L469" t="n">
        <v>0</v>
      </c>
      <c r="M469" t="n">
        <v>0</v>
      </c>
      <c r="N469" t="n">
        <v>0</v>
      </c>
      <c r="O469" t="n">
        <v>0</v>
      </c>
      <c r="P469" t="n">
        <v>0</v>
      </c>
      <c r="Q469" t="n">
        <v>0</v>
      </c>
      <c r="R469" s="2" t="inlineStr"/>
    </row>
    <row r="470" ht="15" customHeight="1">
      <c r="A470" t="inlineStr">
        <is>
          <t>A 39451-2022</t>
        </is>
      </c>
      <c r="B470" s="1" t="n">
        <v>44818.36606481481</v>
      </c>
      <c r="C470" s="1" t="n">
        <v>45933</v>
      </c>
      <c r="D470" t="inlineStr">
        <is>
          <t>VÄSTMANLANDS LÄN</t>
        </is>
      </c>
      <c r="E470" t="inlineStr">
        <is>
          <t>SALA</t>
        </is>
      </c>
      <c r="G470" t="n">
        <v>9.4</v>
      </c>
      <c r="H470" t="n">
        <v>0</v>
      </c>
      <c r="I470" t="n">
        <v>0</v>
      </c>
      <c r="J470" t="n">
        <v>0</v>
      </c>
      <c r="K470" t="n">
        <v>0</v>
      </c>
      <c r="L470" t="n">
        <v>0</v>
      </c>
      <c r="M470" t="n">
        <v>0</v>
      </c>
      <c r="N470" t="n">
        <v>0</v>
      </c>
      <c r="O470" t="n">
        <v>0</v>
      </c>
      <c r="P470" t="n">
        <v>0</v>
      </c>
      <c r="Q470" t="n">
        <v>0</v>
      </c>
      <c r="R470" s="2" t="inlineStr"/>
    </row>
    <row r="471" ht="15" customHeight="1">
      <c r="A471" t="inlineStr">
        <is>
          <t>A 37590-2025</t>
        </is>
      </c>
      <c r="B471" s="1" t="n">
        <v>45880.41138888889</v>
      </c>
      <c r="C471" s="1" t="n">
        <v>45933</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37593-2025</t>
        </is>
      </c>
      <c r="B472" s="1" t="n">
        <v>45880.41325231481</v>
      </c>
      <c r="C472" s="1" t="n">
        <v>45933</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988-2025</t>
        </is>
      </c>
      <c r="B473" s="1" t="n">
        <v>45666.44038194444</v>
      </c>
      <c r="C473" s="1" t="n">
        <v>45933</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45371-2025</t>
        </is>
      </c>
      <c r="B474" s="1" t="n">
        <v>45922.39001157408</v>
      </c>
      <c r="C474" s="1" t="n">
        <v>45933</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52498-2022</t>
        </is>
      </c>
      <c r="B475" s="1" t="n">
        <v>44874.50152777778</v>
      </c>
      <c r="C475" s="1" t="n">
        <v>45933</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5032-2025</t>
        </is>
      </c>
      <c r="B476" s="1" t="n">
        <v>45691</v>
      </c>
      <c r="C476" s="1" t="n">
        <v>45933</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45177-2025</t>
        </is>
      </c>
      <c r="B477" s="1" t="n">
        <v>45919.52444444445</v>
      </c>
      <c r="C477" s="1" t="n">
        <v>45933</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48057-2025</t>
        </is>
      </c>
      <c r="B478" s="1" t="n">
        <v>45932.67947916667</v>
      </c>
      <c r="C478" s="1" t="n">
        <v>45933</v>
      </c>
      <c r="D478" t="inlineStr">
        <is>
          <t>VÄSTMANLANDS LÄN</t>
        </is>
      </c>
      <c r="E478" t="inlineStr">
        <is>
          <t>SALA</t>
        </is>
      </c>
      <c r="G478" t="n">
        <v>4.3</v>
      </c>
      <c r="H478" t="n">
        <v>0</v>
      </c>
      <c r="I478" t="n">
        <v>0</v>
      </c>
      <c r="J478" t="n">
        <v>0</v>
      </c>
      <c r="K478" t="n">
        <v>0</v>
      </c>
      <c r="L478" t="n">
        <v>0</v>
      </c>
      <c r="M478" t="n">
        <v>0</v>
      </c>
      <c r="N478" t="n">
        <v>0</v>
      </c>
      <c r="O478" t="n">
        <v>0</v>
      </c>
      <c r="P478" t="n">
        <v>0</v>
      </c>
      <c r="Q478" t="n">
        <v>0</v>
      </c>
      <c r="R478" s="2" t="inlineStr"/>
    </row>
    <row r="479" ht="15" customHeight="1">
      <c r="A479" t="inlineStr">
        <is>
          <t>A 11631-2023</t>
        </is>
      </c>
      <c r="B479" s="1" t="n">
        <v>44994.44001157407</v>
      </c>
      <c r="C479" s="1" t="n">
        <v>45933</v>
      </c>
      <c r="D479" t="inlineStr">
        <is>
          <t>VÄSTMANLANDS LÄN</t>
        </is>
      </c>
      <c r="E479" t="inlineStr">
        <is>
          <t>SALA</t>
        </is>
      </c>
      <c r="F479" t="inlineStr">
        <is>
          <t>Kommuner</t>
        </is>
      </c>
      <c r="G479" t="n">
        <v>1.9</v>
      </c>
      <c r="H479" t="n">
        <v>0</v>
      </c>
      <c r="I479" t="n">
        <v>0</v>
      </c>
      <c r="J479" t="n">
        <v>0</v>
      </c>
      <c r="K479" t="n">
        <v>0</v>
      </c>
      <c r="L479" t="n">
        <v>0</v>
      </c>
      <c r="M479" t="n">
        <v>0</v>
      </c>
      <c r="N479" t="n">
        <v>0</v>
      </c>
      <c r="O479" t="n">
        <v>0</v>
      </c>
      <c r="P479" t="n">
        <v>0</v>
      </c>
      <c r="Q479" t="n">
        <v>0</v>
      </c>
      <c r="R479" s="2" t="inlineStr"/>
    </row>
    <row r="480" ht="15" customHeight="1">
      <c r="A480" t="inlineStr">
        <is>
          <t>A 43128-2025</t>
        </is>
      </c>
      <c r="B480" s="1" t="n">
        <v>45909</v>
      </c>
      <c r="C480" s="1" t="n">
        <v>45933</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43130-2025</t>
        </is>
      </c>
      <c r="B481" s="1" t="n">
        <v>45909</v>
      </c>
      <c r="C481" s="1" t="n">
        <v>45933</v>
      </c>
      <c r="D481" t="inlineStr">
        <is>
          <t>VÄSTMANLANDS LÄN</t>
        </is>
      </c>
      <c r="E481" t="inlineStr">
        <is>
          <t>SALA</t>
        </is>
      </c>
      <c r="G481" t="n">
        <v>0.9</v>
      </c>
      <c r="H481" t="n">
        <v>0</v>
      </c>
      <c r="I481" t="n">
        <v>0</v>
      </c>
      <c r="J481" t="n">
        <v>0</v>
      </c>
      <c r="K481" t="n">
        <v>0</v>
      </c>
      <c r="L481" t="n">
        <v>0</v>
      </c>
      <c r="M481" t="n">
        <v>0</v>
      </c>
      <c r="N481" t="n">
        <v>0</v>
      </c>
      <c r="O481" t="n">
        <v>0</v>
      </c>
      <c r="P481" t="n">
        <v>0</v>
      </c>
      <c r="Q481" t="n">
        <v>0</v>
      </c>
      <c r="R481" s="2" t="inlineStr"/>
    </row>
    <row r="482" ht="15" customHeight="1">
      <c r="A482" t="inlineStr">
        <is>
          <t>A 47577-2025</t>
        </is>
      </c>
      <c r="B482" s="1" t="n">
        <v>45931.4047337963</v>
      </c>
      <c r="C482" s="1" t="n">
        <v>45933</v>
      </c>
      <c r="D482" t="inlineStr">
        <is>
          <t>VÄSTMANLANDS LÄN</t>
        </is>
      </c>
      <c r="E482" t="inlineStr">
        <is>
          <t>SALA</t>
        </is>
      </c>
      <c r="G482" t="n">
        <v>3.7</v>
      </c>
      <c r="H482" t="n">
        <v>0</v>
      </c>
      <c r="I482" t="n">
        <v>0</v>
      </c>
      <c r="J482" t="n">
        <v>0</v>
      </c>
      <c r="K482" t="n">
        <v>0</v>
      </c>
      <c r="L482" t="n">
        <v>0</v>
      </c>
      <c r="M482" t="n">
        <v>0</v>
      </c>
      <c r="N482" t="n">
        <v>0</v>
      </c>
      <c r="O482" t="n">
        <v>0</v>
      </c>
      <c r="P482" t="n">
        <v>0</v>
      </c>
      <c r="Q482" t="n">
        <v>0</v>
      </c>
      <c r="R482" s="2" t="inlineStr"/>
    </row>
    <row r="483" ht="15" customHeight="1">
      <c r="A483" t="inlineStr">
        <is>
          <t>A 66908-2021</t>
        </is>
      </c>
      <c r="B483" s="1" t="n">
        <v>44522</v>
      </c>
      <c r="C483" s="1" t="n">
        <v>45933</v>
      </c>
      <c r="D483" t="inlineStr">
        <is>
          <t>VÄSTMANLANDS LÄN</t>
        </is>
      </c>
      <c r="E483" t="inlineStr">
        <is>
          <t>SALA</t>
        </is>
      </c>
      <c r="G483" t="n">
        <v>2.6</v>
      </c>
      <c r="H483" t="n">
        <v>0</v>
      </c>
      <c r="I483" t="n">
        <v>0</v>
      </c>
      <c r="J483" t="n">
        <v>0</v>
      </c>
      <c r="K483" t="n">
        <v>0</v>
      </c>
      <c r="L483" t="n">
        <v>0</v>
      </c>
      <c r="M483" t="n">
        <v>0</v>
      </c>
      <c r="N483" t="n">
        <v>0</v>
      </c>
      <c r="O483" t="n">
        <v>0</v>
      </c>
      <c r="P483" t="n">
        <v>0</v>
      </c>
      <c r="Q483" t="n">
        <v>0</v>
      </c>
      <c r="R483" s="2" t="inlineStr"/>
    </row>
    <row r="484" ht="15" customHeight="1">
      <c r="A484" t="inlineStr">
        <is>
          <t>A 43129-2025</t>
        </is>
      </c>
      <c r="B484" s="1" t="n">
        <v>45909</v>
      </c>
      <c r="C484" s="1" t="n">
        <v>45933</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43359-2024</t>
        </is>
      </c>
      <c r="B485" s="1" t="n">
        <v>45568.57724537037</v>
      </c>
      <c r="C485" s="1" t="n">
        <v>45933</v>
      </c>
      <c r="D485" t="inlineStr">
        <is>
          <t>VÄSTMANLANDS LÄN</t>
        </is>
      </c>
      <c r="E485" t="inlineStr">
        <is>
          <t>SALA</t>
        </is>
      </c>
      <c r="G485" t="n">
        <v>1.6</v>
      </c>
      <c r="H485" t="n">
        <v>0</v>
      </c>
      <c r="I485" t="n">
        <v>0</v>
      </c>
      <c r="J485" t="n">
        <v>0</v>
      </c>
      <c r="K485" t="n">
        <v>0</v>
      </c>
      <c r="L485" t="n">
        <v>0</v>
      </c>
      <c r="M485" t="n">
        <v>0</v>
      </c>
      <c r="N485" t="n">
        <v>0</v>
      </c>
      <c r="O485" t="n">
        <v>0</v>
      </c>
      <c r="P485" t="n">
        <v>0</v>
      </c>
      <c r="Q485" t="n">
        <v>0</v>
      </c>
      <c r="R485" s="2" t="inlineStr"/>
    </row>
    <row r="486" ht="15" customHeight="1">
      <c r="A486" t="inlineStr">
        <is>
          <t>A 45909-2025</t>
        </is>
      </c>
      <c r="B486" s="1" t="n">
        <v>45923.75078703704</v>
      </c>
      <c r="C486" s="1" t="n">
        <v>45933</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29972-2025</t>
        </is>
      </c>
      <c r="B487" s="1" t="n">
        <v>45826</v>
      </c>
      <c r="C487" s="1" t="n">
        <v>45933</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45914-2025</t>
        </is>
      </c>
      <c r="B488" s="1" t="n">
        <v>45923.82582175926</v>
      </c>
      <c r="C488" s="1" t="n">
        <v>45933</v>
      </c>
      <c r="D488" t="inlineStr">
        <is>
          <t>VÄSTMANLANDS LÄN</t>
        </is>
      </c>
      <c r="E488" t="inlineStr">
        <is>
          <t>SALA</t>
        </is>
      </c>
      <c r="F488" t="inlineStr">
        <is>
          <t>Kommuner</t>
        </is>
      </c>
      <c r="G488" t="n">
        <v>18.2</v>
      </c>
      <c r="H488" t="n">
        <v>0</v>
      </c>
      <c r="I488" t="n">
        <v>0</v>
      </c>
      <c r="J488" t="n">
        <v>0</v>
      </c>
      <c r="K488" t="n">
        <v>0</v>
      </c>
      <c r="L488" t="n">
        <v>0</v>
      </c>
      <c r="M488" t="n">
        <v>0</v>
      </c>
      <c r="N488" t="n">
        <v>0</v>
      </c>
      <c r="O488" t="n">
        <v>0</v>
      </c>
      <c r="P488" t="n">
        <v>0</v>
      </c>
      <c r="Q488" t="n">
        <v>0</v>
      </c>
      <c r="R488" s="2" t="inlineStr"/>
    </row>
    <row r="489" ht="15" customHeight="1">
      <c r="A489" t="inlineStr">
        <is>
          <t>A 11696-2025</t>
        </is>
      </c>
      <c r="B489" s="1" t="n">
        <v>45727</v>
      </c>
      <c r="C489" s="1" t="n">
        <v>45933</v>
      </c>
      <c r="D489" t="inlineStr">
        <is>
          <t>VÄSTMANLANDS LÄN</t>
        </is>
      </c>
      <c r="E489" t="inlineStr">
        <is>
          <t>SALA</t>
        </is>
      </c>
      <c r="F489" t="inlineStr">
        <is>
          <t>Bergvik skog öst AB</t>
        </is>
      </c>
      <c r="G489" t="n">
        <v>1.6</v>
      </c>
      <c r="H489" t="n">
        <v>0</v>
      </c>
      <c r="I489" t="n">
        <v>0</v>
      </c>
      <c r="J489" t="n">
        <v>0</v>
      </c>
      <c r="K489" t="n">
        <v>0</v>
      </c>
      <c r="L489" t="n">
        <v>0</v>
      </c>
      <c r="M489" t="n">
        <v>0</v>
      </c>
      <c r="N489" t="n">
        <v>0</v>
      </c>
      <c r="O489" t="n">
        <v>0</v>
      </c>
      <c r="P489" t="n">
        <v>0</v>
      </c>
      <c r="Q489" t="n">
        <v>0</v>
      </c>
      <c r="R489" s="2" t="inlineStr"/>
    </row>
    <row r="490" ht="15" customHeight="1">
      <c r="A490" t="inlineStr">
        <is>
          <t>A 43122-2025</t>
        </is>
      </c>
      <c r="B490" s="1" t="n">
        <v>45909</v>
      </c>
      <c r="C490" s="1" t="n">
        <v>45933</v>
      </c>
      <c r="D490" t="inlineStr">
        <is>
          <t>VÄSTMANLANDS LÄN</t>
        </is>
      </c>
      <c r="E490" t="inlineStr">
        <is>
          <t>SALA</t>
        </is>
      </c>
      <c r="G490" t="n">
        <v>3.2</v>
      </c>
      <c r="H490" t="n">
        <v>0</v>
      </c>
      <c r="I490" t="n">
        <v>0</v>
      </c>
      <c r="J490" t="n">
        <v>0</v>
      </c>
      <c r="K490" t="n">
        <v>0</v>
      </c>
      <c r="L490" t="n">
        <v>0</v>
      </c>
      <c r="M490" t="n">
        <v>0</v>
      </c>
      <c r="N490" t="n">
        <v>0</v>
      </c>
      <c r="O490" t="n">
        <v>0</v>
      </c>
      <c r="P490" t="n">
        <v>0</v>
      </c>
      <c r="Q490" t="n">
        <v>0</v>
      </c>
      <c r="R490" s="2" t="inlineStr"/>
    </row>
    <row r="491" ht="15" customHeight="1">
      <c r="A491" t="inlineStr">
        <is>
          <t>A 43127-2025</t>
        </is>
      </c>
      <c r="B491" s="1" t="n">
        <v>45909</v>
      </c>
      <c r="C491" s="1" t="n">
        <v>45933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62648-2022</t>
        </is>
      </c>
      <c r="B492" s="1" t="n">
        <v>44917</v>
      </c>
      <c r="C492" s="1" t="n">
        <v>45933</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43509-2021</t>
        </is>
      </c>
      <c r="B493" s="1" t="n">
        <v>44433</v>
      </c>
      <c r="C493" s="1" t="n">
        <v>45933</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1934-2023</t>
        </is>
      </c>
      <c r="B494" s="1" t="n">
        <v>44939.43024305555</v>
      </c>
      <c r="C494" s="1" t="n">
        <v>45933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11927-2025</t>
        </is>
      </c>
      <c r="B495" s="1" t="n">
        <v>45728.5137962963</v>
      </c>
      <c r="C495" s="1" t="n">
        <v>45933</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60823-2024</t>
        </is>
      </c>
      <c r="B496" s="1" t="n">
        <v>45644</v>
      </c>
      <c r="C496" s="1" t="n">
        <v>45933</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13746-2025</t>
        </is>
      </c>
      <c r="B497" s="1" t="n">
        <v>45737.40944444444</v>
      </c>
      <c r="C497" s="1" t="n">
        <v>45933</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96-2024</t>
        </is>
      </c>
      <c r="B498" s="1" t="n">
        <v>45293.85872685185</v>
      </c>
      <c r="C498" s="1" t="n">
        <v>45933</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25897-2024</t>
        </is>
      </c>
      <c r="B499" s="1" t="n">
        <v>45467.54435185185</v>
      </c>
      <c r="C499" s="1" t="n">
        <v>45933</v>
      </c>
      <c r="D499" t="inlineStr">
        <is>
          <t>VÄSTMANLANDS LÄN</t>
        </is>
      </c>
      <c r="E499" t="inlineStr">
        <is>
          <t>SALA</t>
        </is>
      </c>
      <c r="G499" t="n">
        <v>9.9</v>
      </c>
      <c r="H499" t="n">
        <v>0</v>
      </c>
      <c r="I499" t="n">
        <v>0</v>
      </c>
      <c r="J499" t="n">
        <v>0</v>
      </c>
      <c r="K499" t="n">
        <v>0</v>
      </c>
      <c r="L499" t="n">
        <v>0</v>
      </c>
      <c r="M499" t="n">
        <v>0</v>
      </c>
      <c r="N499" t="n">
        <v>0</v>
      </c>
      <c r="O499" t="n">
        <v>0</v>
      </c>
      <c r="P499" t="n">
        <v>0</v>
      </c>
      <c r="Q499" t="n">
        <v>0</v>
      </c>
      <c r="R499" s="2" t="inlineStr"/>
    </row>
    <row r="500" ht="15" customHeight="1">
      <c r="A500" t="inlineStr">
        <is>
          <t>A 23374-2023</t>
        </is>
      </c>
      <c r="B500" s="1" t="n">
        <v>45076.4399537037</v>
      </c>
      <c r="C500" s="1" t="n">
        <v>45933</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23222-2023</t>
        </is>
      </c>
      <c r="B501" s="1" t="n">
        <v>45075</v>
      </c>
      <c r="C501" s="1" t="n">
        <v>45933</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23224-2023</t>
        </is>
      </c>
      <c r="B502" s="1" t="n">
        <v>45075.65040509259</v>
      </c>
      <c r="C502" s="1" t="n">
        <v>45933</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50479-2022</t>
        </is>
      </c>
      <c r="B503" s="1" t="n">
        <v>44861</v>
      </c>
      <c r="C503" s="1" t="n">
        <v>45933</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61874-2021</t>
        </is>
      </c>
      <c r="B504" s="1" t="n">
        <v>44502</v>
      </c>
      <c r="C504" s="1" t="n">
        <v>45933</v>
      </c>
      <c r="D504" t="inlineStr">
        <is>
          <t>VÄSTMANLANDS LÄN</t>
        </is>
      </c>
      <c r="E504" t="inlineStr">
        <is>
          <t>SALA</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50818-2020</t>
        </is>
      </c>
      <c r="B505" s="1" t="n">
        <v>44111</v>
      </c>
      <c r="C505" s="1" t="n">
        <v>45933</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9856-2022</t>
        </is>
      </c>
      <c r="B506" s="1" t="n">
        <v>44620</v>
      </c>
      <c r="C506" s="1" t="n">
        <v>45933</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14919-2025</t>
        </is>
      </c>
      <c r="B507" s="1" t="n">
        <v>45743.54256944444</v>
      </c>
      <c r="C507" s="1" t="n">
        <v>45933</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14920-2025</t>
        </is>
      </c>
      <c r="B508" s="1" t="n">
        <v>45743</v>
      </c>
      <c r="C508" s="1" t="n">
        <v>45933</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16159-2024</t>
        </is>
      </c>
      <c r="B509" s="1" t="n">
        <v>45406</v>
      </c>
      <c r="C509" s="1" t="n">
        <v>45933</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50241-2023</t>
        </is>
      </c>
      <c r="B510" s="1" t="n">
        <v>45216</v>
      </c>
      <c r="C510" s="1" t="n">
        <v>45933</v>
      </c>
      <c r="D510" t="inlineStr">
        <is>
          <t>VÄSTMANLANDS LÄN</t>
        </is>
      </c>
      <c r="E510" t="inlineStr">
        <is>
          <t>SALA</t>
        </is>
      </c>
      <c r="G510" t="n">
        <v>1.9</v>
      </c>
      <c r="H510" t="n">
        <v>0</v>
      </c>
      <c r="I510" t="n">
        <v>0</v>
      </c>
      <c r="J510" t="n">
        <v>0</v>
      </c>
      <c r="K510" t="n">
        <v>0</v>
      </c>
      <c r="L510" t="n">
        <v>0</v>
      </c>
      <c r="M510" t="n">
        <v>0</v>
      </c>
      <c r="N510" t="n">
        <v>0</v>
      </c>
      <c r="O510" t="n">
        <v>0</v>
      </c>
      <c r="P510" t="n">
        <v>0</v>
      </c>
      <c r="Q510" t="n">
        <v>0</v>
      </c>
      <c r="R510" s="2" t="inlineStr"/>
    </row>
    <row r="511" ht="15" customHeight="1">
      <c r="A511" t="inlineStr">
        <is>
          <t>A 13855-2023</t>
        </is>
      </c>
      <c r="B511" s="1" t="n">
        <v>45007</v>
      </c>
      <c r="C511" s="1" t="n">
        <v>45933</v>
      </c>
      <c r="D511" t="inlineStr">
        <is>
          <t>VÄSTMANLANDS LÄN</t>
        </is>
      </c>
      <c r="E511" t="inlineStr">
        <is>
          <t>SALA</t>
        </is>
      </c>
      <c r="G511" t="n">
        <v>2.9</v>
      </c>
      <c r="H511" t="n">
        <v>0</v>
      </c>
      <c r="I511" t="n">
        <v>0</v>
      </c>
      <c r="J511" t="n">
        <v>0</v>
      </c>
      <c r="K511" t="n">
        <v>0</v>
      </c>
      <c r="L511" t="n">
        <v>0</v>
      </c>
      <c r="M511" t="n">
        <v>0</v>
      </c>
      <c r="N511" t="n">
        <v>0</v>
      </c>
      <c r="O511" t="n">
        <v>0</v>
      </c>
      <c r="P511" t="n">
        <v>0</v>
      </c>
      <c r="Q511" t="n">
        <v>0</v>
      </c>
      <c r="R511" s="2" t="inlineStr"/>
    </row>
    <row r="512" ht="15" customHeight="1">
      <c r="A512" t="inlineStr">
        <is>
          <t>A 3332-2024</t>
        </is>
      </c>
      <c r="B512" s="1" t="n">
        <v>45317</v>
      </c>
      <c r="C512" s="1" t="n">
        <v>45933</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35637-2022</t>
        </is>
      </c>
      <c r="B513" s="1" t="n">
        <v>44799.55194444444</v>
      </c>
      <c r="C513" s="1" t="n">
        <v>45933</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19033-2025</t>
        </is>
      </c>
      <c r="B514" s="1" t="n">
        <v>45764.65796296296</v>
      </c>
      <c r="C514" s="1" t="n">
        <v>45933</v>
      </c>
      <c r="D514" t="inlineStr">
        <is>
          <t>VÄSTMANLANDS LÄN</t>
        </is>
      </c>
      <c r="E514" t="inlineStr">
        <is>
          <t>SALA</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18877-2023</t>
        </is>
      </c>
      <c r="B515" s="1" t="n">
        <v>45044</v>
      </c>
      <c r="C515" s="1" t="n">
        <v>45933</v>
      </c>
      <c r="D515" t="inlineStr">
        <is>
          <t>VÄSTMANLANDS LÄN</t>
        </is>
      </c>
      <c r="E515" t="inlineStr">
        <is>
          <t>SALA</t>
        </is>
      </c>
      <c r="F515" t="inlineStr">
        <is>
          <t>Kommuner</t>
        </is>
      </c>
      <c r="G515" t="n">
        <v>4.4</v>
      </c>
      <c r="H515" t="n">
        <v>0</v>
      </c>
      <c r="I515" t="n">
        <v>0</v>
      </c>
      <c r="J515" t="n">
        <v>0</v>
      </c>
      <c r="K515" t="n">
        <v>0</v>
      </c>
      <c r="L515" t="n">
        <v>0</v>
      </c>
      <c r="M515" t="n">
        <v>0</v>
      </c>
      <c r="N515" t="n">
        <v>0</v>
      </c>
      <c r="O515" t="n">
        <v>0</v>
      </c>
      <c r="P515" t="n">
        <v>0</v>
      </c>
      <c r="Q515" t="n">
        <v>0</v>
      </c>
      <c r="R515" s="2" t="inlineStr"/>
    </row>
    <row r="516" ht="15" customHeight="1">
      <c r="A516" t="inlineStr">
        <is>
          <t>A 55556-2023</t>
        </is>
      </c>
      <c r="B516" s="1" t="n">
        <v>45232</v>
      </c>
      <c r="C516" s="1" t="n">
        <v>45933</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34494-2023</t>
        </is>
      </c>
      <c r="B517" s="1" t="n">
        <v>45133</v>
      </c>
      <c r="C517" s="1" t="n">
        <v>45933</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15650-2025</t>
        </is>
      </c>
      <c r="B518" s="1" t="n">
        <v>45748.40172453703</v>
      </c>
      <c r="C518" s="1" t="n">
        <v>45933</v>
      </c>
      <c r="D518" t="inlineStr">
        <is>
          <t>VÄSTMANLANDS LÄN</t>
        </is>
      </c>
      <c r="E518" t="inlineStr">
        <is>
          <t>SALA</t>
        </is>
      </c>
      <c r="F518" t="inlineStr">
        <is>
          <t>Bergvik skog öst AB</t>
        </is>
      </c>
      <c r="G518" t="n">
        <v>3</v>
      </c>
      <c r="H518" t="n">
        <v>0</v>
      </c>
      <c r="I518" t="n">
        <v>0</v>
      </c>
      <c r="J518" t="n">
        <v>0</v>
      </c>
      <c r="K518" t="n">
        <v>0</v>
      </c>
      <c r="L518" t="n">
        <v>0</v>
      </c>
      <c r="M518" t="n">
        <v>0</v>
      </c>
      <c r="N518" t="n">
        <v>0</v>
      </c>
      <c r="O518" t="n">
        <v>0</v>
      </c>
      <c r="P518" t="n">
        <v>0</v>
      </c>
      <c r="Q518" t="n">
        <v>0</v>
      </c>
      <c r="R518" s="2" t="inlineStr"/>
    </row>
    <row r="519" ht="15" customHeight="1">
      <c r="A519" t="inlineStr">
        <is>
          <t>A 13752-2025</t>
        </is>
      </c>
      <c r="B519" s="1" t="n">
        <v>45737.41416666667</v>
      </c>
      <c r="C519" s="1" t="n">
        <v>45933</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19398-2025</t>
        </is>
      </c>
      <c r="B520" s="1" t="n">
        <v>45769</v>
      </c>
      <c r="C520" s="1" t="n">
        <v>45933</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46597-2025</t>
        </is>
      </c>
      <c r="B521" s="1" t="n">
        <v>45926.40113425926</v>
      </c>
      <c r="C521" s="1" t="n">
        <v>45933</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57883-2024</t>
        </is>
      </c>
      <c r="B522" s="1" t="n">
        <v>45630</v>
      </c>
      <c r="C522" s="1" t="n">
        <v>45933</v>
      </c>
      <c r="D522" t="inlineStr">
        <is>
          <t>VÄSTMANLANDS LÄN</t>
        </is>
      </c>
      <c r="E522" t="inlineStr">
        <is>
          <t>SALA</t>
        </is>
      </c>
      <c r="G522" t="n">
        <v>5.4</v>
      </c>
      <c r="H522" t="n">
        <v>0</v>
      </c>
      <c r="I522" t="n">
        <v>0</v>
      </c>
      <c r="J522" t="n">
        <v>0</v>
      </c>
      <c r="K522" t="n">
        <v>0</v>
      </c>
      <c r="L522" t="n">
        <v>0</v>
      </c>
      <c r="M522" t="n">
        <v>0</v>
      </c>
      <c r="N522" t="n">
        <v>0</v>
      </c>
      <c r="O522" t="n">
        <v>0</v>
      </c>
      <c r="P522" t="n">
        <v>0</v>
      </c>
      <c r="Q522" t="n">
        <v>0</v>
      </c>
      <c r="R522" s="2" t="inlineStr"/>
    </row>
    <row r="523" ht="15" customHeight="1">
      <c r="A523" t="inlineStr">
        <is>
          <t>A 50876-2023</t>
        </is>
      </c>
      <c r="B523" s="1" t="n">
        <v>45211</v>
      </c>
      <c r="C523" s="1" t="n">
        <v>45933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22921-2023</t>
        </is>
      </c>
      <c r="B524" s="1" t="n">
        <v>45070</v>
      </c>
      <c r="C524" s="1" t="n">
        <v>45933</v>
      </c>
      <c r="D524" t="inlineStr">
        <is>
          <t>VÄSTMANLANDS LÄN</t>
        </is>
      </c>
      <c r="E524" t="inlineStr">
        <is>
          <t>SALA</t>
        </is>
      </c>
      <c r="G524" t="n">
        <v>1.3</v>
      </c>
      <c r="H524" t="n">
        <v>0</v>
      </c>
      <c r="I524" t="n">
        <v>0</v>
      </c>
      <c r="J524" t="n">
        <v>0</v>
      </c>
      <c r="K524" t="n">
        <v>0</v>
      </c>
      <c r="L524" t="n">
        <v>0</v>
      </c>
      <c r="M524" t="n">
        <v>0</v>
      </c>
      <c r="N524" t="n">
        <v>0</v>
      </c>
      <c r="O524" t="n">
        <v>0</v>
      </c>
      <c r="P524" t="n">
        <v>0</v>
      </c>
      <c r="Q524" t="n">
        <v>0</v>
      </c>
      <c r="R524" s="2" t="inlineStr"/>
    </row>
    <row r="525" ht="15" customHeight="1">
      <c r="A525" t="inlineStr">
        <is>
          <t>A 37624-2024</t>
        </is>
      </c>
      <c r="B525" s="1" t="n">
        <v>45541</v>
      </c>
      <c r="C525" s="1" t="n">
        <v>45933</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40398-2021</t>
        </is>
      </c>
      <c r="B526" s="1" t="n">
        <v>44419</v>
      </c>
      <c r="C526" s="1" t="n">
        <v>45933</v>
      </c>
      <c r="D526" t="inlineStr">
        <is>
          <t>VÄSTMANLANDS LÄN</t>
        </is>
      </c>
      <c r="E526" t="inlineStr">
        <is>
          <t>SALA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16133-2025</t>
        </is>
      </c>
      <c r="B527" s="1" t="n">
        <v>45750</v>
      </c>
      <c r="C527" s="1" t="n">
        <v>45933</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6351-2023</t>
        </is>
      </c>
      <c r="B528" s="1" t="n">
        <v>44965</v>
      </c>
      <c r="C528" s="1" t="n">
        <v>45933</v>
      </c>
      <c r="D528" t="inlineStr">
        <is>
          <t>VÄSTMANLANDS LÄN</t>
        </is>
      </c>
      <c r="E528" t="inlineStr">
        <is>
          <t>SALA</t>
        </is>
      </c>
      <c r="F528" t="inlineStr">
        <is>
          <t>Kommuner</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27262-2024</t>
        </is>
      </c>
      <c r="B529" s="1" t="n">
        <v>45471</v>
      </c>
      <c r="C529" s="1" t="n">
        <v>45933</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15584-2021</t>
        </is>
      </c>
      <c r="B530" s="1" t="n">
        <v>44285</v>
      </c>
      <c r="C530" s="1" t="n">
        <v>45933</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6127-2025</t>
        </is>
      </c>
      <c r="B531" s="1" t="n">
        <v>45698</v>
      </c>
      <c r="C531" s="1" t="n">
        <v>45933</v>
      </c>
      <c r="D531" t="inlineStr">
        <is>
          <t>VÄSTMANLANDS LÄN</t>
        </is>
      </c>
      <c r="E531" t="inlineStr">
        <is>
          <t>SALA</t>
        </is>
      </c>
      <c r="F531" t="inlineStr">
        <is>
          <t>Bergvik skog öst AB</t>
        </is>
      </c>
      <c r="G531" t="n">
        <v>4.3</v>
      </c>
      <c r="H531" t="n">
        <v>0</v>
      </c>
      <c r="I531" t="n">
        <v>0</v>
      </c>
      <c r="J531" t="n">
        <v>0</v>
      </c>
      <c r="K531" t="n">
        <v>0</v>
      </c>
      <c r="L531" t="n">
        <v>0</v>
      </c>
      <c r="M531" t="n">
        <v>0</v>
      </c>
      <c r="N531" t="n">
        <v>0</v>
      </c>
      <c r="O531" t="n">
        <v>0</v>
      </c>
      <c r="P531" t="n">
        <v>0</v>
      </c>
      <c r="Q531" t="n">
        <v>0</v>
      </c>
      <c r="R531" s="2" t="inlineStr"/>
    </row>
    <row r="532" ht="15" customHeight="1">
      <c r="A532" t="inlineStr">
        <is>
          <t>A 15272-2025</t>
        </is>
      </c>
      <c r="B532" s="1" t="n">
        <v>45744</v>
      </c>
      <c r="C532" s="1" t="n">
        <v>45933</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23119-2022</t>
        </is>
      </c>
      <c r="B533" s="1" t="n">
        <v>44719.56697916667</v>
      </c>
      <c r="C533" s="1" t="n">
        <v>45933</v>
      </c>
      <c r="D533" t="inlineStr">
        <is>
          <t>VÄSTMANLANDS LÄN</t>
        </is>
      </c>
      <c r="E533" t="inlineStr">
        <is>
          <t>SALA</t>
        </is>
      </c>
      <c r="G533" t="n">
        <v>7</v>
      </c>
      <c r="H533" t="n">
        <v>0</v>
      </c>
      <c r="I533" t="n">
        <v>0</v>
      </c>
      <c r="J533" t="n">
        <v>0</v>
      </c>
      <c r="K533" t="n">
        <v>0</v>
      </c>
      <c r="L533" t="n">
        <v>0</v>
      </c>
      <c r="M533" t="n">
        <v>0</v>
      </c>
      <c r="N533" t="n">
        <v>0</v>
      </c>
      <c r="O533" t="n">
        <v>0</v>
      </c>
      <c r="P533" t="n">
        <v>0</v>
      </c>
      <c r="Q533" t="n">
        <v>0</v>
      </c>
      <c r="R533" s="2" t="inlineStr"/>
    </row>
    <row r="534" ht="15" customHeight="1">
      <c r="A534" t="inlineStr">
        <is>
          <t>A 43751-2021</t>
        </is>
      </c>
      <c r="B534" s="1" t="n">
        <v>44433</v>
      </c>
      <c r="C534" s="1" t="n">
        <v>45933</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59483-2022</t>
        </is>
      </c>
      <c r="B535" s="1" t="n">
        <v>44907.45679398148</v>
      </c>
      <c r="C535" s="1" t="n">
        <v>45933</v>
      </c>
      <c r="D535" t="inlineStr">
        <is>
          <t>VÄSTMANLANDS LÄN</t>
        </is>
      </c>
      <c r="E535" t="inlineStr">
        <is>
          <t>SALA</t>
        </is>
      </c>
      <c r="G535" t="n">
        <v>5.2</v>
      </c>
      <c r="H535" t="n">
        <v>0</v>
      </c>
      <c r="I535" t="n">
        <v>0</v>
      </c>
      <c r="J535" t="n">
        <v>0</v>
      </c>
      <c r="K535" t="n">
        <v>0</v>
      </c>
      <c r="L535" t="n">
        <v>0</v>
      </c>
      <c r="M535" t="n">
        <v>0</v>
      </c>
      <c r="N535" t="n">
        <v>0</v>
      </c>
      <c r="O535" t="n">
        <v>0</v>
      </c>
      <c r="P535" t="n">
        <v>0</v>
      </c>
      <c r="Q535" t="n">
        <v>0</v>
      </c>
      <c r="R535" s="2" t="inlineStr"/>
    </row>
    <row r="536" ht="15" customHeight="1">
      <c r="A536" t="inlineStr">
        <is>
          <t>A 24248-2023</t>
        </is>
      </c>
      <c r="B536" s="1" t="n">
        <v>45079</v>
      </c>
      <c r="C536" s="1" t="n">
        <v>45933</v>
      </c>
      <c r="D536" t="inlineStr">
        <is>
          <t>VÄSTMANLANDS LÄN</t>
        </is>
      </c>
      <c r="E536" t="inlineStr">
        <is>
          <t>SALA</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38195-2021</t>
        </is>
      </c>
      <c r="B537" s="1" t="n">
        <v>44405</v>
      </c>
      <c r="C537" s="1" t="n">
        <v>45933</v>
      </c>
      <c r="D537" t="inlineStr">
        <is>
          <t>VÄSTMANLANDS LÄN</t>
        </is>
      </c>
      <c r="E537" t="inlineStr">
        <is>
          <t>SALA</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27228-2023</t>
        </is>
      </c>
      <c r="B538" s="1" t="n">
        <v>45096.59189814814</v>
      </c>
      <c r="C538" s="1" t="n">
        <v>45933</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73673-2021</t>
        </is>
      </c>
      <c r="B539" s="1" t="n">
        <v>44552.46501157407</v>
      </c>
      <c r="C539" s="1" t="n">
        <v>45933</v>
      </c>
      <c r="D539" t="inlineStr">
        <is>
          <t>VÄSTMANLANDS LÄN</t>
        </is>
      </c>
      <c r="E539" t="inlineStr">
        <is>
          <t>SALA</t>
        </is>
      </c>
      <c r="G539" t="n">
        <v>11.4</v>
      </c>
      <c r="H539" t="n">
        <v>0</v>
      </c>
      <c r="I539" t="n">
        <v>0</v>
      </c>
      <c r="J539" t="n">
        <v>0</v>
      </c>
      <c r="K539" t="n">
        <v>0</v>
      </c>
      <c r="L539" t="n">
        <v>0</v>
      </c>
      <c r="M539" t="n">
        <v>0</v>
      </c>
      <c r="N539" t="n">
        <v>0</v>
      </c>
      <c r="O539" t="n">
        <v>0</v>
      </c>
      <c r="P539" t="n">
        <v>0</v>
      </c>
      <c r="Q539" t="n">
        <v>0</v>
      </c>
      <c r="R539" s="2" t="inlineStr"/>
    </row>
    <row r="540" ht="15" customHeight="1">
      <c r="A540" t="inlineStr">
        <is>
          <t>A 4853-2023</t>
        </is>
      </c>
      <c r="B540" s="1" t="n">
        <v>44957.73234953704</v>
      </c>
      <c r="C540" s="1" t="n">
        <v>45933</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53838-2022</t>
        </is>
      </c>
      <c r="B541" s="1" t="n">
        <v>44880.59363425926</v>
      </c>
      <c r="C541" s="1" t="n">
        <v>45933</v>
      </c>
      <c r="D541" t="inlineStr">
        <is>
          <t>VÄSTMANLANDS LÄN</t>
        </is>
      </c>
      <c r="E541" t="inlineStr">
        <is>
          <t>SALA</t>
        </is>
      </c>
      <c r="G541" t="n">
        <v>3.9</v>
      </c>
      <c r="H541" t="n">
        <v>0</v>
      </c>
      <c r="I541" t="n">
        <v>0</v>
      </c>
      <c r="J541" t="n">
        <v>0</v>
      </c>
      <c r="K541" t="n">
        <v>0</v>
      </c>
      <c r="L541" t="n">
        <v>0</v>
      </c>
      <c r="M541" t="n">
        <v>0</v>
      </c>
      <c r="N541" t="n">
        <v>0</v>
      </c>
      <c r="O541" t="n">
        <v>0</v>
      </c>
      <c r="P541" t="n">
        <v>0</v>
      </c>
      <c r="Q541" t="n">
        <v>0</v>
      </c>
      <c r="R541" s="2" t="inlineStr"/>
    </row>
    <row r="542" ht="15" customHeight="1">
      <c r="A542" t="inlineStr">
        <is>
          <t>A 54923-2020</t>
        </is>
      </c>
      <c r="B542" s="1" t="n">
        <v>44127</v>
      </c>
      <c r="C542" s="1" t="n">
        <v>45933</v>
      </c>
      <c r="D542" t="inlineStr">
        <is>
          <t>VÄSTMANLANDS LÄN</t>
        </is>
      </c>
      <c r="E542" t="inlineStr">
        <is>
          <t>SALA</t>
        </is>
      </c>
      <c r="G542" t="n">
        <v>4.9</v>
      </c>
      <c r="H542" t="n">
        <v>0</v>
      </c>
      <c r="I542" t="n">
        <v>0</v>
      </c>
      <c r="J542" t="n">
        <v>0</v>
      </c>
      <c r="K542" t="n">
        <v>0</v>
      </c>
      <c r="L542" t="n">
        <v>0</v>
      </c>
      <c r="M542" t="n">
        <v>0</v>
      </c>
      <c r="N542" t="n">
        <v>0</v>
      </c>
      <c r="O542" t="n">
        <v>0</v>
      </c>
      <c r="P542" t="n">
        <v>0</v>
      </c>
      <c r="Q542" t="n">
        <v>0</v>
      </c>
      <c r="R542" s="2" t="inlineStr"/>
    </row>
    <row r="543" ht="15" customHeight="1">
      <c r="A543" t="inlineStr">
        <is>
          <t>A 1993-2022</t>
        </is>
      </c>
      <c r="B543" s="1" t="n">
        <v>44575</v>
      </c>
      <c r="C543" s="1" t="n">
        <v>45933</v>
      </c>
      <c r="D543" t="inlineStr">
        <is>
          <t>VÄSTMANLANDS LÄN</t>
        </is>
      </c>
      <c r="E543" t="inlineStr">
        <is>
          <t>SALA</t>
        </is>
      </c>
      <c r="G543" t="n">
        <v>1.6</v>
      </c>
      <c r="H543" t="n">
        <v>0</v>
      </c>
      <c r="I543" t="n">
        <v>0</v>
      </c>
      <c r="J543" t="n">
        <v>0</v>
      </c>
      <c r="K543" t="n">
        <v>0</v>
      </c>
      <c r="L543" t="n">
        <v>0</v>
      </c>
      <c r="M543" t="n">
        <v>0</v>
      </c>
      <c r="N543" t="n">
        <v>0</v>
      </c>
      <c r="O543" t="n">
        <v>0</v>
      </c>
      <c r="P543" t="n">
        <v>0</v>
      </c>
      <c r="Q543" t="n">
        <v>0</v>
      </c>
      <c r="R543" s="2" t="inlineStr"/>
    </row>
    <row r="544" ht="15" customHeight="1">
      <c r="A544" t="inlineStr">
        <is>
          <t>A 25260-2023</t>
        </is>
      </c>
      <c r="B544" s="1" t="n">
        <v>45086</v>
      </c>
      <c r="C544" s="1" t="n">
        <v>45933</v>
      </c>
      <c r="D544" t="inlineStr">
        <is>
          <t>VÄSTMANLANDS LÄN</t>
        </is>
      </c>
      <c r="E544" t="inlineStr">
        <is>
          <t>SALA</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1793-2023</t>
        </is>
      </c>
      <c r="B545" s="1" t="n">
        <v>44937</v>
      </c>
      <c r="C545" s="1" t="n">
        <v>45933</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16769-2024</t>
        </is>
      </c>
      <c r="B546" s="1" t="n">
        <v>45411.38738425926</v>
      </c>
      <c r="C546" s="1" t="n">
        <v>45933</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60249-2023</t>
        </is>
      </c>
      <c r="B547" s="1" t="n">
        <v>45258</v>
      </c>
      <c r="C547" s="1" t="n">
        <v>45933</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14271-2025</t>
        </is>
      </c>
      <c r="B548" s="1" t="n">
        <v>45740.64129629629</v>
      </c>
      <c r="C548" s="1" t="n">
        <v>45933</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69232-2021</t>
        </is>
      </c>
      <c r="B549" s="1" t="n">
        <v>44531.39696759259</v>
      </c>
      <c r="C549" s="1" t="n">
        <v>45933</v>
      </c>
      <c r="D549" t="inlineStr">
        <is>
          <t>VÄSTMANLANDS LÄN</t>
        </is>
      </c>
      <c r="E549" t="inlineStr">
        <is>
          <t>SALA</t>
        </is>
      </c>
      <c r="G549" t="n">
        <v>2.3</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45933</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28328-2023</t>
        </is>
      </c>
      <c r="B551" s="1" t="n">
        <v>45099.71063657408</v>
      </c>
      <c r="C551" s="1" t="n">
        <v>45933</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11183-2023</t>
        </is>
      </c>
      <c r="B552" s="1" t="n">
        <v>44992.57782407408</v>
      </c>
      <c r="C552" s="1" t="n">
        <v>45933</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11190-2023</t>
        </is>
      </c>
      <c r="B553" s="1" t="n">
        <v>44992</v>
      </c>
      <c r="C553" s="1" t="n">
        <v>45933</v>
      </c>
      <c r="D553" t="inlineStr">
        <is>
          <t>VÄSTMANLANDS LÄN</t>
        </is>
      </c>
      <c r="E553" t="inlineStr">
        <is>
          <t>SALA</t>
        </is>
      </c>
      <c r="G553" t="n">
        <v>1</v>
      </c>
      <c r="H553" t="n">
        <v>0</v>
      </c>
      <c r="I553" t="n">
        <v>0</v>
      </c>
      <c r="J553" t="n">
        <v>0</v>
      </c>
      <c r="K553" t="n">
        <v>0</v>
      </c>
      <c r="L553" t="n">
        <v>0</v>
      </c>
      <c r="M553" t="n">
        <v>0</v>
      </c>
      <c r="N553" t="n">
        <v>0</v>
      </c>
      <c r="O553" t="n">
        <v>0</v>
      </c>
      <c r="P553" t="n">
        <v>0</v>
      </c>
      <c r="Q553" t="n">
        <v>0</v>
      </c>
      <c r="R553" s="2" t="inlineStr"/>
    </row>
    <row r="554" ht="15" customHeight="1">
      <c r="A554" t="inlineStr">
        <is>
          <t>A 40085-2024</t>
        </is>
      </c>
      <c r="B554" s="1" t="n">
        <v>45554</v>
      </c>
      <c r="C554" s="1" t="n">
        <v>45933</v>
      </c>
      <c r="D554" t="inlineStr">
        <is>
          <t>VÄSTMANLANDS LÄN</t>
        </is>
      </c>
      <c r="E554" t="inlineStr">
        <is>
          <t>SALA</t>
        </is>
      </c>
      <c r="G554" t="n">
        <v>2.8</v>
      </c>
      <c r="H554" t="n">
        <v>0</v>
      </c>
      <c r="I554" t="n">
        <v>0</v>
      </c>
      <c r="J554" t="n">
        <v>0</v>
      </c>
      <c r="K554" t="n">
        <v>0</v>
      </c>
      <c r="L554" t="n">
        <v>0</v>
      </c>
      <c r="M554" t="n">
        <v>0</v>
      </c>
      <c r="N554" t="n">
        <v>0</v>
      </c>
      <c r="O554" t="n">
        <v>0</v>
      </c>
      <c r="P554" t="n">
        <v>0</v>
      </c>
      <c r="Q554" t="n">
        <v>0</v>
      </c>
      <c r="R554" s="2" t="inlineStr"/>
    </row>
    <row r="555" ht="15" customHeight="1">
      <c r="A555" t="inlineStr">
        <is>
          <t>A 31950-2023</t>
        </is>
      </c>
      <c r="B555" s="1" t="n">
        <v>45107</v>
      </c>
      <c r="C555" s="1" t="n">
        <v>45933</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18158-2025</t>
        </is>
      </c>
      <c r="B556" s="1" t="n">
        <v>45761</v>
      </c>
      <c r="C556" s="1" t="n">
        <v>45933</v>
      </c>
      <c r="D556" t="inlineStr">
        <is>
          <t>VÄSTMANLANDS LÄN</t>
        </is>
      </c>
      <c r="E556" t="inlineStr">
        <is>
          <t>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49661-2024</t>
        </is>
      </c>
      <c r="B557" s="1" t="n">
        <v>45596</v>
      </c>
      <c r="C557" s="1" t="n">
        <v>45933</v>
      </c>
      <c r="D557" t="inlineStr">
        <is>
          <t>VÄSTMANLANDS LÄN</t>
        </is>
      </c>
      <c r="E557" t="inlineStr">
        <is>
          <t>SALA</t>
        </is>
      </c>
      <c r="G557" t="n">
        <v>6.7</v>
      </c>
      <c r="H557" t="n">
        <v>0</v>
      </c>
      <c r="I557" t="n">
        <v>0</v>
      </c>
      <c r="J557" t="n">
        <v>0</v>
      </c>
      <c r="K557" t="n">
        <v>0</v>
      </c>
      <c r="L557" t="n">
        <v>0</v>
      </c>
      <c r="M557" t="n">
        <v>0</v>
      </c>
      <c r="N557" t="n">
        <v>0</v>
      </c>
      <c r="O557" t="n">
        <v>0</v>
      </c>
      <c r="P557" t="n">
        <v>0</v>
      </c>
      <c r="Q557" t="n">
        <v>0</v>
      </c>
      <c r="R557" s="2" t="inlineStr"/>
    </row>
    <row r="558" ht="15" customHeight="1">
      <c r="A558" t="inlineStr">
        <is>
          <t>A 48710-2024</t>
        </is>
      </c>
      <c r="B558" s="1" t="n">
        <v>45593.53636574074</v>
      </c>
      <c r="C558" s="1" t="n">
        <v>45933</v>
      </c>
      <c r="D558" t="inlineStr">
        <is>
          <t>VÄSTMANLANDS LÄN</t>
        </is>
      </c>
      <c r="E558" t="inlineStr">
        <is>
          <t>SALA</t>
        </is>
      </c>
      <c r="G558" t="n">
        <v>6.5</v>
      </c>
      <c r="H558" t="n">
        <v>0</v>
      </c>
      <c r="I558" t="n">
        <v>0</v>
      </c>
      <c r="J558" t="n">
        <v>0</v>
      </c>
      <c r="K558" t="n">
        <v>0</v>
      </c>
      <c r="L558" t="n">
        <v>0</v>
      </c>
      <c r="M558" t="n">
        <v>0</v>
      </c>
      <c r="N558" t="n">
        <v>0</v>
      </c>
      <c r="O558" t="n">
        <v>0</v>
      </c>
      <c r="P558" t="n">
        <v>0</v>
      </c>
      <c r="Q558" t="n">
        <v>0</v>
      </c>
      <c r="R558" s="2" t="inlineStr"/>
    </row>
    <row r="559" ht="15" customHeight="1">
      <c r="A559" t="inlineStr">
        <is>
          <t>A 23406-2024</t>
        </is>
      </c>
      <c r="B559" s="1" t="n">
        <v>45453.58296296297</v>
      </c>
      <c r="C559" s="1" t="n">
        <v>45933</v>
      </c>
      <c r="D559" t="inlineStr">
        <is>
          <t>VÄSTMANLANDS LÄN</t>
        </is>
      </c>
      <c r="E559" t="inlineStr">
        <is>
          <t>SALA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12246-2023</t>
        </is>
      </c>
      <c r="B560" s="1" t="n">
        <v>44995</v>
      </c>
      <c r="C560" s="1" t="n">
        <v>45933</v>
      </c>
      <c r="D560" t="inlineStr">
        <is>
          <t>VÄSTMANLANDS LÄN</t>
        </is>
      </c>
      <c r="E560" t="inlineStr">
        <is>
          <t>SALA</t>
        </is>
      </c>
      <c r="G560" t="n">
        <v>2.4</v>
      </c>
      <c r="H560" t="n">
        <v>0</v>
      </c>
      <c r="I560" t="n">
        <v>0</v>
      </c>
      <c r="J560" t="n">
        <v>0</v>
      </c>
      <c r="K560" t="n">
        <v>0</v>
      </c>
      <c r="L560" t="n">
        <v>0</v>
      </c>
      <c r="M560" t="n">
        <v>0</v>
      </c>
      <c r="N560" t="n">
        <v>0</v>
      </c>
      <c r="O560" t="n">
        <v>0</v>
      </c>
      <c r="P560" t="n">
        <v>0</v>
      </c>
      <c r="Q560" t="n">
        <v>0</v>
      </c>
      <c r="R560" s="2" t="inlineStr"/>
    </row>
    <row r="561" ht="15" customHeight="1">
      <c r="A561" t="inlineStr">
        <is>
          <t>A 35519-2024</t>
        </is>
      </c>
      <c r="B561" s="1" t="n">
        <v>45531</v>
      </c>
      <c r="C561" s="1" t="n">
        <v>45933</v>
      </c>
      <c r="D561" t="inlineStr">
        <is>
          <t>VÄSTMANLANDS LÄN</t>
        </is>
      </c>
      <c r="E561" t="inlineStr">
        <is>
          <t>SALA</t>
        </is>
      </c>
      <c r="G561" t="n">
        <v>1.8</v>
      </c>
      <c r="H561" t="n">
        <v>0</v>
      </c>
      <c r="I561" t="n">
        <v>0</v>
      </c>
      <c r="J561" t="n">
        <v>0</v>
      </c>
      <c r="K561" t="n">
        <v>0</v>
      </c>
      <c r="L561" t="n">
        <v>0</v>
      </c>
      <c r="M561" t="n">
        <v>0</v>
      </c>
      <c r="N561" t="n">
        <v>0</v>
      </c>
      <c r="O561" t="n">
        <v>0</v>
      </c>
      <c r="P561" t="n">
        <v>0</v>
      </c>
      <c r="Q561" t="n">
        <v>0</v>
      </c>
      <c r="R561" s="2" t="inlineStr"/>
    </row>
    <row r="562" ht="15" customHeight="1">
      <c r="A562" t="inlineStr">
        <is>
          <t>A 57800-2020</t>
        </is>
      </c>
      <c r="B562" s="1" t="n">
        <v>44141</v>
      </c>
      <c r="C562" s="1" t="n">
        <v>45933</v>
      </c>
      <c r="D562" t="inlineStr">
        <is>
          <t>VÄSTMANLANDS LÄN</t>
        </is>
      </c>
      <c r="E562" t="inlineStr">
        <is>
          <t>SALA</t>
        </is>
      </c>
      <c r="F562" t="inlineStr">
        <is>
          <t>Sveaskog</t>
        </is>
      </c>
      <c r="G562" t="n">
        <v>2.1</v>
      </c>
      <c r="H562" t="n">
        <v>0</v>
      </c>
      <c r="I562" t="n">
        <v>0</v>
      </c>
      <c r="J562" t="n">
        <v>0</v>
      </c>
      <c r="K562" t="n">
        <v>0</v>
      </c>
      <c r="L562" t="n">
        <v>0</v>
      </c>
      <c r="M562" t="n">
        <v>0</v>
      </c>
      <c r="N562" t="n">
        <v>0</v>
      </c>
      <c r="O562" t="n">
        <v>0</v>
      </c>
      <c r="P562" t="n">
        <v>0</v>
      </c>
      <c r="Q562" t="n">
        <v>0</v>
      </c>
      <c r="R562" s="2" t="inlineStr"/>
    </row>
    <row r="563" ht="15" customHeight="1">
      <c r="A563" t="inlineStr">
        <is>
          <t>A 54347-2024</t>
        </is>
      </c>
      <c r="B563" s="1" t="n">
        <v>45617.39325231482</v>
      </c>
      <c r="C563" s="1" t="n">
        <v>45933</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48571-2024</t>
        </is>
      </c>
      <c r="B564" s="1" t="n">
        <v>45591</v>
      </c>
      <c r="C564" s="1" t="n">
        <v>45933</v>
      </c>
      <c r="D564" t="inlineStr">
        <is>
          <t>VÄSTMANLANDS LÄN</t>
        </is>
      </c>
      <c r="E564" t="inlineStr">
        <is>
          <t>SALA</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13022-2023</t>
        </is>
      </c>
      <c r="B565" s="1" t="n">
        <v>45002.33291666667</v>
      </c>
      <c r="C565" s="1" t="n">
        <v>45933</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35003-2024</t>
        </is>
      </c>
      <c r="B566" s="1" t="n">
        <v>45527.56790509259</v>
      </c>
      <c r="C566" s="1" t="n">
        <v>45933</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43362-2023</t>
        </is>
      </c>
      <c r="B567" s="1" t="n">
        <v>45183</v>
      </c>
      <c r="C567" s="1" t="n">
        <v>45933</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66307-2021</t>
        </is>
      </c>
      <c r="B568" s="1" t="n">
        <v>44518.48670138889</v>
      </c>
      <c r="C568" s="1" t="n">
        <v>45933</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6030-2024</t>
        </is>
      </c>
      <c r="B569" s="1" t="n">
        <v>45336.62782407407</v>
      </c>
      <c r="C569" s="1" t="n">
        <v>45933</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26761-2023</t>
        </is>
      </c>
      <c r="B570" s="1" t="n">
        <v>45093</v>
      </c>
      <c r="C570" s="1" t="n">
        <v>45933</v>
      </c>
      <c r="D570" t="inlineStr">
        <is>
          <t>VÄSTMANLANDS LÄN</t>
        </is>
      </c>
      <c r="E570" t="inlineStr">
        <is>
          <t>SALA</t>
        </is>
      </c>
      <c r="G570" t="n">
        <v>4.3</v>
      </c>
      <c r="H570" t="n">
        <v>0</v>
      </c>
      <c r="I570" t="n">
        <v>0</v>
      </c>
      <c r="J570" t="n">
        <v>0</v>
      </c>
      <c r="K570" t="n">
        <v>0</v>
      </c>
      <c r="L570" t="n">
        <v>0</v>
      </c>
      <c r="M570" t="n">
        <v>0</v>
      </c>
      <c r="N570" t="n">
        <v>0</v>
      </c>
      <c r="O570" t="n">
        <v>0</v>
      </c>
      <c r="P570" t="n">
        <v>0</v>
      </c>
      <c r="Q570" t="n">
        <v>0</v>
      </c>
      <c r="R570" s="2" t="inlineStr"/>
    </row>
    <row r="571" ht="15" customHeight="1">
      <c r="A571" t="inlineStr">
        <is>
          <t>A 61892-2021</t>
        </is>
      </c>
      <c r="B571" s="1" t="n">
        <v>44502</v>
      </c>
      <c r="C571" s="1" t="n">
        <v>45933</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16767-2024</t>
        </is>
      </c>
      <c r="B572" s="1" t="n">
        <v>45411.38171296296</v>
      </c>
      <c r="C572" s="1" t="n">
        <v>45933</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31470-2021</t>
        </is>
      </c>
      <c r="B573" s="1" t="n">
        <v>44369</v>
      </c>
      <c r="C573" s="1" t="n">
        <v>45933</v>
      </c>
      <c r="D573" t="inlineStr">
        <is>
          <t>VÄSTMANLANDS LÄN</t>
        </is>
      </c>
      <c r="E573" t="inlineStr">
        <is>
          <t>SALA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18461-2024</t>
        </is>
      </c>
      <c r="B574" s="1" t="n">
        <v>45425.47435185185</v>
      </c>
      <c r="C574" s="1" t="n">
        <v>45933</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7772-2023</t>
        </is>
      </c>
      <c r="B575" s="1" t="n">
        <v>44973.40076388889</v>
      </c>
      <c r="C575" s="1" t="n">
        <v>45933</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29230-2022</t>
        </is>
      </c>
      <c r="B576" s="1" t="n">
        <v>44750</v>
      </c>
      <c r="C576" s="1" t="n">
        <v>45933</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9335-2022</t>
        </is>
      </c>
      <c r="B577" s="1" t="n">
        <v>44616.56579861111</v>
      </c>
      <c r="C577" s="1" t="n">
        <v>45933</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47479-2024</t>
        </is>
      </c>
      <c r="B578" s="1" t="n">
        <v>45587</v>
      </c>
      <c r="C578" s="1" t="n">
        <v>45933</v>
      </c>
      <c r="D578" t="inlineStr">
        <is>
          <t>VÄSTMANLANDS LÄN</t>
        </is>
      </c>
      <c r="E578" t="inlineStr">
        <is>
          <t>SALA</t>
        </is>
      </c>
      <c r="F578" t="inlineStr">
        <is>
          <t>Kommuner</t>
        </is>
      </c>
      <c r="G578" t="n">
        <v>0.8</v>
      </c>
      <c r="H578" t="n">
        <v>0</v>
      </c>
      <c r="I578" t="n">
        <v>0</v>
      </c>
      <c r="J578" t="n">
        <v>0</v>
      </c>
      <c r="K578" t="n">
        <v>0</v>
      </c>
      <c r="L578" t="n">
        <v>0</v>
      </c>
      <c r="M578" t="n">
        <v>0</v>
      </c>
      <c r="N578" t="n">
        <v>0</v>
      </c>
      <c r="O578" t="n">
        <v>0</v>
      </c>
      <c r="P578" t="n">
        <v>0</v>
      </c>
      <c r="Q578" t="n">
        <v>0</v>
      </c>
      <c r="R578" s="2" t="inlineStr"/>
    </row>
    <row r="579" ht="15" customHeight="1">
      <c r="A579" t="inlineStr">
        <is>
          <t>A 19065-2022</t>
        </is>
      </c>
      <c r="B579" s="1" t="n">
        <v>44691.44309027777</v>
      </c>
      <c r="C579" s="1" t="n">
        <v>45933</v>
      </c>
      <c r="D579" t="inlineStr">
        <is>
          <t>VÄSTMANLANDS LÄN</t>
        </is>
      </c>
      <c r="E579" t="inlineStr">
        <is>
          <t>SALA</t>
        </is>
      </c>
      <c r="G579" t="n">
        <v>3.4</v>
      </c>
      <c r="H579" t="n">
        <v>0</v>
      </c>
      <c r="I579" t="n">
        <v>0</v>
      </c>
      <c r="J579" t="n">
        <v>0</v>
      </c>
      <c r="K579" t="n">
        <v>0</v>
      </c>
      <c r="L579" t="n">
        <v>0</v>
      </c>
      <c r="M579" t="n">
        <v>0</v>
      </c>
      <c r="N579" t="n">
        <v>0</v>
      </c>
      <c r="O579" t="n">
        <v>0</v>
      </c>
      <c r="P579" t="n">
        <v>0</v>
      </c>
      <c r="Q579" t="n">
        <v>0</v>
      </c>
      <c r="R579" s="2" t="inlineStr"/>
    </row>
    <row r="580" ht="15" customHeight="1">
      <c r="A580" t="inlineStr">
        <is>
          <t>A 22961-2023</t>
        </is>
      </c>
      <c r="B580" s="1" t="n">
        <v>45072</v>
      </c>
      <c r="C580" s="1" t="n">
        <v>45933</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22963-2023</t>
        </is>
      </c>
      <c r="B581" s="1" t="n">
        <v>45072</v>
      </c>
      <c r="C581" s="1" t="n">
        <v>45933</v>
      </c>
      <c r="D581" t="inlineStr">
        <is>
          <t>VÄSTMANLANDS LÄN</t>
        </is>
      </c>
      <c r="E581" t="inlineStr">
        <is>
          <t>SALA</t>
        </is>
      </c>
      <c r="G581" t="n">
        <v>1.2</v>
      </c>
      <c r="H581" t="n">
        <v>0</v>
      </c>
      <c r="I581" t="n">
        <v>0</v>
      </c>
      <c r="J581" t="n">
        <v>0</v>
      </c>
      <c r="K581" t="n">
        <v>0</v>
      </c>
      <c r="L581" t="n">
        <v>0</v>
      </c>
      <c r="M581" t="n">
        <v>0</v>
      </c>
      <c r="N581" t="n">
        <v>0</v>
      </c>
      <c r="O581" t="n">
        <v>0</v>
      </c>
      <c r="P581" t="n">
        <v>0</v>
      </c>
      <c r="Q581" t="n">
        <v>0</v>
      </c>
      <c r="R581" s="2" t="inlineStr"/>
    </row>
    <row r="582" ht="15" customHeight="1">
      <c r="A582" t="inlineStr">
        <is>
          <t>A 42416-2022</t>
        </is>
      </c>
      <c r="B582" s="1" t="n">
        <v>44831</v>
      </c>
      <c r="C582" s="1" t="n">
        <v>45933</v>
      </c>
      <c r="D582" t="inlineStr">
        <is>
          <t>VÄSTMANLANDS LÄN</t>
        </is>
      </c>
      <c r="E582" t="inlineStr">
        <is>
          <t>SALA</t>
        </is>
      </c>
      <c r="G582" t="n">
        <v>2.2</v>
      </c>
      <c r="H582" t="n">
        <v>0</v>
      </c>
      <c r="I582" t="n">
        <v>0</v>
      </c>
      <c r="J582" t="n">
        <v>0</v>
      </c>
      <c r="K582" t="n">
        <v>0</v>
      </c>
      <c r="L582" t="n">
        <v>0</v>
      </c>
      <c r="M582" t="n">
        <v>0</v>
      </c>
      <c r="N582" t="n">
        <v>0</v>
      </c>
      <c r="O582" t="n">
        <v>0</v>
      </c>
      <c r="P582" t="n">
        <v>0</v>
      </c>
      <c r="Q582" t="n">
        <v>0</v>
      </c>
      <c r="R582" s="2" t="inlineStr"/>
    </row>
    <row r="583" ht="15" customHeight="1">
      <c r="A583" t="inlineStr">
        <is>
          <t>A 19381-2025</t>
        </is>
      </c>
      <c r="B583" s="1" t="n">
        <v>45769</v>
      </c>
      <c r="C583" s="1" t="n">
        <v>45933</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48688-2024</t>
        </is>
      </c>
      <c r="B584" s="1" t="n">
        <v>45593.50541666667</v>
      </c>
      <c r="C584" s="1" t="n">
        <v>45933</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10585-2022</t>
        </is>
      </c>
      <c r="B585" s="1" t="n">
        <v>44624</v>
      </c>
      <c r="C585" s="1" t="n">
        <v>45933</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69236-2021</t>
        </is>
      </c>
      <c r="B586" s="1" t="n">
        <v>44531.4047337963</v>
      </c>
      <c r="C586" s="1" t="n">
        <v>45933</v>
      </c>
      <c r="D586" t="inlineStr">
        <is>
          <t>VÄSTMANLANDS LÄN</t>
        </is>
      </c>
      <c r="E586" t="inlineStr">
        <is>
          <t>SALA</t>
        </is>
      </c>
      <c r="G586" t="n">
        <v>2.8</v>
      </c>
      <c r="H586" t="n">
        <v>0</v>
      </c>
      <c r="I586" t="n">
        <v>0</v>
      </c>
      <c r="J586" t="n">
        <v>0</v>
      </c>
      <c r="K586" t="n">
        <v>0</v>
      </c>
      <c r="L586" t="n">
        <v>0</v>
      </c>
      <c r="M586" t="n">
        <v>0</v>
      </c>
      <c r="N586" t="n">
        <v>0</v>
      </c>
      <c r="O586" t="n">
        <v>0</v>
      </c>
      <c r="P586" t="n">
        <v>0</v>
      </c>
      <c r="Q586" t="n">
        <v>0</v>
      </c>
      <c r="R586" s="2" t="inlineStr"/>
    </row>
    <row r="587" ht="15" customHeight="1">
      <c r="A587" t="inlineStr">
        <is>
          <t>A 48117-2024</t>
        </is>
      </c>
      <c r="B587" s="1" t="n">
        <v>45589</v>
      </c>
      <c r="C587" s="1" t="n">
        <v>45933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12225-2023</t>
        </is>
      </c>
      <c r="B588" s="1" t="n">
        <v>44995</v>
      </c>
      <c r="C588" s="1" t="n">
        <v>45933</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12252-2023</t>
        </is>
      </c>
      <c r="B589" s="1" t="n">
        <v>44995</v>
      </c>
      <c r="C589" s="1" t="n">
        <v>45933</v>
      </c>
      <c r="D589" t="inlineStr">
        <is>
          <t>VÄSTMANLANDS LÄN</t>
        </is>
      </c>
      <c r="E589" t="inlineStr">
        <is>
          <t>SALA</t>
        </is>
      </c>
      <c r="G589" t="n">
        <v>2.6</v>
      </c>
      <c r="H589" t="n">
        <v>0</v>
      </c>
      <c r="I589" t="n">
        <v>0</v>
      </c>
      <c r="J589" t="n">
        <v>0</v>
      </c>
      <c r="K589" t="n">
        <v>0</v>
      </c>
      <c r="L589" t="n">
        <v>0</v>
      </c>
      <c r="M589" t="n">
        <v>0</v>
      </c>
      <c r="N589" t="n">
        <v>0</v>
      </c>
      <c r="O589" t="n">
        <v>0</v>
      </c>
      <c r="P589" t="n">
        <v>0</v>
      </c>
      <c r="Q589" t="n">
        <v>0</v>
      </c>
      <c r="R589" s="2" t="inlineStr"/>
    </row>
    <row r="590" ht="15" customHeight="1">
      <c r="A590" t="inlineStr">
        <is>
          <t>A 45187-2024</t>
        </is>
      </c>
      <c r="B590" s="1" t="n">
        <v>45575</v>
      </c>
      <c r="C590" s="1" t="n">
        <v>45933</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6116-2023</t>
        </is>
      </c>
      <c r="B591" s="1" t="n">
        <v>44964</v>
      </c>
      <c r="C591" s="1" t="n">
        <v>45933</v>
      </c>
      <c r="D591" t="inlineStr">
        <is>
          <t>VÄSTMANLANDS LÄN</t>
        </is>
      </c>
      <c r="E591" t="inlineStr">
        <is>
          <t>SALA</t>
        </is>
      </c>
      <c r="G591" t="n">
        <v>1.9</v>
      </c>
      <c r="H591" t="n">
        <v>0</v>
      </c>
      <c r="I591" t="n">
        <v>0</v>
      </c>
      <c r="J591" t="n">
        <v>0</v>
      </c>
      <c r="K591" t="n">
        <v>0</v>
      </c>
      <c r="L591" t="n">
        <v>0</v>
      </c>
      <c r="M591" t="n">
        <v>0</v>
      </c>
      <c r="N591" t="n">
        <v>0</v>
      </c>
      <c r="O591" t="n">
        <v>0</v>
      </c>
      <c r="P591" t="n">
        <v>0</v>
      </c>
      <c r="Q591" t="n">
        <v>0</v>
      </c>
      <c r="R591" s="2" t="inlineStr"/>
    </row>
    <row r="592" ht="15" customHeight="1">
      <c r="A592" t="inlineStr">
        <is>
          <t>A 18100-2023</t>
        </is>
      </c>
      <c r="B592" s="1" t="n">
        <v>45040</v>
      </c>
      <c r="C592" s="1" t="n">
        <v>45933</v>
      </c>
      <c r="D592" t="inlineStr">
        <is>
          <t>VÄSTMANLANDS LÄN</t>
        </is>
      </c>
      <c r="E592" t="inlineStr">
        <is>
          <t>SALA</t>
        </is>
      </c>
      <c r="G592" t="n">
        <v>1.8</v>
      </c>
      <c r="H592" t="n">
        <v>0</v>
      </c>
      <c r="I592" t="n">
        <v>0</v>
      </c>
      <c r="J592" t="n">
        <v>0</v>
      </c>
      <c r="K592" t="n">
        <v>0</v>
      </c>
      <c r="L592" t="n">
        <v>0</v>
      </c>
      <c r="M592" t="n">
        <v>0</v>
      </c>
      <c r="N592" t="n">
        <v>0</v>
      </c>
      <c r="O592" t="n">
        <v>0</v>
      </c>
      <c r="P592" t="n">
        <v>0</v>
      </c>
      <c r="Q592" t="n">
        <v>0</v>
      </c>
      <c r="R592" s="2" t="inlineStr"/>
    </row>
    <row r="593" ht="15" customHeight="1">
      <c r="A593" t="inlineStr">
        <is>
          <t>A 15968-2024</t>
        </is>
      </c>
      <c r="B593" s="1" t="n">
        <v>45405.56021990741</v>
      </c>
      <c r="C593" s="1" t="n">
        <v>45933</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3733-2023</t>
        </is>
      </c>
      <c r="B594" s="1" t="n">
        <v>44951.42501157407</v>
      </c>
      <c r="C594" s="1" t="n">
        <v>45933</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13471-2025</t>
        </is>
      </c>
      <c r="B595" s="1" t="n">
        <v>45736.40579861111</v>
      </c>
      <c r="C595" s="1" t="n">
        <v>45933</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26854-2024</t>
        </is>
      </c>
      <c r="B596" s="1" t="n">
        <v>45470</v>
      </c>
      <c r="C596" s="1" t="n">
        <v>45933</v>
      </c>
      <c r="D596" t="inlineStr">
        <is>
          <t>VÄSTMANLANDS LÄN</t>
        </is>
      </c>
      <c r="E596" t="inlineStr">
        <is>
          <t>SALA</t>
        </is>
      </c>
      <c r="G596" t="n">
        <v>1.4</v>
      </c>
      <c r="H596" t="n">
        <v>0</v>
      </c>
      <c r="I596" t="n">
        <v>0</v>
      </c>
      <c r="J596" t="n">
        <v>0</v>
      </c>
      <c r="K596" t="n">
        <v>0</v>
      </c>
      <c r="L596" t="n">
        <v>0</v>
      </c>
      <c r="M596" t="n">
        <v>0</v>
      </c>
      <c r="N596" t="n">
        <v>0</v>
      </c>
      <c r="O596" t="n">
        <v>0</v>
      </c>
      <c r="P596" t="n">
        <v>0</v>
      </c>
      <c r="Q596" t="n">
        <v>0</v>
      </c>
      <c r="R596" s="2" t="inlineStr"/>
    </row>
    <row r="597" ht="15" customHeight="1">
      <c r="A597" t="inlineStr">
        <is>
          <t>A 37602-2024</t>
        </is>
      </c>
      <c r="B597" s="1" t="n">
        <v>45541</v>
      </c>
      <c r="C597" s="1" t="n">
        <v>45933</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1985-2022</t>
        </is>
      </c>
      <c r="B598" s="1" t="n">
        <v>44575</v>
      </c>
      <c r="C598" s="1" t="n">
        <v>45933</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6308-2021</t>
        </is>
      </c>
      <c r="B599" s="1" t="n">
        <v>44235</v>
      </c>
      <c r="C599" s="1" t="n">
        <v>45933</v>
      </c>
      <c r="D599" t="inlineStr">
        <is>
          <t>VÄSTMANLANDS LÄN</t>
        </is>
      </c>
      <c r="E599" t="inlineStr">
        <is>
          <t>SALA</t>
        </is>
      </c>
      <c r="G599" t="n">
        <v>1.4</v>
      </c>
      <c r="H599" t="n">
        <v>0</v>
      </c>
      <c r="I599" t="n">
        <v>0</v>
      </c>
      <c r="J599" t="n">
        <v>0</v>
      </c>
      <c r="K599" t="n">
        <v>0</v>
      </c>
      <c r="L599" t="n">
        <v>0</v>
      </c>
      <c r="M599" t="n">
        <v>0</v>
      </c>
      <c r="N599" t="n">
        <v>0</v>
      </c>
      <c r="O599" t="n">
        <v>0</v>
      </c>
      <c r="P599" t="n">
        <v>0</v>
      </c>
      <c r="Q599" t="n">
        <v>0</v>
      </c>
      <c r="R599" s="2" t="inlineStr"/>
    </row>
    <row r="600" ht="15" customHeight="1">
      <c r="A600" t="inlineStr">
        <is>
          <t>A 21455-2023</t>
        </is>
      </c>
      <c r="B600" s="1" t="n">
        <v>45058</v>
      </c>
      <c r="C600" s="1" t="n">
        <v>45933</v>
      </c>
      <c r="D600" t="inlineStr">
        <is>
          <t>VÄSTMANLANDS LÄN</t>
        </is>
      </c>
      <c r="E600" t="inlineStr">
        <is>
          <t>SALA</t>
        </is>
      </c>
      <c r="G600" t="n">
        <v>6.4</v>
      </c>
      <c r="H600" t="n">
        <v>0</v>
      </c>
      <c r="I600" t="n">
        <v>0</v>
      </c>
      <c r="J600" t="n">
        <v>0</v>
      </c>
      <c r="K600" t="n">
        <v>0</v>
      </c>
      <c r="L600" t="n">
        <v>0</v>
      </c>
      <c r="M600" t="n">
        <v>0</v>
      </c>
      <c r="N600" t="n">
        <v>0</v>
      </c>
      <c r="O600" t="n">
        <v>0</v>
      </c>
      <c r="P600" t="n">
        <v>0</v>
      </c>
      <c r="Q600" t="n">
        <v>0</v>
      </c>
      <c r="R600" s="2" t="inlineStr"/>
    </row>
    <row r="601" ht="15" customHeight="1">
      <c r="A601" t="inlineStr">
        <is>
          <t>A 4797-2023</t>
        </is>
      </c>
      <c r="B601" s="1" t="n">
        <v>44957</v>
      </c>
      <c r="C601" s="1" t="n">
        <v>45933</v>
      </c>
      <c r="D601" t="inlineStr">
        <is>
          <t>VÄSTMANLANDS LÄN</t>
        </is>
      </c>
      <c r="E601" t="inlineStr">
        <is>
          <t>SALA</t>
        </is>
      </c>
      <c r="G601" t="n">
        <v>5.7</v>
      </c>
      <c r="H601" t="n">
        <v>0</v>
      </c>
      <c r="I601" t="n">
        <v>0</v>
      </c>
      <c r="J601" t="n">
        <v>0</v>
      </c>
      <c r="K601" t="n">
        <v>0</v>
      </c>
      <c r="L601" t="n">
        <v>0</v>
      </c>
      <c r="M601" t="n">
        <v>0</v>
      </c>
      <c r="N601" t="n">
        <v>0</v>
      </c>
      <c r="O601" t="n">
        <v>0</v>
      </c>
      <c r="P601" t="n">
        <v>0</v>
      </c>
      <c r="Q601" t="n">
        <v>0</v>
      </c>
      <c r="R601" s="2" t="inlineStr"/>
    </row>
    <row r="602" ht="15" customHeight="1">
      <c r="A602" t="inlineStr">
        <is>
          <t>A 4852-2023</t>
        </is>
      </c>
      <c r="B602" s="1" t="n">
        <v>44957.72496527778</v>
      </c>
      <c r="C602" s="1" t="n">
        <v>45933</v>
      </c>
      <c r="D602" t="inlineStr">
        <is>
          <t>VÄSTMANLANDS LÄN</t>
        </is>
      </c>
      <c r="E602" t="inlineStr">
        <is>
          <t>SALA</t>
        </is>
      </c>
      <c r="G602" t="n">
        <v>2</v>
      </c>
      <c r="H602" t="n">
        <v>0</v>
      </c>
      <c r="I602" t="n">
        <v>0</v>
      </c>
      <c r="J602" t="n">
        <v>0</v>
      </c>
      <c r="K602" t="n">
        <v>0</v>
      </c>
      <c r="L602" t="n">
        <v>0</v>
      </c>
      <c r="M602" t="n">
        <v>0</v>
      </c>
      <c r="N602" t="n">
        <v>0</v>
      </c>
      <c r="O602" t="n">
        <v>0</v>
      </c>
      <c r="P602" t="n">
        <v>0</v>
      </c>
      <c r="Q602" t="n">
        <v>0</v>
      </c>
      <c r="R602" s="2" t="inlineStr"/>
    </row>
    <row r="603" ht="15" customHeight="1">
      <c r="A603" t="inlineStr">
        <is>
          <t>A 36858-2023</t>
        </is>
      </c>
      <c r="B603" s="1" t="n">
        <v>45154.55184027777</v>
      </c>
      <c r="C603" s="1" t="n">
        <v>45933</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58701-2021</t>
        </is>
      </c>
      <c r="B604" s="1" t="n">
        <v>44489.46454861111</v>
      </c>
      <c r="C604" s="1" t="n">
        <v>45933</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37337-2024</t>
        </is>
      </c>
      <c r="B605" s="1" t="n">
        <v>45540</v>
      </c>
      <c r="C605" s="1" t="n">
        <v>45933</v>
      </c>
      <c r="D605" t="inlineStr">
        <is>
          <t>VÄSTMANLANDS LÄN</t>
        </is>
      </c>
      <c r="E605" t="inlineStr">
        <is>
          <t>SALA</t>
        </is>
      </c>
      <c r="G605" t="n">
        <v>6.5</v>
      </c>
      <c r="H605" t="n">
        <v>0</v>
      </c>
      <c r="I605" t="n">
        <v>0</v>
      </c>
      <c r="J605" t="n">
        <v>0</v>
      </c>
      <c r="K605" t="n">
        <v>0</v>
      </c>
      <c r="L605" t="n">
        <v>0</v>
      </c>
      <c r="M605" t="n">
        <v>0</v>
      </c>
      <c r="N605" t="n">
        <v>0</v>
      </c>
      <c r="O605" t="n">
        <v>0</v>
      </c>
      <c r="P605" t="n">
        <v>0</v>
      </c>
      <c r="Q605" t="n">
        <v>0</v>
      </c>
      <c r="R605" s="2" t="inlineStr"/>
    </row>
    <row r="606" ht="15" customHeight="1">
      <c r="A606" t="inlineStr">
        <is>
          <t>A 10250-2025</t>
        </is>
      </c>
      <c r="B606" s="1" t="n">
        <v>45720.36165509259</v>
      </c>
      <c r="C606" s="1" t="n">
        <v>45933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23180-2022</t>
        </is>
      </c>
      <c r="B607" s="1" t="n">
        <v>44719.79344907407</v>
      </c>
      <c r="C607" s="1" t="n">
        <v>45933</v>
      </c>
      <c r="D607" t="inlineStr">
        <is>
          <t>VÄSTMANLANDS LÄN</t>
        </is>
      </c>
      <c r="E607" t="inlineStr">
        <is>
          <t>SALA</t>
        </is>
      </c>
      <c r="G607" t="n">
        <v>1.2</v>
      </c>
      <c r="H607" t="n">
        <v>0</v>
      </c>
      <c r="I607" t="n">
        <v>0</v>
      </c>
      <c r="J607" t="n">
        <v>0</v>
      </c>
      <c r="K607" t="n">
        <v>0</v>
      </c>
      <c r="L607" t="n">
        <v>0</v>
      </c>
      <c r="M607" t="n">
        <v>0</v>
      </c>
      <c r="N607" t="n">
        <v>0</v>
      </c>
      <c r="O607" t="n">
        <v>0</v>
      </c>
      <c r="P607" t="n">
        <v>0</v>
      </c>
      <c r="Q607" t="n">
        <v>0</v>
      </c>
      <c r="R607" s="2" t="inlineStr"/>
    </row>
    <row r="608" ht="15" customHeight="1">
      <c r="A608" t="inlineStr">
        <is>
          <t>A 21053-2022</t>
        </is>
      </c>
      <c r="B608" s="1" t="n">
        <v>44704</v>
      </c>
      <c r="C608" s="1" t="n">
        <v>45933</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18340-2025</t>
        </is>
      </c>
      <c r="B609" s="1" t="n">
        <v>45762</v>
      </c>
      <c r="C609" s="1" t="n">
        <v>45933</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16638-2023</t>
        </is>
      </c>
      <c r="B610" s="1" t="n">
        <v>45027</v>
      </c>
      <c r="C610" s="1" t="n">
        <v>45933</v>
      </c>
      <c r="D610" t="inlineStr">
        <is>
          <t>VÄSTMANLANDS LÄN</t>
        </is>
      </c>
      <c r="E610" t="inlineStr">
        <is>
          <t>SALA</t>
        </is>
      </c>
      <c r="G610" t="n">
        <v>14.8</v>
      </c>
      <c r="H610" t="n">
        <v>0</v>
      </c>
      <c r="I610" t="n">
        <v>0</v>
      </c>
      <c r="J610" t="n">
        <v>0</v>
      </c>
      <c r="K610" t="n">
        <v>0</v>
      </c>
      <c r="L610" t="n">
        <v>0</v>
      </c>
      <c r="M610" t="n">
        <v>0</v>
      </c>
      <c r="N610" t="n">
        <v>0</v>
      </c>
      <c r="O610" t="n">
        <v>0</v>
      </c>
      <c r="P610" t="n">
        <v>0</v>
      </c>
      <c r="Q610" t="n">
        <v>0</v>
      </c>
      <c r="R610" s="2" t="inlineStr"/>
    </row>
    <row r="611" ht="15" customHeight="1">
      <c r="A611" t="inlineStr">
        <is>
          <t>A 17117-2023</t>
        </is>
      </c>
      <c r="B611" s="1" t="n">
        <v>45034</v>
      </c>
      <c r="C611" s="1" t="n">
        <v>45933</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59909-2024</t>
        </is>
      </c>
      <c r="B612" s="1" t="n">
        <v>45641</v>
      </c>
      <c r="C612" s="1" t="n">
        <v>45933</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30028-2024</t>
        </is>
      </c>
      <c r="B613" s="1" t="n">
        <v>45485</v>
      </c>
      <c r="C613" s="1" t="n">
        <v>45933</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33309-2022</t>
        </is>
      </c>
      <c r="B614" s="1" t="n">
        <v>44788.40986111111</v>
      </c>
      <c r="C614" s="1" t="n">
        <v>45933</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7377-2023</t>
        </is>
      </c>
      <c r="B615" s="1" t="n">
        <v>44971</v>
      </c>
      <c r="C615" s="1" t="n">
        <v>45933</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27229-2022</t>
        </is>
      </c>
      <c r="B616" s="1" t="n">
        <v>44741</v>
      </c>
      <c r="C616" s="1" t="n">
        <v>45933</v>
      </c>
      <c r="D616" t="inlineStr">
        <is>
          <t>VÄSTMANLANDS LÄN</t>
        </is>
      </c>
      <c r="E616" t="inlineStr">
        <is>
          <t>SALA</t>
        </is>
      </c>
      <c r="F616" t="inlineStr">
        <is>
          <t>Kommuner</t>
        </is>
      </c>
      <c r="G616" t="n">
        <v>1.4</v>
      </c>
      <c r="H616" t="n">
        <v>0</v>
      </c>
      <c r="I616" t="n">
        <v>0</v>
      </c>
      <c r="J616" t="n">
        <v>0</v>
      </c>
      <c r="K616" t="n">
        <v>0</v>
      </c>
      <c r="L616" t="n">
        <v>0</v>
      </c>
      <c r="M616" t="n">
        <v>0</v>
      </c>
      <c r="N616" t="n">
        <v>0</v>
      </c>
      <c r="O616" t="n">
        <v>0</v>
      </c>
      <c r="P616" t="n">
        <v>0</v>
      </c>
      <c r="Q616" t="n">
        <v>0</v>
      </c>
      <c r="R616" s="2" t="inlineStr"/>
    </row>
    <row r="617" ht="15" customHeight="1">
      <c r="A617" t="inlineStr">
        <is>
          <t>A 24755-2021</t>
        </is>
      </c>
      <c r="B617" s="1" t="n">
        <v>44340</v>
      </c>
      <c r="C617" s="1" t="n">
        <v>45933</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34867-2023</t>
        </is>
      </c>
      <c r="B618" s="1" t="n">
        <v>45142.33481481481</v>
      </c>
      <c r="C618" s="1" t="n">
        <v>45933</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25748-2022</t>
        </is>
      </c>
      <c r="B619" s="1" t="n">
        <v>44732</v>
      </c>
      <c r="C619" s="1" t="n">
        <v>45933</v>
      </c>
      <c r="D619" t="inlineStr">
        <is>
          <t>VÄSTMANLANDS LÄN</t>
        </is>
      </c>
      <c r="E619" t="inlineStr">
        <is>
          <t>SALA</t>
        </is>
      </c>
      <c r="G619" t="n">
        <v>7.7</v>
      </c>
      <c r="H619" t="n">
        <v>0</v>
      </c>
      <c r="I619" t="n">
        <v>0</v>
      </c>
      <c r="J619" t="n">
        <v>0</v>
      </c>
      <c r="K619" t="n">
        <v>0</v>
      </c>
      <c r="L619" t="n">
        <v>0</v>
      </c>
      <c r="M619" t="n">
        <v>0</v>
      </c>
      <c r="N619" t="n">
        <v>0</v>
      </c>
      <c r="O619" t="n">
        <v>0</v>
      </c>
      <c r="P619" t="n">
        <v>0</v>
      </c>
      <c r="Q619" t="n">
        <v>0</v>
      </c>
      <c r="R619" s="2" t="inlineStr"/>
    </row>
    <row r="620" ht="15" customHeight="1">
      <c r="A620" t="inlineStr">
        <is>
          <t>A 49512-2024</t>
        </is>
      </c>
      <c r="B620" s="1" t="n">
        <v>45591</v>
      </c>
      <c r="C620" s="1" t="n">
        <v>45933</v>
      </c>
      <c r="D620" t="inlineStr">
        <is>
          <t>VÄSTMANLANDS LÄN</t>
        </is>
      </c>
      <c r="E620" t="inlineStr">
        <is>
          <t>SALA</t>
        </is>
      </c>
      <c r="G620" t="n">
        <v>8.1</v>
      </c>
      <c r="H620" t="n">
        <v>0</v>
      </c>
      <c r="I620" t="n">
        <v>0</v>
      </c>
      <c r="J620" t="n">
        <v>0</v>
      </c>
      <c r="K620" t="n">
        <v>0</v>
      </c>
      <c r="L620" t="n">
        <v>0</v>
      </c>
      <c r="M620" t="n">
        <v>0</v>
      </c>
      <c r="N620" t="n">
        <v>0</v>
      </c>
      <c r="O620" t="n">
        <v>0</v>
      </c>
      <c r="P620" t="n">
        <v>0</v>
      </c>
      <c r="Q620" t="n">
        <v>0</v>
      </c>
      <c r="R620" s="2" t="inlineStr"/>
    </row>
    <row r="621" ht="15" customHeight="1">
      <c r="A621" t="inlineStr">
        <is>
          <t>A 13128-2023</t>
        </is>
      </c>
      <c r="B621" s="1" t="n">
        <v>45002</v>
      </c>
      <c r="C621" s="1" t="n">
        <v>45933</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37958-2024</t>
        </is>
      </c>
      <c r="B622" s="1" t="n">
        <v>45544</v>
      </c>
      <c r="C622" s="1" t="n">
        <v>45933</v>
      </c>
      <c r="D622" t="inlineStr">
        <is>
          <t>VÄSTMANLANDS LÄN</t>
        </is>
      </c>
      <c r="E622" t="inlineStr">
        <is>
          <t>SALA</t>
        </is>
      </c>
      <c r="G622" t="n">
        <v>5.6</v>
      </c>
      <c r="H622" t="n">
        <v>0</v>
      </c>
      <c r="I622" t="n">
        <v>0</v>
      </c>
      <c r="J622" t="n">
        <v>0</v>
      </c>
      <c r="K622" t="n">
        <v>0</v>
      </c>
      <c r="L622" t="n">
        <v>0</v>
      </c>
      <c r="M622" t="n">
        <v>0</v>
      </c>
      <c r="N622" t="n">
        <v>0</v>
      </c>
      <c r="O622" t="n">
        <v>0</v>
      </c>
      <c r="P622" t="n">
        <v>0</v>
      </c>
      <c r="Q622" t="n">
        <v>0</v>
      </c>
      <c r="R622" s="2" t="inlineStr"/>
    </row>
    <row r="623" ht="15" customHeight="1">
      <c r="A623" t="inlineStr">
        <is>
          <t>A 18431-2023</t>
        </is>
      </c>
      <c r="B623" s="1" t="n">
        <v>45042</v>
      </c>
      <c r="C623" s="1" t="n">
        <v>45933</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57650-2024</t>
        </is>
      </c>
      <c r="B624" s="1" t="n">
        <v>45630</v>
      </c>
      <c r="C624" s="1" t="n">
        <v>45933</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10255-2024</t>
        </is>
      </c>
      <c r="B625" s="1" t="n">
        <v>45365</v>
      </c>
      <c r="C625" s="1" t="n">
        <v>45933</v>
      </c>
      <c r="D625" t="inlineStr">
        <is>
          <t>VÄSTMANLANDS LÄN</t>
        </is>
      </c>
      <c r="E625" t="inlineStr">
        <is>
          <t>SALA</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28696-2023</t>
        </is>
      </c>
      <c r="B626" s="1" t="n">
        <v>45103.71759259259</v>
      </c>
      <c r="C626" s="1" t="n">
        <v>45933</v>
      </c>
      <c r="D626" t="inlineStr">
        <is>
          <t>VÄSTMANLANDS LÄN</t>
        </is>
      </c>
      <c r="E626" t="inlineStr">
        <is>
          <t>SALA</t>
        </is>
      </c>
      <c r="F626" t="inlineStr">
        <is>
          <t>Kommuner</t>
        </is>
      </c>
      <c r="G626" t="n">
        <v>5.9</v>
      </c>
      <c r="H626" t="n">
        <v>0</v>
      </c>
      <c r="I626" t="n">
        <v>0</v>
      </c>
      <c r="J626" t="n">
        <v>0</v>
      </c>
      <c r="K626" t="n">
        <v>0</v>
      </c>
      <c r="L626" t="n">
        <v>0</v>
      </c>
      <c r="M626" t="n">
        <v>0</v>
      </c>
      <c r="N626" t="n">
        <v>0</v>
      </c>
      <c r="O626" t="n">
        <v>0</v>
      </c>
      <c r="P626" t="n">
        <v>0</v>
      </c>
      <c r="Q626" t="n">
        <v>0</v>
      </c>
      <c r="R626" s="2" t="inlineStr"/>
    </row>
    <row r="627" ht="15" customHeight="1">
      <c r="A627" t="inlineStr">
        <is>
          <t>A 31072-2021</t>
        </is>
      </c>
      <c r="B627" s="1" t="n">
        <v>44368</v>
      </c>
      <c r="C627" s="1" t="n">
        <v>45933</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16543-2023</t>
        </is>
      </c>
      <c r="B628" s="1" t="n">
        <v>45029</v>
      </c>
      <c r="C628" s="1" t="n">
        <v>45933</v>
      </c>
      <c r="D628" t="inlineStr">
        <is>
          <t>VÄSTMANLANDS LÄN</t>
        </is>
      </c>
      <c r="E628" t="inlineStr">
        <is>
          <t>SALA</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22523-2023</t>
        </is>
      </c>
      <c r="B629" s="1" t="n">
        <v>45069</v>
      </c>
      <c r="C629" s="1" t="n">
        <v>45933</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4663-2022</t>
        </is>
      </c>
      <c r="B630" s="1" t="n">
        <v>44592.45429398148</v>
      </c>
      <c r="C630" s="1" t="n">
        <v>45933</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6132-2025</t>
        </is>
      </c>
      <c r="B631" s="1" t="n">
        <v>45698</v>
      </c>
      <c r="C631" s="1" t="n">
        <v>45933</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31859-2023</t>
        </is>
      </c>
      <c r="B632" s="1" t="n">
        <v>45118</v>
      </c>
      <c r="C632" s="1" t="n">
        <v>45933</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c r="U632">
        <f>HYPERLINK("https://klasma.github.io/Logging_1981/knärot/A 31859-2023 karta knärot.png", "A 31859-2023")</f>
        <v/>
      </c>
      <c r="V632">
        <f>HYPERLINK("https://klasma.github.io/Logging_1981/klagomål/A 31859-2023 FSC-klagomål.docx", "A 31859-2023")</f>
        <v/>
      </c>
      <c r="W632">
        <f>HYPERLINK("https://klasma.github.io/Logging_1981/klagomålsmail/A 31859-2023 FSC-klagomål mail.docx", "A 31859-2023")</f>
        <v/>
      </c>
      <c r="X632">
        <f>HYPERLINK("https://klasma.github.io/Logging_1981/tillsyn/A 31859-2023 tillsynsbegäran.docx", "A 31859-2023")</f>
        <v/>
      </c>
      <c r="Y632">
        <f>HYPERLINK("https://klasma.github.io/Logging_1981/tillsynsmail/A 31859-2023 tillsynsbegäran mail.docx", "A 31859-2023")</f>
        <v/>
      </c>
    </row>
    <row r="633" ht="15" customHeight="1">
      <c r="A633" t="inlineStr">
        <is>
          <t>A 61681-2024</t>
        </is>
      </c>
      <c r="B633" s="1" t="n">
        <v>45647</v>
      </c>
      <c r="C633" s="1" t="n">
        <v>45933</v>
      </c>
      <c r="D633" t="inlineStr">
        <is>
          <t>VÄSTMANLANDS LÄN</t>
        </is>
      </c>
      <c r="E633" t="inlineStr">
        <is>
          <t>SALA</t>
        </is>
      </c>
      <c r="F633" t="inlineStr">
        <is>
          <t>Kommuner</t>
        </is>
      </c>
      <c r="G633" t="n">
        <v>1</v>
      </c>
      <c r="H633" t="n">
        <v>0</v>
      </c>
      <c r="I633" t="n">
        <v>0</v>
      </c>
      <c r="J633" t="n">
        <v>0</v>
      </c>
      <c r="K633" t="n">
        <v>0</v>
      </c>
      <c r="L633" t="n">
        <v>0</v>
      </c>
      <c r="M633" t="n">
        <v>0</v>
      </c>
      <c r="N633" t="n">
        <v>0</v>
      </c>
      <c r="O633" t="n">
        <v>0</v>
      </c>
      <c r="P633" t="n">
        <v>0</v>
      </c>
      <c r="Q633" t="n">
        <v>0</v>
      </c>
      <c r="R633" s="2" t="inlineStr"/>
    </row>
    <row r="634" ht="15" customHeight="1">
      <c r="A634" t="inlineStr">
        <is>
          <t>A 54960-2024</t>
        </is>
      </c>
      <c r="B634" s="1" t="n">
        <v>45619.85208333333</v>
      </c>
      <c r="C634" s="1" t="n">
        <v>45933</v>
      </c>
      <c r="D634" t="inlineStr">
        <is>
          <t>VÄSTMANLANDS LÄN</t>
        </is>
      </c>
      <c r="E634" t="inlineStr">
        <is>
          <t>SALA</t>
        </is>
      </c>
      <c r="G634" t="n">
        <v>2.6</v>
      </c>
      <c r="H634" t="n">
        <v>0</v>
      </c>
      <c r="I634" t="n">
        <v>0</v>
      </c>
      <c r="J634" t="n">
        <v>0</v>
      </c>
      <c r="K634" t="n">
        <v>0</v>
      </c>
      <c r="L634" t="n">
        <v>0</v>
      </c>
      <c r="M634" t="n">
        <v>0</v>
      </c>
      <c r="N634" t="n">
        <v>0</v>
      </c>
      <c r="O634" t="n">
        <v>0</v>
      </c>
      <c r="P634" t="n">
        <v>0</v>
      </c>
      <c r="Q634" t="n">
        <v>0</v>
      </c>
      <c r="R634" s="2" t="inlineStr"/>
    </row>
    <row r="635" ht="15" customHeight="1">
      <c r="A635" t="inlineStr">
        <is>
          <t>A 21968-2024</t>
        </is>
      </c>
      <c r="B635" s="1" t="n">
        <v>45443</v>
      </c>
      <c r="C635" s="1" t="n">
        <v>45933</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31082-2021</t>
        </is>
      </c>
      <c r="B636" s="1" t="n">
        <v>44368</v>
      </c>
      <c r="C636" s="1" t="n">
        <v>45933</v>
      </c>
      <c r="D636" t="inlineStr">
        <is>
          <t>VÄSTMANLANDS LÄN</t>
        </is>
      </c>
      <c r="E636" t="inlineStr">
        <is>
          <t>SALA</t>
        </is>
      </c>
      <c r="G636" t="n">
        <v>2</v>
      </c>
      <c r="H636" t="n">
        <v>0</v>
      </c>
      <c r="I636" t="n">
        <v>0</v>
      </c>
      <c r="J636" t="n">
        <v>0</v>
      </c>
      <c r="K636" t="n">
        <v>0</v>
      </c>
      <c r="L636" t="n">
        <v>0</v>
      </c>
      <c r="M636" t="n">
        <v>0</v>
      </c>
      <c r="N636" t="n">
        <v>0</v>
      </c>
      <c r="O636" t="n">
        <v>0</v>
      </c>
      <c r="P636" t="n">
        <v>0</v>
      </c>
      <c r="Q636" t="n">
        <v>0</v>
      </c>
      <c r="R636" s="2" t="inlineStr"/>
    </row>
    <row r="637" ht="15" customHeight="1">
      <c r="A637" t="inlineStr">
        <is>
          <t>A 20352-2022</t>
        </is>
      </c>
      <c r="B637" s="1" t="n">
        <v>44699.37318287037</v>
      </c>
      <c r="C637" s="1" t="n">
        <v>45933</v>
      </c>
      <c r="D637" t="inlineStr">
        <is>
          <t>VÄSTMANLANDS LÄN</t>
        </is>
      </c>
      <c r="E637" t="inlineStr">
        <is>
          <t>SALA</t>
        </is>
      </c>
      <c r="G637" t="n">
        <v>1.3</v>
      </c>
      <c r="H637" t="n">
        <v>0</v>
      </c>
      <c r="I637" t="n">
        <v>0</v>
      </c>
      <c r="J637" t="n">
        <v>0</v>
      </c>
      <c r="K637" t="n">
        <v>0</v>
      </c>
      <c r="L637" t="n">
        <v>0</v>
      </c>
      <c r="M637" t="n">
        <v>0</v>
      </c>
      <c r="N637" t="n">
        <v>0</v>
      </c>
      <c r="O637" t="n">
        <v>0</v>
      </c>
      <c r="P637" t="n">
        <v>0</v>
      </c>
      <c r="Q637" t="n">
        <v>0</v>
      </c>
      <c r="R637" s="2" t="inlineStr"/>
    </row>
    <row r="638" ht="15" customHeight="1">
      <c r="A638" t="inlineStr">
        <is>
          <t>A 27657-2023</t>
        </is>
      </c>
      <c r="B638" s="1" t="n">
        <v>45097.76631944445</v>
      </c>
      <c r="C638" s="1" t="n">
        <v>45933</v>
      </c>
      <c r="D638" t="inlineStr">
        <is>
          <t>VÄSTMANLANDS LÄN</t>
        </is>
      </c>
      <c r="E638" t="inlineStr">
        <is>
          <t>SALA</t>
        </is>
      </c>
      <c r="G638" t="n">
        <v>0.1</v>
      </c>
      <c r="H638" t="n">
        <v>0</v>
      </c>
      <c r="I638" t="n">
        <v>0</v>
      </c>
      <c r="J638" t="n">
        <v>0</v>
      </c>
      <c r="K638" t="n">
        <v>0</v>
      </c>
      <c r="L638" t="n">
        <v>0</v>
      </c>
      <c r="M638" t="n">
        <v>0</v>
      </c>
      <c r="N638" t="n">
        <v>0</v>
      </c>
      <c r="O638" t="n">
        <v>0</v>
      </c>
      <c r="P638" t="n">
        <v>0</v>
      </c>
      <c r="Q638" t="n">
        <v>0</v>
      </c>
      <c r="R638" s="2" t="inlineStr"/>
    </row>
    <row r="639" ht="15" customHeight="1">
      <c r="A639" t="inlineStr">
        <is>
          <t>A 2766-2024</t>
        </is>
      </c>
      <c r="B639" s="1" t="n">
        <v>45314.60950231482</v>
      </c>
      <c r="C639" s="1" t="n">
        <v>45933</v>
      </c>
      <c r="D639" t="inlineStr">
        <is>
          <t>VÄSTMANLANDS LÄN</t>
        </is>
      </c>
      <c r="E639" t="inlineStr">
        <is>
          <t>SALA</t>
        </is>
      </c>
      <c r="G639" t="n">
        <v>2.8</v>
      </c>
      <c r="H639" t="n">
        <v>0</v>
      </c>
      <c r="I639" t="n">
        <v>0</v>
      </c>
      <c r="J639" t="n">
        <v>0</v>
      </c>
      <c r="K639" t="n">
        <v>0</v>
      </c>
      <c r="L639" t="n">
        <v>0</v>
      </c>
      <c r="M639" t="n">
        <v>0</v>
      </c>
      <c r="N639" t="n">
        <v>0</v>
      </c>
      <c r="O639" t="n">
        <v>0</v>
      </c>
      <c r="P639" t="n">
        <v>0</v>
      </c>
      <c r="Q639" t="n">
        <v>0</v>
      </c>
      <c r="R639" s="2" t="inlineStr"/>
    </row>
    <row r="640" ht="15" customHeight="1">
      <c r="A640" t="inlineStr">
        <is>
          <t>A 60550-2024</t>
        </is>
      </c>
      <c r="B640" s="1" t="n">
        <v>45643</v>
      </c>
      <c r="C640" s="1" t="n">
        <v>45933</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14690-2025</t>
        </is>
      </c>
      <c r="B641" s="1" t="n">
        <v>45742.58212962963</v>
      </c>
      <c r="C641" s="1" t="n">
        <v>45933</v>
      </c>
      <c r="D641" t="inlineStr">
        <is>
          <t>VÄSTMANLANDS LÄN</t>
        </is>
      </c>
      <c r="E641" t="inlineStr">
        <is>
          <t>SALA</t>
        </is>
      </c>
      <c r="G641" t="n">
        <v>3.4</v>
      </c>
      <c r="H641" t="n">
        <v>0</v>
      </c>
      <c r="I641" t="n">
        <v>0</v>
      </c>
      <c r="J641" t="n">
        <v>0</v>
      </c>
      <c r="K641" t="n">
        <v>0</v>
      </c>
      <c r="L641" t="n">
        <v>0</v>
      </c>
      <c r="M641" t="n">
        <v>0</v>
      </c>
      <c r="N641" t="n">
        <v>0</v>
      </c>
      <c r="O641" t="n">
        <v>0</v>
      </c>
      <c r="P641" t="n">
        <v>0</v>
      </c>
      <c r="Q641" t="n">
        <v>0</v>
      </c>
      <c r="R641" s="2" t="inlineStr"/>
    </row>
    <row r="642" ht="15" customHeight="1">
      <c r="A642" t="inlineStr">
        <is>
          <t>A 24175-2024</t>
        </is>
      </c>
      <c r="B642" s="1" t="n">
        <v>45456</v>
      </c>
      <c r="C642" s="1" t="n">
        <v>45933</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62449-2023</t>
        </is>
      </c>
      <c r="B643" s="1" t="n">
        <v>45268.49008101852</v>
      </c>
      <c r="C643" s="1" t="n">
        <v>45933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54910-2023</t>
        </is>
      </c>
      <c r="B644" s="1" t="n">
        <v>45229</v>
      </c>
      <c r="C644" s="1" t="n">
        <v>45933</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19222-2025</t>
        </is>
      </c>
      <c r="B645" s="1" t="n">
        <v>45769</v>
      </c>
      <c r="C645" s="1" t="n">
        <v>45933</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19241-2025</t>
        </is>
      </c>
      <c r="B646" s="1" t="n">
        <v>45769</v>
      </c>
      <c r="C646" s="1" t="n">
        <v>45933</v>
      </c>
      <c r="D646" t="inlineStr">
        <is>
          <t>VÄSTMANLANDS LÄN</t>
        </is>
      </c>
      <c r="E646" t="inlineStr">
        <is>
          <t>SALA</t>
        </is>
      </c>
      <c r="G646" t="n">
        <v>3.6</v>
      </c>
      <c r="H646" t="n">
        <v>0</v>
      </c>
      <c r="I646" t="n">
        <v>0</v>
      </c>
      <c r="J646" t="n">
        <v>0</v>
      </c>
      <c r="K646" t="n">
        <v>0</v>
      </c>
      <c r="L646" t="n">
        <v>0</v>
      </c>
      <c r="M646" t="n">
        <v>0</v>
      </c>
      <c r="N646" t="n">
        <v>0</v>
      </c>
      <c r="O646" t="n">
        <v>0</v>
      </c>
      <c r="P646" t="n">
        <v>0</v>
      </c>
      <c r="Q646" t="n">
        <v>0</v>
      </c>
      <c r="R646" s="2" t="inlineStr"/>
    </row>
    <row r="647" ht="15" customHeight="1">
      <c r="A647" t="inlineStr">
        <is>
          <t>A 26416-2023</t>
        </is>
      </c>
      <c r="B647" s="1" t="n">
        <v>45092.38087962963</v>
      </c>
      <c r="C647" s="1" t="n">
        <v>45933</v>
      </c>
      <c r="D647" t="inlineStr">
        <is>
          <t>VÄSTMANLANDS LÄN</t>
        </is>
      </c>
      <c r="E647" t="inlineStr">
        <is>
          <t>SALA</t>
        </is>
      </c>
      <c r="G647" t="n">
        <v>2.9</v>
      </c>
      <c r="H647" t="n">
        <v>0</v>
      </c>
      <c r="I647" t="n">
        <v>0</v>
      </c>
      <c r="J647" t="n">
        <v>0</v>
      </c>
      <c r="K647" t="n">
        <v>0</v>
      </c>
      <c r="L647" t="n">
        <v>0</v>
      </c>
      <c r="M647" t="n">
        <v>0</v>
      </c>
      <c r="N647" t="n">
        <v>0</v>
      </c>
      <c r="O647" t="n">
        <v>0</v>
      </c>
      <c r="P647" t="n">
        <v>0</v>
      </c>
      <c r="Q647" t="n">
        <v>0</v>
      </c>
      <c r="R647" s="2" t="inlineStr"/>
    </row>
    <row r="648" ht="15" customHeight="1">
      <c r="A648" t="inlineStr">
        <is>
          <t>A 26692-2023</t>
        </is>
      </c>
      <c r="B648" s="1" t="n">
        <v>45093.360625</v>
      </c>
      <c r="C648" s="1" t="n">
        <v>45933</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15681-2025</t>
        </is>
      </c>
      <c r="B649" s="1" t="n">
        <v>45748.45454861111</v>
      </c>
      <c r="C649" s="1" t="n">
        <v>45933</v>
      </c>
      <c r="D649" t="inlineStr">
        <is>
          <t>VÄSTMANLANDS LÄN</t>
        </is>
      </c>
      <c r="E649" t="inlineStr">
        <is>
          <t>SALA</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17495-2024</t>
        </is>
      </c>
      <c r="B650" s="1" t="n">
        <v>45415</v>
      </c>
      <c r="C650" s="1" t="n">
        <v>45933</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2925-2024</t>
        </is>
      </c>
      <c r="B651" s="1" t="n">
        <v>45315.58909722222</v>
      </c>
      <c r="C651" s="1" t="n">
        <v>45933</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44746-2024</t>
        </is>
      </c>
      <c r="B652" s="1" t="n">
        <v>45574.59813657407</v>
      </c>
      <c r="C652" s="1" t="n">
        <v>45933</v>
      </c>
      <c r="D652" t="inlineStr">
        <is>
          <t>VÄSTMANLANDS LÄN</t>
        </is>
      </c>
      <c r="E652" t="inlineStr">
        <is>
          <t>SALA</t>
        </is>
      </c>
      <c r="G652" t="n">
        <v>6.7</v>
      </c>
      <c r="H652" t="n">
        <v>0</v>
      </c>
      <c r="I652" t="n">
        <v>0</v>
      </c>
      <c r="J652" t="n">
        <v>0</v>
      </c>
      <c r="K652" t="n">
        <v>0</v>
      </c>
      <c r="L652" t="n">
        <v>0</v>
      </c>
      <c r="M652" t="n">
        <v>0</v>
      </c>
      <c r="N652" t="n">
        <v>0</v>
      </c>
      <c r="O652" t="n">
        <v>0</v>
      </c>
      <c r="P652" t="n">
        <v>0</v>
      </c>
      <c r="Q652" t="n">
        <v>0</v>
      </c>
      <c r="R652" s="2" t="inlineStr"/>
    </row>
    <row r="653" ht="15" customHeight="1">
      <c r="A653" t="inlineStr">
        <is>
          <t>A 44713-2023</t>
        </is>
      </c>
      <c r="B653" s="1" t="n">
        <v>45184</v>
      </c>
      <c r="C653" s="1" t="n">
        <v>45933</v>
      </c>
      <c r="D653" t="inlineStr">
        <is>
          <t>VÄSTMANLANDS LÄN</t>
        </is>
      </c>
      <c r="E653" t="inlineStr">
        <is>
          <t>SALA</t>
        </is>
      </c>
      <c r="F653" t="inlineStr">
        <is>
          <t>Kyrkan</t>
        </is>
      </c>
      <c r="G653" t="n">
        <v>7.6</v>
      </c>
      <c r="H653" t="n">
        <v>0</v>
      </c>
      <c r="I653" t="n">
        <v>0</v>
      </c>
      <c r="J653" t="n">
        <v>0</v>
      </c>
      <c r="K653" t="n">
        <v>0</v>
      </c>
      <c r="L653" t="n">
        <v>0</v>
      </c>
      <c r="M653" t="n">
        <v>0</v>
      </c>
      <c r="N653" t="n">
        <v>0</v>
      </c>
      <c r="O653" t="n">
        <v>0</v>
      </c>
      <c r="P653" t="n">
        <v>0</v>
      </c>
      <c r="Q653" t="n">
        <v>0</v>
      </c>
      <c r="R653" s="2" t="inlineStr"/>
    </row>
    <row r="654" ht="15" customHeight="1">
      <c r="A654" t="inlineStr">
        <is>
          <t>A 23431-2024</t>
        </is>
      </c>
      <c r="B654" s="1" t="n">
        <v>45453</v>
      </c>
      <c r="C654" s="1" t="n">
        <v>45933</v>
      </c>
      <c r="D654" t="inlineStr">
        <is>
          <t>VÄSTMANLANDS LÄN</t>
        </is>
      </c>
      <c r="E654" t="inlineStr">
        <is>
          <t>SALA</t>
        </is>
      </c>
      <c r="G654" t="n">
        <v>1.6</v>
      </c>
      <c r="H654" t="n">
        <v>0</v>
      </c>
      <c r="I654" t="n">
        <v>0</v>
      </c>
      <c r="J654" t="n">
        <v>0</v>
      </c>
      <c r="K654" t="n">
        <v>0</v>
      </c>
      <c r="L654" t="n">
        <v>0</v>
      </c>
      <c r="M654" t="n">
        <v>0</v>
      </c>
      <c r="N654" t="n">
        <v>0</v>
      </c>
      <c r="O654" t="n">
        <v>0</v>
      </c>
      <c r="P654" t="n">
        <v>0</v>
      </c>
      <c r="Q654" t="n">
        <v>0</v>
      </c>
      <c r="R654" s="2" t="inlineStr"/>
    </row>
    <row r="655" ht="15" customHeight="1">
      <c r="A655" t="inlineStr">
        <is>
          <t>A 21168-2025</t>
        </is>
      </c>
      <c r="B655" s="1" t="n">
        <v>45777</v>
      </c>
      <c r="C655" s="1" t="n">
        <v>45933</v>
      </c>
      <c r="D655" t="inlineStr">
        <is>
          <t>VÄSTMANLANDS LÄN</t>
        </is>
      </c>
      <c r="E655" t="inlineStr">
        <is>
          <t>SALA</t>
        </is>
      </c>
      <c r="G655" t="n">
        <v>4.5</v>
      </c>
      <c r="H655" t="n">
        <v>0</v>
      </c>
      <c r="I655" t="n">
        <v>0</v>
      </c>
      <c r="J655" t="n">
        <v>0</v>
      </c>
      <c r="K655" t="n">
        <v>0</v>
      </c>
      <c r="L655" t="n">
        <v>0</v>
      </c>
      <c r="M655" t="n">
        <v>0</v>
      </c>
      <c r="N655" t="n">
        <v>0</v>
      </c>
      <c r="O655" t="n">
        <v>0</v>
      </c>
      <c r="P655" t="n">
        <v>0</v>
      </c>
      <c r="Q655" t="n">
        <v>0</v>
      </c>
      <c r="R655" s="2" t="inlineStr"/>
    </row>
    <row r="656" ht="15" customHeight="1">
      <c r="A656" t="inlineStr">
        <is>
          <t>A 21751-2025</t>
        </is>
      </c>
      <c r="B656" s="1" t="n">
        <v>45783.61372685185</v>
      </c>
      <c r="C656" s="1" t="n">
        <v>45933</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21721-2025</t>
        </is>
      </c>
      <c r="B657" s="1" t="n">
        <v>45783</v>
      </c>
      <c r="C657" s="1" t="n">
        <v>45933</v>
      </c>
      <c r="D657" t="inlineStr">
        <is>
          <t>VÄSTMANLANDS LÄN</t>
        </is>
      </c>
      <c r="E657" t="inlineStr">
        <is>
          <t>SALA</t>
        </is>
      </c>
      <c r="G657" t="n">
        <v>6.1</v>
      </c>
      <c r="H657" t="n">
        <v>0</v>
      </c>
      <c r="I657" t="n">
        <v>0</v>
      </c>
      <c r="J657" t="n">
        <v>0</v>
      </c>
      <c r="K657" t="n">
        <v>0</v>
      </c>
      <c r="L657" t="n">
        <v>0</v>
      </c>
      <c r="M657" t="n">
        <v>0</v>
      </c>
      <c r="N657" t="n">
        <v>0</v>
      </c>
      <c r="O657" t="n">
        <v>0</v>
      </c>
      <c r="P657" t="n">
        <v>0</v>
      </c>
      <c r="Q657" t="n">
        <v>0</v>
      </c>
      <c r="R657" s="2" t="inlineStr"/>
    </row>
    <row r="658" ht="15" customHeight="1">
      <c r="A658" t="inlineStr">
        <is>
          <t>A 21754-2025</t>
        </is>
      </c>
      <c r="B658" s="1" t="n">
        <v>45783.61837962963</v>
      </c>
      <c r="C658" s="1" t="n">
        <v>45933</v>
      </c>
      <c r="D658" t="inlineStr">
        <is>
          <t>VÄSTMANLANDS LÄN</t>
        </is>
      </c>
      <c r="E658" t="inlineStr">
        <is>
          <t>SALA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37587-2024</t>
        </is>
      </c>
      <c r="B659" s="1" t="n">
        <v>45541</v>
      </c>
      <c r="C659" s="1" t="n">
        <v>45933</v>
      </c>
      <c r="D659" t="inlineStr">
        <is>
          <t>VÄSTMANLANDS LÄN</t>
        </is>
      </c>
      <c r="E659" t="inlineStr">
        <is>
          <t>SALA</t>
        </is>
      </c>
      <c r="G659" t="n">
        <v>1.2</v>
      </c>
      <c r="H659" t="n">
        <v>0</v>
      </c>
      <c r="I659" t="n">
        <v>0</v>
      </c>
      <c r="J659" t="n">
        <v>0</v>
      </c>
      <c r="K659" t="n">
        <v>0</v>
      </c>
      <c r="L659" t="n">
        <v>0</v>
      </c>
      <c r="M659" t="n">
        <v>0</v>
      </c>
      <c r="N659" t="n">
        <v>0</v>
      </c>
      <c r="O659" t="n">
        <v>0</v>
      </c>
      <c r="P659" t="n">
        <v>0</v>
      </c>
      <c r="Q659" t="n">
        <v>0</v>
      </c>
      <c r="R659" s="2" t="inlineStr"/>
    </row>
    <row r="660" ht="15" customHeight="1">
      <c r="A660" t="inlineStr">
        <is>
          <t>A 22353-2025</t>
        </is>
      </c>
      <c r="B660" s="1" t="n">
        <v>45786</v>
      </c>
      <c r="C660" s="1" t="n">
        <v>45933</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64724-2023</t>
        </is>
      </c>
      <c r="B661" s="1" t="n">
        <v>45281.7602662037</v>
      </c>
      <c r="C661" s="1" t="n">
        <v>45933</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22370-2025</t>
        </is>
      </c>
      <c r="B662" s="1" t="n">
        <v>45786</v>
      </c>
      <c r="C662" s="1" t="n">
        <v>45933</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22383-2025</t>
        </is>
      </c>
      <c r="B663" s="1" t="n">
        <v>45786</v>
      </c>
      <c r="C663" s="1" t="n">
        <v>45933</v>
      </c>
      <c r="D663" t="inlineStr">
        <is>
          <t>VÄSTMANLANDS LÄN</t>
        </is>
      </c>
      <c r="E663" t="inlineStr">
        <is>
          <t>SALA</t>
        </is>
      </c>
      <c r="G663" t="n">
        <v>2.2</v>
      </c>
      <c r="H663" t="n">
        <v>0</v>
      </c>
      <c r="I663" t="n">
        <v>0</v>
      </c>
      <c r="J663" t="n">
        <v>0</v>
      </c>
      <c r="K663" t="n">
        <v>0</v>
      </c>
      <c r="L663" t="n">
        <v>0</v>
      </c>
      <c r="M663" t="n">
        <v>0</v>
      </c>
      <c r="N663" t="n">
        <v>0</v>
      </c>
      <c r="O663" t="n">
        <v>0</v>
      </c>
      <c r="P663" t="n">
        <v>0</v>
      </c>
      <c r="Q663" t="n">
        <v>0</v>
      </c>
      <c r="R663" s="2" t="inlineStr"/>
    </row>
    <row r="664" ht="15" customHeight="1">
      <c r="A664" t="inlineStr">
        <is>
          <t>A 7176-2023</t>
        </is>
      </c>
      <c r="B664" s="1" t="n">
        <v>44970</v>
      </c>
      <c r="C664" s="1" t="n">
        <v>45933</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22624-2025</t>
        </is>
      </c>
      <c r="B665" s="1" t="n">
        <v>45789.43327546296</v>
      </c>
      <c r="C665" s="1" t="n">
        <v>45933</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31405-2024</t>
        </is>
      </c>
      <c r="B666" s="1" t="n">
        <v>45505.5490625</v>
      </c>
      <c r="C666" s="1" t="n">
        <v>45933</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22616-2025</t>
        </is>
      </c>
      <c r="B667" s="1" t="n">
        <v>45789.42752314815</v>
      </c>
      <c r="C667" s="1" t="n">
        <v>45933</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43600-2024</t>
        </is>
      </c>
      <c r="B668" s="1" t="n">
        <v>45569</v>
      </c>
      <c r="C668" s="1" t="n">
        <v>45933</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13130-2025</t>
        </is>
      </c>
      <c r="B669" s="1" t="n">
        <v>45734</v>
      </c>
      <c r="C669" s="1" t="n">
        <v>45933</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24169-2025</t>
        </is>
      </c>
      <c r="B670" s="1" t="n">
        <v>45796</v>
      </c>
      <c r="C670" s="1" t="n">
        <v>45933</v>
      </c>
      <c r="D670" t="inlineStr">
        <is>
          <t>VÄSTMANLANDS LÄN</t>
        </is>
      </c>
      <c r="E670" t="inlineStr">
        <is>
          <t>SALA</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22126-2025</t>
        </is>
      </c>
      <c r="B671" s="1" t="n">
        <v>45785</v>
      </c>
      <c r="C671" s="1" t="n">
        <v>45933</v>
      </c>
      <c r="D671" t="inlineStr">
        <is>
          <t>VÄSTMANLANDS LÄN</t>
        </is>
      </c>
      <c r="E671" t="inlineStr">
        <is>
          <t>SALA</t>
        </is>
      </c>
      <c r="G671" t="n">
        <v>10.6</v>
      </c>
      <c r="H671" t="n">
        <v>0</v>
      </c>
      <c r="I671" t="n">
        <v>0</v>
      </c>
      <c r="J671" t="n">
        <v>0</v>
      </c>
      <c r="K671" t="n">
        <v>0</v>
      </c>
      <c r="L671" t="n">
        <v>0</v>
      </c>
      <c r="M671" t="n">
        <v>0</v>
      </c>
      <c r="N671" t="n">
        <v>0</v>
      </c>
      <c r="O671" t="n">
        <v>0</v>
      </c>
      <c r="P671" t="n">
        <v>0</v>
      </c>
      <c r="Q671" t="n">
        <v>0</v>
      </c>
      <c r="R671" s="2" t="inlineStr"/>
    </row>
    <row r="672" ht="15" customHeight="1">
      <c r="A672" t="inlineStr">
        <is>
          <t>A 23810-2025</t>
        </is>
      </c>
      <c r="B672" s="1" t="n">
        <v>45793.56989583333</v>
      </c>
      <c r="C672" s="1" t="n">
        <v>45933</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24944-2023</t>
        </is>
      </c>
      <c r="B673" s="1" t="n">
        <v>45085</v>
      </c>
      <c r="C673" s="1" t="n">
        <v>45933</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23804-2025</t>
        </is>
      </c>
      <c r="B674" s="1" t="n">
        <v>45793.55995370371</v>
      </c>
      <c r="C674" s="1" t="n">
        <v>45933</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11210-2025</t>
        </is>
      </c>
      <c r="B675" s="1" t="n">
        <v>45726</v>
      </c>
      <c r="C675" s="1" t="n">
        <v>45933</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19297-2025</t>
        </is>
      </c>
      <c r="B676" s="1" t="n">
        <v>45769.56261574074</v>
      </c>
      <c r="C676" s="1" t="n">
        <v>45933</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24460-2025</t>
        </is>
      </c>
      <c r="B677" s="1" t="n">
        <v>45798</v>
      </c>
      <c r="C677" s="1" t="n">
        <v>45933</v>
      </c>
      <c r="D677" t="inlineStr">
        <is>
          <t>VÄSTMANLANDS LÄN</t>
        </is>
      </c>
      <c r="E677" t="inlineStr">
        <is>
          <t>SALA</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55065-2024</t>
        </is>
      </c>
      <c r="B678" s="1" t="n">
        <v>45618</v>
      </c>
      <c r="C678" s="1" t="n">
        <v>45933</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24463-2025</t>
        </is>
      </c>
      <c r="B679" s="1" t="n">
        <v>45798</v>
      </c>
      <c r="C679" s="1" t="n">
        <v>45933</v>
      </c>
      <c r="D679" t="inlineStr">
        <is>
          <t>VÄSTMANLANDS LÄN</t>
        </is>
      </c>
      <c r="E679" t="inlineStr">
        <is>
          <t>SALA</t>
        </is>
      </c>
      <c r="F679" t="inlineStr">
        <is>
          <t>Bergvik skog öst AB</t>
        </is>
      </c>
      <c r="G679" t="n">
        <v>1.5</v>
      </c>
      <c r="H679" t="n">
        <v>0</v>
      </c>
      <c r="I679" t="n">
        <v>0</v>
      </c>
      <c r="J679" t="n">
        <v>0</v>
      </c>
      <c r="K679" t="n">
        <v>0</v>
      </c>
      <c r="L679" t="n">
        <v>0</v>
      </c>
      <c r="M679" t="n">
        <v>0</v>
      </c>
      <c r="N679" t="n">
        <v>0</v>
      </c>
      <c r="O679" t="n">
        <v>0</v>
      </c>
      <c r="P679" t="n">
        <v>0</v>
      </c>
      <c r="Q679" t="n">
        <v>0</v>
      </c>
      <c r="R679" s="2" t="inlineStr"/>
    </row>
    <row r="680" ht="15" customHeight="1">
      <c r="A680" t="inlineStr">
        <is>
          <t>A 24907-2025</t>
        </is>
      </c>
      <c r="B680" s="1" t="n">
        <v>45799</v>
      </c>
      <c r="C680" s="1" t="n">
        <v>45933</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24910-2025</t>
        </is>
      </c>
      <c r="B681" s="1" t="n">
        <v>45799.53775462963</v>
      </c>
      <c r="C681" s="1" t="n">
        <v>45933</v>
      </c>
      <c r="D681" t="inlineStr">
        <is>
          <t>VÄSTMANLANDS LÄN</t>
        </is>
      </c>
      <c r="E681" t="inlineStr">
        <is>
          <t>SALA</t>
        </is>
      </c>
      <c r="G681" t="n">
        <v>3.5</v>
      </c>
      <c r="H681" t="n">
        <v>0</v>
      </c>
      <c r="I681" t="n">
        <v>0</v>
      </c>
      <c r="J681" t="n">
        <v>0</v>
      </c>
      <c r="K681" t="n">
        <v>0</v>
      </c>
      <c r="L681" t="n">
        <v>0</v>
      </c>
      <c r="M681" t="n">
        <v>0</v>
      </c>
      <c r="N681" t="n">
        <v>0</v>
      </c>
      <c r="O681" t="n">
        <v>0</v>
      </c>
      <c r="P681" t="n">
        <v>0</v>
      </c>
      <c r="Q681" t="n">
        <v>0</v>
      </c>
      <c r="R681" s="2" t="inlineStr"/>
    </row>
    <row r="682">
      <c r="A682" t="inlineStr">
        <is>
          <t>A 10909-2024</t>
        </is>
      </c>
      <c r="B682" s="1" t="n">
        <v>45370</v>
      </c>
      <c r="C682" s="1" t="n">
        <v>45933</v>
      </c>
      <c r="D682" t="inlineStr">
        <is>
          <t>VÄSTMANLANDS LÄN</t>
        </is>
      </c>
      <c r="E682" t="inlineStr">
        <is>
          <t>SALA</t>
        </is>
      </c>
      <c r="G682" t="n">
        <v>3.3</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2025-10-03T12:35:36Z</dcterms:created>
  <dcterms:modified xmlns:dcterms="http://purl.org/dc/terms/" xmlns:xsi="http://www.w3.org/2001/XMLSchema-instance" xsi:type="dcterms:W3CDTF">2025-10-03T12:35:37Z</dcterms:modified>
</cp:coreProperties>
</file>