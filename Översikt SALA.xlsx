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46086</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46086</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46086</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46086</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46086</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46086</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46086</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46086</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46086</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46086</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46086</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46086</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46086</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46086</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46086</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40493-2024</t>
        </is>
      </c>
      <c r="B18" s="1" t="n">
        <v>45555</v>
      </c>
      <c r="C18" s="1" t="n">
        <v>46086</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40895-2025</t>
        </is>
      </c>
      <c r="B19" s="1" t="n">
        <v>45897.61241898148</v>
      </c>
      <c r="C19" s="1" t="n">
        <v>46086</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34065-2025</t>
        </is>
      </c>
      <c r="B20" s="1" t="n">
        <v>45845.42806712963</v>
      </c>
      <c r="C20" s="1" t="n">
        <v>46086</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3930-2026</t>
        </is>
      </c>
      <c r="B21" s="1" t="n">
        <v>46043</v>
      </c>
      <c r="C21" s="1" t="n">
        <v>46086</v>
      </c>
      <c r="D21" t="inlineStr">
        <is>
          <t>VÄSTMANLANDS LÄN</t>
        </is>
      </c>
      <c r="E21" t="inlineStr">
        <is>
          <t>SALA</t>
        </is>
      </c>
      <c r="G21" t="n">
        <v>17.4</v>
      </c>
      <c r="H21" t="n">
        <v>1</v>
      </c>
      <c r="I21" t="n">
        <v>0</v>
      </c>
      <c r="J21" t="n">
        <v>2</v>
      </c>
      <c r="K21" t="n">
        <v>1</v>
      </c>
      <c r="L21" t="n">
        <v>0</v>
      </c>
      <c r="M21" t="n">
        <v>0</v>
      </c>
      <c r="N21" t="n">
        <v>0</v>
      </c>
      <c r="O21" t="n">
        <v>3</v>
      </c>
      <c r="P21" t="n">
        <v>1</v>
      </c>
      <c r="Q21" t="n">
        <v>3</v>
      </c>
      <c r="R21" s="2" t="inlineStr">
        <is>
          <t>Knärot
Gränsticka
Ullticka</t>
        </is>
      </c>
      <c r="S21">
        <f>HYPERLINK("https://klasma.github.io/Logging_1981/artfynd/A 3930-2026 artfynd.xlsx", "A 3930-2026")</f>
        <v/>
      </c>
      <c r="T21">
        <f>HYPERLINK("https://klasma.github.io/Logging_1981/kartor/A 3930-2026 karta.png", "A 3930-2026")</f>
        <v/>
      </c>
      <c r="U21">
        <f>HYPERLINK("https://klasma.github.io/Logging_1981/knärot/A 3930-2026 karta knärot.png", "A 3930-2026")</f>
        <v/>
      </c>
      <c r="V21">
        <f>HYPERLINK("https://klasma.github.io/Logging_1981/klagomål/A 3930-2026 FSC-klagomål.docx", "A 3930-2026")</f>
        <v/>
      </c>
      <c r="W21">
        <f>HYPERLINK("https://klasma.github.io/Logging_1981/klagomålsmail/A 3930-2026 FSC-klagomål mail.docx", "A 3930-2026")</f>
        <v/>
      </c>
      <c r="X21">
        <f>HYPERLINK("https://klasma.github.io/Logging_1981/tillsyn/A 3930-2026 tillsynsbegäran.docx", "A 3930-2026")</f>
        <v/>
      </c>
      <c r="Y21">
        <f>HYPERLINK("https://klasma.github.io/Logging_1981/tillsynsmail/A 3930-2026 tillsynsbegäran mail.docx", "A 3930-2026")</f>
        <v/>
      </c>
    </row>
    <row r="22" ht="15" customHeight="1">
      <c r="A22" t="inlineStr">
        <is>
          <t>A 47475-2024</t>
        </is>
      </c>
      <c r="B22" s="1" t="n">
        <v>45587.57552083334</v>
      </c>
      <c r="C22" s="1" t="n">
        <v>46086</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53019-2024</t>
        </is>
      </c>
      <c r="B23" s="1" t="n">
        <v>45610</v>
      </c>
      <c r="C23" s="1" t="n">
        <v>46086</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3567-2024</t>
        </is>
      </c>
      <c r="B24" s="1" t="n">
        <v>45320.63706018519</v>
      </c>
      <c r="C24" s="1" t="n">
        <v>46086</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46086</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46086</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46086</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46086</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46086</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13029-2023</t>
        </is>
      </c>
      <c r="B30" s="1" t="n">
        <v>45001</v>
      </c>
      <c r="C30" s="1" t="n">
        <v>46086</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1500-2022</t>
        </is>
      </c>
      <c r="B31" s="1" t="n">
        <v>44573.54357638889</v>
      </c>
      <c r="C31" s="1" t="n">
        <v>46086</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46086</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53048-2025</t>
        </is>
      </c>
      <c r="B33" s="1" t="n">
        <v>45958.36018518519</v>
      </c>
      <c r="C33" s="1" t="n">
        <v>46086</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59826-2025</t>
        </is>
      </c>
      <c r="B34" s="1" t="n">
        <v>45992.65416666667</v>
      </c>
      <c r="C34" s="1" t="n">
        <v>46086</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63584-2025</t>
        </is>
      </c>
      <c r="B35" s="1" t="n">
        <v>46013.77002314815</v>
      </c>
      <c r="C35" s="1" t="n">
        <v>46086</v>
      </c>
      <c r="D35" t="inlineStr">
        <is>
          <t>VÄSTMANLANDS LÄN</t>
        </is>
      </c>
      <c r="E35" t="inlineStr">
        <is>
          <t>SALA</t>
        </is>
      </c>
      <c r="G35" t="n">
        <v>7.3</v>
      </c>
      <c r="H35" t="n">
        <v>1</v>
      </c>
      <c r="I35" t="n">
        <v>0</v>
      </c>
      <c r="J35" t="n">
        <v>1</v>
      </c>
      <c r="K35" t="n">
        <v>1</v>
      </c>
      <c r="L35" t="n">
        <v>0</v>
      </c>
      <c r="M35" t="n">
        <v>0</v>
      </c>
      <c r="N35" t="n">
        <v>0</v>
      </c>
      <c r="O35" t="n">
        <v>2</v>
      </c>
      <c r="P35" t="n">
        <v>1</v>
      </c>
      <c r="Q35" t="n">
        <v>2</v>
      </c>
      <c r="R35" s="2" t="inlineStr">
        <is>
          <t>Knärot
Vedtrappmossa</t>
        </is>
      </c>
      <c r="S35">
        <f>HYPERLINK("https://klasma.github.io/Logging_1981/artfynd/A 63584-2025 artfynd.xlsx", "A 63584-2025")</f>
        <v/>
      </c>
      <c r="T35">
        <f>HYPERLINK("https://klasma.github.io/Logging_1981/kartor/A 63584-2025 karta.png", "A 63584-2025")</f>
        <v/>
      </c>
      <c r="U35">
        <f>HYPERLINK("https://klasma.github.io/Logging_1981/knärot/A 63584-2025 karta knärot.png", "A 63584-2025")</f>
        <v/>
      </c>
      <c r="V35">
        <f>HYPERLINK("https://klasma.github.io/Logging_1981/klagomål/A 63584-2025 FSC-klagomål.docx", "A 63584-2025")</f>
        <v/>
      </c>
      <c r="W35">
        <f>HYPERLINK("https://klasma.github.io/Logging_1981/klagomålsmail/A 63584-2025 FSC-klagomål mail.docx", "A 63584-2025")</f>
        <v/>
      </c>
      <c r="X35">
        <f>HYPERLINK("https://klasma.github.io/Logging_1981/tillsyn/A 63584-2025 tillsynsbegäran.docx", "A 63584-2025")</f>
        <v/>
      </c>
      <c r="Y35">
        <f>HYPERLINK("https://klasma.github.io/Logging_1981/tillsynsmail/A 63584-2025 tillsynsbegäran mail.docx", "A 63584-2025")</f>
        <v/>
      </c>
    </row>
    <row r="36" ht="15" customHeight="1">
      <c r="A36" t="inlineStr">
        <is>
          <t>A 11846-2024</t>
        </is>
      </c>
      <c r="B36" s="1" t="n">
        <v>45376.4047337963</v>
      </c>
      <c r="C36" s="1" t="n">
        <v>46086</v>
      </c>
      <c r="D36" t="inlineStr">
        <is>
          <t>VÄSTMANLANDS LÄN</t>
        </is>
      </c>
      <c r="E36" t="inlineStr">
        <is>
          <t>SALA</t>
        </is>
      </c>
      <c r="G36" t="n">
        <v>8</v>
      </c>
      <c r="H36" t="n">
        <v>0</v>
      </c>
      <c r="I36" t="n">
        <v>2</v>
      </c>
      <c r="J36" t="n">
        <v>0</v>
      </c>
      <c r="K36" t="n">
        <v>0</v>
      </c>
      <c r="L36" t="n">
        <v>0</v>
      </c>
      <c r="M36" t="n">
        <v>0</v>
      </c>
      <c r="N36" t="n">
        <v>0</v>
      </c>
      <c r="O36" t="n">
        <v>0</v>
      </c>
      <c r="P36" t="n">
        <v>0</v>
      </c>
      <c r="Q36" t="n">
        <v>2</v>
      </c>
      <c r="R36" s="2" t="inlineStr">
        <is>
          <t>Bronshjon
Vågbandad barkbock</t>
        </is>
      </c>
      <c r="S36">
        <f>HYPERLINK("https://klasma.github.io/Logging_1981/artfynd/A 11846-2024 artfynd.xlsx", "A 11846-2024")</f>
        <v/>
      </c>
      <c r="T36">
        <f>HYPERLINK("https://klasma.github.io/Logging_1981/kartor/A 11846-2024 karta.png", "A 11846-2024")</f>
        <v/>
      </c>
      <c r="V36">
        <f>HYPERLINK("https://klasma.github.io/Logging_1981/klagomål/A 11846-2024 FSC-klagomål.docx", "A 11846-2024")</f>
        <v/>
      </c>
      <c r="W36">
        <f>HYPERLINK("https://klasma.github.io/Logging_1981/klagomålsmail/A 11846-2024 FSC-klagomål mail.docx", "A 11846-2024")</f>
        <v/>
      </c>
      <c r="X36">
        <f>HYPERLINK("https://klasma.github.io/Logging_1981/tillsyn/A 11846-2024 tillsynsbegäran.docx", "A 11846-2024")</f>
        <v/>
      </c>
      <c r="Y36">
        <f>HYPERLINK("https://klasma.github.io/Logging_1981/tillsynsmail/A 11846-2024 tillsynsbegäran mail.docx", "A 11846-2024")</f>
        <v/>
      </c>
    </row>
    <row r="37" ht="15" customHeight="1">
      <c r="A37" t="inlineStr">
        <is>
          <t>A 12444-2024</t>
        </is>
      </c>
      <c r="B37" s="1" t="n">
        <v>45379.46285879629</v>
      </c>
      <c r="C37" s="1" t="n">
        <v>46086</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24872-2025</t>
        </is>
      </c>
      <c r="B38" s="1" t="n">
        <v>45799.49038194444</v>
      </c>
      <c r="C38" s="1" t="n">
        <v>46086</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46086</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46086</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46086</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46086</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46086</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32594-2025</t>
        </is>
      </c>
      <c r="B44" s="1" t="n">
        <v>45838</v>
      </c>
      <c r="C44" s="1" t="n">
        <v>46086</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14775-2023</t>
        </is>
      </c>
      <c r="B45" s="1" t="n">
        <v>45014</v>
      </c>
      <c r="C45" s="1" t="n">
        <v>46086</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12509-2023</t>
        </is>
      </c>
      <c r="B46" s="1" t="n">
        <v>44999.95988425926</v>
      </c>
      <c r="C46" s="1" t="n">
        <v>46086</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22350-2024</t>
        </is>
      </c>
      <c r="B47" s="1" t="n">
        <v>45446</v>
      </c>
      <c r="C47" s="1" t="n">
        <v>46086</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48705-2025</t>
        </is>
      </c>
      <c r="B48" s="1" t="n">
        <v>45936.62290509259</v>
      </c>
      <c r="C48" s="1" t="n">
        <v>46086</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38255-2025</t>
        </is>
      </c>
      <c r="B49" s="1" t="n">
        <v>45883.38020833334</v>
      </c>
      <c r="C49" s="1" t="n">
        <v>46086</v>
      </c>
      <c r="D49" t="inlineStr">
        <is>
          <t>VÄSTMANLANDS LÄN</t>
        </is>
      </c>
      <c r="E49" t="inlineStr">
        <is>
          <t>SALA</t>
        </is>
      </c>
      <c r="G49" t="n">
        <v>0.9</v>
      </c>
      <c r="H49" t="n">
        <v>1</v>
      </c>
      <c r="I49" t="n">
        <v>0</v>
      </c>
      <c r="J49" t="n">
        <v>0</v>
      </c>
      <c r="K49" t="n">
        <v>1</v>
      </c>
      <c r="L49" t="n">
        <v>0</v>
      </c>
      <c r="M49" t="n">
        <v>0</v>
      </c>
      <c r="N49" t="n">
        <v>0</v>
      </c>
      <c r="O49" t="n">
        <v>1</v>
      </c>
      <c r="P49" t="n">
        <v>1</v>
      </c>
      <c r="Q49" t="n">
        <v>1</v>
      </c>
      <c r="R49" s="2" t="inlineStr">
        <is>
          <t>Knärot</t>
        </is>
      </c>
      <c r="S49">
        <f>HYPERLINK("https://klasma.github.io/Logging_1981/artfynd/A 38255-2025 artfynd.xlsx", "A 38255-2025")</f>
        <v/>
      </c>
      <c r="T49">
        <f>HYPERLINK("https://klasma.github.io/Logging_1981/kartor/A 38255-2025 karta.png", "A 38255-2025")</f>
        <v/>
      </c>
      <c r="U49">
        <f>HYPERLINK("https://klasma.github.io/Logging_1981/knärot/A 38255-2025 karta knärot.png", "A 38255-2025")</f>
        <v/>
      </c>
      <c r="V49">
        <f>HYPERLINK("https://klasma.github.io/Logging_1981/klagomål/A 38255-2025 FSC-klagomål.docx", "A 38255-2025")</f>
        <v/>
      </c>
      <c r="W49">
        <f>HYPERLINK("https://klasma.github.io/Logging_1981/klagomålsmail/A 38255-2025 FSC-klagomål mail.docx", "A 38255-2025")</f>
        <v/>
      </c>
      <c r="X49">
        <f>HYPERLINK("https://klasma.github.io/Logging_1981/tillsyn/A 38255-2025 tillsynsbegäran.docx", "A 38255-2025")</f>
        <v/>
      </c>
      <c r="Y49">
        <f>HYPERLINK("https://klasma.github.io/Logging_1981/tillsynsmail/A 38255-2025 tillsynsbegäran mail.docx", "A 38255-2025")</f>
        <v/>
      </c>
    </row>
    <row r="50" ht="15" customHeight="1">
      <c r="A50" t="inlineStr">
        <is>
          <t>A 50268-2025</t>
        </is>
      </c>
      <c r="B50" s="1" t="n">
        <v>45944.35162037037</v>
      </c>
      <c r="C50" s="1" t="n">
        <v>46086</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60852-2024</t>
        </is>
      </c>
      <c r="B51" s="1" t="n">
        <v>45644</v>
      </c>
      <c r="C51" s="1" t="n">
        <v>46086</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19361-2025</t>
        </is>
      </c>
      <c r="B52" s="1" t="n">
        <v>45769.63357638889</v>
      </c>
      <c r="C52" s="1" t="n">
        <v>46086</v>
      </c>
      <c r="D52" t="inlineStr">
        <is>
          <t>VÄSTMANLANDS LÄN</t>
        </is>
      </c>
      <c r="E52" t="inlineStr">
        <is>
          <t>SALA</t>
        </is>
      </c>
      <c r="F52" t="inlineStr">
        <is>
          <t>Bergvik skog öst AB</t>
        </is>
      </c>
      <c r="G52" t="n">
        <v>8.9</v>
      </c>
      <c r="H52" t="n">
        <v>0</v>
      </c>
      <c r="I52" t="n">
        <v>0</v>
      </c>
      <c r="J52" t="n">
        <v>1</v>
      </c>
      <c r="K52" t="n">
        <v>0</v>
      </c>
      <c r="L52" t="n">
        <v>0</v>
      </c>
      <c r="M52" t="n">
        <v>0</v>
      </c>
      <c r="N52" t="n">
        <v>0</v>
      </c>
      <c r="O52" t="n">
        <v>1</v>
      </c>
      <c r="P52" t="n">
        <v>0</v>
      </c>
      <c r="Q52" t="n">
        <v>1</v>
      </c>
      <c r="R52" s="2" t="inlineStr">
        <is>
          <t>Garnlav</t>
        </is>
      </c>
      <c r="S52">
        <f>HYPERLINK("https://klasma.github.io/Logging_1981/artfynd/A 19361-2025 artfynd.xlsx", "A 19361-2025")</f>
        <v/>
      </c>
      <c r="T52">
        <f>HYPERLINK("https://klasma.github.io/Logging_1981/kartor/A 19361-2025 karta.png", "A 19361-2025")</f>
        <v/>
      </c>
      <c r="V52">
        <f>HYPERLINK("https://klasma.github.io/Logging_1981/klagomål/A 19361-2025 FSC-klagomål.docx", "A 19361-2025")</f>
        <v/>
      </c>
      <c r="W52">
        <f>HYPERLINK("https://klasma.github.io/Logging_1981/klagomålsmail/A 19361-2025 FSC-klagomål mail.docx", "A 19361-2025")</f>
        <v/>
      </c>
      <c r="X52">
        <f>HYPERLINK("https://klasma.github.io/Logging_1981/tillsyn/A 19361-2025 tillsynsbegäran.docx", "A 19361-2025")</f>
        <v/>
      </c>
      <c r="Y52">
        <f>HYPERLINK("https://klasma.github.io/Logging_1981/tillsynsmail/A 19361-2025 tillsynsbegäran mail.docx", "A 19361-2025")</f>
        <v/>
      </c>
    </row>
    <row r="53" ht="15" customHeight="1">
      <c r="A53" t="inlineStr">
        <is>
          <t>A 41570-2021</t>
        </is>
      </c>
      <c r="B53" s="1" t="n">
        <v>44425</v>
      </c>
      <c r="C53" s="1" t="n">
        <v>46086</v>
      </c>
      <c r="D53" t="inlineStr">
        <is>
          <t>VÄSTMANLANDS LÄN</t>
        </is>
      </c>
      <c r="E53" t="inlineStr">
        <is>
          <t>SALA</t>
        </is>
      </c>
      <c r="G53" t="n">
        <v>1.4</v>
      </c>
      <c r="H53" t="n">
        <v>0</v>
      </c>
      <c r="I53" t="n">
        <v>0</v>
      </c>
      <c r="J53" t="n">
        <v>1</v>
      </c>
      <c r="K53" t="n">
        <v>0</v>
      </c>
      <c r="L53" t="n">
        <v>0</v>
      </c>
      <c r="M53" t="n">
        <v>0</v>
      </c>
      <c r="N53" t="n">
        <v>0</v>
      </c>
      <c r="O53" t="n">
        <v>1</v>
      </c>
      <c r="P53" t="n">
        <v>0</v>
      </c>
      <c r="Q53" t="n">
        <v>1</v>
      </c>
      <c r="R53" s="2" t="inlineStr">
        <is>
          <t>Vedtrappmossa</t>
        </is>
      </c>
      <c r="S53">
        <f>HYPERLINK("https://klasma.github.io/Logging_1981/artfynd/A 41570-2021 artfynd.xlsx", "A 41570-2021")</f>
        <v/>
      </c>
      <c r="T53">
        <f>HYPERLINK("https://klasma.github.io/Logging_1981/kartor/A 41570-2021 karta.png", "A 41570-2021")</f>
        <v/>
      </c>
      <c r="V53">
        <f>HYPERLINK("https://klasma.github.io/Logging_1981/klagomål/A 41570-2021 FSC-klagomål.docx", "A 41570-2021")</f>
        <v/>
      </c>
      <c r="W53">
        <f>HYPERLINK("https://klasma.github.io/Logging_1981/klagomålsmail/A 41570-2021 FSC-klagomål mail.docx", "A 41570-2021")</f>
        <v/>
      </c>
      <c r="X53">
        <f>HYPERLINK("https://klasma.github.io/Logging_1981/tillsyn/A 41570-2021 tillsynsbegäran.docx", "A 41570-2021")</f>
        <v/>
      </c>
      <c r="Y53">
        <f>HYPERLINK("https://klasma.github.io/Logging_1981/tillsynsmail/A 41570-2021 tillsynsbegäran mail.docx", "A 41570-2021")</f>
        <v/>
      </c>
    </row>
    <row r="54" ht="15" customHeight="1">
      <c r="A54" t="inlineStr">
        <is>
          <t>A 53052-2025</t>
        </is>
      </c>
      <c r="B54" s="1" t="n">
        <v>45958.36266203703</v>
      </c>
      <c r="C54" s="1" t="n">
        <v>46086</v>
      </c>
      <c r="D54" t="inlineStr">
        <is>
          <t>VÄSTMANLANDS LÄN</t>
        </is>
      </c>
      <c r="E54" t="inlineStr">
        <is>
          <t>SALA</t>
        </is>
      </c>
      <c r="F54" t="inlineStr">
        <is>
          <t>Sveaskog</t>
        </is>
      </c>
      <c r="G54" t="n">
        <v>1.1</v>
      </c>
      <c r="H54" t="n">
        <v>0</v>
      </c>
      <c r="I54" t="n">
        <v>0</v>
      </c>
      <c r="J54" t="n">
        <v>1</v>
      </c>
      <c r="K54" t="n">
        <v>0</v>
      </c>
      <c r="L54" t="n">
        <v>0</v>
      </c>
      <c r="M54" t="n">
        <v>0</v>
      </c>
      <c r="N54" t="n">
        <v>0</v>
      </c>
      <c r="O54" t="n">
        <v>1</v>
      </c>
      <c r="P54" t="n">
        <v>0</v>
      </c>
      <c r="Q54" t="n">
        <v>1</v>
      </c>
      <c r="R54" s="2" t="inlineStr">
        <is>
          <t>Motaggsvamp</t>
        </is>
      </c>
      <c r="S54">
        <f>HYPERLINK("https://klasma.github.io/Logging_1981/artfynd/A 53052-2025 artfynd.xlsx", "A 53052-2025")</f>
        <v/>
      </c>
      <c r="T54">
        <f>HYPERLINK("https://klasma.github.io/Logging_1981/kartor/A 53052-2025 karta.png", "A 53052-2025")</f>
        <v/>
      </c>
      <c r="V54">
        <f>HYPERLINK("https://klasma.github.io/Logging_1981/klagomål/A 53052-2025 FSC-klagomål.docx", "A 53052-2025")</f>
        <v/>
      </c>
      <c r="W54">
        <f>HYPERLINK("https://klasma.github.io/Logging_1981/klagomålsmail/A 53052-2025 FSC-klagomål mail.docx", "A 53052-2025")</f>
        <v/>
      </c>
      <c r="X54">
        <f>HYPERLINK("https://klasma.github.io/Logging_1981/tillsyn/A 53052-2025 tillsynsbegäran.docx", "A 53052-2025")</f>
        <v/>
      </c>
      <c r="Y54">
        <f>HYPERLINK("https://klasma.github.io/Logging_1981/tillsynsmail/A 53052-2025 tillsynsbegäran mail.docx", "A 53052-2025")</f>
        <v/>
      </c>
    </row>
    <row r="55" ht="15" customHeight="1">
      <c r="A55" t="inlineStr">
        <is>
          <t>A 43175-2023</t>
        </is>
      </c>
      <c r="B55" s="1" t="n">
        <v>45183</v>
      </c>
      <c r="C55" s="1" t="n">
        <v>46086</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55995-2025</t>
        </is>
      </c>
      <c r="B56" s="1" t="n">
        <v>45973.56733796297</v>
      </c>
      <c r="C56" s="1" t="n">
        <v>46086</v>
      </c>
      <c r="D56" t="inlineStr">
        <is>
          <t>VÄSTMANLANDS LÄN</t>
        </is>
      </c>
      <c r="E56" t="inlineStr">
        <is>
          <t>SALA</t>
        </is>
      </c>
      <c r="F56" t="inlineStr">
        <is>
          <t>Sveaskog</t>
        </is>
      </c>
      <c r="G56" t="n">
        <v>4.5</v>
      </c>
      <c r="H56" t="n">
        <v>1</v>
      </c>
      <c r="I56" t="n">
        <v>0</v>
      </c>
      <c r="J56" t="n">
        <v>0</v>
      </c>
      <c r="K56" t="n">
        <v>0</v>
      </c>
      <c r="L56" t="n">
        <v>0</v>
      </c>
      <c r="M56" t="n">
        <v>0</v>
      </c>
      <c r="N56" t="n">
        <v>0</v>
      </c>
      <c r="O56" t="n">
        <v>0</v>
      </c>
      <c r="P56" t="n">
        <v>0</v>
      </c>
      <c r="Q56" t="n">
        <v>1</v>
      </c>
      <c r="R56" s="2" t="inlineStr">
        <is>
          <t>Fläcknycklar</t>
        </is>
      </c>
      <c r="S56">
        <f>HYPERLINK("https://klasma.github.io/Logging_1981/artfynd/A 55995-2025 artfynd.xlsx", "A 55995-2025")</f>
        <v/>
      </c>
      <c r="T56">
        <f>HYPERLINK("https://klasma.github.io/Logging_1981/kartor/A 55995-2025 karta.png", "A 55995-2025")</f>
        <v/>
      </c>
      <c r="V56">
        <f>HYPERLINK("https://klasma.github.io/Logging_1981/klagomål/A 55995-2025 FSC-klagomål.docx", "A 55995-2025")</f>
        <v/>
      </c>
      <c r="W56">
        <f>HYPERLINK("https://klasma.github.io/Logging_1981/klagomålsmail/A 55995-2025 FSC-klagomål mail.docx", "A 55995-2025")</f>
        <v/>
      </c>
      <c r="X56">
        <f>HYPERLINK("https://klasma.github.io/Logging_1981/tillsyn/A 55995-2025 tillsynsbegäran.docx", "A 55995-2025")</f>
        <v/>
      </c>
      <c r="Y56">
        <f>HYPERLINK("https://klasma.github.io/Logging_1981/tillsynsmail/A 55995-2025 tillsynsbegäran mail.docx", "A 55995-2025")</f>
        <v/>
      </c>
    </row>
    <row r="57" ht="15" customHeight="1">
      <c r="A57" t="inlineStr">
        <is>
          <t>A 55550-2023</t>
        </is>
      </c>
      <c r="B57" s="1" t="n">
        <v>45232</v>
      </c>
      <c r="C57" s="1" t="n">
        <v>46086</v>
      </c>
      <c r="D57" t="inlineStr">
        <is>
          <t>VÄSTMANLANDS LÄN</t>
        </is>
      </c>
      <c r="E57" t="inlineStr">
        <is>
          <t>SALA</t>
        </is>
      </c>
      <c r="G57" t="n">
        <v>9.9</v>
      </c>
      <c r="H57" t="n">
        <v>1</v>
      </c>
      <c r="I57" t="n">
        <v>0</v>
      </c>
      <c r="J57" t="n">
        <v>0</v>
      </c>
      <c r="K57" t="n">
        <v>1</v>
      </c>
      <c r="L57" t="n">
        <v>0</v>
      </c>
      <c r="M57" t="n">
        <v>0</v>
      </c>
      <c r="N57" t="n">
        <v>0</v>
      </c>
      <c r="O57" t="n">
        <v>1</v>
      </c>
      <c r="P57" t="n">
        <v>1</v>
      </c>
      <c r="Q57" t="n">
        <v>1</v>
      </c>
      <c r="R57" s="2" t="inlineStr">
        <is>
          <t>Knärot</t>
        </is>
      </c>
      <c r="S57">
        <f>HYPERLINK("https://klasma.github.io/Logging_1981/artfynd/A 55550-2023 artfynd.xlsx", "A 55550-2023")</f>
        <v/>
      </c>
      <c r="T57">
        <f>HYPERLINK("https://klasma.github.io/Logging_1981/kartor/A 55550-2023 karta.png", "A 55550-2023")</f>
        <v/>
      </c>
      <c r="U57">
        <f>HYPERLINK("https://klasma.github.io/Logging_1981/knärot/A 55550-2023 karta knärot.png", "A 55550-2023")</f>
        <v/>
      </c>
      <c r="V57">
        <f>HYPERLINK("https://klasma.github.io/Logging_1981/klagomål/A 55550-2023 FSC-klagomål.docx", "A 55550-2023")</f>
        <v/>
      </c>
      <c r="W57">
        <f>HYPERLINK("https://klasma.github.io/Logging_1981/klagomålsmail/A 55550-2023 FSC-klagomål mail.docx", "A 55550-2023")</f>
        <v/>
      </c>
      <c r="X57">
        <f>HYPERLINK("https://klasma.github.io/Logging_1981/tillsyn/A 55550-2023 tillsynsbegäran.docx", "A 55550-2023")</f>
        <v/>
      </c>
      <c r="Y57">
        <f>HYPERLINK("https://klasma.github.io/Logging_1981/tillsynsmail/A 55550-2023 tillsynsbegäran mail.docx", "A 55550-2023")</f>
        <v/>
      </c>
    </row>
    <row r="58" ht="15" customHeight="1">
      <c r="A58" t="inlineStr">
        <is>
          <t>A 7672-2026</t>
        </is>
      </c>
      <c r="B58" s="1" t="n">
        <v>46062.42077546296</v>
      </c>
      <c r="C58" s="1" t="n">
        <v>46086</v>
      </c>
      <c r="D58" t="inlineStr">
        <is>
          <t>VÄSTMANLANDS LÄN</t>
        </is>
      </c>
      <c r="E58" t="inlineStr">
        <is>
          <t>SALA</t>
        </is>
      </c>
      <c r="G58" t="n">
        <v>2.9</v>
      </c>
      <c r="H58" t="n">
        <v>1</v>
      </c>
      <c r="I58" t="n">
        <v>0</v>
      </c>
      <c r="J58" t="n">
        <v>0</v>
      </c>
      <c r="K58" t="n">
        <v>0</v>
      </c>
      <c r="L58" t="n">
        <v>0</v>
      </c>
      <c r="M58" t="n">
        <v>0</v>
      </c>
      <c r="N58" t="n">
        <v>0</v>
      </c>
      <c r="O58" t="n">
        <v>0</v>
      </c>
      <c r="P58" t="n">
        <v>0</v>
      </c>
      <c r="Q58" t="n">
        <v>1</v>
      </c>
      <c r="R58" s="2" t="inlineStr">
        <is>
          <t>Nattviol</t>
        </is>
      </c>
      <c r="S58">
        <f>HYPERLINK("https://klasma.github.io/Logging_1981/artfynd/A 7672-2026 artfynd.xlsx", "A 7672-2026")</f>
        <v/>
      </c>
      <c r="T58">
        <f>HYPERLINK("https://klasma.github.io/Logging_1981/kartor/A 7672-2026 karta.png", "A 7672-2026")</f>
        <v/>
      </c>
      <c r="V58">
        <f>HYPERLINK("https://klasma.github.io/Logging_1981/klagomål/A 7672-2026 FSC-klagomål.docx", "A 7672-2026")</f>
        <v/>
      </c>
      <c r="W58">
        <f>HYPERLINK("https://klasma.github.io/Logging_1981/klagomålsmail/A 7672-2026 FSC-klagomål mail.docx", "A 7672-2026")</f>
        <v/>
      </c>
      <c r="X58">
        <f>HYPERLINK("https://klasma.github.io/Logging_1981/tillsyn/A 7672-2026 tillsynsbegäran.docx", "A 7672-2026")</f>
        <v/>
      </c>
      <c r="Y58">
        <f>HYPERLINK("https://klasma.github.io/Logging_1981/tillsynsmail/A 7672-2026 tillsynsbegäran mail.docx", "A 7672-2026")</f>
        <v/>
      </c>
    </row>
    <row r="59" ht="15" customHeight="1">
      <c r="A59" t="inlineStr">
        <is>
          <t>A 41270-2024</t>
        </is>
      </c>
      <c r="B59" s="1" t="n">
        <v>45559</v>
      </c>
      <c r="C59" s="1" t="n">
        <v>46086</v>
      </c>
      <c r="D59" t="inlineStr">
        <is>
          <t>VÄSTMANLANDS LÄN</t>
        </is>
      </c>
      <c r="E59" t="inlineStr">
        <is>
          <t>SALA</t>
        </is>
      </c>
      <c r="G59" t="n">
        <v>15.2</v>
      </c>
      <c r="H59" t="n">
        <v>1</v>
      </c>
      <c r="I59" t="n">
        <v>0</v>
      </c>
      <c r="J59" t="n">
        <v>1</v>
      </c>
      <c r="K59" t="n">
        <v>0</v>
      </c>
      <c r="L59" t="n">
        <v>0</v>
      </c>
      <c r="M59" t="n">
        <v>0</v>
      </c>
      <c r="N59" t="n">
        <v>0</v>
      </c>
      <c r="O59" t="n">
        <v>1</v>
      </c>
      <c r="P59" t="n">
        <v>0</v>
      </c>
      <c r="Q59" t="n">
        <v>1</v>
      </c>
      <c r="R59" s="2" t="inlineStr">
        <is>
          <t>Havsörn</t>
        </is>
      </c>
      <c r="S59">
        <f>HYPERLINK("https://klasma.github.io/Logging_1981/artfynd/A 41270-2024 artfynd.xlsx", "A 41270-2024")</f>
        <v/>
      </c>
      <c r="T59">
        <f>HYPERLINK("https://klasma.github.io/Logging_1981/kartor/A 41270-2024 karta.png", "A 41270-2024")</f>
        <v/>
      </c>
      <c r="V59">
        <f>HYPERLINK("https://klasma.github.io/Logging_1981/klagomål/A 41270-2024 FSC-klagomål.docx", "A 41270-2024")</f>
        <v/>
      </c>
      <c r="W59">
        <f>HYPERLINK("https://klasma.github.io/Logging_1981/klagomålsmail/A 41270-2024 FSC-klagomål mail.docx", "A 41270-2024")</f>
        <v/>
      </c>
      <c r="X59">
        <f>HYPERLINK("https://klasma.github.io/Logging_1981/tillsyn/A 41270-2024 tillsynsbegäran.docx", "A 41270-2024")</f>
        <v/>
      </c>
      <c r="Y59">
        <f>HYPERLINK("https://klasma.github.io/Logging_1981/tillsynsmail/A 41270-2024 tillsynsbegäran mail.docx", "A 41270-2024")</f>
        <v/>
      </c>
      <c r="Z59">
        <f>HYPERLINK("https://klasma.github.io/Logging_1981/fåglar/A 41270-2024 prioriterade fågelarter.docx", "A 41270-2024")</f>
        <v/>
      </c>
    </row>
    <row r="60" ht="15" customHeight="1">
      <c r="A60" t="inlineStr">
        <is>
          <t>A 43068-2024</t>
        </is>
      </c>
      <c r="B60" s="1" t="n">
        <v>45567</v>
      </c>
      <c r="C60" s="1" t="n">
        <v>46086</v>
      </c>
      <c r="D60" t="inlineStr">
        <is>
          <t>VÄSTMANLANDS LÄN</t>
        </is>
      </c>
      <c r="E60" t="inlineStr">
        <is>
          <t>SALA</t>
        </is>
      </c>
      <c r="G60" t="n">
        <v>1.1</v>
      </c>
      <c r="H60" t="n">
        <v>0</v>
      </c>
      <c r="I60" t="n">
        <v>1</v>
      </c>
      <c r="J60" t="n">
        <v>0</v>
      </c>
      <c r="K60" t="n">
        <v>0</v>
      </c>
      <c r="L60" t="n">
        <v>0</v>
      </c>
      <c r="M60" t="n">
        <v>0</v>
      </c>
      <c r="N60" t="n">
        <v>0</v>
      </c>
      <c r="O60" t="n">
        <v>0</v>
      </c>
      <c r="P60" t="n">
        <v>0</v>
      </c>
      <c r="Q60" t="n">
        <v>1</v>
      </c>
      <c r="R60" s="2" t="inlineStr">
        <is>
          <t>Vedticka</t>
        </is>
      </c>
      <c r="S60">
        <f>HYPERLINK("https://klasma.github.io/Logging_1981/artfynd/A 43068-2024 artfynd.xlsx", "A 43068-2024")</f>
        <v/>
      </c>
      <c r="T60">
        <f>HYPERLINK("https://klasma.github.io/Logging_1981/kartor/A 43068-2024 karta.png", "A 43068-2024")</f>
        <v/>
      </c>
      <c r="V60">
        <f>HYPERLINK("https://klasma.github.io/Logging_1981/klagomål/A 43068-2024 FSC-klagomål.docx", "A 43068-2024")</f>
        <v/>
      </c>
      <c r="W60">
        <f>HYPERLINK("https://klasma.github.io/Logging_1981/klagomålsmail/A 43068-2024 FSC-klagomål mail.docx", "A 43068-2024")</f>
        <v/>
      </c>
      <c r="X60">
        <f>HYPERLINK("https://klasma.github.io/Logging_1981/tillsyn/A 43068-2024 tillsynsbegäran.docx", "A 43068-2024")</f>
        <v/>
      </c>
      <c r="Y60">
        <f>HYPERLINK("https://klasma.github.io/Logging_1981/tillsynsmail/A 43068-2024 tillsynsbegäran mail.docx", "A 43068-2024")</f>
        <v/>
      </c>
    </row>
    <row r="61" ht="15" customHeight="1">
      <c r="A61" t="inlineStr">
        <is>
          <t>A 7919-2022</t>
        </is>
      </c>
      <c r="B61" s="1" t="n">
        <v>44608</v>
      </c>
      <c r="C61" s="1" t="n">
        <v>46086</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29985-2022</t>
        </is>
      </c>
      <c r="B62" s="1" t="n">
        <v>44756</v>
      </c>
      <c r="C62" s="1" t="n">
        <v>46086</v>
      </c>
      <c r="D62" t="inlineStr">
        <is>
          <t>VÄSTMANLANDS LÄN</t>
        </is>
      </c>
      <c r="E62" t="inlineStr">
        <is>
          <t>SALA</t>
        </is>
      </c>
      <c r="F62" t="inlineStr">
        <is>
          <t>Kommuner</t>
        </is>
      </c>
      <c r="G62" t="n">
        <v>1</v>
      </c>
      <c r="H62" t="n">
        <v>1</v>
      </c>
      <c r="I62" t="n">
        <v>1</v>
      </c>
      <c r="J62" t="n">
        <v>0</v>
      </c>
      <c r="K62" t="n">
        <v>0</v>
      </c>
      <c r="L62" t="n">
        <v>0</v>
      </c>
      <c r="M62" t="n">
        <v>0</v>
      </c>
      <c r="N62" t="n">
        <v>0</v>
      </c>
      <c r="O62" t="n">
        <v>0</v>
      </c>
      <c r="P62" t="n">
        <v>0</v>
      </c>
      <c r="Q62" t="n">
        <v>1</v>
      </c>
      <c r="R62" s="2" t="inlineStr">
        <is>
          <t>Skogsknipprot</t>
        </is>
      </c>
      <c r="S62">
        <f>HYPERLINK("https://klasma.github.io/Logging_1981/artfynd/A 29985-2022 artfynd.xlsx", "A 29985-2022")</f>
        <v/>
      </c>
      <c r="T62">
        <f>HYPERLINK("https://klasma.github.io/Logging_1981/kartor/A 29985-2022 karta.png", "A 29985-2022")</f>
        <v/>
      </c>
      <c r="V62">
        <f>HYPERLINK("https://klasma.github.io/Logging_1981/klagomål/A 29985-2022 FSC-klagomål.docx", "A 29985-2022")</f>
        <v/>
      </c>
      <c r="W62">
        <f>HYPERLINK("https://klasma.github.io/Logging_1981/klagomålsmail/A 29985-2022 FSC-klagomål mail.docx", "A 29985-2022")</f>
        <v/>
      </c>
      <c r="X62">
        <f>HYPERLINK("https://klasma.github.io/Logging_1981/tillsyn/A 29985-2022 tillsynsbegäran.docx", "A 29985-2022")</f>
        <v/>
      </c>
      <c r="Y62">
        <f>HYPERLINK("https://klasma.github.io/Logging_1981/tillsynsmail/A 29985-2022 tillsynsbegäran mail.docx", "A 29985-2022")</f>
        <v/>
      </c>
    </row>
    <row r="63" ht="15" customHeight="1">
      <c r="A63" t="inlineStr">
        <is>
          <t>A 7731-2023</t>
        </is>
      </c>
      <c r="B63" s="1" t="n">
        <v>44973</v>
      </c>
      <c r="C63" s="1" t="n">
        <v>46086</v>
      </c>
      <c r="D63" t="inlineStr">
        <is>
          <t>VÄSTMANLANDS LÄN</t>
        </is>
      </c>
      <c r="E63" t="inlineStr">
        <is>
          <t>SALA</t>
        </is>
      </c>
      <c r="F63" t="inlineStr">
        <is>
          <t>Bergvik skog öst AB</t>
        </is>
      </c>
      <c r="G63" t="n">
        <v>1.7</v>
      </c>
      <c r="H63" t="n">
        <v>1</v>
      </c>
      <c r="I63" t="n">
        <v>0</v>
      </c>
      <c r="J63" t="n">
        <v>1</v>
      </c>
      <c r="K63" t="n">
        <v>0</v>
      </c>
      <c r="L63" t="n">
        <v>0</v>
      </c>
      <c r="M63" t="n">
        <v>0</v>
      </c>
      <c r="N63" t="n">
        <v>0</v>
      </c>
      <c r="O63" t="n">
        <v>1</v>
      </c>
      <c r="P63" t="n">
        <v>0</v>
      </c>
      <c r="Q63" t="n">
        <v>1</v>
      </c>
      <c r="R63" s="2" t="inlineStr">
        <is>
          <t>Ävjepilört</t>
        </is>
      </c>
      <c r="S63">
        <f>HYPERLINK("https://klasma.github.io/Logging_1981/artfynd/A 7731-2023 artfynd.xlsx", "A 7731-2023")</f>
        <v/>
      </c>
      <c r="T63">
        <f>HYPERLINK("https://klasma.github.io/Logging_1981/kartor/A 7731-2023 karta.png", "A 7731-2023")</f>
        <v/>
      </c>
      <c r="V63">
        <f>HYPERLINK("https://klasma.github.io/Logging_1981/klagomål/A 7731-2023 FSC-klagomål.docx", "A 7731-2023")</f>
        <v/>
      </c>
      <c r="W63">
        <f>HYPERLINK("https://klasma.github.io/Logging_1981/klagomålsmail/A 7731-2023 FSC-klagomål mail.docx", "A 7731-2023")</f>
        <v/>
      </c>
      <c r="X63">
        <f>HYPERLINK("https://klasma.github.io/Logging_1981/tillsyn/A 7731-2023 tillsynsbegäran.docx", "A 7731-2023")</f>
        <v/>
      </c>
      <c r="Y63">
        <f>HYPERLINK("https://klasma.github.io/Logging_1981/tillsynsmail/A 7731-2023 tillsynsbegäran mail.docx", "A 7731-2023")</f>
        <v/>
      </c>
    </row>
    <row r="64" ht="15" customHeight="1">
      <c r="A64" t="inlineStr">
        <is>
          <t>A 56704-2022</t>
        </is>
      </c>
      <c r="B64" s="1" t="n">
        <v>44893.78075231481</v>
      </c>
      <c r="C64" s="1" t="n">
        <v>46086</v>
      </c>
      <c r="D64" t="inlineStr">
        <is>
          <t>VÄSTMANLANDS LÄN</t>
        </is>
      </c>
      <c r="E64" t="inlineStr">
        <is>
          <t>SALA</t>
        </is>
      </c>
      <c r="G64" t="n">
        <v>3.2</v>
      </c>
      <c r="H64" t="n">
        <v>1</v>
      </c>
      <c r="I64" t="n">
        <v>0</v>
      </c>
      <c r="J64" t="n">
        <v>0</v>
      </c>
      <c r="K64" t="n">
        <v>1</v>
      </c>
      <c r="L64" t="n">
        <v>0</v>
      </c>
      <c r="M64" t="n">
        <v>0</v>
      </c>
      <c r="N64" t="n">
        <v>0</v>
      </c>
      <c r="O64" t="n">
        <v>1</v>
      </c>
      <c r="P64" t="n">
        <v>1</v>
      </c>
      <c r="Q64" t="n">
        <v>1</v>
      </c>
      <c r="R64" s="2" t="inlineStr">
        <is>
          <t>Knärot</t>
        </is>
      </c>
      <c r="S64">
        <f>HYPERLINK("https://klasma.github.io/Logging_1981/artfynd/A 56704-2022 artfynd.xlsx", "A 56704-2022")</f>
        <v/>
      </c>
      <c r="T64">
        <f>HYPERLINK("https://klasma.github.io/Logging_1981/kartor/A 56704-2022 karta.png", "A 56704-2022")</f>
        <v/>
      </c>
      <c r="U64">
        <f>HYPERLINK("https://klasma.github.io/Logging_1981/knärot/A 56704-2022 karta knärot.png", "A 56704-2022")</f>
        <v/>
      </c>
      <c r="V64">
        <f>HYPERLINK("https://klasma.github.io/Logging_1981/klagomål/A 56704-2022 FSC-klagomål.docx", "A 56704-2022")</f>
        <v/>
      </c>
      <c r="W64">
        <f>HYPERLINK("https://klasma.github.io/Logging_1981/klagomålsmail/A 56704-2022 FSC-klagomål mail.docx", "A 56704-2022")</f>
        <v/>
      </c>
      <c r="X64">
        <f>HYPERLINK("https://klasma.github.io/Logging_1981/tillsyn/A 56704-2022 tillsynsbegäran.docx", "A 56704-2022")</f>
        <v/>
      </c>
      <c r="Y64">
        <f>HYPERLINK("https://klasma.github.io/Logging_1981/tillsynsmail/A 56704-2022 tillsynsbegäran mail.docx", "A 56704-2022")</f>
        <v/>
      </c>
    </row>
    <row r="65" ht="15" customHeight="1">
      <c r="A65" t="inlineStr">
        <is>
          <t>A 21738-2025</t>
        </is>
      </c>
      <c r="B65" s="1" t="n">
        <v>45783.59173611111</v>
      </c>
      <c r="C65" s="1" t="n">
        <v>46086</v>
      </c>
      <c r="D65" t="inlineStr">
        <is>
          <t>VÄSTMANLANDS LÄN</t>
        </is>
      </c>
      <c r="E65" t="inlineStr">
        <is>
          <t>SALA</t>
        </is>
      </c>
      <c r="G65" t="n">
        <v>2.1</v>
      </c>
      <c r="H65" t="n">
        <v>0</v>
      </c>
      <c r="I65" t="n">
        <v>0</v>
      </c>
      <c r="J65" t="n">
        <v>1</v>
      </c>
      <c r="K65" t="n">
        <v>0</v>
      </c>
      <c r="L65" t="n">
        <v>0</v>
      </c>
      <c r="M65" t="n">
        <v>0</v>
      </c>
      <c r="N65" t="n">
        <v>0</v>
      </c>
      <c r="O65" t="n">
        <v>1</v>
      </c>
      <c r="P65" t="n">
        <v>0</v>
      </c>
      <c r="Q65" t="n">
        <v>1</v>
      </c>
      <c r="R65" s="2" t="inlineStr">
        <is>
          <t>Motaggsvamp</t>
        </is>
      </c>
      <c r="S65">
        <f>HYPERLINK("https://klasma.github.io/Logging_1981/artfynd/A 21738-2025 artfynd.xlsx", "A 21738-2025")</f>
        <v/>
      </c>
      <c r="T65">
        <f>HYPERLINK("https://klasma.github.io/Logging_1981/kartor/A 21738-2025 karta.png", "A 21738-2025")</f>
        <v/>
      </c>
      <c r="V65">
        <f>HYPERLINK("https://klasma.github.io/Logging_1981/klagomål/A 21738-2025 FSC-klagomål.docx", "A 21738-2025")</f>
        <v/>
      </c>
      <c r="W65">
        <f>HYPERLINK("https://klasma.github.io/Logging_1981/klagomålsmail/A 21738-2025 FSC-klagomål mail.docx", "A 21738-2025")</f>
        <v/>
      </c>
      <c r="X65">
        <f>HYPERLINK("https://klasma.github.io/Logging_1981/tillsyn/A 21738-2025 tillsynsbegäran.docx", "A 21738-2025")</f>
        <v/>
      </c>
      <c r="Y65">
        <f>HYPERLINK("https://klasma.github.io/Logging_1981/tillsynsmail/A 21738-2025 tillsynsbegäran mail.docx", "A 21738-2025")</f>
        <v/>
      </c>
    </row>
    <row r="66" ht="15" customHeight="1">
      <c r="A66" t="inlineStr">
        <is>
          <t>A 22950-2025</t>
        </is>
      </c>
      <c r="B66" s="1" t="n">
        <v>45790.50728009259</v>
      </c>
      <c r="C66" s="1" t="n">
        <v>46086</v>
      </c>
      <c r="D66" t="inlineStr">
        <is>
          <t>VÄSTMANLANDS LÄN</t>
        </is>
      </c>
      <c r="E66" t="inlineStr">
        <is>
          <t>SALA</t>
        </is>
      </c>
      <c r="G66" t="n">
        <v>6.2</v>
      </c>
      <c r="H66" t="n">
        <v>1</v>
      </c>
      <c r="I66" t="n">
        <v>0</v>
      </c>
      <c r="J66" t="n">
        <v>1</v>
      </c>
      <c r="K66" t="n">
        <v>0</v>
      </c>
      <c r="L66" t="n">
        <v>0</v>
      </c>
      <c r="M66" t="n">
        <v>0</v>
      </c>
      <c r="N66" t="n">
        <v>0</v>
      </c>
      <c r="O66" t="n">
        <v>1</v>
      </c>
      <c r="P66" t="n">
        <v>0</v>
      </c>
      <c r="Q66" t="n">
        <v>1</v>
      </c>
      <c r="R66" s="2" t="inlineStr">
        <is>
          <t>Svartvit flugsnappare</t>
        </is>
      </c>
      <c r="S66">
        <f>HYPERLINK("https://klasma.github.io/Logging_1981/artfynd/A 22950-2025 artfynd.xlsx", "A 22950-2025")</f>
        <v/>
      </c>
      <c r="T66">
        <f>HYPERLINK("https://klasma.github.io/Logging_1981/kartor/A 22950-2025 karta.png", "A 22950-2025")</f>
        <v/>
      </c>
      <c r="V66">
        <f>HYPERLINK("https://klasma.github.io/Logging_1981/klagomål/A 22950-2025 FSC-klagomål.docx", "A 22950-2025")</f>
        <v/>
      </c>
      <c r="W66">
        <f>HYPERLINK("https://klasma.github.io/Logging_1981/klagomålsmail/A 22950-2025 FSC-klagomål mail.docx", "A 22950-2025")</f>
        <v/>
      </c>
      <c r="X66">
        <f>HYPERLINK("https://klasma.github.io/Logging_1981/tillsyn/A 22950-2025 tillsynsbegäran.docx", "A 22950-2025")</f>
        <v/>
      </c>
      <c r="Y66">
        <f>HYPERLINK("https://klasma.github.io/Logging_1981/tillsynsmail/A 22950-2025 tillsynsbegäran mail.docx", "A 22950-2025")</f>
        <v/>
      </c>
      <c r="Z66">
        <f>HYPERLINK("https://klasma.github.io/Logging_1981/fåglar/A 22950-2025 prioriterade fågelarter.docx", "A 22950-2025")</f>
        <v/>
      </c>
    </row>
    <row r="67" ht="15" customHeight="1">
      <c r="A67" t="inlineStr">
        <is>
          <t>A 73124-2021</t>
        </is>
      </c>
      <c r="B67" s="1" t="n">
        <v>44550</v>
      </c>
      <c r="C67" s="1" t="n">
        <v>46086</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46086</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46086</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46086</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46086</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46086</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46086</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46086</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46086</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46086</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46086</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46086</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46086</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46086</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46086</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24888-2021</t>
        </is>
      </c>
      <c r="B82" s="1" t="n">
        <v>44341</v>
      </c>
      <c r="C82" s="1" t="n">
        <v>46086</v>
      </c>
      <c r="D82" t="inlineStr">
        <is>
          <t>VÄSTMANLANDS LÄN</t>
        </is>
      </c>
      <c r="E82" t="inlineStr">
        <is>
          <t>SALA</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46086</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46086</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46086</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46086</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46086</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46086</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46086</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46086</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46086</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46086</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46086</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46086</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46086</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46086</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46086</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46086</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46086</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46086</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46086</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46086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46086</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46086</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46086</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46086</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46086</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46086</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46086</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46086</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46086</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46086</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46086</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46086</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46086</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46086</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46086</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46086</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46086</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46086</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46086</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46086</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46086</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46086</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46086</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46086</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46086</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46086</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66508-2021</t>
        </is>
      </c>
      <c r="B129" s="1" t="n">
        <v>44519.33401620371</v>
      </c>
      <c r="C129" s="1" t="n">
        <v>46086</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46086</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46086</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46086</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46086</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46086</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46086</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46086</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46086</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46086</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46086</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46086</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46086</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46086</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46086</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46086</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46086</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46086</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46086</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46086</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46086</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46086</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46086</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46086</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46086</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46086</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46086</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46086</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46086</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46086</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46086</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46086</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46086</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46086</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46086</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46086</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72405-2021</t>
        </is>
      </c>
      <c r="B165" s="1" t="n">
        <v>44545</v>
      </c>
      <c r="C165" s="1" t="n">
        <v>46086</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46086</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46086</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46086</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46086</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46086</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46086</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46086</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46086</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46086</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46086</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46086</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46086</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46086</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46086</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54910-2023</t>
        </is>
      </c>
      <c r="B180" s="1" t="n">
        <v>45229</v>
      </c>
      <c r="C180" s="1" t="n">
        <v>46086</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62449-2023</t>
        </is>
      </c>
      <c r="B181" s="1" t="n">
        <v>45268.49008101852</v>
      </c>
      <c r="C181" s="1" t="n">
        <v>46086</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35462-2024</t>
        </is>
      </c>
      <c r="B182" s="1" t="n">
        <v>45531</v>
      </c>
      <c r="C182" s="1" t="n">
        <v>46086</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14024-2025</t>
        </is>
      </c>
      <c r="B183" s="1" t="n">
        <v>45740.34650462963</v>
      </c>
      <c r="C183" s="1" t="n">
        <v>46086</v>
      </c>
      <c r="D183" t="inlineStr">
        <is>
          <t>VÄSTMANLANDS LÄN</t>
        </is>
      </c>
      <c r="E183" t="inlineStr">
        <is>
          <t>SALA</t>
        </is>
      </c>
      <c r="G183" t="n">
        <v>1.1</v>
      </c>
      <c r="H183" t="n">
        <v>0</v>
      </c>
      <c r="I183" t="n">
        <v>0</v>
      </c>
      <c r="J183" t="n">
        <v>0</v>
      </c>
      <c r="K183" t="n">
        <v>0</v>
      </c>
      <c r="L183" t="n">
        <v>0</v>
      </c>
      <c r="M183" t="n">
        <v>0</v>
      </c>
      <c r="N183" t="n">
        <v>0</v>
      </c>
      <c r="O183" t="n">
        <v>0</v>
      </c>
      <c r="P183" t="n">
        <v>0</v>
      </c>
      <c r="Q183" t="n">
        <v>0</v>
      </c>
      <c r="R183" s="2" t="inlineStr"/>
    </row>
    <row r="184" ht="15" customHeight="1">
      <c r="A184" t="inlineStr">
        <is>
          <t>A 17458-2024</t>
        </is>
      </c>
      <c r="B184" s="1" t="n">
        <v>45415</v>
      </c>
      <c r="C184" s="1" t="n">
        <v>46086</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58107-2021</t>
        </is>
      </c>
      <c r="B185" s="1" t="n">
        <v>44487</v>
      </c>
      <c r="C185" s="1" t="n">
        <v>46086</v>
      </c>
      <c r="D185" t="inlineStr">
        <is>
          <t>VÄSTMANLANDS LÄN</t>
        </is>
      </c>
      <c r="E185" t="inlineStr">
        <is>
          <t>SALA</t>
        </is>
      </c>
      <c r="F185" t="inlineStr">
        <is>
          <t>Sveaskog</t>
        </is>
      </c>
      <c r="G185" t="n">
        <v>2.8</v>
      </c>
      <c r="H185" t="n">
        <v>0</v>
      </c>
      <c r="I185" t="n">
        <v>0</v>
      </c>
      <c r="J185" t="n">
        <v>0</v>
      </c>
      <c r="K185" t="n">
        <v>0</v>
      </c>
      <c r="L185" t="n">
        <v>0</v>
      </c>
      <c r="M185" t="n">
        <v>0</v>
      </c>
      <c r="N185" t="n">
        <v>0</v>
      </c>
      <c r="O185" t="n">
        <v>0</v>
      </c>
      <c r="P185" t="n">
        <v>0</v>
      </c>
      <c r="Q185" t="n">
        <v>0</v>
      </c>
      <c r="R185" s="2" t="inlineStr"/>
    </row>
    <row r="186" ht="15" customHeight="1">
      <c r="A186" t="inlineStr">
        <is>
          <t>A 26692-2023</t>
        </is>
      </c>
      <c r="B186" s="1" t="n">
        <v>45093.360625</v>
      </c>
      <c r="C186" s="1" t="n">
        <v>46086</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56543-2024</t>
        </is>
      </c>
      <c r="B187" s="1" t="n">
        <v>45625</v>
      </c>
      <c r="C187" s="1" t="n">
        <v>46086</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31950-2023</t>
        </is>
      </c>
      <c r="B188" s="1" t="n">
        <v>45107</v>
      </c>
      <c r="C188" s="1" t="n">
        <v>46086</v>
      </c>
      <c r="D188" t="inlineStr">
        <is>
          <t>VÄSTMANLANDS LÄN</t>
        </is>
      </c>
      <c r="E188" t="inlineStr">
        <is>
          <t>SALA</t>
        </is>
      </c>
      <c r="G188" t="n">
        <v>1.9</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46086</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16767-2024</t>
        </is>
      </c>
      <c r="B190" s="1" t="n">
        <v>45411.38171296296</v>
      </c>
      <c r="C190" s="1" t="n">
        <v>46086</v>
      </c>
      <c r="D190" t="inlineStr">
        <is>
          <t>VÄSTMANLANDS LÄN</t>
        </is>
      </c>
      <c r="E190" t="inlineStr">
        <is>
          <t>SALA</t>
        </is>
      </c>
      <c r="G190" t="n">
        <v>2.5</v>
      </c>
      <c r="H190" t="n">
        <v>0</v>
      </c>
      <c r="I190" t="n">
        <v>0</v>
      </c>
      <c r="J190" t="n">
        <v>0</v>
      </c>
      <c r="K190" t="n">
        <v>0</v>
      </c>
      <c r="L190" t="n">
        <v>0</v>
      </c>
      <c r="M190" t="n">
        <v>0</v>
      </c>
      <c r="N190" t="n">
        <v>0</v>
      </c>
      <c r="O190" t="n">
        <v>0</v>
      </c>
      <c r="P190" t="n">
        <v>0</v>
      </c>
      <c r="Q190" t="n">
        <v>0</v>
      </c>
      <c r="R190" s="2" t="inlineStr"/>
    </row>
    <row r="191" ht="15" customHeight="1">
      <c r="A191" t="inlineStr">
        <is>
          <t>A 13022-2023</t>
        </is>
      </c>
      <c r="B191" s="1" t="n">
        <v>45002.33291666667</v>
      </c>
      <c r="C191" s="1" t="n">
        <v>46086</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12246-2023</t>
        </is>
      </c>
      <c r="B192" s="1" t="n">
        <v>44995</v>
      </c>
      <c r="C192" s="1" t="n">
        <v>46086</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4853-2023</t>
        </is>
      </c>
      <c r="B193" s="1" t="n">
        <v>44957.73234953704</v>
      </c>
      <c r="C193" s="1" t="n">
        <v>46086</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42447-2022</t>
        </is>
      </c>
      <c r="B194" s="1" t="n">
        <v>44831</v>
      </c>
      <c r="C194" s="1" t="n">
        <v>46086</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33732-2023</t>
        </is>
      </c>
      <c r="B195" s="1" t="n">
        <v>45133.32409722222</v>
      </c>
      <c r="C195" s="1" t="n">
        <v>46086</v>
      </c>
      <c r="D195" t="inlineStr">
        <is>
          <t>VÄSTMANLANDS LÄN</t>
        </is>
      </c>
      <c r="E195" t="inlineStr">
        <is>
          <t>SALA</t>
        </is>
      </c>
      <c r="G195" t="n">
        <v>2</v>
      </c>
      <c r="H195" t="n">
        <v>0</v>
      </c>
      <c r="I195" t="n">
        <v>0</v>
      </c>
      <c r="J195" t="n">
        <v>0</v>
      </c>
      <c r="K195" t="n">
        <v>0</v>
      </c>
      <c r="L195" t="n">
        <v>0</v>
      </c>
      <c r="M195" t="n">
        <v>0</v>
      </c>
      <c r="N195" t="n">
        <v>0</v>
      </c>
      <c r="O195" t="n">
        <v>0</v>
      </c>
      <c r="P195" t="n">
        <v>0</v>
      </c>
      <c r="Q195" t="n">
        <v>0</v>
      </c>
      <c r="R195" s="2" t="inlineStr"/>
    </row>
    <row r="196" ht="15" customHeight="1">
      <c r="A196" t="inlineStr">
        <is>
          <t>A 59909-2024</t>
        </is>
      </c>
      <c r="B196" s="1" t="n">
        <v>45641</v>
      </c>
      <c r="C196" s="1" t="n">
        <v>46086</v>
      </c>
      <c r="D196" t="inlineStr">
        <is>
          <t>VÄSTMANLANDS LÄN</t>
        </is>
      </c>
      <c r="E196" t="inlineStr">
        <is>
          <t>SALA</t>
        </is>
      </c>
      <c r="G196" t="n">
        <v>2.1</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46086</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41292-2021</t>
        </is>
      </c>
      <c r="B198" s="1" t="n">
        <v>44424</v>
      </c>
      <c r="C198" s="1" t="n">
        <v>46086</v>
      </c>
      <c r="D198" t="inlineStr">
        <is>
          <t>VÄSTMANLANDS LÄN</t>
        </is>
      </c>
      <c r="E198" t="inlineStr">
        <is>
          <t>SALA</t>
        </is>
      </c>
      <c r="G198" t="n">
        <v>0.3</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46086</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19398-2025</t>
        </is>
      </c>
      <c r="B200" s="1" t="n">
        <v>45769</v>
      </c>
      <c r="C200" s="1" t="n">
        <v>46086</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54603-2024</t>
        </is>
      </c>
      <c r="B201" s="1" t="n">
        <v>45617.68224537037</v>
      </c>
      <c r="C201" s="1" t="n">
        <v>46086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4797-2023</t>
        </is>
      </c>
      <c r="B202" s="1" t="n">
        <v>44957</v>
      </c>
      <c r="C202" s="1" t="n">
        <v>46086</v>
      </c>
      <c r="D202" t="inlineStr">
        <is>
          <t>VÄSTMANLANDS LÄN</t>
        </is>
      </c>
      <c r="E202" t="inlineStr">
        <is>
          <t>SALA</t>
        </is>
      </c>
      <c r="G202" t="n">
        <v>5.7</v>
      </c>
      <c r="H202" t="n">
        <v>0</v>
      </c>
      <c r="I202" t="n">
        <v>0</v>
      </c>
      <c r="J202" t="n">
        <v>0</v>
      </c>
      <c r="K202" t="n">
        <v>0</v>
      </c>
      <c r="L202" t="n">
        <v>0</v>
      </c>
      <c r="M202" t="n">
        <v>0</v>
      </c>
      <c r="N202" t="n">
        <v>0</v>
      </c>
      <c r="O202" t="n">
        <v>0</v>
      </c>
      <c r="P202" t="n">
        <v>0</v>
      </c>
      <c r="Q202" t="n">
        <v>0</v>
      </c>
      <c r="R202" s="2" t="inlineStr"/>
    </row>
    <row r="203" ht="15" customHeight="1">
      <c r="A203" t="inlineStr">
        <is>
          <t>A 1638-2023</t>
        </is>
      </c>
      <c r="B203" s="1" t="n">
        <v>44937</v>
      </c>
      <c r="C203" s="1" t="n">
        <v>46086</v>
      </c>
      <c r="D203" t="inlineStr">
        <is>
          <t>VÄSTMANLANDS LÄN</t>
        </is>
      </c>
      <c r="E203" t="inlineStr">
        <is>
          <t>SALA</t>
        </is>
      </c>
      <c r="G203" t="n">
        <v>3.1</v>
      </c>
      <c r="H203" t="n">
        <v>0</v>
      </c>
      <c r="I203" t="n">
        <v>0</v>
      </c>
      <c r="J203" t="n">
        <v>0</v>
      </c>
      <c r="K203" t="n">
        <v>0</v>
      </c>
      <c r="L203" t="n">
        <v>0</v>
      </c>
      <c r="M203" t="n">
        <v>0</v>
      </c>
      <c r="N203" t="n">
        <v>0</v>
      </c>
      <c r="O203" t="n">
        <v>0</v>
      </c>
      <c r="P203" t="n">
        <v>0</v>
      </c>
      <c r="Q203" t="n">
        <v>0</v>
      </c>
      <c r="R203" s="2" t="inlineStr"/>
    </row>
    <row r="204" ht="15" customHeight="1">
      <c r="A204" t="inlineStr">
        <is>
          <t>A 15972-2024</t>
        </is>
      </c>
      <c r="B204" s="1" t="n">
        <v>45405.56498842593</v>
      </c>
      <c r="C204" s="1" t="n">
        <v>46086</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61517-2024</t>
        </is>
      </c>
      <c r="B205" s="1" t="n">
        <v>45645</v>
      </c>
      <c r="C205" s="1" t="n">
        <v>46086</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37958-2024</t>
        </is>
      </c>
      <c r="B206" s="1" t="n">
        <v>45544</v>
      </c>
      <c r="C206" s="1" t="n">
        <v>46086</v>
      </c>
      <c r="D206" t="inlineStr">
        <is>
          <t>VÄSTMANLANDS LÄN</t>
        </is>
      </c>
      <c r="E206" t="inlineStr">
        <is>
          <t>SALA</t>
        </is>
      </c>
      <c r="G206" t="n">
        <v>5.6</v>
      </c>
      <c r="H206" t="n">
        <v>0</v>
      </c>
      <c r="I206" t="n">
        <v>0</v>
      </c>
      <c r="J206" t="n">
        <v>0</v>
      </c>
      <c r="K206" t="n">
        <v>0</v>
      </c>
      <c r="L206" t="n">
        <v>0</v>
      </c>
      <c r="M206" t="n">
        <v>0</v>
      </c>
      <c r="N206" t="n">
        <v>0</v>
      </c>
      <c r="O206" t="n">
        <v>0</v>
      </c>
      <c r="P206" t="n">
        <v>0</v>
      </c>
      <c r="Q206" t="n">
        <v>0</v>
      </c>
      <c r="R206" s="2" t="inlineStr"/>
    </row>
    <row r="207" ht="15" customHeight="1">
      <c r="A207" t="inlineStr">
        <is>
          <t>A 1555-2024</t>
        </is>
      </c>
      <c r="B207" s="1" t="n">
        <v>45306</v>
      </c>
      <c r="C207" s="1" t="n">
        <v>46086</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15756-2025</t>
        </is>
      </c>
      <c r="B208" s="1" t="n">
        <v>45748.56810185185</v>
      </c>
      <c r="C208" s="1" t="n">
        <v>46086</v>
      </c>
      <c r="D208" t="inlineStr">
        <is>
          <t>VÄSTMANLANDS LÄN</t>
        </is>
      </c>
      <c r="E208" t="inlineStr">
        <is>
          <t>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27229-2022</t>
        </is>
      </c>
      <c r="B209" s="1" t="n">
        <v>44741</v>
      </c>
      <c r="C209" s="1" t="n">
        <v>46086</v>
      </c>
      <c r="D209" t="inlineStr">
        <is>
          <t>VÄSTMANLANDS LÄN</t>
        </is>
      </c>
      <c r="E209" t="inlineStr">
        <is>
          <t>SALA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31000-2022</t>
        </is>
      </c>
      <c r="B210" s="1" t="n">
        <v>44768</v>
      </c>
      <c r="C210" s="1" t="n">
        <v>46086</v>
      </c>
      <c r="D210" t="inlineStr">
        <is>
          <t>VÄSTMANLANDS LÄN</t>
        </is>
      </c>
      <c r="E210" t="inlineStr">
        <is>
          <t>SALA</t>
        </is>
      </c>
      <c r="G210" t="n">
        <v>5.7</v>
      </c>
      <c r="H210" t="n">
        <v>0</v>
      </c>
      <c r="I210" t="n">
        <v>0</v>
      </c>
      <c r="J210" t="n">
        <v>0</v>
      </c>
      <c r="K210" t="n">
        <v>0</v>
      </c>
      <c r="L210" t="n">
        <v>0</v>
      </c>
      <c r="M210" t="n">
        <v>0</v>
      </c>
      <c r="N210" t="n">
        <v>0</v>
      </c>
      <c r="O210" t="n">
        <v>0</v>
      </c>
      <c r="P210" t="n">
        <v>0</v>
      </c>
      <c r="Q210" t="n">
        <v>0</v>
      </c>
      <c r="R210" s="2" t="inlineStr"/>
    </row>
    <row r="211" ht="15" customHeight="1">
      <c r="A211" t="inlineStr">
        <is>
          <t>A 1793-2023</t>
        </is>
      </c>
      <c r="B211" s="1" t="n">
        <v>44937</v>
      </c>
      <c r="C211" s="1" t="n">
        <v>46086</v>
      </c>
      <c r="D211" t="inlineStr">
        <is>
          <t>VÄSTMANLANDS LÄN</t>
        </is>
      </c>
      <c r="E211" t="inlineStr">
        <is>
          <t>SALA</t>
        </is>
      </c>
      <c r="G211" t="n">
        <v>2.6</v>
      </c>
      <c r="H211" t="n">
        <v>0</v>
      </c>
      <c r="I211" t="n">
        <v>0</v>
      </c>
      <c r="J211" t="n">
        <v>0</v>
      </c>
      <c r="K211" t="n">
        <v>0</v>
      </c>
      <c r="L211" t="n">
        <v>0</v>
      </c>
      <c r="M211" t="n">
        <v>0</v>
      </c>
      <c r="N211" t="n">
        <v>0</v>
      </c>
      <c r="O211" t="n">
        <v>0</v>
      </c>
      <c r="P211" t="n">
        <v>0</v>
      </c>
      <c r="Q211" t="n">
        <v>0</v>
      </c>
      <c r="R211" s="2" t="inlineStr"/>
    </row>
    <row r="212" ht="15" customHeight="1">
      <c r="A212" t="inlineStr">
        <is>
          <t>A 37183-2024</t>
        </is>
      </c>
      <c r="B212" s="1" t="n">
        <v>45539</v>
      </c>
      <c r="C212" s="1" t="n">
        <v>46086</v>
      </c>
      <c r="D212" t="inlineStr">
        <is>
          <t>VÄSTMANLANDS LÄN</t>
        </is>
      </c>
      <c r="E212" t="inlineStr">
        <is>
          <t>SALA</t>
        </is>
      </c>
      <c r="G212" t="n">
        <v>1.2</v>
      </c>
      <c r="H212" t="n">
        <v>0</v>
      </c>
      <c r="I212" t="n">
        <v>0</v>
      </c>
      <c r="J212" t="n">
        <v>0</v>
      </c>
      <c r="K212" t="n">
        <v>0</v>
      </c>
      <c r="L212" t="n">
        <v>0</v>
      </c>
      <c r="M212" t="n">
        <v>0</v>
      </c>
      <c r="N212" t="n">
        <v>0</v>
      </c>
      <c r="O212" t="n">
        <v>0</v>
      </c>
      <c r="P212" t="n">
        <v>0</v>
      </c>
      <c r="Q212" t="n">
        <v>0</v>
      </c>
      <c r="R212" s="2" t="inlineStr"/>
    </row>
    <row r="213" ht="15" customHeight="1">
      <c r="A213" t="inlineStr">
        <is>
          <t>A 22397-2022</t>
        </is>
      </c>
      <c r="B213" s="1" t="n">
        <v>44713</v>
      </c>
      <c r="C213" s="1" t="n">
        <v>46086</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29248-2022</t>
        </is>
      </c>
      <c r="B214" s="1" t="n">
        <v>44750</v>
      </c>
      <c r="C214" s="1" t="n">
        <v>46086</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14919-2025</t>
        </is>
      </c>
      <c r="B215" s="1" t="n">
        <v>45743.54256944444</v>
      </c>
      <c r="C215" s="1" t="n">
        <v>46086</v>
      </c>
      <c r="D215" t="inlineStr">
        <is>
          <t>VÄSTMANLANDS LÄN</t>
        </is>
      </c>
      <c r="E215" t="inlineStr">
        <is>
          <t>SALA</t>
        </is>
      </c>
      <c r="G215" t="n">
        <v>0.6</v>
      </c>
      <c r="H215" t="n">
        <v>0</v>
      </c>
      <c r="I215" t="n">
        <v>0</v>
      </c>
      <c r="J215" t="n">
        <v>0</v>
      </c>
      <c r="K215" t="n">
        <v>0</v>
      </c>
      <c r="L215" t="n">
        <v>0</v>
      </c>
      <c r="M215" t="n">
        <v>0</v>
      </c>
      <c r="N215" t="n">
        <v>0</v>
      </c>
      <c r="O215" t="n">
        <v>0</v>
      </c>
      <c r="P215" t="n">
        <v>0</v>
      </c>
      <c r="Q215" t="n">
        <v>0</v>
      </c>
      <c r="R215" s="2" t="inlineStr"/>
    </row>
    <row r="216" ht="15" customHeight="1">
      <c r="A216" t="inlineStr">
        <is>
          <t>A 14920-2025</t>
        </is>
      </c>
      <c r="B216" s="1" t="n">
        <v>45743</v>
      </c>
      <c r="C216" s="1" t="n">
        <v>46086</v>
      </c>
      <c r="D216" t="inlineStr">
        <is>
          <t>VÄSTMANLANDS LÄN</t>
        </is>
      </c>
      <c r="E216" t="inlineStr">
        <is>
          <t>SALA</t>
        </is>
      </c>
      <c r="G216" t="n">
        <v>0.5</v>
      </c>
      <c r="H216" t="n">
        <v>0</v>
      </c>
      <c r="I216" t="n">
        <v>0</v>
      </c>
      <c r="J216" t="n">
        <v>0</v>
      </c>
      <c r="K216" t="n">
        <v>0</v>
      </c>
      <c r="L216" t="n">
        <v>0</v>
      </c>
      <c r="M216" t="n">
        <v>0</v>
      </c>
      <c r="N216" t="n">
        <v>0</v>
      </c>
      <c r="O216" t="n">
        <v>0</v>
      </c>
      <c r="P216" t="n">
        <v>0</v>
      </c>
      <c r="Q216" t="n">
        <v>0</v>
      </c>
      <c r="R216" s="2" t="inlineStr"/>
    </row>
    <row r="217" ht="15" customHeight="1">
      <c r="A217" t="inlineStr">
        <is>
          <t>A 40398-2021</t>
        </is>
      </c>
      <c r="B217" s="1" t="n">
        <v>44419</v>
      </c>
      <c r="C217" s="1" t="n">
        <v>46086</v>
      </c>
      <c r="D217" t="inlineStr">
        <is>
          <t>VÄSTMANLANDS LÄN</t>
        </is>
      </c>
      <c r="E217" t="inlineStr">
        <is>
          <t>SALA</t>
        </is>
      </c>
      <c r="F217" t="inlineStr">
        <is>
          <t>Sveaskog</t>
        </is>
      </c>
      <c r="G217" t="n">
        <v>1</v>
      </c>
      <c r="H217" t="n">
        <v>0</v>
      </c>
      <c r="I217" t="n">
        <v>0</v>
      </c>
      <c r="J217" t="n">
        <v>0</v>
      </c>
      <c r="K217" t="n">
        <v>0</v>
      </c>
      <c r="L217" t="n">
        <v>0</v>
      </c>
      <c r="M217" t="n">
        <v>0</v>
      </c>
      <c r="N217" t="n">
        <v>0</v>
      </c>
      <c r="O217" t="n">
        <v>0</v>
      </c>
      <c r="P217" t="n">
        <v>0</v>
      </c>
      <c r="Q217" t="n">
        <v>0</v>
      </c>
      <c r="R217" s="2" t="inlineStr"/>
    </row>
    <row r="218" ht="15" customHeight="1">
      <c r="A218" t="inlineStr">
        <is>
          <t>A 28863-2022</t>
        </is>
      </c>
      <c r="B218" s="1" t="n">
        <v>44749.50649305555</v>
      </c>
      <c r="C218" s="1" t="n">
        <v>46086</v>
      </c>
      <c r="D218" t="inlineStr">
        <is>
          <t>VÄSTMANLANDS LÄN</t>
        </is>
      </c>
      <c r="E218" t="inlineStr">
        <is>
          <t>SALA</t>
        </is>
      </c>
      <c r="G218" t="n">
        <v>1.6</v>
      </c>
      <c r="H218" t="n">
        <v>0</v>
      </c>
      <c r="I218" t="n">
        <v>0</v>
      </c>
      <c r="J218" t="n">
        <v>0</v>
      </c>
      <c r="K218" t="n">
        <v>0</v>
      </c>
      <c r="L218" t="n">
        <v>0</v>
      </c>
      <c r="M218" t="n">
        <v>0</v>
      </c>
      <c r="N218" t="n">
        <v>0</v>
      </c>
      <c r="O218" t="n">
        <v>0</v>
      </c>
      <c r="P218" t="n">
        <v>0</v>
      </c>
      <c r="Q218" t="n">
        <v>0</v>
      </c>
      <c r="R218" s="2" t="inlineStr"/>
    </row>
    <row r="219" ht="15" customHeight="1">
      <c r="A219" t="inlineStr">
        <is>
          <t>A 2900-2023</t>
        </is>
      </c>
      <c r="B219" s="1" t="n">
        <v>44943</v>
      </c>
      <c r="C219" s="1" t="n">
        <v>46086</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6030-2024</t>
        </is>
      </c>
      <c r="B220" s="1" t="n">
        <v>45336.62782407407</v>
      </c>
      <c r="C220" s="1" t="n">
        <v>46086</v>
      </c>
      <c r="D220" t="inlineStr">
        <is>
          <t>VÄSTMANLANDS LÄN</t>
        </is>
      </c>
      <c r="E220" t="inlineStr">
        <is>
          <t>SALA</t>
        </is>
      </c>
      <c r="G220" t="n">
        <v>3.9</v>
      </c>
      <c r="H220" t="n">
        <v>0</v>
      </c>
      <c r="I220" t="n">
        <v>0</v>
      </c>
      <c r="J220" t="n">
        <v>0</v>
      </c>
      <c r="K220" t="n">
        <v>0</v>
      </c>
      <c r="L220" t="n">
        <v>0</v>
      </c>
      <c r="M220" t="n">
        <v>0</v>
      </c>
      <c r="N220" t="n">
        <v>0</v>
      </c>
      <c r="O220" t="n">
        <v>0</v>
      </c>
      <c r="P220" t="n">
        <v>0</v>
      </c>
      <c r="Q220" t="n">
        <v>0</v>
      </c>
      <c r="R220" s="2" t="inlineStr"/>
    </row>
    <row r="221" ht="15" customHeight="1">
      <c r="A221" t="inlineStr">
        <is>
          <t>A 43362-2023</t>
        </is>
      </c>
      <c r="B221" s="1" t="n">
        <v>45183</v>
      </c>
      <c r="C221" s="1" t="n">
        <v>46086</v>
      </c>
      <c r="D221" t="inlineStr">
        <is>
          <t>VÄSTMANLANDS LÄN</t>
        </is>
      </c>
      <c r="E221" t="inlineStr">
        <is>
          <t>SALA</t>
        </is>
      </c>
      <c r="G221" t="n">
        <v>2</v>
      </c>
      <c r="H221" t="n">
        <v>0</v>
      </c>
      <c r="I221" t="n">
        <v>0</v>
      </c>
      <c r="J221" t="n">
        <v>0</v>
      </c>
      <c r="K221" t="n">
        <v>0</v>
      </c>
      <c r="L221" t="n">
        <v>0</v>
      </c>
      <c r="M221" t="n">
        <v>0</v>
      </c>
      <c r="N221" t="n">
        <v>0</v>
      </c>
      <c r="O221" t="n">
        <v>0</v>
      </c>
      <c r="P221" t="n">
        <v>0</v>
      </c>
      <c r="Q221" t="n">
        <v>0</v>
      </c>
      <c r="R221" s="2" t="inlineStr"/>
    </row>
    <row r="222" ht="15" customHeight="1">
      <c r="A222" t="inlineStr">
        <is>
          <t>A 52630-2022</t>
        </is>
      </c>
      <c r="B222" s="1" t="n">
        <v>44874</v>
      </c>
      <c r="C222" s="1" t="n">
        <v>46086</v>
      </c>
      <c r="D222" t="inlineStr">
        <is>
          <t>VÄSTMANLANDS LÄN</t>
        </is>
      </c>
      <c r="E222" t="inlineStr">
        <is>
          <t>SALA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2521-2025</t>
        </is>
      </c>
      <c r="B223" s="1" t="n">
        <v>45674</v>
      </c>
      <c r="C223" s="1" t="n">
        <v>46086</v>
      </c>
      <c r="D223" t="inlineStr">
        <is>
          <t>VÄSTMANLANDS LÄN</t>
        </is>
      </c>
      <c r="E223" t="inlineStr">
        <is>
          <t>SALA</t>
        </is>
      </c>
      <c r="G223" t="n">
        <v>3.5</v>
      </c>
      <c r="H223" t="n">
        <v>0</v>
      </c>
      <c r="I223" t="n">
        <v>0</v>
      </c>
      <c r="J223" t="n">
        <v>0</v>
      </c>
      <c r="K223" t="n">
        <v>0</v>
      </c>
      <c r="L223" t="n">
        <v>0</v>
      </c>
      <c r="M223" t="n">
        <v>0</v>
      </c>
      <c r="N223" t="n">
        <v>0</v>
      </c>
      <c r="O223" t="n">
        <v>0</v>
      </c>
      <c r="P223" t="n">
        <v>0</v>
      </c>
      <c r="Q223" t="n">
        <v>0</v>
      </c>
      <c r="R223" s="2" t="inlineStr"/>
    </row>
    <row r="224" ht="15" customHeight="1">
      <c r="A224" t="inlineStr">
        <is>
          <t>A 60548-2024</t>
        </is>
      </c>
      <c r="B224" s="1" t="n">
        <v>45643.80978009259</v>
      </c>
      <c r="C224" s="1" t="n">
        <v>46086</v>
      </c>
      <c r="D224" t="inlineStr">
        <is>
          <t>VÄSTMANLANDS LÄN</t>
        </is>
      </c>
      <c r="E224" t="inlineStr">
        <is>
          <t>SALA</t>
        </is>
      </c>
      <c r="G224" t="n">
        <v>1.6</v>
      </c>
      <c r="H224" t="n">
        <v>0</v>
      </c>
      <c r="I224" t="n">
        <v>0</v>
      </c>
      <c r="J224" t="n">
        <v>0</v>
      </c>
      <c r="K224" t="n">
        <v>0</v>
      </c>
      <c r="L224" t="n">
        <v>0</v>
      </c>
      <c r="M224" t="n">
        <v>0</v>
      </c>
      <c r="N224" t="n">
        <v>0</v>
      </c>
      <c r="O224" t="n">
        <v>0</v>
      </c>
      <c r="P224" t="n">
        <v>0</v>
      </c>
      <c r="Q224" t="n">
        <v>0</v>
      </c>
      <c r="R224" s="2" t="inlineStr"/>
    </row>
    <row r="225" ht="15" customHeight="1">
      <c r="A225" t="inlineStr">
        <is>
          <t>A 26761-2023</t>
        </is>
      </c>
      <c r="B225" s="1" t="n">
        <v>45093</v>
      </c>
      <c r="C225" s="1" t="n">
        <v>46086</v>
      </c>
      <c r="D225" t="inlineStr">
        <is>
          <t>VÄSTMANLANDS LÄN</t>
        </is>
      </c>
      <c r="E225" t="inlineStr">
        <is>
          <t>SALA</t>
        </is>
      </c>
      <c r="G225" t="n">
        <v>4.3</v>
      </c>
      <c r="H225" t="n">
        <v>0</v>
      </c>
      <c r="I225" t="n">
        <v>0</v>
      </c>
      <c r="J225" t="n">
        <v>0</v>
      </c>
      <c r="K225" t="n">
        <v>0</v>
      </c>
      <c r="L225" t="n">
        <v>0</v>
      </c>
      <c r="M225" t="n">
        <v>0</v>
      </c>
      <c r="N225" t="n">
        <v>0</v>
      </c>
      <c r="O225" t="n">
        <v>0</v>
      </c>
      <c r="P225" t="n">
        <v>0</v>
      </c>
      <c r="Q225" t="n">
        <v>0</v>
      </c>
      <c r="R225" s="2" t="inlineStr"/>
    </row>
    <row r="226" ht="15" customHeight="1">
      <c r="A226" t="inlineStr">
        <is>
          <t>A 55035-2023</t>
        </is>
      </c>
      <c r="B226" s="1" t="n">
        <v>45229</v>
      </c>
      <c r="C226" s="1" t="n">
        <v>46086</v>
      </c>
      <c r="D226" t="inlineStr">
        <is>
          <t>VÄSTMANLANDS LÄN</t>
        </is>
      </c>
      <c r="E226" t="inlineStr">
        <is>
          <t>SALA</t>
        </is>
      </c>
      <c r="G226" t="n">
        <v>1.1</v>
      </c>
      <c r="H226" t="n">
        <v>0</v>
      </c>
      <c r="I226" t="n">
        <v>0</v>
      </c>
      <c r="J226" t="n">
        <v>0</v>
      </c>
      <c r="K226" t="n">
        <v>0</v>
      </c>
      <c r="L226" t="n">
        <v>0</v>
      </c>
      <c r="M226" t="n">
        <v>0</v>
      </c>
      <c r="N226" t="n">
        <v>0</v>
      </c>
      <c r="O226" t="n">
        <v>0</v>
      </c>
      <c r="P226" t="n">
        <v>0</v>
      </c>
      <c r="Q226" t="n">
        <v>0</v>
      </c>
      <c r="R226" s="2" t="inlineStr"/>
    </row>
    <row r="227" ht="15" customHeight="1">
      <c r="A227" t="inlineStr">
        <is>
          <t>A 60249-2023</t>
        </is>
      </c>
      <c r="B227" s="1" t="n">
        <v>45258</v>
      </c>
      <c r="C227" s="1" t="n">
        <v>46086</v>
      </c>
      <c r="D227" t="inlineStr">
        <is>
          <t>VÄSTMANLANDS LÄN</t>
        </is>
      </c>
      <c r="E227" t="inlineStr">
        <is>
          <t>SALA</t>
        </is>
      </c>
      <c r="G227" t="n">
        <v>2</v>
      </c>
      <c r="H227" t="n">
        <v>0</v>
      </c>
      <c r="I227" t="n">
        <v>0</v>
      </c>
      <c r="J227" t="n">
        <v>0</v>
      </c>
      <c r="K227" t="n">
        <v>0</v>
      </c>
      <c r="L227" t="n">
        <v>0</v>
      </c>
      <c r="M227" t="n">
        <v>0</v>
      </c>
      <c r="N227" t="n">
        <v>0</v>
      </c>
      <c r="O227" t="n">
        <v>0</v>
      </c>
      <c r="P227" t="n">
        <v>0</v>
      </c>
      <c r="Q227" t="n">
        <v>0</v>
      </c>
      <c r="R227" s="2" t="inlineStr"/>
    </row>
    <row r="228" ht="15" customHeight="1">
      <c r="A228" t="inlineStr">
        <is>
          <t>A 52500-2024</t>
        </is>
      </c>
      <c r="B228" s="1" t="n">
        <v>45609</v>
      </c>
      <c r="C228" s="1" t="n">
        <v>46086</v>
      </c>
      <c r="D228" t="inlineStr">
        <is>
          <t>VÄSTMANLANDS LÄN</t>
        </is>
      </c>
      <c r="E228" t="inlineStr">
        <is>
          <t>SALA</t>
        </is>
      </c>
      <c r="G228" t="n">
        <v>1.3</v>
      </c>
      <c r="H228" t="n">
        <v>0</v>
      </c>
      <c r="I228" t="n">
        <v>0</v>
      </c>
      <c r="J228" t="n">
        <v>0</v>
      </c>
      <c r="K228" t="n">
        <v>0</v>
      </c>
      <c r="L228" t="n">
        <v>0</v>
      </c>
      <c r="M228" t="n">
        <v>0</v>
      </c>
      <c r="N228" t="n">
        <v>0</v>
      </c>
      <c r="O228" t="n">
        <v>0</v>
      </c>
      <c r="P228" t="n">
        <v>0</v>
      </c>
      <c r="Q228" t="n">
        <v>0</v>
      </c>
      <c r="R228" s="2" t="inlineStr"/>
    </row>
    <row r="229" ht="15" customHeight="1">
      <c r="A229" t="inlineStr">
        <is>
          <t>A 14690-2025</t>
        </is>
      </c>
      <c r="B229" s="1" t="n">
        <v>45742.58212962963</v>
      </c>
      <c r="C229" s="1" t="n">
        <v>46086</v>
      </c>
      <c r="D229" t="inlineStr">
        <is>
          <t>VÄSTMANLANDS LÄN</t>
        </is>
      </c>
      <c r="E229" t="inlineStr">
        <is>
          <t>SALA</t>
        </is>
      </c>
      <c r="G229" t="n">
        <v>3.4</v>
      </c>
      <c r="H229" t="n">
        <v>0</v>
      </c>
      <c r="I229" t="n">
        <v>0</v>
      </c>
      <c r="J229" t="n">
        <v>0</v>
      </c>
      <c r="K229" t="n">
        <v>0</v>
      </c>
      <c r="L229" t="n">
        <v>0</v>
      </c>
      <c r="M229" t="n">
        <v>0</v>
      </c>
      <c r="N229" t="n">
        <v>0</v>
      </c>
      <c r="O229" t="n">
        <v>0</v>
      </c>
      <c r="P229" t="n">
        <v>0</v>
      </c>
      <c r="Q229" t="n">
        <v>0</v>
      </c>
      <c r="R229" s="2" t="inlineStr"/>
    </row>
    <row r="230" ht="15" customHeight="1">
      <c r="A230" t="inlineStr">
        <is>
          <t>A 31597-2024</t>
        </is>
      </c>
      <c r="B230" s="1" t="n">
        <v>45506</v>
      </c>
      <c r="C230" s="1" t="n">
        <v>46086</v>
      </c>
      <c r="D230" t="inlineStr">
        <is>
          <t>VÄSTMANLANDS LÄN</t>
        </is>
      </c>
      <c r="E230" t="inlineStr">
        <is>
          <t>SALA</t>
        </is>
      </c>
      <c r="G230" t="n">
        <v>2.4</v>
      </c>
      <c r="H230" t="n">
        <v>0</v>
      </c>
      <c r="I230" t="n">
        <v>0</v>
      </c>
      <c r="J230" t="n">
        <v>0</v>
      </c>
      <c r="K230" t="n">
        <v>0</v>
      </c>
      <c r="L230" t="n">
        <v>0</v>
      </c>
      <c r="M230" t="n">
        <v>0</v>
      </c>
      <c r="N230" t="n">
        <v>0</v>
      </c>
      <c r="O230" t="n">
        <v>0</v>
      </c>
      <c r="P230" t="n">
        <v>0</v>
      </c>
      <c r="Q230" t="n">
        <v>0</v>
      </c>
      <c r="R230" s="2" t="inlineStr"/>
    </row>
    <row r="231" ht="15" customHeight="1">
      <c r="A231" t="inlineStr">
        <is>
          <t>A 31599-2024</t>
        </is>
      </c>
      <c r="B231" s="1" t="n">
        <v>45506</v>
      </c>
      <c r="C231" s="1" t="n">
        <v>46086</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31601-2024</t>
        </is>
      </c>
      <c r="B232" s="1" t="n">
        <v>45506</v>
      </c>
      <c r="C232" s="1" t="n">
        <v>46086</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31608-2024</t>
        </is>
      </c>
      <c r="B233" s="1" t="n">
        <v>45506</v>
      </c>
      <c r="C233" s="1" t="n">
        <v>46086</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31612-2024</t>
        </is>
      </c>
      <c r="B234" s="1" t="n">
        <v>45506</v>
      </c>
      <c r="C234" s="1" t="n">
        <v>46086</v>
      </c>
      <c r="D234" t="inlineStr">
        <is>
          <t>VÄSTMANLANDS LÄN</t>
        </is>
      </c>
      <c r="E234" t="inlineStr">
        <is>
          <t>SALA</t>
        </is>
      </c>
      <c r="G234" t="n">
        <v>3.2</v>
      </c>
      <c r="H234" t="n">
        <v>0</v>
      </c>
      <c r="I234" t="n">
        <v>0</v>
      </c>
      <c r="J234" t="n">
        <v>0</v>
      </c>
      <c r="K234" t="n">
        <v>0</v>
      </c>
      <c r="L234" t="n">
        <v>0</v>
      </c>
      <c r="M234" t="n">
        <v>0</v>
      </c>
      <c r="N234" t="n">
        <v>0</v>
      </c>
      <c r="O234" t="n">
        <v>0</v>
      </c>
      <c r="P234" t="n">
        <v>0</v>
      </c>
      <c r="Q234" t="n">
        <v>0</v>
      </c>
      <c r="R234" s="2" t="inlineStr"/>
    </row>
    <row r="235" ht="15" customHeight="1">
      <c r="A235" t="inlineStr">
        <is>
          <t>A 56949-2023</t>
        </is>
      </c>
      <c r="B235" s="1" t="n">
        <v>45244.61589120371</v>
      </c>
      <c r="C235" s="1" t="n">
        <v>46086</v>
      </c>
      <c r="D235" t="inlineStr">
        <is>
          <t>VÄSTMANLANDS LÄN</t>
        </is>
      </c>
      <c r="E235" t="inlineStr">
        <is>
          <t>SALA</t>
        </is>
      </c>
      <c r="G235" t="n">
        <v>4.7</v>
      </c>
      <c r="H235" t="n">
        <v>0</v>
      </c>
      <c r="I235" t="n">
        <v>0</v>
      </c>
      <c r="J235" t="n">
        <v>0</v>
      </c>
      <c r="K235" t="n">
        <v>0</v>
      </c>
      <c r="L235" t="n">
        <v>0</v>
      </c>
      <c r="M235" t="n">
        <v>0</v>
      </c>
      <c r="N235" t="n">
        <v>0</v>
      </c>
      <c r="O235" t="n">
        <v>0</v>
      </c>
      <c r="P235" t="n">
        <v>0</v>
      </c>
      <c r="Q235" t="n">
        <v>0</v>
      </c>
      <c r="R235" s="2" t="inlineStr"/>
    </row>
    <row r="236" ht="15" customHeight="1">
      <c r="A236" t="inlineStr">
        <is>
          <t>A 96-2024</t>
        </is>
      </c>
      <c r="B236" s="1" t="n">
        <v>45293.85872685185</v>
      </c>
      <c r="C236" s="1" t="n">
        <v>46086</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54118-2023</t>
        </is>
      </c>
      <c r="B237" s="1" t="n">
        <v>45232</v>
      </c>
      <c r="C237" s="1" t="n">
        <v>46086</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26661-2025</t>
        </is>
      </c>
      <c r="B238" s="1" t="n">
        <v>45810</v>
      </c>
      <c r="C238" s="1" t="n">
        <v>46086</v>
      </c>
      <c r="D238" t="inlineStr">
        <is>
          <t>VÄSTMANLANDS LÄN</t>
        </is>
      </c>
      <c r="E238" t="inlineStr">
        <is>
          <t>SALA</t>
        </is>
      </c>
      <c r="G238" t="n">
        <v>3.5</v>
      </c>
      <c r="H238" t="n">
        <v>0</v>
      </c>
      <c r="I238" t="n">
        <v>0</v>
      </c>
      <c r="J238" t="n">
        <v>0</v>
      </c>
      <c r="K238" t="n">
        <v>0</v>
      </c>
      <c r="L238" t="n">
        <v>0</v>
      </c>
      <c r="M238" t="n">
        <v>0</v>
      </c>
      <c r="N238" t="n">
        <v>0</v>
      </c>
      <c r="O238" t="n">
        <v>0</v>
      </c>
      <c r="P238" t="n">
        <v>0</v>
      </c>
      <c r="Q238" t="n">
        <v>0</v>
      </c>
      <c r="R238" s="2" t="inlineStr"/>
    </row>
    <row r="239" ht="15" customHeight="1">
      <c r="A239" t="inlineStr">
        <is>
          <t>A 34814-2021</t>
        </is>
      </c>
      <c r="B239" s="1" t="n">
        <v>44383</v>
      </c>
      <c r="C239" s="1" t="n">
        <v>46086</v>
      </c>
      <c r="D239" t="inlineStr">
        <is>
          <t>VÄSTMANLANDS LÄN</t>
        </is>
      </c>
      <c r="E239" t="inlineStr">
        <is>
          <t>SALA</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25748-2022</t>
        </is>
      </c>
      <c r="B240" s="1" t="n">
        <v>44732</v>
      </c>
      <c r="C240" s="1" t="n">
        <v>46086</v>
      </c>
      <c r="D240" t="inlineStr">
        <is>
          <t>VÄSTMANLANDS LÄN</t>
        </is>
      </c>
      <c r="E240" t="inlineStr">
        <is>
          <t>SALA</t>
        </is>
      </c>
      <c r="G240" t="n">
        <v>7.7</v>
      </c>
      <c r="H240" t="n">
        <v>0</v>
      </c>
      <c r="I240" t="n">
        <v>0</v>
      </c>
      <c r="J240" t="n">
        <v>0</v>
      </c>
      <c r="K240" t="n">
        <v>0</v>
      </c>
      <c r="L240" t="n">
        <v>0</v>
      </c>
      <c r="M240" t="n">
        <v>0</v>
      </c>
      <c r="N240" t="n">
        <v>0</v>
      </c>
      <c r="O240" t="n">
        <v>0</v>
      </c>
      <c r="P240" t="n">
        <v>0</v>
      </c>
      <c r="Q240" t="n">
        <v>0</v>
      </c>
      <c r="R240" s="2" t="inlineStr"/>
    </row>
    <row r="241" ht="15" customHeight="1">
      <c r="A241" t="inlineStr">
        <is>
          <t>A 3733-2023</t>
        </is>
      </c>
      <c r="B241" s="1" t="n">
        <v>44951.42501157407</v>
      </c>
      <c r="C241" s="1" t="n">
        <v>46086</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6136-2025</t>
        </is>
      </c>
      <c r="B242" s="1" t="n">
        <v>45698.37601851852</v>
      </c>
      <c r="C242" s="1" t="n">
        <v>46086</v>
      </c>
      <c r="D242" t="inlineStr">
        <is>
          <t>VÄSTMANLANDS LÄN</t>
        </is>
      </c>
      <c r="E242" t="inlineStr">
        <is>
          <t>SALA</t>
        </is>
      </c>
      <c r="F242" t="inlineStr">
        <is>
          <t>Bergvik skog öst AB</t>
        </is>
      </c>
      <c r="G242" t="n">
        <v>2.2</v>
      </c>
      <c r="H242" t="n">
        <v>0</v>
      </c>
      <c r="I242" t="n">
        <v>0</v>
      </c>
      <c r="J242" t="n">
        <v>0</v>
      </c>
      <c r="K242" t="n">
        <v>0</v>
      </c>
      <c r="L242" t="n">
        <v>0</v>
      </c>
      <c r="M242" t="n">
        <v>0</v>
      </c>
      <c r="N242" t="n">
        <v>0</v>
      </c>
      <c r="O242" t="n">
        <v>0</v>
      </c>
      <c r="P242" t="n">
        <v>0</v>
      </c>
      <c r="Q242" t="n">
        <v>0</v>
      </c>
      <c r="R242" s="2" t="inlineStr"/>
    </row>
    <row r="243" ht="15" customHeight="1">
      <c r="A243" t="inlineStr">
        <is>
          <t>A 6190-2025</t>
        </is>
      </c>
      <c r="B243" s="1" t="n">
        <v>45698</v>
      </c>
      <c r="C243" s="1" t="n">
        <v>46086</v>
      </c>
      <c r="D243" t="inlineStr">
        <is>
          <t>VÄSTMANLANDS LÄN</t>
        </is>
      </c>
      <c r="E243" t="inlineStr">
        <is>
          <t>SALA</t>
        </is>
      </c>
      <c r="F243" t="inlineStr">
        <is>
          <t>Bergvik skog öst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38574-2025</t>
        </is>
      </c>
      <c r="B244" s="1" t="n">
        <v>45884.46390046296</v>
      </c>
      <c r="C244" s="1" t="n">
        <v>46086</v>
      </c>
      <c r="D244" t="inlineStr">
        <is>
          <t>VÄSTMANLANDS LÄN</t>
        </is>
      </c>
      <c r="E244" t="inlineStr">
        <is>
          <t>SALA</t>
        </is>
      </c>
      <c r="G244" t="n">
        <v>2.1</v>
      </c>
      <c r="H244" t="n">
        <v>0</v>
      </c>
      <c r="I244" t="n">
        <v>0</v>
      </c>
      <c r="J244" t="n">
        <v>0</v>
      </c>
      <c r="K244" t="n">
        <v>0</v>
      </c>
      <c r="L244" t="n">
        <v>0</v>
      </c>
      <c r="M244" t="n">
        <v>0</v>
      </c>
      <c r="N244" t="n">
        <v>0</v>
      </c>
      <c r="O244" t="n">
        <v>0</v>
      </c>
      <c r="P244" t="n">
        <v>0</v>
      </c>
      <c r="Q244" t="n">
        <v>0</v>
      </c>
      <c r="R244" s="2" t="inlineStr"/>
    </row>
    <row r="245" ht="15" customHeight="1">
      <c r="A245" t="inlineStr">
        <is>
          <t>A 16760-2024</t>
        </is>
      </c>
      <c r="B245" s="1" t="n">
        <v>45411</v>
      </c>
      <c r="C245" s="1" t="n">
        <v>46086</v>
      </c>
      <c r="D245" t="inlineStr">
        <is>
          <t>VÄSTMANLANDS LÄN</t>
        </is>
      </c>
      <c r="E245" t="inlineStr">
        <is>
          <t>SALA</t>
        </is>
      </c>
      <c r="G245" t="n">
        <v>2.6</v>
      </c>
      <c r="H245" t="n">
        <v>0</v>
      </c>
      <c r="I245" t="n">
        <v>0</v>
      </c>
      <c r="J245" t="n">
        <v>0</v>
      </c>
      <c r="K245" t="n">
        <v>0</v>
      </c>
      <c r="L245" t="n">
        <v>0</v>
      </c>
      <c r="M245" t="n">
        <v>0</v>
      </c>
      <c r="N245" t="n">
        <v>0</v>
      </c>
      <c r="O245" t="n">
        <v>0</v>
      </c>
      <c r="P245" t="n">
        <v>0</v>
      </c>
      <c r="Q245" t="n">
        <v>0</v>
      </c>
      <c r="R245" s="2" t="inlineStr"/>
    </row>
    <row r="246" ht="15" customHeight="1">
      <c r="A246" t="inlineStr">
        <is>
          <t>A 6127-2025</t>
        </is>
      </c>
      <c r="B246" s="1" t="n">
        <v>45698</v>
      </c>
      <c r="C246" s="1" t="n">
        <v>46086</v>
      </c>
      <c r="D246" t="inlineStr">
        <is>
          <t>VÄSTMANLANDS LÄN</t>
        </is>
      </c>
      <c r="E246" t="inlineStr">
        <is>
          <t>SALA</t>
        </is>
      </c>
      <c r="F246" t="inlineStr">
        <is>
          <t>Bergvik skog öst AB</t>
        </is>
      </c>
      <c r="G246" t="n">
        <v>4.3</v>
      </c>
      <c r="H246" t="n">
        <v>0</v>
      </c>
      <c r="I246" t="n">
        <v>0</v>
      </c>
      <c r="J246" t="n">
        <v>0</v>
      </c>
      <c r="K246" t="n">
        <v>0</v>
      </c>
      <c r="L246" t="n">
        <v>0</v>
      </c>
      <c r="M246" t="n">
        <v>0</v>
      </c>
      <c r="N246" t="n">
        <v>0</v>
      </c>
      <c r="O246" t="n">
        <v>0</v>
      </c>
      <c r="P246" t="n">
        <v>0</v>
      </c>
      <c r="Q246" t="n">
        <v>0</v>
      </c>
      <c r="R246" s="2" t="inlineStr"/>
    </row>
    <row r="247" ht="15" customHeight="1">
      <c r="A247" t="inlineStr">
        <is>
          <t>A 27989-2025</t>
        </is>
      </c>
      <c r="B247" s="1" t="n">
        <v>45817.58716435185</v>
      </c>
      <c r="C247" s="1" t="n">
        <v>46086</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27981-2025</t>
        </is>
      </c>
      <c r="B248" s="1" t="n">
        <v>45817.57471064815</v>
      </c>
      <c r="C248" s="1" t="n">
        <v>46086</v>
      </c>
      <c r="D248" t="inlineStr">
        <is>
          <t>VÄSTMANLANDS LÄN</t>
        </is>
      </c>
      <c r="E248" t="inlineStr">
        <is>
          <t>SALA</t>
        </is>
      </c>
      <c r="G248" t="n">
        <v>1.7</v>
      </c>
      <c r="H248" t="n">
        <v>0</v>
      </c>
      <c r="I248" t="n">
        <v>0</v>
      </c>
      <c r="J248" t="n">
        <v>0</v>
      </c>
      <c r="K248" t="n">
        <v>0</v>
      </c>
      <c r="L248" t="n">
        <v>0</v>
      </c>
      <c r="M248" t="n">
        <v>0</v>
      </c>
      <c r="N248" t="n">
        <v>0</v>
      </c>
      <c r="O248" t="n">
        <v>0</v>
      </c>
      <c r="P248" t="n">
        <v>0</v>
      </c>
      <c r="Q248" t="n">
        <v>0</v>
      </c>
      <c r="R248" s="2" t="inlineStr"/>
    </row>
    <row r="249" ht="15" customHeight="1">
      <c r="A249" t="inlineStr">
        <is>
          <t>A 31864-2025</t>
        </is>
      </c>
      <c r="B249" s="1" t="n">
        <v>45834.63819444444</v>
      </c>
      <c r="C249" s="1" t="n">
        <v>46086</v>
      </c>
      <c r="D249" t="inlineStr">
        <is>
          <t>VÄSTMANLANDS LÄN</t>
        </is>
      </c>
      <c r="E249" t="inlineStr">
        <is>
          <t>SALA</t>
        </is>
      </c>
      <c r="G249" t="n">
        <v>6.3</v>
      </c>
      <c r="H249" t="n">
        <v>0</v>
      </c>
      <c r="I249" t="n">
        <v>0</v>
      </c>
      <c r="J249" t="n">
        <v>0</v>
      </c>
      <c r="K249" t="n">
        <v>0</v>
      </c>
      <c r="L249" t="n">
        <v>0</v>
      </c>
      <c r="M249" t="n">
        <v>0</v>
      </c>
      <c r="N249" t="n">
        <v>0</v>
      </c>
      <c r="O249" t="n">
        <v>0</v>
      </c>
      <c r="P249" t="n">
        <v>0</v>
      </c>
      <c r="Q249" t="n">
        <v>0</v>
      </c>
      <c r="R249" s="2" t="inlineStr"/>
    </row>
    <row r="250" ht="15" customHeight="1">
      <c r="A250" t="inlineStr">
        <is>
          <t>A 28193-2025</t>
        </is>
      </c>
      <c r="B250" s="1" t="n">
        <v>45818.425625</v>
      </c>
      <c r="C250" s="1" t="n">
        <v>46086</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988-2025</t>
        </is>
      </c>
      <c r="B251" s="1" t="n">
        <v>45666.44038194444</v>
      </c>
      <c r="C251" s="1" t="n">
        <v>46086</v>
      </c>
      <c r="D251" t="inlineStr">
        <is>
          <t>VÄSTMANLANDS LÄN</t>
        </is>
      </c>
      <c r="E251" t="inlineStr">
        <is>
          <t>SALA</t>
        </is>
      </c>
      <c r="G251" t="n">
        <v>1.3</v>
      </c>
      <c r="H251" t="n">
        <v>0</v>
      </c>
      <c r="I251" t="n">
        <v>0</v>
      </c>
      <c r="J251" t="n">
        <v>0</v>
      </c>
      <c r="K251" t="n">
        <v>0</v>
      </c>
      <c r="L251" t="n">
        <v>0</v>
      </c>
      <c r="M251" t="n">
        <v>0</v>
      </c>
      <c r="N251" t="n">
        <v>0</v>
      </c>
      <c r="O251" t="n">
        <v>0</v>
      </c>
      <c r="P251" t="n">
        <v>0</v>
      </c>
      <c r="Q251" t="n">
        <v>0</v>
      </c>
      <c r="R251" s="2" t="inlineStr"/>
    </row>
    <row r="252" ht="15" customHeight="1">
      <c r="A252" t="inlineStr">
        <is>
          <t>A 28284-2025</t>
        </is>
      </c>
      <c r="B252" s="1" t="n">
        <v>45818.58893518519</v>
      </c>
      <c r="C252" s="1" t="n">
        <v>46086</v>
      </c>
      <c r="D252" t="inlineStr">
        <is>
          <t>VÄSTMANLANDS LÄN</t>
        </is>
      </c>
      <c r="E252" t="inlineStr">
        <is>
          <t>SALA</t>
        </is>
      </c>
      <c r="G252" t="n">
        <v>2.4</v>
      </c>
      <c r="H252" t="n">
        <v>0</v>
      </c>
      <c r="I252" t="n">
        <v>0</v>
      </c>
      <c r="J252" t="n">
        <v>0</v>
      </c>
      <c r="K252" t="n">
        <v>0</v>
      </c>
      <c r="L252" t="n">
        <v>0</v>
      </c>
      <c r="M252" t="n">
        <v>0</v>
      </c>
      <c r="N252" t="n">
        <v>0</v>
      </c>
      <c r="O252" t="n">
        <v>0</v>
      </c>
      <c r="P252" t="n">
        <v>0</v>
      </c>
      <c r="Q252" t="n">
        <v>0</v>
      </c>
      <c r="R252" s="2" t="inlineStr"/>
    </row>
    <row r="253" ht="15" customHeight="1">
      <c r="A253" t="inlineStr">
        <is>
          <t>A 16651-2021</t>
        </is>
      </c>
      <c r="B253" s="1" t="n">
        <v>44294.50096064815</v>
      </c>
      <c r="C253" s="1" t="n">
        <v>46086</v>
      </c>
      <c r="D253" t="inlineStr">
        <is>
          <t>VÄSTMANLANDS LÄN</t>
        </is>
      </c>
      <c r="E253" t="inlineStr">
        <is>
          <t>SALA</t>
        </is>
      </c>
      <c r="G253" t="n">
        <v>7.7</v>
      </c>
      <c r="H253" t="n">
        <v>0</v>
      </c>
      <c r="I253" t="n">
        <v>0</v>
      </c>
      <c r="J253" t="n">
        <v>0</v>
      </c>
      <c r="K253" t="n">
        <v>0</v>
      </c>
      <c r="L253" t="n">
        <v>0</v>
      </c>
      <c r="M253" t="n">
        <v>0</v>
      </c>
      <c r="N253" t="n">
        <v>0</v>
      </c>
      <c r="O253" t="n">
        <v>0</v>
      </c>
      <c r="P253" t="n">
        <v>0</v>
      </c>
      <c r="Q253" t="n">
        <v>0</v>
      </c>
      <c r="R253" s="2" t="inlineStr"/>
    </row>
    <row r="254" ht="15" customHeight="1">
      <c r="A254" t="inlineStr">
        <is>
          <t>A 60328-2024</t>
        </is>
      </c>
      <c r="B254" s="1" t="n">
        <v>45643.38416666666</v>
      </c>
      <c r="C254" s="1" t="n">
        <v>46086</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28278-2025</t>
        </is>
      </c>
      <c r="B255" s="1" t="n">
        <v>45818.58454861111</v>
      </c>
      <c r="C255" s="1" t="n">
        <v>46086</v>
      </c>
      <c r="D255" t="inlineStr">
        <is>
          <t>VÄSTMANLANDS LÄN</t>
        </is>
      </c>
      <c r="E255" t="inlineStr">
        <is>
          <t>SALA</t>
        </is>
      </c>
      <c r="G255" t="n">
        <v>7.6</v>
      </c>
      <c r="H255" t="n">
        <v>0</v>
      </c>
      <c r="I255" t="n">
        <v>0</v>
      </c>
      <c r="J255" t="n">
        <v>0</v>
      </c>
      <c r="K255" t="n">
        <v>0</v>
      </c>
      <c r="L255" t="n">
        <v>0</v>
      </c>
      <c r="M255" t="n">
        <v>0</v>
      </c>
      <c r="N255" t="n">
        <v>0</v>
      </c>
      <c r="O255" t="n">
        <v>0</v>
      </c>
      <c r="P255" t="n">
        <v>0</v>
      </c>
      <c r="Q255" t="n">
        <v>0</v>
      </c>
      <c r="R255" s="2" t="inlineStr"/>
    </row>
    <row r="256" ht="15" customHeight="1">
      <c r="A256" t="inlineStr">
        <is>
          <t>A 28628-2025</t>
        </is>
      </c>
      <c r="B256" s="1" t="n">
        <v>45819.62158564815</v>
      </c>
      <c r="C256" s="1" t="n">
        <v>46086</v>
      </c>
      <c r="D256" t="inlineStr">
        <is>
          <t>VÄSTMANLANDS LÄN</t>
        </is>
      </c>
      <c r="E256" t="inlineStr">
        <is>
          <t>SALA</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35016-2024</t>
        </is>
      </c>
      <c r="B257" s="1" t="n">
        <v>45527.59115740741</v>
      </c>
      <c r="C257" s="1" t="n">
        <v>46086</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28632-2025</t>
        </is>
      </c>
      <c r="B258" s="1" t="n">
        <v>45819.62344907408</v>
      </c>
      <c r="C258" s="1" t="n">
        <v>46086</v>
      </c>
      <c r="D258" t="inlineStr">
        <is>
          <t>VÄSTMANLANDS LÄN</t>
        </is>
      </c>
      <c r="E258" t="inlineStr">
        <is>
          <t>SALA</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28630-2025</t>
        </is>
      </c>
      <c r="B259" s="1" t="n">
        <v>45819.62274305556</v>
      </c>
      <c r="C259" s="1" t="n">
        <v>46086</v>
      </c>
      <c r="D259" t="inlineStr">
        <is>
          <t>VÄSTMANLANDS LÄN</t>
        </is>
      </c>
      <c r="E259" t="inlineStr">
        <is>
          <t>SALA</t>
        </is>
      </c>
      <c r="F259" t="inlineStr">
        <is>
          <t>Sveaskog</t>
        </is>
      </c>
      <c r="G259" t="n">
        <v>9</v>
      </c>
      <c r="H259" t="n">
        <v>0</v>
      </c>
      <c r="I259" t="n">
        <v>0</v>
      </c>
      <c r="J259" t="n">
        <v>0</v>
      </c>
      <c r="K259" t="n">
        <v>0</v>
      </c>
      <c r="L259" t="n">
        <v>0</v>
      </c>
      <c r="M259" t="n">
        <v>0</v>
      </c>
      <c r="N259" t="n">
        <v>0</v>
      </c>
      <c r="O259" t="n">
        <v>0</v>
      </c>
      <c r="P259" t="n">
        <v>0</v>
      </c>
      <c r="Q259" t="n">
        <v>0</v>
      </c>
      <c r="R259" s="2" t="inlineStr"/>
    </row>
    <row r="260" ht="15" customHeight="1">
      <c r="A260" t="inlineStr">
        <is>
          <t>A 25897-2024</t>
        </is>
      </c>
      <c r="B260" s="1" t="n">
        <v>45467.54435185185</v>
      </c>
      <c r="C260" s="1" t="n">
        <v>46086</v>
      </c>
      <c r="D260" t="inlineStr">
        <is>
          <t>VÄSTMANLANDS LÄN</t>
        </is>
      </c>
      <c r="E260" t="inlineStr">
        <is>
          <t>SALA</t>
        </is>
      </c>
      <c r="G260" t="n">
        <v>9.9</v>
      </c>
      <c r="H260" t="n">
        <v>0</v>
      </c>
      <c r="I260" t="n">
        <v>0</v>
      </c>
      <c r="J260" t="n">
        <v>0</v>
      </c>
      <c r="K260" t="n">
        <v>0</v>
      </c>
      <c r="L260" t="n">
        <v>0</v>
      </c>
      <c r="M260" t="n">
        <v>0</v>
      </c>
      <c r="N260" t="n">
        <v>0</v>
      </c>
      <c r="O260" t="n">
        <v>0</v>
      </c>
      <c r="P260" t="n">
        <v>0</v>
      </c>
      <c r="Q260" t="n">
        <v>0</v>
      </c>
      <c r="R260" s="2" t="inlineStr"/>
    </row>
    <row r="261" ht="15" customHeight="1">
      <c r="A261" t="inlineStr">
        <is>
          <t>A 31072-2021</t>
        </is>
      </c>
      <c r="B261" s="1" t="n">
        <v>44368</v>
      </c>
      <c r="C261" s="1" t="n">
        <v>46086</v>
      </c>
      <c r="D261" t="inlineStr">
        <is>
          <t>VÄSTMANLANDS LÄN</t>
        </is>
      </c>
      <c r="E261" t="inlineStr">
        <is>
          <t>SALA</t>
        </is>
      </c>
      <c r="G261" t="n">
        <v>1.1</v>
      </c>
      <c r="H261" t="n">
        <v>0</v>
      </c>
      <c r="I261" t="n">
        <v>0</v>
      </c>
      <c r="J261" t="n">
        <v>0</v>
      </c>
      <c r="K261" t="n">
        <v>0</v>
      </c>
      <c r="L261" t="n">
        <v>0</v>
      </c>
      <c r="M261" t="n">
        <v>0</v>
      </c>
      <c r="N261" t="n">
        <v>0</v>
      </c>
      <c r="O261" t="n">
        <v>0</v>
      </c>
      <c r="P261" t="n">
        <v>0</v>
      </c>
      <c r="Q261" t="n">
        <v>0</v>
      </c>
      <c r="R261" s="2" t="inlineStr"/>
    </row>
    <row r="262" ht="15" customHeight="1">
      <c r="A262" t="inlineStr">
        <is>
          <t>A 39167-2025</t>
        </is>
      </c>
      <c r="B262" s="1" t="n">
        <v>45888</v>
      </c>
      <c r="C262" s="1" t="n">
        <v>46086</v>
      </c>
      <c r="D262" t="inlineStr">
        <is>
          <t>VÄSTMANLANDS LÄN</t>
        </is>
      </c>
      <c r="E262" t="inlineStr">
        <is>
          <t>SALA</t>
        </is>
      </c>
      <c r="G262" t="n">
        <v>5.5</v>
      </c>
      <c r="H262" t="n">
        <v>0</v>
      </c>
      <c r="I262" t="n">
        <v>0</v>
      </c>
      <c r="J262" t="n">
        <v>0</v>
      </c>
      <c r="K262" t="n">
        <v>0</v>
      </c>
      <c r="L262" t="n">
        <v>0</v>
      </c>
      <c r="M262" t="n">
        <v>0</v>
      </c>
      <c r="N262" t="n">
        <v>0</v>
      </c>
      <c r="O262" t="n">
        <v>0</v>
      </c>
      <c r="P262" t="n">
        <v>0</v>
      </c>
      <c r="Q262" t="n">
        <v>0</v>
      </c>
      <c r="R262" s="2" t="inlineStr"/>
    </row>
    <row r="263" ht="15" customHeight="1">
      <c r="A263" t="inlineStr">
        <is>
          <t>A 39182-2025</t>
        </is>
      </c>
      <c r="B263" s="1" t="n">
        <v>45888.66204861111</v>
      </c>
      <c r="C263" s="1" t="n">
        <v>46086</v>
      </c>
      <c r="D263" t="inlineStr">
        <is>
          <t>VÄSTMANLANDS LÄN</t>
        </is>
      </c>
      <c r="E263" t="inlineStr">
        <is>
          <t>SALA</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28837-2025</t>
        </is>
      </c>
      <c r="B264" s="1" t="n">
        <v>45820.56243055555</v>
      </c>
      <c r="C264" s="1" t="n">
        <v>46086</v>
      </c>
      <c r="D264" t="inlineStr">
        <is>
          <t>VÄSTMANLANDS LÄN</t>
        </is>
      </c>
      <c r="E264" t="inlineStr">
        <is>
          <t>SALA</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28849-2025</t>
        </is>
      </c>
      <c r="B265" s="1" t="n">
        <v>45820</v>
      </c>
      <c r="C265" s="1" t="n">
        <v>46086</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57371-2022</t>
        </is>
      </c>
      <c r="B266" s="1" t="n">
        <v>44896.43832175926</v>
      </c>
      <c r="C266" s="1" t="n">
        <v>46086</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22019-2021</t>
        </is>
      </c>
      <c r="B267" s="1" t="n">
        <v>44323</v>
      </c>
      <c r="C267" s="1" t="n">
        <v>46086</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29085-2025</t>
        </is>
      </c>
      <c r="B268" s="1" t="n">
        <v>45821</v>
      </c>
      <c r="C268" s="1" t="n">
        <v>46086</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55784-2024</t>
        </is>
      </c>
      <c r="B269" s="1" t="n">
        <v>45623</v>
      </c>
      <c r="C269" s="1" t="n">
        <v>46086</v>
      </c>
      <c r="D269" t="inlineStr">
        <is>
          <t>VÄSTMANLANDS LÄN</t>
        </is>
      </c>
      <c r="E269" t="inlineStr">
        <is>
          <t>SALA</t>
        </is>
      </c>
      <c r="F269" t="inlineStr">
        <is>
          <t>Bergvik skog öst AB</t>
        </is>
      </c>
      <c r="G269" t="n">
        <v>28.4</v>
      </c>
      <c r="H269" t="n">
        <v>0</v>
      </c>
      <c r="I269" t="n">
        <v>0</v>
      </c>
      <c r="J269" t="n">
        <v>0</v>
      </c>
      <c r="K269" t="n">
        <v>0</v>
      </c>
      <c r="L269" t="n">
        <v>0</v>
      </c>
      <c r="M269" t="n">
        <v>0</v>
      </c>
      <c r="N269" t="n">
        <v>0</v>
      </c>
      <c r="O269" t="n">
        <v>0</v>
      </c>
      <c r="P269" t="n">
        <v>0</v>
      </c>
      <c r="Q269" t="n">
        <v>0</v>
      </c>
      <c r="R269" s="2" t="inlineStr"/>
    </row>
    <row r="270" ht="15" customHeight="1">
      <c r="A270" t="inlineStr">
        <is>
          <t>A 16651-2021</t>
        </is>
      </c>
      <c r="B270" s="1" t="n">
        <v>44294.50096064815</v>
      </c>
      <c r="C270" s="1" t="n">
        <v>46086</v>
      </c>
      <c r="D270" t="inlineStr">
        <is>
          <t>VÄSTMANLANDS LÄN</t>
        </is>
      </c>
      <c r="E270" t="inlineStr">
        <is>
          <t>SALA</t>
        </is>
      </c>
      <c r="G270" t="n">
        <v>7.7</v>
      </c>
      <c r="H270" t="n">
        <v>0</v>
      </c>
      <c r="I270" t="n">
        <v>0</v>
      </c>
      <c r="J270" t="n">
        <v>0</v>
      </c>
      <c r="K270" t="n">
        <v>0</v>
      </c>
      <c r="L270" t="n">
        <v>0</v>
      </c>
      <c r="M270" t="n">
        <v>0</v>
      </c>
      <c r="N270" t="n">
        <v>0</v>
      </c>
      <c r="O270" t="n">
        <v>0</v>
      </c>
      <c r="P270" t="n">
        <v>0</v>
      </c>
      <c r="Q270" t="n">
        <v>0</v>
      </c>
      <c r="R270" s="2" t="inlineStr"/>
    </row>
    <row r="271" ht="15" customHeight="1">
      <c r="A271" t="inlineStr">
        <is>
          <t>A 29691-2025</t>
        </is>
      </c>
      <c r="B271" s="1" t="n">
        <v>45825.53645833334</v>
      </c>
      <c r="C271" s="1" t="n">
        <v>46086</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60541-2024</t>
        </is>
      </c>
      <c r="B272" s="1" t="n">
        <v>45643</v>
      </c>
      <c r="C272" s="1" t="n">
        <v>46086</v>
      </c>
      <c r="D272" t="inlineStr">
        <is>
          <t>VÄSTMANLANDS LÄN</t>
        </is>
      </c>
      <c r="E272" t="inlineStr">
        <is>
          <t>SALA</t>
        </is>
      </c>
      <c r="G272" t="n">
        <v>10.6</v>
      </c>
      <c r="H272" t="n">
        <v>0</v>
      </c>
      <c r="I272" t="n">
        <v>0</v>
      </c>
      <c r="J272" t="n">
        <v>0</v>
      </c>
      <c r="K272" t="n">
        <v>0</v>
      </c>
      <c r="L272" t="n">
        <v>0</v>
      </c>
      <c r="M272" t="n">
        <v>0</v>
      </c>
      <c r="N272" t="n">
        <v>0</v>
      </c>
      <c r="O272" t="n">
        <v>0</v>
      </c>
      <c r="P272" t="n">
        <v>0</v>
      </c>
      <c r="Q272" t="n">
        <v>0</v>
      </c>
      <c r="R272" s="2" t="inlineStr"/>
    </row>
    <row r="273" ht="15" customHeight="1">
      <c r="A273" t="inlineStr">
        <is>
          <t>A 19803-2024</t>
        </is>
      </c>
      <c r="B273" s="1" t="n">
        <v>45432</v>
      </c>
      <c r="C273" s="1" t="n">
        <v>46086</v>
      </c>
      <c r="D273" t="inlineStr">
        <is>
          <t>VÄSTMANLANDS LÄN</t>
        </is>
      </c>
      <c r="E273" t="inlineStr">
        <is>
          <t>SALA</t>
        </is>
      </c>
      <c r="G273" t="n">
        <v>3.1</v>
      </c>
      <c r="H273" t="n">
        <v>0</v>
      </c>
      <c r="I273" t="n">
        <v>0</v>
      </c>
      <c r="J273" t="n">
        <v>0</v>
      </c>
      <c r="K273" t="n">
        <v>0</v>
      </c>
      <c r="L273" t="n">
        <v>0</v>
      </c>
      <c r="M273" t="n">
        <v>0</v>
      </c>
      <c r="N273" t="n">
        <v>0</v>
      </c>
      <c r="O273" t="n">
        <v>0</v>
      </c>
      <c r="P273" t="n">
        <v>0</v>
      </c>
      <c r="Q273" t="n">
        <v>0</v>
      </c>
      <c r="R273" s="2" t="inlineStr"/>
    </row>
    <row r="274" ht="15" customHeight="1">
      <c r="A274" t="inlineStr">
        <is>
          <t>A 52498-2022</t>
        </is>
      </c>
      <c r="B274" s="1" t="n">
        <v>44874.50152777778</v>
      </c>
      <c r="C274" s="1" t="n">
        <v>46086</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7196-2025</t>
        </is>
      </c>
      <c r="B275" s="1" t="n">
        <v>45702</v>
      </c>
      <c r="C275" s="1" t="n">
        <v>46086</v>
      </c>
      <c r="D275" t="inlineStr">
        <is>
          <t>VÄSTMANLANDS LÄN</t>
        </is>
      </c>
      <c r="E275" t="inlineStr">
        <is>
          <t>SALA</t>
        </is>
      </c>
      <c r="G275" t="n">
        <v>1.3</v>
      </c>
      <c r="H275" t="n">
        <v>0</v>
      </c>
      <c r="I275" t="n">
        <v>0</v>
      </c>
      <c r="J275" t="n">
        <v>0</v>
      </c>
      <c r="K275" t="n">
        <v>0</v>
      </c>
      <c r="L275" t="n">
        <v>0</v>
      </c>
      <c r="M275" t="n">
        <v>0</v>
      </c>
      <c r="N275" t="n">
        <v>0</v>
      </c>
      <c r="O275" t="n">
        <v>0</v>
      </c>
      <c r="P275" t="n">
        <v>0</v>
      </c>
      <c r="Q275" t="n">
        <v>0</v>
      </c>
      <c r="R275" s="2" t="inlineStr"/>
    </row>
    <row r="276" ht="15" customHeight="1">
      <c r="A276" t="inlineStr">
        <is>
          <t>A 40597-2022</t>
        </is>
      </c>
      <c r="B276" s="1" t="n">
        <v>44823.84862268518</v>
      </c>
      <c r="C276" s="1" t="n">
        <v>46086</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29826-2025</t>
        </is>
      </c>
      <c r="B277" s="1" t="n">
        <v>45825.85761574074</v>
      </c>
      <c r="C277" s="1" t="n">
        <v>46086</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40559-2025</t>
        </is>
      </c>
      <c r="B278" s="1" t="n">
        <v>45896.45037037037</v>
      </c>
      <c r="C278" s="1" t="n">
        <v>46086</v>
      </c>
      <c r="D278" t="inlineStr">
        <is>
          <t>VÄSTMANLANDS LÄN</t>
        </is>
      </c>
      <c r="E278" t="inlineStr">
        <is>
          <t>SALA</t>
        </is>
      </c>
      <c r="G278" t="n">
        <v>0.9</v>
      </c>
      <c r="H278" t="n">
        <v>0</v>
      </c>
      <c r="I278" t="n">
        <v>0</v>
      </c>
      <c r="J278" t="n">
        <v>0</v>
      </c>
      <c r="K278" t="n">
        <v>0</v>
      </c>
      <c r="L278" t="n">
        <v>0</v>
      </c>
      <c r="M278" t="n">
        <v>0</v>
      </c>
      <c r="N278" t="n">
        <v>0</v>
      </c>
      <c r="O278" t="n">
        <v>0</v>
      </c>
      <c r="P278" t="n">
        <v>0</v>
      </c>
      <c r="Q278" t="n">
        <v>0</v>
      </c>
      <c r="R278" s="2" t="inlineStr"/>
    </row>
    <row r="279" ht="15" customHeight="1">
      <c r="A279" t="inlineStr">
        <is>
          <t>A 40556-2025</t>
        </is>
      </c>
      <c r="B279" s="1" t="n">
        <v>45896.44944444444</v>
      </c>
      <c r="C279" s="1" t="n">
        <v>46086</v>
      </c>
      <c r="D279" t="inlineStr">
        <is>
          <t>VÄSTMANLANDS LÄN</t>
        </is>
      </c>
      <c r="E279" t="inlineStr">
        <is>
          <t>SALA</t>
        </is>
      </c>
      <c r="G279" t="n">
        <v>1.9</v>
      </c>
      <c r="H279" t="n">
        <v>0</v>
      </c>
      <c r="I279" t="n">
        <v>0</v>
      </c>
      <c r="J279" t="n">
        <v>0</v>
      </c>
      <c r="K279" t="n">
        <v>0</v>
      </c>
      <c r="L279" t="n">
        <v>0</v>
      </c>
      <c r="M279" t="n">
        <v>0</v>
      </c>
      <c r="N279" t="n">
        <v>0</v>
      </c>
      <c r="O279" t="n">
        <v>0</v>
      </c>
      <c r="P279" t="n">
        <v>0</v>
      </c>
      <c r="Q279" t="n">
        <v>0</v>
      </c>
      <c r="R279" s="2" t="inlineStr"/>
    </row>
    <row r="280" ht="15" customHeight="1">
      <c r="A280" t="inlineStr">
        <is>
          <t>A 40620-2025</t>
        </is>
      </c>
      <c r="B280" s="1" t="n">
        <v>45896.58609953704</v>
      </c>
      <c r="C280" s="1" t="n">
        <v>46086</v>
      </c>
      <c r="D280" t="inlineStr">
        <is>
          <t>VÄSTMANLANDS LÄN</t>
        </is>
      </c>
      <c r="E280" t="inlineStr">
        <is>
          <t>SALA</t>
        </is>
      </c>
      <c r="G280" t="n">
        <v>6.7</v>
      </c>
      <c r="H280" t="n">
        <v>0</v>
      </c>
      <c r="I280" t="n">
        <v>0</v>
      </c>
      <c r="J280" t="n">
        <v>0</v>
      </c>
      <c r="K280" t="n">
        <v>0</v>
      </c>
      <c r="L280" t="n">
        <v>0</v>
      </c>
      <c r="M280" t="n">
        <v>0</v>
      </c>
      <c r="N280" t="n">
        <v>0</v>
      </c>
      <c r="O280" t="n">
        <v>0</v>
      </c>
      <c r="P280" t="n">
        <v>0</v>
      </c>
      <c r="Q280" t="n">
        <v>0</v>
      </c>
      <c r="R280" s="2" t="inlineStr"/>
    </row>
    <row r="281" ht="15" customHeight="1">
      <c r="A281" t="inlineStr">
        <is>
          <t>A 64925-2023</t>
        </is>
      </c>
      <c r="B281" s="1" t="n">
        <v>45282</v>
      </c>
      <c r="C281" s="1" t="n">
        <v>46086</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23406-2024</t>
        </is>
      </c>
      <c r="B282" s="1" t="n">
        <v>45453.58296296297</v>
      </c>
      <c r="C282" s="1" t="n">
        <v>46086</v>
      </c>
      <c r="D282" t="inlineStr">
        <is>
          <t>VÄSTMANLANDS LÄN</t>
        </is>
      </c>
      <c r="E282" t="inlineStr">
        <is>
          <t>SALA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31608-2025</t>
        </is>
      </c>
      <c r="B283" s="1" t="n">
        <v>45833</v>
      </c>
      <c r="C283" s="1" t="n">
        <v>46086</v>
      </c>
      <c r="D283" t="inlineStr">
        <is>
          <t>VÄSTMANLANDS LÄN</t>
        </is>
      </c>
      <c r="E283" t="inlineStr">
        <is>
          <t>SALA</t>
        </is>
      </c>
      <c r="G283" t="n">
        <v>6.1</v>
      </c>
      <c r="H283" t="n">
        <v>0</v>
      </c>
      <c r="I283" t="n">
        <v>0</v>
      </c>
      <c r="J283" t="n">
        <v>0</v>
      </c>
      <c r="K283" t="n">
        <v>0</v>
      </c>
      <c r="L283" t="n">
        <v>0</v>
      </c>
      <c r="M283" t="n">
        <v>0</v>
      </c>
      <c r="N283" t="n">
        <v>0</v>
      </c>
      <c r="O283" t="n">
        <v>0</v>
      </c>
      <c r="P283" t="n">
        <v>0</v>
      </c>
      <c r="Q283" t="n">
        <v>0</v>
      </c>
      <c r="R283" s="2" t="inlineStr"/>
    </row>
    <row r="284" ht="15" customHeight="1">
      <c r="A284" t="inlineStr">
        <is>
          <t>A 16133-2025</t>
        </is>
      </c>
      <c r="B284" s="1" t="n">
        <v>45750</v>
      </c>
      <c r="C284" s="1" t="n">
        <v>46086</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41230-2025</t>
        </is>
      </c>
      <c r="B285" s="1" t="n">
        <v>45898</v>
      </c>
      <c r="C285" s="1" t="n">
        <v>46086</v>
      </c>
      <c r="D285" t="inlineStr">
        <is>
          <t>VÄSTMANLANDS LÄN</t>
        </is>
      </c>
      <c r="E285" t="inlineStr">
        <is>
          <t>SALA</t>
        </is>
      </c>
      <c r="G285" t="n">
        <v>2.3</v>
      </c>
      <c r="H285" t="n">
        <v>0</v>
      </c>
      <c r="I285" t="n">
        <v>0</v>
      </c>
      <c r="J285" t="n">
        <v>0</v>
      </c>
      <c r="K285" t="n">
        <v>0</v>
      </c>
      <c r="L285" t="n">
        <v>0</v>
      </c>
      <c r="M285" t="n">
        <v>0</v>
      </c>
      <c r="N285" t="n">
        <v>0</v>
      </c>
      <c r="O285" t="n">
        <v>0</v>
      </c>
      <c r="P285" t="n">
        <v>0</v>
      </c>
      <c r="Q285" t="n">
        <v>0</v>
      </c>
      <c r="R285" s="2" t="inlineStr"/>
    </row>
    <row r="286" ht="15" customHeight="1">
      <c r="A286" t="inlineStr">
        <is>
          <t>A 30866-2025</t>
        </is>
      </c>
      <c r="B286" s="1" t="n">
        <v>45832.3246875</v>
      </c>
      <c r="C286" s="1" t="n">
        <v>46086</v>
      </c>
      <c r="D286" t="inlineStr">
        <is>
          <t>VÄSTMANLANDS LÄN</t>
        </is>
      </c>
      <c r="E286" t="inlineStr">
        <is>
          <t>SALA</t>
        </is>
      </c>
      <c r="G286" t="n">
        <v>14.3</v>
      </c>
      <c r="H286" t="n">
        <v>0</v>
      </c>
      <c r="I286" t="n">
        <v>0</v>
      </c>
      <c r="J286" t="n">
        <v>0</v>
      </c>
      <c r="K286" t="n">
        <v>0</v>
      </c>
      <c r="L286" t="n">
        <v>0</v>
      </c>
      <c r="M286" t="n">
        <v>0</v>
      </c>
      <c r="N286" t="n">
        <v>0</v>
      </c>
      <c r="O286" t="n">
        <v>0</v>
      </c>
      <c r="P286" t="n">
        <v>0</v>
      </c>
      <c r="Q286" t="n">
        <v>0</v>
      </c>
      <c r="R286" s="2" t="inlineStr"/>
    </row>
    <row r="287" ht="15" customHeight="1">
      <c r="A287" t="inlineStr">
        <is>
          <t>A 30874-2025</t>
        </is>
      </c>
      <c r="B287" s="1" t="n">
        <v>45832.34430555555</v>
      </c>
      <c r="C287" s="1" t="n">
        <v>46086</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15099-2025</t>
        </is>
      </c>
      <c r="B288" s="1" t="n">
        <v>45744.3434837963</v>
      </c>
      <c r="C288" s="1" t="n">
        <v>46086</v>
      </c>
      <c r="D288" t="inlineStr">
        <is>
          <t>VÄSTMANLANDS LÄN</t>
        </is>
      </c>
      <c r="E288" t="inlineStr">
        <is>
          <t>SALA</t>
        </is>
      </c>
      <c r="F288" t="inlineStr">
        <is>
          <t>Sveaskog</t>
        </is>
      </c>
      <c r="G288" t="n">
        <v>14.4</v>
      </c>
      <c r="H288" t="n">
        <v>0</v>
      </c>
      <c r="I288" t="n">
        <v>0</v>
      </c>
      <c r="J288" t="n">
        <v>0</v>
      </c>
      <c r="K288" t="n">
        <v>0</v>
      </c>
      <c r="L288" t="n">
        <v>0</v>
      </c>
      <c r="M288" t="n">
        <v>0</v>
      </c>
      <c r="N288" t="n">
        <v>0</v>
      </c>
      <c r="O288" t="n">
        <v>0</v>
      </c>
      <c r="P288" t="n">
        <v>0</v>
      </c>
      <c r="Q288" t="n">
        <v>0</v>
      </c>
      <c r="R288" s="2" t="inlineStr"/>
    </row>
    <row r="289" ht="15" customHeight="1">
      <c r="A289" t="inlineStr">
        <is>
          <t>A 31573-2025</t>
        </is>
      </c>
      <c r="B289" s="1" t="n">
        <v>45833</v>
      </c>
      <c r="C289" s="1" t="n">
        <v>46086</v>
      </c>
      <c r="D289" t="inlineStr">
        <is>
          <t>VÄSTMANLANDS LÄN</t>
        </is>
      </c>
      <c r="E289" t="inlineStr">
        <is>
          <t>SALA</t>
        </is>
      </c>
      <c r="G289" t="n">
        <v>0.6</v>
      </c>
      <c r="H289" t="n">
        <v>0</v>
      </c>
      <c r="I289" t="n">
        <v>0</v>
      </c>
      <c r="J289" t="n">
        <v>0</v>
      </c>
      <c r="K289" t="n">
        <v>0</v>
      </c>
      <c r="L289" t="n">
        <v>0</v>
      </c>
      <c r="M289" t="n">
        <v>0</v>
      </c>
      <c r="N289" t="n">
        <v>0</v>
      </c>
      <c r="O289" t="n">
        <v>0</v>
      </c>
      <c r="P289" t="n">
        <v>0</v>
      </c>
      <c r="Q289" t="n">
        <v>0</v>
      </c>
      <c r="R289" s="2" t="inlineStr"/>
    </row>
    <row r="290" ht="15" customHeight="1">
      <c r="A290" t="inlineStr">
        <is>
          <t>A 31288-2025</t>
        </is>
      </c>
      <c r="B290" s="1" t="n">
        <v>45833</v>
      </c>
      <c r="C290" s="1" t="n">
        <v>46086</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31554-2025</t>
        </is>
      </c>
      <c r="B291" s="1" t="n">
        <v>45833</v>
      </c>
      <c r="C291" s="1" t="n">
        <v>46086</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41414-2025</t>
        </is>
      </c>
      <c r="B292" s="1" t="n">
        <v>45901.360625</v>
      </c>
      <c r="C292" s="1" t="n">
        <v>46086</v>
      </c>
      <c r="D292" t="inlineStr">
        <is>
          <t>VÄSTMANLANDS LÄN</t>
        </is>
      </c>
      <c r="E292" t="inlineStr">
        <is>
          <t>SALA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60036-2024</t>
        </is>
      </c>
      <c r="B293" s="1" t="n">
        <v>45642.46434027778</v>
      </c>
      <c r="C293" s="1" t="n">
        <v>46086</v>
      </c>
      <c r="D293" t="inlineStr">
        <is>
          <t>VÄSTMANLANDS LÄN</t>
        </is>
      </c>
      <c r="E293" t="inlineStr">
        <is>
          <t>SALA</t>
        </is>
      </c>
      <c r="G293" t="n">
        <v>2.5</v>
      </c>
      <c r="H293" t="n">
        <v>0</v>
      </c>
      <c r="I293" t="n">
        <v>0</v>
      </c>
      <c r="J293" t="n">
        <v>0</v>
      </c>
      <c r="K293" t="n">
        <v>0</v>
      </c>
      <c r="L293" t="n">
        <v>0</v>
      </c>
      <c r="M293" t="n">
        <v>0</v>
      </c>
      <c r="N293" t="n">
        <v>0</v>
      </c>
      <c r="O293" t="n">
        <v>0</v>
      </c>
      <c r="P293" t="n">
        <v>0</v>
      </c>
      <c r="Q293" t="n">
        <v>0</v>
      </c>
      <c r="R293" s="2" t="inlineStr"/>
    </row>
    <row r="294" ht="15" customHeight="1">
      <c r="A294" t="inlineStr">
        <is>
          <t>A 30899-2025</t>
        </is>
      </c>
      <c r="B294" s="1" t="n">
        <v>45832.35767361111</v>
      </c>
      <c r="C294" s="1" t="n">
        <v>46086</v>
      </c>
      <c r="D294" t="inlineStr">
        <is>
          <t>VÄSTMANLANDS LÄN</t>
        </is>
      </c>
      <c r="E294" t="inlineStr">
        <is>
          <t>SALA</t>
        </is>
      </c>
      <c r="G294" t="n">
        <v>3.1</v>
      </c>
      <c r="H294" t="n">
        <v>0</v>
      </c>
      <c r="I294" t="n">
        <v>0</v>
      </c>
      <c r="J294" t="n">
        <v>0</v>
      </c>
      <c r="K294" t="n">
        <v>0</v>
      </c>
      <c r="L294" t="n">
        <v>0</v>
      </c>
      <c r="M294" t="n">
        <v>0</v>
      </c>
      <c r="N294" t="n">
        <v>0</v>
      </c>
      <c r="O294" t="n">
        <v>0</v>
      </c>
      <c r="P294" t="n">
        <v>0</v>
      </c>
      <c r="Q294" t="n">
        <v>0</v>
      </c>
      <c r="R294" s="2" t="inlineStr"/>
    </row>
    <row r="295" ht="15" customHeight="1">
      <c r="A295" t="inlineStr">
        <is>
          <t>A 52827-2024</t>
        </is>
      </c>
      <c r="B295" s="1" t="n">
        <v>45610</v>
      </c>
      <c r="C295" s="1" t="n">
        <v>46086</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61717-2024</t>
        </is>
      </c>
      <c r="B296" s="1" t="n">
        <v>45648</v>
      </c>
      <c r="C296" s="1" t="n">
        <v>46086</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53164-2024</t>
        </is>
      </c>
      <c r="B297" s="1" t="n">
        <v>45611.64887731482</v>
      </c>
      <c r="C297" s="1" t="n">
        <v>46086</v>
      </c>
      <c r="D297" t="inlineStr">
        <is>
          <t>VÄSTMANLANDS LÄN</t>
        </is>
      </c>
      <c r="E297" t="inlineStr">
        <is>
          <t>SALA</t>
        </is>
      </c>
      <c r="G297" t="n">
        <v>2.6</v>
      </c>
      <c r="H297" t="n">
        <v>0</v>
      </c>
      <c r="I297" t="n">
        <v>0</v>
      </c>
      <c r="J297" t="n">
        <v>0</v>
      </c>
      <c r="K297" t="n">
        <v>0</v>
      </c>
      <c r="L297" t="n">
        <v>0</v>
      </c>
      <c r="M297" t="n">
        <v>0</v>
      </c>
      <c r="N297" t="n">
        <v>0</v>
      </c>
      <c r="O297" t="n">
        <v>0</v>
      </c>
      <c r="P297" t="n">
        <v>0</v>
      </c>
      <c r="Q297" t="n">
        <v>0</v>
      </c>
      <c r="R297" s="2" t="inlineStr"/>
    </row>
    <row r="298" ht="15" customHeight="1">
      <c r="A298" t="inlineStr">
        <is>
          <t>A 41431-2025</t>
        </is>
      </c>
      <c r="B298" s="1" t="n">
        <v>45901.39347222223</v>
      </c>
      <c r="C298" s="1" t="n">
        <v>46086</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31065-2025</t>
        </is>
      </c>
      <c r="B299" s="1" t="n">
        <v>45832.57571759259</v>
      </c>
      <c r="C299" s="1" t="n">
        <v>46086</v>
      </c>
      <c r="D299" t="inlineStr">
        <is>
          <t>VÄSTMANLANDS LÄN</t>
        </is>
      </c>
      <c r="E299" t="inlineStr">
        <is>
          <t>SALA</t>
        </is>
      </c>
      <c r="G299" t="n">
        <v>1.1</v>
      </c>
      <c r="H299" t="n">
        <v>0</v>
      </c>
      <c r="I299" t="n">
        <v>0</v>
      </c>
      <c r="J299" t="n">
        <v>0</v>
      </c>
      <c r="K299" t="n">
        <v>0</v>
      </c>
      <c r="L299" t="n">
        <v>0</v>
      </c>
      <c r="M299" t="n">
        <v>0</v>
      </c>
      <c r="N299" t="n">
        <v>0</v>
      </c>
      <c r="O299" t="n">
        <v>0</v>
      </c>
      <c r="P299" t="n">
        <v>0</v>
      </c>
      <c r="Q299" t="n">
        <v>0</v>
      </c>
      <c r="R299" s="2" t="inlineStr"/>
    </row>
    <row r="300" ht="15" customHeight="1">
      <c r="A300" t="inlineStr">
        <is>
          <t>A 16328-2025</t>
        </is>
      </c>
      <c r="B300" s="1" t="n">
        <v>45751</v>
      </c>
      <c r="C300" s="1" t="n">
        <v>46086</v>
      </c>
      <c r="D300" t="inlineStr">
        <is>
          <t>VÄSTMANLANDS LÄN</t>
        </is>
      </c>
      <c r="E300" t="inlineStr">
        <is>
          <t>SALA</t>
        </is>
      </c>
      <c r="G300" t="n">
        <v>2.9</v>
      </c>
      <c r="H300" t="n">
        <v>0</v>
      </c>
      <c r="I300" t="n">
        <v>0</v>
      </c>
      <c r="J300" t="n">
        <v>0</v>
      </c>
      <c r="K300" t="n">
        <v>0</v>
      </c>
      <c r="L300" t="n">
        <v>0</v>
      </c>
      <c r="M300" t="n">
        <v>0</v>
      </c>
      <c r="N300" t="n">
        <v>0</v>
      </c>
      <c r="O300" t="n">
        <v>0</v>
      </c>
      <c r="P300" t="n">
        <v>0</v>
      </c>
      <c r="Q300" t="n">
        <v>0</v>
      </c>
      <c r="R300" s="2" t="inlineStr"/>
    </row>
    <row r="301" ht="15" customHeight="1">
      <c r="A301" t="inlineStr">
        <is>
          <t>A 31296-2025</t>
        </is>
      </c>
      <c r="B301" s="1" t="n">
        <v>45833.36765046296</v>
      </c>
      <c r="C301" s="1" t="n">
        <v>46086</v>
      </c>
      <c r="D301" t="inlineStr">
        <is>
          <t>VÄSTMANLANDS LÄN</t>
        </is>
      </c>
      <c r="E301" t="inlineStr">
        <is>
          <t>SALA</t>
        </is>
      </c>
      <c r="G301" t="n">
        <v>3.7</v>
      </c>
      <c r="H301" t="n">
        <v>0</v>
      </c>
      <c r="I301" t="n">
        <v>0</v>
      </c>
      <c r="J301" t="n">
        <v>0</v>
      </c>
      <c r="K301" t="n">
        <v>0</v>
      </c>
      <c r="L301" t="n">
        <v>0</v>
      </c>
      <c r="M301" t="n">
        <v>0</v>
      </c>
      <c r="N301" t="n">
        <v>0</v>
      </c>
      <c r="O301" t="n">
        <v>0</v>
      </c>
      <c r="P301" t="n">
        <v>0</v>
      </c>
      <c r="Q301" t="n">
        <v>0</v>
      </c>
      <c r="R301" s="2" t="inlineStr"/>
    </row>
    <row r="302" ht="15" customHeight="1">
      <c r="A302" t="inlineStr">
        <is>
          <t>A 31748-2025</t>
        </is>
      </c>
      <c r="B302" s="1" t="n">
        <v>45834</v>
      </c>
      <c r="C302" s="1" t="n">
        <v>46086</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32210-2025</t>
        </is>
      </c>
      <c r="B303" s="1" t="n">
        <v>45835</v>
      </c>
      <c r="C303" s="1" t="n">
        <v>46086</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66908-2021</t>
        </is>
      </c>
      <c r="B304" s="1" t="n">
        <v>44522</v>
      </c>
      <c r="C304" s="1" t="n">
        <v>46086</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31610-2025</t>
        </is>
      </c>
      <c r="B305" s="1" t="n">
        <v>45833.78650462963</v>
      </c>
      <c r="C305" s="1" t="n">
        <v>46086</v>
      </c>
      <c r="D305" t="inlineStr">
        <is>
          <t>VÄSTMANLANDS LÄN</t>
        </is>
      </c>
      <c r="E305" t="inlineStr">
        <is>
          <t>SALA</t>
        </is>
      </c>
      <c r="G305" t="n">
        <v>8</v>
      </c>
      <c r="H305" t="n">
        <v>0</v>
      </c>
      <c r="I305" t="n">
        <v>0</v>
      </c>
      <c r="J305" t="n">
        <v>0</v>
      </c>
      <c r="K305" t="n">
        <v>0</v>
      </c>
      <c r="L305" t="n">
        <v>0</v>
      </c>
      <c r="M305" t="n">
        <v>0</v>
      </c>
      <c r="N305" t="n">
        <v>0</v>
      </c>
      <c r="O305" t="n">
        <v>0</v>
      </c>
      <c r="P305" t="n">
        <v>0</v>
      </c>
      <c r="Q305" t="n">
        <v>0</v>
      </c>
      <c r="R305" s="2" t="inlineStr"/>
    </row>
    <row r="306" ht="15" customHeight="1">
      <c r="A306" t="inlineStr">
        <is>
          <t>A 32201-2025</t>
        </is>
      </c>
      <c r="B306" s="1" t="n">
        <v>45835</v>
      </c>
      <c r="C306" s="1" t="n">
        <v>46086</v>
      </c>
      <c r="D306" t="inlineStr">
        <is>
          <t>VÄSTMANLANDS LÄN</t>
        </is>
      </c>
      <c r="E306" t="inlineStr">
        <is>
          <t>SALA</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73835-2021</t>
        </is>
      </c>
      <c r="B307" s="1" t="n">
        <v>44552.92112268518</v>
      </c>
      <c r="C307" s="1" t="n">
        <v>46086</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31612-2025</t>
        </is>
      </c>
      <c r="B308" s="1" t="n">
        <v>45833.80056712963</v>
      </c>
      <c r="C308" s="1" t="n">
        <v>46086</v>
      </c>
      <c r="D308" t="inlineStr">
        <is>
          <t>VÄSTMANLANDS LÄN</t>
        </is>
      </c>
      <c r="E308" t="inlineStr">
        <is>
          <t>SALA</t>
        </is>
      </c>
      <c r="G308" t="n">
        <v>6.3</v>
      </c>
      <c r="H308" t="n">
        <v>0</v>
      </c>
      <c r="I308" t="n">
        <v>0</v>
      </c>
      <c r="J308" t="n">
        <v>0</v>
      </c>
      <c r="K308" t="n">
        <v>0</v>
      </c>
      <c r="L308" t="n">
        <v>0</v>
      </c>
      <c r="M308" t="n">
        <v>0</v>
      </c>
      <c r="N308" t="n">
        <v>0</v>
      </c>
      <c r="O308" t="n">
        <v>0</v>
      </c>
      <c r="P308" t="n">
        <v>0</v>
      </c>
      <c r="Q308" t="n">
        <v>0</v>
      </c>
      <c r="R308" s="2" t="inlineStr"/>
    </row>
    <row r="309" ht="15" customHeight="1">
      <c r="A309" t="inlineStr">
        <is>
          <t>A 32207-2025</t>
        </is>
      </c>
      <c r="B309" s="1" t="n">
        <v>45835</v>
      </c>
      <c r="C309" s="1" t="n">
        <v>46086</v>
      </c>
      <c r="D309" t="inlineStr">
        <is>
          <t>VÄSTMANLANDS LÄN</t>
        </is>
      </c>
      <c r="E309" t="inlineStr">
        <is>
          <t>SALA</t>
        </is>
      </c>
      <c r="F309" t="inlineStr">
        <is>
          <t>Bergvik skog öst AB</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3810-2023</t>
        </is>
      </c>
      <c r="B310" s="1" t="n">
        <v>44951.60454861111</v>
      </c>
      <c r="C310" s="1" t="n">
        <v>46086</v>
      </c>
      <c r="D310" t="inlineStr">
        <is>
          <t>VÄSTMANLANDS LÄN</t>
        </is>
      </c>
      <c r="E310" t="inlineStr">
        <is>
          <t>SALA</t>
        </is>
      </c>
      <c r="G310" t="n">
        <v>4.2</v>
      </c>
      <c r="H310" t="n">
        <v>0</v>
      </c>
      <c r="I310" t="n">
        <v>0</v>
      </c>
      <c r="J310" t="n">
        <v>0</v>
      </c>
      <c r="K310" t="n">
        <v>0</v>
      </c>
      <c r="L310" t="n">
        <v>0</v>
      </c>
      <c r="M310" t="n">
        <v>0</v>
      </c>
      <c r="N310" t="n">
        <v>0</v>
      </c>
      <c r="O310" t="n">
        <v>0</v>
      </c>
      <c r="P310" t="n">
        <v>0</v>
      </c>
      <c r="Q310" t="n">
        <v>0</v>
      </c>
      <c r="R310" s="2" t="inlineStr"/>
    </row>
    <row r="311" ht="15" customHeight="1">
      <c r="A311" t="inlineStr">
        <is>
          <t>A 31762-2025</t>
        </is>
      </c>
      <c r="B311" s="1" t="n">
        <v>45834.49288194445</v>
      </c>
      <c r="C311" s="1" t="n">
        <v>46086</v>
      </c>
      <c r="D311" t="inlineStr">
        <is>
          <t>VÄSTMANLANDS LÄN</t>
        </is>
      </c>
      <c r="E311" t="inlineStr">
        <is>
          <t>SALA</t>
        </is>
      </c>
      <c r="G311" t="n">
        <v>5.9</v>
      </c>
      <c r="H311" t="n">
        <v>0</v>
      </c>
      <c r="I311" t="n">
        <v>0</v>
      </c>
      <c r="J311" t="n">
        <v>0</v>
      </c>
      <c r="K311" t="n">
        <v>0</v>
      </c>
      <c r="L311" t="n">
        <v>0</v>
      </c>
      <c r="M311" t="n">
        <v>0</v>
      </c>
      <c r="N311" t="n">
        <v>0</v>
      </c>
      <c r="O311" t="n">
        <v>0</v>
      </c>
      <c r="P311" t="n">
        <v>0</v>
      </c>
      <c r="Q311" t="n">
        <v>0</v>
      </c>
      <c r="R311" s="2" t="inlineStr"/>
    </row>
    <row r="312" ht="15" customHeight="1">
      <c r="A312" t="inlineStr">
        <is>
          <t>A 31771-2025</t>
        </is>
      </c>
      <c r="B312" s="1" t="n">
        <v>45834.50910879629</v>
      </c>
      <c r="C312" s="1" t="n">
        <v>46086</v>
      </c>
      <c r="D312" t="inlineStr">
        <is>
          <t>VÄSTMANLANDS LÄN</t>
        </is>
      </c>
      <c r="E312" t="inlineStr">
        <is>
          <t>SALA</t>
        </is>
      </c>
      <c r="G312" t="n">
        <v>5.1</v>
      </c>
      <c r="H312" t="n">
        <v>0</v>
      </c>
      <c r="I312" t="n">
        <v>0</v>
      </c>
      <c r="J312" t="n">
        <v>0</v>
      </c>
      <c r="K312" t="n">
        <v>0</v>
      </c>
      <c r="L312" t="n">
        <v>0</v>
      </c>
      <c r="M312" t="n">
        <v>0</v>
      </c>
      <c r="N312" t="n">
        <v>0</v>
      </c>
      <c r="O312" t="n">
        <v>0</v>
      </c>
      <c r="P312" t="n">
        <v>0</v>
      </c>
      <c r="Q312" t="n">
        <v>0</v>
      </c>
      <c r="R312" s="2" t="inlineStr"/>
    </row>
    <row r="313" ht="15" customHeight="1">
      <c r="A313" t="inlineStr">
        <is>
          <t>A 32205-2025</t>
        </is>
      </c>
      <c r="B313" s="1" t="n">
        <v>45835</v>
      </c>
      <c r="C313" s="1" t="n">
        <v>46086</v>
      </c>
      <c r="D313" t="inlineStr">
        <is>
          <t>VÄSTMANLANDS LÄN</t>
        </is>
      </c>
      <c r="E313" t="inlineStr">
        <is>
          <t>SALA</t>
        </is>
      </c>
      <c r="F313" t="inlineStr">
        <is>
          <t>Bergvik skog öst AB</t>
        </is>
      </c>
      <c r="G313" t="n">
        <v>1.1</v>
      </c>
      <c r="H313" t="n">
        <v>0</v>
      </c>
      <c r="I313" t="n">
        <v>0</v>
      </c>
      <c r="J313" t="n">
        <v>0</v>
      </c>
      <c r="K313" t="n">
        <v>0</v>
      </c>
      <c r="L313" t="n">
        <v>0</v>
      </c>
      <c r="M313" t="n">
        <v>0</v>
      </c>
      <c r="N313" t="n">
        <v>0</v>
      </c>
      <c r="O313" t="n">
        <v>0</v>
      </c>
      <c r="P313" t="n">
        <v>0</v>
      </c>
      <c r="Q313" t="n">
        <v>0</v>
      </c>
      <c r="R313" s="2" t="inlineStr"/>
    </row>
    <row r="314" ht="15" customHeight="1">
      <c r="A314" t="inlineStr">
        <is>
          <t>A 32286-2025</t>
        </is>
      </c>
      <c r="B314" s="1" t="n">
        <v>45835</v>
      </c>
      <c r="C314" s="1" t="n">
        <v>46086</v>
      </c>
      <c r="D314" t="inlineStr">
        <is>
          <t>VÄSTMANLANDS LÄN</t>
        </is>
      </c>
      <c r="E314" t="inlineStr">
        <is>
          <t>SALA</t>
        </is>
      </c>
      <c r="G314" t="n">
        <v>6.4</v>
      </c>
      <c r="H314" t="n">
        <v>0</v>
      </c>
      <c r="I314" t="n">
        <v>0</v>
      </c>
      <c r="J314" t="n">
        <v>0</v>
      </c>
      <c r="K314" t="n">
        <v>0</v>
      </c>
      <c r="L314" t="n">
        <v>0</v>
      </c>
      <c r="M314" t="n">
        <v>0</v>
      </c>
      <c r="N314" t="n">
        <v>0</v>
      </c>
      <c r="O314" t="n">
        <v>0</v>
      </c>
      <c r="P314" t="n">
        <v>0</v>
      </c>
      <c r="Q314" t="n">
        <v>0</v>
      </c>
      <c r="R314" s="2" t="inlineStr"/>
    </row>
    <row r="315" ht="15" customHeight="1">
      <c r="A315" t="inlineStr">
        <is>
          <t>A 21968-2024</t>
        </is>
      </c>
      <c r="B315" s="1" t="n">
        <v>45443</v>
      </c>
      <c r="C315" s="1" t="n">
        <v>46086</v>
      </c>
      <c r="D315" t="inlineStr">
        <is>
          <t>VÄSTMANLANDS LÄN</t>
        </is>
      </c>
      <c r="E315" t="inlineStr">
        <is>
          <t>SALA</t>
        </is>
      </c>
      <c r="G315" t="n">
        <v>1.9</v>
      </c>
      <c r="H315" t="n">
        <v>0</v>
      </c>
      <c r="I315" t="n">
        <v>0</v>
      </c>
      <c r="J315" t="n">
        <v>0</v>
      </c>
      <c r="K315" t="n">
        <v>0</v>
      </c>
      <c r="L315" t="n">
        <v>0</v>
      </c>
      <c r="M315" t="n">
        <v>0</v>
      </c>
      <c r="N315" t="n">
        <v>0</v>
      </c>
      <c r="O315" t="n">
        <v>0</v>
      </c>
      <c r="P315" t="n">
        <v>0</v>
      </c>
      <c r="Q315" t="n">
        <v>0</v>
      </c>
      <c r="R315" s="2" t="inlineStr"/>
    </row>
    <row r="316" ht="15" customHeight="1">
      <c r="A316" t="inlineStr">
        <is>
          <t>A 32902-2025</t>
        </is>
      </c>
      <c r="B316" s="1" t="n">
        <v>45839</v>
      </c>
      <c r="C316" s="1" t="n">
        <v>46086</v>
      </c>
      <c r="D316" t="inlineStr">
        <is>
          <t>VÄSTMANLANDS LÄN</t>
        </is>
      </c>
      <c r="E316" t="inlineStr">
        <is>
          <t>SALA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42421-2025</t>
        </is>
      </c>
      <c r="B317" s="1" t="n">
        <v>45905.40067129629</v>
      </c>
      <c r="C317" s="1" t="n">
        <v>46086</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12252-2023</t>
        </is>
      </c>
      <c r="B318" s="1" t="n">
        <v>44995</v>
      </c>
      <c r="C318" s="1" t="n">
        <v>46086</v>
      </c>
      <c r="D318" t="inlineStr">
        <is>
          <t>VÄSTMANLANDS LÄN</t>
        </is>
      </c>
      <c r="E318" t="inlineStr">
        <is>
          <t>SALA</t>
        </is>
      </c>
      <c r="G318" t="n">
        <v>2.6</v>
      </c>
      <c r="H318" t="n">
        <v>0</v>
      </c>
      <c r="I318" t="n">
        <v>0</v>
      </c>
      <c r="J318" t="n">
        <v>0</v>
      </c>
      <c r="K318" t="n">
        <v>0</v>
      </c>
      <c r="L318" t="n">
        <v>0</v>
      </c>
      <c r="M318" t="n">
        <v>0</v>
      </c>
      <c r="N318" t="n">
        <v>0</v>
      </c>
      <c r="O318" t="n">
        <v>0</v>
      </c>
      <c r="P318" t="n">
        <v>0</v>
      </c>
      <c r="Q318" t="n">
        <v>0</v>
      </c>
      <c r="R318" s="2" t="inlineStr"/>
    </row>
    <row r="319" ht="15" customHeight="1">
      <c r="A319" t="inlineStr">
        <is>
          <t>A 17495-2024</t>
        </is>
      </c>
      <c r="B319" s="1" t="n">
        <v>45415</v>
      </c>
      <c r="C319" s="1" t="n">
        <v>46086</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37263-2025</t>
        </is>
      </c>
      <c r="B320" s="1" t="n">
        <v>45876.4584837963</v>
      </c>
      <c r="C320" s="1" t="n">
        <v>46086</v>
      </c>
      <c r="D320" t="inlineStr">
        <is>
          <t>VÄSTMANLANDS LÄN</t>
        </is>
      </c>
      <c r="E320" t="inlineStr">
        <is>
          <t>SALA</t>
        </is>
      </c>
      <c r="G320" t="n">
        <v>2.3</v>
      </c>
      <c r="H320" t="n">
        <v>0</v>
      </c>
      <c r="I320" t="n">
        <v>0</v>
      </c>
      <c r="J320" t="n">
        <v>0</v>
      </c>
      <c r="K320" t="n">
        <v>0</v>
      </c>
      <c r="L320" t="n">
        <v>0</v>
      </c>
      <c r="M320" t="n">
        <v>0</v>
      </c>
      <c r="N320" t="n">
        <v>0</v>
      </c>
      <c r="O320" t="n">
        <v>0</v>
      </c>
      <c r="P320" t="n">
        <v>0</v>
      </c>
      <c r="Q320" t="n">
        <v>0</v>
      </c>
      <c r="R320" s="2" t="inlineStr"/>
    </row>
    <row r="321" ht="15" customHeight="1">
      <c r="A321" t="inlineStr">
        <is>
          <t>A 43127-2025</t>
        </is>
      </c>
      <c r="B321" s="1" t="n">
        <v>45909</v>
      </c>
      <c r="C321" s="1" t="n">
        <v>46086</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25260-2023</t>
        </is>
      </c>
      <c r="B322" s="1" t="n">
        <v>45086</v>
      </c>
      <c r="C322" s="1" t="n">
        <v>46086</v>
      </c>
      <c r="D322" t="inlineStr">
        <is>
          <t>VÄSTMANLANDS LÄN</t>
        </is>
      </c>
      <c r="E322" t="inlineStr">
        <is>
          <t>SALA</t>
        </is>
      </c>
      <c r="F322" t="inlineStr">
        <is>
          <t>Sveaskog</t>
        </is>
      </c>
      <c r="G322" t="n">
        <v>3.2</v>
      </c>
      <c r="H322" t="n">
        <v>0</v>
      </c>
      <c r="I322" t="n">
        <v>0</v>
      </c>
      <c r="J322" t="n">
        <v>0</v>
      </c>
      <c r="K322" t="n">
        <v>0</v>
      </c>
      <c r="L322" t="n">
        <v>0</v>
      </c>
      <c r="M322" t="n">
        <v>0</v>
      </c>
      <c r="N322" t="n">
        <v>0</v>
      </c>
      <c r="O322" t="n">
        <v>0</v>
      </c>
      <c r="P322" t="n">
        <v>0</v>
      </c>
      <c r="Q322" t="n">
        <v>0</v>
      </c>
      <c r="R322" s="2" t="inlineStr"/>
    </row>
    <row r="323" ht="15" customHeight="1">
      <c r="A323" t="inlineStr">
        <is>
          <t>A 43128-2025</t>
        </is>
      </c>
      <c r="B323" s="1" t="n">
        <v>45909</v>
      </c>
      <c r="C323" s="1" t="n">
        <v>46086</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40554-2025</t>
        </is>
      </c>
      <c r="B324" s="1" t="n">
        <v>45896.44506944445</v>
      </c>
      <c r="C324" s="1" t="n">
        <v>46086</v>
      </c>
      <c r="D324" t="inlineStr">
        <is>
          <t>VÄSTMANLANDS LÄN</t>
        </is>
      </c>
      <c r="E324" t="inlineStr">
        <is>
          <t>SALA</t>
        </is>
      </c>
      <c r="G324" t="n">
        <v>0.9</v>
      </c>
      <c r="H324" t="n">
        <v>0</v>
      </c>
      <c r="I324" t="n">
        <v>0</v>
      </c>
      <c r="J324" t="n">
        <v>0</v>
      </c>
      <c r="K324" t="n">
        <v>0</v>
      </c>
      <c r="L324" t="n">
        <v>0</v>
      </c>
      <c r="M324" t="n">
        <v>0</v>
      </c>
      <c r="N324" t="n">
        <v>0</v>
      </c>
      <c r="O324" t="n">
        <v>0</v>
      </c>
      <c r="P324" t="n">
        <v>0</v>
      </c>
      <c r="Q324" t="n">
        <v>0</v>
      </c>
      <c r="R324" s="2" t="inlineStr"/>
    </row>
    <row r="325" ht="15" customHeight="1">
      <c r="A325" t="inlineStr">
        <is>
          <t>A 43129-2025</t>
        </is>
      </c>
      <c r="B325" s="1" t="n">
        <v>45909</v>
      </c>
      <c r="C325" s="1" t="n">
        <v>46086</v>
      </c>
      <c r="D325" t="inlineStr">
        <is>
          <t>VÄSTMANLANDS LÄN</t>
        </is>
      </c>
      <c r="E325" t="inlineStr">
        <is>
          <t>SALA</t>
        </is>
      </c>
      <c r="G325" t="n">
        <v>2.4</v>
      </c>
      <c r="H325" t="n">
        <v>0</v>
      </c>
      <c r="I325" t="n">
        <v>0</v>
      </c>
      <c r="J325" t="n">
        <v>0</v>
      </c>
      <c r="K325" t="n">
        <v>0</v>
      </c>
      <c r="L325" t="n">
        <v>0</v>
      </c>
      <c r="M325" t="n">
        <v>0</v>
      </c>
      <c r="N325" t="n">
        <v>0</v>
      </c>
      <c r="O325" t="n">
        <v>0</v>
      </c>
      <c r="P325" t="n">
        <v>0</v>
      </c>
      <c r="Q325" t="n">
        <v>0</v>
      </c>
      <c r="R325" s="2" t="inlineStr"/>
    </row>
    <row r="326" ht="15" customHeight="1">
      <c r="A326" t="inlineStr">
        <is>
          <t>A 43130-2025</t>
        </is>
      </c>
      <c r="B326" s="1" t="n">
        <v>45909</v>
      </c>
      <c r="C326" s="1" t="n">
        <v>46086</v>
      </c>
      <c r="D326" t="inlineStr">
        <is>
          <t>VÄSTMANLANDS LÄN</t>
        </is>
      </c>
      <c r="E326" t="inlineStr">
        <is>
          <t>SALA</t>
        </is>
      </c>
      <c r="G326" t="n">
        <v>0.9</v>
      </c>
      <c r="H326" t="n">
        <v>0</v>
      </c>
      <c r="I326" t="n">
        <v>0</v>
      </c>
      <c r="J326" t="n">
        <v>0</v>
      </c>
      <c r="K326" t="n">
        <v>0</v>
      </c>
      <c r="L326" t="n">
        <v>0</v>
      </c>
      <c r="M326" t="n">
        <v>0</v>
      </c>
      <c r="N326" t="n">
        <v>0</v>
      </c>
      <c r="O326" t="n">
        <v>0</v>
      </c>
      <c r="P326" t="n">
        <v>0</v>
      </c>
      <c r="Q326" t="n">
        <v>0</v>
      </c>
      <c r="R326" s="2" t="inlineStr"/>
    </row>
    <row r="327" ht="15" customHeight="1">
      <c r="A327" t="inlineStr">
        <is>
          <t>A 57404-2024</t>
        </is>
      </c>
      <c r="B327" s="1" t="n">
        <v>45629.71967592592</v>
      </c>
      <c r="C327" s="1" t="n">
        <v>46086</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43028-2025</t>
        </is>
      </c>
      <c r="B328" s="1" t="n">
        <v>45909.53472222222</v>
      </c>
      <c r="C328" s="1" t="n">
        <v>46086</v>
      </c>
      <c r="D328" t="inlineStr">
        <is>
          <t>VÄSTMANLANDS LÄN</t>
        </is>
      </c>
      <c r="E328" t="inlineStr">
        <is>
          <t>SALA</t>
        </is>
      </c>
      <c r="G328" t="n">
        <v>3.8</v>
      </c>
      <c r="H328" t="n">
        <v>0</v>
      </c>
      <c r="I328" t="n">
        <v>0</v>
      </c>
      <c r="J328" t="n">
        <v>0</v>
      </c>
      <c r="K328" t="n">
        <v>0</v>
      </c>
      <c r="L328" t="n">
        <v>0</v>
      </c>
      <c r="M328" t="n">
        <v>0</v>
      </c>
      <c r="N328" t="n">
        <v>0</v>
      </c>
      <c r="O328" t="n">
        <v>0</v>
      </c>
      <c r="P328" t="n">
        <v>0</v>
      </c>
      <c r="Q328" t="n">
        <v>0</v>
      </c>
      <c r="R328" s="2" t="inlineStr"/>
    </row>
    <row r="329" ht="15" customHeight="1">
      <c r="A329" t="inlineStr">
        <is>
          <t>A 43031-2025</t>
        </is>
      </c>
      <c r="B329" s="1" t="n">
        <v>45909.53856481481</v>
      </c>
      <c r="C329" s="1" t="n">
        <v>46086</v>
      </c>
      <c r="D329" t="inlineStr">
        <is>
          <t>VÄSTMANLANDS LÄN</t>
        </is>
      </c>
      <c r="E329" t="inlineStr">
        <is>
          <t>SALA</t>
        </is>
      </c>
      <c r="G329" t="n">
        <v>0.2</v>
      </c>
      <c r="H329" t="n">
        <v>0</v>
      </c>
      <c r="I329" t="n">
        <v>0</v>
      </c>
      <c r="J329" t="n">
        <v>0</v>
      </c>
      <c r="K329" t="n">
        <v>0</v>
      </c>
      <c r="L329" t="n">
        <v>0</v>
      </c>
      <c r="M329" t="n">
        <v>0</v>
      </c>
      <c r="N329" t="n">
        <v>0</v>
      </c>
      <c r="O329" t="n">
        <v>0</v>
      </c>
      <c r="P329" t="n">
        <v>0</v>
      </c>
      <c r="Q329" t="n">
        <v>0</v>
      </c>
      <c r="R329" s="2" t="inlineStr"/>
    </row>
    <row r="330" ht="15" customHeight="1">
      <c r="A330" t="inlineStr">
        <is>
          <t>A 13128-2023</t>
        </is>
      </c>
      <c r="B330" s="1" t="n">
        <v>45002</v>
      </c>
      <c r="C330" s="1" t="n">
        <v>46086</v>
      </c>
      <c r="D330" t="inlineStr">
        <is>
          <t>VÄSTMANLANDS LÄN</t>
        </is>
      </c>
      <c r="E330" t="inlineStr">
        <is>
          <t>SALA</t>
        </is>
      </c>
      <c r="G330" t="n">
        <v>7.9</v>
      </c>
      <c r="H330" t="n">
        <v>0</v>
      </c>
      <c r="I330" t="n">
        <v>0</v>
      </c>
      <c r="J330" t="n">
        <v>0</v>
      </c>
      <c r="K330" t="n">
        <v>0</v>
      </c>
      <c r="L330" t="n">
        <v>0</v>
      </c>
      <c r="M330" t="n">
        <v>0</v>
      </c>
      <c r="N330" t="n">
        <v>0</v>
      </c>
      <c r="O330" t="n">
        <v>0</v>
      </c>
      <c r="P330" t="n">
        <v>0</v>
      </c>
      <c r="Q330" t="n">
        <v>0</v>
      </c>
      <c r="R330" s="2" t="inlineStr"/>
    </row>
    <row r="331" ht="15" customHeight="1">
      <c r="A331" t="inlineStr">
        <is>
          <t>A 43328-2025</t>
        </is>
      </c>
      <c r="B331" s="1" t="n">
        <v>45910</v>
      </c>
      <c r="C331" s="1" t="n">
        <v>46086</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24864-2024</t>
        </is>
      </c>
      <c r="B332" s="1" t="n">
        <v>45461.48888888889</v>
      </c>
      <c r="C332" s="1" t="n">
        <v>46086</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34069-2025</t>
        </is>
      </c>
      <c r="B333" s="1" t="n">
        <v>45845.43560185185</v>
      </c>
      <c r="C333" s="1" t="n">
        <v>46086</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c r="U333">
        <f>HYPERLINK("https://klasma.github.io/Logging_1981/knärot/A 34069-2025 karta knärot.png", "A 34069-2025")</f>
        <v/>
      </c>
      <c r="V333">
        <f>HYPERLINK("https://klasma.github.io/Logging_1981/klagomål/A 34069-2025 FSC-klagomål.docx", "A 34069-2025")</f>
        <v/>
      </c>
      <c r="W333">
        <f>HYPERLINK("https://klasma.github.io/Logging_1981/klagomålsmail/A 34069-2025 FSC-klagomål mail.docx", "A 34069-2025")</f>
        <v/>
      </c>
      <c r="X333">
        <f>HYPERLINK("https://klasma.github.io/Logging_1981/tillsyn/A 34069-2025 tillsynsbegäran.docx", "A 34069-2025")</f>
        <v/>
      </c>
      <c r="Y333">
        <f>HYPERLINK("https://klasma.github.io/Logging_1981/tillsynsmail/A 34069-2025 tillsynsbegäran mail.docx", "A 34069-2025")</f>
        <v/>
      </c>
    </row>
    <row r="334" ht="15" customHeight="1">
      <c r="A334" t="inlineStr">
        <is>
          <t>A 44100-2025</t>
        </is>
      </c>
      <c r="B334" s="1" t="n">
        <v>45915.56707175926</v>
      </c>
      <c r="C334" s="1" t="n">
        <v>46086</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15744-2025</t>
        </is>
      </c>
      <c r="B335" s="1" t="n">
        <v>45748</v>
      </c>
      <c r="C335" s="1" t="n">
        <v>46086</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24755-2021</t>
        </is>
      </c>
      <c r="B336" s="1" t="n">
        <v>44340</v>
      </c>
      <c r="C336" s="1" t="n">
        <v>46086</v>
      </c>
      <c r="D336" t="inlineStr">
        <is>
          <t>VÄSTMANLANDS LÄN</t>
        </is>
      </c>
      <c r="E336" t="inlineStr">
        <is>
          <t>SALA</t>
        </is>
      </c>
      <c r="G336" t="n">
        <v>1.2</v>
      </c>
      <c r="H336" t="n">
        <v>0</v>
      </c>
      <c r="I336" t="n">
        <v>0</v>
      </c>
      <c r="J336" t="n">
        <v>0</v>
      </c>
      <c r="K336" t="n">
        <v>0</v>
      </c>
      <c r="L336" t="n">
        <v>0</v>
      </c>
      <c r="M336" t="n">
        <v>0</v>
      </c>
      <c r="N336" t="n">
        <v>0</v>
      </c>
      <c r="O336" t="n">
        <v>0</v>
      </c>
      <c r="P336" t="n">
        <v>0</v>
      </c>
      <c r="Q336" t="n">
        <v>0</v>
      </c>
      <c r="R336" s="2" t="inlineStr"/>
    </row>
    <row r="337" ht="15" customHeight="1">
      <c r="A337" t="inlineStr">
        <is>
          <t>A 44524-2025</t>
        </is>
      </c>
      <c r="B337" s="1" t="n">
        <v>45916.72920138889</v>
      </c>
      <c r="C337" s="1" t="n">
        <v>46086</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44486-2025</t>
        </is>
      </c>
      <c r="B338" s="1" t="n">
        <v>45916.65517361111</v>
      </c>
      <c r="C338" s="1" t="n">
        <v>46086</v>
      </c>
      <c r="D338" t="inlineStr">
        <is>
          <t>VÄSTMANLANDS LÄN</t>
        </is>
      </c>
      <c r="E338" t="inlineStr">
        <is>
          <t>SALA</t>
        </is>
      </c>
      <c r="G338" t="n">
        <v>1.7</v>
      </c>
      <c r="H338" t="n">
        <v>0</v>
      </c>
      <c r="I338" t="n">
        <v>0</v>
      </c>
      <c r="J338" t="n">
        <v>0</v>
      </c>
      <c r="K338" t="n">
        <v>0</v>
      </c>
      <c r="L338" t="n">
        <v>0</v>
      </c>
      <c r="M338" t="n">
        <v>0</v>
      </c>
      <c r="N338" t="n">
        <v>0</v>
      </c>
      <c r="O338" t="n">
        <v>0</v>
      </c>
      <c r="P338" t="n">
        <v>0</v>
      </c>
      <c r="Q338" t="n">
        <v>0</v>
      </c>
      <c r="R338" s="2" t="inlineStr"/>
    </row>
    <row r="339" ht="15" customHeight="1">
      <c r="A339" t="inlineStr">
        <is>
          <t>A 45177-2025</t>
        </is>
      </c>
      <c r="B339" s="1" t="n">
        <v>45919.52444444445</v>
      </c>
      <c r="C339" s="1" t="n">
        <v>46086</v>
      </c>
      <c r="D339" t="inlineStr">
        <is>
          <t>VÄSTMANLANDS LÄN</t>
        </is>
      </c>
      <c r="E339" t="inlineStr">
        <is>
          <t>SALA</t>
        </is>
      </c>
      <c r="G339" t="n">
        <v>2.4</v>
      </c>
      <c r="H339" t="n">
        <v>0</v>
      </c>
      <c r="I339" t="n">
        <v>0</v>
      </c>
      <c r="J339" t="n">
        <v>0</v>
      </c>
      <c r="K339" t="n">
        <v>0</v>
      </c>
      <c r="L339" t="n">
        <v>0</v>
      </c>
      <c r="M339" t="n">
        <v>0</v>
      </c>
      <c r="N339" t="n">
        <v>0</v>
      </c>
      <c r="O339" t="n">
        <v>0</v>
      </c>
      <c r="P339" t="n">
        <v>0</v>
      </c>
      <c r="Q339" t="n">
        <v>0</v>
      </c>
      <c r="R339" s="2" t="inlineStr"/>
    </row>
    <row r="340" ht="15" customHeight="1">
      <c r="A340" t="inlineStr">
        <is>
          <t>A 43122-2025</t>
        </is>
      </c>
      <c r="B340" s="1" t="n">
        <v>45909</v>
      </c>
      <c r="C340" s="1" t="n">
        <v>46086</v>
      </c>
      <c r="D340" t="inlineStr">
        <is>
          <t>VÄSTMANLANDS LÄN</t>
        </is>
      </c>
      <c r="E340" t="inlineStr">
        <is>
          <t>SALA</t>
        </is>
      </c>
      <c r="G340" t="n">
        <v>3.2</v>
      </c>
      <c r="H340" t="n">
        <v>0</v>
      </c>
      <c r="I340" t="n">
        <v>0</v>
      </c>
      <c r="J340" t="n">
        <v>0</v>
      </c>
      <c r="K340" t="n">
        <v>0</v>
      </c>
      <c r="L340" t="n">
        <v>0</v>
      </c>
      <c r="M340" t="n">
        <v>0</v>
      </c>
      <c r="N340" t="n">
        <v>0</v>
      </c>
      <c r="O340" t="n">
        <v>0</v>
      </c>
      <c r="P340" t="n">
        <v>0</v>
      </c>
      <c r="Q340" t="n">
        <v>0</v>
      </c>
      <c r="R340" s="2" t="inlineStr"/>
    </row>
    <row r="341" ht="15" customHeight="1">
      <c r="A341" t="inlineStr">
        <is>
          <t>A 45371-2025</t>
        </is>
      </c>
      <c r="B341" s="1" t="n">
        <v>45922.39001157408</v>
      </c>
      <c r="C341" s="1" t="n">
        <v>46086</v>
      </c>
      <c r="D341" t="inlineStr">
        <is>
          <t>VÄSTMANLANDS LÄN</t>
        </is>
      </c>
      <c r="E341" t="inlineStr">
        <is>
          <t>SALA</t>
        </is>
      </c>
      <c r="G341" t="n">
        <v>2.1</v>
      </c>
      <c r="H341" t="n">
        <v>0</v>
      </c>
      <c r="I341" t="n">
        <v>0</v>
      </c>
      <c r="J341" t="n">
        <v>0</v>
      </c>
      <c r="K341" t="n">
        <v>0</v>
      </c>
      <c r="L341" t="n">
        <v>0</v>
      </c>
      <c r="M341" t="n">
        <v>0</v>
      </c>
      <c r="N341" t="n">
        <v>0</v>
      </c>
      <c r="O341" t="n">
        <v>0</v>
      </c>
      <c r="P341" t="n">
        <v>0</v>
      </c>
      <c r="Q341" t="n">
        <v>0</v>
      </c>
      <c r="R341" s="2" t="inlineStr"/>
    </row>
    <row r="342" ht="15" customHeight="1">
      <c r="A342" t="inlineStr">
        <is>
          <t>A 11799-2026</t>
        </is>
      </c>
      <c r="B342" s="1" t="n">
        <v>46085.34180555555</v>
      </c>
      <c r="C342" s="1" t="n">
        <v>46086</v>
      </c>
      <c r="D342" t="inlineStr">
        <is>
          <t>VÄSTMANLANDS LÄN</t>
        </is>
      </c>
      <c r="E342" t="inlineStr">
        <is>
          <t>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28696-2023</t>
        </is>
      </c>
      <c r="B343" s="1" t="n">
        <v>45103.71759259259</v>
      </c>
      <c r="C343" s="1" t="n">
        <v>46086</v>
      </c>
      <c r="D343" t="inlineStr">
        <is>
          <t>VÄSTMANLANDS LÄN</t>
        </is>
      </c>
      <c r="E343" t="inlineStr">
        <is>
          <t>SALA</t>
        </is>
      </c>
      <c r="F343" t="inlineStr">
        <is>
          <t>Kommuner</t>
        </is>
      </c>
      <c r="G343" t="n">
        <v>5.9</v>
      </c>
      <c r="H343" t="n">
        <v>0</v>
      </c>
      <c r="I343" t="n">
        <v>0</v>
      </c>
      <c r="J343" t="n">
        <v>0</v>
      </c>
      <c r="K343" t="n">
        <v>0</v>
      </c>
      <c r="L343" t="n">
        <v>0</v>
      </c>
      <c r="M343" t="n">
        <v>0</v>
      </c>
      <c r="N343" t="n">
        <v>0</v>
      </c>
      <c r="O343" t="n">
        <v>0</v>
      </c>
      <c r="P343" t="n">
        <v>0</v>
      </c>
      <c r="Q343" t="n">
        <v>0</v>
      </c>
      <c r="R343" s="2" t="inlineStr"/>
    </row>
    <row r="344" ht="15" customHeight="1">
      <c r="A344" t="inlineStr">
        <is>
          <t>A 35775-2025</t>
        </is>
      </c>
      <c r="B344" s="1" t="n">
        <v>45860</v>
      </c>
      <c r="C344" s="1" t="n">
        <v>46086</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35779-2025</t>
        </is>
      </c>
      <c r="B345" s="1" t="n">
        <v>45860.69495370371</v>
      </c>
      <c r="C345" s="1" t="n">
        <v>46086</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6691-2025</t>
        </is>
      </c>
      <c r="B346" s="1" t="n">
        <v>45700.50625</v>
      </c>
      <c r="C346" s="1" t="n">
        <v>46086</v>
      </c>
      <c r="D346" t="inlineStr">
        <is>
          <t>VÄSTMANLANDS LÄN</t>
        </is>
      </c>
      <c r="E346" t="inlineStr">
        <is>
          <t>SALA</t>
        </is>
      </c>
      <c r="G346" t="n">
        <v>2.1</v>
      </c>
      <c r="H346" t="n">
        <v>0</v>
      </c>
      <c r="I346" t="n">
        <v>0</v>
      </c>
      <c r="J346" t="n">
        <v>0</v>
      </c>
      <c r="K346" t="n">
        <v>0</v>
      </c>
      <c r="L346" t="n">
        <v>0</v>
      </c>
      <c r="M346" t="n">
        <v>0</v>
      </c>
      <c r="N346" t="n">
        <v>0</v>
      </c>
      <c r="O346" t="n">
        <v>0</v>
      </c>
      <c r="P346" t="n">
        <v>0</v>
      </c>
      <c r="Q346" t="n">
        <v>0</v>
      </c>
      <c r="R346" s="2" t="inlineStr"/>
    </row>
    <row r="347" ht="15" customHeight="1">
      <c r="A347" t="inlineStr">
        <is>
          <t>A 45914-2025</t>
        </is>
      </c>
      <c r="B347" s="1" t="n">
        <v>45923.82582175926</v>
      </c>
      <c r="C347" s="1" t="n">
        <v>46086</v>
      </c>
      <c r="D347" t="inlineStr">
        <is>
          <t>VÄSTMANLANDS LÄN</t>
        </is>
      </c>
      <c r="E347" t="inlineStr">
        <is>
          <t>SALA</t>
        </is>
      </c>
      <c r="F347" t="inlineStr">
        <is>
          <t>Kommuner</t>
        </is>
      </c>
      <c r="G347" t="n">
        <v>18.2</v>
      </c>
      <c r="H347" t="n">
        <v>0</v>
      </c>
      <c r="I347" t="n">
        <v>0</v>
      </c>
      <c r="J347" t="n">
        <v>0</v>
      </c>
      <c r="K347" t="n">
        <v>0</v>
      </c>
      <c r="L347" t="n">
        <v>0</v>
      </c>
      <c r="M347" t="n">
        <v>0</v>
      </c>
      <c r="N347" t="n">
        <v>0</v>
      </c>
      <c r="O347" t="n">
        <v>0</v>
      </c>
      <c r="P347" t="n">
        <v>0</v>
      </c>
      <c r="Q347" t="n">
        <v>0</v>
      </c>
      <c r="R347" s="2" t="inlineStr"/>
    </row>
    <row r="348" ht="15" customHeight="1">
      <c r="A348" t="inlineStr">
        <is>
          <t>A 35776-2025</t>
        </is>
      </c>
      <c r="B348" s="1" t="n">
        <v>45860.69211805556</v>
      </c>
      <c r="C348" s="1" t="n">
        <v>46086</v>
      </c>
      <c r="D348" t="inlineStr">
        <is>
          <t>VÄSTMANLANDS LÄN</t>
        </is>
      </c>
      <c r="E348" t="inlineStr">
        <is>
          <t>SALA</t>
        </is>
      </c>
      <c r="G348" t="n">
        <v>14.2</v>
      </c>
      <c r="H348" t="n">
        <v>0</v>
      </c>
      <c r="I348" t="n">
        <v>0</v>
      </c>
      <c r="J348" t="n">
        <v>0</v>
      </c>
      <c r="K348" t="n">
        <v>0</v>
      </c>
      <c r="L348" t="n">
        <v>0</v>
      </c>
      <c r="M348" t="n">
        <v>0</v>
      </c>
      <c r="N348" t="n">
        <v>0</v>
      </c>
      <c r="O348" t="n">
        <v>0</v>
      </c>
      <c r="P348" t="n">
        <v>0</v>
      </c>
      <c r="Q348" t="n">
        <v>0</v>
      </c>
      <c r="R348" s="2" t="inlineStr"/>
    </row>
    <row r="349" ht="15" customHeight="1">
      <c r="A349" t="inlineStr">
        <is>
          <t>A 35715-2025</t>
        </is>
      </c>
      <c r="B349" s="1" t="n">
        <v>45860.42148148148</v>
      </c>
      <c r="C349" s="1" t="n">
        <v>46086</v>
      </c>
      <c r="D349" t="inlineStr">
        <is>
          <t>VÄSTMANLANDS LÄN</t>
        </is>
      </c>
      <c r="E349" t="inlineStr">
        <is>
          <t>SALA</t>
        </is>
      </c>
      <c r="G349" t="n">
        <v>3.8</v>
      </c>
      <c r="H349" t="n">
        <v>0</v>
      </c>
      <c r="I349" t="n">
        <v>0</v>
      </c>
      <c r="J349" t="n">
        <v>0</v>
      </c>
      <c r="K349" t="n">
        <v>0</v>
      </c>
      <c r="L349" t="n">
        <v>0</v>
      </c>
      <c r="M349" t="n">
        <v>0</v>
      </c>
      <c r="N349" t="n">
        <v>0</v>
      </c>
      <c r="O349" t="n">
        <v>0</v>
      </c>
      <c r="P349" t="n">
        <v>0</v>
      </c>
      <c r="Q349" t="n">
        <v>0</v>
      </c>
      <c r="R349" s="2" t="inlineStr"/>
    </row>
    <row r="350" ht="15" customHeight="1">
      <c r="A350" t="inlineStr">
        <is>
          <t>A 1934-2023</t>
        </is>
      </c>
      <c r="B350" s="1" t="n">
        <v>44939.43024305555</v>
      </c>
      <c r="C350" s="1" t="n">
        <v>46086</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35519-2024</t>
        </is>
      </c>
      <c r="B351" s="1" t="n">
        <v>45531</v>
      </c>
      <c r="C351" s="1" t="n">
        <v>46086</v>
      </c>
      <c r="D351" t="inlineStr">
        <is>
          <t>VÄSTMANLANDS LÄN</t>
        </is>
      </c>
      <c r="E351" t="inlineStr">
        <is>
          <t>SALA</t>
        </is>
      </c>
      <c r="G351" t="n">
        <v>1.8</v>
      </c>
      <c r="H351" t="n">
        <v>0</v>
      </c>
      <c r="I351" t="n">
        <v>0</v>
      </c>
      <c r="J351" t="n">
        <v>0</v>
      </c>
      <c r="K351" t="n">
        <v>0</v>
      </c>
      <c r="L351" t="n">
        <v>0</v>
      </c>
      <c r="M351" t="n">
        <v>0</v>
      </c>
      <c r="N351" t="n">
        <v>0</v>
      </c>
      <c r="O351" t="n">
        <v>0</v>
      </c>
      <c r="P351" t="n">
        <v>0</v>
      </c>
      <c r="Q351" t="n">
        <v>0</v>
      </c>
      <c r="R351" s="2" t="inlineStr"/>
    </row>
    <row r="352" ht="15" customHeight="1">
      <c r="A352" t="inlineStr">
        <is>
          <t>A 35651-2025</t>
        </is>
      </c>
      <c r="B352" s="1" t="n">
        <v>45859.52435185185</v>
      </c>
      <c r="C352" s="1" t="n">
        <v>46086</v>
      </c>
      <c r="D352" t="inlineStr">
        <is>
          <t>VÄSTMANLANDS LÄN</t>
        </is>
      </c>
      <c r="E352" t="inlineStr">
        <is>
          <t>SALA</t>
        </is>
      </c>
      <c r="G352" t="n">
        <v>6.3</v>
      </c>
      <c r="H352" t="n">
        <v>0</v>
      </c>
      <c r="I352" t="n">
        <v>0</v>
      </c>
      <c r="J352" t="n">
        <v>0</v>
      </c>
      <c r="K352" t="n">
        <v>0</v>
      </c>
      <c r="L352" t="n">
        <v>0</v>
      </c>
      <c r="M352" t="n">
        <v>0</v>
      </c>
      <c r="N352" t="n">
        <v>0</v>
      </c>
      <c r="O352" t="n">
        <v>0</v>
      </c>
      <c r="P352" t="n">
        <v>0</v>
      </c>
      <c r="Q352" t="n">
        <v>0</v>
      </c>
      <c r="R352" s="2" t="inlineStr"/>
    </row>
    <row r="353" ht="15" customHeight="1">
      <c r="A353" t="inlineStr">
        <is>
          <t>A 45909-2025</t>
        </is>
      </c>
      <c r="B353" s="1" t="n">
        <v>45923.75078703704</v>
      </c>
      <c r="C353" s="1" t="n">
        <v>46086</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35774-2025</t>
        </is>
      </c>
      <c r="B354" s="1" t="n">
        <v>45860.68780092592</v>
      </c>
      <c r="C354" s="1" t="n">
        <v>46086</v>
      </c>
      <c r="D354" t="inlineStr">
        <is>
          <t>VÄSTMANLANDS LÄN</t>
        </is>
      </c>
      <c r="E354" t="inlineStr">
        <is>
          <t>SALA</t>
        </is>
      </c>
      <c r="G354" t="n">
        <v>6.5</v>
      </c>
      <c r="H354" t="n">
        <v>0</v>
      </c>
      <c r="I354" t="n">
        <v>0</v>
      </c>
      <c r="J354" t="n">
        <v>0</v>
      </c>
      <c r="K354" t="n">
        <v>0</v>
      </c>
      <c r="L354" t="n">
        <v>0</v>
      </c>
      <c r="M354" t="n">
        <v>0</v>
      </c>
      <c r="N354" t="n">
        <v>0</v>
      </c>
      <c r="O354" t="n">
        <v>0</v>
      </c>
      <c r="P354" t="n">
        <v>0</v>
      </c>
      <c r="Q354" t="n">
        <v>0</v>
      </c>
      <c r="R354" s="2" t="inlineStr"/>
    </row>
    <row r="355" ht="15" customHeight="1">
      <c r="A355" t="inlineStr">
        <is>
          <t>A 50241-2023</t>
        </is>
      </c>
      <c r="B355" s="1" t="n">
        <v>45216</v>
      </c>
      <c r="C355" s="1" t="n">
        <v>46086</v>
      </c>
      <c r="D355" t="inlineStr">
        <is>
          <t>VÄSTMANLANDS LÄN</t>
        </is>
      </c>
      <c r="E355" t="inlineStr">
        <is>
          <t>SALA</t>
        </is>
      </c>
      <c r="G355" t="n">
        <v>1.9</v>
      </c>
      <c r="H355" t="n">
        <v>0</v>
      </c>
      <c r="I355" t="n">
        <v>0</v>
      </c>
      <c r="J355" t="n">
        <v>0</v>
      </c>
      <c r="K355" t="n">
        <v>0</v>
      </c>
      <c r="L355" t="n">
        <v>0</v>
      </c>
      <c r="M355" t="n">
        <v>0</v>
      </c>
      <c r="N355" t="n">
        <v>0</v>
      </c>
      <c r="O355" t="n">
        <v>0</v>
      </c>
      <c r="P355" t="n">
        <v>0</v>
      </c>
      <c r="Q355" t="n">
        <v>0</v>
      </c>
      <c r="R355" s="2" t="inlineStr"/>
    </row>
    <row r="356" ht="15" customHeight="1">
      <c r="A356" t="inlineStr">
        <is>
          <t>A 36060-2025</t>
        </is>
      </c>
      <c r="B356" s="1" t="n">
        <v>45866.39469907407</v>
      </c>
      <c r="C356" s="1" t="n">
        <v>46086</v>
      </c>
      <c r="D356" t="inlineStr">
        <is>
          <t>VÄSTMANLANDS LÄN</t>
        </is>
      </c>
      <c r="E356" t="inlineStr">
        <is>
          <t>SALA</t>
        </is>
      </c>
      <c r="F356" t="inlineStr">
        <is>
          <t>Kommuner</t>
        </is>
      </c>
      <c r="G356" t="n">
        <v>4.3</v>
      </c>
      <c r="H356" t="n">
        <v>0</v>
      </c>
      <c r="I356" t="n">
        <v>0</v>
      </c>
      <c r="J356" t="n">
        <v>0</v>
      </c>
      <c r="K356" t="n">
        <v>0</v>
      </c>
      <c r="L356" t="n">
        <v>0</v>
      </c>
      <c r="M356" t="n">
        <v>0</v>
      </c>
      <c r="N356" t="n">
        <v>0</v>
      </c>
      <c r="O356" t="n">
        <v>0</v>
      </c>
      <c r="P356" t="n">
        <v>0</v>
      </c>
      <c r="Q356" t="n">
        <v>0</v>
      </c>
      <c r="R356" s="2" t="inlineStr"/>
    </row>
    <row r="357" ht="15" customHeight="1">
      <c r="A357" t="inlineStr">
        <is>
          <t>A 30971-2022</t>
        </is>
      </c>
      <c r="B357" s="1" t="n">
        <v>44768.46725694444</v>
      </c>
      <c r="C357" s="1" t="n">
        <v>46086</v>
      </c>
      <c r="D357" t="inlineStr">
        <is>
          <t>VÄSTMANLANDS LÄN</t>
        </is>
      </c>
      <c r="E357" t="inlineStr">
        <is>
          <t>SALA</t>
        </is>
      </c>
      <c r="G357" t="n">
        <v>2.4</v>
      </c>
      <c r="H357" t="n">
        <v>0</v>
      </c>
      <c r="I357" t="n">
        <v>0</v>
      </c>
      <c r="J357" t="n">
        <v>0</v>
      </c>
      <c r="K357" t="n">
        <v>0</v>
      </c>
      <c r="L357" t="n">
        <v>0</v>
      </c>
      <c r="M357" t="n">
        <v>0</v>
      </c>
      <c r="N357" t="n">
        <v>0</v>
      </c>
      <c r="O357" t="n">
        <v>0</v>
      </c>
      <c r="P357" t="n">
        <v>0</v>
      </c>
      <c r="Q357" t="n">
        <v>0</v>
      </c>
      <c r="R357" s="2" t="inlineStr"/>
    </row>
    <row r="358" ht="15" customHeight="1">
      <c r="A358" t="inlineStr">
        <is>
          <t>A 46915-2025</t>
        </is>
      </c>
      <c r="B358" s="1" t="n">
        <v>45929.42114583333</v>
      </c>
      <c r="C358" s="1" t="n">
        <v>46086</v>
      </c>
      <c r="D358" t="inlineStr">
        <is>
          <t>VÄSTMANLANDS LÄN</t>
        </is>
      </c>
      <c r="E358" t="inlineStr">
        <is>
          <t>SALA</t>
        </is>
      </c>
      <c r="G358" t="n">
        <v>1.5</v>
      </c>
      <c r="H358" t="n">
        <v>0</v>
      </c>
      <c r="I358" t="n">
        <v>0</v>
      </c>
      <c r="J358" t="n">
        <v>0</v>
      </c>
      <c r="K358" t="n">
        <v>0</v>
      </c>
      <c r="L358" t="n">
        <v>0</v>
      </c>
      <c r="M358" t="n">
        <v>0</v>
      </c>
      <c r="N358" t="n">
        <v>0</v>
      </c>
      <c r="O358" t="n">
        <v>0</v>
      </c>
      <c r="P358" t="n">
        <v>0</v>
      </c>
      <c r="Q358" t="n">
        <v>0</v>
      </c>
      <c r="R358" s="2" t="inlineStr"/>
    </row>
    <row r="359" ht="15" customHeight="1">
      <c r="A359" t="inlineStr">
        <is>
          <t>A 36031-2025</t>
        </is>
      </c>
      <c r="B359" s="1" t="n">
        <v>45865.46111111111</v>
      </c>
      <c r="C359" s="1" t="n">
        <v>46086</v>
      </c>
      <c r="D359" t="inlineStr">
        <is>
          <t>VÄSTMANLANDS LÄN</t>
        </is>
      </c>
      <c r="E359" t="inlineStr">
        <is>
          <t>SALA</t>
        </is>
      </c>
      <c r="G359" t="n">
        <v>7.2</v>
      </c>
      <c r="H359" t="n">
        <v>0</v>
      </c>
      <c r="I359" t="n">
        <v>0</v>
      </c>
      <c r="J359" t="n">
        <v>0</v>
      </c>
      <c r="K359" t="n">
        <v>0</v>
      </c>
      <c r="L359" t="n">
        <v>0</v>
      </c>
      <c r="M359" t="n">
        <v>0</v>
      </c>
      <c r="N359" t="n">
        <v>0</v>
      </c>
      <c r="O359" t="n">
        <v>0</v>
      </c>
      <c r="P359" t="n">
        <v>0</v>
      </c>
      <c r="Q359" t="n">
        <v>0</v>
      </c>
      <c r="R359" s="2" t="inlineStr"/>
    </row>
    <row r="360" ht="15" customHeight="1">
      <c r="A360" t="inlineStr">
        <is>
          <t>A 36043-2025</t>
        </is>
      </c>
      <c r="B360" s="1" t="n">
        <v>45866.35333333333</v>
      </c>
      <c r="C360" s="1" t="n">
        <v>46086</v>
      </c>
      <c r="D360" t="inlineStr">
        <is>
          <t>VÄSTMANLANDS LÄN</t>
        </is>
      </c>
      <c r="E360" t="inlineStr">
        <is>
          <t>SALA</t>
        </is>
      </c>
      <c r="F360" t="inlineStr">
        <is>
          <t>Kommuner</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35637-2022</t>
        </is>
      </c>
      <c r="B361" s="1" t="n">
        <v>44799.55194444444</v>
      </c>
      <c r="C361" s="1" t="n">
        <v>46086</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19304-2025</t>
        </is>
      </c>
      <c r="B362" s="1" t="n">
        <v>45769</v>
      </c>
      <c r="C362" s="1" t="n">
        <v>46086</v>
      </c>
      <c r="D362" t="inlineStr">
        <is>
          <t>VÄSTMANLANDS LÄN</t>
        </is>
      </c>
      <c r="E362" t="inlineStr">
        <is>
          <t>SALA</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36032-2025</t>
        </is>
      </c>
      <c r="B363" s="1" t="n">
        <v>45865.48740740741</v>
      </c>
      <c r="C363" s="1" t="n">
        <v>46086</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36049-2025</t>
        </is>
      </c>
      <c r="B364" s="1" t="n">
        <v>45866.37065972222</v>
      </c>
      <c r="C364" s="1" t="n">
        <v>46086</v>
      </c>
      <c r="D364" t="inlineStr">
        <is>
          <t>VÄSTMANLANDS LÄN</t>
        </is>
      </c>
      <c r="E364" t="inlineStr">
        <is>
          <t>SALA</t>
        </is>
      </c>
      <c r="F364" t="inlineStr">
        <is>
          <t>Kommuner</t>
        </is>
      </c>
      <c r="G364" t="n">
        <v>1.9</v>
      </c>
      <c r="H364" t="n">
        <v>0</v>
      </c>
      <c r="I364" t="n">
        <v>0</v>
      </c>
      <c r="J364" t="n">
        <v>0</v>
      </c>
      <c r="K364" t="n">
        <v>0</v>
      </c>
      <c r="L364" t="n">
        <v>0</v>
      </c>
      <c r="M364" t="n">
        <v>0</v>
      </c>
      <c r="N364" t="n">
        <v>0</v>
      </c>
      <c r="O364" t="n">
        <v>0</v>
      </c>
      <c r="P364" t="n">
        <v>0</v>
      </c>
      <c r="Q364" t="n">
        <v>0</v>
      </c>
      <c r="R364" s="2" t="inlineStr"/>
    </row>
    <row r="365" ht="15" customHeight="1">
      <c r="A365" t="inlineStr">
        <is>
          <t>A 27038-2023</t>
        </is>
      </c>
      <c r="B365" s="1" t="n">
        <v>45095</v>
      </c>
      <c r="C365" s="1" t="n">
        <v>46086</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46597-2025</t>
        </is>
      </c>
      <c r="B366" s="1" t="n">
        <v>45926.40113425926</v>
      </c>
      <c r="C366" s="1" t="n">
        <v>46086</v>
      </c>
      <c r="D366" t="inlineStr">
        <is>
          <t>VÄSTMANLANDS LÄN</t>
        </is>
      </c>
      <c r="E366" t="inlineStr">
        <is>
          <t>SALA</t>
        </is>
      </c>
      <c r="G366" t="n">
        <v>3.4</v>
      </c>
      <c r="H366" t="n">
        <v>0</v>
      </c>
      <c r="I366" t="n">
        <v>0</v>
      </c>
      <c r="J366" t="n">
        <v>0</v>
      </c>
      <c r="K366" t="n">
        <v>0</v>
      </c>
      <c r="L366" t="n">
        <v>0</v>
      </c>
      <c r="M366" t="n">
        <v>0</v>
      </c>
      <c r="N366" t="n">
        <v>0</v>
      </c>
      <c r="O366" t="n">
        <v>0</v>
      </c>
      <c r="P366" t="n">
        <v>0</v>
      </c>
      <c r="Q366" t="n">
        <v>0</v>
      </c>
      <c r="R366" s="2" t="inlineStr"/>
    </row>
    <row r="367" ht="15" customHeight="1">
      <c r="A367" t="inlineStr">
        <is>
          <t>A 23182-2022</t>
        </is>
      </c>
      <c r="B367" s="1" t="n">
        <v>44719.79707175926</v>
      </c>
      <c r="C367" s="1" t="n">
        <v>46086</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36045-2025</t>
        </is>
      </c>
      <c r="B368" s="1" t="n">
        <v>45866.36200231482</v>
      </c>
      <c r="C368" s="1" t="n">
        <v>46086</v>
      </c>
      <c r="D368" t="inlineStr">
        <is>
          <t>VÄSTMANLANDS LÄN</t>
        </is>
      </c>
      <c r="E368" t="inlineStr">
        <is>
          <t>SALA</t>
        </is>
      </c>
      <c r="F368" t="inlineStr">
        <is>
          <t>Kommuner</t>
        </is>
      </c>
      <c r="G368" t="n">
        <v>1.7</v>
      </c>
      <c r="H368" t="n">
        <v>0</v>
      </c>
      <c r="I368" t="n">
        <v>0</v>
      </c>
      <c r="J368" t="n">
        <v>0</v>
      </c>
      <c r="K368" t="n">
        <v>0</v>
      </c>
      <c r="L368" t="n">
        <v>0</v>
      </c>
      <c r="M368" t="n">
        <v>0</v>
      </c>
      <c r="N368" t="n">
        <v>0</v>
      </c>
      <c r="O368" t="n">
        <v>0</v>
      </c>
      <c r="P368" t="n">
        <v>0</v>
      </c>
      <c r="Q368" t="n">
        <v>0</v>
      </c>
      <c r="R368" s="2" t="inlineStr"/>
    </row>
    <row r="369" ht="15" customHeight="1">
      <c r="A369" t="inlineStr">
        <is>
          <t>A 47577-2025</t>
        </is>
      </c>
      <c r="B369" s="1" t="n">
        <v>45931.4047337963</v>
      </c>
      <c r="C369" s="1" t="n">
        <v>46086</v>
      </c>
      <c r="D369" t="inlineStr">
        <is>
          <t>VÄSTMANLANDS LÄN</t>
        </is>
      </c>
      <c r="E369" t="inlineStr">
        <is>
          <t>SALA</t>
        </is>
      </c>
      <c r="G369" t="n">
        <v>3.7</v>
      </c>
      <c r="H369" t="n">
        <v>0</v>
      </c>
      <c r="I369" t="n">
        <v>0</v>
      </c>
      <c r="J369" t="n">
        <v>0</v>
      </c>
      <c r="K369" t="n">
        <v>0</v>
      </c>
      <c r="L369" t="n">
        <v>0</v>
      </c>
      <c r="M369" t="n">
        <v>0</v>
      </c>
      <c r="N369" t="n">
        <v>0</v>
      </c>
      <c r="O369" t="n">
        <v>0</v>
      </c>
      <c r="P369" t="n">
        <v>0</v>
      </c>
      <c r="Q369" t="n">
        <v>0</v>
      </c>
      <c r="R369" s="2" t="inlineStr"/>
    </row>
    <row r="370" ht="15" customHeight="1">
      <c r="A370" t="inlineStr">
        <is>
          <t>A 31859-2023</t>
        </is>
      </c>
      <c r="B370" s="1" t="n">
        <v>45118</v>
      </c>
      <c r="C370" s="1" t="n">
        <v>46086</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c r="U370">
        <f>HYPERLINK("https://klasma.github.io/Logging_1981/knärot/A 31859-2023 karta knärot.png", "A 31859-2023")</f>
        <v/>
      </c>
      <c r="V370">
        <f>HYPERLINK("https://klasma.github.io/Logging_1981/klagomål/A 31859-2023 FSC-klagomål.docx", "A 31859-2023")</f>
        <v/>
      </c>
      <c r="W370">
        <f>HYPERLINK("https://klasma.github.io/Logging_1981/klagomålsmail/A 31859-2023 FSC-klagomål mail.docx", "A 31859-2023")</f>
        <v/>
      </c>
      <c r="X370">
        <f>HYPERLINK("https://klasma.github.io/Logging_1981/tillsyn/A 31859-2023 tillsynsbegäran.docx", "A 31859-2023")</f>
        <v/>
      </c>
      <c r="Y370">
        <f>HYPERLINK("https://klasma.github.io/Logging_1981/tillsynsmail/A 31859-2023 tillsynsbegäran mail.docx", "A 31859-2023")</f>
        <v/>
      </c>
    </row>
    <row r="371" ht="15" customHeight="1">
      <c r="A371" t="inlineStr">
        <is>
          <t>A 7469-2025</t>
        </is>
      </c>
      <c r="B371" s="1" t="n">
        <v>45705</v>
      </c>
      <c r="C371" s="1" t="n">
        <v>46086</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17766-2025</t>
        </is>
      </c>
      <c r="B372" s="1" t="n">
        <v>45758</v>
      </c>
      <c r="C372" s="1" t="n">
        <v>46086</v>
      </c>
      <c r="D372" t="inlineStr">
        <is>
          <t>VÄSTMANLANDS LÄN</t>
        </is>
      </c>
      <c r="E372" t="inlineStr">
        <is>
          <t>SALA</t>
        </is>
      </c>
      <c r="G372" t="n">
        <v>16.5</v>
      </c>
      <c r="H372" t="n">
        <v>0</v>
      </c>
      <c r="I372" t="n">
        <v>0</v>
      </c>
      <c r="J372" t="n">
        <v>0</v>
      </c>
      <c r="K372" t="n">
        <v>0</v>
      </c>
      <c r="L372" t="n">
        <v>0</v>
      </c>
      <c r="M372" t="n">
        <v>0</v>
      </c>
      <c r="N372" t="n">
        <v>0</v>
      </c>
      <c r="O372" t="n">
        <v>0</v>
      </c>
      <c r="P372" t="n">
        <v>0</v>
      </c>
      <c r="Q372" t="n">
        <v>0</v>
      </c>
      <c r="R372" s="2" t="inlineStr"/>
    </row>
    <row r="373" ht="15" customHeight="1">
      <c r="A373" t="inlineStr">
        <is>
          <t>A 46661-2025</t>
        </is>
      </c>
      <c r="B373" s="1" t="n">
        <v>45926</v>
      </c>
      <c r="C373" s="1" t="n">
        <v>46086</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31863-2025</t>
        </is>
      </c>
      <c r="B374" s="1" t="n">
        <v>45834.63303240741</v>
      </c>
      <c r="C374" s="1" t="n">
        <v>46086</v>
      </c>
      <c r="D374" t="inlineStr">
        <is>
          <t>VÄSTMANLANDS LÄN</t>
        </is>
      </c>
      <c r="E374" t="inlineStr">
        <is>
          <t>SALA</t>
        </is>
      </c>
      <c r="G374" t="n">
        <v>2.5</v>
      </c>
      <c r="H374" t="n">
        <v>0</v>
      </c>
      <c r="I374" t="n">
        <v>0</v>
      </c>
      <c r="J374" t="n">
        <v>0</v>
      </c>
      <c r="K374" t="n">
        <v>0</v>
      </c>
      <c r="L374" t="n">
        <v>0</v>
      </c>
      <c r="M374" t="n">
        <v>0</v>
      </c>
      <c r="N374" t="n">
        <v>0</v>
      </c>
      <c r="O374" t="n">
        <v>0</v>
      </c>
      <c r="P374" t="n">
        <v>0</v>
      </c>
      <c r="Q374" t="n">
        <v>0</v>
      </c>
      <c r="R374" s="2" t="inlineStr"/>
    </row>
    <row r="375" ht="15" customHeight="1">
      <c r="A375" t="inlineStr">
        <is>
          <t>A 60034-2024</t>
        </is>
      </c>
      <c r="B375" s="1" t="n">
        <v>45642.46261574074</v>
      </c>
      <c r="C375" s="1" t="n">
        <v>46086</v>
      </c>
      <c r="D375" t="inlineStr">
        <is>
          <t>VÄSTMANLANDS LÄN</t>
        </is>
      </c>
      <c r="E375" t="inlineStr">
        <is>
          <t>SALA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3546-2025</t>
        </is>
      </c>
      <c r="B376" s="1" t="n">
        <v>45680</v>
      </c>
      <c r="C376" s="1" t="n">
        <v>46086</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31869-2025</t>
        </is>
      </c>
      <c r="B377" s="1" t="n">
        <v>45834.64555555556</v>
      </c>
      <c r="C377" s="1" t="n">
        <v>46086</v>
      </c>
      <c r="D377" t="inlineStr">
        <is>
          <t>VÄSTMANLANDS LÄN</t>
        </is>
      </c>
      <c r="E377" t="inlineStr">
        <is>
          <t>SALA</t>
        </is>
      </c>
      <c r="G377" t="n">
        <v>17.5</v>
      </c>
      <c r="H377" t="n">
        <v>0</v>
      </c>
      <c r="I377" t="n">
        <v>0</v>
      </c>
      <c r="J377" t="n">
        <v>0</v>
      </c>
      <c r="K377" t="n">
        <v>0</v>
      </c>
      <c r="L377" t="n">
        <v>0</v>
      </c>
      <c r="M377" t="n">
        <v>0</v>
      </c>
      <c r="N377" t="n">
        <v>0</v>
      </c>
      <c r="O377" t="n">
        <v>0</v>
      </c>
      <c r="P377" t="n">
        <v>0</v>
      </c>
      <c r="Q377" t="n">
        <v>0</v>
      </c>
      <c r="R377" s="2" t="inlineStr"/>
    </row>
    <row r="378" ht="15" customHeight="1">
      <c r="A378" t="inlineStr">
        <is>
          <t>A 7664-2023</t>
        </is>
      </c>
      <c r="B378" s="1" t="n">
        <v>44972</v>
      </c>
      <c r="C378" s="1" t="n">
        <v>46086</v>
      </c>
      <c r="D378" t="inlineStr">
        <is>
          <t>VÄSTMANLANDS LÄN</t>
        </is>
      </c>
      <c r="E378" t="inlineStr">
        <is>
          <t>SALA</t>
        </is>
      </c>
      <c r="G378" t="n">
        <v>1.4</v>
      </c>
      <c r="H378" t="n">
        <v>0</v>
      </c>
      <c r="I378" t="n">
        <v>0</v>
      </c>
      <c r="J378" t="n">
        <v>0</v>
      </c>
      <c r="K378" t="n">
        <v>0</v>
      </c>
      <c r="L378" t="n">
        <v>0</v>
      </c>
      <c r="M378" t="n">
        <v>0</v>
      </c>
      <c r="N378" t="n">
        <v>0</v>
      </c>
      <c r="O378" t="n">
        <v>0</v>
      </c>
      <c r="P378" t="n">
        <v>0</v>
      </c>
      <c r="Q378" t="n">
        <v>0</v>
      </c>
      <c r="R378" s="2" t="inlineStr"/>
    </row>
    <row r="379" ht="15" customHeight="1">
      <c r="A379" t="inlineStr">
        <is>
          <t>A 34867-2023</t>
        </is>
      </c>
      <c r="B379" s="1" t="n">
        <v>45142.33481481481</v>
      </c>
      <c r="C379" s="1" t="n">
        <v>46086</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48057-2025</t>
        </is>
      </c>
      <c r="B380" s="1" t="n">
        <v>45932.67947916667</v>
      </c>
      <c r="C380" s="1" t="n">
        <v>46086</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17985-2025</t>
        </is>
      </c>
      <c r="B381" s="1" t="n">
        <v>45761</v>
      </c>
      <c r="C381" s="1" t="n">
        <v>46086</v>
      </c>
      <c r="D381" t="inlineStr">
        <is>
          <t>VÄSTMANLANDS LÄN</t>
        </is>
      </c>
      <c r="E381" t="inlineStr">
        <is>
          <t>SALA</t>
        </is>
      </c>
      <c r="G381" t="n">
        <v>12.5</v>
      </c>
      <c r="H381" t="n">
        <v>0</v>
      </c>
      <c r="I381" t="n">
        <v>0</v>
      </c>
      <c r="J381" t="n">
        <v>0</v>
      </c>
      <c r="K381" t="n">
        <v>0</v>
      </c>
      <c r="L381" t="n">
        <v>0</v>
      </c>
      <c r="M381" t="n">
        <v>0</v>
      </c>
      <c r="N381" t="n">
        <v>0</v>
      </c>
      <c r="O381" t="n">
        <v>0</v>
      </c>
      <c r="P381" t="n">
        <v>0</v>
      </c>
      <c r="Q381" t="n">
        <v>0</v>
      </c>
      <c r="R381" s="2" t="inlineStr"/>
    </row>
    <row r="382" ht="15" customHeight="1">
      <c r="A382" t="inlineStr">
        <is>
          <t>A 11631-2023</t>
        </is>
      </c>
      <c r="B382" s="1" t="n">
        <v>44994.44001157407</v>
      </c>
      <c r="C382" s="1" t="n">
        <v>46086</v>
      </c>
      <c r="D382" t="inlineStr">
        <is>
          <t>VÄSTMANLANDS LÄN</t>
        </is>
      </c>
      <c r="E382" t="inlineStr">
        <is>
          <t>SALA</t>
        </is>
      </c>
      <c r="F382" t="inlineStr">
        <is>
          <t>Kommuner</t>
        </is>
      </c>
      <c r="G382" t="n">
        <v>1.9</v>
      </c>
      <c r="H382" t="n">
        <v>0</v>
      </c>
      <c r="I382" t="n">
        <v>0</v>
      </c>
      <c r="J382" t="n">
        <v>0</v>
      </c>
      <c r="K382" t="n">
        <v>0</v>
      </c>
      <c r="L382" t="n">
        <v>0</v>
      </c>
      <c r="M382" t="n">
        <v>0</v>
      </c>
      <c r="N382" t="n">
        <v>0</v>
      </c>
      <c r="O382" t="n">
        <v>0</v>
      </c>
      <c r="P382" t="n">
        <v>0</v>
      </c>
      <c r="Q382" t="n">
        <v>0</v>
      </c>
      <c r="R382" s="2" t="inlineStr"/>
    </row>
    <row r="383" ht="15" customHeight="1">
      <c r="A383" t="inlineStr">
        <is>
          <t>A 37103-2025</t>
        </is>
      </c>
      <c r="B383" s="1" t="n">
        <v>45875.47743055555</v>
      </c>
      <c r="C383" s="1" t="n">
        <v>46086</v>
      </c>
      <c r="D383" t="inlineStr">
        <is>
          <t>VÄSTMANLANDS LÄN</t>
        </is>
      </c>
      <c r="E383" t="inlineStr">
        <is>
          <t>SALA</t>
        </is>
      </c>
      <c r="G383" t="n">
        <v>1.9</v>
      </c>
      <c r="H383" t="n">
        <v>0</v>
      </c>
      <c r="I383" t="n">
        <v>0</v>
      </c>
      <c r="J383" t="n">
        <v>0</v>
      </c>
      <c r="K383" t="n">
        <v>0</v>
      </c>
      <c r="L383" t="n">
        <v>0</v>
      </c>
      <c r="M383" t="n">
        <v>0</v>
      </c>
      <c r="N383" t="n">
        <v>0</v>
      </c>
      <c r="O383" t="n">
        <v>0</v>
      </c>
      <c r="P383" t="n">
        <v>0</v>
      </c>
      <c r="Q383" t="n">
        <v>0</v>
      </c>
      <c r="R383" s="2" t="inlineStr"/>
    </row>
    <row r="384" ht="15" customHeight="1">
      <c r="A384" t="inlineStr">
        <is>
          <t>A 48710-2025</t>
        </is>
      </c>
      <c r="B384" s="1" t="n">
        <v>45936.63184027778</v>
      </c>
      <c r="C384" s="1" t="n">
        <v>46086</v>
      </c>
      <c r="D384" t="inlineStr">
        <is>
          <t>VÄSTMANLANDS LÄN</t>
        </is>
      </c>
      <c r="E384" t="inlineStr">
        <is>
          <t>SALA</t>
        </is>
      </c>
      <c r="G384" t="n">
        <v>2.7</v>
      </c>
      <c r="H384" t="n">
        <v>0</v>
      </c>
      <c r="I384" t="n">
        <v>0</v>
      </c>
      <c r="J384" t="n">
        <v>0</v>
      </c>
      <c r="K384" t="n">
        <v>0</v>
      </c>
      <c r="L384" t="n">
        <v>0</v>
      </c>
      <c r="M384" t="n">
        <v>0</v>
      </c>
      <c r="N384" t="n">
        <v>0</v>
      </c>
      <c r="O384" t="n">
        <v>0</v>
      </c>
      <c r="P384" t="n">
        <v>0</v>
      </c>
      <c r="Q384" t="n">
        <v>0</v>
      </c>
      <c r="R384" s="2" t="inlineStr"/>
    </row>
    <row r="385" ht="15" customHeight="1">
      <c r="A385" t="inlineStr">
        <is>
          <t>A 37017-2025</t>
        </is>
      </c>
      <c r="B385" s="1" t="n">
        <v>45874</v>
      </c>
      <c r="C385" s="1" t="n">
        <v>46086</v>
      </c>
      <c r="D385" t="inlineStr">
        <is>
          <t>VÄSTMANLANDS LÄN</t>
        </is>
      </c>
      <c r="E385" t="inlineStr">
        <is>
          <t>SALA</t>
        </is>
      </c>
      <c r="G385" t="n">
        <v>11.1</v>
      </c>
      <c r="H385" t="n">
        <v>0</v>
      </c>
      <c r="I385" t="n">
        <v>0</v>
      </c>
      <c r="J385" t="n">
        <v>0</v>
      </c>
      <c r="K385" t="n">
        <v>0</v>
      </c>
      <c r="L385" t="n">
        <v>0</v>
      </c>
      <c r="M385" t="n">
        <v>0</v>
      </c>
      <c r="N385" t="n">
        <v>0</v>
      </c>
      <c r="O385" t="n">
        <v>0</v>
      </c>
      <c r="P385" t="n">
        <v>0</v>
      </c>
      <c r="Q385" t="n">
        <v>0</v>
      </c>
      <c r="R385" s="2" t="inlineStr"/>
    </row>
    <row r="386" ht="15" customHeight="1">
      <c r="A386" t="inlineStr">
        <is>
          <t>A 8775-2024</t>
        </is>
      </c>
      <c r="B386" s="1" t="n">
        <v>45356</v>
      </c>
      <c r="C386" s="1" t="n">
        <v>46086</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48710-2024</t>
        </is>
      </c>
      <c r="B387" s="1" t="n">
        <v>45593.53636574074</v>
      </c>
      <c r="C387" s="1" t="n">
        <v>46086</v>
      </c>
      <c r="D387" t="inlineStr">
        <is>
          <t>VÄSTMANLANDS LÄN</t>
        </is>
      </c>
      <c r="E387" t="inlineStr">
        <is>
          <t>SALA</t>
        </is>
      </c>
      <c r="G387" t="n">
        <v>6.5</v>
      </c>
      <c r="H387" t="n">
        <v>0</v>
      </c>
      <c r="I387" t="n">
        <v>0</v>
      </c>
      <c r="J387" t="n">
        <v>0</v>
      </c>
      <c r="K387" t="n">
        <v>0</v>
      </c>
      <c r="L387" t="n">
        <v>0</v>
      </c>
      <c r="M387" t="n">
        <v>0</v>
      </c>
      <c r="N387" t="n">
        <v>0</v>
      </c>
      <c r="O387" t="n">
        <v>0</v>
      </c>
      <c r="P387" t="n">
        <v>0</v>
      </c>
      <c r="Q387" t="n">
        <v>0</v>
      </c>
      <c r="R387" s="2" t="inlineStr"/>
    </row>
    <row r="388" ht="15" customHeight="1">
      <c r="A388" t="inlineStr">
        <is>
          <t>A 16404-2022</t>
        </is>
      </c>
      <c r="B388" s="1" t="n">
        <v>44671</v>
      </c>
      <c r="C388" s="1" t="n">
        <v>46086</v>
      </c>
      <c r="D388" t="inlineStr">
        <is>
          <t>VÄSTMANLANDS LÄN</t>
        </is>
      </c>
      <c r="E388" t="inlineStr">
        <is>
          <t>SALA</t>
        </is>
      </c>
      <c r="G388" t="n">
        <v>0.8</v>
      </c>
      <c r="H388" t="n">
        <v>0</v>
      </c>
      <c r="I388" t="n">
        <v>0</v>
      </c>
      <c r="J388" t="n">
        <v>0</v>
      </c>
      <c r="K388" t="n">
        <v>0</v>
      </c>
      <c r="L388" t="n">
        <v>0</v>
      </c>
      <c r="M388" t="n">
        <v>0</v>
      </c>
      <c r="N388" t="n">
        <v>0</v>
      </c>
      <c r="O388" t="n">
        <v>0</v>
      </c>
      <c r="P388" t="n">
        <v>0</v>
      </c>
      <c r="Q388" t="n">
        <v>0</v>
      </c>
      <c r="R388" s="2" t="inlineStr"/>
    </row>
    <row r="389" ht="15" customHeight="1">
      <c r="A389" t="inlineStr">
        <is>
          <t>A 37246-2025</t>
        </is>
      </c>
      <c r="B389" s="1" t="n">
        <v>45876.39435185185</v>
      </c>
      <c r="C389" s="1" t="n">
        <v>46086</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48910-2025</t>
        </is>
      </c>
      <c r="B390" s="1" t="n">
        <v>45937.48649305556</v>
      </c>
      <c r="C390" s="1" t="n">
        <v>46086</v>
      </c>
      <c r="D390" t="inlineStr">
        <is>
          <t>VÄSTMANLANDS LÄN</t>
        </is>
      </c>
      <c r="E390" t="inlineStr">
        <is>
          <t>SALA</t>
        </is>
      </c>
      <c r="G390" t="n">
        <v>7.8</v>
      </c>
      <c r="H390" t="n">
        <v>0</v>
      </c>
      <c r="I390" t="n">
        <v>0</v>
      </c>
      <c r="J390" t="n">
        <v>0</v>
      </c>
      <c r="K390" t="n">
        <v>0</v>
      </c>
      <c r="L390" t="n">
        <v>0</v>
      </c>
      <c r="M390" t="n">
        <v>0</v>
      </c>
      <c r="N390" t="n">
        <v>0</v>
      </c>
      <c r="O390" t="n">
        <v>0</v>
      </c>
      <c r="P390" t="n">
        <v>0</v>
      </c>
      <c r="Q390" t="n">
        <v>0</v>
      </c>
      <c r="R390" s="2" t="inlineStr"/>
    </row>
    <row r="391" ht="15" customHeight="1">
      <c r="A391" t="inlineStr">
        <is>
          <t>A 49585-2025</t>
        </is>
      </c>
      <c r="B391" s="1" t="n">
        <v>45939.5043287037</v>
      </c>
      <c r="C391" s="1" t="n">
        <v>46086</v>
      </c>
      <c r="D391" t="inlineStr">
        <is>
          <t>VÄSTMANLANDS LÄN</t>
        </is>
      </c>
      <c r="E391" t="inlineStr">
        <is>
          <t>SALA</t>
        </is>
      </c>
      <c r="G391" t="n">
        <v>2.2</v>
      </c>
      <c r="H391" t="n">
        <v>0</v>
      </c>
      <c r="I391" t="n">
        <v>0</v>
      </c>
      <c r="J391" t="n">
        <v>0</v>
      </c>
      <c r="K391" t="n">
        <v>0</v>
      </c>
      <c r="L391" t="n">
        <v>0</v>
      </c>
      <c r="M391" t="n">
        <v>0</v>
      </c>
      <c r="N391" t="n">
        <v>0</v>
      </c>
      <c r="O391" t="n">
        <v>0</v>
      </c>
      <c r="P391" t="n">
        <v>0</v>
      </c>
      <c r="Q391" t="n">
        <v>0</v>
      </c>
      <c r="R391" s="2" t="inlineStr"/>
    </row>
    <row r="392" ht="15" customHeight="1">
      <c r="A392" t="inlineStr">
        <is>
          <t>A 37590-2025</t>
        </is>
      </c>
      <c r="B392" s="1" t="n">
        <v>45880.41138888889</v>
      </c>
      <c r="C392" s="1" t="n">
        <v>46086</v>
      </c>
      <c r="D392" t="inlineStr">
        <is>
          <t>VÄSTMANLANDS LÄN</t>
        </is>
      </c>
      <c r="E392" t="inlineStr">
        <is>
          <t>SALA</t>
        </is>
      </c>
      <c r="G392" t="n">
        <v>2.2</v>
      </c>
      <c r="H392" t="n">
        <v>0</v>
      </c>
      <c r="I392" t="n">
        <v>0</v>
      </c>
      <c r="J392" t="n">
        <v>0</v>
      </c>
      <c r="K392" t="n">
        <v>0</v>
      </c>
      <c r="L392" t="n">
        <v>0</v>
      </c>
      <c r="M392" t="n">
        <v>0</v>
      </c>
      <c r="N392" t="n">
        <v>0</v>
      </c>
      <c r="O392" t="n">
        <v>0</v>
      </c>
      <c r="P392" t="n">
        <v>0</v>
      </c>
      <c r="Q392" t="n">
        <v>0</v>
      </c>
      <c r="R392" s="2" t="inlineStr"/>
    </row>
    <row r="393" ht="15" customHeight="1">
      <c r="A393" t="inlineStr">
        <is>
          <t>A 37593-2025</t>
        </is>
      </c>
      <c r="B393" s="1" t="n">
        <v>45880.41325231481</v>
      </c>
      <c r="C393" s="1" t="n">
        <v>46086</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49640-2025</t>
        </is>
      </c>
      <c r="B394" s="1" t="n">
        <v>45939.61459490741</v>
      </c>
      <c r="C394" s="1" t="n">
        <v>46086</v>
      </c>
      <c r="D394" t="inlineStr">
        <is>
          <t>VÄSTMANLANDS LÄN</t>
        </is>
      </c>
      <c r="E394" t="inlineStr">
        <is>
          <t>SALA</t>
        </is>
      </c>
      <c r="F394" t="inlineStr">
        <is>
          <t>Kommuner</t>
        </is>
      </c>
      <c r="G394" t="n">
        <v>18.8</v>
      </c>
      <c r="H394" t="n">
        <v>0</v>
      </c>
      <c r="I394" t="n">
        <v>0</v>
      </c>
      <c r="J394" t="n">
        <v>0</v>
      </c>
      <c r="K394" t="n">
        <v>0</v>
      </c>
      <c r="L394" t="n">
        <v>0</v>
      </c>
      <c r="M394" t="n">
        <v>0</v>
      </c>
      <c r="N394" t="n">
        <v>0</v>
      </c>
      <c r="O394" t="n">
        <v>0</v>
      </c>
      <c r="P394" t="n">
        <v>0</v>
      </c>
      <c r="Q394" t="n">
        <v>0</v>
      </c>
      <c r="R394" s="2" t="inlineStr"/>
    </row>
    <row r="395" ht="15" customHeight="1">
      <c r="A395" t="inlineStr">
        <is>
          <t>A 38294-2025</t>
        </is>
      </c>
      <c r="B395" s="1" t="n">
        <v>45883.44854166666</v>
      </c>
      <c r="C395" s="1" t="n">
        <v>46086</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43359-2024</t>
        </is>
      </c>
      <c r="B396" s="1" t="n">
        <v>45568.57724537037</v>
      </c>
      <c r="C396" s="1" t="n">
        <v>46086</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29972-2025</t>
        </is>
      </c>
      <c r="B397" s="1" t="n">
        <v>45826</v>
      </c>
      <c r="C397" s="1" t="n">
        <v>46086</v>
      </c>
      <c r="D397" t="inlineStr">
        <is>
          <t>VÄSTMANLANDS LÄN</t>
        </is>
      </c>
      <c r="E397" t="inlineStr">
        <is>
          <t>SALA</t>
        </is>
      </c>
      <c r="G397" t="n">
        <v>2.7</v>
      </c>
      <c r="H397" t="n">
        <v>0</v>
      </c>
      <c r="I397" t="n">
        <v>0</v>
      </c>
      <c r="J397" t="n">
        <v>0</v>
      </c>
      <c r="K397" t="n">
        <v>0</v>
      </c>
      <c r="L397" t="n">
        <v>0</v>
      </c>
      <c r="M397" t="n">
        <v>0</v>
      </c>
      <c r="N397" t="n">
        <v>0</v>
      </c>
      <c r="O397" t="n">
        <v>0</v>
      </c>
      <c r="P397" t="n">
        <v>0</v>
      </c>
      <c r="Q397" t="n">
        <v>0</v>
      </c>
      <c r="R397" s="2" t="inlineStr"/>
    </row>
    <row r="398" ht="15" customHeight="1">
      <c r="A398" t="inlineStr">
        <is>
          <t>A 24248-2023</t>
        </is>
      </c>
      <c r="B398" s="1" t="n">
        <v>45079</v>
      </c>
      <c r="C398" s="1" t="n">
        <v>46086</v>
      </c>
      <c r="D398" t="inlineStr">
        <is>
          <t>VÄSTMANLANDS LÄN</t>
        </is>
      </c>
      <c r="E398" t="inlineStr">
        <is>
          <t>SALA</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46279-2021</t>
        </is>
      </c>
      <c r="B399" s="1" t="n">
        <v>44442.57797453704</v>
      </c>
      <c r="C399" s="1" t="n">
        <v>46086</v>
      </c>
      <c r="D399" t="inlineStr">
        <is>
          <t>VÄSTMANLANDS LÄN</t>
        </is>
      </c>
      <c r="E399" t="inlineStr">
        <is>
          <t>SALA</t>
        </is>
      </c>
      <c r="G399" t="n">
        <v>1.4</v>
      </c>
      <c r="H399" t="n">
        <v>0</v>
      </c>
      <c r="I399" t="n">
        <v>0</v>
      </c>
      <c r="J399" t="n">
        <v>0</v>
      </c>
      <c r="K399" t="n">
        <v>0</v>
      </c>
      <c r="L399" t="n">
        <v>0</v>
      </c>
      <c r="M399" t="n">
        <v>0</v>
      </c>
      <c r="N399" t="n">
        <v>0</v>
      </c>
      <c r="O399" t="n">
        <v>0</v>
      </c>
      <c r="P399" t="n">
        <v>0</v>
      </c>
      <c r="Q399" t="n">
        <v>0</v>
      </c>
      <c r="R399" s="2" t="inlineStr"/>
    </row>
    <row r="400" ht="15" customHeight="1">
      <c r="A400" t="inlineStr">
        <is>
          <t>A 10559-2024</t>
        </is>
      </c>
      <c r="B400" s="1" t="n">
        <v>45366</v>
      </c>
      <c r="C400" s="1" t="n">
        <v>46086</v>
      </c>
      <c r="D400" t="inlineStr">
        <is>
          <t>VÄSTMANLANDS LÄN</t>
        </is>
      </c>
      <c r="E400" t="inlineStr">
        <is>
          <t>SALA</t>
        </is>
      </c>
      <c r="G400" t="n">
        <v>0.3</v>
      </c>
      <c r="H400" t="n">
        <v>0</v>
      </c>
      <c r="I400" t="n">
        <v>0</v>
      </c>
      <c r="J400" t="n">
        <v>0</v>
      </c>
      <c r="K400" t="n">
        <v>0</v>
      </c>
      <c r="L400" t="n">
        <v>0</v>
      </c>
      <c r="M400" t="n">
        <v>0</v>
      </c>
      <c r="N400" t="n">
        <v>0</v>
      </c>
      <c r="O400" t="n">
        <v>0</v>
      </c>
      <c r="P400" t="n">
        <v>0</v>
      </c>
      <c r="Q400" t="n">
        <v>0</v>
      </c>
      <c r="R400" s="2" t="inlineStr"/>
    </row>
    <row r="401" ht="15" customHeight="1">
      <c r="A401" t="inlineStr">
        <is>
          <t>A 50128-2025</t>
        </is>
      </c>
      <c r="B401" s="1" t="n">
        <v>45943.55318287037</v>
      </c>
      <c r="C401" s="1" t="n">
        <v>46086</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50119-2025</t>
        </is>
      </c>
      <c r="B402" s="1" t="n">
        <v>45943.54883101852</v>
      </c>
      <c r="C402" s="1" t="n">
        <v>46086</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50059-2025</t>
        </is>
      </c>
      <c r="B403" s="1" t="n">
        <v>45943.44125</v>
      </c>
      <c r="C403" s="1" t="n">
        <v>46086</v>
      </c>
      <c r="D403" t="inlineStr">
        <is>
          <t>VÄSTMANLANDS LÄN</t>
        </is>
      </c>
      <c r="E403" t="inlineStr">
        <is>
          <t>SALA</t>
        </is>
      </c>
      <c r="G403" t="n">
        <v>4.4</v>
      </c>
      <c r="H403" t="n">
        <v>0</v>
      </c>
      <c r="I403" t="n">
        <v>0</v>
      </c>
      <c r="J403" t="n">
        <v>0</v>
      </c>
      <c r="K403" t="n">
        <v>0</v>
      </c>
      <c r="L403" t="n">
        <v>0</v>
      </c>
      <c r="M403" t="n">
        <v>0</v>
      </c>
      <c r="N403" t="n">
        <v>0</v>
      </c>
      <c r="O403" t="n">
        <v>0</v>
      </c>
      <c r="P403" t="n">
        <v>0</v>
      </c>
      <c r="Q403" t="n">
        <v>0</v>
      </c>
      <c r="R403" s="2" t="inlineStr"/>
    </row>
    <row r="404" ht="15" customHeight="1">
      <c r="A404" t="inlineStr">
        <is>
          <t>A 50249-2025</t>
        </is>
      </c>
      <c r="B404" s="1" t="n">
        <v>45944.31508101852</v>
      </c>
      <c r="C404" s="1" t="n">
        <v>46086</v>
      </c>
      <c r="D404" t="inlineStr">
        <is>
          <t>VÄSTMANLANDS LÄN</t>
        </is>
      </c>
      <c r="E404" t="inlineStr">
        <is>
          <t>SALA</t>
        </is>
      </c>
      <c r="G404" t="n">
        <v>2.3</v>
      </c>
      <c r="H404" t="n">
        <v>0</v>
      </c>
      <c r="I404" t="n">
        <v>0</v>
      </c>
      <c r="J404" t="n">
        <v>0</v>
      </c>
      <c r="K404" t="n">
        <v>0</v>
      </c>
      <c r="L404" t="n">
        <v>0</v>
      </c>
      <c r="M404" t="n">
        <v>0</v>
      </c>
      <c r="N404" t="n">
        <v>0</v>
      </c>
      <c r="O404" t="n">
        <v>0</v>
      </c>
      <c r="P404" t="n">
        <v>0</v>
      </c>
      <c r="Q404" t="n">
        <v>0</v>
      </c>
      <c r="R404" s="2" t="inlineStr"/>
    </row>
    <row r="405" ht="15" customHeight="1">
      <c r="A405" t="inlineStr">
        <is>
          <t>A 51764-2025</t>
        </is>
      </c>
      <c r="B405" s="1" t="n">
        <v>45951.63636574074</v>
      </c>
      <c r="C405" s="1" t="n">
        <v>46086</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51626-2025</t>
        </is>
      </c>
      <c r="B406" s="1" t="n">
        <v>45951.41769675926</v>
      </c>
      <c r="C406" s="1" t="n">
        <v>46086</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51690-2025</t>
        </is>
      </c>
      <c r="B407" s="1" t="n">
        <v>45951.53462962963</v>
      </c>
      <c r="C407" s="1" t="n">
        <v>46086</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40214-2023</t>
        </is>
      </c>
      <c r="B408" s="1" t="n">
        <v>45169.45173611111</v>
      </c>
      <c r="C408" s="1" t="n">
        <v>46086</v>
      </c>
      <c r="D408" t="inlineStr">
        <is>
          <t>VÄSTMANLANDS LÄN</t>
        </is>
      </c>
      <c r="E408" t="inlineStr">
        <is>
          <t>SALA</t>
        </is>
      </c>
      <c r="G408" t="n">
        <v>5.5</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44552.46501157407</v>
      </c>
      <c r="C409" s="1" t="n">
        <v>46086</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9856-2022</t>
        </is>
      </c>
      <c r="B410" s="1" t="n">
        <v>44620</v>
      </c>
      <c r="C410" s="1" t="n">
        <v>46086</v>
      </c>
      <c r="D410" t="inlineStr">
        <is>
          <t>VÄSTMANLANDS LÄN</t>
        </is>
      </c>
      <c r="E410" t="inlineStr">
        <is>
          <t>SALA</t>
        </is>
      </c>
      <c r="G410" t="n">
        <v>2.4</v>
      </c>
      <c r="H410" t="n">
        <v>0</v>
      </c>
      <c r="I410" t="n">
        <v>0</v>
      </c>
      <c r="J410" t="n">
        <v>0</v>
      </c>
      <c r="K410" t="n">
        <v>0</v>
      </c>
      <c r="L410" t="n">
        <v>0</v>
      </c>
      <c r="M410" t="n">
        <v>0</v>
      </c>
      <c r="N410" t="n">
        <v>0</v>
      </c>
      <c r="O410" t="n">
        <v>0</v>
      </c>
      <c r="P410" t="n">
        <v>0</v>
      </c>
      <c r="Q410" t="n">
        <v>0</v>
      </c>
      <c r="R410" s="2" t="inlineStr"/>
    </row>
    <row r="411" ht="15" customHeight="1">
      <c r="A411" t="inlineStr">
        <is>
          <t>A 51804-2025</t>
        </is>
      </c>
      <c r="B411" s="1" t="n">
        <v>45951.77697916667</v>
      </c>
      <c r="C411" s="1" t="n">
        <v>46086</v>
      </c>
      <c r="D411" t="inlineStr">
        <is>
          <t>VÄSTMANLANDS LÄN</t>
        </is>
      </c>
      <c r="E411" t="inlineStr">
        <is>
          <t>SALA</t>
        </is>
      </c>
      <c r="F411" t="inlineStr">
        <is>
          <t>Kommuner</t>
        </is>
      </c>
      <c r="G411" t="n">
        <v>2</v>
      </c>
      <c r="H411" t="n">
        <v>0</v>
      </c>
      <c r="I411" t="n">
        <v>0</v>
      </c>
      <c r="J411" t="n">
        <v>0</v>
      </c>
      <c r="K411" t="n">
        <v>0</v>
      </c>
      <c r="L411" t="n">
        <v>0</v>
      </c>
      <c r="M411" t="n">
        <v>0</v>
      </c>
      <c r="N411" t="n">
        <v>0</v>
      </c>
      <c r="O411" t="n">
        <v>0</v>
      </c>
      <c r="P411" t="n">
        <v>0</v>
      </c>
      <c r="Q411" t="n">
        <v>0</v>
      </c>
      <c r="R411" s="2" t="inlineStr"/>
    </row>
    <row r="412" ht="15" customHeight="1">
      <c r="A412" t="inlineStr">
        <is>
          <t>A 51808-2025</t>
        </is>
      </c>
      <c r="B412" s="1" t="n">
        <v>45951.79302083333</v>
      </c>
      <c r="C412" s="1" t="n">
        <v>46086</v>
      </c>
      <c r="D412" t="inlineStr">
        <is>
          <t>VÄSTMANLANDS LÄN</t>
        </is>
      </c>
      <c r="E412" t="inlineStr">
        <is>
          <t>SALA</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51803-2025</t>
        </is>
      </c>
      <c r="B413" s="1" t="n">
        <v>45951.76818287037</v>
      </c>
      <c r="C413" s="1" t="n">
        <v>46086</v>
      </c>
      <c r="D413" t="inlineStr">
        <is>
          <t>VÄSTMANLANDS LÄN</t>
        </is>
      </c>
      <c r="E413" t="inlineStr">
        <is>
          <t>SALA</t>
        </is>
      </c>
      <c r="F413" t="inlineStr">
        <is>
          <t>Kommuner</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51805-2025</t>
        </is>
      </c>
      <c r="B414" s="1" t="n">
        <v>45951.78359953704</v>
      </c>
      <c r="C414" s="1" t="n">
        <v>46086</v>
      </c>
      <c r="D414" t="inlineStr">
        <is>
          <t>VÄSTMANLANDS LÄN</t>
        </is>
      </c>
      <c r="E414" t="inlineStr">
        <is>
          <t>SALA</t>
        </is>
      </c>
      <c r="F414" t="inlineStr">
        <is>
          <t>Kommuner</t>
        </is>
      </c>
      <c r="G414" t="n">
        <v>1.3</v>
      </c>
      <c r="H414" t="n">
        <v>0</v>
      </c>
      <c r="I414" t="n">
        <v>0</v>
      </c>
      <c r="J414" t="n">
        <v>0</v>
      </c>
      <c r="K414" t="n">
        <v>0</v>
      </c>
      <c r="L414" t="n">
        <v>0</v>
      </c>
      <c r="M414" t="n">
        <v>0</v>
      </c>
      <c r="N414" t="n">
        <v>0</v>
      </c>
      <c r="O414" t="n">
        <v>0</v>
      </c>
      <c r="P414" t="n">
        <v>0</v>
      </c>
      <c r="Q414" t="n">
        <v>0</v>
      </c>
      <c r="R414" s="2" t="inlineStr"/>
    </row>
    <row r="415" ht="15" customHeight="1">
      <c r="A415" t="inlineStr">
        <is>
          <t>A 51809-2025</t>
        </is>
      </c>
      <c r="B415" s="1" t="n">
        <v>45951.80116898148</v>
      </c>
      <c r="C415" s="1" t="n">
        <v>46086</v>
      </c>
      <c r="D415" t="inlineStr">
        <is>
          <t>VÄSTMANLANDS LÄN</t>
        </is>
      </c>
      <c r="E415" t="inlineStr">
        <is>
          <t>SALA</t>
        </is>
      </c>
      <c r="F415" t="inlineStr">
        <is>
          <t>Kommuner</t>
        </is>
      </c>
      <c r="G415" t="n">
        <v>3.5</v>
      </c>
      <c r="H415" t="n">
        <v>0</v>
      </c>
      <c r="I415" t="n">
        <v>0</v>
      </c>
      <c r="J415" t="n">
        <v>0</v>
      </c>
      <c r="K415" t="n">
        <v>0</v>
      </c>
      <c r="L415" t="n">
        <v>0</v>
      </c>
      <c r="M415" t="n">
        <v>0</v>
      </c>
      <c r="N415" t="n">
        <v>0</v>
      </c>
      <c r="O415" t="n">
        <v>0</v>
      </c>
      <c r="P415" t="n">
        <v>0</v>
      </c>
      <c r="Q415" t="n">
        <v>0</v>
      </c>
      <c r="R415" s="2" t="inlineStr"/>
    </row>
    <row r="416" ht="15" customHeight="1">
      <c r="A416" t="inlineStr">
        <is>
          <t>A 18100-2023</t>
        </is>
      </c>
      <c r="B416" s="1" t="n">
        <v>45040</v>
      </c>
      <c r="C416" s="1" t="n">
        <v>46086</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23374-2023</t>
        </is>
      </c>
      <c r="B417" s="1" t="n">
        <v>45076.4399537037</v>
      </c>
      <c r="C417" s="1" t="n">
        <v>46086</v>
      </c>
      <c r="D417" t="inlineStr">
        <is>
          <t>VÄSTMANLANDS LÄN</t>
        </is>
      </c>
      <c r="E417" t="inlineStr">
        <is>
          <t>SALA</t>
        </is>
      </c>
      <c r="G417" t="n">
        <v>0.7</v>
      </c>
      <c r="H417" t="n">
        <v>0</v>
      </c>
      <c r="I417" t="n">
        <v>0</v>
      </c>
      <c r="J417" t="n">
        <v>0</v>
      </c>
      <c r="K417" t="n">
        <v>0</v>
      </c>
      <c r="L417" t="n">
        <v>0</v>
      </c>
      <c r="M417" t="n">
        <v>0</v>
      </c>
      <c r="N417" t="n">
        <v>0</v>
      </c>
      <c r="O417" t="n">
        <v>0</v>
      </c>
      <c r="P417" t="n">
        <v>0</v>
      </c>
      <c r="Q417" t="n">
        <v>0</v>
      </c>
      <c r="R417" s="2" t="inlineStr"/>
    </row>
    <row r="418" ht="15" customHeight="1">
      <c r="A418" t="inlineStr">
        <is>
          <t>A 6134-2024</t>
        </is>
      </c>
      <c r="B418" s="1" t="n">
        <v>45337</v>
      </c>
      <c r="C418" s="1" t="n">
        <v>46086</v>
      </c>
      <c r="D418" t="inlineStr">
        <is>
          <t>VÄSTMANLANDS LÄN</t>
        </is>
      </c>
      <c r="E418" t="inlineStr">
        <is>
          <t>SALA</t>
        </is>
      </c>
      <c r="G418" t="n">
        <v>1.8</v>
      </c>
      <c r="H418" t="n">
        <v>0</v>
      </c>
      <c r="I418" t="n">
        <v>0</v>
      </c>
      <c r="J418" t="n">
        <v>0</v>
      </c>
      <c r="K418" t="n">
        <v>0</v>
      </c>
      <c r="L418" t="n">
        <v>0</v>
      </c>
      <c r="M418" t="n">
        <v>0</v>
      </c>
      <c r="N418" t="n">
        <v>0</v>
      </c>
      <c r="O418" t="n">
        <v>0</v>
      </c>
      <c r="P418" t="n">
        <v>0</v>
      </c>
      <c r="Q418" t="n">
        <v>0</v>
      </c>
      <c r="R418" s="2" t="inlineStr"/>
    </row>
    <row r="419" ht="15" customHeight="1">
      <c r="A419" t="inlineStr">
        <is>
          <t>A 48117-2024</t>
        </is>
      </c>
      <c r="B419" s="1" t="n">
        <v>45589</v>
      </c>
      <c r="C419" s="1" t="n">
        <v>46086</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31082-2021</t>
        </is>
      </c>
      <c r="B420" s="1" t="n">
        <v>44368</v>
      </c>
      <c r="C420" s="1" t="n">
        <v>46086</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31470-2021</t>
        </is>
      </c>
      <c r="B421" s="1" t="n">
        <v>44369</v>
      </c>
      <c r="C421" s="1" t="n">
        <v>46086</v>
      </c>
      <c r="D421" t="inlineStr">
        <is>
          <t>VÄSTMANLANDS LÄN</t>
        </is>
      </c>
      <c r="E421" t="inlineStr">
        <is>
          <t>SALA</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24175-2024</t>
        </is>
      </c>
      <c r="B422" s="1" t="n">
        <v>45456</v>
      </c>
      <c r="C422" s="1" t="n">
        <v>46086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53725-2025</t>
        </is>
      </c>
      <c r="B423" s="1" t="n">
        <v>45960.63394675926</v>
      </c>
      <c r="C423" s="1" t="n">
        <v>46086</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28328-2023</t>
        </is>
      </c>
      <c r="B424" s="1" t="n">
        <v>45099.71063657408</v>
      </c>
      <c r="C424" s="1" t="n">
        <v>46086</v>
      </c>
      <c r="D424" t="inlineStr">
        <is>
          <t>VÄSTMANLANDS LÄN</t>
        </is>
      </c>
      <c r="E424" t="inlineStr">
        <is>
          <t>SALA</t>
        </is>
      </c>
      <c r="G424" t="n">
        <v>1.8</v>
      </c>
      <c r="H424" t="n">
        <v>0</v>
      </c>
      <c r="I424" t="n">
        <v>0</v>
      </c>
      <c r="J424" t="n">
        <v>0</v>
      </c>
      <c r="K424" t="n">
        <v>0</v>
      </c>
      <c r="L424" t="n">
        <v>0</v>
      </c>
      <c r="M424" t="n">
        <v>0</v>
      </c>
      <c r="N424" t="n">
        <v>0</v>
      </c>
      <c r="O424" t="n">
        <v>0</v>
      </c>
      <c r="P424" t="n">
        <v>0</v>
      </c>
      <c r="Q424" t="n">
        <v>0</v>
      </c>
      <c r="R424" s="2" t="inlineStr"/>
    </row>
    <row r="425" ht="15" customHeight="1">
      <c r="A425" t="inlineStr">
        <is>
          <t>A 38636-2024</t>
        </is>
      </c>
      <c r="B425" s="1" t="n">
        <v>45546</v>
      </c>
      <c r="C425" s="1" t="n">
        <v>46086</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53744-2025</t>
        </is>
      </c>
      <c r="B426" s="1" t="n">
        <v>45960.64863425926</v>
      </c>
      <c r="C426" s="1" t="n">
        <v>46086</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53724-2025</t>
        </is>
      </c>
      <c r="B427" s="1" t="n">
        <v>45960.63174768518</v>
      </c>
      <c r="C427" s="1" t="n">
        <v>46086</v>
      </c>
      <c r="D427" t="inlineStr">
        <is>
          <t>VÄSTMANLANDS LÄN</t>
        </is>
      </c>
      <c r="E427" t="inlineStr">
        <is>
          <t>SALA</t>
        </is>
      </c>
      <c r="G427" t="n">
        <v>2.8</v>
      </c>
      <c r="H427" t="n">
        <v>0</v>
      </c>
      <c r="I427" t="n">
        <v>0</v>
      </c>
      <c r="J427" t="n">
        <v>0</v>
      </c>
      <c r="K427" t="n">
        <v>0</v>
      </c>
      <c r="L427" t="n">
        <v>0</v>
      </c>
      <c r="M427" t="n">
        <v>0</v>
      </c>
      <c r="N427" t="n">
        <v>0</v>
      </c>
      <c r="O427" t="n">
        <v>0</v>
      </c>
      <c r="P427" t="n">
        <v>0</v>
      </c>
      <c r="Q427" t="n">
        <v>0</v>
      </c>
      <c r="R427" s="2" t="inlineStr"/>
    </row>
    <row r="428" ht="15" customHeight="1">
      <c r="A428" t="inlineStr">
        <is>
          <t>A 61715-2024</t>
        </is>
      </c>
      <c r="B428" s="1" t="n">
        <v>45648.89519675926</v>
      </c>
      <c r="C428" s="1" t="n">
        <v>46086</v>
      </c>
      <c r="D428" t="inlineStr">
        <is>
          <t>VÄSTMANLANDS LÄN</t>
        </is>
      </c>
      <c r="E428" t="inlineStr">
        <is>
          <t>SALA</t>
        </is>
      </c>
      <c r="G428" t="n">
        <v>2.5</v>
      </c>
      <c r="H428" t="n">
        <v>0</v>
      </c>
      <c r="I428" t="n">
        <v>0</v>
      </c>
      <c r="J428" t="n">
        <v>0</v>
      </c>
      <c r="K428" t="n">
        <v>0</v>
      </c>
      <c r="L428" t="n">
        <v>0</v>
      </c>
      <c r="M428" t="n">
        <v>0</v>
      </c>
      <c r="N428" t="n">
        <v>0</v>
      </c>
      <c r="O428" t="n">
        <v>0</v>
      </c>
      <c r="P428" t="n">
        <v>0</v>
      </c>
      <c r="Q428" t="n">
        <v>0</v>
      </c>
      <c r="R428" s="2" t="inlineStr"/>
    </row>
    <row r="429" ht="15" customHeight="1">
      <c r="A429" t="inlineStr">
        <is>
          <t>A 38195-2021</t>
        </is>
      </c>
      <c r="B429" s="1" t="n">
        <v>44405</v>
      </c>
      <c r="C429" s="1" t="n">
        <v>46086</v>
      </c>
      <c r="D429" t="inlineStr">
        <is>
          <t>VÄSTMANLANDS LÄN</t>
        </is>
      </c>
      <c r="E429" t="inlineStr">
        <is>
          <t>SALA</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54344-2025</t>
        </is>
      </c>
      <c r="B430" s="1" t="n">
        <v>45965.36462962963</v>
      </c>
      <c r="C430" s="1" t="n">
        <v>46086</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54590-2025</t>
        </is>
      </c>
      <c r="B431" s="1" t="n">
        <v>45965.74199074074</v>
      </c>
      <c r="C431" s="1" t="n">
        <v>46086</v>
      </c>
      <c r="D431" t="inlineStr">
        <is>
          <t>VÄSTMANLANDS LÄN</t>
        </is>
      </c>
      <c r="E431" t="inlineStr">
        <is>
          <t>SALA</t>
        </is>
      </c>
      <c r="G431" t="n">
        <v>0.7</v>
      </c>
      <c r="H431" t="n">
        <v>0</v>
      </c>
      <c r="I431" t="n">
        <v>0</v>
      </c>
      <c r="J431" t="n">
        <v>0</v>
      </c>
      <c r="K431" t="n">
        <v>0</v>
      </c>
      <c r="L431" t="n">
        <v>0</v>
      </c>
      <c r="M431" t="n">
        <v>0</v>
      </c>
      <c r="N431" t="n">
        <v>0</v>
      </c>
      <c r="O431" t="n">
        <v>0</v>
      </c>
      <c r="P431" t="n">
        <v>0</v>
      </c>
      <c r="Q431" t="n">
        <v>0</v>
      </c>
      <c r="R431" s="2" t="inlineStr"/>
    </row>
    <row r="432" ht="15" customHeight="1">
      <c r="A432" t="inlineStr">
        <is>
          <t>A 6132-2025</t>
        </is>
      </c>
      <c r="B432" s="1" t="n">
        <v>45698</v>
      </c>
      <c r="C432" s="1" t="n">
        <v>46086</v>
      </c>
      <c r="D432" t="inlineStr">
        <is>
          <t>VÄSTMANLANDS LÄN</t>
        </is>
      </c>
      <c r="E432" t="inlineStr">
        <is>
          <t>SALA</t>
        </is>
      </c>
      <c r="F432" t="inlineStr">
        <is>
          <t>Bergvik skog öst AB</t>
        </is>
      </c>
      <c r="G432" t="n">
        <v>1.5</v>
      </c>
      <c r="H432" t="n">
        <v>0</v>
      </c>
      <c r="I432" t="n">
        <v>0</v>
      </c>
      <c r="J432" t="n">
        <v>0</v>
      </c>
      <c r="K432" t="n">
        <v>0</v>
      </c>
      <c r="L432" t="n">
        <v>0</v>
      </c>
      <c r="M432" t="n">
        <v>0</v>
      </c>
      <c r="N432" t="n">
        <v>0</v>
      </c>
      <c r="O432" t="n">
        <v>0</v>
      </c>
      <c r="P432" t="n">
        <v>0</v>
      </c>
      <c r="Q432" t="n">
        <v>0</v>
      </c>
      <c r="R432" s="2" t="inlineStr"/>
    </row>
    <row r="433" ht="15" customHeight="1">
      <c r="A433" t="inlineStr">
        <is>
          <t>A 21777-2022</t>
        </is>
      </c>
      <c r="B433" s="1" t="n">
        <v>44708.48194444444</v>
      </c>
      <c r="C433" s="1" t="n">
        <v>46086</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54201-2025</t>
        </is>
      </c>
      <c r="B434" s="1" t="n">
        <v>45964.58055555556</v>
      </c>
      <c r="C434" s="1" t="n">
        <v>46086</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11389-2024</t>
        </is>
      </c>
      <c r="B435" s="1" t="n">
        <v>45372.45016203704</v>
      </c>
      <c r="C435" s="1" t="n">
        <v>46086</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54893-2025</t>
        </is>
      </c>
      <c r="B436" s="1" t="n">
        <v>45967.36383101852</v>
      </c>
      <c r="C436" s="1" t="n">
        <v>46086</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2925-2024</t>
        </is>
      </c>
      <c r="B437" s="1" t="n">
        <v>45315.58909722222</v>
      </c>
      <c r="C437" s="1" t="n">
        <v>46086</v>
      </c>
      <c r="D437" t="inlineStr">
        <is>
          <t>VÄSTMANLANDS LÄN</t>
        </is>
      </c>
      <c r="E437" t="inlineStr">
        <is>
          <t>SALA</t>
        </is>
      </c>
      <c r="G437" t="n">
        <v>1.3</v>
      </c>
      <c r="H437" t="n">
        <v>0</v>
      </c>
      <c r="I437" t="n">
        <v>0</v>
      </c>
      <c r="J437" t="n">
        <v>0</v>
      </c>
      <c r="K437" t="n">
        <v>0</v>
      </c>
      <c r="L437" t="n">
        <v>0</v>
      </c>
      <c r="M437" t="n">
        <v>0</v>
      </c>
      <c r="N437" t="n">
        <v>0</v>
      </c>
      <c r="O437" t="n">
        <v>0</v>
      </c>
      <c r="P437" t="n">
        <v>0</v>
      </c>
      <c r="Q437" t="n">
        <v>0</v>
      </c>
      <c r="R437" s="2" t="inlineStr"/>
    </row>
    <row r="438" ht="15" customHeight="1">
      <c r="A438" t="inlineStr">
        <is>
          <t>A 19033-2025</t>
        </is>
      </c>
      <c r="B438" s="1" t="n">
        <v>45764.65796296296</v>
      </c>
      <c r="C438" s="1" t="n">
        <v>46086</v>
      </c>
      <c r="D438" t="inlineStr">
        <is>
          <t>VÄSTMANLANDS LÄN</t>
        </is>
      </c>
      <c r="E438" t="inlineStr">
        <is>
          <t>SALA</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39439-2021</t>
        </is>
      </c>
      <c r="B439" s="1" t="n">
        <v>44414</v>
      </c>
      <c r="C439" s="1" t="n">
        <v>46086</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55997-2025</t>
        </is>
      </c>
      <c r="B440" s="1" t="n">
        <v>45973.56833333334</v>
      </c>
      <c r="C440" s="1" t="n">
        <v>46086</v>
      </c>
      <c r="D440" t="inlineStr">
        <is>
          <t>VÄSTMANLANDS LÄN</t>
        </is>
      </c>
      <c r="E440" t="inlineStr">
        <is>
          <t>SALA</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3332-2024</t>
        </is>
      </c>
      <c r="B441" s="1" t="n">
        <v>45317</v>
      </c>
      <c r="C441" s="1" t="n">
        <v>46086</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2529-2022</t>
        </is>
      </c>
      <c r="B442" s="1" t="n">
        <v>44579.86452546297</v>
      </c>
      <c r="C442" s="1" t="n">
        <v>46086</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55714-2025</t>
        </is>
      </c>
      <c r="B443" s="1" t="n">
        <v>45972.49131944445</v>
      </c>
      <c r="C443" s="1" t="n">
        <v>46086</v>
      </c>
      <c r="D443" t="inlineStr">
        <is>
          <t>VÄSTMANLANDS LÄN</t>
        </is>
      </c>
      <c r="E443" t="inlineStr">
        <is>
          <t>SALA</t>
        </is>
      </c>
      <c r="G443" t="n">
        <v>6.6</v>
      </c>
      <c r="H443" t="n">
        <v>0</v>
      </c>
      <c r="I443" t="n">
        <v>0</v>
      </c>
      <c r="J443" t="n">
        <v>0</v>
      </c>
      <c r="K443" t="n">
        <v>0</v>
      </c>
      <c r="L443" t="n">
        <v>0</v>
      </c>
      <c r="M443" t="n">
        <v>0</v>
      </c>
      <c r="N443" t="n">
        <v>0</v>
      </c>
      <c r="O443" t="n">
        <v>0</v>
      </c>
      <c r="P443" t="n">
        <v>0</v>
      </c>
      <c r="Q443" t="n">
        <v>0</v>
      </c>
      <c r="R443" s="2" t="inlineStr"/>
    </row>
    <row r="444" ht="15" customHeight="1">
      <c r="A444" t="inlineStr">
        <is>
          <t>A 13471-2025</t>
        </is>
      </c>
      <c r="B444" s="1" t="n">
        <v>45736.40579861111</v>
      </c>
      <c r="C444" s="1" t="n">
        <v>46086</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56593-2025</t>
        </is>
      </c>
      <c r="B445" s="1" t="n">
        <v>45975</v>
      </c>
      <c r="C445" s="1" t="n">
        <v>46086</v>
      </c>
      <c r="D445" t="inlineStr">
        <is>
          <t>VÄSTMANLANDS LÄN</t>
        </is>
      </c>
      <c r="E445" t="inlineStr">
        <is>
          <t>SALA</t>
        </is>
      </c>
      <c r="F445" t="inlineStr">
        <is>
          <t>Kyrkan</t>
        </is>
      </c>
      <c r="G445" t="n">
        <v>0.1</v>
      </c>
      <c r="H445" t="n">
        <v>0</v>
      </c>
      <c r="I445" t="n">
        <v>0</v>
      </c>
      <c r="J445" t="n">
        <v>0</v>
      </c>
      <c r="K445" t="n">
        <v>0</v>
      </c>
      <c r="L445" t="n">
        <v>0</v>
      </c>
      <c r="M445" t="n">
        <v>0</v>
      </c>
      <c r="N445" t="n">
        <v>0</v>
      </c>
      <c r="O445" t="n">
        <v>0</v>
      </c>
      <c r="P445" t="n">
        <v>0</v>
      </c>
      <c r="Q445" t="n">
        <v>0</v>
      </c>
      <c r="R445" s="2" t="inlineStr"/>
    </row>
    <row r="446" ht="15" customHeight="1">
      <c r="A446" t="inlineStr">
        <is>
          <t>A 15681-2025</t>
        </is>
      </c>
      <c r="B446" s="1" t="n">
        <v>45748.45454861111</v>
      </c>
      <c r="C446" s="1" t="n">
        <v>46086</v>
      </c>
      <c r="D446" t="inlineStr">
        <is>
          <t>VÄSTMANLANDS LÄN</t>
        </is>
      </c>
      <c r="E446" t="inlineStr">
        <is>
          <t>SALA</t>
        </is>
      </c>
      <c r="F446" t="inlineStr">
        <is>
          <t>Bergvik skog öst AB</t>
        </is>
      </c>
      <c r="G446" t="n">
        <v>4.3</v>
      </c>
      <c r="H446" t="n">
        <v>0</v>
      </c>
      <c r="I446" t="n">
        <v>0</v>
      </c>
      <c r="J446" t="n">
        <v>0</v>
      </c>
      <c r="K446" t="n">
        <v>0</v>
      </c>
      <c r="L446" t="n">
        <v>0</v>
      </c>
      <c r="M446" t="n">
        <v>0</v>
      </c>
      <c r="N446" t="n">
        <v>0</v>
      </c>
      <c r="O446" t="n">
        <v>0</v>
      </c>
      <c r="P446" t="n">
        <v>0</v>
      </c>
      <c r="Q446" t="n">
        <v>0</v>
      </c>
      <c r="R446" s="2" t="inlineStr"/>
    </row>
    <row r="447" ht="15" customHeight="1">
      <c r="A447" t="inlineStr">
        <is>
          <t>A 18431-2023</t>
        </is>
      </c>
      <c r="B447" s="1" t="n">
        <v>45042</v>
      </c>
      <c r="C447" s="1" t="n">
        <v>46086</v>
      </c>
      <c r="D447" t="inlineStr">
        <is>
          <t>VÄSTMANLANDS LÄN</t>
        </is>
      </c>
      <c r="E447" t="inlineStr">
        <is>
          <t>SALA</t>
        </is>
      </c>
      <c r="G447" t="n">
        <v>1.9</v>
      </c>
      <c r="H447" t="n">
        <v>0</v>
      </c>
      <c r="I447" t="n">
        <v>0</v>
      </c>
      <c r="J447" t="n">
        <v>0</v>
      </c>
      <c r="K447" t="n">
        <v>0</v>
      </c>
      <c r="L447" t="n">
        <v>0</v>
      </c>
      <c r="M447" t="n">
        <v>0</v>
      </c>
      <c r="N447" t="n">
        <v>0</v>
      </c>
      <c r="O447" t="n">
        <v>0</v>
      </c>
      <c r="P447" t="n">
        <v>0</v>
      </c>
      <c r="Q447" t="n">
        <v>0</v>
      </c>
      <c r="R447" s="2" t="inlineStr"/>
    </row>
    <row r="448" ht="15" customHeight="1">
      <c r="A448" t="inlineStr">
        <is>
          <t>A 27424-2023</t>
        </is>
      </c>
      <c r="B448" s="1" t="n">
        <v>45097.37690972222</v>
      </c>
      <c r="C448" s="1" t="n">
        <v>46086</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56645-2025</t>
        </is>
      </c>
      <c r="B449" s="1" t="n">
        <v>45975.63063657407</v>
      </c>
      <c r="C449" s="1" t="n">
        <v>46086</v>
      </c>
      <c r="D449" t="inlineStr">
        <is>
          <t>VÄSTMANLANDS LÄN</t>
        </is>
      </c>
      <c r="E449" t="inlineStr">
        <is>
          <t>SALA</t>
        </is>
      </c>
      <c r="F449" t="inlineStr">
        <is>
          <t>Bergvik skog öst AB</t>
        </is>
      </c>
      <c r="G449" t="n">
        <v>5.3</v>
      </c>
      <c r="H449" t="n">
        <v>0</v>
      </c>
      <c r="I449" t="n">
        <v>0</v>
      </c>
      <c r="J449" t="n">
        <v>0</v>
      </c>
      <c r="K449" t="n">
        <v>0</v>
      </c>
      <c r="L449" t="n">
        <v>0</v>
      </c>
      <c r="M449" t="n">
        <v>0</v>
      </c>
      <c r="N449" t="n">
        <v>0</v>
      </c>
      <c r="O449" t="n">
        <v>0</v>
      </c>
      <c r="P449" t="n">
        <v>0</v>
      </c>
      <c r="Q449" t="n">
        <v>0</v>
      </c>
      <c r="R449" s="2" t="inlineStr"/>
    </row>
    <row r="450" ht="15" customHeight="1">
      <c r="A450" t="inlineStr">
        <is>
          <t>A 58701-2021</t>
        </is>
      </c>
      <c r="B450" s="1" t="n">
        <v>44489.46454861111</v>
      </c>
      <c r="C450" s="1" t="n">
        <v>46086</v>
      </c>
      <c r="D450" t="inlineStr">
        <is>
          <t>VÄSTMANLANDS LÄN</t>
        </is>
      </c>
      <c r="E450" t="inlineStr">
        <is>
          <t>SALA</t>
        </is>
      </c>
      <c r="G450" t="n">
        <v>0.7</v>
      </c>
      <c r="H450" t="n">
        <v>0</v>
      </c>
      <c r="I450" t="n">
        <v>0</v>
      </c>
      <c r="J450" t="n">
        <v>0</v>
      </c>
      <c r="K450" t="n">
        <v>0</v>
      </c>
      <c r="L450" t="n">
        <v>0</v>
      </c>
      <c r="M450" t="n">
        <v>0</v>
      </c>
      <c r="N450" t="n">
        <v>0</v>
      </c>
      <c r="O450" t="n">
        <v>0</v>
      </c>
      <c r="P450" t="n">
        <v>0</v>
      </c>
      <c r="Q450" t="n">
        <v>0</v>
      </c>
      <c r="R450" s="2" t="inlineStr"/>
    </row>
    <row r="451" ht="15" customHeight="1">
      <c r="A451" t="inlineStr">
        <is>
          <t>A 56502-2025</t>
        </is>
      </c>
      <c r="B451" s="1" t="n">
        <v>45975</v>
      </c>
      <c r="C451" s="1" t="n">
        <v>46086</v>
      </c>
      <c r="D451" t="inlineStr">
        <is>
          <t>VÄSTMANLANDS LÄN</t>
        </is>
      </c>
      <c r="E451" t="inlineStr">
        <is>
          <t>SALA</t>
        </is>
      </c>
      <c r="F451" t="inlineStr">
        <is>
          <t>Sveaskog</t>
        </is>
      </c>
      <c r="G451" t="n">
        <v>1.9</v>
      </c>
      <c r="H451" t="n">
        <v>0</v>
      </c>
      <c r="I451" t="n">
        <v>0</v>
      </c>
      <c r="J451" t="n">
        <v>0</v>
      </c>
      <c r="K451" t="n">
        <v>0</v>
      </c>
      <c r="L451" t="n">
        <v>0</v>
      </c>
      <c r="M451" t="n">
        <v>0</v>
      </c>
      <c r="N451" t="n">
        <v>0</v>
      </c>
      <c r="O451" t="n">
        <v>0</v>
      </c>
      <c r="P451" t="n">
        <v>0</v>
      </c>
      <c r="Q451" t="n">
        <v>0</v>
      </c>
      <c r="R451" s="2" t="inlineStr"/>
    </row>
    <row r="452" ht="15" customHeight="1">
      <c r="A452" t="inlineStr">
        <is>
          <t>A 56614-2025</t>
        </is>
      </c>
      <c r="B452" s="1" t="n">
        <v>45975.59288194445</v>
      </c>
      <c r="C452" s="1" t="n">
        <v>46086</v>
      </c>
      <c r="D452" t="inlineStr">
        <is>
          <t>VÄSTMANLANDS LÄN</t>
        </is>
      </c>
      <c r="E452" t="inlineStr">
        <is>
          <t>SALA</t>
        </is>
      </c>
      <c r="G452" t="n">
        <v>1.4</v>
      </c>
      <c r="H452" t="n">
        <v>0</v>
      </c>
      <c r="I452" t="n">
        <v>0</v>
      </c>
      <c r="J452" t="n">
        <v>0</v>
      </c>
      <c r="K452" t="n">
        <v>0</v>
      </c>
      <c r="L452" t="n">
        <v>0</v>
      </c>
      <c r="M452" t="n">
        <v>0</v>
      </c>
      <c r="N452" t="n">
        <v>0</v>
      </c>
      <c r="O452" t="n">
        <v>0</v>
      </c>
      <c r="P452" t="n">
        <v>0</v>
      </c>
      <c r="Q452" t="n">
        <v>0</v>
      </c>
      <c r="R452" s="2" t="inlineStr"/>
    </row>
    <row r="453" ht="15" customHeight="1">
      <c r="A453" t="inlineStr">
        <is>
          <t>A 56611-2025</t>
        </is>
      </c>
      <c r="B453" s="1" t="n">
        <v>45975</v>
      </c>
      <c r="C453" s="1" t="n">
        <v>46086</v>
      </c>
      <c r="D453" t="inlineStr">
        <is>
          <t>VÄSTMANLANDS LÄN</t>
        </is>
      </c>
      <c r="E453" t="inlineStr">
        <is>
          <t>SALA</t>
        </is>
      </c>
      <c r="G453" t="n">
        <v>2.8</v>
      </c>
      <c r="H453" t="n">
        <v>0</v>
      </c>
      <c r="I453" t="n">
        <v>0</v>
      </c>
      <c r="J453" t="n">
        <v>0</v>
      </c>
      <c r="K453" t="n">
        <v>0</v>
      </c>
      <c r="L453" t="n">
        <v>0</v>
      </c>
      <c r="M453" t="n">
        <v>0</v>
      </c>
      <c r="N453" t="n">
        <v>0</v>
      </c>
      <c r="O453" t="n">
        <v>0</v>
      </c>
      <c r="P453" t="n">
        <v>0</v>
      </c>
      <c r="Q453" t="n">
        <v>0</v>
      </c>
      <c r="R453" s="2" t="inlineStr"/>
    </row>
    <row r="454" ht="15" customHeight="1">
      <c r="A454" t="inlineStr">
        <is>
          <t>A 11244-2024</t>
        </is>
      </c>
      <c r="B454" s="1" t="n">
        <v>45371</v>
      </c>
      <c r="C454" s="1" t="n">
        <v>46086</v>
      </c>
      <c r="D454" t="inlineStr">
        <is>
          <t>VÄSTMANLANDS LÄN</t>
        </is>
      </c>
      <c r="E454" t="inlineStr">
        <is>
          <t>SALA</t>
        </is>
      </c>
      <c r="G454" t="n">
        <v>1.2</v>
      </c>
      <c r="H454" t="n">
        <v>0</v>
      </c>
      <c r="I454" t="n">
        <v>0</v>
      </c>
      <c r="J454" t="n">
        <v>0</v>
      </c>
      <c r="K454" t="n">
        <v>0</v>
      </c>
      <c r="L454" t="n">
        <v>0</v>
      </c>
      <c r="M454" t="n">
        <v>0</v>
      </c>
      <c r="N454" t="n">
        <v>0</v>
      </c>
      <c r="O454" t="n">
        <v>0</v>
      </c>
      <c r="P454" t="n">
        <v>0</v>
      </c>
      <c r="Q454" t="n">
        <v>0</v>
      </c>
      <c r="R454" s="2" t="inlineStr"/>
    </row>
    <row r="455" ht="15" customHeight="1">
      <c r="A455" t="inlineStr">
        <is>
          <t>A 12225-2023</t>
        </is>
      </c>
      <c r="B455" s="1" t="n">
        <v>44995</v>
      </c>
      <c r="C455" s="1" t="n">
        <v>46086</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61874-2021</t>
        </is>
      </c>
      <c r="B456" s="1" t="n">
        <v>44502</v>
      </c>
      <c r="C456" s="1" t="n">
        <v>46086</v>
      </c>
      <c r="D456" t="inlineStr">
        <is>
          <t>VÄSTMANLANDS LÄN</t>
        </is>
      </c>
      <c r="E456" t="inlineStr">
        <is>
          <t>SALA</t>
        </is>
      </c>
      <c r="F456" t="inlineStr">
        <is>
          <t>Kyrkan</t>
        </is>
      </c>
      <c r="G456" t="n">
        <v>1.3</v>
      </c>
      <c r="H456" t="n">
        <v>0</v>
      </c>
      <c r="I456" t="n">
        <v>0</v>
      </c>
      <c r="J456" t="n">
        <v>0</v>
      </c>
      <c r="K456" t="n">
        <v>0</v>
      </c>
      <c r="L456" t="n">
        <v>0</v>
      </c>
      <c r="M456" t="n">
        <v>0</v>
      </c>
      <c r="N456" t="n">
        <v>0</v>
      </c>
      <c r="O456" t="n">
        <v>0</v>
      </c>
      <c r="P456" t="n">
        <v>0</v>
      </c>
      <c r="Q456" t="n">
        <v>0</v>
      </c>
      <c r="R456" s="2" t="inlineStr"/>
    </row>
    <row r="457" ht="15" customHeight="1">
      <c r="A457" t="inlineStr">
        <is>
          <t>A 57014-2025</t>
        </is>
      </c>
      <c r="B457" s="1" t="n">
        <v>45978</v>
      </c>
      <c r="C457" s="1" t="n">
        <v>46086</v>
      </c>
      <c r="D457" t="inlineStr">
        <is>
          <t>VÄSTMANLANDS LÄN</t>
        </is>
      </c>
      <c r="E457" t="inlineStr">
        <is>
          <t>SALA</t>
        </is>
      </c>
      <c r="G457" t="n">
        <v>2.2</v>
      </c>
      <c r="H457" t="n">
        <v>0</v>
      </c>
      <c r="I457" t="n">
        <v>0</v>
      </c>
      <c r="J457" t="n">
        <v>0</v>
      </c>
      <c r="K457" t="n">
        <v>0</v>
      </c>
      <c r="L457" t="n">
        <v>0</v>
      </c>
      <c r="M457" t="n">
        <v>0</v>
      </c>
      <c r="N457" t="n">
        <v>0</v>
      </c>
      <c r="O457" t="n">
        <v>0</v>
      </c>
      <c r="P457" t="n">
        <v>0</v>
      </c>
      <c r="Q457" t="n">
        <v>0</v>
      </c>
      <c r="R457" s="2" t="inlineStr"/>
    </row>
    <row r="458" ht="15" customHeight="1">
      <c r="A458" t="inlineStr">
        <is>
          <t>A 62651-2022</t>
        </is>
      </c>
      <c r="B458" s="1" t="n">
        <v>44917</v>
      </c>
      <c r="C458" s="1" t="n">
        <v>46086</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15968-2024</t>
        </is>
      </c>
      <c r="B459" s="1" t="n">
        <v>45405.56021990741</v>
      </c>
      <c r="C459" s="1" t="n">
        <v>46086</v>
      </c>
      <c r="D459" t="inlineStr">
        <is>
          <t>VÄSTMANLANDS LÄN</t>
        </is>
      </c>
      <c r="E459" t="inlineStr">
        <is>
          <t>SALA</t>
        </is>
      </c>
      <c r="G459" t="n">
        <v>0.7</v>
      </c>
      <c r="H459" t="n">
        <v>0</v>
      </c>
      <c r="I459" t="n">
        <v>0</v>
      </c>
      <c r="J459" t="n">
        <v>0</v>
      </c>
      <c r="K459" t="n">
        <v>0</v>
      </c>
      <c r="L459" t="n">
        <v>0</v>
      </c>
      <c r="M459" t="n">
        <v>0</v>
      </c>
      <c r="N459" t="n">
        <v>0</v>
      </c>
      <c r="O459" t="n">
        <v>0</v>
      </c>
      <c r="P459" t="n">
        <v>0</v>
      </c>
      <c r="Q459" t="n">
        <v>0</v>
      </c>
      <c r="R459" s="2" t="inlineStr"/>
    </row>
    <row r="460" ht="15" customHeight="1">
      <c r="A460" t="inlineStr">
        <is>
          <t>A 60730-2023</t>
        </is>
      </c>
      <c r="B460" s="1" t="n">
        <v>45260</v>
      </c>
      <c r="C460" s="1" t="n">
        <v>46086</v>
      </c>
      <c r="D460" t="inlineStr">
        <is>
          <t>VÄSTMANLANDS LÄN</t>
        </is>
      </c>
      <c r="E460" t="inlineStr">
        <is>
          <t>SALA</t>
        </is>
      </c>
      <c r="G460" t="n">
        <v>1.3</v>
      </c>
      <c r="H460" t="n">
        <v>0</v>
      </c>
      <c r="I460" t="n">
        <v>0</v>
      </c>
      <c r="J460" t="n">
        <v>0</v>
      </c>
      <c r="K460" t="n">
        <v>0</v>
      </c>
      <c r="L460" t="n">
        <v>0</v>
      </c>
      <c r="M460" t="n">
        <v>0</v>
      </c>
      <c r="N460" t="n">
        <v>0</v>
      </c>
      <c r="O460" t="n">
        <v>0</v>
      </c>
      <c r="P460" t="n">
        <v>0</v>
      </c>
      <c r="Q460" t="n">
        <v>0</v>
      </c>
      <c r="R460" s="2" t="inlineStr"/>
    </row>
    <row r="461" ht="15" customHeight="1">
      <c r="A461" t="inlineStr">
        <is>
          <t>A 60731-2023</t>
        </is>
      </c>
      <c r="B461" s="1" t="n">
        <v>45260</v>
      </c>
      <c r="C461" s="1" t="n">
        <v>46086</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57414-2025</t>
        </is>
      </c>
      <c r="B462" s="1" t="n">
        <v>45980.45003472222</v>
      </c>
      <c r="C462" s="1" t="n">
        <v>46086</v>
      </c>
      <c r="D462" t="inlineStr">
        <is>
          <t>VÄSTMANLANDS LÄN</t>
        </is>
      </c>
      <c r="E462" t="inlineStr">
        <is>
          <t>SALA</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57415-2025</t>
        </is>
      </c>
      <c r="B463" s="1" t="n">
        <v>45980.45099537037</v>
      </c>
      <c r="C463" s="1" t="n">
        <v>46086</v>
      </c>
      <c r="D463" t="inlineStr">
        <is>
          <t>VÄSTMANLANDS LÄN</t>
        </is>
      </c>
      <c r="E463" t="inlineStr">
        <is>
          <t>SALA</t>
        </is>
      </c>
      <c r="F463" t="inlineStr">
        <is>
          <t>Bergvik skog öst AB</t>
        </is>
      </c>
      <c r="G463" t="n">
        <v>1.4</v>
      </c>
      <c r="H463" t="n">
        <v>0</v>
      </c>
      <c r="I463" t="n">
        <v>0</v>
      </c>
      <c r="J463" t="n">
        <v>0</v>
      </c>
      <c r="K463" t="n">
        <v>0</v>
      </c>
      <c r="L463" t="n">
        <v>0</v>
      </c>
      <c r="M463" t="n">
        <v>0</v>
      </c>
      <c r="N463" t="n">
        <v>0</v>
      </c>
      <c r="O463" t="n">
        <v>0</v>
      </c>
      <c r="P463" t="n">
        <v>0</v>
      </c>
      <c r="Q463" t="n">
        <v>0</v>
      </c>
      <c r="R463" s="2" t="inlineStr"/>
    </row>
    <row r="464" ht="15" customHeight="1">
      <c r="A464" t="inlineStr">
        <is>
          <t>A 57412-2025</t>
        </is>
      </c>
      <c r="B464" s="1" t="n">
        <v>45980.44883101852</v>
      </c>
      <c r="C464" s="1" t="n">
        <v>46086</v>
      </c>
      <c r="D464" t="inlineStr">
        <is>
          <t>VÄSTMANLANDS LÄN</t>
        </is>
      </c>
      <c r="E464" t="inlineStr">
        <is>
          <t>SALA</t>
        </is>
      </c>
      <c r="F464" t="inlineStr">
        <is>
          <t>Bergvik skog öst AB</t>
        </is>
      </c>
      <c r="G464" t="n">
        <v>4.5</v>
      </c>
      <c r="H464" t="n">
        <v>0</v>
      </c>
      <c r="I464" t="n">
        <v>0</v>
      </c>
      <c r="J464" t="n">
        <v>0</v>
      </c>
      <c r="K464" t="n">
        <v>0</v>
      </c>
      <c r="L464" t="n">
        <v>0</v>
      </c>
      <c r="M464" t="n">
        <v>0</v>
      </c>
      <c r="N464" t="n">
        <v>0</v>
      </c>
      <c r="O464" t="n">
        <v>0</v>
      </c>
      <c r="P464" t="n">
        <v>0</v>
      </c>
      <c r="Q464" t="n">
        <v>0</v>
      </c>
      <c r="R464" s="2" t="inlineStr"/>
    </row>
    <row r="465" ht="15" customHeight="1">
      <c r="A465" t="inlineStr">
        <is>
          <t>A 18461-2024</t>
        </is>
      </c>
      <c r="B465" s="1" t="n">
        <v>45425.47435185185</v>
      </c>
      <c r="C465" s="1" t="n">
        <v>46086</v>
      </c>
      <c r="D465" t="inlineStr">
        <is>
          <t>VÄSTMANLANDS LÄN</t>
        </is>
      </c>
      <c r="E465" t="inlineStr">
        <is>
          <t>SALA</t>
        </is>
      </c>
      <c r="G465" t="n">
        <v>1.7</v>
      </c>
      <c r="H465" t="n">
        <v>0</v>
      </c>
      <c r="I465" t="n">
        <v>0</v>
      </c>
      <c r="J465" t="n">
        <v>0</v>
      </c>
      <c r="K465" t="n">
        <v>0</v>
      </c>
      <c r="L465" t="n">
        <v>0</v>
      </c>
      <c r="M465" t="n">
        <v>0</v>
      </c>
      <c r="N465" t="n">
        <v>0</v>
      </c>
      <c r="O465" t="n">
        <v>0</v>
      </c>
      <c r="P465" t="n">
        <v>0</v>
      </c>
      <c r="Q465" t="n">
        <v>0</v>
      </c>
      <c r="R465" s="2" t="inlineStr"/>
    </row>
    <row r="466" ht="15" customHeight="1">
      <c r="A466" t="inlineStr">
        <is>
          <t>A 4663-2022</t>
        </is>
      </c>
      <c r="B466" s="1" t="n">
        <v>44592.45429398148</v>
      </c>
      <c r="C466" s="1" t="n">
        <v>46086</v>
      </c>
      <c r="D466" t="inlineStr">
        <is>
          <t>VÄSTMANLANDS LÄN</t>
        </is>
      </c>
      <c r="E466" t="inlineStr">
        <is>
          <t>SALA</t>
        </is>
      </c>
      <c r="G466" t="n">
        <v>2.5</v>
      </c>
      <c r="H466" t="n">
        <v>0</v>
      </c>
      <c r="I466" t="n">
        <v>0</v>
      </c>
      <c r="J466" t="n">
        <v>0</v>
      </c>
      <c r="K466" t="n">
        <v>0</v>
      </c>
      <c r="L466" t="n">
        <v>0</v>
      </c>
      <c r="M466" t="n">
        <v>0</v>
      </c>
      <c r="N466" t="n">
        <v>0</v>
      </c>
      <c r="O466" t="n">
        <v>0</v>
      </c>
      <c r="P466" t="n">
        <v>0</v>
      </c>
      <c r="Q466" t="n">
        <v>0</v>
      </c>
      <c r="R466" s="2" t="inlineStr"/>
    </row>
    <row r="467" ht="15" customHeight="1">
      <c r="A467" t="inlineStr">
        <is>
          <t>A 58359-2025</t>
        </is>
      </c>
      <c r="B467" s="1" t="n">
        <v>45985.51594907408</v>
      </c>
      <c r="C467" s="1" t="n">
        <v>46086</v>
      </c>
      <c r="D467" t="inlineStr">
        <is>
          <t>VÄSTMANLANDS LÄN</t>
        </is>
      </c>
      <c r="E467" t="inlineStr">
        <is>
          <t>SALA</t>
        </is>
      </c>
      <c r="G467" t="n">
        <v>3.7</v>
      </c>
      <c r="H467" t="n">
        <v>0</v>
      </c>
      <c r="I467" t="n">
        <v>0</v>
      </c>
      <c r="J467" t="n">
        <v>0</v>
      </c>
      <c r="K467" t="n">
        <v>0</v>
      </c>
      <c r="L467" t="n">
        <v>0</v>
      </c>
      <c r="M467" t="n">
        <v>0</v>
      </c>
      <c r="N467" t="n">
        <v>0</v>
      </c>
      <c r="O467" t="n">
        <v>0</v>
      </c>
      <c r="P467" t="n">
        <v>0</v>
      </c>
      <c r="Q467" t="n">
        <v>0</v>
      </c>
      <c r="R467" s="2" t="inlineStr"/>
    </row>
    <row r="468" ht="15" customHeight="1">
      <c r="A468" t="inlineStr">
        <is>
          <t>A 58364-2025</t>
        </is>
      </c>
      <c r="B468" s="1" t="n">
        <v>45985.5228125</v>
      </c>
      <c r="C468" s="1" t="n">
        <v>46086</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58282-2025</t>
        </is>
      </c>
      <c r="B469" s="1" t="n">
        <v>45985.44309027777</v>
      </c>
      <c r="C469" s="1" t="n">
        <v>46086</v>
      </c>
      <c r="D469" t="inlineStr">
        <is>
          <t>VÄSTMANLANDS LÄN</t>
        </is>
      </c>
      <c r="E469" t="inlineStr">
        <is>
          <t>SALA</t>
        </is>
      </c>
      <c r="G469" t="n">
        <v>8.9</v>
      </c>
      <c r="H469" t="n">
        <v>0</v>
      </c>
      <c r="I469" t="n">
        <v>0</v>
      </c>
      <c r="J469" t="n">
        <v>0</v>
      </c>
      <c r="K469" t="n">
        <v>0</v>
      </c>
      <c r="L469" t="n">
        <v>0</v>
      </c>
      <c r="M469" t="n">
        <v>0</v>
      </c>
      <c r="N469" t="n">
        <v>0</v>
      </c>
      <c r="O469" t="n">
        <v>0</v>
      </c>
      <c r="P469" t="n">
        <v>0</v>
      </c>
      <c r="Q469" t="n">
        <v>0</v>
      </c>
      <c r="R469" s="2" t="inlineStr"/>
    </row>
    <row r="470" ht="15" customHeight="1">
      <c r="A470" t="inlineStr">
        <is>
          <t>A 55760-2025</t>
        </is>
      </c>
      <c r="B470" s="1" t="n">
        <v>45972</v>
      </c>
      <c r="C470" s="1" t="n">
        <v>46086</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58357-2025</t>
        </is>
      </c>
      <c r="B471" s="1" t="n">
        <v>45985.51518518518</v>
      </c>
      <c r="C471" s="1" t="n">
        <v>46086</v>
      </c>
      <c r="D471" t="inlineStr">
        <is>
          <t>VÄSTMANLANDS LÄN</t>
        </is>
      </c>
      <c r="E471" t="inlineStr">
        <is>
          <t>SALA</t>
        </is>
      </c>
      <c r="G471" t="n">
        <v>3</v>
      </c>
      <c r="H471" t="n">
        <v>0</v>
      </c>
      <c r="I471" t="n">
        <v>0</v>
      </c>
      <c r="J471" t="n">
        <v>0</v>
      </c>
      <c r="K471" t="n">
        <v>0</v>
      </c>
      <c r="L471" t="n">
        <v>0</v>
      </c>
      <c r="M471" t="n">
        <v>0</v>
      </c>
      <c r="N471" t="n">
        <v>0</v>
      </c>
      <c r="O471" t="n">
        <v>0</v>
      </c>
      <c r="P471" t="n">
        <v>0</v>
      </c>
      <c r="Q471" t="n">
        <v>0</v>
      </c>
      <c r="R471" s="2" t="inlineStr"/>
    </row>
    <row r="472" ht="15" customHeight="1">
      <c r="A472" t="inlineStr">
        <is>
          <t>A 58365-2025</t>
        </is>
      </c>
      <c r="B472" s="1" t="n">
        <v>45985.52288194445</v>
      </c>
      <c r="C472" s="1" t="n">
        <v>46086</v>
      </c>
      <c r="D472" t="inlineStr">
        <is>
          <t>VÄSTMANLANDS LÄN</t>
        </is>
      </c>
      <c r="E472" t="inlineStr">
        <is>
          <t>SALA</t>
        </is>
      </c>
      <c r="G472" t="n">
        <v>3.9</v>
      </c>
      <c r="H472" t="n">
        <v>0</v>
      </c>
      <c r="I472" t="n">
        <v>0</v>
      </c>
      <c r="J472" t="n">
        <v>0</v>
      </c>
      <c r="K472" t="n">
        <v>0</v>
      </c>
      <c r="L472" t="n">
        <v>0</v>
      </c>
      <c r="M472" t="n">
        <v>0</v>
      </c>
      <c r="N472" t="n">
        <v>0</v>
      </c>
      <c r="O472" t="n">
        <v>0</v>
      </c>
      <c r="P472" t="n">
        <v>0</v>
      </c>
      <c r="Q472" t="n">
        <v>0</v>
      </c>
      <c r="R472" s="2" t="inlineStr"/>
    </row>
    <row r="473" ht="15" customHeight="1">
      <c r="A473" t="inlineStr">
        <is>
          <t>A 6032-2025</t>
        </is>
      </c>
      <c r="B473" s="1" t="n">
        <v>45695.6371875</v>
      </c>
      <c r="C473" s="1" t="n">
        <v>46086</v>
      </c>
      <c r="D473" t="inlineStr">
        <is>
          <t>VÄSTMANLANDS LÄN</t>
        </is>
      </c>
      <c r="E473" t="inlineStr">
        <is>
          <t>SALA</t>
        </is>
      </c>
      <c r="F473" t="inlineStr">
        <is>
          <t>Bergvik skog öst AB</t>
        </is>
      </c>
      <c r="G473" t="n">
        <v>8.1</v>
      </c>
      <c r="H473" t="n">
        <v>0</v>
      </c>
      <c r="I473" t="n">
        <v>0</v>
      </c>
      <c r="J473" t="n">
        <v>0</v>
      </c>
      <c r="K473" t="n">
        <v>0</v>
      </c>
      <c r="L473" t="n">
        <v>0</v>
      </c>
      <c r="M473" t="n">
        <v>0</v>
      </c>
      <c r="N473" t="n">
        <v>0</v>
      </c>
      <c r="O473" t="n">
        <v>0</v>
      </c>
      <c r="P473" t="n">
        <v>0</v>
      </c>
      <c r="Q473" t="n">
        <v>0</v>
      </c>
      <c r="R473" s="2" t="inlineStr"/>
    </row>
    <row r="474" ht="15" customHeight="1">
      <c r="A474" t="inlineStr">
        <is>
          <t>A 2766-2024</t>
        </is>
      </c>
      <c r="B474" s="1" t="n">
        <v>45314.60950231482</v>
      </c>
      <c r="C474" s="1" t="n">
        <v>46086</v>
      </c>
      <c r="D474" t="inlineStr">
        <is>
          <t>VÄSTMANLANDS LÄN</t>
        </is>
      </c>
      <c r="E474" t="inlineStr">
        <is>
          <t>SALA</t>
        </is>
      </c>
      <c r="G474" t="n">
        <v>2.8</v>
      </c>
      <c r="H474" t="n">
        <v>0</v>
      </c>
      <c r="I474" t="n">
        <v>0</v>
      </c>
      <c r="J474" t="n">
        <v>0</v>
      </c>
      <c r="K474" t="n">
        <v>0</v>
      </c>
      <c r="L474" t="n">
        <v>0</v>
      </c>
      <c r="M474" t="n">
        <v>0</v>
      </c>
      <c r="N474" t="n">
        <v>0</v>
      </c>
      <c r="O474" t="n">
        <v>0</v>
      </c>
      <c r="P474" t="n">
        <v>0</v>
      </c>
      <c r="Q474" t="n">
        <v>0</v>
      </c>
      <c r="R474" s="2" t="inlineStr"/>
    </row>
    <row r="475" ht="15" customHeight="1">
      <c r="A475" t="inlineStr">
        <is>
          <t>A 6351-2023</t>
        </is>
      </c>
      <c r="B475" s="1" t="n">
        <v>44965</v>
      </c>
      <c r="C475" s="1" t="n">
        <v>46086</v>
      </c>
      <c r="D475" t="inlineStr">
        <is>
          <t>VÄSTMANLANDS LÄN</t>
        </is>
      </c>
      <c r="E475" t="inlineStr">
        <is>
          <t>SALA</t>
        </is>
      </c>
      <c r="F475" t="inlineStr">
        <is>
          <t>Kommuner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45187-2024</t>
        </is>
      </c>
      <c r="B476" s="1" t="n">
        <v>45575</v>
      </c>
      <c r="C476" s="1" t="n">
        <v>46086</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59385-2025</t>
        </is>
      </c>
      <c r="B477" s="1" t="n">
        <v>45989.45746527778</v>
      </c>
      <c r="C477" s="1" t="n">
        <v>46086</v>
      </c>
      <c r="D477" t="inlineStr">
        <is>
          <t>VÄSTMANLANDS LÄN</t>
        </is>
      </c>
      <c r="E477" t="inlineStr">
        <is>
          <t>SALA</t>
        </is>
      </c>
      <c r="G477" t="n">
        <v>0.4</v>
      </c>
      <c r="H477" t="n">
        <v>0</v>
      </c>
      <c r="I477" t="n">
        <v>0</v>
      </c>
      <c r="J477" t="n">
        <v>0</v>
      </c>
      <c r="K477" t="n">
        <v>0</v>
      </c>
      <c r="L477" t="n">
        <v>0</v>
      </c>
      <c r="M477" t="n">
        <v>0</v>
      </c>
      <c r="N477" t="n">
        <v>0</v>
      </c>
      <c r="O477" t="n">
        <v>0</v>
      </c>
      <c r="P477" t="n">
        <v>0</v>
      </c>
      <c r="Q477" t="n">
        <v>0</v>
      </c>
      <c r="R477" s="2" t="inlineStr"/>
    </row>
    <row r="478" ht="15" customHeight="1">
      <c r="A478" t="inlineStr">
        <is>
          <t>A 59390-2025</t>
        </is>
      </c>
      <c r="B478" s="1" t="n">
        <v>45989.4640162037</v>
      </c>
      <c r="C478" s="1" t="n">
        <v>46086</v>
      </c>
      <c r="D478" t="inlineStr">
        <is>
          <t>VÄSTMANLANDS LÄN</t>
        </is>
      </c>
      <c r="E478" t="inlineStr">
        <is>
          <t>SALA</t>
        </is>
      </c>
      <c r="G478" t="n">
        <v>1.8</v>
      </c>
      <c r="H478" t="n">
        <v>0</v>
      </c>
      <c r="I478" t="n">
        <v>0</v>
      </c>
      <c r="J478" t="n">
        <v>0</v>
      </c>
      <c r="K478" t="n">
        <v>0</v>
      </c>
      <c r="L478" t="n">
        <v>0</v>
      </c>
      <c r="M478" t="n">
        <v>0</v>
      </c>
      <c r="N478" t="n">
        <v>0</v>
      </c>
      <c r="O478" t="n">
        <v>0</v>
      </c>
      <c r="P478" t="n">
        <v>0</v>
      </c>
      <c r="Q478" t="n">
        <v>0</v>
      </c>
      <c r="R478" s="2" t="inlineStr"/>
    </row>
    <row r="479" ht="15" customHeight="1">
      <c r="A479" t="inlineStr">
        <is>
          <t>A 51247-2025</t>
        </is>
      </c>
      <c r="B479" s="1" t="n">
        <v>45947.86487268518</v>
      </c>
      <c r="C479" s="1" t="n">
        <v>46086</v>
      </c>
      <c r="D479" t="inlineStr">
        <is>
          <t>VÄSTMANLANDS LÄN</t>
        </is>
      </c>
      <c r="E479" t="inlineStr">
        <is>
          <t>SALA</t>
        </is>
      </c>
      <c r="G479" t="n">
        <v>10.4</v>
      </c>
      <c r="H479" t="n">
        <v>0</v>
      </c>
      <c r="I479" t="n">
        <v>0</v>
      </c>
      <c r="J479" t="n">
        <v>0</v>
      </c>
      <c r="K479" t="n">
        <v>0</v>
      </c>
      <c r="L479" t="n">
        <v>0</v>
      </c>
      <c r="M479" t="n">
        <v>0</v>
      </c>
      <c r="N479" t="n">
        <v>0</v>
      </c>
      <c r="O479" t="n">
        <v>0</v>
      </c>
      <c r="P479" t="n">
        <v>0</v>
      </c>
      <c r="Q479" t="n">
        <v>0</v>
      </c>
      <c r="R479" s="2" t="inlineStr"/>
    </row>
    <row r="480" ht="15" customHeight="1">
      <c r="A480" t="inlineStr">
        <is>
          <t>A 59817-2025</t>
        </is>
      </c>
      <c r="B480" s="1" t="n">
        <v>45992.63711805556</v>
      </c>
      <c r="C480" s="1" t="n">
        <v>46086</v>
      </c>
      <c r="D480" t="inlineStr">
        <is>
          <t>VÄSTMANLANDS LÄN</t>
        </is>
      </c>
      <c r="E480" t="inlineStr">
        <is>
          <t>SALA</t>
        </is>
      </c>
      <c r="G480" t="n">
        <v>6.9</v>
      </c>
      <c r="H480" t="n">
        <v>0</v>
      </c>
      <c r="I480" t="n">
        <v>0</v>
      </c>
      <c r="J480" t="n">
        <v>0</v>
      </c>
      <c r="K480" t="n">
        <v>0</v>
      </c>
      <c r="L480" t="n">
        <v>0</v>
      </c>
      <c r="M480" t="n">
        <v>0</v>
      </c>
      <c r="N480" t="n">
        <v>0</v>
      </c>
      <c r="O480" t="n">
        <v>0</v>
      </c>
      <c r="P480" t="n">
        <v>0</v>
      </c>
      <c r="Q480" t="n">
        <v>0</v>
      </c>
      <c r="R480" s="2" t="inlineStr"/>
    </row>
    <row r="481" ht="15" customHeight="1">
      <c r="A481" t="inlineStr">
        <is>
          <t>A 33527-2023</t>
        </is>
      </c>
      <c r="B481" s="1" t="n">
        <v>45131</v>
      </c>
      <c r="C481" s="1" t="n">
        <v>46086</v>
      </c>
      <c r="D481" t="inlineStr">
        <is>
          <t>VÄSTMANLANDS LÄN</t>
        </is>
      </c>
      <c r="E481" t="inlineStr">
        <is>
          <t>SALA</t>
        </is>
      </c>
      <c r="G481" t="n">
        <v>1</v>
      </c>
      <c r="H481" t="n">
        <v>0</v>
      </c>
      <c r="I481" t="n">
        <v>0</v>
      </c>
      <c r="J481" t="n">
        <v>0</v>
      </c>
      <c r="K481" t="n">
        <v>0</v>
      </c>
      <c r="L481" t="n">
        <v>0</v>
      </c>
      <c r="M481" t="n">
        <v>0</v>
      </c>
      <c r="N481" t="n">
        <v>0</v>
      </c>
      <c r="O481" t="n">
        <v>0</v>
      </c>
      <c r="P481" t="n">
        <v>0</v>
      </c>
      <c r="Q481" t="n">
        <v>0</v>
      </c>
      <c r="R481" s="2" t="inlineStr"/>
    </row>
    <row r="482" ht="15" customHeight="1">
      <c r="A482" t="inlineStr">
        <is>
          <t>A 7377-2023</t>
        </is>
      </c>
      <c r="B482" s="1" t="n">
        <v>44971</v>
      </c>
      <c r="C482" s="1" t="n">
        <v>46086</v>
      </c>
      <c r="D482" t="inlineStr">
        <is>
          <t>VÄSTMANLANDS LÄN</t>
        </is>
      </c>
      <c r="E482" t="inlineStr">
        <is>
          <t>SALA</t>
        </is>
      </c>
      <c r="G482" t="n">
        <v>0.9</v>
      </c>
      <c r="H482" t="n">
        <v>0</v>
      </c>
      <c r="I482" t="n">
        <v>0</v>
      </c>
      <c r="J482" t="n">
        <v>0</v>
      </c>
      <c r="K482" t="n">
        <v>0</v>
      </c>
      <c r="L482" t="n">
        <v>0</v>
      </c>
      <c r="M482" t="n">
        <v>0</v>
      </c>
      <c r="N482" t="n">
        <v>0</v>
      </c>
      <c r="O482" t="n">
        <v>0</v>
      </c>
      <c r="P482" t="n">
        <v>0</v>
      </c>
      <c r="Q482" t="n">
        <v>0</v>
      </c>
      <c r="R482" s="2" t="inlineStr"/>
    </row>
    <row r="483" ht="15" customHeight="1">
      <c r="A483" t="inlineStr">
        <is>
          <t>A 59870-2025</t>
        </is>
      </c>
      <c r="B483" s="1" t="n">
        <v>45992.92226851852</v>
      </c>
      <c r="C483" s="1" t="n">
        <v>46086</v>
      </c>
      <c r="D483" t="inlineStr">
        <is>
          <t>VÄSTMANLANDS LÄN</t>
        </is>
      </c>
      <c r="E483" t="inlineStr">
        <is>
          <t>SALA</t>
        </is>
      </c>
      <c r="G483" t="n">
        <v>3.4</v>
      </c>
      <c r="H483" t="n">
        <v>0</v>
      </c>
      <c r="I483" t="n">
        <v>0</v>
      </c>
      <c r="J483" t="n">
        <v>0</v>
      </c>
      <c r="K483" t="n">
        <v>0</v>
      </c>
      <c r="L483" t="n">
        <v>0</v>
      </c>
      <c r="M483" t="n">
        <v>0</v>
      </c>
      <c r="N483" t="n">
        <v>0</v>
      </c>
      <c r="O483" t="n">
        <v>0</v>
      </c>
      <c r="P483" t="n">
        <v>0</v>
      </c>
      <c r="Q483" t="n">
        <v>0</v>
      </c>
      <c r="R483" s="2" t="inlineStr"/>
    </row>
    <row r="484" ht="15" customHeight="1">
      <c r="A484" t="inlineStr">
        <is>
          <t>A 59926-2025</t>
        </is>
      </c>
      <c r="B484" s="1" t="n">
        <v>45993.39221064815</v>
      </c>
      <c r="C484" s="1" t="n">
        <v>46086</v>
      </c>
      <c r="D484" t="inlineStr">
        <is>
          <t>VÄSTMANLANDS LÄN</t>
        </is>
      </c>
      <c r="E484" t="inlineStr">
        <is>
          <t>SALA</t>
        </is>
      </c>
      <c r="G484" t="n">
        <v>7.1</v>
      </c>
      <c r="H484" t="n">
        <v>0</v>
      </c>
      <c r="I484" t="n">
        <v>0</v>
      </c>
      <c r="J484" t="n">
        <v>0</v>
      </c>
      <c r="K484" t="n">
        <v>0</v>
      </c>
      <c r="L484" t="n">
        <v>0</v>
      </c>
      <c r="M484" t="n">
        <v>0</v>
      </c>
      <c r="N484" t="n">
        <v>0</v>
      </c>
      <c r="O484" t="n">
        <v>0</v>
      </c>
      <c r="P484" t="n">
        <v>0</v>
      </c>
      <c r="Q484" t="n">
        <v>0</v>
      </c>
      <c r="R484" s="2" t="inlineStr"/>
    </row>
    <row r="485" ht="15" customHeight="1">
      <c r="A485" t="inlineStr">
        <is>
          <t>A 21159-2022</t>
        </is>
      </c>
      <c r="B485" s="1" t="n">
        <v>44704</v>
      </c>
      <c r="C485" s="1" t="n">
        <v>46086</v>
      </c>
      <c r="D485" t="inlineStr">
        <is>
          <t>VÄSTMANLANDS LÄN</t>
        </is>
      </c>
      <c r="E485" t="inlineStr">
        <is>
          <t>SALA</t>
        </is>
      </c>
      <c r="G485" t="n">
        <v>1.4</v>
      </c>
      <c r="H485" t="n">
        <v>0</v>
      </c>
      <c r="I485" t="n">
        <v>0</v>
      </c>
      <c r="J485" t="n">
        <v>0</v>
      </c>
      <c r="K485" t="n">
        <v>0</v>
      </c>
      <c r="L485" t="n">
        <v>0</v>
      </c>
      <c r="M485" t="n">
        <v>0</v>
      </c>
      <c r="N485" t="n">
        <v>0</v>
      </c>
      <c r="O485" t="n">
        <v>0</v>
      </c>
      <c r="P485" t="n">
        <v>0</v>
      </c>
      <c r="Q485" t="n">
        <v>0</v>
      </c>
      <c r="R485" s="2" t="inlineStr"/>
    </row>
    <row r="486" ht="15" customHeight="1">
      <c r="A486" t="inlineStr">
        <is>
          <t>A 60017-2025</t>
        </is>
      </c>
      <c r="B486" s="1" t="n">
        <v>45993.59998842593</v>
      </c>
      <c r="C486" s="1" t="n">
        <v>46086</v>
      </c>
      <c r="D486" t="inlineStr">
        <is>
          <t>VÄSTMANLANDS LÄN</t>
        </is>
      </c>
      <c r="E486" t="inlineStr">
        <is>
          <t>SALA</t>
        </is>
      </c>
      <c r="G486" t="n">
        <v>4.4</v>
      </c>
      <c r="H486" t="n">
        <v>0</v>
      </c>
      <c r="I486" t="n">
        <v>0</v>
      </c>
      <c r="J486" t="n">
        <v>0</v>
      </c>
      <c r="K486" t="n">
        <v>0</v>
      </c>
      <c r="L486" t="n">
        <v>0</v>
      </c>
      <c r="M486" t="n">
        <v>0</v>
      </c>
      <c r="N486" t="n">
        <v>0</v>
      </c>
      <c r="O486" t="n">
        <v>0</v>
      </c>
      <c r="P486" t="n">
        <v>0</v>
      </c>
      <c r="Q486" t="n">
        <v>0</v>
      </c>
      <c r="R486" s="2" t="inlineStr"/>
    </row>
    <row r="487" ht="15" customHeight="1">
      <c r="A487" t="inlineStr">
        <is>
          <t>A 60254-2025</t>
        </is>
      </c>
      <c r="B487" s="1" t="n">
        <v>45994.60146990741</v>
      </c>
      <c r="C487" s="1" t="n">
        <v>46086</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60259-2025</t>
        </is>
      </c>
      <c r="B488" s="1" t="n">
        <v>45994.60913194445</v>
      </c>
      <c r="C488" s="1" t="n">
        <v>46086</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60241-2025</t>
        </is>
      </c>
      <c r="B489" s="1" t="n">
        <v>45994.58454861111</v>
      </c>
      <c r="C489" s="1" t="n">
        <v>46086</v>
      </c>
      <c r="D489" t="inlineStr">
        <is>
          <t>VÄSTMANLANDS LÄN</t>
        </is>
      </c>
      <c r="E489" t="inlineStr">
        <is>
          <t>SALA</t>
        </is>
      </c>
      <c r="G489" t="n">
        <v>1.6</v>
      </c>
      <c r="H489" t="n">
        <v>0</v>
      </c>
      <c r="I489" t="n">
        <v>0</v>
      </c>
      <c r="J489" t="n">
        <v>0</v>
      </c>
      <c r="K489" t="n">
        <v>0</v>
      </c>
      <c r="L489" t="n">
        <v>0</v>
      </c>
      <c r="M489" t="n">
        <v>0</v>
      </c>
      <c r="N489" t="n">
        <v>0</v>
      </c>
      <c r="O489" t="n">
        <v>0</v>
      </c>
      <c r="P489" t="n">
        <v>0</v>
      </c>
      <c r="Q489" t="n">
        <v>0</v>
      </c>
      <c r="R489" s="2" t="inlineStr"/>
    </row>
    <row r="490" ht="15" customHeight="1">
      <c r="A490" t="inlineStr">
        <is>
          <t>A 56688-2024</t>
        </is>
      </c>
      <c r="B490" s="1" t="n">
        <v>45627.66478009259</v>
      </c>
      <c r="C490" s="1" t="n">
        <v>46086</v>
      </c>
      <c r="D490" t="inlineStr">
        <is>
          <t>VÄSTMANLANDS LÄN</t>
        </is>
      </c>
      <c r="E490" t="inlineStr">
        <is>
          <t>SALA</t>
        </is>
      </c>
      <c r="G490" t="n">
        <v>0.9</v>
      </c>
      <c r="H490" t="n">
        <v>0</v>
      </c>
      <c r="I490" t="n">
        <v>0</v>
      </c>
      <c r="J490" t="n">
        <v>0</v>
      </c>
      <c r="K490" t="n">
        <v>0</v>
      </c>
      <c r="L490" t="n">
        <v>0</v>
      </c>
      <c r="M490" t="n">
        <v>0</v>
      </c>
      <c r="N490" t="n">
        <v>0</v>
      </c>
      <c r="O490" t="n">
        <v>0</v>
      </c>
      <c r="P490" t="n">
        <v>0</v>
      </c>
      <c r="Q490" t="n">
        <v>0</v>
      </c>
      <c r="R490" s="2" t="inlineStr"/>
    </row>
    <row r="491" ht="15" customHeight="1">
      <c r="A491" t="inlineStr">
        <is>
          <t>A 16159-2024</t>
        </is>
      </c>
      <c r="B491" s="1" t="n">
        <v>45406</v>
      </c>
      <c r="C491" s="1" t="n">
        <v>46086</v>
      </c>
      <c r="D491" t="inlineStr">
        <is>
          <t>VÄSTMANLANDS LÄN</t>
        </is>
      </c>
      <c r="E491" t="inlineStr">
        <is>
          <t>SALA</t>
        </is>
      </c>
      <c r="G491" t="n">
        <v>0.4</v>
      </c>
      <c r="H491" t="n">
        <v>0</v>
      </c>
      <c r="I491" t="n">
        <v>0</v>
      </c>
      <c r="J491" t="n">
        <v>0</v>
      </c>
      <c r="K491" t="n">
        <v>0</v>
      </c>
      <c r="L491" t="n">
        <v>0</v>
      </c>
      <c r="M491" t="n">
        <v>0</v>
      </c>
      <c r="N491" t="n">
        <v>0</v>
      </c>
      <c r="O491" t="n">
        <v>0</v>
      </c>
      <c r="P491" t="n">
        <v>0</v>
      </c>
      <c r="Q491" t="n">
        <v>0</v>
      </c>
      <c r="R491" s="2" t="inlineStr"/>
    </row>
    <row r="492" ht="15" customHeight="1">
      <c r="A492" t="inlineStr">
        <is>
          <t>A 60258-2025</t>
        </is>
      </c>
      <c r="B492" s="1" t="n">
        <v>45994.6064699074</v>
      </c>
      <c r="C492" s="1" t="n">
        <v>46086</v>
      </c>
      <c r="D492" t="inlineStr">
        <is>
          <t>VÄSTMANLANDS LÄN</t>
        </is>
      </c>
      <c r="E492" t="inlineStr">
        <is>
          <t>SALA</t>
        </is>
      </c>
      <c r="G492" t="n">
        <v>2.2</v>
      </c>
      <c r="H492" t="n">
        <v>0</v>
      </c>
      <c r="I492" t="n">
        <v>0</v>
      </c>
      <c r="J492" t="n">
        <v>0</v>
      </c>
      <c r="K492" t="n">
        <v>0</v>
      </c>
      <c r="L492" t="n">
        <v>0</v>
      </c>
      <c r="M492" t="n">
        <v>0</v>
      </c>
      <c r="N492" t="n">
        <v>0</v>
      </c>
      <c r="O492" t="n">
        <v>0</v>
      </c>
      <c r="P492" t="n">
        <v>0</v>
      </c>
      <c r="Q492" t="n">
        <v>0</v>
      </c>
      <c r="R492" s="2" t="inlineStr"/>
    </row>
    <row r="493" ht="15" customHeight="1">
      <c r="A493" t="inlineStr">
        <is>
          <t>A 60246-2025</t>
        </is>
      </c>
      <c r="B493" s="1" t="n">
        <v>45994.58931712963</v>
      </c>
      <c r="C493" s="1" t="n">
        <v>46086</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60629-2025</t>
        </is>
      </c>
      <c r="B494" s="1" t="n">
        <v>45996.41972222222</v>
      </c>
      <c r="C494" s="1" t="n">
        <v>46086</v>
      </c>
      <c r="D494" t="inlineStr">
        <is>
          <t>VÄSTMANLANDS LÄN</t>
        </is>
      </c>
      <c r="E494" t="inlineStr">
        <is>
          <t>SALA</t>
        </is>
      </c>
      <c r="G494" t="n">
        <v>4.3</v>
      </c>
      <c r="H494" t="n">
        <v>0</v>
      </c>
      <c r="I494" t="n">
        <v>0</v>
      </c>
      <c r="J494" t="n">
        <v>0</v>
      </c>
      <c r="K494" t="n">
        <v>0</v>
      </c>
      <c r="L494" t="n">
        <v>0</v>
      </c>
      <c r="M494" t="n">
        <v>0</v>
      </c>
      <c r="N494" t="n">
        <v>0</v>
      </c>
      <c r="O494" t="n">
        <v>0</v>
      </c>
      <c r="P494" t="n">
        <v>0</v>
      </c>
      <c r="Q494" t="n">
        <v>0</v>
      </c>
      <c r="R494" s="2" t="inlineStr"/>
    </row>
    <row r="495" ht="15" customHeight="1">
      <c r="A495" t="inlineStr">
        <is>
          <t>A 66307-2021</t>
        </is>
      </c>
      <c r="B495" s="1" t="n">
        <v>44518.48670138889</v>
      </c>
      <c r="C495" s="1" t="n">
        <v>46086</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27262-2024</t>
        </is>
      </c>
      <c r="B496" s="1" t="n">
        <v>45471</v>
      </c>
      <c r="C496" s="1" t="n">
        <v>46086</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10913-2025</t>
        </is>
      </c>
      <c r="B497" s="1" t="n">
        <v>45722.73423611111</v>
      </c>
      <c r="C497" s="1" t="n">
        <v>46086</v>
      </c>
      <c r="D497" t="inlineStr">
        <is>
          <t>VÄSTMANLANDS LÄN</t>
        </is>
      </c>
      <c r="E497" t="inlineStr">
        <is>
          <t>SALA</t>
        </is>
      </c>
      <c r="G497" t="n">
        <v>7.6</v>
      </c>
      <c r="H497" t="n">
        <v>0</v>
      </c>
      <c r="I497" t="n">
        <v>0</v>
      </c>
      <c r="J497" t="n">
        <v>0</v>
      </c>
      <c r="K497" t="n">
        <v>0</v>
      </c>
      <c r="L497" t="n">
        <v>0</v>
      </c>
      <c r="M497" t="n">
        <v>0</v>
      </c>
      <c r="N497" t="n">
        <v>0</v>
      </c>
      <c r="O497" t="n">
        <v>0</v>
      </c>
      <c r="P497" t="n">
        <v>0</v>
      </c>
      <c r="Q497" t="n">
        <v>0</v>
      </c>
      <c r="R497" s="2" t="inlineStr"/>
    </row>
    <row r="498" ht="15" customHeight="1">
      <c r="A498" t="inlineStr">
        <is>
          <t>A 35410-2022</t>
        </is>
      </c>
      <c r="B498" s="1" t="n">
        <v>44798.62576388889</v>
      </c>
      <c r="C498" s="1" t="n">
        <v>46086</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1118-2024</t>
        </is>
      </c>
      <c r="B499" s="1" t="n">
        <v>45302</v>
      </c>
      <c r="C499" s="1" t="n">
        <v>46086</v>
      </c>
      <c r="D499" t="inlineStr">
        <is>
          <t>VÄSTMANLANDS LÄN</t>
        </is>
      </c>
      <c r="E499" t="inlineStr">
        <is>
          <t>SALA</t>
        </is>
      </c>
      <c r="G499" t="n">
        <v>1.9</v>
      </c>
      <c r="H499" t="n">
        <v>0</v>
      </c>
      <c r="I499" t="n">
        <v>0</v>
      </c>
      <c r="J499" t="n">
        <v>0</v>
      </c>
      <c r="K499" t="n">
        <v>0</v>
      </c>
      <c r="L499" t="n">
        <v>0</v>
      </c>
      <c r="M499" t="n">
        <v>0</v>
      </c>
      <c r="N499" t="n">
        <v>0</v>
      </c>
      <c r="O499" t="n">
        <v>0</v>
      </c>
      <c r="P499" t="n">
        <v>0</v>
      </c>
      <c r="Q499" t="n">
        <v>0</v>
      </c>
      <c r="R499" s="2" t="inlineStr"/>
    </row>
    <row r="500" ht="15" customHeight="1">
      <c r="A500" t="inlineStr">
        <is>
          <t>A 53864-2022</t>
        </is>
      </c>
      <c r="B500" s="1" t="n">
        <v>44880.64016203704</v>
      </c>
      <c r="C500" s="1" t="n">
        <v>46086</v>
      </c>
      <c r="D500" t="inlineStr">
        <is>
          <t>VÄSTMANLANDS LÄN</t>
        </is>
      </c>
      <c r="E500" t="inlineStr">
        <is>
          <t>SALA</t>
        </is>
      </c>
      <c r="G500" t="n">
        <v>5.9</v>
      </c>
      <c r="H500" t="n">
        <v>0</v>
      </c>
      <c r="I500" t="n">
        <v>0</v>
      </c>
      <c r="J500" t="n">
        <v>0</v>
      </c>
      <c r="K500" t="n">
        <v>0</v>
      </c>
      <c r="L500" t="n">
        <v>0</v>
      </c>
      <c r="M500" t="n">
        <v>0</v>
      </c>
      <c r="N500" t="n">
        <v>0</v>
      </c>
      <c r="O500" t="n">
        <v>0</v>
      </c>
      <c r="P500" t="n">
        <v>0</v>
      </c>
      <c r="Q500" t="n">
        <v>0</v>
      </c>
      <c r="R500" s="2" t="inlineStr"/>
    </row>
    <row r="501" ht="15" customHeight="1">
      <c r="A501" t="inlineStr">
        <is>
          <t>A 61522-2025</t>
        </is>
      </c>
      <c r="B501" s="1" t="n">
        <v>46001.68684027778</v>
      </c>
      <c r="C501" s="1" t="n">
        <v>46086</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40085-2024</t>
        </is>
      </c>
      <c r="B502" s="1" t="n">
        <v>45554</v>
      </c>
      <c r="C502" s="1" t="n">
        <v>46086</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3551-2024</t>
        </is>
      </c>
      <c r="B503" s="1" t="n">
        <v>45320.61099537037</v>
      </c>
      <c r="C503" s="1" t="n">
        <v>46086</v>
      </c>
      <c r="D503" t="inlineStr">
        <is>
          <t>VÄSTMANLANDS LÄN</t>
        </is>
      </c>
      <c r="E503" t="inlineStr">
        <is>
          <t>SALA</t>
        </is>
      </c>
      <c r="F503" t="inlineStr">
        <is>
          <t>Kommuner</t>
        </is>
      </c>
      <c r="G503" t="n">
        <v>6</v>
      </c>
      <c r="H503" t="n">
        <v>0</v>
      </c>
      <c r="I503" t="n">
        <v>0</v>
      </c>
      <c r="J503" t="n">
        <v>0</v>
      </c>
      <c r="K503" t="n">
        <v>0</v>
      </c>
      <c r="L503" t="n">
        <v>0</v>
      </c>
      <c r="M503" t="n">
        <v>0</v>
      </c>
      <c r="N503" t="n">
        <v>0</v>
      </c>
      <c r="O503" t="n">
        <v>0</v>
      </c>
      <c r="P503" t="n">
        <v>0</v>
      </c>
      <c r="Q503" t="n">
        <v>0</v>
      </c>
      <c r="R503" s="2" t="inlineStr"/>
    </row>
    <row r="504" ht="15" customHeight="1">
      <c r="A504" t="inlineStr">
        <is>
          <t>A 22961-2023</t>
        </is>
      </c>
      <c r="B504" s="1" t="n">
        <v>45072</v>
      </c>
      <c r="C504" s="1" t="n">
        <v>46086</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22963-2023</t>
        </is>
      </c>
      <c r="B505" s="1" t="n">
        <v>45072</v>
      </c>
      <c r="C505" s="1" t="n">
        <v>46086</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54960-2024</t>
        </is>
      </c>
      <c r="B506" s="1" t="n">
        <v>45619.85208333333</v>
      </c>
      <c r="C506" s="1" t="n">
        <v>46086</v>
      </c>
      <c r="D506" t="inlineStr">
        <is>
          <t>VÄSTMANLANDS LÄN</t>
        </is>
      </c>
      <c r="E506" t="inlineStr">
        <is>
          <t>SALA</t>
        </is>
      </c>
      <c r="G506" t="n">
        <v>2.6</v>
      </c>
      <c r="H506" t="n">
        <v>0</v>
      </c>
      <c r="I506" t="n">
        <v>0</v>
      </c>
      <c r="J506" t="n">
        <v>0</v>
      </c>
      <c r="K506" t="n">
        <v>0</v>
      </c>
      <c r="L506" t="n">
        <v>0</v>
      </c>
      <c r="M506" t="n">
        <v>0</v>
      </c>
      <c r="N506" t="n">
        <v>0</v>
      </c>
      <c r="O506" t="n">
        <v>0</v>
      </c>
      <c r="P506" t="n">
        <v>0</v>
      </c>
      <c r="Q506" t="n">
        <v>0</v>
      </c>
      <c r="R506" s="2" t="inlineStr"/>
    </row>
    <row r="507" ht="15" customHeight="1">
      <c r="A507" t="inlineStr">
        <is>
          <t>A 27228-2023</t>
        </is>
      </c>
      <c r="B507" s="1" t="n">
        <v>45096.59189814814</v>
      </c>
      <c r="C507" s="1" t="n">
        <v>46086</v>
      </c>
      <c r="D507" t="inlineStr">
        <is>
          <t>VÄSTMANLANDS LÄN</t>
        </is>
      </c>
      <c r="E507" t="inlineStr">
        <is>
          <t>SALA</t>
        </is>
      </c>
      <c r="G507" t="n">
        <v>1</v>
      </c>
      <c r="H507" t="n">
        <v>0</v>
      </c>
      <c r="I507" t="n">
        <v>0</v>
      </c>
      <c r="J507" t="n">
        <v>0</v>
      </c>
      <c r="K507" t="n">
        <v>0</v>
      </c>
      <c r="L507" t="n">
        <v>0</v>
      </c>
      <c r="M507" t="n">
        <v>0</v>
      </c>
      <c r="N507" t="n">
        <v>0</v>
      </c>
      <c r="O507" t="n">
        <v>0</v>
      </c>
      <c r="P507" t="n">
        <v>0</v>
      </c>
      <c r="Q507" t="n">
        <v>0</v>
      </c>
      <c r="R507" s="2" t="inlineStr"/>
    </row>
    <row r="508" ht="15" customHeight="1">
      <c r="A508" t="inlineStr">
        <is>
          <t>A 26507-2023</t>
        </is>
      </c>
      <c r="B508" s="1" t="n">
        <v>45092</v>
      </c>
      <c r="C508" s="1" t="n">
        <v>46086</v>
      </c>
      <c r="D508" t="inlineStr">
        <is>
          <t>VÄSTMANLANDS LÄN</t>
        </is>
      </c>
      <c r="E508" t="inlineStr">
        <is>
          <t>SALA</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4712-2026</t>
        </is>
      </c>
      <c r="B509" s="1" t="n">
        <v>46048.46082175926</v>
      </c>
      <c r="C509" s="1" t="n">
        <v>46086</v>
      </c>
      <c r="D509" t="inlineStr">
        <is>
          <t>VÄSTMANLANDS LÄN</t>
        </is>
      </c>
      <c r="E509" t="inlineStr">
        <is>
          <t>SALA</t>
        </is>
      </c>
      <c r="G509" t="n">
        <v>4.1</v>
      </c>
      <c r="H509" t="n">
        <v>0</v>
      </c>
      <c r="I509" t="n">
        <v>0</v>
      </c>
      <c r="J509" t="n">
        <v>0</v>
      </c>
      <c r="K509" t="n">
        <v>0</v>
      </c>
      <c r="L509" t="n">
        <v>0</v>
      </c>
      <c r="M509" t="n">
        <v>0</v>
      </c>
      <c r="N509" t="n">
        <v>0</v>
      </c>
      <c r="O509" t="n">
        <v>0</v>
      </c>
      <c r="P509" t="n">
        <v>0</v>
      </c>
      <c r="Q509" t="n">
        <v>0</v>
      </c>
      <c r="R509" s="2" t="inlineStr"/>
    </row>
    <row r="510" ht="15" customHeight="1">
      <c r="A510" t="inlineStr">
        <is>
          <t>A 4681-2026</t>
        </is>
      </c>
      <c r="B510" s="1" t="n">
        <v>46048.43016203704</v>
      </c>
      <c r="C510" s="1" t="n">
        <v>46086</v>
      </c>
      <c r="D510" t="inlineStr">
        <is>
          <t>VÄSTMANLANDS LÄN</t>
        </is>
      </c>
      <c r="E510" t="inlineStr">
        <is>
          <t>SALA</t>
        </is>
      </c>
      <c r="G510" t="n">
        <v>2.5</v>
      </c>
      <c r="H510" t="n">
        <v>0</v>
      </c>
      <c r="I510" t="n">
        <v>0</v>
      </c>
      <c r="J510" t="n">
        <v>0</v>
      </c>
      <c r="K510" t="n">
        <v>0</v>
      </c>
      <c r="L510" t="n">
        <v>0</v>
      </c>
      <c r="M510" t="n">
        <v>0</v>
      </c>
      <c r="N510" t="n">
        <v>0</v>
      </c>
      <c r="O510" t="n">
        <v>0</v>
      </c>
      <c r="P510" t="n">
        <v>0</v>
      </c>
      <c r="Q510" t="n">
        <v>0</v>
      </c>
      <c r="R510" s="2" t="inlineStr"/>
    </row>
    <row r="511" ht="15" customHeight="1">
      <c r="A511" t="inlineStr">
        <is>
          <t>A 4664-2026</t>
        </is>
      </c>
      <c r="B511" s="1" t="n">
        <v>46048.41061342593</v>
      </c>
      <c r="C511" s="1" t="n">
        <v>46086</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62523-2025</t>
        </is>
      </c>
      <c r="B512" s="1" t="n">
        <v>46007.61512731481</v>
      </c>
      <c r="C512" s="1" t="n">
        <v>46086</v>
      </c>
      <c r="D512" t="inlineStr">
        <is>
          <t>VÄSTMANLANDS LÄN</t>
        </is>
      </c>
      <c r="E512" t="inlineStr">
        <is>
          <t>SALA</t>
        </is>
      </c>
      <c r="G512" t="n">
        <v>1.5</v>
      </c>
      <c r="H512" t="n">
        <v>0</v>
      </c>
      <c r="I512" t="n">
        <v>0</v>
      </c>
      <c r="J512" t="n">
        <v>0</v>
      </c>
      <c r="K512" t="n">
        <v>0</v>
      </c>
      <c r="L512" t="n">
        <v>0</v>
      </c>
      <c r="M512" t="n">
        <v>0</v>
      </c>
      <c r="N512" t="n">
        <v>0</v>
      </c>
      <c r="O512" t="n">
        <v>0</v>
      </c>
      <c r="P512" t="n">
        <v>0</v>
      </c>
      <c r="Q512" t="n">
        <v>0</v>
      </c>
      <c r="R512" s="2" t="inlineStr"/>
    </row>
    <row r="513" ht="15" customHeight="1">
      <c r="A513" t="inlineStr">
        <is>
          <t>A 4624-2026</t>
        </is>
      </c>
      <c r="B513" s="1" t="n">
        <v>46048.38107638889</v>
      </c>
      <c r="C513" s="1" t="n">
        <v>46086</v>
      </c>
      <c r="D513" t="inlineStr">
        <is>
          <t>VÄSTMANLANDS LÄN</t>
        </is>
      </c>
      <c r="E513" t="inlineStr">
        <is>
          <t>SALA</t>
        </is>
      </c>
      <c r="G513" t="n">
        <v>12.3</v>
      </c>
      <c r="H513" t="n">
        <v>0</v>
      </c>
      <c r="I513" t="n">
        <v>0</v>
      </c>
      <c r="J513" t="n">
        <v>0</v>
      </c>
      <c r="K513" t="n">
        <v>0</v>
      </c>
      <c r="L513" t="n">
        <v>0</v>
      </c>
      <c r="M513" t="n">
        <v>0</v>
      </c>
      <c r="N513" t="n">
        <v>0</v>
      </c>
      <c r="O513" t="n">
        <v>0</v>
      </c>
      <c r="P513" t="n">
        <v>0</v>
      </c>
      <c r="Q513" t="n">
        <v>0</v>
      </c>
      <c r="R513" s="2" t="inlineStr"/>
    </row>
    <row r="514" ht="15" customHeight="1">
      <c r="A514" t="inlineStr">
        <is>
          <t>A 6183-2025</t>
        </is>
      </c>
      <c r="B514" s="1" t="n">
        <v>45698</v>
      </c>
      <c r="C514" s="1" t="n">
        <v>46086</v>
      </c>
      <c r="D514" t="inlineStr">
        <is>
          <t>VÄSTMANLANDS LÄN</t>
        </is>
      </c>
      <c r="E514" t="inlineStr">
        <is>
          <t>SALA</t>
        </is>
      </c>
      <c r="F514" t="inlineStr">
        <is>
          <t>Bergvik skog öst AB</t>
        </is>
      </c>
      <c r="G514" t="n">
        <v>2.3</v>
      </c>
      <c r="H514" t="n">
        <v>0</v>
      </c>
      <c r="I514" t="n">
        <v>0</v>
      </c>
      <c r="J514" t="n">
        <v>0</v>
      </c>
      <c r="K514" t="n">
        <v>0</v>
      </c>
      <c r="L514" t="n">
        <v>0</v>
      </c>
      <c r="M514" t="n">
        <v>0</v>
      </c>
      <c r="N514" t="n">
        <v>0</v>
      </c>
      <c r="O514" t="n">
        <v>0</v>
      </c>
      <c r="P514" t="n">
        <v>0</v>
      </c>
      <c r="Q514" t="n">
        <v>0</v>
      </c>
      <c r="R514" s="2" t="inlineStr"/>
    </row>
    <row r="515" ht="15" customHeight="1">
      <c r="A515" t="inlineStr">
        <is>
          <t>A 16543-2023</t>
        </is>
      </c>
      <c r="B515" s="1" t="n">
        <v>45029</v>
      </c>
      <c r="C515" s="1" t="n">
        <v>46086</v>
      </c>
      <c r="D515" t="inlineStr">
        <is>
          <t>VÄSTMANLANDS LÄN</t>
        </is>
      </c>
      <c r="E515" t="inlineStr">
        <is>
          <t>SALA</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43176-2023</t>
        </is>
      </c>
      <c r="B516" s="1" t="n">
        <v>45183</v>
      </c>
      <c r="C516" s="1" t="n">
        <v>46086</v>
      </c>
      <c r="D516" t="inlineStr">
        <is>
          <t>VÄSTMANLANDS LÄN</t>
        </is>
      </c>
      <c r="E516" t="inlineStr">
        <is>
          <t>SALA</t>
        </is>
      </c>
      <c r="G516" t="n">
        <v>1.2</v>
      </c>
      <c r="H516" t="n">
        <v>0</v>
      </c>
      <c r="I516" t="n">
        <v>0</v>
      </c>
      <c r="J516" t="n">
        <v>0</v>
      </c>
      <c r="K516" t="n">
        <v>0</v>
      </c>
      <c r="L516" t="n">
        <v>0</v>
      </c>
      <c r="M516" t="n">
        <v>0</v>
      </c>
      <c r="N516" t="n">
        <v>0</v>
      </c>
      <c r="O516" t="n">
        <v>0</v>
      </c>
      <c r="P516" t="n">
        <v>0</v>
      </c>
      <c r="Q516" t="n">
        <v>0</v>
      </c>
      <c r="R516" s="2" t="inlineStr"/>
    </row>
    <row r="517" ht="15" customHeight="1">
      <c r="A517" t="inlineStr">
        <is>
          <t>A 37624-2024</t>
        </is>
      </c>
      <c r="B517" s="1" t="n">
        <v>45541</v>
      </c>
      <c r="C517" s="1" t="n">
        <v>46086</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57895-2024</t>
        </is>
      </c>
      <c r="B518" s="1" t="n">
        <v>45631</v>
      </c>
      <c r="C518" s="1" t="n">
        <v>46086</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47086-2022</t>
        </is>
      </c>
      <c r="B519" s="1" t="n">
        <v>44852</v>
      </c>
      <c r="C519" s="1" t="n">
        <v>46086</v>
      </c>
      <c r="D519" t="inlineStr">
        <is>
          <t>VÄSTMANLANDS LÄN</t>
        </is>
      </c>
      <c r="E519" t="inlineStr">
        <is>
          <t>SALA</t>
        </is>
      </c>
      <c r="G519" t="n">
        <v>12.5</v>
      </c>
      <c r="H519" t="n">
        <v>0</v>
      </c>
      <c r="I519" t="n">
        <v>0</v>
      </c>
      <c r="J519" t="n">
        <v>0</v>
      </c>
      <c r="K519" t="n">
        <v>0</v>
      </c>
      <c r="L519" t="n">
        <v>0</v>
      </c>
      <c r="M519" t="n">
        <v>0</v>
      </c>
      <c r="N519" t="n">
        <v>0</v>
      </c>
      <c r="O519" t="n">
        <v>0</v>
      </c>
      <c r="P519" t="n">
        <v>0</v>
      </c>
      <c r="Q519" t="n">
        <v>0</v>
      </c>
      <c r="R519" s="2" t="inlineStr"/>
    </row>
    <row r="520" ht="15" customHeight="1">
      <c r="A520" t="inlineStr">
        <is>
          <t>A 14010-2021</t>
        </is>
      </c>
      <c r="B520" s="1" t="n">
        <v>44277.63396990741</v>
      </c>
      <c r="C520" s="1" t="n">
        <v>46086</v>
      </c>
      <c r="D520" t="inlineStr">
        <is>
          <t>VÄSTMANLANDS LÄN</t>
        </is>
      </c>
      <c r="E520" t="inlineStr">
        <is>
          <t>SALA</t>
        </is>
      </c>
      <c r="G520" t="n">
        <v>3.5</v>
      </c>
      <c r="H520" t="n">
        <v>0</v>
      </c>
      <c r="I520" t="n">
        <v>0</v>
      </c>
      <c r="J520" t="n">
        <v>0</v>
      </c>
      <c r="K520" t="n">
        <v>0</v>
      </c>
      <c r="L520" t="n">
        <v>0</v>
      </c>
      <c r="M520" t="n">
        <v>0</v>
      </c>
      <c r="N520" t="n">
        <v>0</v>
      </c>
      <c r="O520" t="n">
        <v>0</v>
      </c>
      <c r="P520" t="n">
        <v>0</v>
      </c>
      <c r="Q520" t="n">
        <v>0</v>
      </c>
      <c r="R520" s="2" t="inlineStr"/>
    </row>
    <row r="521" ht="15" customHeight="1">
      <c r="A521" t="inlineStr">
        <is>
          <t>A 5525-2026</t>
        </is>
      </c>
      <c r="B521" s="1" t="n">
        <v>46050.65055555556</v>
      </c>
      <c r="C521" s="1" t="n">
        <v>46086</v>
      </c>
      <c r="D521" t="inlineStr">
        <is>
          <t>VÄSTMANLANDS LÄN</t>
        </is>
      </c>
      <c r="E521" t="inlineStr">
        <is>
          <t>SALA</t>
        </is>
      </c>
      <c r="G521" t="n">
        <v>13.1</v>
      </c>
      <c r="H521" t="n">
        <v>0</v>
      </c>
      <c r="I521" t="n">
        <v>0</v>
      </c>
      <c r="J521" t="n">
        <v>0</v>
      </c>
      <c r="K521" t="n">
        <v>0</v>
      </c>
      <c r="L521" t="n">
        <v>0</v>
      </c>
      <c r="M521" t="n">
        <v>0</v>
      </c>
      <c r="N521" t="n">
        <v>0</v>
      </c>
      <c r="O521" t="n">
        <v>0</v>
      </c>
      <c r="P521" t="n">
        <v>0</v>
      </c>
      <c r="Q521" t="n">
        <v>0</v>
      </c>
      <c r="R521" s="2" t="inlineStr"/>
    </row>
    <row r="522" ht="15" customHeight="1">
      <c r="A522" t="inlineStr">
        <is>
          <t>A 63055-2025</t>
        </is>
      </c>
      <c r="B522" s="1" t="n">
        <v>46009.63619212963</v>
      </c>
      <c r="C522" s="1" t="n">
        <v>46086</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63051-2025</t>
        </is>
      </c>
      <c r="B523" s="1" t="n">
        <v>46009.63134259259</v>
      </c>
      <c r="C523" s="1" t="n">
        <v>46086</v>
      </c>
      <c r="D523" t="inlineStr">
        <is>
          <t>VÄSTMANLANDS LÄN</t>
        </is>
      </c>
      <c r="E523" t="inlineStr">
        <is>
          <t>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56687-2024</t>
        </is>
      </c>
      <c r="B524" s="1" t="n">
        <v>45627.63271990741</v>
      </c>
      <c r="C524" s="1" t="n">
        <v>46086</v>
      </c>
      <c r="D524" t="inlineStr">
        <is>
          <t>VÄSTMANLANDS LÄN</t>
        </is>
      </c>
      <c r="E524" t="inlineStr">
        <is>
          <t>SALA</t>
        </is>
      </c>
      <c r="G524" t="n">
        <v>1.2</v>
      </c>
      <c r="H524" t="n">
        <v>0</v>
      </c>
      <c r="I524" t="n">
        <v>0</v>
      </c>
      <c r="J524" t="n">
        <v>0</v>
      </c>
      <c r="K524" t="n">
        <v>0</v>
      </c>
      <c r="L524" t="n">
        <v>0</v>
      </c>
      <c r="M524" t="n">
        <v>0</v>
      </c>
      <c r="N524" t="n">
        <v>0</v>
      </c>
      <c r="O524" t="n">
        <v>0</v>
      </c>
      <c r="P524" t="n">
        <v>0</v>
      </c>
      <c r="Q524" t="n">
        <v>0</v>
      </c>
      <c r="R524" s="2" t="inlineStr"/>
    </row>
    <row r="525" ht="15" customHeight="1">
      <c r="A525" t="inlineStr">
        <is>
          <t>A 63046-2025</t>
        </is>
      </c>
      <c r="B525" s="1" t="n">
        <v>46009.62373842593</v>
      </c>
      <c r="C525" s="1" t="n">
        <v>46086</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54347-2024</t>
        </is>
      </c>
      <c r="B526" s="1" t="n">
        <v>45617.39325231482</v>
      </c>
      <c r="C526" s="1" t="n">
        <v>46086</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5418-2026</t>
        </is>
      </c>
      <c r="B527" s="1" t="n">
        <v>46050.53740740741</v>
      </c>
      <c r="C527" s="1" t="n">
        <v>46086</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5894-2026</t>
        </is>
      </c>
      <c r="B528" s="1" t="n">
        <v>46052.42412037037</v>
      </c>
      <c r="C528" s="1" t="n">
        <v>46086</v>
      </c>
      <c r="D528" t="inlineStr">
        <is>
          <t>VÄSTMANLANDS LÄN</t>
        </is>
      </c>
      <c r="E528" t="inlineStr">
        <is>
          <t>SALA</t>
        </is>
      </c>
      <c r="G528" t="n">
        <v>0.9</v>
      </c>
      <c r="H528" t="n">
        <v>0</v>
      </c>
      <c r="I528" t="n">
        <v>0</v>
      </c>
      <c r="J528" t="n">
        <v>0</v>
      </c>
      <c r="K528" t="n">
        <v>0</v>
      </c>
      <c r="L528" t="n">
        <v>0</v>
      </c>
      <c r="M528" t="n">
        <v>0</v>
      </c>
      <c r="N528" t="n">
        <v>0</v>
      </c>
      <c r="O528" t="n">
        <v>0</v>
      </c>
      <c r="P528" t="n">
        <v>0</v>
      </c>
      <c r="Q528" t="n">
        <v>0</v>
      </c>
      <c r="R528" s="2" t="inlineStr"/>
    </row>
    <row r="529" ht="15" customHeight="1">
      <c r="A529" t="inlineStr">
        <is>
          <t>A 64693-2023</t>
        </is>
      </c>
      <c r="B529" s="1" t="n">
        <v>45281.63850694444</v>
      </c>
      <c r="C529" s="1" t="n">
        <v>46086</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64695-2023</t>
        </is>
      </c>
      <c r="B530" s="1" t="n">
        <v>45281.64099537037</v>
      </c>
      <c r="C530" s="1" t="n">
        <v>46086</v>
      </c>
      <c r="D530" t="inlineStr">
        <is>
          <t>VÄSTMANLANDS LÄN</t>
        </is>
      </c>
      <c r="E530" t="inlineStr">
        <is>
          <t>SALA</t>
        </is>
      </c>
      <c r="G530" t="n">
        <v>0.5</v>
      </c>
      <c r="H530" t="n">
        <v>0</v>
      </c>
      <c r="I530" t="n">
        <v>0</v>
      </c>
      <c r="J530" t="n">
        <v>0</v>
      </c>
      <c r="K530" t="n">
        <v>0</v>
      </c>
      <c r="L530" t="n">
        <v>0</v>
      </c>
      <c r="M530" t="n">
        <v>0</v>
      </c>
      <c r="N530" t="n">
        <v>0</v>
      </c>
      <c r="O530" t="n">
        <v>0</v>
      </c>
      <c r="P530" t="n">
        <v>0</v>
      </c>
      <c r="Q530" t="n">
        <v>0</v>
      </c>
      <c r="R530" s="2" t="inlineStr"/>
    </row>
    <row r="531" ht="15" customHeight="1">
      <c r="A531" t="inlineStr">
        <is>
          <t>A 27486-2022</t>
        </is>
      </c>
      <c r="B531" s="1" t="n">
        <v>44742.60846064815</v>
      </c>
      <c r="C531" s="1" t="n">
        <v>46086</v>
      </c>
      <c r="D531" t="inlineStr">
        <is>
          <t>VÄSTMANLANDS LÄN</t>
        </is>
      </c>
      <c r="E531" t="inlineStr">
        <is>
          <t>SALA</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35003-2024</t>
        </is>
      </c>
      <c r="B532" s="1" t="n">
        <v>45527.56790509259</v>
      </c>
      <c r="C532" s="1" t="n">
        <v>46086</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63353-2025</t>
        </is>
      </c>
      <c r="B533" s="1" t="n">
        <v>46010.66670138889</v>
      </c>
      <c r="C533" s="1" t="n">
        <v>46086</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48688-2024</t>
        </is>
      </c>
      <c r="B534" s="1" t="n">
        <v>45593.50541666667</v>
      </c>
      <c r="C534" s="1" t="n">
        <v>46086</v>
      </c>
      <c r="D534" t="inlineStr">
        <is>
          <t>VÄSTMANLANDS LÄN</t>
        </is>
      </c>
      <c r="E534" t="inlineStr">
        <is>
          <t>SALA</t>
        </is>
      </c>
      <c r="G534" t="n">
        <v>0.5</v>
      </c>
      <c r="H534" t="n">
        <v>0</v>
      </c>
      <c r="I534" t="n">
        <v>0</v>
      </c>
      <c r="J534" t="n">
        <v>0</v>
      </c>
      <c r="K534" t="n">
        <v>0</v>
      </c>
      <c r="L534" t="n">
        <v>0</v>
      </c>
      <c r="M534" t="n">
        <v>0</v>
      </c>
      <c r="N534" t="n">
        <v>0</v>
      </c>
      <c r="O534" t="n">
        <v>0</v>
      </c>
      <c r="P534" t="n">
        <v>0</v>
      </c>
      <c r="Q534" t="n">
        <v>0</v>
      </c>
      <c r="R534" s="2" t="inlineStr"/>
    </row>
    <row r="535" ht="15" customHeight="1">
      <c r="A535" t="inlineStr">
        <is>
          <t>A 63269-2025</t>
        </is>
      </c>
      <c r="B535" s="1" t="n">
        <v>46010</v>
      </c>
      <c r="C535" s="1" t="n">
        <v>46086</v>
      </c>
      <c r="D535" t="inlineStr">
        <is>
          <t>VÄSTMANLANDS LÄN</t>
        </is>
      </c>
      <c r="E535" t="inlineStr">
        <is>
          <t>SALA</t>
        </is>
      </c>
      <c r="G535" t="n">
        <v>6.4</v>
      </c>
      <c r="H535" t="n">
        <v>0</v>
      </c>
      <c r="I535" t="n">
        <v>0</v>
      </c>
      <c r="J535" t="n">
        <v>0</v>
      </c>
      <c r="K535" t="n">
        <v>0</v>
      </c>
      <c r="L535" t="n">
        <v>0</v>
      </c>
      <c r="M535" t="n">
        <v>0</v>
      </c>
      <c r="N535" t="n">
        <v>0</v>
      </c>
      <c r="O535" t="n">
        <v>0</v>
      </c>
      <c r="P535" t="n">
        <v>0</v>
      </c>
      <c r="Q535" t="n">
        <v>0</v>
      </c>
      <c r="R535" s="2" t="inlineStr"/>
    </row>
    <row r="536" ht="15" customHeight="1">
      <c r="A536" t="inlineStr">
        <is>
          <t>A 15354-2021</t>
        </is>
      </c>
      <c r="B536" s="1" t="n">
        <v>44284</v>
      </c>
      <c r="C536" s="1" t="n">
        <v>46086</v>
      </c>
      <c r="D536" t="inlineStr">
        <is>
          <t>VÄSTMANLANDS LÄN</t>
        </is>
      </c>
      <c r="E536" t="inlineStr">
        <is>
          <t>SALA</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63933-2023</t>
        </is>
      </c>
      <c r="B537" s="1" t="n">
        <v>45278</v>
      </c>
      <c r="C537" s="1" t="n">
        <v>46086</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44746-2024</t>
        </is>
      </c>
      <c r="B538" s="1" t="n">
        <v>45574.59813657407</v>
      </c>
      <c r="C538" s="1" t="n">
        <v>46086</v>
      </c>
      <c r="D538" t="inlineStr">
        <is>
          <t>VÄSTMANLANDS LÄN</t>
        </is>
      </c>
      <c r="E538" t="inlineStr">
        <is>
          <t>SALA</t>
        </is>
      </c>
      <c r="G538" t="n">
        <v>6.7</v>
      </c>
      <c r="H538" t="n">
        <v>0</v>
      </c>
      <c r="I538" t="n">
        <v>0</v>
      </c>
      <c r="J538" t="n">
        <v>0</v>
      </c>
      <c r="K538" t="n">
        <v>0</v>
      </c>
      <c r="L538" t="n">
        <v>0</v>
      </c>
      <c r="M538" t="n">
        <v>0</v>
      </c>
      <c r="N538" t="n">
        <v>0</v>
      </c>
      <c r="O538" t="n">
        <v>0</v>
      </c>
      <c r="P538" t="n">
        <v>0</v>
      </c>
      <c r="Q538" t="n">
        <v>0</v>
      </c>
      <c r="R538" s="2" t="inlineStr"/>
    </row>
    <row r="539" ht="15" customHeight="1">
      <c r="A539" t="inlineStr">
        <is>
          <t>A 33273-2023</t>
        </is>
      </c>
      <c r="B539" s="1" t="n">
        <v>45127</v>
      </c>
      <c r="C539" s="1" t="n">
        <v>46086</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11696-2025</t>
        </is>
      </c>
      <c r="B540" s="1" t="n">
        <v>45727</v>
      </c>
      <c r="C540" s="1" t="n">
        <v>46086</v>
      </c>
      <c r="D540" t="inlineStr">
        <is>
          <t>VÄSTMANLANDS LÄN</t>
        </is>
      </c>
      <c r="E540" t="inlineStr">
        <is>
          <t>SALA</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6021-2026</t>
        </is>
      </c>
      <c r="B541" s="1" t="n">
        <v>46050</v>
      </c>
      <c r="C541" s="1" t="n">
        <v>46086</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17722-2025</t>
        </is>
      </c>
      <c r="B542" s="1" t="n">
        <v>45758</v>
      </c>
      <c r="C542" s="1" t="n">
        <v>46086</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60545-2024</t>
        </is>
      </c>
      <c r="B543" s="1" t="n">
        <v>45643</v>
      </c>
      <c r="C543" s="1" t="n">
        <v>46086</v>
      </c>
      <c r="D543" t="inlineStr">
        <is>
          <t>VÄSTMANLANDS LÄN</t>
        </is>
      </c>
      <c r="E543" t="inlineStr">
        <is>
          <t>SALA</t>
        </is>
      </c>
      <c r="G543" t="n">
        <v>3.3</v>
      </c>
      <c r="H543" t="n">
        <v>0</v>
      </c>
      <c r="I543" t="n">
        <v>0</v>
      </c>
      <c r="J543" t="n">
        <v>0</v>
      </c>
      <c r="K543" t="n">
        <v>0</v>
      </c>
      <c r="L543" t="n">
        <v>0</v>
      </c>
      <c r="M543" t="n">
        <v>0</v>
      </c>
      <c r="N543" t="n">
        <v>0</v>
      </c>
      <c r="O543" t="n">
        <v>0</v>
      </c>
      <c r="P543" t="n">
        <v>0</v>
      </c>
      <c r="Q543" t="n">
        <v>0</v>
      </c>
      <c r="R543" s="2" t="inlineStr"/>
    </row>
    <row r="544" ht="15" customHeight="1">
      <c r="A544" t="inlineStr">
        <is>
          <t>A 60547-2024</t>
        </is>
      </c>
      <c r="B544" s="1" t="n">
        <v>45643</v>
      </c>
      <c r="C544" s="1" t="n">
        <v>46086</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7498-2026</t>
        </is>
      </c>
      <c r="B545" s="1" t="n">
        <v>46059.55550925926</v>
      </c>
      <c r="C545" s="1" t="n">
        <v>46086</v>
      </c>
      <c r="D545" t="inlineStr">
        <is>
          <t>VÄSTMANLANDS LÄN</t>
        </is>
      </c>
      <c r="E545" t="inlineStr">
        <is>
          <t>SALA</t>
        </is>
      </c>
      <c r="G545" t="n">
        <v>1.9</v>
      </c>
      <c r="H545" t="n">
        <v>0</v>
      </c>
      <c r="I545" t="n">
        <v>0</v>
      </c>
      <c r="J545" t="n">
        <v>0</v>
      </c>
      <c r="K545" t="n">
        <v>0</v>
      </c>
      <c r="L545" t="n">
        <v>0</v>
      </c>
      <c r="M545" t="n">
        <v>0</v>
      </c>
      <c r="N545" t="n">
        <v>0</v>
      </c>
      <c r="O545" t="n">
        <v>0</v>
      </c>
      <c r="P545" t="n">
        <v>0</v>
      </c>
      <c r="Q545" t="n">
        <v>0</v>
      </c>
      <c r="R545" s="2" t="inlineStr"/>
    </row>
    <row r="546" ht="15" customHeight="1">
      <c r="A546" t="inlineStr">
        <is>
          <t>A 63749-2025</t>
        </is>
      </c>
      <c r="B546" s="1" t="n">
        <v>46017.75243055556</v>
      </c>
      <c r="C546" s="1" t="n">
        <v>46086</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7329-2026</t>
        </is>
      </c>
      <c r="B547" s="1" t="n">
        <v>46058.68678240741</v>
      </c>
      <c r="C547" s="1" t="n">
        <v>46086</v>
      </c>
      <c r="D547" t="inlineStr">
        <is>
          <t>VÄSTMANLANDS LÄN</t>
        </is>
      </c>
      <c r="E547" t="inlineStr">
        <is>
          <t>SALA</t>
        </is>
      </c>
      <c r="G547" t="n">
        <v>3.1</v>
      </c>
      <c r="H547" t="n">
        <v>0</v>
      </c>
      <c r="I547" t="n">
        <v>0</v>
      </c>
      <c r="J547" t="n">
        <v>0</v>
      </c>
      <c r="K547" t="n">
        <v>0</v>
      </c>
      <c r="L547" t="n">
        <v>0</v>
      </c>
      <c r="M547" t="n">
        <v>0</v>
      </c>
      <c r="N547" t="n">
        <v>0</v>
      </c>
      <c r="O547" t="n">
        <v>0</v>
      </c>
      <c r="P547" t="n">
        <v>0</v>
      </c>
      <c r="Q547" t="n">
        <v>0</v>
      </c>
      <c r="R547" s="2" t="inlineStr"/>
    </row>
    <row r="548" ht="15" customHeight="1">
      <c r="A548" t="inlineStr">
        <is>
          <t>A 7324-2026</t>
        </is>
      </c>
      <c r="B548" s="1" t="n">
        <v>46058.68023148148</v>
      </c>
      <c r="C548" s="1" t="n">
        <v>46086</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1985-2022</t>
        </is>
      </c>
      <c r="B549" s="1" t="n">
        <v>44575</v>
      </c>
      <c r="C549" s="1" t="n">
        <v>46086</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27261-2024</t>
        </is>
      </c>
      <c r="B550" s="1" t="n">
        <v>45471</v>
      </c>
      <c r="C550" s="1" t="n">
        <v>46086</v>
      </c>
      <c r="D550" t="inlineStr">
        <is>
          <t>VÄSTMANLANDS LÄN</t>
        </is>
      </c>
      <c r="E550" t="inlineStr">
        <is>
          <t>SALA</t>
        </is>
      </c>
      <c r="G550" t="n">
        <v>6.1</v>
      </c>
      <c r="H550" t="n">
        <v>0</v>
      </c>
      <c r="I550" t="n">
        <v>0</v>
      </c>
      <c r="J550" t="n">
        <v>0</v>
      </c>
      <c r="K550" t="n">
        <v>0</v>
      </c>
      <c r="L550" t="n">
        <v>0</v>
      </c>
      <c r="M550" t="n">
        <v>0</v>
      </c>
      <c r="N550" t="n">
        <v>0</v>
      </c>
      <c r="O550" t="n">
        <v>0</v>
      </c>
      <c r="P550" t="n">
        <v>0</v>
      </c>
      <c r="Q550" t="n">
        <v>0</v>
      </c>
      <c r="R550" s="2" t="inlineStr"/>
    </row>
    <row r="551" ht="15" customHeight="1">
      <c r="A551" t="inlineStr">
        <is>
          <t>A 63748-2025</t>
        </is>
      </c>
      <c r="B551" s="1" t="n">
        <v>46017.71640046296</v>
      </c>
      <c r="C551" s="1" t="n">
        <v>46086</v>
      </c>
      <c r="D551" t="inlineStr">
        <is>
          <t>VÄSTMANLANDS LÄN</t>
        </is>
      </c>
      <c r="E551" t="inlineStr">
        <is>
          <t>SALA</t>
        </is>
      </c>
      <c r="G551" t="n">
        <v>1.6</v>
      </c>
      <c r="H551" t="n">
        <v>0</v>
      </c>
      <c r="I551" t="n">
        <v>0</v>
      </c>
      <c r="J551" t="n">
        <v>0</v>
      </c>
      <c r="K551" t="n">
        <v>0</v>
      </c>
      <c r="L551" t="n">
        <v>0</v>
      </c>
      <c r="M551" t="n">
        <v>0</v>
      </c>
      <c r="N551" t="n">
        <v>0</v>
      </c>
      <c r="O551" t="n">
        <v>0</v>
      </c>
      <c r="P551" t="n">
        <v>0</v>
      </c>
      <c r="Q551" t="n">
        <v>0</v>
      </c>
      <c r="R551" s="2" t="inlineStr"/>
    </row>
    <row r="552" ht="15" customHeight="1">
      <c r="A552" t="inlineStr">
        <is>
          <t>A 7327-2026</t>
        </is>
      </c>
      <c r="B552" s="1" t="n">
        <v>46058.68371527778</v>
      </c>
      <c r="C552" s="1" t="n">
        <v>46086</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7332-2026</t>
        </is>
      </c>
      <c r="B553" s="1" t="n">
        <v>46058.68884259259</v>
      </c>
      <c r="C553" s="1" t="n">
        <v>46086</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7654-2026</t>
        </is>
      </c>
      <c r="B554" s="1" t="n">
        <v>46062.38828703704</v>
      </c>
      <c r="C554" s="1" t="n">
        <v>46086</v>
      </c>
      <c r="D554" t="inlineStr">
        <is>
          <t>VÄSTMANLANDS LÄN</t>
        </is>
      </c>
      <c r="E554" t="inlineStr">
        <is>
          <t>SALA</t>
        </is>
      </c>
      <c r="G554" t="n">
        <v>4.5</v>
      </c>
      <c r="H554" t="n">
        <v>0</v>
      </c>
      <c r="I554" t="n">
        <v>0</v>
      </c>
      <c r="J554" t="n">
        <v>0</v>
      </c>
      <c r="K554" t="n">
        <v>0</v>
      </c>
      <c r="L554" t="n">
        <v>0</v>
      </c>
      <c r="M554" t="n">
        <v>0</v>
      </c>
      <c r="N554" t="n">
        <v>0</v>
      </c>
      <c r="O554" t="n">
        <v>0</v>
      </c>
      <c r="P554" t="n">
        <v>0</v>
      </c>
      <c r="Q554" t="n">
        <v>0</v>
      </c>
      <c r="R554" s="2" t="inlineStr"/>
    </row>
    <row r="555" ht="15" customHeight="1">
      <c r="A555" t="inlineStr">
        <is>
          <t>A 35976-2024</t>
        </is>
      </c>
      <c r="B555" s="1" t="n">
        <v>45533.49555555556</v>
      </c>
      <c r="C555" s="1" t="n">
        <v>46086</v>
      </c>
      <c r="D555" t="inlineStr">
        <is>
          <t>VÄSTMANLANDS LÄN</t>
        </is>
      </c>
      <c r="E555" t="inlineStr">
        <is>
          <t>SALA</t>
        </is>
      </c>
      <c r="G555" t="n">
        <v>2.3</v>
      </c>
      <c r="H555" t="n">
        <v>0</v>
      </c>
      <c r="I555" t="n">
        <v>0</v>
      </c>
      <c r="J555" t="n">
        <v>0</v>
      </c>
      <c r="K555" t="n">
        <v>0</v>
      </c>
      <c r="L555" t="n">
        <v>0</v>
      </c>
      <c r="M555" t="n">
        <v>0</v>
      </c>
      <c r="N555" t="n">
        <v>0</v>
      </c>
      <c r="O555" t="n">
        <v>0</v>
      </c>
      <c r="P555" t="n">
        <v>0</v>
      </c>
      <c r="Q555" t="n">
        <v>0</v>
      </c>
      <c r="R555" s="2" t="inlineStr"/>
    </row>
    <row r="556" ht="15" customHeight="1">
      <c r="A556" t="inlineStr">
        <is>
          <t>A 55556-2023</t>
        </is>
      </c>
      <c r="B556" s="1" t="n">
        <v>45232</v>
      </c>
      <c r="C556" s="1" t="n">
        <v>46086</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57650-2024</t>
        </is>
      </c>
      <c r="B557" s="1" t="n">
        <v>45630</v>
      </c>
      <c r="C557" s="1" t="n">
        <v>46086</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50479-2022</t>
        </is>
      </c>
      <c r="B558" s="1" t="n">
        <v>44861</v>
      </c>
      <c r="C558" s="1" t="n">
        <v>46086</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7680-2026</t>
        </is>
      </c>
      <c r="B559" s="1" t="n">
        <v>46062.43087962963</v>
      </c>
      <c r="C559" s="1" t="n">
        <v>46086</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45790-2023</t>
        </is>
      </c>
      <c r="B560" s="1" t="n">
        <v>45195.45958333334</v>
      </c>
      <c r="C560" s="1" t="n">
        <v>46086</v>
      </c>
      <c r="D560" t="inlineStr">
        <is>
          <t>VÄSTMANLANDS LÄN</t>
        </is>
      </c>
      <c r="E560" t="inlineStr">
        <is>
          <t>SALA</t>
        </is>
      </c>
      <c r="G560" t="n">
        <v>5.7</v>
      </c>
      <c r="H560" t="n">
        <v>0</v>
      </c>
      <c r="I560" t="n">
        <v>0</v>
      </c>
      <c r="J560" t="n">
        <v>0</v>
      </c>
      <c r="K560" t="n">
        <v>0</v>
      </c>
      <c r="L560" t="n">
        <v>0</v>
      </c>
      <c r="M560" t="n">
        <v>0</v>
      </c>
      <c r="N560" t="n">
        <v>0</v>
      </c>
      <c r="O560" t="n">
        <v>0</v>
      </c>
      <c r="P560" t="n">
        <v>0</v>
      </c>
      <c r="Q560" t="n">
        <v>0</v>
      </c>
      <c r="R560" s="2" t="inlineStr"/>
    </row>
    <row r="561" ht="15" customHeight="1">
      <c r="A561" t="inlineStr">
        <is>
          <t>A 7595-2026</t>
        </is>
      </c>
      <c r="B561" s="1" t="n">
        <v>46061.90009259259</v>
      </c>
      <c r="C561" s="1" t="n">
        <v>46086</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4214-2026</t>
        </is>
      </c>
      <c r="B562" s="1" t="n">
        <v>46044.76459490741</v>
      </c>
      <c r="C562" s="1" t="n">
        <v>46086</v>
      </c>
      <c r="D562" t="inlineStr">
        <is>
          <t>VÄSTMANLANDS LÄN</t>
        </is>
      </c>
      <c r="E562" t="inlineStr">
        <is>
          <t>SALA</t>
        </is>
      </c>
      <c r="G562" t="n">
        <v>1.7</v>
      </c>
      <c r="H562" t="n">
        <v>0</v>
      </c>
      <c r="I562" t="n">
        <v>0</v>
      </c>
      <c r="J562" t="n">
        <v>0</v>
      </c>
      <c r="K562" t="n">
        <v>0</v>
      </c>
      <c r="L562" t="n">
        <v>0</v>
      </c>
      <c r="M562" t="n">
        <v>0</v>
      </c>
      <c r="N562" t="n">
        <v>0</v>
      </c>
      <c r="O562" t="n">
        <v>0</v>
      </c>
      <c r="P562" t="n">
        <v>0</v>
      </c>
      <c r="Q562" t="n">
        <v>0</v>
      </c>
      <c r="R562" s="2" t="inlineStr"/>
    </row>
    <row r="563" ht="15" customHeight="1">
      <c r="A563" t="inlineStr">
        <is>
          <t>A 7588-2026</t>
        </is>
      </c>
      <c r="B563" s="1" t="n">
        <v>46061.83528935185</v>
      </c>
      <c r="C563" s="1" t="n">
        <v>46086</v>
      </c>
      <c r="D563" t="inlineStr">
        <is>
          <t>VÄSTMANLANDS LÄN</t>
        </is>
      </c>
      <c r="E563" t="inlineStr">
        <is>
          <t>SALA</t>
        </is>
      </c>
      <c r="G563" t="n">
        <v>2.8</v>
      </c>
      <c r="H563" t="n">
        <v>0</v>
      </c>
      <c r="I563" t="n">
        <v>0</v>
      </c>
      <c r="J563" t="n">
        <v>0</v>
      </c>
      <c r="K563" t="n">
        <v>0</v>
      </c>
      <c r="L563" t="n">
        <v>0</v>
      </c>
      <c r="M563" t="n">
        <v>0</v>
      </c>
      <c r="N563" t="n">
        <v>0</v>
      </c>
      <c r="O563" t="n">
        <v>0</v>
      </c>
      <c r="P563" t="n">
        <v>0</v>
      </c>
      <c r="Q563" t="n">
        <v>0</v>
      </c>
      <c r="R563" s="2" t="inlineStr"/>
    </row>
    <row r="564" ht="15" customHeight="1">
      <c r="A564" t="inlineStr">
        <is>
          <t>A 7593-2026</t>
        </is>
      </c>
      <c r="B564" s="1" t="n">
        <v>46061.88057870371</v>
      </c>
      <c r="C564" s="1" t="n">
        <v>46086</v>
      </c>
      <c r="D564" t="inlineStr">
        <is>
          <t>VÄSTMANLANDS LÄN</t>
        </is>
      </c>
      <c r="E564" t="inlineStr">
        <is>
          <t>SALA</t>
        </is>
      </c>
      <c r="G564" t="n">
        <v>7.5</v>
      </c>
      <c r="H564" t="n">
        <v>0</v>
      </c>
      <c r="I564" t="n">
        <v>0</v>
      </c>
      <c r="J564" t="n">
        <v>0</v>
      </c>
      <c r="K564" t="n">
        <v>0</v>
      </c>
      <c r="L564" t="n">
        <v>0</v>
      </c>
      <c r="M564" t="n">
        <v>0</v>
      </c>
      <c r="N564" t="n">
        <v>0</v>
      </c>
      <c r="O564" t="n">
        <v>0</v>
      </c>
      <c r="P564" t="n">
        <v>0</v>
      </c>
      <c r="Q564" t="n">
        <v>0</v>
      </c>
      <c r="R564" s="2" t="inlineStr"/>
    </row>
    <row r="565" ht="15" customHeight="1">
      <c r="A565" t="inlineStr">
        <is>
          <t>A 7597-2026</t>
        </is>
      </c>
      <c r="B565" s="1" t="n">
        <v>46061.91765046296</v>
      </c>
      <c r="C565" s="1" t="n">
        <v>46086</v>
      </c>
      <c r="D565" t="inlineStr">
        <is>
          <t>VÄSTMANLANDS LÄN</t>
        </is>
      </c>
      <c r="E565" t="inlineStr">
        <is>
          <t>SALA</t>
        </is>
      </c>
      <c r="G565" t="n">
        <v>0.6</v>
      </c>
      <c r="H565" t="n">
        <v>0</v>
      </c>
      <c r="I565" t="n">
        <v>0</v>
      </c>
      <c r="J565" t="n">
        <v>0</v>
      </c>
      <c r="K565" t="n">
        <v>0</v>
      </c>
      <c r="L565" t="n">
        <v>0</v>
      </c>
      <c r="M565" t="n">
        <v>0</v>
      </c>
      <c r="N565" t="n">
        <v>0</v>
      </c>
      <c r="O565" t="n">
        <v>0</v>
      </c>
      <c r="P565" t="n">
        <v>0</v>
      </c>
      <c r="Q565" t="n">
        <v>0</v>
      </c>
      <c r="R565" s="2" t="inlineStr"/>
    </row>
    <row r="566" ht="15" customHeight="1">
      <c r="A566" t="inlineStr">
        <is>
          <t>A 7850-2026</t>
        </is>
      </c>
      <c r="B566" s="1" t="n">
        <v>46062.66236111111</v>
      </c>
      <c r="C566" s="1" t="n">
        <v>46086</v>
      </c>
      <c r="D566" t="inlineStr">
        <is>
          <t>VÄSTMANLANDS LÄN</t>
        </is>
      </c>
      <c r="E566" t="inlineStr">
        <is>
          <t>SALA</t>
        </is>
      </c>
      <c r="G566" t="n">
        <v>2.3</v>
      </c>
      <c r="H566" t="n">
        <v>0</v>
      </c>
      <c r="I566" t="n">
        <v>0</v>
      </c>
      <c r="J566" t="n">
        <v>0</v>
      </c>
      <c r="K566" t="n">
        <v>0</v>
      </c>
      <c r="L566" t="n">
        <v>0</v>
      </c>
      <c r="M566" t="n">
        <v>0</v>
      </c>
      <c r="N566" t="n">
        <v>0</v>
      </c>
      <c r="O566" t="n">
        <v>0</v>
      </c>
      <c r="P566" t="n">
        <v>0</v>
      </c>
      <c r="Q566" t="n">
        <v>0</v>
      </c>
      <c r="R566" s="2" t="inlineStr"/>
    </row>
    <row r="567" ht="15" customHeight="1">
      <c r="A567" t="inlineStr">
        <is>
          <t>A 7611-2026</t>
        </is>
      </c>
      <c r="B567" s="1" t="n">
        <v>46062.32387731481</v>
      </c>
      <c r="C567" s="1" t="n">
        <v>46086</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7676-2026</t>
        </is>
      </c>
      <c r="B568" s="1" t="n">
        <v>46062.42498842593</v>
      </c>
      <c r="C568" s="1" t="n">
        <v>46086</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7661-2026</t>
        </is>
      </c>
      <c r="B569" s="1" t="n">
        <v>46062.39614583334</v>
      </c>
      <c r="C569" s="1" t="n">
        <v>46086</v>
      </c>
      <c r="D569" t="inlineStr">
        <is>
          <t>VÄSTMANLANDS LÄN</t>
        </is>
      </c>
      <c r="E569" t="inlineStr">
        <is>
          <t>SALA</t>
        </is>
      </c>
      <c r="G569" t="n">
        <v>1.3</v>
      </c>
      <c r="H569" t="n">
        <v>0</v>
      </c>
      <c r="I569" t="n">
        <v>0</v>
      </c>
      <c r="J569" t="n">
        <v>0</v>
      </c>
      <c r="K569" t="n">
        <v>0</v>
      </c>
      <c r="L569" t="n">
        <v>0</v>
      </c>
      <c r="M569" t="n">
        <v>0</v>
      </c>
      <c r="N569" t="n">
        <v>0</v>
      </c>
      <c r="O569" t="n">
        <v>0</v>
      </c>
      <c r="P569" t="n">
        <v>0</v>
      </c>
      <c r="Q569" t="n">
        <v>0</v>
      </c>
      <c r="R569" s="2" t="inlineStr"/>
    </row>
    <row r="570" ht="15" customHeight="1">
      <c r="A570" t="inlineStr">
        <is>
          <t>A 7584-2026</t>
        </is>
      </c>
      <c r="B570" s="1" t="n">
        <v>46061.81653935185</v>
      </c>
      <c r="C570" s="1" t="n">
        <v>46086</v>
      </c>
      <c r="D570" t="inlineStr">
        <is>
          <t>VÄSTMANLANDS LÄN</t>
        </is>
      </c>
      <c r="E570" t="inlineStr">
        <is>
          <t>SALA</t>
        </is>
      </c>
      <c r="G570" t="n">
        <v>16.7</v>
      </c>
      <c r="H570" t="n">
        <v>0</v>
      </c>
      <c r="I570" t="n">
        <v>0</v>
      </c>
      <c r="J570" t="n">
        <v>0</v>
      </c>
      <c r="K570" t="n">
        <v>0</v>
      </c>
      <c r="L570" t="n">
        <v>0</v>
      </c>
      <c r="M570" t="n">
        <v>0</v>
      </c>
      <c r="N570" t="n">
        <v>0</v>
      </c>
      <c r="O570" t="n">
        <v>0</v>
      </c>
      <c r="P570" t="n">
        <v>0</v>
      </c>
      <c r="Q570" t="n">
        <v>0</v>
      </c>
      <c r="R570" s="2" t="inlineStr"/>
    </row>
    <row r="571" ht="15" customHeight="1">
      <c r="A571" t="inlineStr">
        <is>
          <t>A 2928-2024</t>
        </is>
      </c>
      <c r="B571" s="1" t="n">
        <v>45315.59041666667</v>
      </c>
      <c r="C571" s="1" t="n">
        <v>46086</v>
      </c>
      <c r="D571" t="inlineStr">
        <is>
          <t>VÄSTMANLANDS LÄN</t>
        </is>
      </c>
      <c r="E571" t="inlineStr">
        <is>
          <t>SALA</t>
        </is>
      </c>
      <c r="G571" t="n">
        <v>1.4</v>
      </c>
      <c r="H571" t="n">
        <v>0</v>
      </c>
      <c r="I571" t="n">
        <v>0</v>
      </c>
      <c r="J571" t="n">
        <v>0</v>
      </c>
      <c r="K571" t="n">
        <v>0</v>
      </c>
      <c r="L571" t="n">
        <v>0</v>
      </c>
      <c r="M571" t="n">
        <v>0</v>
      </c>
      <c r="N571" t="n">
        <v>0</v>
      </c>
      <c r="O571" t="n">
        <v>0</v>
      </c>
      <c r="P571" t="n">
        <v>0</v>
      </c>
      <c r="Q571" t="n">
        <v>0</v>
      </c>
      <c r="R571" s="2" t="inlineStr"/>
    </row>
    <row r="572" ht="15" customHeight="1">
      <c r="A572" t="inlineStr">
        <is>
          <t>A 7590-2026</t>
        </is>
      </c>
      <c r="B572" s="1" t="n">
        <v>46061.85252314815</v>
      </c>
      <c r="C572" s="1" t="n">
        <v>46086</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7596-2026</t>
        </is>
      </c>
      <c r="B573" s="1" t="n">
        <v>46061.90922453703</v>
      </c>
      <c r="C573" s="1" t="n">
        <v>46086</v>
      </c>
      <c r="D573" t="inlineStr">
        <is>
          <t>VÄSTMANLANDS LÄN</t>
        </is>
      </c>
      <c r="E573" t="inlineStr">
        <is>
          <t>SALA</t>
        </is>
      </c>
      <c r="G573" t="n">
        <v>3.1</v>
      </c>
      <c r="H573" t="n">
        <v>0</v>
      </c>
      <c r="I573" t="n">
        <v>0</v>
      </c>
      <c r="J573" t="n">
        <v>0</v>
      </c>
      <c r="K573" t="n">
        <v>0</v>
      </c>
      <c r="L573" t="n">
        <v>0</v>
      </c>
      <c r="M573" t="n">
        <v>0</v>
      </c>
      <c r="N573" t="n">
        <v>0</v>
      </c>
      <c r="O573" t="n">
        <v>0</v>
      </c>
      <c r="P573" t="n">
        <v>0</v>
      </c>
      <c r="Q573" t="n">
        <v>0</v>
      </c>
      <c r="R573" s="2" t="inlineStr"/>
    </row>
    <row r="574" ht="15" customHeight="1">
      <c r="A574" t="inlineStr">
        <is>
          <t>A 73673-2021</t>
        </is>
      </c>
      <c r="B574" s="1" t="n">
        <v>44552.46501157407</v>
      </c>
      <c r="C574" s="1" t="n">
        <v>46086</v>
      </c>
      <c r="D574" t="inlineStr">
        <is>
          <t>VÄSTMANLANDS LÄN</t>
        </is>
      </c>
      <c r="E574" t="inlineStr">
        <is>
          <t>SALA</t>
        </is>
      </c>
      <c r="G574" t="n">
        <v>11.4</v>
      </c>
      <c r="H574" t="n">
        <v>0</v>
      </c>
      <c r="I574" t="n">
        <v>0</v>
      </c>
      <c r="J574" t="n">
        <v>0</v>
      </c>
      <c r="K574" t="n">
        <v>0</v>
      </c>
      <c r="L574" t="n">
        <v>0</v>
      </c>
      <c r="M574" t="n">
        <v>0</v>
      </c>
      <c r="N574" t="n">
        <v>0</v>
      </c>
      <c r="O574" t="n">
        <v>0</v>
      </c>
      <c r="P574" t="n">
        <v>0</v>
      </c>
      <c r="Q574" t="n">
        <v>0</v>
      </c>
      <c r="R574" s="2" t="inlineStr"/>
    </row>
    <row r="575" ht="15" customHeight="1">
      <c r="A575" t="inlineStr">
        <is>
          <t>A 40871-2021</t>
        </is>
      </c>
      <c r="B575" s="1" t="n">
        <v>44421</v>
      </c>
      <c r="C575" s="1" t="n">
        <v>46086</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4683-2026</t>
        </is>
      </c>
      <c r="B576" s="1" t="n">
        <v>46048.43489583334</v>
      </c>
      <c r="C576" s="1" t="n">
        <v>46086</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14271-2025</t>
        </is>
      </c>
      <c r="B577" s="1" t="n">
        <v>45740.64129629629</v>
      </c>
      <c r="C577" s="1" t="n">
        <v>46086</v>
      </c>
      <c r="D577" t="inlineStr">
        <is>
          <t>VÄSTMANLANDS LÄN</t>
        </is>
      </c>
      <c r="E577" t="inlineStr">
        <is>
          <t>SALA</t>
        </is>
      </c>
      <c r="G577" t="n">
        <v>0.8</v>
      </c>
      <c r="H577" t="n">
        <v>0</v>
      </c>
      <c r="I577" t="n">
        <v>0</v>
      </c>
      <c r="J577" t="n">
        <v>0</v>
      </c>
      <c r="K577" t="n">
        <v>0</v>
      </c>
      <c r="L577" t="n">
        <v>0</v>
      </c>
      <c r="M577" t="n">
        <v>0</v>
      </c>
      <c r="N577" t="n">
        <v>0</v>
      </c>
      <c r="O577" t="n">
        <v>0</v>
      </c>
      <c r="P577" t="n">
        <v>0</v>
      </c>
      <c r="Q577" t="n">
        <v>0</v>
      </c>
      <c r="R577" s="2" t="inlineStr"/>
    </row>
    <row r="578" ht="15" customHeight="1">
      <c r="A578" t="inlineStr">
        <is>
          <t>A 54199-2024</t>
        </is>
      </c>
      <c r="B578" s="1" t="n">
        <v>45616.64703703704</v>
      </c>
      <c r="C578" s="1" t="n">
        <v>46086</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6312-2025</t>
        </is>
      </c>
      <c r="B579" s="1" t="n">
        <v>45698</v>
      </c>
      <c r="C579" s="1" t="n">
        <v>46086</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44857-2023</t>
        </is>
      </c>
      <c r="B580" s="1" t="n">
        <v>45190.58479166667</v>
      </c>
      <c r="C580" s="1" t="n">
        <v>46086</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62654-2022</t>
        </is>
      </c>
      <c r="B581" s="1" t="n">
        <v>44917</v>
      </c>
      <c r="C581" s="1" t="n">
        <v>46086</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43188-2023</t>
        </is>
      </c>
      <c r="B582" s="1" t="n">
        <v>45183</v>
      </c>
      <c r="C582" s="1" t="n">
        <v>46086</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43205-2023</t>
        </is>
      </c>
      <c r="B583" s="1" t="n">
        <v>45183</v>
      </c>
      <c r="C583" s="1" t="n">
        <v>46086</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61892-2021</t>
        </is>
      </c>
      <c r="B584" s="1" t="n">
        <v>44502</v>
      </c>
      <c r="C584" s="1" t="n">
        <v>46086</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29213-2022</t>
        </is>
      </c>
      <c r="B585" s="1" t="n">
        <v>44750.57474537037</v>
      </c>
      <c r="C585" s="1" t="n">
        <v>46086</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59483-2022</t>
        </is>
      </c>
      <c r="B586" s="1" t="n">
        <v>44907.45679398148</v>
      </c>
      <c r="C586" s="1" t="n">
        <v>46086</v>
      </c>
      <c r="D586" t="inlineStr">
        <is>
          <t>VÄSTMANLANDS LÄN</t>
        </is>
      </c>
      <c r="E586" t="inlineStr">
        <is>
          <t>SALA</t>
        </is>
      </c>
      <c r="G586" t="n">
        <v>5.2</v>
      </c>
      <c r="H586" t="n">
        <v>0</v>
      </c>
      <c r="I586" t="n">
        <v>0</v>
      </c>
      <c r="J586" t="n">
        <v>0</v>
      </c>
      <c r="K586" t="n">
        <v>0</v>
      </c>
      <c r="L586" t="n">
        <v>0</v>
      </c>
      <c r="M586" t="n">
        <v>0</v>
      </c>
      <c r="N586" t="n">
        <v>0</v>
      </c>
      <c r="O586" t="n">
        <v>0</v>
      </c>
      <c r="P586" t="n">
        <v>0</v>
      </c>
      <c r="Q586" t="n">
        <v>0</v>
      </c>
      <c r="R586" s="2" t="inlineStr"/>
    </row>
    <row r="587" ht="15" customHeight="1">
      <c r="A587" t="inlineStr">
        <is>
          <t>A 16160-2024</t>
        </is>
      </c>
      <c r="B587" s="1" t="n">
        <v>45406</v>
      </c>
      <c r="C587" s="1" t="n">
        <v>46086</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39597-2022</t>
        </is>
      </c>
      <c r="B588" s="1" t="n">
        <v>44818</v>
      </c>
      <c r="C588" s="1" t="n">
        <v>46086</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22921-2023</t>
        </is>
      </c>
      <c r="B589" s="1" t="n">
        <v>45070</v>
      </c>
      <c r="C589" s="1" t="n">
        <v>46086</v>
      </c>
      <c r="D589" t="inlineStr">
        <is>
          <t>VÄSTMANLANDS LÄN</t>
        </is>
      </c>
      <c r="E589" t="inlineStr">
        <is>
          <t>SALA</t>
        </is>
      </c>
      <c r="G589" t="n">
        <v>1.3</v>
      </c>
      <c r="H589" t="n">
        <v>0</v>
      </c>
      <c r="I589" t="n">
        <v>0</v>
      </c>
      <c r="J589" t="n">
        <v>0</v>
      </c>
      <c r="K589" t="n">
        <v>0</v>
      </c>
      <c r="L589" t="n">
        <v>0</v>
      </c>
      <c r="M589" t="n">
        <v>0</v>
      </c>
      <c r="N589" t="n">
        <v>0</v>
      </c>
      <c r="O589" t="n">
        <v>0</v>
      </c>
      <c r="P589" t="n">
        <v>0</v>
      </c>
      <c r="Q589" t="n">
        <v>0</v>
      </c>
      <c r="R589" s="2" t="inlineStr"/>
    </row>
    <row r="590" ht="15" customHeight="1">
      <c r="A590" t="inlineStr">
        <is>
          <t>A 5219-2026</t>
        </is>
      </c>
      <c r="B590" s="1" t="n">
        <v>46049.76225694444</v>
      </c>
      <c r="C590" s="1" t="n">
        <v>46086</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910-2026</t>
        </is>
      </c>
      <c r="B591" s="1" t="n">
        <v>46030.4771412037</v>
      </c>
      <c r="C591" s="1" t="n">
        <v>46086</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914-2026</t>
        </is>
      </c>
      <c r="B592" s="1" t="n">
        <v>46030.47952546296</v>
      </c>
      <c r="C592" s="1" t="n">
        <v>46086</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948-2026</t>
        </is>
      </c>
      <c r="B593" s="1" t="n">
        <v>46030.53986111111</v>
      </c>
      <c r="C593" s="1" t="n">
        <v>46086</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36858-2023</t>
        </is>
      </c>
      <c r="B594" s="1" t="n">
        <v>45154.55184027777</v>
      </c>
      <c r="C594" s="1" t="n">
        <v>46086</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55024-2023</t>
        </is>
      </c>
      <c r="B595" s="1" t="n">
        <v>45229</v>
      </c>
      <c r="C595" s="1" t="n">
        <v>46086</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55032-2023</t>
        </is>
      </c>
      <c r="B596" s="1" t="n">
        <v>45229</v>
      </c>
      <c r="C596" s="1" t="n">
        <v>46086</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20352-2022</t>
        </is>
      </c>
      <c r="B597" s="1" t="n">
        <v>44699.37318287037</v>
      </c>
      <c r="C597" s="1" t="n">
        <v>46086</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5032-2025</t>
        </is>
      </c>
      <c r="B598" s="1" t="n">
        <v>45691</v>
      </c>
      <c r="C598" s="1" t="n">
        <v>46086</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17117-2023</t>
        </is>
      </c>
      <c r="B599" s="1" t="n">
        <v>45034</v>
      </c>
      <c r="C599" s="1" t="n">
        <v>46086</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19243-2025</t>
        </is>
      </c>
      <c r="B600" s="1" t="n">
        <v>45769</v>
      </c>
      <c r="C600" s="1" t="n">
        <v>46086</v>
      </c>
      <c r="D600" t="inlineStr">
        <is>
          <t>VÄSTMANLANDS LÄN</t>
        </is>
      </c>
      <c r="E600" t="inlineStr">
        <is>
          <t>SALA</t>
        </is>
      </c>
      <c r="F600" t="inlineStr">
        <is>
          <t>Bergvik skog öst AB</t>
        </is>
      </c>
      <c r="G600" t="n">
        <v>1.5</v>
      </c>
      <c r="H600" t="n">
        <v>0</v>
      </c>
      <c r="I600" t="n">
        <v>0</v>
      </c>
      <c r="J600" t="n">
        <v>0</v>
      </c>
      <c r="K600" t="n">
        <v>0</v>
      </c>
      <c r="L600" t="n">
        <v>0</v>
      </c>
      <c r="M600" t="n">
        <v>0</v>
      </c>
      <c r="N600" t="n">
        <v>0</v>
      </c>
      <c r="O600" t="n">
        <v>0</v>
      </c>
      <c r="P600" t="n">
        <v>0</v>
      </c>
      <c r="Q600" t="n">
        <v>0</v>
      </c>
      <c r="R600" s="2" t="inlineStr"/>
    </row>
    <row r="601" ht="15" customHeight="1">
      <c r="A601" t="inlineStr">
        <is>
          <t>A 10252-2026</t>
        </is>
      </c>
      <c r="B601" s="1" t="n">
        <v>46076.55700231482</v>
      </c>
      <c r="C601" s="1" t="n">
        <v>46086</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10239-2026</t>
        </is>
      </c>
      <c r="B602" s="1" t="n">
        <v>46076.54824074074</v>
      </c>
      <c r="C602" s="1" t="n">
        <v>46086</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7166-2025</t>
        </is>
      </c>
      <c r="B603" s="1" t="n">
        <v>45702</v>
      </c>
      <c r="C603" s="1" t="n">
        <v>46086</v>
      </c>
      <c r="D603" t="inlineStr">
        <is>
          <t>VÄSTMANLANDS LÄN</t>
        </is>
      </c>
      <c r="E603" t="inlineStr">
        <is>
          <t>SALA</t>
        </is>
      </c>
      <c r="G603" t="n">
        <v>6.1</v>
      </c>
      <c r="H603" t="n">
        <v>0</v>
      </c>
      <c r="I603" t="n">
        <v>0</v>
      </c>
      <c r="J603" t="n">
        <v>0</v>
      </c>
      <c r="K603" t="n">
        <v>0</v>
      </c>
      <c r="L603" t="n">
        <v>0</v>
      </c>
      <c r="M603" t="n">
        <v>0</v>
      </c>
      <c r="N603" t="n">
        <v>0</v>
      </c>
      <c r="O603" t="n">
        <v>0</v>
      </c>
      <c r="P603" t="n">
        <v>0</v>
      </c>
      <c r="Q603" t="n">
        <v>0</v>
      </c>
      <c r="R603" s="2" t="inlineStr"/>
    </row>
    <row r="604" ht="15" customHeight="1">
      <c r="A604" t="inlineStr">
        <is>
          <t>A 10245-2026</t>
        </is>
      </c>
      <c r="B604" s="1" t="n">
        <v>46076.55144675926</v>
      </c>
      <c r="C604" s="1" t="n">
        <v>46086</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36393-2023</t>
        </is>
      </c>
      <c r="B605" s="1" t="n">
        <v>45152</v>
      </c>
      <c r="C605" s="1" t="n">
        <v>46086</v>
      </c>
      <c r="D605" t="inlineStr">
        <is>
          <t>VÄSTMANLANDS LÄN</t>
        </is>
      </c>
      <c r="E605" t="inlineStr">
        <is>
          <t>SALA</t>
        </is>
      </c>
      <c r="G605" t="n">
        <v>0.9</v>
      </c>
      <c r="H605" t="n">
        <v>0</v>
      </c>
      <c r="I605" t="n">
        <v>0</v>
      </c>
      <c r="J605" t="n">
        <v>0</v>
      </c>
      <c r="K605" t="n">
        <v>0</v>
      </c>
      <c r="L605" t="n">
        <v>0</v>
      </c>
      <c r="M605" t="n">
        <v>0</v>
      </c>
      <c r="N605" t="n">
        <v>0</v>
      </c>
      <c r="O605" t="n">
        <v>0</v>
      </c>
      <c r="P605" t="n">
        <v>0</v>
      </c>
      <c r="Q605" t="n">
        <v>0</v>
      </c>
      <c r="R605" s="2" t="inlineStr"/>
    </row>
    <row r="606" ht="15" customHeight="1">
      <c r="A606" t="inlineStr">
        <is>
          <t>A 26416-2023</t>
        </is>
      </c>
      <c r="B606" s="1" t="n">
        <v>45092.38087962963</v>
      </c>
      <c r="C606" s="1" t="n">
        <v>46086</v>
      </c>
      <c r="D606" t="inlineStr">
        <is>
          <t>VÄSTMANLANDS LÄN</t>
        </is>
      </c>
      <c r="E606" t="inlineStr">
        <is>
          <t>SALA</t>
        </is>
      </c>
      <c r="G606" t="n">
        <v>2.9</v>
      </c>
      <c r="H606" t="n">
        <v>0</v>
      </c>
      <c r="I606" t="n">
        <v>0</v>
      </c>
      <c r="J606" t="n">
        <v>0</v>
      </c>
      <c r="K606" t="n">
        <v>0</v>
      </c>
      <c r="L606" t="n">
        <v>0</v>
      </c>
      <c r="M606" t="n">
        <v>0</v>
      </c>
      <c r="N606" t="n">
        <v>0</v>
      </c>
      <c r="O606" t="n">
        <v>0</v>
      </c>
      <c r="P606" t="n">
        <v>0</v>
      </c>
      <c r="Q606" t="n">
        <v>0</v>
      </c>
      <c r="R606" s="2" t="inlineStr"/>
    </row>
    <row r="607" ht="15" customHeight="1">
      <c r="A607" t="inlineStr">
        <is>
          <t>A 1705-2026</t>
        </is>
      </c>
      <c r="B607" s="1" t="n">
        <v>46034.59930555556</v>
      </c>
      <c r="C607" s="1" t="n">
        <v>46086</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28661-2024</t>
        </is>
      </c>
      <c r="B608" s="1" t="n">
        <v>45478</v>
      </c>
      <c r="C608" s="1" t="n">
        <v>46086</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27255-2023</t>
        </is>
      </c>
      <c r="B609" s="1" t="n">
        <v>45096</v>
      </c>
      <c r="C609" s="1" t="n">
        <v>46086</v>
      </c>
      <c r="D609" t="inlineStr">
        <is>
          <t>VÄSTMANLANDS LÄN</t>
        </is>
      </c>
      <c r="E609" t="inlineStr">
        <is>
          <t>SALA</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7197-2025</t>
        </is>
      </c>
      <c r="B610" s="1" t="n">
        <v>45702</v>
      </c>
      <c r="C610" s="1" t="n">
        <v>46086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13752-2025</t>
        </is>
      </c>
      <c r="B611" s="1" t="n">
        <v>45737.41416666667</v>
      </c>
      <c r="C611" s="1" t="n">
        <v>46086</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2927-2024</t>
        </is>
      </c>
      <c r="B612" s="1" t="n">
        <v>45315.58989583333</v>
      </c>
      <c r="C612" s="1" t="n">
        <v>46086</v>
      </c>
      <c r="D612" t="inlineStr">
        <is>
          <t>VÄSTMANLANDS LÄN</t>
        </is>
      </c>
      <c r="E612" t="inlineStr">
        <is>
          <t>SALA</t>
        </is>
      </c>
      <c r="G612" t="n">
        <v>2.5</v>
      </c>
      <c r="H612" t="n">
        <v>0</v>
      </c>
      <c r="I612" t="n">
        <v>0</v>
      </c>
      <c r="J612" t="n">
        <v>0</v>
      </c>
      <c r="K612" t="n">
        <v>0</v>
      </c>
      <c r="L612" t="n">
        <v>0</v>
      </c>
      <c r="M612" t="n">
        <v>0</v>
      </c>
      <c r="N612" t="n">
        <v>0</v>
      </c>
      <c r="O612" t="n">
        <v>0</v>
      </c>
      <c r="P612" t="n">
        <v>0</v>
      </c>
      <c r="Q612" t="n">
        <v>0</v>
      </c>
      <c r="R612" s="2" t="inlineStr"/>
    </row>
    <row r="613" ht="15" customHeight="1">
      <c r="A613" t="inlineStr">
        <is>
          <t>A 26854-2024</t>
        </is>
      </c>
      <c r="B613" s="1" t="n">
        <v>45470</v>
      </c>
      <c r="C613" s="1" t="n">
        <v>46086</v>
      </c>
      <c r="D613" t="inlineStr">
        <is>
          <t>VÄSTMANLANDS LÄN</t>
        </is>
      </c>
      <c r="E613" t="inlineStr">
        <is>
          <t>SALA</t>
        </is>
      </c>
      <c r="G613" t="n">
        <v>1.4</v>
      </c>
      <c r="H613" t="n">
        <v>0</v>
      </c>
      <c r="I613" t="n">
        <v>0</v>
      </c>
      <c r="J613" t="n">
        <v>0</v>
      </c>
      <c r="K613" t="n">
        <v>0</v>
      </c>
      <c r="L613" t="n">
        <v>0</v>
      </c>
      <c r="M613" t="n">
        <v>0</v>
      </c>
      <c r="N613" t="n">
        <v>0</v>
      </c>
      <c r="O613" t="n">
        <v>0</v>
      </c>
      <c r="P613" t="n">
        <v>0</v>
      </c>
      <c r="Q613" t="n">
        <v>0</v>
      </c>
      <c r="R613" s="2" t="inlineStr"/>
    </row>
    <row r="614" ht="15" customHeight="1">
      <c r="A614" t="inlineStr">
        <is>
          <t>A 48570-2024</t>
        </is>
      </c>
      <c r="B614" s="1" t="n">
        <v>45591</v>
      </c>
      <c r="C614" s="1" t="n">
        <v>46086</v>
      </c>
      <c r="D614" t="inlineStr">
        <is>
          <t>VÄSTMANLANDS LÄN</t>
        </is>
      </c>
      <c r="E614" t="inlineStr">
        <is>
          <t>SALA</t>
        </is>
      </c>
      <c r="G614" t="n">
        <v>3</v>
      </c>
      <c r="H614" t="n">
        <v>0</v>
      </c>
      <c r="I614" t="n">
        <v>0</v>
      </c>
      <c r="J614" t="n">
        <v>0</v>
      </c>
      <c r="K614" t="n">
        <v>0</v>
      </c>
      <c r="L614" t="n">
        <v>0</v>
      </c>
      <c r="M614" t="n">
        <v>0</v>
      </c>
      <c r="N614" t="n">
        <v>0</v>
      </c>
      <c r="O614" t="n">
        <v>0</v>
      </c>
      <c r="P614" t="n">
        <v>0</v>
      </c>
      <c r="Q614" t="n">
        <v>0</v>
      </c>
      <c r="R614" s="2" t="inlineStr"/>
    </row>
    <row r="615" ht="15" customHeight="1">
      <c r="A615" t="inlineStr">
        <is>
          <t>A 57883-2024</t>
        </is>
      </c>
      <c r="B615" s="1" t="n">
        <v>45630</v>
      </c>
      <c r="C615" s="1" t="n">
        <v>46086</v>
      </c>
      <c r="D615" t="inlineStr">
        <is>
          <t>VÄSTMANLANDS LÄN</t>
        </is>
      </c>
      <c r="E615" t="inlineStr">
        <is>
          <t>SALA</t>
        </is>
      </c>
      <c r="G615" t="n">
        <v>5.4</v>
      </c>
      <c r="H615" t="n">
        <v>0</v>
      </c>
      <c r="I615" t="n">
        <v>0</v>
      </c>
      <c r="J615" t="n">
        <v>0</v>
      </c>
      <c r="K615" t="n">
        <v>0</v>
      </c>
      <c r="L615" t="n">
        <v>0</v>
      </c>
      <c r="M615" t="n">
        <v>0</v>
      </c>
      <c r="N615" t="n">
        <v>0</v>
      </c>
      <c r="O615" t="n">
        <v>0</v>
      </c>
      <c r="P615" t="n">
        <v>0</v>
      </c>
      <c r="Q615" t="n">
        <v>0</v>
      </c>
      <c r="R615" s="2" t="inlineStr"/>
    </row>
    <row r="616" ht="15" customHeight="1">
      <c r="A616" t="inlineStr">
        <is>
          <t>A 16769-2024</t>
        </is>
      </c>
      <c r="B616" s="1" t="n">
        <v>45411.38738425926</v>
      </c>
      <c r="C616" s="1" t="n">
        <v>46086</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18877-2023</t>
        </is>
      </c>
      <c r="B617" s="1" t="n">
        <v>45044</v>
      </c>
      <c r="C617" s="1" t="n">
        <v>46086</v>
      </c>
      <c r="D617" t="inlineStr">
        <is>
          <t>VÄSTMANLANDS LÄN</t>
        </is>
      </c>
      <c r="E617" t="inlineStr">
        <is>
          <t>SALA</t>
        </is>
      </c>
      <c r="F617" t="inlineStr">
        <is>
          <t>Kommuner</t>
        </is>
      </c>
      <c r="G617" t="n">
        <v>4.4</v>
      </c>
      <c r="H617" t="n">
        <v>0</v>
      </c>
      <c r="I617" t="n">
        <v>0</v>
      </c>
      <c r="J617" t="n">
        <v>0</v>
      </c>
      <c r="K617" t="n">
        <v>0</v>
      </c>
      <c r="L617" t="n">
        <v>0</v>
      </c>
      <c r="M617" t="n">
        <v>0</v>
      </c>
      <c r="N617" t="n">
        <v>0</v>
      </c>
      <c r="O617" t="n">
        <v>0</v>
      </c>
      <c r="P617" t="n">
        <v>0</v>
      </c>
      <c r="Q617" t="n">
        <v>0</v>
      </c>
      <c r="R617" s="2" t="inlineStr"/>
    </row>
    <row r="618" ht="15" customHeight="1">
      <c r="A618" t="inlineStr">
        <is>
          <t>A 44544-2024</t>
        </is>
      </c>
      <c r="B618" s="1" t="n">
        <v>45574.46119212963</v>
      </c>
      <c r="C618" s="1" t="n">
        <v>46086</v>
      </c>
      <c r="D618" t="inlineStr">
        <is>
          <t>VÄSTMANLANDS LÄN</t>
        </is>
      </c>
      <c r="E618" t="inlineStr">
        <is>
          <t>SALA</t>
        </is>
      </c>
      <c r="G618" t="n">
        <v>3.3</v>
      </c>
      <c r="H618" t="n">
        <v>0</v>
      </c>
      <c r="I618" t="n">
        <v>0</v>
      </c>
      <c r="J618" t="n">
        <v>0</v>
      </c>
      <c r="K618" t="n">
        <v>0</v>
      </c>
      <c r="L618" t="n">
        <v>0</v>
      </c>
      <c r="M618" t="n">
        <v>0</v>
      </c>
      <c r="N618" t="n">
        <v>0</v>
      </c>
      <c r="O618" t="n">
        <v>0</v>
      </c>
      <c r="P618" t="n">
        <v>0</v>
      </c>
      <c r="Q618" t="n">
        <v>0</v>
      </c>
      <c r="R618" s="2" t="inlineStr"/>
    </row>
    <row r="619" ht="15" customHeight="1">
      <c r="A619" t="inlineStr">
        <is>
          <t>A 60379-2022</t>
        </is>
      </c>
      <c r="B619" s="1" t="n">
        <v>44910</v>
      </c>
      <c r="C619" s="1" t="n">
        <v>46086</v>
      </c>
      <c r="D619" t="inlineStr">
        <is>
          <t>VÄSTMANLANDS LÄN</t>
        </is>
      </c>
      <c r="E619" t="inlineStr">
        <is>
          <t>SALA</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56547-2022</t>
        </is>
      </c>
      <c r="B620" s="1" t="n">
        <v>44893.48284722222</v>
      </c>
      <c r="C620" s="1" t="n">
        <v>46086</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29542-2023</t>
        </is>
      </c>
      <c r="B621" s="1" t="n">
        <v>45098</v>
      </c>
      <c r="C621" s="1" t="n">
        <v>46086</v>
      </c>
      <c r="D621" t="inlineStr">
        <is>
          <t>VÄSTMANLANDS LÄN</t>
        </is>
      </c>
      <c r="E621" t="inlineStr">
        <is>
          <t>SALA</t>
        </is>
      </c>
      <c r="G621" t="n">
        <v>4.8</v>
      </c>
      <c r="H621" t="n">
        <v>0</v>
      </c>
      <c r="I621" t="n">
        <v>0</v>
      </c>
      <c r="J621" t="n">
        <v>0</v>
      </c>
      <c r="K621" t="n">
        <v>0</v>
      </c>
      <c r="L621" t="n">
        <v>0</v>
      </c>
      <c r="M621" t="n">
        <v>0</v>
      </c>
      <c r="N621" t="n">
        <v>0</v>
      </c>
      <c r="O621" t="n">
        <v>0</v>
      </c>
      <c r="P621" t="n">
        <v>0</v>
      </c>
      <c r="Q621" t="n">
        <v>0</v>
      </c>
      <c r="R621" s="2" t="inlineStr"/>
    </row>
    <row r="622" ht="15" customHeight="1">
      <c r="A622" t="inlineStr">
        <is>
          <t>A 16638-2023</t>
        </is>
      </c>
      <c r="B622" s="1" t="n">
        <v>45027</v>
      </c>
      <c r="C622" s="1" t="n">
        <v>46086</v>
      </c>
      <c r="D622" t="inlineStr">
        <is>
          <t>VÄSTMANLANDS LÄN</t>
        </is>
      </c>
      <c r="E622" t="inlineStr">
        <is>
          <t>SALA</t>
        </is>
      </c>
      <c r="G622" t="n">
        <v>14.8</v>
      </c>
      <c r="H622" t="n">
        <v>0</v>
      </c>
      <c r="I622" t="n">
        <v>0</v>
      </c>
      <c r="J622" t="n">
        <v>0</v>
      </c>
      <c r="K622" t="n">
        <v>0</v>
      </c>
      <c r="L622" t="n">
        <v>0</v>
      </c>
      <c r="M622" t="n">
        <v>0</v>
      </c>
      <c r="N622" t="n">
        <v>0</v>
      </c>
      <c r="O622" t="n">
        <v>0</v>
      </c>
      <c r="P622" t="n">
        <v>0</v>
      </c>
      <c r="Q622" t="n">
        <v>0</v>
      </c>
      <c r="R622" s="2" t="inlineStr"/>
    </row>
    <row r="623" ht="15" customHeight="1">
      <c r="A623" t="inlineStr">
        <is>
          <t>A 37190-2024</t>
        </is>
      </c>
      <c r="B623" s="1" t="n">
        <v>45539</v>
      </c>
      <c r="C623" s="1" t="n">
        <v>46086</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23222-2023</t>
        </is>
      </c>
      <c r="B624" s="1" t="n">
        <v>45075</v>
      </c>
      <c r="C624" s="1" t="n">
        <v>46086</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23224-2023</t>
        </is>
      </c>
      <c r="B625" s="1" t="n">
        <v>45075.65040509259</v>
      </c>
      <c r="C625" s="1" t="n">
        <v>46086</v>
      </c>
      <c r="D625" t="inlineStr">
        <is>
          <t>VÄSTMANLANDS LÄN</t>
        </is>
      </c>
      <c r="E625" t="inlineStr">
        <is>
          <t>SALA</t>
        </is>
      </c>
      <c r="G625" t="n">
        <v>0.8</v>
      </c>
      <c r="H625" t="n">
        <v>0</v>
      </c>
      <c r="I625" t="n">
        <v>0</v>
      </c>
      <c r="J625" t="n">
        <v>0</v>
      </c>
      <c r="K625" t="n">
        <v>0</v>
      </c>
      <c r="L625" t="n">
        <v>0</v>
      </c>
      <c r="M625" t="n">
        <v>0</v>
      </c>
      <c r="N625" t="n">
        <v>0</v>
      </c>
      <c r="O625" t="n">
        <v>0</v>
      </c>
      <c r="P625" t="n">
        <v>0</v>
      </c>
      <c r="Q625" t="n">
        <v>0</v>
      </c>
      <c r="R625" s="2" t="inlineStr"/>
    </row>
    <row r="626" ht="15" customHeight="1">
      <c r="A626" t="inlineStr">
        <is>
          <t>A 22026-2021</t>
        </is>
      </c>
      <c r="B626" s="1" t="n">
        <v>44323</v>
      </c>
      <c r="C626" s="1" t="n">
        <v>46086</v>
      </c>
      <c r="D626" t="inlineStr">
        <is>
          <t>VÄSTMANLANDS LÄN</t>
        </is>
      </c>
      <c r="E626" t="inlineStr">
        <is>
          <t>SALA</t>
        </is>
      </c>
      <c r="G626" t="n">
        <v>2.9</v>
      </c>
      <c r="H626" t="n">
        <v>0</v>
      </c>
      <c r="I626" t="n">
        <v>0</v>
      </c>
      <c r="J626" t="n">
        <v>0</v>
      </c>
      <c r="K626" t="n">
        <v>0</v>
      </c>
      <c r="L626" t="n">
        <v>0</v>
      </c>
      <c r="M626" t="n">
        <v>0</v>
      </c>
      <c r="N626" t="n">
        <v>0</v>
      </c>
      <c r="O626" t="n">
        <v>0</v>
      </c>
      <c r="P626" t="n">
        <v>0</v>
      </c>
      <c r="Q626" t="n">
        <v>0</v>
      </c>
      <c r="R626" s="2" t="inlineStr"/>
    </row>
    <row r="627" ht="15" customHeight="1">
      <c r="A627" t="inlineStr">
        <is>
          <t>A 68864-2021</t>
        </is>
      </c>
      <c r="B627" s="1" t="n">
        <v>44530</v>
      </c>
      <c r="C627" s="1" t="n">
        <v>46086</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19065-2022</t>
        </is>
      </c>
      <c r="B628" s="1" t="n">
        <v>44691.44309027777</v>
      </c>
      <c r="C628" s="1" t="n">
        <v>46086</v>
      </c>
      <c r="D628" t="inlineStr">
        <is>
          <t>VÄSTMANLANDS LÄN</t>
        </is>
      </c>
      <c r="E628" t="inlineStr">
        <is>
          <t>SALA</t>
        </is>
      </c>
      <c r="G628" t="n">
        <v>3.4</v>
      </c>
      <c r="H628" t="n">
        <v>0</v>
      </c>
      <c r="I628" t="n">
        <v>0</v>
      </c>
      <c r="J628" t="n">
        <v>0</v>
      </c>
      <c r="K628" t="n">
        <v>0</v>
      </c>
      <c r="L628" t="n">
        <v>0</v>
      </c>
      <c r="M628" t="n">
        <v>0</v>
      </c>
      <c r="N628" t="n">
        <v>0</v>
      </c>
      <c r="O628" t="n">
        <v>0</v>
      </c>
      <c r="P628" t="n">
        <v>0</v>
      </c>
      <c r="Q628" t="n">
        <v>0</v>
      </c>
      <c r="R628" s="2" t="inlineStr"/>
    </row>
    <row r="629" ht="15" customHeight="1">
      <c r="A629" t="inlineStr">
        <is>
          <t>A 37612-2024</t>
        </is>
      </c>
      <c r="B629" s="1" t="n">
        <v>45541</v>
      </c>
      <c r="C629" s="1" t="n">
        <v>46086</v>
      </c>
      <c r="D629" t="inlineStr">
        <is>
          <t>VÄSTMANLANDS LÄN</t>
        </is>
      </c>
      <c r="E629" t="inlineStr">
        <is>
          <t>SALA</t>
        </is>
      </c>
      <c r="G629" t="n">
        <v>2.2</v>
      </c>
      <c r="H629" t="n">
        <v>0</v>
      </c>
      <c r="I629" t="n">
        <v>0</v>
      </c>
      <c r="J629" t="n">
        <v>0</v>
      </c>
      <c r="K629" t="n">
        <v>0</v>
      </c>
      <c r="L629" t="n">
        <v>0</v>
      </c>
      <c r="M629" t="n">
        <v>0</v>
      </c>
      <c r="N629" t="n">
        <v>0</v>
      </c>
      <c r="O629" t="n">
        <v>0</v>
      </c>
      <c r="P629" t="n">
        <v>0</v>
      </c>
      <c r="Q629" t="n">
        <v>0</v>
      </c>
      <c r="R629" s="2" t="inlineStr"/>
    </row>
    <row r="630" ht="15" customHeight="1">
      <c r="A630" t="inlineStr">
        <is>
          <t>A 37615-2024</t>
        </is>
      </c>
      <c r="B630" s="1" t="n">
        <v>45541.50673611111</v>
      </c>
      <c r="C630" s="1" t="n">
        <v>46086</v>
      </c>
      <c r="D630" t="inlineStr">
        <is>
          <t>VÄSTMANLANDS LÄN</t>
        </is>
      </c>
      <c r="E630" t="inlineStr">
        <is>
          <t>SALA</t>
        </is>
      </c>
      <c r="G630" t="n">
        <v>1.1</v>
      </c>
      <c r="H630" t="n">
        <v>0</v>
      </c>
      <c r="I630" t="n">
        <v>0</v>
      </c>
      <c r="J630" t="n">
        <v>0</v>
      </c>
      <c r="K630" t="n">
        <v>0</v>
      </c>
      <c r="L630" t="n">
        <v>0</v>
      </c>
      <c r="M630" t="n">
        <v>0</v>
      </c>
      <c r="N630" t="n">
        <v>0</v>
      </c>
      <c r="O630" t="n">
        <v>0</v>
      </c>
      <c r="P630" t="n">
        <v>0</v>
      </c>
      <c r="Q630" t="n">
        <v>0</v>
      </c>
      <c r="R630" s="2" t="inlineStr"/>
    </row>
    <row r="631" ht="15" customHeight="1">
      <c r="A631" t="inlineStr">
        <is>
          <t>A 18158-2025</t>
        </is>
      </c>
      <c r="B631" s="1" t="n">
        <v>45761</v>
      </c>
      <c r="C631" s="1" t="n">
        <v>46086</v>
      </c>
      <c r="D631" t="inlineStr">
        <is>
          <t>VÄSTMANLANDS LÄN</t>
        </is>
      </c>
      <c r="E631" t="inlineStr">
        <is>
          <t>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9962-2025</t>
        </is>
      </c>
      <c r="B632" s="1" t="n">
        <v>45719.37072916667</v>
      </c>
      <c r="C632" s="1" t="n">
        <v>46086</v>
      </c>
      <c r="D632" t="inlineStr">
        <is>
          <t>VÄSTMANLANDS LÄN</t>
        </is>
      </c>
      <c r="E632" t="inlineStr">
        <is>
          <t>SALA</t>
        </is>
      </c>
      <c r="G632" t="n">
        <v>4.5</v>
      </c>
      <c r="H632" t="n">
        <v>0</v>
      </c>
      <c r="I632" t="n">
        <v>0</v>
      </c>
      <c r="J632" t="n">
        <v>0</v>
      </c>
      <c r="K632" t="n">
        <v>0</v>
      </c>
      <c r="L632" t="n">
        <v>0</v>
      </c>
      <c r="M632" t="n">
        <v>0</v>
      </c>
      <c r="N632" t="n">
        <v>0</v>
      </c>
      <c r="O632" t="n">
        <v>0</v>
      </c>
      <c r="P632" t="n">
        <v>0</v>
      </c>
      <c r="Q632" t="n">
        <v>0</v>
      </c>
      <c r="R632" s="2" t="inlineStr"/>
    </row>
    <row r="633" ht="15" customHeight="1">
      <c r="A633" t="inlineStr">
        <is>
          <t>A 37602-2024</t>
        </is>
      </c>
      <c r="B633" s="1" t="n">
        <v>45541</v>
      </c>
      <c r="C633" s="1" t="n">
        <v>46086</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18762-2024</t>
        </is>
      </c>
      <c r="B634" s="1" t="n">
        <v>45426.55240740741</v>
      </c>
      <c r="C634" s="1" t="n">
        <v>46086</v>
      </c>
      <c r="D634" t="inlineStr">
        <is>
          <t>VÄSTMANLANDS LÄN</t>
        </is>
      </c>
      <c r="E634" t="inlineStr">
        <is>
          <t>SALA</t>
        </is>
      </c>
      <c r="G634" t="n">
        <v>6.2</v>
      </c>
      <c r="H634" t="n">
        <v>0</v>
      </c>
      <c r="I634" t="n">
        <v>0</v>
      </c>
      <c r="J634" t="n">
        <v>0</v>
      </c>
      <c r="K634" t="n">
        <v>0</v>
      </c>
      <c r="L634" t="n">
        <v>0</v>
      </c>
      <c r="M634" t="n">
        <v>0</v>
      </c>
      <c r="N634" t="n">
        <v>0</v>
      </c>
      <c r="O634" t="n">
        <v>0</v>
      </c>
      <c r="P634" t="n">
        <v>0</v>
      </c>
      <c r="Q634" t="n">
        <v>0</v>
      </c>
      <c r="R634" s="2" t="inlineStr"/>
    </row>
    <row r="635" ht="15" customHeight="1">
      <c r="A635" t="inlineStr">
        <is>
          <t>A 39011-2023</t>
        </is>
      </c>
      <c r="B635" s="1" t="n">
        <v>45162</v>
      </c>
      <c r="C635" s="1" t="n">
        <v>46086</v>
      </c>
      <c r="D635" t="inlineStr">
        <is>
          <t>VÄSTMANLANDS LÄN</t>
        </is>
      </c>
      <c r="E635" t="inlineStr">
        <is>
          <t>SALA</t>
        </is>
      </c>
      <c r="G635" t="n">
        <v>1.6</v>
      </c>
      <c r="H635" t="n">
        <v>0</v>
      </c>
      <c r="I635" t="n">
        <v>0</v>
      </c>
      <c r="J635" t="n">
        <v>0</v>
      </c>
      <c r="K635" t="n">
        <v>0</v>
      </c>
      <c r="L635" t="n">
        <v>0</v>
      </c>
      <c r="M635" t="n">
        <v>0</v>
      </c>
      <c r="N635" t="n">
        <v>0</v>
      </c>
      <c r="O635" t="n">
        <v>0</v>
      </c>
      <c r="P635" t="n">
        <v>0</v>
      </c>
      <c r="Q635" t="n">
        <v>0</v>
      </c>
      <c r="R635" s="2" t="inlineStr"/>
    </row>
    <row r="636" ht="15" customHeight="1">
      <c r="A636" t="inlineStr">
        <is>
          <t>A 46352-2023</t>
        </is>
      </c>
      <c r="B636" s="1" t="n">
        <v>45192</v>
      </c>
      <c r="C636" s="1" t="n">
        <v>46086</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43751-2021</t>
        </is>
      </c>
      <c r="B637" s="1" t="n">
        <v>44433</v>
      </c>
      <c r="C637" s="1" t="n">
        <v>46086</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1128-2025</t>
        </is>
      </c>
      <c r="B638" s="1" t="n">
        <v>45666.68469907407</v>
      </c>
      <c r="C638" s="1" t="n">
        <v>46086</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31950-2023</t>
        </is>
      </c>
      <c r="B639" s="1" t="n">
        <v>45107</v>
      </c>
      <c r="C639" s="1" t="n">
        <v>46086</v>
      </c>
      <c r="D639" t="inlineStr">
        <is>
          <t>VÄSTMANLANDS LÄN</t>
        </is>
      </c>
      <c r="E639" t="inlineStr">
        <is>
          <t>SALA</t>
        </is>
      </c>
      <c r="G639" t="n">
        <v>0.1</v>
      </c>
      <c r="H639" t="n">
        <v>0</v>
      </c>
      <c r="I639" t="n">
        <v>0</v>
      </c>
      <c r="J639" t="n">
        <v>0</v>
      </c>
      <c r="K639" t="n">
        <v>0</v>
      </c>
      <c r="L639" t="n">
        <v>0</v>
      </c>
      <c r="M639" t="n">
        <v>0</v>
      </c>
      <c r="N639" t="n">
        <v>0</v>
      </c>
      <c r="O639" t="n">
        <v>0</v>
      </c>
      <c r="P639" t="n">
        <v>0</v>
      </c>
      <c r="Q639" t="n">
        <v>0</v>
      </c>
      <c r="R639" s="2" t="inlineStr"/>
    </row>
    <row r="640" ht="15" customHeight="1">
      <c r="A640" t="inlineStr">
        <is>
          <t>A 56540-2024</t>
        </is>
      </c>
      <c r="B640" s="1" t="n">
        <v>45625</v>
      </c>
      <c r="C640" s="1" t="n">
        <v>46086</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46086</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25860-2024</t>
        </is>
      </c>
      <c r="B642" s="1" t="n">
        <v>45467.46278935186</v>
      </c>
      <c r="C642" s="1" t="n">
        <v>46086</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56916-2022</t>
        </is>
      </c>
      <c r="B643" s="1" t="n">
        <v>44888</v>
      </c>
      <c r="C643" s="1" t="n">
        <v>46086</v>
      </c>
      <c r="D643" t="inlineStr">
        <is>
          <t>VÄSTMANLANDS LÄN</t>
        </is>
      </c>
      <c r="E643" t="inlineStr">
        <is>
          <t>SALA</t>
        </is>
      </c>
      <c r="G643" t="n">
        <v>1.7</v>
      </c>
      <c r="H643" t="n">
        <v>0</v>
      </c>
      <c r="I643" t="n">
        <v>0</v>
      </c>
      <c r="J643" t="n">
        <v>0</v>
      </c>
      <c r="K643" t="n">
        <v>0</v>
      </c>
      <c r="L643" t="n">
        <v>0</v>
      </c>
      <c r="M643" t="n">
        <v>0</v>
      </c>
      <c r="N643" t="n">
        <v>0</v>
      </c>
      <c r="O643" t="n">
        <v>0</v>
      </c>
      <c r="P643" t="n">
        <v>0</v>
      </c>
      <c r="Q643" t="n">
        <v>0</v>
      </c>
      <c r="R643" s="2" t="inlineStr"/>
    </row>
    <row r="644" ht="15" customHeight="1">
      <c r="A644" t="inlineStr">
        <is>
          <t>A 71471-2021</t>
        </is>
      </c>
      <c r="B644" s="1" t="n">
        <v>44540.53421296296</v>
      </c>
      <c r="C644" s="1" t="n">
        <v>46086</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13987-2023</t>
        </is>
      </c>
      <c r="B645" s="1" t="n">
        <v>45007</v>
      </c>
      <c r="C645" s="1" t="n">
        <v>46086</v>
      </c>
      <c r="D645" t="inlineStr">
        <is>
          <t>VÄSTMANLANDS LÄN</t>
        </is>
      </c>
      <c r="E645" t="inlineStr">
        <is>
          <t>SALA</t>
        </is>
      </c>
      <c r="G645" t="n">
        <v>3.2</v>
      </c>
      <c r="H645" t="n">
        <v>0</v>
      </c>
      <c r="I645" t="n">
        <v>0</v>
      </c>
      <c r="J645" t="n">
        <v>0</v>
      </c>
      <c r="K645" t="n">
        <v>0</v>
      </c>
      <c r="L645" t="n">
        <v>0</v>
      </c>
      <c r="M645" t="n">
        <v>0</v>
      </c>
      <c r="N645" t="n">
        <v>0</v>
      </c>
      <c r="O645" t="n">
        <v>0</v>
      </c>
      <c r="P645" t="n">
        <v>0</v>
      </c>
      <c r="Q645" t="n">
        <v>0</v>
      </c>
      <c r="R645" s="2" t="inlineStr"/>
    </row>
    <row r="646" ht="15" customHeight="1">
      <c r="A646" t="inlineStr">
        <is>
          <t>A 13990-2023</t>
        </is>
      </c>
      <c r="B646" s="1" t="n">
        <v>45007</v>
      </c>
      <c r="C646" s="1" t="n">
        <v>46086</v>
      </c>
      <c r="D646" t="inlineStr">
        <is>
          <t>VÄSTMANLANDS LÄN</t>
        </is>
      </c>
      <c r="E646" t="inlineStr">
        <is>
          <t>SALA</t>
        </is>
      </c>
      <c r="G646" t="n">
        <v>2.6</v>
      </c>
      <c r="H646" t="n">
        <v>0</v>
      </c>
      <c r="I646" t="n">
        <v>0</v>
      </c>
      <c r="J646" t="n">
        <v>0</v>
      </c>
      <c r="K646" t="n">
        <v>0</v>
      </c>
      <c r="L646" t="n">
        <v>0</v>
      </c>
      <c r="M646" t="n">
        <v>0</v>
      </c>
      <c r="N646" t="n">
        <v>0</v>
      </c>
      <c r="O646" t="n">
        <v>0</v>
      </c>
      <c r="P646" t="n">
        <v>0</v>
      </c>
      <c r="Q646" t="n">
        <v>0</v>
      </c>
      <c r="R646" s="2" t="inlineStr"/>
    </row>
    <row r="647" ht="15" customHeight="1">
      <c r="A647" t="inlineStr">
        <is>
          <t>A 1993-2022</t>
        </is>
      </c>
      <c r="B647" s="1" t="n">
        <v>44575</v>
      </c>
      <c r="C647" s="1" t="n">
        <v>46086</v>
      </c>
      <c r="D647" t="inlineStr">
        <is>
          <t>VÄSTMANLANDS LÄN</t>
        </is>
      </c>
      <c r="E647" t="inlineStr">
        <is>
          <t>SALA</t>
        </is>
      </c>
      <c r="G647" t="n">
        <v>1.6</v>
      </c>
      <c r="H647" t="n">
        <v>0</v>
      </c>
      <c r="I647" t="n">
        <v>0</v>
      </c>
      <c r="J647" t="n">
        <v>0</v>
      </c>
      <c r="K647" t="n">
        <v>0</v>
      </c>
      <c r="L647" t="n">
        <v>0</v>
      </c>
      <c r="M647" t="n">
        <v>0</v>
      </c>
      <c r="N647" t="n">
        <v>0</v>
      </c>
      <c r="O647" t="n">
        <v>0</v>
      </c>
      <c r="P647" t="n">
        <v>0</v>
      </c>
      <c r="Q647" t="n">
        <v>0</v>
      </c>
      <c r="R647" s="2" t="inlineStr"/>
    </row>
    <row r="648" ht="15" customHeight="1">
      <c r="A648" t="inlineStr">
        <is>
          <t>A 17051-2025</t>
        </is>
      </c>
      <c r="B648" s="1" t="n">
        <v>45755</v>
      </c>
      <c r="C648" s="1" t="n">
        <v>46086</v>
      </c>
      <c r="D648" t="inlineStr">
        <is>
          <t>VÄSTMANLANDS LÄN</t>
        </is>
      </c>
      <c r="E648" t="inlineStr">
        <is>
          <t>SALA</t>
        </is>
      </c>
      <c r="G648" t="n">
        <v>2.9</v>
      </c>
      <c r="H648" t="n">
        <v>0</v>
      </c>
      <c r="I648" t="n">
        <v>0</v>
      </c>
      <c r="J648" t="n">
        <v>0</v>
      </c>
      <c r="K648" t="n">
        <v>0</v>
      </c>
      <c r="L648" t="n">
        <v>0</v>
      </c>
      <c r="M648" t="n">
        <v>0</v>
      </c>
      <c r="N648" t="n">
        <v>0</v>
      </c>
      <c r="O648" t="n">
        <v>0</v>
      </c>
      <c r="P648" t="n">
        <v>0</v>
      </c>
      <c r="Q648" t="n">
        <v>0</v>
      </c>
      <c r="R648" s="2" t="inlineStr"/>
    </row>
    <row r="649" ht="15" customHeight="1">
      <c r="A649" t="inlineStr">
        <is>
          <t>A 43509-2021</t>
        </is>
      </c>
      <c r="B649" s="1" t="n">
        <v>44433</v>
      </c>
      <c r="C649" s="1" t="n">
        <v>46086</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54959-2024</t>
        </is>
      </c>
      <c r="B650" s="1" t="n">
        <v>45619</v>
      </c>
      <c r="C650" s="1" t="n">
        <v>46086</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56964-2023</t>
        </is>
      </c>
      <c r="B651" s="1" t="n">
        <v>45244.63140046296</v>
      </c>
      <c r="C651" s="1" t="n">
        <v>46086</v>
      </c>
      <c r="D651" t="inlineStr">
        <is>
          <t>VÄSTMANLANDS LÄN</t>
        </is>
      </c>
      <c r="E651" t="inlineStr">
        <is>
          <t>SALA</t>
        </is>
      </c>
      <c r="G651" t="n">
        <v>4.6</v>
      </c>
      <c r="H651" t="n">
        <v>0</v>
      </c>
      <c r="I651" t="n">
        <v>0</v>
      </c>
      <c r="J651" t="n">
        <v>0</v>
      </c>
      <c r="K651" t="n">
        <v>0</v>
      </c>
      <c r="L651" t="n">
        <v>0</v>
      </c>
      <c r="M651" t="n">
        <v>0</v>
      </c>
      <c r="N651" t="n">
        <v>0</v>
      </c>
      <c r="O651" t="n">
        <v>0</v>
      </c>
      <c r="P651" t="n">
        <v>0</v>
      </c>
      <c r="Q651" t="n">
        <v>0</v>
      </c>
      <c r="R651" s="2" t="inlineStr"/>
    </row>
    <row r="652" ht="15" customHeight="1">
      <c r="A652" t="inlineStr">
        <is>
          <t>A 37337-2024</t>
        </is>
      </c>
      <c r="B652" s="1" t="n">
        <v>45540</v>
      </c>
      <c r="C652" s="1" t="n">
        <v>46086</v>
      </c>
      <c r="D652" t="inlineStr">
        <is>
          <t>VÄSTMANLANDS LÄN</t>
        </is>
      </c>
      <c r="E652" t="inlineStr">
        <is>
          <t>SALA</t>
        </is>
      </c>
      <c r="G652" t="n">
        <v>6.5</v>
      </c>
      <c r="H652" t="n">
        <v>0</v>
      </c>
      <c r="I652" t="n">
        <v>0</v>
      </c>
      <c r="J652" t="n">
        <v>0</v>
      </c>
      <c r="K652" t="n">
        <v>0</v>
      </c>
      <c r="L652" t="n">
        <v>0</v>
      </c>
      <c r="M652" t="n">
        <v>0</v>
      </c>
      <c r="N652" t="n">
        <v>0</v>
      </c>
      <c r="O652" t="n">
        <v>0</v>
      </c>
      <c r="P652" t="n">
        <v>0</v>
      </c>
      <c r="Q652" t="n">
        <v>0</v>
      </c>
      <c r="R652" s="2" t="inlineStr"/>
    </row>
    <row r="653" ht="15" customHeight="1">
      <c r="A653" t="inlineStr">
        <is>
          <t>A 17120-2023</t>
        </is>
      </c>
      <c r="B653" s="1" t="n">
        <v>45034</v>
      </c>
      <c r="C653" s="1" t="n">
        <v>46086</v>
      </c>
      <c r="D653" t="inlineStr">
        <is>
          <t>VÄSTMANLANDS LÄN</t>
        </is>
      </c>
      <c r="E653" t="inlineStr">
        <is>
          <t>SALA</t>
        </is>
      </c>
      <c r="G653" t="n">
        <v>0.1</v>
      </c>
      <c r="H653" t="n">
        <v>0</v>
      </c>
      <c r="I653" t="n">
        <v>0</v>
      </c>
      <c r="J653" t="n">
        <v>0</v>
      </c>
      <c r="K653" t="n">
        <v>0</v>
      </c>
      <c r="L653" t="n">
        <v>0</v>
      </c>
      <c r="M653" t="n">
        <v>0</v>
      </c>
      <c r="N653" t="n">
        <v>0</v>
      </c>
      <c r="O653" t="n">
        <v>0</v>
      </c>
      <c r="P653" t="n">
        <v>0</v>
      </c>
      <c r="Q653" t="n">
        <v>0</v>
      </c>
      <c r="R653" s="2" t="inlineStr"/>
    </row>
    <row r="654" ht="15" customHeight="1">
      <c r="A654" t="inlineStr">
        <is>
          <t>A 34494-2023</t>
        </is>
      </c>
      <c r="B654" s="1" t="n">
        <v>45133</v>
      </c>
      <c r="C654" s="1" t="n">
        <v>46086</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10579-2022</t>
        </is>
      </c>
      <c r="B655" s="1" t="n">
        <v>44624</v>
      </c>
      <c r="C655" s="1" t="n">
        <v>46086</v>
      </c>
      <c r="D655" t="inlineStr">
        <is>
          <t>VÄSTMANLANDS LÄN</t>
        </is>
      </c>
      <c r="E655" t="inlineStr">
        <is>
          <t>SALA</t>
        </is>
      </c>
      <c r="G655" t="n">
        <v>1</v>
      </c>
      <c r="H655" t="n">
        <v>0</v>
      </c>
      <c r="I655" t="n">
        <v>0</v>
      </c>
      <c r="J655" t="n">
        <v>0</v>
      </c>
      <c r="K655" t="n">
        <v>0</v>
      </c>
      <c r="L655" t="n">
        <v>0</v>
      </c>
      <c r="M655" t="n">
        <v>0</v>
      </c>
      <c r="N655" t="n">
        <v>0</v>
      </c>
      <c r="O655" t="n">
        <v>0</v>
      </c>
      <c r="P655" t="n">
        <v>0</v>
      </c>
      <c r="Q655" t="n">
        <v>0</v>
      </c>
      <c r="R655" s="2" t="inlineStr"/>
    </row>
    <row r="656" ht="15" customHeight="1">
      <c r="A656" t="inlineStr">
        <is>
          <t>A 9335-2022</t>
        </is>
      </c>
      <c r="B656" s="1" t="n">
        <v>44616.56579861111</v>
      </c>
      <c r="C656" s="1" t="n">
        <v>46086</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45313-2024</t>
        </is>
      </c>
      <c r="B657" s="1" t="n">
        <v>45576</v>
      </c>
      <c r="C657" s="1" t="n">
        <v>46086</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23119-2022</t>
        </is>
      </c>
      <c r="B658" s="1" t="n">
        <v>44719.56697916667</v>
      </c>
      <c r="C658" s="1" t="n">
        <v>46086</v>
      </c>
      <c r="D658" t="inlineStr">
        <is>
          <t>VÄSTMANLANDS LÄN</t>
        </is>
      </c>
      <c r="E658" t="inlineStr">
        <is>
          <t>SALA</t>
        </is>
      </c>
      <c r="G658" t="n">
        <v>7</v>
      </c>
      <c r="H658" t="n">
        <v>0</v>
      </c>
      <c r="I658" t="n">
        <v>0</v>
      </c>
      <c r="J658" t="n">
        <v>0</v>
      </c>
      <c r="K658" t="n">
        <v>0</v>
      </c>
      <c r="L658" t="n">
        <v>0</v>
      </c>
      <c r="M658" t="n">
        <v>0</v>
      </c>
      <c r="N658" t="n">
        <v>0</v>
      </c>
      <c r="O658" t="n">
        <v>0</v>
      </c>
      <c r="P658" t="n">
        <v>0</v>
      </c>
      <c r="Q658" t="n">
        <v>0</v>
      </c>
      <c r="R658" s="2" t="inlineStr"/>
    </row>
    <row r="659" ht="15" customHeight="1">
      <c r="A659" t="inlineStr">
        <is>
          <t>A 1196-2023</t>
        </is>
      </c>
      <c r="B659" s="1" t="n">
        <v>44935.82290509259</v>
      </c>
      <c r="C659" s="1" t="n">
        <v>46086</v>
      </c>
      <c r="D659" t="inlineStr">
        <is>
          <t>VÄSTMANLANDS LÄN</t>
        </is>
      </c>
      <c r="E659" t="inlineStr">
        <is>
          <t>SALA</t>
        </is>
      </c>
      <c r="G659" t="n">
        <v>4.1</v>
      </c>
      <c r="H659" t="n">
        <v>0</v>
      </c>
      <c r="I659" t="n">
        <v>0</v>
      </c>
      <c r="J659" t="n">
        <v>0</v>
      </c>
      <c r="K659" t="n">
        <v>0</v>
      </c>
      <c r="L659" t="n">
        <v>0</v>
      </c>
      <c r="M659" t="n">
        <v>0</v>
      </c>
      <c r="N659" t="n">
        <v>0</v>
      </c>
      <c r="O659" t="n">
        <v>0</v>
      </c>
      <c r="P659" t="n">
        <v>0</v>
      </c>
      <c r="Q659" t="n">
        <v>0</v>
      </c>
      <c r="R659" s="2" t="inlineStr"/>
    </row>
    <row r="660" ht="15" customHeight="1">
      <c r="A660" t="inlineStr">
        <is>
          <t>A 52503-2024</t>
        </is>
      </c>
      <c r="B660" s="1" t="n">
        <v>45609.58806712963</v>
      </c>
      <c r="C660" s="1" t="n">
        <v>46086</v>
      </c>
      <c r="D660" t="inlineStr">
        <is>
          <t>VÄSTMANLANDS LÄN</t>
        </is>
      </c>
      <c r="E660" t="inlineStr">
        <is>
          <t>SALA</t>
        </is>
      </c>
      <c r="G660" t="n">
        <v>0.8</v>
      </c>
      <c r="H660" t="n">
        <v>0</v>
      </c>
      <c r="I660" t="n">
        <v>0</v>
      </c>
      <c r="J660" t="n">
        <v>0</v>
      </c>
      <c r="K660" t="n">
        <v>0</v>
      </c>
      <c r="L660" t="n">
        <v>0</v>
      </c>
      <c r="M660" t="n">
        <v>0</v>
      </c>
      <c r="N660" t="n">
        <v>0</v>
      </c>
      <c r="O660" t="n">
        <v>0</v>
      </c>
      <c r="P660" t="n">
        <v>0</v>
      </c>
      <c r="Q660" t="n">
        <v>0</v>
      </c>
      <c r="R660" s="2" t="inlineStr"/>
    </row>
    <row r="661" ht="15" customHeight="1">
      <c r="A661" t="inlineStr">
        <is>
          <t>A 7953-2024</t>
        </is>
      </c>
      <c r="B661" s="1" t="n">
        <v>45350</v>
      </c>
      <c r="C661" s="1" t="n">
        <v>46086</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30028-2024</t>
        </is>
      </c>
      <c r="B662" s="1" t="n">
        <v>45485</v>
      </c>
      <c r="C662" s="1" t="n">
        <v>46086</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7950-2025</t>
        </is>
      </c>
      <c r="B663" s="1" t="n">
        <v>45707.41799768519</v>
      </c>
      <c r="C663" s="1" t="n">
        <v>46086</v>
      </c>
      <c r="D663" t="inlineStr">
        <is>
          <t>VÄSTMANLANDS LÄN</t>
        </is>
      </c>
      <c r="E663" t="inlineStr">
        <is>
          <t>SALA</t>
        </is>
      </c>
      <c r="G663" t="n">
        <v>3.2</v>
      </c>
      <c r="H663" t="n">
        <v>0</v>
      </c>
      <c r="I663" t="n">
        <v>0</v>
      </c>
      <c r="J663" t="n">
        <v>0</v>
      </c>
      <c r="K663" t="n">
        <v>0</v>
      </c>
      <c r="L663" t="n">
        <v>0</v>
      </c>
      <c r="M663" t="n">
        <v>0</v>
      </c>
      <c r="N663" t="n">
        <v>0</v>
      </c>
      <c r="O663" t="n">
        <v>0</v>
      </c>
      <c r="P663" t="n">
        <v>0</v>
      </c>
      <c r="Q663" t="n">
        <v>0</v>
      </c>
      <c r="R663" s="2" t="inlineStr"/>
    </row>
    <row r="664" ht="15" customHeight="1">
      <c r="A664" t="inlineStr">
        <is>
          <t>A 27657-2023</t>
        </is>
      </c>
      <c r="B664" s="1" t="n">
        <v>45097.76631944445</v>
      </c>
      <c r="C664" s="1" t="n">
        <v>46086</v>
      </c>
      <c r="D664" t="inlineStr">
        <is>
          <t>VÄSTMANLANDS LÄN</t>
        </is>
      </c>
      <c r="E664" t="inlineStr">
        <is>
          <t>SALA</t>
        </is>
      </c>
      <c r="G664" t="n">
        <v>0.1</v>
      </c>
      <c r="H664" t="n">
        <v>0</v>
      </c>
      <c r="I664" t="n">
        <v>0</v>
      </c>
      <c r="J664" t="n">
        <v>0</v>
      </c>
      <c r="K664" t="n">
        <v>0</v>
      </c>
      <c r="L664" t="n">
        <v>0</v>
      </c>
      <c r="M664" t="n">
        <v>0</v>
      </c>
      <c r="N664" t="n">
        <v>0</v>
      </c>
      <c r="O664" t="n">
        <v>0</v>
      </c>
      <c r="P664" t="n">
        <v>0</v>
      </c>
      <c r="Q664" t="n">
        <v>0</v>
      </c>
      <c r="R664" s="2" t="inlineStr"/>
    </row>
    <row r="665" ht="15" customHeight="1">
      <c r="A665" t="inlineStr">
        <is>
          <t>A 13855-2023</t>
        </is>
      </c>
      <c r="B665" s="1" t="n">
        <v>45007</v>
      </c>
      <c r="C665" s="1" t="n">
        <v>46086</v>
      </c>
      <c r="D665" t="inlineStr">
        <is>
          <t>VÄSTMANLANDS LÄN</t>
        </is>
      </c>
      <c r="E665" t="inlineStr">
        <is>
          <t>SALA</t>
        </is>
      </c>
      <c r="G665" t="n">
        <v>2.9</v>
      </c>
      <c r="H665" t="n">
        <v>0</v>
      </c>
      <c r="I665" t="n">
        <v>0</v>
      </c>
      <c r="J665" t="n">
        <v>0</v>
      </c>
      <c r="K665" t="n">
        <v>0</v>
      </c>
      <c r="L665" t="n">
        <v>0</v>
      </c>
      <c r="M665" t="n">
        <v>0</v>
      </c>
      <c r="N665" t="n">
        <v>0</v>
      </c>
      <c r="O665" t="n">
        <v>0</v>
      </c>
      <c r="P665" t="n">
        <v>0</v>
      </c>
      <c r="Q665" t="n">
        <v>0</v>
      </c>
      <c r="R665" s="2" t="inlineStr"/>
    </row>
    <row r="666" ht="15" customHeight="1">
      <c r="A666" t="inlineStr">
        <is>
          <t>A 33309-2022</t>
        </is>
      </c>
      <c r="B666" s="1" t="n">
        <v>44788.40986111111</v>
      </c>
      <c r="C666" s="1" t="n">
        <v>46086</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47909-2022</t>
        </is>
      </c>
      <c r="B667" s="1" t="n">
        <v>44855</v>
      </c>
      <c r="C667" s="1" t="n">
        <v>46086</v>
      </c>
      <c r="D667" t="inlineStr">
        <is>
          <t>VÄSTMANLANDS LÄN</t>
        </is>
      </c>
      <c r="E667" t="inlineStr">
        <is>
          <t>SALA</t>
        </is>
      </c>
      <c r="F667" t="inlineStr">
        <is>
          <t>Bergvik skog öst AB</t>
        </is>
      </c>
      <c r="G667" t="n">
        <v>2</v>
      </c>
      <c r="H667" t="n">
        <v>0</v>
      </c>
      <c r="I667" t="n">
        <v>0</v>
      </c>
      <c r="J667" t="n">
        <v>0</v>
      </c>
      <c r="K667" t="n">
        <v>0</v>
      </c>
      <c r="L667" t="n">
        <v>0</v>
      </c>
      <c r="M667" t="n">
        <v>0</v>
      </c>
      <c r="N667" t="n">
        <v>0</v>
      </c>
      <c r="O667" t="n">
        <v>0</v>
      </c>
      <c r="P667" t="n">
        <v>0</v>
      </c>
      <c r="Q667" t="n">
        <v>0</v>
      </c>
      <c r="R667" s="2" t="inlineStr"/>
    </row>
    <row r="668" ht="15" customHeight="1">
      <c r="A668" t="inlineStr">
        <is>
          <t>A 15272-2025</t>
        </is>
      </c>
      <c r="B668" s="1" t="n">
        <v>45744</v>
      </c>
      <c r="C668" s="1" t="n">
        <v>46086</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11183-2023</t>
        </is>
      </c>
      <c r="B669" s="1" t="n">
        <v>44992.57782407408</v>
      </c>
      <c r="C669" s="1" t="n">
        <v>46086</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46086</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53838-2022</t>
        </is>
      </c>
      <c r="B671" s="1" t="n">
        <v>44880.59363425926</v>
      </c>
      <c r="C671" s="1" t="n">
        <v>46086</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53166-2024</t>
        </is>
      </c>
      <c r="B672" s="1" t="n">
        <v>45611</v>
      </c>
      <c r="C672" s="1" t="n">
        <v>46086</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28827-2022</t>
        </is>
      </c>
      <c r="B673" s="1" t="n">
        <v>44749.45561342593</v>
      </c>
      <c r="C673" s="1" t="n">
        <v>46086</v>
      </c>
      <c r="D673" t="inlineStr">
        <is>
          <t>VÄSTMANLANDS LÄN</t>
        </is>
      </c>
      <c r="E673" t="inlineStr">
        <is>
          <t>SALA</t>
        </is>
      </c>
      <c r="F673" t="inlineStr">
        <is>
          <t>Kommuner</t>
        </is>
      </c>
      <c r="G673" t="n">
        <v>11.9</v>
      </c>
      <c r="H673" t="n">
        <v>0</v>
      </c>
      <c r="I673" t="n">
        <v>0</v>
      </c>
      <c r="J673" t="n">
        <v>0</v>
      </c>
      <c r="K673" t="n">
        <v>0</v>
      </c>
      <c r="L673" t="n">
        <v>0</v>
      </c>
      <c r="M673" t="n">
        <v>0</v>
      </c>
      <c r="N673" t="n">
        <v>0</v>
      </c>
      <c r="O673" t="n">
        <v>0</v>
      </c>
      <c r="P673" t="n">
        <v>0</v>
      </c>
      <c r="Q673" t="n">
        <v>0</v>
      </c>
      <c r="R673" s="2" t="inlineStr"/>
    </row>
    <row r="674" ht="15" customHeight="1">
      <c r="A674" t="inlineStr">
        <is>
          <t>A 17866-2025</t>
        </is>
      </c>
      <c r="B674" s="1" t="n">
        <v>45758</v>
      </c>
      <c r="C674" s="1" t="n">
        <v>46086</v>
      </c>
      <c r="D674" t="inlineStr">
        <is>
          <t>VÄSTMANLANDS LÄN</t>
        </is>
      </c>
      <c r="E674" t="inlineStr">
        <is>
          <t>SALA</t>
        </is>
      </c>
      <c r="F674" t="inlineStr">
        <is>
          <t>Bergvik skog öst AB</t>
        </is>
      </c>
      <c r="G674" t="n">
        <v>2.1</v>
      </c>
      <c r="H674" t="n">
        <v>0</v>
      </c>
      <c r="I674" t="n">
        <v>0</v>
      </c>
      <c r="J674" t="n">
        <v>0</v>
      </c>
      <c r="K674" t="n">
        <v>0</v>
      </c>
      <c r="L674" t="n">
        <v>0</v>
      </c>
      <c r="M674" t="n">
        <v>0</v>
      </c>
      <c r="N674" t="n">
        <v>0</v>
      </c>
      <c r="O674" t="n">
        <v>0</v>
      </c>
      <c r="P674" t="n">
        <v>0</v>
      </c>
      <c r="Q674" t="n">
        <v>0</v>
      </c>
      <c r="R674" s="2" t="inlineStr"/>
    </row>
    <row r="675" ht="15" customHeight="1">
      <c r="A675" t="inlineStr">
        <is>
          <t>A 54836-2024</t>
        </is>
      </c>
      <c r="B675" s="1" t="n">
        <v>45618</v>
      </c>
      <c r="C675" s="1" t="n">
        <v>46086</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64729-2023</t>
        </is>
      </c>
      <c r="B676" s="1" t="n">
        <v>45281</v>
      </c>
      <c r="C676" s="1" t="n">
        <v>46086</v>
      </c>
      <c r="D676" t="inlineStr">
        <is>
          <t>VÄSTMANLANDS LÄN</t>
        </is>
      </c>
      <c r="E676" t="inlineStr">
        <is>
          <t>SALA</t>
        </is>
      </c>
      <c r="G676" t="n">
        <v>1.8</v>
      </c>
      <c r="H676" t="n">
        <v>0</v>
      </c>
      <c r="I676" t="n">
        <v>0</v>
      </c>
      <c r="J676" t="n">
        <v>0</v>
      </c>
      <c r="K676" t="n">
        <v>0</v>
      </c>
      <c r="L676" t="n">
        <v>0</v>
      </c>
      <c r="M676" t="n">
        <v>0</v>
      </c>
      <c r="N676" t="n">
        <v>0</v>
      </c>
      <c r="O676" t="n">
        <v>0</v>
      </c>
      <c r="P676" t="n">
        <v>0</v>
      </c>
      <c r="Q676" t="n">
        <v>0</v>
      </c>
      <c r="R676" s="2" t="inlineStr"/>
    </row>
    <row r="677" ht="15" customHeight="1">
      <c r="A677" t="inlineStr">
        <is>
          <t>A 10585-2022</t>
        </is>
      </c>
      <c r="B677" s="1" t="n">
        <v>44624</v>
      </c>
      <c r="C677" s="1" t="n">
        <v>46086</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22523-2023</t>
        </is>
      </c>
      <c r="B678" s="1" t="n">
        <v>45069</v>
      </c>
      <c r="C678" s="1" t="n">
        <v>46086</v>
      </c>
      <c r="D678" t="inlineStr">
        <is>
          <t>VÄSTMANLANDS LÄN</t>
        </is>
      </c>
      <c r="E678" t="inlineStr">
        <is>
          <t>SALA</t>
        </is>
      </c>
      <c r="G678" t="n">
        <v>2.4</v>
      </c>
      <c r="H678" t="n">
        <v>0</v>
      </c>
      <c r="I678" t="n">
        <v>0</v>
      </c>
      <c r="J678" t="n">
        <v>0</v>
      </c>
      <c r="K678" t="n">
        <v>0</v>
      </c>
      <c r="L678" t="n">
        <v>0</v>
      </c>
      <c r="M678" t="n">
        <v>0</v>
      </c>
      <c r="N678" t="n">
        <v>0</v>
      </c>
      <c r="O678" t="n">
        <v>0</v>
      </c>
      <c r="P678" t="n">
        <v>0</v>
      </c>
      <c r="Q678" t="n">
        <v>0</v>
      </c>
      <c r="R678" s="2" t="inlineStr"/>
    </row>
    <row r="679" ht="15" customHeight="1">
      <c r="A679" t="inlineStr">
        <is>
          <t>A 31609-2024</t>
        </is>
      </c>
      <c r="B679" s="1" t="n">
        <v>45506</v>
      </c>
      <c r="C679" s="1" t="n">
        <v>46086</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56057-2023</t>
        </is>
      </c>
      <c r="B680" s="1" t="n">
        <v>45233</v>
      </c>
      <c r="C680" s="1" t="n">
        <v>46086</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62635-2022</t>
        </is>
      </c>
      <c r="B681" s="1" t="n">
        <v>44917</v>
      </c>
      <c r="C681" s="1" t="n">
        <v>46086</v>
      </c>
      <c r="D681" t="inlineStr">
        <is>
          <t>VÄSTMANLANDS LÄN</t>
        </is>
      </c>
      <c r="E681" t="inlineStr">
        <is>
          <t>SALA</t>
        </is>
      </c>
      <c r="G681" t="n">
        <v>0.4</v>
      </c>
      <c r="H681" t="n">
        <v>0</v>
      </c>
      <c r="I681" t="n">
        <v>0</v>
      </c>
      <c r="J681" t="n">
        <v>0</v>
      </c>
      <c r="K681" t="n">
        <v>0</v>
      </c>
      <c r="L681" t="n">
        <v>0</v>
      </c>
      <c r="M681" t="n">
        <v>0</v>
      </c>
      <c r="N681" t="n">
        <v>0</v>
      </c>
      <c r="O681" t="n">
        <v>0</v>
      </c>
      <c r="P681" t="n">
        <v>0</v>
      </c>
      <c r="Q681" t="n">
        <v>0</v>
      </c>
      <c r="R681" s="2" t="inlineStr"/>
    </row>
    <row r="682" ht="15" customHeight="1">
      <c r="A682" t="inlineStr">
        <is>
          <t>A 4852-2023</t>
        </is>
      </c>
      <c r="B682" s="1" t="n">
        <v>44957.72496527778</v>
      </c>
      <c r="C682" s="1" t="n">
        <v>46086</v>
      </c>
      <c r="D682" t="inlineStr">
        <is>
          <t>VÄSTMANLANDS LÄN</t>
        </is>
      </c>
      <c r="E682" t="inlineStr">
        <is>
          <t>SALA</t>
        </is>
      </c>
      <c r="G682" t="n">
        <v>2</v>
      </c>
      <c r="H682" t="n">
        <v>0</v>
      </c>
      <c r="I682" t="n">
        <v>0</v>
      </c>
      <c r="J682" t="n">
        <v>0</v>
      </c>
      <c r="K682" t="n">
        <v>0</v>
      </c>
      <c r="L682" t="n">
        <v>0</v>
      </c>
      <c r="M682" t="n">
        <v>0</v>
      </c>
      <c r="N682" t="n">
        <v>0</v>
      </c>
      <c r="O682" t="n">
        <v>0</v>
      </c>
      <c r="P682" t="n">
        <v>0</v>
      </c>
      <c r="Q682" t="n">
        <v>0</v>
      </c>
      <c r="R682" s="2" t="inlineStr"/>
    </row>
    <row r="683" ht="15" customHeight="1">
      <c r="A683" t="inlineStr">
        <is>
          <t>A 39714-2023</t>
        </is>
      </c>
      <c r="B683" s="1" t="n">
        <v>45167.62133101852</v>
      </c>
      <c r="C683" s="1" t="n">
        <v>46086</v>
      </c>
      <c r="D683" t="inlineStr">
        <is>
          <t>VÄSTMANLANDS LÄN</t>
        </is>
      </c>
      <c r="E683" t="inlineStr">
        <is>
          <t>SALA</t>
        </is>
      </c>
      <c r="G683" t="n">
        <v>1.3</v>
      </c>
      <c r="H683" t="n">
        <v>0</v>
      </c>
      <c r="I683" t="n">
        <v>0</v>
      </c>
      <c r="J683" t="n">
        <v>0</v>
      </c>
      <c r="K683" t="n">
        <v>0</v>
      </c>
      <c r="L683" t="n">
        <v>0</v>
      </c>
      <c r="M683" t="n">
        <v>0</v>
      </c>
      <c r="N683" t="n">
        <v>0</v>
      </c>
      <c r="O683" t="n">
        <v>0</v>
      </c>
      <c r="P683" t="n">
        <v>0</v>
      </c>
      <c r="Q683" t="n">
        <v>0</v>
      </c>
      <c r="R683" s="2" t="inlineStr"/>
    </row>
    <row r="684" ht="15" customHeight="1">
      <c r="A684" t="inlineStr">
        <is>
          <t>A 42984-2023</t>
        </is>
      </c>
      <c r="B684" s="1" t="n">
        <v>45179</v>
      </c>
      <c r="C684" s="1" t="n">
        <v>46086</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56535-2022</t>
        </is>
      </c>
      <c r="B685" s="1" t="n">
        <v>44893.47173611111</v>
      </c>
      <c r="C685" s="1" t="n">
        <v>46086</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60550-2024</t>
        </is>
      </c>
      <c r="B686" s="1" t="n">
        <v>45643</v>
      </c>
      <c r="C686" s="1" t="n">
        <v>46086</v>
      </c>
      <c r="D686" t="inlineStr">
        <is>
          <t>VÄSTMANLANDS LÄN</t>
        </is>
      </c>
      <c r="E686" t="inlineStr">
        <is>
          <t>SALA</t>
        </is>
      </c>
      <c r="G686" t="n">
        <v>0.6</v>
      </c>
      <c r="H686" t="n">
        <v>0</v>
      </c>
      <c r="I686" t="n">
        <v>0</v>
      </c>
      <c r="J686" t="n">
        <v>0</v>
      </c>
      <c r="K686" t="n">
        <v>0</v>
      </c>
      <c r="L686" t="n">
        <v>0</v>
      </c>
      <c r="M686" t="n">
        <v>0</v>
      </c>
      <c r="N686" t="n">
        <v>0</v>
      </c>
      <c r="O686" t="n">
        <v>0</v>
      </c>
      <c r="P686" t="n">
        <v>0</v>
      </c>
      <c r="Q686" t="n">
        <v>0</v>
      </c>
      <c r="R686" s="2" t="inlineStr"/>
    </row>
    <row r="687" ht="15" customHeight="1">
      <c r="A687" t="inlineStr">
        <is>
          <t>A 13746-2025</t>
        </is>
      </c>
      <c r="B687" s="1" t="n">
        <v>45737.40944444444</v>
      </c>
      <c r="C687" s="1" t="n">
        <v>46086</v>
      </c>
      <c r="D687" t="inlineStr">
        <is>
          <t>VÄSTMANLANDS LÄN</t>
        </is>
      </c>
      <c r="E687" t="inlineStr">
        <is>
          <t>SALA</t>
        </is>
      </c>
      <c r="G687" t="n">
        <v>2.1</v>
      </c>
      <c r="H687" t="n">
        <v>0</v>
      </c>
      <c r="I687" t="n">
        <v>0</v>
      </c>
      <c r="J687" t="n">
        <v>0</v>
      </c>
      <c r="K687" t="n">
        <v>0</v>
      </c>
      <c r="L687" t="n">
        <v>0</v>
      </c>
      <c r="M687" t="n">
        <v>0</v>
      </c>
      <c r="N687" t="n">
        <v>0</v>
      </c>
      <c r="O687" t="n">
        <v>0</v>
      </c>
      <c r="P687" t="n">
        <v>0</v>
      </c>
      <c r="Q687" t="n">
        <v>0</v>
      </c>
      <c r="R687" s="2" t="inlineStr"/>
    </row>
    <row r="688" ht="15" customHeight="1">
      <c r="A688" t="inlineStr">
        <is>
          <t>A 29230-2022</t>
        </is>
      </c>
      <c r="B688" s="1" t="n">
        <v>44750</v>
      </c>
      <c r="C688" s="1" t="n">
        <v>46086</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59175-2022</t>
        </is>
      </c>
      <c r="B689" s="1" t="n">
        <v>44904.48502314815</v>
      </c>
      <c r="C689" s="1" t="n">
        <v>46086</v>
      </c>
      <c r="D689" t="inlineStr">
        <is>
          <t>VÄSTMANLANDS LÄN</t>
        </is>
      </c>
      <c r="E689" t="inlineStr">
        <is>
          <t>SALA</t>
        </is>
      </c>
      <c r="G689" t="n">
        <v>2.1</v>
      </c>
      <c r="H689" t="n">
        <v>0</v>
      </c>
      <c r="I689" t="n">
        <v>0</v>
      </c>
      <c r="J689" t="n">
        <v>0</v>
      </c>
      <c r="K689" t="n">
        <v>0</v>
      </c>
      <c r="L689" t="n">
        <v>0</v>
      </c>
      <c r="M689" t="n">
        <v>0</v>
      </c>
      <c r="N689" t="n">
        <v>0</v>
      </c>
      <c r="O689" t="n">
        <v>0</v>
      </c>
      <c r="P689" t="n">
        <v>0</v>
      </c>
      <c r="Q689" t="n">
        <v>0</v>
      </c>
      <c r="R689" s="2" t="inlineStr"/>
    </row>
    <row r="690" ht="15" customHeight="1">
      <c r="A690" t="inlineStr">
        <is>
          <t>A 19381-2025</t>
        </is>
      </c>
      <c r="B690" s="1" t="n">
        <v>45769</v>
      </c>
      <c r="C690" s="1" t="n">
        <v>46086</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42938-2023</t>
        </is>
      </c>
      <c r="B691" s="1" t="n">
        <v>45179</v>
      </c>
      <c r="C691" s="1" t="n">
        <v>46086</v>
      </c>
      <c r="D691" t="inlineStr">
        <is>
          <t>VÄSTMANLANDS LÄN</t>
        </is>
      </c>
      <c r="E691" t="inlineStr">
        <is>
          <t>SALA</t>
        </is>
      </c>
      <c r="G691" t="n">
        <v>10.9</v>
      </c>
      <c r="H691" t="n">
        <v>0</v>
      </c>
      <c r="I691" t="n">
        <v>0</v>
      </c>
      <c r="J691" t="n">
        <v>0</v>
      </c>
      <c r="K691" t="n">
        <v>0</v>
      </c>
      <c r="L691" t="n">
        <v>0</v>
      </c>
      <c r="M691" t="n">
        <v>0</v>
      </c>
      <c r="N691" t="n">
        <v>0</v>
      </c>
      <c r="O691" t="n">
        <v>0</v>
      </c>
      <c r="P691" t="n">
        <v>0</v>
      </c>
      <c r="Q691" t="n">
        <v>0</v>
      </c>
      <c r="R691" s="2" t="inlineStr"/>
    </row>
    <row r="692" ht="15" customHeight="1">
      <c r="A692" t="inlineStr">
        <is>
          <t>A 19222-2025</t>
        </is>
      </c>
      <c r="B692" s="1" t="n">
        <v>45769</v>
      </c>
      <c r="C692" s="1" t="n">
        <v>46086</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19241-2025</t>
        </is>
      </c>
      <c r="B693" s="1" t="n">
        <v>45769</v>
      </c>
      <c r="C693" s="1" t="n">
        <v>46086</v>
      </c>
      <c r="D693" t="inlineStr">
        <is>
          <t>VÄSTMANLANDS LÄN</t>
        </is>
      </c>
      <c r="E693" t="inlineStr">
        <is>
          <t>SALA</t>
        </is>
      </c>
      <c r="G693" t="n">
        <v>3.6</v>
      </c>
      <c r="H693" t="n">
        <v>0</v>
      </c>
      <c r="I693" t="n">
        <v>0</v>
      </c>
      <c r="J693" t="n">
        <v>0</v>
      </c>
      <c r="K693" t="n">
        <v>0</v>
      </c>
      <c r="L693" t="n">
        <v>0</v>
      </c>
      <c r="M693" t="n">
        <v>0</v>
      </c>
      <c r="N693" t="n">
        <v>0</v>
      </c>
      <c r="O693" t="n">
        <v>0</v>
      </c>
      <c r="P693" t="n">
        <v>0</v>
      </c>
      <c r="Q693" t="n">
        <v>0</v>
      </c>
      <c r="R693" s="2" t="inlineStr"/>
    </row>
    <row r="694" ht="15" customHeight="1">
      <c r="A694" t="inlineStr">
        <is>
          <t>A 60823-2024</t>
        </is>
      </c>
      <c r="B694" s="1" t="n">
        <v>45644</v>
      </c>
      <c r="C694" s="1" t="n">
        <v>46086</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61681-2024</t>
        </is>
      </c>
      <c r="B695" s="1" t="n">
        <v>45647</v>
      </c>
      <c r="C695" s="1" t="n">
        <v>46086</v>
      </c>
      <c r="D695" t="inlineStr">
        <is>
          <t>VÄSTMANLANDS LÄN</t>
        </is>
      </c>
      <c r="E695" t="inlineStr">
        <is>
          <t>SALA</t>
        </is>
      </c>
      <c r="F695" t="inlineStr">
        <is>
          <t>Kommuner</t>
        </is>
      </c>
      <c r="G695" t="n">
        <v>1</v>
      </c>
      <c r="H695" t="n">
        <v>0</v>
      </c>
      <c r="I695" t="n">
        <v>0</v>
      </c>
      <c r="J695" t="n">
        <v>0</v>
      </c>
      <c r="K695" t="n">
        <v>0</v>
      </c>
      <c r="L695" t="n">
        <v>0</v>
      </c>
      <c r="M695" t="n">
        <v>0</v>
      </c>
      <c r="N695" t="n">
        <v>0</v>
      </c>
      <c r="O695" t="n">
        <v>0</v>
      </c>
      <c r="P695" t="n">
        <v>0</v>
      </c>
      <c r="Q695" t="n">
        <v>0</v>
      </c>
      <c r="R695" s="2" t="inlineStr"/>
    </row>
    <row r="696" ht="15" customHeight="1">
      <c r="A696" t="inlineStr">
        <is>
          <t>A 49661-2024</t>
        </is>
      </c>
      <c r="B696" s="1" t="n">
        <v>45596</v>
      </c>
      <c r="C696" s="1" t="n">
        <v>46086</v>
      </c>
      <c r="D696" t="inlineStr">
        <is>
          <t>VÄSTMANLANDS LÄN</t>
        </is>
      </c>
      <c r="E696" t="inlineStr">
        <is>
          <t>SALA</t>
        </is>
      </c>
      <c r="G696" t="n">
        <v>6.7</v>
      </c>
      <c r="H696" t="n">
        <v>0</v>
      </c>
      <c r="I696" t="n">
        <v>0</v>
      </c>
      <c r="J696" t="n">
        <v>0</v>
      </c>
      <c r="K696" t="n">
        <v>0</v>
      </c>
      <c r="L696" t="n">
        <v>0</v>
      </c>
      <c r="M696" t="n">
        <v>0</v>
      </c>
      <c r="N696" t="n">
        <v>0</v>
      </c>
      <c r="O696" t="n">
        <v>0</v>
      </c>
      <c r="P696" t="n">
        <v>0</v>
      </c>
      <c r="Q696" t="n">
        <v>0</v>
      </c>
      <c r="R696" s="2" t="inlineStr"/>
    </row>
    <row r="697" ht="15" customHeight="1">
      <c r="A697" t="inlineStr">
        <is>
          <t>A 59297-2023</t>
        </is>
      </c>
      <c r="B697" s="1" t="n">
        <v>45253</v>
      </c>
      <c r="C697" s="1" t="n">
        <v>46086</v>
      </c>
      <c r="D697" t="inlineStr">
        <is>
          <t>VÄSTMANLANDS LÄN</t>
        </is>
      </c>
      <c r="E697" t="inlineStr">
        <is>
          <t>SALA</t>
        </is>
      </c>
      <c r="G697" t="n">
        <v>2</v>
      </c>
      <c r="H697" t="n">
        <v>0</v>
      </c>
      <c r="I697" t="n">
        <v>0</v>
      </c>
      <c r="J697" t="n">
        <v>0</v>
      </c>
      <c r="K697" t="n">
        <v>0</v>
      </c>
      <c r="L697" t="n">
        <v>0</v>
      </c>
      <c r="M697" t="n">
        <v>0</v>
      </c>
      <c r="N697" t="n">
        <v>0</v>
      </c>
      <c r="O697" t="n">
        <v>0</v>
      </c>
      <c r="P697" t="n">
        <v>0</v>
      </c>
      <c r="Q697" t="n">
        <v>0</v>
      </c>
      <c r="R697" s="2" t="inlineStr"/>
    </row>
    <row r="698" ht="15" customHeight="1">
      <c r="A698" t="inlineStr">
        <is>
          <t>A 15965-2024</t>
        </is>
      </c>
      <c r="B698" s="1" t="n">
        <v>45405.55740740741</v>
      </c>
      <c r="C698" s="1" t="n">
        <v>46086</v>
      </c>
      <c r="D698" t="inlineStr">
        <is>
          <t>VÄSTMANLANDS LÄN</t>
        </is>
      </c>
      <c r="E698" t="inlineStr">
        <is>
          <t>SALA</t>
        </is>
      </c>
      <c r="G698" t="n">
        <v>0.5</v>
      </c>
      <c r="H698" t="n">
        <v>0</v>
      </c>
      <c r="I698" t="n">
        <v>0</v>
      </c>
      <c r="J698" t="n">
        <v>0</v>
      </c>
      <c r="K698" t="n">
        <v>0</v>
      </c>
      <c r="L698" t="n">
        <v>0</v>
      </c>
      <c r="M698" t="n">
        <v>0</v>
      </c>
      <c r="N698" t="n">
        <v>0</v>
      </c>
      <c r="O698" t="n">
        <v>0</v>
      </c>
      <c r="P698" t="n">
        <v>0</v>
      </c>
      <c r="Q698" t="n">
        <v>0</v>
      </c>
      <c r="R698" s="2" t="inlineStr"/>
    </row>
    <row r="699" ht="15" customHeight="1">
      <c r="A699" t="inlineStr">
        <is>
          <t>A 23180-2022</t>
        </is>
      </c>
      <c r="B699" s="1" t="n">
        <v>44719.79344907407</v>
      </c>
      <c r="C699" s="1" t="n">
        <v>46086</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21455-2023</t>
        </is>
      </c>
      <c r="B700" s="1" t="n">
        <v>45058</v>
      </c>
      <c r="C700" s="1" t="n">
        <v>46086</v>
      </c>
      <c r="D700" t="inlineStr">
        <is>
          <t>VÄSTMANLANDS LÄN</t>
        </is>
      </c>
      <c r="E700" t="inlineStr">
        <is>
          <t>SALA</t>
        </is>
      </c>
      <c r="G700" t="n">
        <v>6.4</v>
      </c>
      <c r="H700" t="n">
        <v>0</v>
      </c>
      <c r="I700" t="n">
        <v>0</v>
      </c>
      <c r="J700" t="n">
        <v>0</v>
      </c>
      <c r="K700" t="n">
        <v>0</v>
      </c>
      <c r="L700" t="n">
        <v>0</v>
      </c>
      <c r="M700" t="n">
        <v>0</v>
      </c>
      <c r="N700" t="n">
        <v>0</v>
      </c>
      <c r="O700" t="n">
        <v>0</v>
      </c>
      <c r="P700" t="n">
        <v>0</v>
      </c>
      <c r="Q700" t="n">
        <v>0</v>
      </c>
      <c r="R700" s="2" t="inlineStr"/>
    </row>
    <row r="701" ht="15" customHeight="1">
      <c r="A701" t="inlineStr">
        <is>
          <t>A 21053-2022</t>
        </is>
      </c>
      <c r="B701" s="1" t="n">
        <v>44704</v>
      </c>
      <c r="C701" s="1" t="n">
        <v>46086</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11927-2025</t>
        </is>
      </c>
      <c r="B702" s="1" t="n">
        <v>45728.5137962963</v>
      </c>
      <c r="C702" s="1" t="n">
        <v>46086</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50876-2023</t>
        </is>
      </c>
      <c r="B703" s="1" t="n">
        <v>45211</v>
      </c>
      <c r="C703" s="1" t="n">
        <v>46086</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10255-2024</t>
        </is>
      </c>
      <c r="B704" s="1" t="n">
        <v>45365</v>
      </c>
      <c r="C704" s="1" t="n">
        <v>46086</v>
      </c>
      <c r="D704" t="inlineStr">
        <is>
          <t>VÄSTMANLANDS LÄN</t>
        </is>
      </c>
      <c r="E704" t="inlineStr">
        <is>
          <t>SALA</t>
        </is>
      </c>
      <c r="F704" t="inlineStr">
        <is>
          <t>Kommuner</t>
        </is>
      </c>
      <c r="G704" t="n">
        <v>0.8</v>
      </c>
      <c r="H704" t="n">
        <v>0</v>
      </c>
      <c r="I704" t="n">
        <v>0</v>
      </c>
      <c r="J704" t="n">
        <v>0</v>
      </c>
      <c r="K704" t="n">
        <v>0</v>
      </c>
      <c r="L704" t="n">
        <v>0</v>
      </c>
      <c r="M704" t="n">
        <v>0</v>
      </c>
      <c r="N704" t="n">
        <v>0</v>
      </c>
      <c r="O704" t="n">
        <v>0</v>
      </c>
      <c r="P704" t="n">
        <v>0</v>
      </c>
      <c r="Q704" t="n">
        <v>0</v>
      </c>
      <c r="R704" s="2" t="inlineStr"/>
    </row>
    <row r="705" ht="15" customHeight="1">
      <c r="A705" t="inlineStr">
        <is>
          <t>A 62648-2022</t>
        </is>
      </c>
      <c r="B705" s="1" t="n">
        <v>44917</v>
      </c>
      <c r="C705" s="1" t="n">
        <v>46086</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56548-2024</t>
        </is>
      </c>
      <c r="B706" s="1" t="n">
        <v>45625</v>
      </c>
      <c r="C706" s="1" t="n">
        <v>46086</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5477-2024</t>
        </is>
      </c>
      <c r="B707" s="1" t="n">
        <v>45333.67833333334</v>
      </c>
      <c r="C707" s="1" t="n">
        <v>46086</v>
      </c>
      <c r="D707" t="inlineStr">
        <is>
          <t>VÄSTMANLANDS LÄN</t>
        </is>
      </c>
      <c r="E707" t="inlineStr">
        <is>
          <t>SALA</t>
        </is>
      </c>
      <c r="G707" t="n">
        <v>2.3</v>
      </c>
      <c r="H707" t="n">
        <v>0</v>
      </c>
      <c r="I707" t="n">
        <v>0</v>
      </c>
      <c r="J707" t="n">
        <v>0</v>
      </c>
      <c r="K707" t="n">
        <v>0</v>
      </c>
      <c r="L707" t="n">
        <v>0</v>
      </c>
      <c r="M707" t="n">
        <v>0</v>
      </c>
      <c r="N707" t="n">
        <v>0</v>
      </c>
      <c r="O707" t="n">
        <v>0</v>
      </c>
      <c r="P707" t="n">
        <v>0</v>
      </c>
      <c r="Q707" t="n">
        <v>0</v>
      </c>
      <c r="R707" s="2" t="inlineStr"/>
    </row>
    <row r="708" ht="15" customHeight="1">
      <c r="A708" t="inlineStr">
        <is>
          <t>A 39451-2022</t>
        </is>
      </c>
      <c r="B708" s="1" t="n">
        <v>44818.36606481481</v>
      </c>
      <c r="C708" s="1" t="n">
        <v>46086</v>
      </c>
      <c r="D708" t="inlineStr">
        <is>
          <t>VÄSTMANLANDS LÄN</t>
        </is>
      </c>
      <c r="E708" t="inlineStr">
        <is>
          <t>SALA</t>
        </is>
      </c>
      <c r="G708" t="n">
        <v>9.4</v>
      </c>
      <c r="H708" t="n">
        <v>0</v>
      </c>
      <c r="I708" t="n">
        <v>0</v>
      </c>
      <c r="J708" t="n">
        <v>0</v>
      </c>
      <c r="K708" t="n">
        <v>0</v>
      </c>
      <c r="L708" t="n">
        <v>0</v>
      </c>
      <c r="M708" t="n">
        <v>0</v>
      </c>
      <c r="N708" t="n">
        <v>0</v>
      </c>
      <c r="O708" t="n">
        <v>0</v>
      </c>
      <c r="P708" t="n">
        <v>0</v>
      </c>
      <c r="Q708" t="n">
        <v>0</v>
      </c>
      <c r="R708" s="2" t="inlineStr"/>
    </row>
    <row r="709" ht="15" customHeight="1">
      <c r="A709" t="inlineStr">
        <is>
          <t>A 7772-2023</t>
        </is>
      </c>
      <c r="B709" s="1" t="n">
        <v>44973.40076388889</v>
      </c>
      <c r="C709" s="1" t="n">
        <v>46086</v>
      </c>
      <c r="D709" t="inlineStr">
        <is>
          <t>VÄSTMANLANDS LÄN</t>
        </is>
      </c>
      <c r="E709" t="inlineStr">
        <is>
          <t>SALA</t>
        </is>
      </c>
      <c r="G709" t="n">
        <v>0.5</v>
      </c>
      <c r="H709" t="n">
        <v>0</v>
      </c>
      <c r="I709" t="n">
        <v>0</v>
      </c>
      <c r="J709" t="n">
        <v>0</v>
      </c>
      <c r="K709" t="n">
        <v>0</v>
      </c>
      <c r="L709" t="n">
        <v>0</v>
      </c>
      <c r="M709" t="n">
        <v>0</v>
      </c>
      <c r="N709" t="n">
        <v>0</v>
      </c>
      <c r="O709" t="n">
        <v>0</v>
      </c>
      <c r="P709" t="n">
        <v>0</v>
      </c>
      <c r="Q709" t="n">
        <v>0</v>
      </c>
      <c r="R709" s="2" t="inlineStr"/>
    </row>
    <row r="710" ht="15" customHeight="1">
      <c r="A710" t="inlineStr">
        <is>
          <t>A 19751-2022</t>
        </is>
      </c>
      <c r="B710" s="1" t="n">
        <v>44694</v>
      </c>
      <c r="C710" s="1" t="n">
        <v>46086</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44713-2023</t>
        </is>
      </c>
      <c r="B711" s="1" t="n">
        <v>45184</v>
      </c>
      <c r="C711" s="1" t="n">
        <v>46086</v>
      </c>
      <c r="D711" t="inlineStr">
        <is>
          <t>VÄSTMANLANDS LÄN</t>
        </is>
      </c>
      <c r="E711" t="inlineStr">
        <is>
          <t>SALA</t>
        </is>
      </c>
      <c r="F711" t="inlineStr">
        <is>
          <t>Kyrkan</t>
        </is>
      </c>
      <c r="G711" t="n">
        <v>7.6</v>
      </c>
      <c r="H711" t="n">
        <v>0</v>
      </c>
      <c r="I711" t="n">
        <v>0</v>
      </c>
      <c r="J711" t="n">
        <v>0</v>
      </c>
      <c r="K711" t="n">
        <v>0</v>
      </c>
      <c r="L711" t="n">
        <v>0</v>
      </c>
      <c r="M711" t="n">
        <v>0</v>
      </c>
      <c r="N711" t="n">
        <v>0</v>
      </c>
      <c r="O711" t="n">
        <v>0</v>
      </c>
      <c r="P711" t="n">
        <v>0</v>
      </c>
      <c r="Q711" t="n">
        <v>0</v>
      </c>
      <c r="R711" s="2" t="inlineStr"/>
    </row>
    <row r="712" ht="15" customHeight="1">
      <c r="A712" t="inlineStr">
        <is>
          <t>A 18713-2025</t>
        </is>
      </c>
      <c r="B712" s="1" t="n">
        <v>45763</v>
      </c>
      <c r="C712" s="1" t="n">
        <v>46086</v>
      </c>
      <c r="D712" t="inlineStr">
        <is>
          <t>VÄSTMANLANDS LÄN</t>
        </is>
      </c>
      <c r="E712" t="inlineStr">
        <is>
          <t>SALA</t>
        </is>
      </c>
      <c r="F712" t="inlineStr">
        <is>
          <t>Bergvik skog öst AB</t>
        </is>
      </c>
      <c r="G712" t="n">
        <v>11.6</v>
      </c>
      <c r="H712" t="n">
        <v>0</v>
      </c>
      <c r="I712" t="n">
        <v>0</v>
      </c>
      <c r="J712" t="n">
        <v>0</v>
      </c>
      <c r="K712" t="n">
        <v>0</v>
      </c>
      <c r="L712" t="n">
        <v>0</v>
      </c>
      <c r="M712" t="n">
        <v>0</v>
      </c>
      <c r="N712" t="n">
        <v>0</v>
      </c>
      <c r="O712" t="n">
        <v>0</v>
      </c>
      <c r="P712" t="n">
        <v>0</v>
      </c>
      <c r="Q712" t="n">
        <v>0</v>
      </c>
      <c r="R712" s="2" t="inlineStr"/>
    </row>
    <row r="713" ht="15" customHeight="1">
      <c r="A713" t="inlineStr">
        <is>
          <t>A 47479-2024</t>
        </is>
      </c>
      <c r="B713" s="1" t="n">
        <v>45587</v>
      </c>
      <c r="C713" s="1" t="n">
        <v>46086</v>
      </c>
      <c r="D713" t="inlineStr">
        <is>
          <t>VÄSTMANLANDS LÄN</t>
        </is>
      </c>
      <c r="E713" t="inlineStr">
        <is>
          <t>SALA</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69236-2021</t>
        </is>
      </c>
      <c r="B714" s="1" t="n">
        <v>44531.4047337963</v>
      </c>
      <c r="C714" s="1" t="n">
        <v>46086</v>
      </c>
      <c r="D714" t="inlineStr">
        <is>
          <t>VÄSTMANLANDS LÄN</t>
        </is>
      </c>
      <c r="E714" t="inlineStr">
        <is>
          <t>SALA</t>
        </is>
      </c>
      <c r="G714" t="n">
        <v>2.8</v>
      </c>
      <c r="H714" t="n">
        <v>0</v>
      </c>
      <c r="I714" t="n">
        <v>0</v>
      </c>
      <c r="J714" t="n">
        <v>0</v>
      </c>
      <c r="K714" t="n">
        <v>0</v>
      </c>
      <c r="L714" t="n">
        <v>0</v>
      </c>
      <c r="M714" t="n">
        <v>0</v>
      </c>
      <c r="N714" t="n">
        <v>0</v>
      </c>
      <c r="O714" t="n">
        <v>0</v>
      </c>
      <c r="P714" t="n">
        <v>0</v>
      </c>
      <c r="Q714" t="n">
        <v>0</v>
      </c>
      <c r="R714" s="2" t="inlineStr"/>
    </row>
    <row r="715" ht="15" customHeight="1">
      <c r="A715" t="inlineStr">
        <is>
          <t>A 25541-2024</t>
        </is>
      </c>
      <c r="B715" s="1" t="n">
        <v>45463.56337962963</v>
      </c>
      <c r="C715" s="1" t="n">
        <v>46086</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5728-2022</t>
        </is>
      </c>
      <c r="B716" s="1" t="n">
        <v>44596.42082175926</v>
      </c>
      <c r="C716" s="1" t="n">
        <v>46086</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10250-2025</t>
        </is>
      </c>
      <c r="B717" s="1" t="n">
        <v>45720.36165509259</v>
      </c>
      <c r="C717" s="1" t="n">
        <v>46086</v>
      </c>
      <c r="D717" t="inlineStr">
        <is>
          <t>VÄSTMANLANDS LÄN</t>
        </is>
      </c>
      <c r="E717" t="inlineStr">
        <is>
          <t>SALA</t>
        </is>
      </c>
      <c r="G717" t="n">
        <v>0.5</v>
      </c>
      <c r="H717" t="n">
        <v>0</v>
      </c>
      <c r="I717" t="n">
        <v>0</v>
      </c>
      <c r="J717" t="n">
        <v>0</v>
      </c>
      <c r="K717" t="n">
        <v>0</v>
      </c>
      <c r="L717" t="n">
        <v>0</v>
      </c>
      <c r="M717" t="n">
        <v>0</v>
      </c>
      <c r="N717" t="n">
        <v>0</v>
      </c>
      <c r="O717" t="n">
        <v>0</v>
      </c>
      <c r="P717" t="n">
        <v>0</v>
      </c>
      <c r="Q717" t="n">
        <v>0</v>
      </c>
      <c r="R717" s="2" t="inlineStr"/>
    </row>
    <row r="718" ht="15" customHeight="1">
      <c r="A718" t="inlineStr">
        <is>
          <t>A 49512-2024</t>
        </is>
      </c>
      <c r="B718" s="1" t="n">
        <v>45591</v>
      </c>
      <c r="C718" s="1" t="n">
        <v>46086</v>
      </c>
      <c r="D718" t="inlineStr">
        <is>
          <t>VÄSTMANLANDS LÄN</t>
        </is>
      </c>
      <c r="E718" t="inlineStr">
        <is>
          <t>SALA</t>
        </is>
      </c>
      <c r="G718" t="n">
        <v>8.1</v>
      </c>
      <c r="H718" t="n">
        <v>0</v>
      </c>
      <c r="I718" t="n">
        <v>0</v>
      </c>
      <c r="J718" t="n">
        <v>0</v>
      </c>
      <c r="K718" t="n">
        <v>0</v>
      </c>
      <c r="L718" t="n">
        <v>0</v>
      </c>
      <c r="M718" t="n">
        <v>0</v>
      </c>
      <c r="N718" t="n">
        <v>0</v>
      </c>
      <c r="O718" t="n">
        <v>0</v>
      </c>
      <c r="P718" t="n">
        <v>0</v>
      </c>
      <c r="Q718" t="n">
        <v>0</v>
      </c>
      <c r="R718" s="2" t="inlineStr"/>
    </row>
    <row r="719" ht="15" customHeight="1">
      <c r="A719" t="inlineStr">
        <is>
          <t>A 42416-2022</t>
        </is>
      </c>
      <c r="B719" s="1" t="n">
        <v>44831</v>
      </c>
      <c r="C719" s="1" t="n">
        <v>46086</v>
      </c>
      <c r="D719" t="inlineStr">
        <is>
          <t>VÄSTMANLANDS LÄN</t>
        </is>
      </c>
      <c r="E719" t="inlineStr">
        <is>
          <t>SALA</t>
        </is>
      </c>
      <c r="G719" t="n">
        <v>2.2</v>
      </c>
      <c r="H719" t="n">
        <v>0</v>
      </c>
      <c r="I719" t="n">
        <v>0</v>
      </c>
      <c r="J719" t="n">
        <v>0</v>
      </c>
      <c r="K719" t="n">
        <v>0</v>
      </c>
      <c r="L719" t="n">
        <v>0</v>
      </c>
      <c r="M719" t="n">
        <v>0</v>
      </c>
      <c r="N719" t="n">
        <v>0</v>
      </c>
      <c r="O719" t="n">
        <v>0</v>
      </c>
      <c r="P719" t="n">
        <v>0</v>
      </c>
      <c r="Q719" t="n">
        <v>0</v>
      </c>
      <c r="R719" s="2" t="inlineStr"/>
    </row>
    <row r="720" ht="15" customHeight="1">
      <c r="A720" t="inlineStr">
        <is>
          <t>A 6135-2023</t>
        </is>
      </c>
      <c r="B720" s="1" t="n">
        <v>44964.62628472222</v>
      </c>
      <c r="C720" s="1" t="n">
        <v>46086</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16693-2023</t>
        </is>
      </c>
      <c r="B721" s="1" t="n">
        <v>45028</v>
      </c>
      <c r="C721" s="1" t="n">
        <v>46086</v>
      </c>
      <c r="D721" t="inlineStr">
        <is>
          <t>VÄSTMANLANDS LÄN</t>
        </is>
      </c>
      <c r="E721" t="inlineStr">
        <is>
          <t>SALA</t>
        </is>
      </c>
      <c r="G721" t="n">
        <v>1.5</v>
      </c>
      <c r="H721" t="n">
        <v>0</v>
      </c>
      <c r="I721" t="n">
        <v>0</v>
      </c>
      <c r="J721" t="n">
        <v>0</v>
      </c>
      <c r="K721" t="n">
        <v>0</v>
      </c>
      <c r="L721" t="n">
        <v>0</v>
      </c>
      <c r="M721" t="n">
        <v>0</v>
      </c>
      <c r="N721" t="n">
        <v>0</v>
      </c>
      <c r="O721" t="n">
        <v>0</v>
      </c>
      <c r="P721" t="n">
        <v>0</v>
      </c>
      <c r="Q721" t="n">
        <v>0</v>
      </c>
      <c r="R721" s="2" t="inlineStr"/>
    </row>
    <row r="722" ht="15" customHeight="1">
      <c r="A722" t="inlineStr">
        <is>
          <t>A 8285-2025</t>
        </is>
      </c>
      <c r="B722" s="1" t="n">
        <v>45708</v>
      </c>
      <c r="C722" s="1" t="n">
        <v>46086</v>
      </c>
      <c r="D722" t="inlineStr">
        <is>
          <t>VÄSTMANLANDS LÄN</t>
        </is>
      </c>
      <c r="E722" t="inlineStr">
        <is>
          <t>SALA</t>
        </is>
      </c>
      <c r="G722" t="n">
        <v>5.7</v>
      </c>
      <c r="H722" t="n">
        <v>0</v>
      </c>
      <c r="I722" t="n">
        <v>0</v>
      </c>
      <c r="J722" t="n">
        <v>0</v>
      </c>
      <c r="K722" t="n">
        <v>0</v>
      </c>
      <c r="L722" t="n">
        <v>0</v>
      </c>
      <c r="M722" t="n">
        <v>0</v>
      </c>
      <c r="N722" t="n">
        <v>0</v>
      </c>
      <c r="O722" t="n">
        <v>0</v>
      </c>
      <c r="P722" t="n">
        <v>0</v>
      </c>
      <c r="Q722" t="n">
        <v>0</v>
      </c>
      <c r="R722" s="2" t="inlineStr"/>
    </row>
    <row r="723" ht="15" customHeight="1">
      <c r="A723" t="inlineStr">
        <is>
          <t>A 15584-2021</t>
        </is>
      </c>
      <c r="B723" s="1" t="n">
        <v>44285</v>
      </c>
      <c r="C723" s="1" t="n">
        <v>46086</v>
      </c>
      <c r="D723" t="inlineStr">
        <is>
          <t>VÄSTMANLANDS LÄN</t>
        </is>
      </c>
      <c r="E723" t="inlineStr">
        <is>
          <t>SALA</t>
        </is>
      </c>
      <c r="G723" t="n">
        <v>3.4</v>
      </c>
      <c r="H723" t="n">
        <v>0</v>
      </c>
      <c r="I723" t="n">
        <v>0</v>
      </c>
      <c r="J723" t="n">
        <v>0</v>
      </c>
      <c r="K723" t="n">
        <v>0</v>
      </c>
      <c r="L723" t="n">
        <v>0</v>
      </c>
      <c r="M723" t="n">
        <v>0</v>
      </c>
      <c r="N723" t="n">
        <v>0</v>
      </c>
      <c r="O723" t="n">
        <v>0</v>
      </c>
      <c r="P723" t="n">
        <v>0</v>
      </c>
      <c r="Q723" t="n">
        <v>0</v>
      </c>
      <c r="R723" s="2" t="inlineStr"/>
    </row>
    <row r="724" ht="15" customHeight="1">
      <c r="A724" t="inlineStr">
        <is>
          <t>A 18340-2025</t>
        </is>
      </c>
      <c r="B724" s="1" t="n">
        <v>45762</v>
      </c>
      <c r="C724" s="1" t="n">
        <v>46086</v>
      </c>
      <c r="D724" t="inlineStr">
        <is>
          <t>VÄSTMANLANDS LÄN</t>
        </is>
      </c>
      <c r="E724" t="inlineStr">
        <is>
          <t>SALA</t>
        </is>
      </c>
      <c r="G724" t="n">
        <v>2.1</v>
      </c>
      <c r="H724" t="n">
        <v>0</v>
      </c>
      <c r="I724" t="n">
        <v>0</v>
      </c>
      <c r="J724" t="n">
        <v>0</v>
      </c>
      <c r="K724" t="n">
        <v>0</v>
      </c>
      <c r="L724" t="n">
        <v>0</v>
      </c>
      <c r="M724" t="n">
        <v>0</v>
      </c>
      <c r="N724" t="n">
        <v>0</v>
      </c>
      <c r="O724" t="n">
        <v>0</v>
      </c>
      <c r="P724" t="n">
        <v>0</v>
      </c>
      <c r="Q724" t="n">
        <v>0</v>
      </c>
      <c r="R724" s="2" t="inlineStr"/>
    </row>
    <row r="725" ht="15" customHeight="1">
      <c r="A725" t="inlineStr">
        <is>
          <t>A 56706-2022</t>
        </is>
      </c>
      <c r="B725" s="1" t="n">
        <v>44893.78893518518</v>
      </c>
      <c r="C725" s="1" t="n">
        <v>46086</v>
      </c>
      <c r="D725" t="inlineStr">
        <is>
          <t>VÄSTMANLANDS LÄN</t>
        </is>
      </c>
      <c r="E725" t="inlineStr">
        <is>
          <t>SALA</t>
        </is>
      </c>
      <c r="G725" t="n">
        <v>4.5</v>
      </c>
      <c r="H725" t="n">
        <v>0</v>
      </c>
      <c r="I725" t="n">
        <v>0</v>
      </c>
      <c r="J725" t="n">
        <v>0</v>
      </c>
      <c r="K725" t="n">
        <v>0</v>
      </c>
      <c r="L725" t="n">
        <v>0</v>
      </c>
      <c r="M725" t="n">
        <v>0</v>
      </c>
      <c r="N725" t="n">
        <v>0</v>
      </c>
      <c r="O725" t="n">
        <v>0</v>
      </c>
      <c r="P725" t="n">
        <v>0</v>
      </c>
      <c r="Q725" t="n">
        <v>0</v>
      </c>
      <c r="R725" s="2" t="inlineStr"/>
    </row>
    <row r="726" ht="15" customHeight="1">
      <c r="A726" t="inlineStr">
        <is>
          <t>A 56707-2022</t>
        </is>
      </c>
      <c r="B726" s="1" t="n">
        <v>44893.79412037037</v>
      </c>
      <c r="C726" s="1" t="n">
        <v>46086</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48571-2024</t>
        </is>
      </c>
      <c r="B727" s="1" t="n">
        <v>45591</v>
      </c>
      <c r="C727" s="1" t="n">
        <v>46086</v>
      </c>
      <c r="D727" t="inlineStr">
        <is>
          <t>VÄSTMANLANDS LÄN</t>
        </is>
      </c>
      <c r="E727" t="inlineStr">
        <is>
          <t>SALA</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13188-2025</t>
        </is>
      </c>
      <c r="B728" s="1" t="n">
        <v>45735.39246527778</v>
      </c>
      <c r="C728" s="1" t="n">
        <v>46086</v>
      </c>
      <c r="D728" t="inlineStr">
        <is>
          <t>VÄSTMANLANDS LÄN</t>
        </is>
      </c>
      <c r="E728" t="inlineStr">
        <is>
          <t>SALA</t>
        </is>
      </c>
      <c r="F728" t="inlineStr">
        <is>
          <t>Naturvårdsverket</t>
        </is>
      </c>
      <c r="G728" t="n">
        <v>18.4</v>
      </c>
      <c r="H728" t="n">
        <v>0</v>
      </c>
      <c r="I728" t="n">
        <v>0</v>
      </c>
      <c r="J728" t="n">
        <v>0</v>
      </c>
      <c r="K728" t="n">
        <v>0</v>
      </c>
      <c r="L728" t="n">
        <v>0</v>
      </c>
      <c r="M728" t="n">
        <v>0</v>
      </c>
      <c r="N728" t="n">
        <v>0</v>
      </c>
      <c r="O728" t="n">
        <v>0</v>
      </c>
      <c r="P728" t="n">
        <v>0</v>
      </c>
      <c r="Q728" t="n">
        <v>0</v>
      </c>
      <c r="R728" s="2" t="inlineStr"/>
    </row>
    <row r="729" ht="15" customHeight="1">
      <c r="A729" t="inlineStr">
        <is>
          <t>A 23431-2024</t>
        </is>
      </c>
      <c r="B729" s="1" t="n">
        <v>45453</v>
      </c>
      <c r="C729" s="1" t="n">
        <v>46086</v>
      </c>
      <c r="D729" t="inlineStr">
        <is>
          <t>VÄSTMANLANDS LÄN</t>
        </is>
      </c>
      <c r="E729" t="inlineStr">
        <is>
          <t>SALA</t>
        </is>
      </c>
      <c r="G729" t="n">
        <v>1.6</v>
      </c>
      <c r="H729" t="n">
        <v>0</v>
      </c>
      <c r="I729" t="n">
        <v>0</v>
      </c>
      <c r="J729" t="n">
        <v>0</v>
      </c>
      <c r="K729" t="n">
        <v>0</v>
      </c>
      <c r="L729" t="n">
        <v>0</v>
      </c>
      <c r="M729" t="n">
        <v>0</v>
      </c>
      <c r="N729" t="n">
        <v>0</v>
      </c>
      <c r="O729" t="n">
        <v>0</v>
      </c>
      <c r="P729" t="n">
        <v>0</v>
      </c>
      <c r="Q729" t="n">
        <v>0</v>
      </c>
      <c r="R729" s="2" t="inlineStr"/>
    </row>
    <row r="730" ht="15" customHeight="1">
      <c r="A730" t="inlineStr">
        <is>
          <t>A 21168-2025</t>
        </is>
      </c>
      <c r="B730" s="1" t="n">
        <v>45777</v>
      </c>
      <c r="C730" s="1" t="n">
        <v>46086</v>
      </c>
      <c r="D730" t="inlineStr">
        <is>
          <t>VÄSTMANLANDS LÄN</t>
        </is>
      </c>
      <c r="E730" t="inlineStr">
        <is>
          <t>SALA</t>
        </is>
      </c>
      <c r="G730" t="n">
        <v>4.5</v>
      </c>
      <c r="H730" t="n">
        <v>0</v>
      </c>
      <c r="I730" t="n">
        <v>0</v>
      </c>
      <c r="J730" t="n">
        <v>0</v>
      </c>
      <c r="K730" t="n">
        <v>0</v>
      </c>
      <c r="L730" t="n">
        <v>0</v>
      </c>
      <c r="M730" t="n">
        <v>0</v>
      </c>
      <c r="N730" t="n">
        <v>0</v>
      </c>
      <c r="O730" t="n">
        <v>0</v>
      </c>
      <c r="P730" t="n">
        <v>0</v>
      </c>
      <c r="Q730" t="n">
        <v>0</v>
      </c>
      <c r="R730" s="2" t="inlineStr"/>
    </row>
    <row r="731" ht="15" customHeight="1">
      <c r="A731" t="inlineStr">
        <is>
          <t>A 21754-2025</t>
        </is>
      </c>
      <c r="B731" s="1" t="n">
        <v>45783.61837962963</v>
      </c>
      <c r="C731" s="1" t="n">
        <v>46086</v>
      </c>
      <c r="D731" t="inlineStr">
        <is>
          <t>VÄSTMANLANDS LÄN</t>
        </is>
      </c>
      <c r="E731" t="inlineStr">
        <is>
          <t>SALA</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21751-2025</t>
        </is>
      </c>
      <c r="B732" s="1" t="n">
        <v>45783.61372685185</v>
      </c>
      <c r="C732" s="1" t="n">
        <v>46086</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37587-2024</t>
        </is>
      </c>
      <c r="B733" s="1" t="n">
        <v>45541</v>
      </c>
      <c r="C733" s="1" t="n">
        <v>46086</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64724-2023</t>
        </is>
      </c>
      <c r="B734" s="1" t="n">
        <v>45281.7602662037</v>
      </c>
      <c r="C734" s="1" t="n">
        <v>46086</v>
      </c>
      <c r="D734" t="inlineStr">
        <is>
          <t>VÄSTMANLANDS LÄN</t>
        </is>
      </c>
      <c r="E734" t="inlineStr">
        <is>
          <t>SALA</t>
        </is>
      </c>
      <c r="G734" t="n">
        <v>2.3</v>
      </c>
      <c r="H734" t="n">
        <v>0</v>
      </c>
      <c r="I734" t="n">
        <v>0</v>
      </c>
      <c r="J734" t="n">
        <v>0</v>
      </c>
      <c r="K734" t="n">
        <v>0</v>
      </c>
      <c r="L734" t="n">
        <v>0</v>
      </c>
      <c r="M734" t="n">
        <v>0</v>
      </c>
      <c r="N734" t="n">
        <v>0</v>
      </c>
      <c r="O734" t="n">
        <v>0</v>
      </c>
      <c r="P734" t="n">
        <v>0</v>
      </c>
      <c r="Q734" t="n">
        <v>0</v>
      </c>
      <c r="R734" s="2" t="inlineStr"/>
    </row>
    <row r="735" ht="15" customHeight="1">
      <c r="A735" t="inlineStr">
        <is>
          <t>A 7176-2023</t>
        </is>
      </c>
      <c r="B735" s="1" t="n">
        <v>44970</v>
      </c>
      <c r="C735" s="1" t="n">
        <v>46086</v>
      </c>
      <c r="D735" t="inlineStr">
        <is>
          <t>VÄSTMANLANDS LÄN</t>
        </is>
      </c>
      <c r="E735" t="inlineStr">
        <is>
          <t>SALA</t>
        </is>
      </c>
      <c r="G735" t="n">
        <v>1.5</v>
      </c>
      <c r="H735" t="n">
        <v>0</v>
      </c>
      <c r="I735" t="n">
        <v>0</v>
      </c>
      <c r="J735" t="n">
        <v>0</v>
      </c>
      <c r="K735" t="n">
        <v>0</v>
      </c>
      <c r="L735" t="n">
        <v>0</v>
      </c>
      <c r="M735" t="n">
        <v>0</v>
      </c>
      <c r="N735" t="n">
        <v>0</v>
      </c>
      <c r="O735" t="n">
        <v>0</v>
      </c>
      <c r="P735" t="n">
        <v>0</v>
      </c>
      <c r="Q735" t="n">
        <v>0</v>
      </c>
      <c r="R735" s="2" t="inlineStr"/>
    </row>
    <row r="736" ht="15" customHeight="1">
      <c r="A736" t="inlineStr">
        <is>
          <t>A 43600-2024</t>
        </is>
      </c>
      <c r="B736" s="1" t="n">
        <v>45569</v>
      </c>
      <c r="C736" s="1" t="n">
        <v>46086</v>
      </c>
      <c r="D736" t="inlineStr">
        <is>
          <t>VÄSTMANLANDS LÄN</t>
        </is>
      </c>
      <c r="E736" t="inlineStr">
        <is>
          <t>SALA</t>
        </is>
      </c>
      <c r="G736" t="n">
        <v>0.9</v>
      </c>
      <c r="H736" t="n">
        <v>0</v>
      </c>
      <c r="I736" t="n">
        <v>0</v>
      </c>
      <c r="J736" t="n">
        <v>0</v>
      </c>
      <c r="K736" t="n">
        <v>0</v>
      </c>
      <c r="L736" t="n">
        <v>0</v>
      </c>
      <c r="M736" t="n">
        <v>0</v>
      </c>
      <c r="N736" t="n">
        <v>0</v>
      </c>
      <c r="O736" t="n">
        <v>0</v>
      </c>
      <c r="P736" t="n">
        <v>0</v>
      </c>
      <c r="Q736" t="n">
        <v>0</v>
      </c>
      <c r="R736" s="2" t="inlineStr"/>
    </row>
    <row r="737" ht="15" customHeight="1">
      <c r="A737" t="inlineStr">
        <is>
          <t>A 31405-2024</t>
        </is>
      </c>
      <c r="B737" s="1" t="n">
        <v>45505.5490625</v>
      </c>
      <c r="C737" s="1" t="n">
        <v>46086</v>
      </c>
      <c r="D737" t="inlineStr">
        <is>
          <t>VÄSTMANLANDS LÄN</t>
        </is>
      </c>
      <c r="E737" t="inlineStr">
        <is>
          <t>SALA</t>
        </is>
      </c>
      <c r="G737" t="n">
        <v>5.2</v>
      </c>
      <c r="H737" t="n">
        <v>0</v>
      </c>
      <c r="I737" t="n">
        <v>0</v>
      </c>
      <c r="J737" t="n">
        <v>0</v>
      </c>
      <c r="K737" t="n">
        <v>0</v>
      </c>
      <c r="L737" t="n">
        <v>0</v>
      </c>
      <c r="M737" t="n">
        <v>0</v>
      </c>
      <c r="N737" t="n">
        <v>0</v>
      </c>
      <c r="O737" t="n">
        <v>0</v>
      </c>
      <c r="P737" t="n">
        <v>0</v>
      </c>
      <c r="Q737" t="n">
        <v>0</v>
      </c>
      <c r="R737" s="2" t="inlineStr"/>
    </row>
    <row r="738" ht="15" customHeight="1">
      <c r="A738" t="inlineStr">
        <is>
          <t>A 22616-2025</t>
        </is>
      </c>
      <c r="B738" s="1" t="n">
        <v>45789.42752314815</v>
      </c>
      <c r="C738" s="1" t="n">
        <v>46086</v>
      </c>
      <c r="D738" t="inlineStr">
        <is>
          <t>VÄSTMANLANDS LÄN</t>
        </is>
      </c>
      <c r="E738" t="inlineStr">
        <is>
          <t>SALA</t>
        </is>
      </c>
      <c r="G738" t="n">
        <v>0.8</v>
      </c>
      <c r="H738" t="n">
        <v>0</v>
      </c>
      <c r="I738" t="n">
        <v>0</v>
      </c>
      <c r="J738" t="n">
        <v>0</v>
      </c>
      <c r="K738" t="n">
        <v>0</v>
      </c>
      <c r="L738" t="n">
        <v>0</v>
      </c>
      <c r="M738" t="n">
        <v>0</v>
      </c>
      <c r="N738" t="n">
        <v>0</v>
      </c>
      <c r="O738" t="n">
        <v>0</v>
      </c>
      <c r="P738" t="n">
        <v>0</v>
      </c>
      <c r="Q738" t="n">
        <v>0</v>
      </c>
      <c r="R738" s="2" t="inlineStr"/>
    </row>
    <row r="739" ht="15" customHeight="1">
      <c r="A739" t="inlineStr">
        <is>
          <t>A 22353-2025</t>
        </is>
      </c>
      <c r="B739" s="1" t="n">
        <v>45786</v>
      </c>
      <c r="C739" s="1" t="n">
        <v>46086</v>
      </c>
      <c r="D739" t="inlineStr">
        <is>
          <t>VÄSTMANLANDS LÄN</t>
        </is>
      </c>
      <c r="E739" t="inlineStr">
        <is>
          <t>SALA</t>
        </is>
      </c>
      <c r="G739" t="n">
        <v>2.5</v>
      </c>
      <c r="H739" t="n">
        <v>0</v>
      </c>
      <c r="I739" t="n">
        <v>0</v>
      </c>
      <c r="J739" t="n">
        <v>0</v>
      </c>
      <c r="K739" t="n">
        <v>0</v>
      </c>
      <c r="L739" t="n">
        <v>0</v>
      </c>
      <c r="M739" t="n">
        <v>0</v>
      </c>
      <c r="N739" t="n">
        <v>0</v>
      </c>
      <c r="O739" t="n">
        <v>0</v>
      </c>
      <c r="P739" t="n">
        <v>0</v>
      </c>
      <c r="Q739" t="n">
        <v>0</v>
      </c>
      <c r="R739" s="2" t="inlineStr"/>
    </row>
    <row r="740" ht="15" customHeight="1">
      <c r="A740" t="inlineStr">
        <is>
          <t>A 22383-2025</t>
        </is>
      </c>
      <c r="B740" s="1" t="n">
        <v>45786</v>
      </c>
      <c r="C740" s="1" t="n">
        <v>46086</v>
      </c>
      <c r="D740" t="inlineStr">
        <is>
          <t>VÄSTMANLANDS LÄN</t>
        </is>
      </c>
      <c r="E740" t="inlineStr">
        <is>
          <t>SALA</t>
        </is>
      </c>
      <c r="G740" t="n">
        <v>2.2</v>
      </c>
      <c r="H740" t="n">
        <v>0</v>
      </c>
      <c r="I740" t="n">
        <v>0</v>
      </c>
      <c r="J740" t="n">
        <v>0</v>
      </c>
      <c r="K740" t="n">
        <v>0</v>
      </c>
      <c r="L740" t="n">
        <v>0</v>
      </c>
      <c r="M740" t="n">
        <v>0</v>
      </c>
      <c r="N740" t="n">
        <v>0</v>
      </c>
      <c r="O740" t="n">
        <v>0</v>
      </c>
      <c r="P740" t="n">
        <v>0</v>
      </c>
      <c r="Q740" t="n">
        <v>0</v>
      </c>
      <c r="R740" s="2" t="inlineStr"/>
    </row>
    <row r="741" ht="15" customHeight="1">
      <c r="A741" t="inlineStr">
        <is>
          <t>A 22624-2025</t>
        </is>
      </c>
      <c r="B741" s="1" t="n">
        <v>45789.43327546296</v>
      </c>
      <c r="C741" s="1" t="n">
        <v>46086</v>
      </c>
      <c r="D741" t="inlineStr">
        <is>
          <t>VÄSTMANLANDS LÄN</t>
        </is>
      </c>
      <c r="E741" t="inlineStr">
        <is>
          <t>SALA</t>
        </is>
      </c>
      <c r="G741" t="n">
        <v>1.5</v>
      </c>
      <c r="H741" t="n">
        <v>0</v>
      </c>
      <c r="I741" t="n">
        <v>0</v>
      </c>
      <c r="J741" t="n">
        <v>0</v>
      </c>
      <c r="K741" t="n">
        <v>0</v>
      </c>
      <c r="L741" t="n">
        <v>0</v>
      </c>
      <c r="M741" t="n">
        <v>0</v>
      </c>
      <c r="N741" t="n">
        <v>0</v>
      </c>
      <c r="O741" t="n">
        <v>0</v>
      </c>
      <c r="P741" t="n">
        <v>0</v>
      </c>
      <c r="Q741" t="n">
        <v>0</v>
      </c>
      <c r="R741" s="2" t="inlineStr"/>
    </row>
    <row r="742" ht="15" customHeight="1">
      <c r="A742" t="inlineStr">
        <is>
          <t>A 22370-2025</t>
        </is>
      </c>
      <c r="B742" s="1" t="n">
        <v>45786</v>
      </c>
      <c r="C742" s="1" t="n">
        <v>46086</v>
      </c>
      <c r="D742" t="inlineStr">
        <is>
          <t>VÄSTMANLANDS LÄN</t>
        </is>
      </c>
      <c r="E742" t="inlineStr">
        <is>
          <t>SALA</t>
        </is>
      </c>
      <c r="G742" t="n">
        <v>3.2</v>
      </c>
      <c r="H742" t="n">
        <v>0</v>
      </c>
      <c r="I742" t="n">
        <v>0</v>
      </c>
      <c r="J742" t="n">
        <v>0</v>
      </c>
      <c r="K742" t="n">
        <v>0</v>
      </c>
      <c r="L742" t="n">
        <v>0</v>
      </c>
      <c r="M742" t="n">
        <v>0</v>
      </c>
      <c r="N742" t="n">
        <v>0</v>
      </c>
      <c r="O742" t="n">
        <v>0</v>
      </c>
      <c r="P742" t="n">
        <v>0</v>
      </c>
      <c r="Q742" t="n">
        <v>0</v>
      </c>
      <c r="R742" s="2" t="inlineStr"/>
    </row>
    <row r="743" ht="15" customHeight="1">
      <c r="A743" t="inlineStr">
        <is>
          <t>A 13130-2025</t>
        </is>
      </c>
      <c r="B743" s="1" t="n">
        <v>45734</v>
      </c>
      <c r="C743" s="1" t="n">
        <v>46086</v>
      </c>
      <c r="D743" t="inlineStr">
        <is>
          <t>VÄSTMANLANDS LÄN</t>
        </is>
      </c>
      <c r="E743" t="inlineStr">
        <is>
          <t>SALA</t>
        </is>
      </c>
      <c r="G743" t="n">
        <v>1.5</v>
      </c>
      <c r="H743" t="n">
        <v>0</v>
      </c>
      <c r="I743" t="n">
        <v>0</v>
      </c>
      <c r="J743" t="n">
        <v>0</v>
      </c>
      <c r="K743" t="n">
        <v>0</v>
      </c>
      <c r="L743" t="n">
        <v>0</v>
      </c>
      <c r="M743" t="n">
        <v>0</v>
      </c>
      <c r="N743" t="n">
        <v>0</v>
      </c>
      <c r="O743" t="n">
        <v>0</v>
      </c>
      <c r="P743" t="n">
        <v>0</v>
      </c>
      <c r="Q743" t="n">
        <v>0</v>
      </c>
      <c r="R743" s="2" t="inlineStr"/>
    </row>
    <row r="744" ht="15" customHeight="1">
      <c r="A744" t="inlineStr">
        <is>
          <t>A 23804-2025</t>
        </is>
      </c>
      <c r="B744" s="1" t="n">
        <v>45793.55995370371</v>
      </c>
      <c r="C744" s="1" t="n">
        <v>46086</v>
      </c>
      <c r="D744" t="inlineStr">
        <is>
          <t>VÄSTMANLANDS LÄN</t>
        </is>
      </c>
      <c r="E744" t="inlineStr">
        <is>
          <t>SALA</t>
        </is>
      </c>
      <c r="G744" t="n">
        <v>1.9</v>
      </c>
      <c r="H744" t="n">
        <v>0</v>
      </c>
      <c r="I744" t="n">
        <v>0</v>
      </c>
      <c r="J744" t="n">
        <v>0</v>
      </c>
      <c r="K744" t="n">
        <v>0</v>
      </c>
      <c r="L744" t="n">
        <v>0</v>
      </c>
      <c r="M744" t="n">
        <v>0</v>
      </c>
      <c r="N744" t="n">
        <v>0</v>
      </c>
      <c r="O744" t="n">
        <v>0</v>
      </c>
      <c r="P744" t="n">
        <v>0</v>
      </c>
      <c r="Q744" t="n">
        <v>0</v>
      </c>
      <c r="R744" s="2" t="inlineStr"/>
    </row>
    <row r="745" ht="15" customHeight="1">
      <c r="A745" t="inlineStr">
        <is>
          <t>A 22126-2025</t>
        </is>
      </c>
      <c r="B745" s="1" t="n">
        <v>45785</v>
      </c>
      <c r="C745" s="1" t="n">
        <v>46086</v>
      </c>
      <c r="D745" t="inlineStr">
        <is>
          <t>VÄSTMANLANDS LÄN</t>
        </is>
      </c>
      <c r="E745" t="inlineStr">
        <is>
          <t>SALA</t>
        </is>
      </c>
      <c r="G745" t="n">
        <v>10.6</v>
      </c>
      <c r="H745" t="n">
        <v>0</v>
      </c>
      <c r="I745" t="n">
        <v>0</v>
      </c>
      <c r="J745" t="n">
        <v>0</v>
      </c>
      <c r="K745" t="n">
        <v>0</v>
      </c>
      <c r="L745" t="n">
        <v>0</v>
      </c>
      <c r="M745" t="n">
        <v>0</v>
      </c>
      <c r="N745" t="n">
        <v>0</v>
      </c>
      <c r="O745" t="n">
        <v>0</v>
      </c>
      <c r="P745" t="n">
        <v>0</v>
      </c>
      <c r="Q745" t="n">
        <v>0</v>
      </c>
      <c r="R745" s="2" t="inlineStr"/>
    </row>
    <row r="746" ht="15" customHeight="1">
      <c r="A746" t="inlineStr">
        <is>
          <t>A 19297-2025</t>
        </is>
      </c>
      <c r="B746" s="1" t="n">
        <v>45769.56261574074</v>
      </c>
      <c r="C746" s="1" t="n">
        <v>46086</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23810-2025</t>
        </is>
      </c>
      <c r="B747" s="1" t="n">
        <v>45793.56989583333</v>
      </c>
      <c r="C747" s="1" t="n">
        <v>46086</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24169-2025</t>
        </is>
      </c>
      <c r="B748" s="1" t="n">
        <v>45796</v>
      </c>
      <c r="C748" s="1" t="n">
        <v>46086</v>
      </c>
      <c r="D748" t="inlineStr">
        <is>
          <t>VÄSTMANLANDS LÄN</t>
        </is>
      </c>
      <c r="E748" t="inlineStr">
        <is>
          <t>SALA</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11210-2025</t>
        </is>
      </c>
      <c r="B749" s="1" t="n">
        <v>45726</v>
      </c>
      <c r="C749" s="1" t="n">
        <v>46086</v>
      </c>
      <c r="D749" t="inlineStr">
        <is>
          <t>VÄSTMANLANDS LÄN</t>
        </is>
      </c>
      <c r="E749" t="inlineStr">
        <is>
          <t>SALA</t>
        </is>
      </c>
      <c r="G749" t="n">
        <v>4.1</v>
      </c>
      <c r="H749" t="n">
        <v>0</v>
      </c>
      <c r="I749" t="n">
        <v>0</v>
      </c>
      <c r="J749" t="n">
        <v>0</v>
      </c>
      <c r="K749" t="n">
        <v>0</v>
      </c>
      <c r="L749" t="n">
        <v>0</v>
      </c>
      <c r="M749" t="n">
        <v>0</v>
      </c>
      <c r="N749" t="n">
        <v>0</v>
      </c>
      <c r="O749" t="n">
        <v>0</v>
      </c>
      <c r="P749" t="n">
        <v>0</v>
      </c>
      <c r="Q749" t="n">
        <v>0</v>
      </c>
      <c r="R749" s="2" t="inlineStr"/>
    </row>
    <row r="750" ht="15" customHeight="1">
      <c r="A750" t="inlineStr">
        <is>
          <t>A 24944-2023</t>
        </is>
      </c>
      <c r="B750" s="1" t="n">
        <v>45085</v>
      </c>
      <c r="C750" s="1" t="n">
        <v>46086</v>
      </c>
      <c r="D750" t="inlineStr">
        <is>
          <t>VÄSTMANLANDS LÄN</t>
        </is>
      </c>
      <c r="E750" t="inlineStr">
        <is>
          <t>SALA</t>
        </is>
      </c>
      <c r="G750" t="n">
        <v>3.8</v>
      </c>
      <c r="H750" t="n">
        <v>0</v>
      </c>
      <c r="I750" t="n">
        <v>0</v>
      </c>
      <c r="J750" t="n">
        <v>0</v>
      </c>
      <c r="K750" t="n">
        <v>0</v>
      </c>
      <c r="L750" t="n">
        <v>0</v>
      </c>
      <c r="M750" t="n">
        <v>0</v>
      </c>
      <c r="N750" t="n">
        <v>0</v>
      </c>
      <c r="O750" t="n">
        <v>0</v>
      </c>
      <c r="P750" t="n">
        <v>0</v>
      </c>
      <c r="Q750" t="n">
        <v>0</v>
      </c>
      <c r="R750" s="2" t="inlineStr"/>
    </row>
    <row r="751" ht="15" customHeight="1">
      <c r="A751" t="inlineStr">
        <is>
          <t>A 24460-2025</t>
        </is>
      </c>
      <c r="B751" s="1" t="n">
        <v>45798</v>
      </c>
      <c r="C751" s="1" t="n">
        <v>46086</v>
      </c>
      <c r="D751" t="inlineStr">
        <is>
          <t>VÄSTMANLANDS LÄN</t>
        </is>
      </c>
      <c r="E751" t="inlineStr">
        <is>
          <t>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24463-2025</t>
        </is>
      </c>
      <c r="B752" s="1" t="n">
        <v>45798</v>
      </c>
      <c r="C752" s="1" t="n">
        <v>46086</v>
      </c>
      <c r="D752" t="inlineStr">
        <is>
          <t>VÄSTMANLANDS LÄN</t>
        </is>
      </c>
      <c r="E752" t="inlineStr">
        <is>
          <t>SALA</t>
        </is>
      </c>
      <c r="F752" t="inlineStr">
        <is>
          <t>Bergvik skog öst AB</t>
        </is>
      </c>
      <c r="G752" t="n">
        <v>1.5</v>
      </c>
      <c r="H752" t="n">
        <v>0</v>
      </c>
      <c r="I752" t="n">
        <v>0</v>
      </c>
      <c r="J752" t="n">
        <v>0</v>
      </c>
      <c r="K752" t="n">
        <v>0</v>
      </c>
      <c r="L752" t="n">
        <v>0</v>
      </c>
      <c r="M752" t="n">
        <v>0</v>
      </c>
      <c r="N752" t="n">
        <v>0</v>
      </c>
      <c r="O752" t="n">
        <v>0</v>
      </c>
      <c r="P752" t="n">
        <v>0</v>
      </c>
      <c r="Q752" t="n">
        <v>0</v>
      </c>
      <c r="R752" s="2" t="inlineStr"/>
    </row>
    <row r="753" ht="15" customHeight="1">
      <c r="A753" t="inlineStr">
        <is>
          <t>A 55065-2024</t>
        </is>
      </c>
      <c r="B753" s="1" t="n">
        <v>45618</v>
      </c>
      <c r="C753" s="1" t="n">
        <v>46086</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24907-2025</t>
        </is>
      </c>
      <c r="B754" s="1" t="n">
        <v>45799</v>
      </c>
      <c r="C754" s="1" t="n">
        <v>46086</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24910-2025</t>
        </is>
      </c>
      <c r="B755" s="1" t="n">
        <v>45799.53775462963</v>
      </c>
      <c r="C755" s="1" t="n">
        <v>46086</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c r="A756" t="inlineStr">
        <is>
          <t>A 10909-2024</t>
        </is>
      </c>
      <c r="B756" s="1" t="n">
        <v>45370</v>
      </c>
      <c r="C756" s="1" t="n">
        <v>46086</v>
      </c>
      <c r="D756" t="inlineStr">
        <is>
          <t>VÄSTMANLANDS LÄN</t>
        </is>
      </c>
      <c r="E756" t="inlineStr">
        <is>
          <t>SALA</t>
        </is>
      </c>
      <c r="G756" t="n">
        <v>3.3</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2026-03-05T11:19:39Z</dcterms:created>
  <dcterms:modified xmlns:dcterms="http://purl.org/dc/terms/" xmlns:xsi="http://www.w3.org/2001/XMLSchema-instance" xsi:type="dcterms:W3CDTF">2026-03-05T11:19:39Z</dcterms:modified>
</cp:coreProperties>
</file>