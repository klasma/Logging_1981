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46092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46092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46092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46092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46092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46092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46092</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46092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46092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46092</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46092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46092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46092</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46092</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46092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46092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46092</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3930-2026</t>
        </is>
      </c>
      <c r="B20" s="1" t="n">
        <v>46043</v>
      </c>
      <c r="C20" s="1" t="n">
        <v>46092</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34065-2025</t>
        </is>
      </c>
      <c r="B21" s="1" t="n">
        <v>45845.42806712963</v>
      </c>
      <c r="C21" s="1" t="n">
        <v>46092</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53019-2024</t>
        </is>
      </c>
      <c r="B22" s="1" t="n">
        <v>45610</v>
      </c>
      <c r="C22" s="1" t="n">
        <v>46092</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46092</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3567-2024</t>
        </is>
      </c>
      <c r="B24" s="1" t="n">
        <v>45320.63706018519</v>
      </c>
      <c r="C24" s="1" t="n">
        <v>46092</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46092</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46092</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46092</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46092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46092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59826-2025</t>
        </is>
      </c>
      <c r="B30" s="1" t="n">
        <v>45992.65416666667</v>
      </c>
      <c r="C30" s="1" t="n">
        <v>46092</v>
      </c>
      <c r="D30" t="inlineStr">
        <is>
          <t>VÄSTMANLANDS LÄN</t>
        </is>
      </c>
      <c r="E30" t="inlineStr">
        <is>
          <t>SALA</t>
        </is>
      </c>
      <c r="G30" t="n">
        <v>2.7</v>
      </c>
      <c r="H30" t="n">
        <v>0</v>
      </c>
      <c r="I30" t="n">
        <v>1</v>
      </c>
      <c r="J30" t="n">
        <v>1</v>
      </c>
      <c r="K30" t="n">
        <v>0</v>
      </c>
      <c r="L30" t="n">
        <v>0</v>
      </c>
      <c r="M30" t="n">
        <v>0</v>
      </c>
      <c r="N30" t="n">
        <v>0</v>
      </c>
      <c r="O30" t="n">
        <v>1</v>
      </c>
      <c r="P30" t="n">
        <v>0</v>
      </c>
      <c r="Q30" t="n">
        <v>2</v>
      </c>
      <c r="R30" s="2" t="inlineStr">
        <is>
          <t>Motaggsvamp
Gullgröppa</t>
        </is>
      </c>
      <c r="S30">
        <f>HYPERLINK("https://klasma.github.io/Logging_1981/artfynd/A 59826-2025 artfynd.xlsx", "A 59826-2025")</f>
        <v/>
      </c>
      <c r="T30">
        <f>HYPERLINK("https://klasma.github.io/Logging_1981/kartor/A 59826-2025 karta.png", "A 59826-2025")</f>
        <v/>
      </c>
      <c r="V30">
        <f>HYPERLINK("https://klasma.github.io/Logging_1981/klagomål/A 59826-2025 FSC-klagomål.docx", "A 59826-2025")</f>
        <v/>
      </c>
      <c r="W30">
        <f>HYPERLINK("https://klasma.github.io/Logging_1981/klagomålsmail/A 59826-2025 FSC-klagomål mail.docx", "A 59826-2025")</f>
        <v/>
      </c>
      <c r="X30">
        <f>HYPERLINK("https://klasma.github.io/Logging_1981/tillsyn/A 59826-2025 tillsynsbegäran.docx", "A 59826-2025")</f>
        <v/>
      </c>
      <c r="Y30">
        <f>HYPERLINK("https://klasma.github.io/Logging_1981/tillsynsmail/A 59826-2025 tillsynsbegäran mail.docx", "A 59826-2025")</f>
        <v/>
      </c>
    </row>
    <row r="31" ht="15" customHeight="1">
      <c r="A31" t="inlineStr">
        <is>
          <t>A 24872-2025</t>
        </is>
      </c>
      <c r="B31" s="1" t="n">
        <v>45799.49038194444</v>
      </c>
      <c r="C31" s="1" t="n">
        <v>46092</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46092</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63584-2025</t>
        </is>
      </c>
      <c r="B33" s="1" t="n">
        <v>46013.77002314815</v>
      </c>
      <c r="C33" s="1" t="n">
        <v>46092</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1500-2022</t>
        </is>
      </c>
      <c r="B34" s="1" t="n">
        <v>44573.54357638889</v>
      </c>
      <c r="C34" s="1" t="n">
        <v>46092</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53048-2025</t>
        </is>
      </c>
      <c r="B35" s="1" t="n">
        <v>45958.36018518519</v>
      </c>
      <c r="C35" s="1" t="n">
        <v>46092</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15102-2025</t>
        </is>
      </c>
      <c r="B36" s="1" t="n">
        <v>45744.34585648148</v>
      </c>
      <c r="C36" s="1" t="n">
        <v>46092</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11846-2024</t>
        </is>
      </c>
      <c r="B37" s="1" t="n">
        <v>45376.4047337963</v>
      </c>
      <c r="C37" s="1" t="n">
        <v>46092</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46092</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46092</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46092</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46092</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55995-2025</t>
        </is>
      </c>
      <c r="B42" s="1" t="n">
        <v>45973.56733796297</v>
      </c>
      <c r="C42" s="1" t="n">
        <v>46092</v>
      </c>
      <c r="D42" t="inlineStr">
        <is>
          <t>VÄSTMANLANDS LÄN</t>
        </is>
      </c>
      <c r="E42" t="inlineStr">
        <is>
          <t>SALA</t>
        </is>
      </c>
      <c r="F42" t="inlineStr">
        <is>
          <t>Sveaskog</t>
        </is>
      </c>
      <c r="G42" t="n">
        <v>4.5</v>
      </c>
      <c r="H42" t="n">
        <v>1</v>
      </c>
      <c r="I42" t="n">
        <v>0</v>
      </c>
      <c r="J42" t="n">
        <v>0</v>
      </c>
      <c r="K42" t="n">
        <v>0</v>
      </c>
      <c r="L42" t="n">
        <v>0</v>
      </c>
      <c r="M42" t="n">
        <v>0</v>
      </c>
      <c r="N42" t="n">
        <v>0</v>
      </c>
      <c r="O42" t="n">
        <v>0</v>
      </c>
      <c r="P42" t="n">
        <v>0</v>
      </c>
      <c r="Q42" t="n">
        <v>1</v>
      </c>
      <c r="R42" s="2" t="inlineStr">
        <is>
          <t>Fläcknycklar</t>
        </is>
      </c>
      <c r="S42">
        <f>HYPERLINK("https://klasma.github.io/Logging_1981/artfynd/A 55995-2025 artfynd.xlsx", "A 55995-2025")</f>
        <v/>
      </c>
      <c r="T42">
        <f>HYPERLINK("https://klasma.github.io/Logging_1981/kartor/A 55995-2025 karta.png", "A 55995-2025")</f>
        <v/>
      </c>
      <c r="V42">
        <f>HYPERLINK("https://klasma.github.io/Logging_1981/klagomål/A 55995-2025 FSC-klagomål.docx", "A 55995-2025")</f>
        <v/>
      </c>
      <c r="W42">
        <f>HYPERLINK("https://klasma.github.io/Logging_1981/klagomålsmail/A 55995-2025 FSC-klagomål mail.docx", "A 55995-2025")</f>
        <v/>
      </c>
      <c r="X42">
        <f>HYPERLINK("https://klasma.github.io/Logging_1981/tillsyn/A 55995-2025 tillsynsbegäran.docx", "A 55995-2025")</f>
        <v/>
      </c>
      <c r="Y42">
        <f>HYPERLINK("https://klasma.github.io/Logging_1981/tillsynsmail/A 55995-2025 tillsynsbegäran mail.docx", "A 55995-2025")</f>
        <v/>
      </c>
    </row>
    <row r="43" ht="15" customHeight="1">
      <c r="A43" t="inlineStr">
        <is>
          <t>A 37166-2024</t>
        </is>
      </c>
      <c r="B43" s="1" t="n">
        <v>45539</v>
      </c>
      <c r="C43" s="1" t="n">
        <v>46092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22950-2025</t>
        </is>
      </c>
      <c r="B44" s="1" t="n">
        <v>45790.50728009259</v>
      </c>
      <c r="C44" s="1" t="n">
        <v>46092</v>
      </c>
      <c r="D44" t="inlineStr">
        <is>
          <t>VÄSTMANLANDS LÄN</t>
        </is>
      </c>
      <c r="E44" t="inlineStr">
        <is>
          <t>SALA</t>
        </is>
      </c>
      <c r="G44" t="n">
        <v>6.2</v>
      </c>
      <c r="H44" t="n">
        <v>1</v>
      </c>
      <c r="I44" t="n">
        <v>0</v>
      </c>
      <c r="J44" t="n">
        <v>1</v>
      </c>
      <c r="K44" t="n">
        <v>0</v>
      </c>
      <c r="L44" t="n">
        <v>0</v>
      </c>
      <c r="M44" t="n">
        <v>0</v>
      </c>
      <c r="N44" t="n">
        <v>0</v>
      </c>
      <c r="O44" t="n">
        <v>1</v>
      </c>
      <c r="P44" t="n">
        <v>0</v>
      </c>
      <c r="Q44" t="n">
        <v>1</v>
      </c>
      <c r="R44" s="2" t="inlineStr">
        <is>
          <t>Svartvit flugsnappare</t>
        </is>
      </c>
      <c r="S44">
        <f>HYPERLINK("https://klasma.github.io/Logging_1981/artfynd/A 22950-2025 artfynd.xlsx", "A 22950-2025")</f>
        <v/>
      </c>
      <c r="T44">
        <f>HYPERLINK("https://klasma.github.io/Logging_1981/kartor/A 22950-2025 karta.png", "A 22950-2025")</f>
        <v/>
      </c>
      <c r="V44">
        <f>HYPERLINK("https://klasma.github.io/Logging_1981/klagomål/A 22950-2025 FSC-klagomål.docx", "A 22950-2025")</f>
        <v/>
      </c>
      <c r="W44">
        <f>HYPERLINK("https://klasma.github.io/Logging_1981/klagomålsmail/A 22950-2025 FSC-klagomål mail.docx", "A 22950-2025")</f>
        <v/>
      </c>
      <c r="X44">
        <f>HYPERLINK("https://klasma.github.io/Logging_1981/tillsyn/A 22950-2025 tillsynsbegäran.docx", "A 22950-2025")</f>
        <v/>
      </c>
      <c r="Y44">
        <f>HYPERLINK("https://klasma.github.io/Logging_1981/tillsynsmail/A 22950-2025 tillsynsbegäran mail.docx", "A 22950-2025")</f>
        <v/>
      </c>
      <c r="Z44">
        <f>HYPERLINK("https://klasma.github.io/Logging_1981/fåglar/A 22950-2025 prioriterade fågelarter.docx", "A 22950-2025")</f>
        <v/>
      </c>
    </row>
    <row r="45" ht="15" customHeight="1">
      <c r="A45" t="inlineStr">
        <is>
          <t>A 29727-2023</t>
        </is>
      </c>
      <c r="B45" s="1" t="n">
        <v>45107</v>
      </c>
      <c r="C45" s="1" t="n">
        <v>46092</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7672-2026</t>
        </is>
      </c>
      <c r="B46" s="1" t="n">
        <v>46062.42077546296</v>
      </c>
      <c r="C46" s="1" t="n">
        <v>46092</v>
      </c>
      <c r="D46" t="inlineStr">
        <is>
          <t>VÄSTMANLANDS LÄN</t>
        </is>
      </c>
      <c r="E46" t="inlineStr">
        <is>
          <t>SALA</t>
        </is>
      </c>
      <c r="G46" t="n">
        <v>2.9</v>
      </c>
      <c r="H46" t="n">
        <v>1</v>
      </c>
      <c r="I46" t="n">
        <v>0</v>
      </c>
      <c r="J46" t="n">
        <v>0</v>
      </c>
      <c r="K46" t="n">
        <v>0</v>
      </c>
      <c r="L46" t="n">
        <v>0</v>
      </c>
      <c r="M46" t="n">
        <v>0</v>
      </c>
      <c r="N46" t="n">
        <v>0</v>
      </c>
      <c r="O46" t="n">
        <v>0</v>
      </c>
      <c r="P46" t="n">
        <v>0</v>
      </c>
      <c r="Q46" t="n">
        <v>1</v>
      </c>
      <c r="R46" s="2" t="inlineStr">
        <is>
          <t>Nattviol</t>
        </is>
      </c>
      <c r="S46">
        <f>HYPERLINK("https://klasma.github.io/Logging_1981/artfynd/A 7672-2026 artfynd.xlsx", "A 7672-2026")</f>
        <v/>
      </c>
      <c r="T46">
        <f>HYPERLINK("https://klasma.github.io/Logging_1981/kartor/A 7672-2026 karta.png", "A 7672-2026")</f>
        <v/>
      </c>
      <c r="V46">
        <f>HYPERLINK("https://klasma.github.io/Logging_1981/klagomål/A 7672-2026 FSC-klagomål.docx", "A 7672-2026")</f>
        <v/>
      </c>
      <c r="W46">
        <f>HYPERLINK("https://klasma.github.io/Logging_1981/klagomålsmail/A 7672-2026 FSC-klagomål mail.docx", "A 7672-2026")</f>
        <v/>
      </c>
      <c r="X46">
        <f>HYPERLINK("https://klasma.github.io/Logging_1981/tillsyn/A 7672-2026 tillsynsbegäran.docx", "A 7672-2026")</f>
        <v/>
      </c>
      <c r="Y46">
        <f>HYPERLINK("https://klasma.github.io/Logging_1981/tillsynsmail/A 7672-2026 tillsynsbegäran mail.docx", "A 7672-2026")</f>
        <v/>
      </c>
    </row>
    <row r="47" ht="15" customHeight="1">
      <c r="A47" t="inlineStr">
        <is>
          <t>A 48705-2025</t>
        </is>
      </c>
      <c r="B47" s="1" t="n">
        <v>45936.62290509259</v>
      </c>
      <c r="C47" s="1" t="n">
        <v>46092</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14775-2023</t>
        </is>
      </c>
      <c r="B48" s="1" t="n">
        <v>45014</v>
      </c>
      <c r="C48" s="1" t="n">
        <v>46092</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46092</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50268-2025</t>
        </is>
      </c>
      <c r="B50" s="1" t="n">
        <v>45944.35162037037</v>
      </c>
      <c r="C50" s="1" t="n">
        <v>46092</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32594-2025</t>
        </is>
      </c>
      <c r="B51" s="1" t="n">
        <v>45838</v>
      </c>
      <c r="C51" s="1" t="n">
        <v>46092</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53052-2025</t>
        </is>
      </c>
      <c r="B52" s="1" t="n">
        <v>45958.36266203703</v>
      </c>
      <c r="C52" s="1" t="n">
        <v>46092</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22350-2024</t>
        </is>
      </c>
      <c r="B53" s="1" t="n">
        <v>45446</v>
      </c>
      <c r="C53" s="1" t="n">
        <v>46092</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19361-2025</t>
        </is>
      </c>
      <c r="B54" s="1" t="n">
        <v>45769.63357638889</v>
      </c>
      <c r="C54" s="1" t="n">
        <v>46092</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46092</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43175-2023</t>
        </is>
      </c>
      <c r="B56" s="1" t="n">
        <v>45183</v>
      </c>
      <c r="C56" s="1" t="n">
        <v>46092</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38255-2025</t>
        </is>
      </c>
      <c r="B57" s="1" t="n">
        <v>45883.38020833334</v>
      </c>
      <c r="C57" s="1" t="n">
        <v>46092</v>
      </c>
      <c r="D57" t="inlineStr">
        <is>
          <t>VÄSTMANLANDS LÄN</t>
        </is>
      </c>
      <c r="E57" t="inlineStr">
        <is>
          <t>SALA</t>
        </is>
      </c>
      <c r="G57" t="n">
        <v>0.9</v>
      </c>
      <c r="H57" t="n">
        <v>1</v>
      </c>
      <c r="I57" t="n">
        <v>0</v>
      </c>
      <c r="J57" t="n">
        <v>0</v>
      </c>
      <c r="K57" t="n">
        <v>1</v>
      </c>
      <c r="L57" t="n">
        <v>0</v>
      </c>
      <c r="M57" t="n">
        <v>0</v>
      </c>
      <c r="N57" t="n">
        <v>0</v>
      </c>
      <c r="O57" t="n">
        <v>1</v>
      </c>
      <c r="P57" t="n">
        <v>1</v>
      </c>
      <c r="Q57" t="n">
        <v>1</v>
      </c>
      <c r="R57" s="2" t="inlineStr">
        <is>
          <t>Knärot</t>
        </is>
      </c>
      <c r="S57">
        <f>HYPERLINK("https://klasma.github.io/Logging_1981/artfynd/A 38255-2025 artfynd.xlsx", "A 38255-2025")</f>
        <v/>
      </c>
      <c r="T57">
        <f>HYPERLINK("https://klasma.github.io/Logging_1981/kartor/A 38255-2025 karta.png", "A 38255-2025")</f>
        <v/>
      </c>
      <c r="U57">
        <f>HYPERLINK("https://klasma.github.io/Logging_1981/knärot/A 38255-2025 karta knärot.png", "A 38255-2025")</f>
        <v/>
      </c>
      <c r="V57">
        <f>HYPERLINK("https://klasma.github.io/Logging_1981/klagomål/A 38255-2025 FSC-klagomål.docx", "A 38255-2025")</f>
        <v/>
      </c>
      <c r="W57">
        <f>HYPERLINK("https://klasma.github.io/Logging_1981/klagomålsmail/A 38255-2025 FSC-klagomål mail.docx", "A 38255-2025")</f>
        <v/>
      </c>
      <c r="X57">
        <f>HYPERLINK("https://klasma.github.io/Logging_1981/tillsyn/A 38255-2025 tillsynsbegäran.docx", "A 38255-2025")</f>
        <v/>
      </c>
      <c r="Y57">
        <f>HYPERLINK("https://klasma.github.io/Logging_1981/tillsynsmail/A 38255-2025 tillsynsbegäran mail.docx", "A 38255-2025")</f>
        <v/>
      </c>
    </row>
    <row r="58" ht="15" customHeight="1">
      <c r="A58" t="inlineStr">
        <is>
          <t>A 60852-2024</t>
        </is>
      </c>
      <c r="B58" s="1" t="n">
        <v>45644</v>
      </c>
      <c r="C58" s="1" t="n">
        <v>46092</v>
      </c>
      <c r="D58" t="inlineStr">
        <is>
          <t>VÄSTMANLANDS LÄN</t>
        </is>
      </c>
      <c r="E58" t="inlineStr">
        <is>
          <t>SALA</t>
        </is>
      </c>
      <c r="G58" t="n">
        <v>7.6</v>
      </c>
      <c r="H58" t="n">
        <v>1</v>
      </c>
      <c r="I58" t="n">
        <v>0</v>
      </c>
      <c r="J58" t="n">
        <v>0</v>
      </c>
      <c r="K58" t="n">
        <v>0</v>
      </c>
      <c r="L58" t="n">
        <v>0</v>
      </c>
      <c r="M58" t="n">
        <v>0</v>
      </c>
      <c r="N58" t="n">
        <v>0</v>
      </c>
      <c r="O58" t="n">
        <v>0</v>
      </c>
      <c r="P58" t="n">
        <v>0</v>
      </c>
      <c r="Q58" t="n">
        <v>1</v>
      </c>
      <c r="R58" s="2" t="inlineStr">
        <is>
          <t>Blåsippa</t>
        </is>
      </c>
      <c r="S58">
        <f>HYPERLINK("https://klasma.github.io/Logging_1981/artfynd/A 60852-2024 artfynd.xlsx", "A 60852-2024")</f>
        <v/>
      </c>
      <c r="T58">
        <f>HYPERLINK("https://klasma.github.io/Logging_1981/kartor/A 60852-2024 karta.png", "A 60852-2024")</f>
        <v/>
      </c>
      <c r="V58">
        <f>HYPERLINK("https://klasma.github.io/Logging_1981/klagomål/A 60852-2024 FSC-klagomål.docx", "A 60852-2024")</f>
        <v/>
      </c>
      <c r="W58">
        <f>HYPERLINK("https://klasma.github.io/Logging_1981/klagomålsmail/A 60852-2024 FSC-klagomål mail.docx", "A 60852-2024")</f>
        <v/>
      </c>
      <c r="X58">
        <f>HYPERLINK("https://klasma.github.io/Logging_1981/tillsyn/A 60852-2024 tillsynsbegäran.docx", "A 60852-2024")</f>
        <v/>
      </c>
      <c r="Y58">
        <f>HYPERLINK("https://klasma.github.io/Logging_1981/tillsynsmail/A 60852-2024 tillsynsbegäran mail.docx", "A 60852-2024")</f>
        <v/>
      </c>
    </row>
    <row r="59" ht="15" customHeight="1">
      <c r="A59" t="inlineStr">
        <is>
          <t>A 55550-2023</t>
        </is>
      </c>
      <c r="B59" s="1" t="n">
        <v>45232</v>
      </c>
      <c r="C59" s="1" t="n">
        <v>46092</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41270-2024</t>
        </is>
      </c>
      <c r="B60" s="1" t="n">
        <v>45559</v>
      </c>
      <c r="C60" s="1" t="n">
        <v>46092</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46092</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7919-2022</t>
        </is>
      </c>
      <c r="B62" s="1" t="n">
        <v>44608</v>
      </c>
      <c r="C62" s="1" t="n">
        <v>46092</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29985-2022</t>
        </is>
      </c>
      <c r="B63" s="1" t="n">
        <v>44756</v>
      </c>
      <c r="C63" s="1" t="n">
        <v>46092</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7731-2023</t>
        </is>
      </c>
      <c r="B64" s="1" t="n">
        <v>44973</v>
      </c>
      <c r="C64" s="1" t="n">
        <v>46092</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56704-2022</t>
        </is>
      </c>
      <c r="B65" s="1" t="n">
        <v>44893.78075231481</v>
      </c>
      <c r="C65" s="1" t="n">
        <v>46092</v>
      </c>
      <c r="D65" t="inlineStr">
        <is>
          <t>VÄSTMANLANDS LÄN</t>
        </is>
      </c>
      <c r="E65" t="inlineStr">
        <is>
          <t>SALA</t>
        </is>
      </c>
      <c r="G65" t="n">
        <v>3.2</v>
      </c>
      <c r="H65" t="n">
        <v>1</v>
      </c>
      <c r="I65" t="n">
        <v>0</v>
      </c>
      <c r="J65" t="n">
        <v>0</v>
      </c>
      <c r="K65" t="n">
        <v>1</v>
      </c>
      <c r="L65" t="n">
        <v>0</v>
      </c>
      <c r="M65" t="n">
        <v>0</v>
      </c>
      <c r="N65" t="n">
        <v>0</v>
      </c>
      <c r="O65" t="n">
        <v>1</v>
      </c>
      <c r="P65" t="n">
        <v>1</v>
      </c>
      <c r="Q65" t="n">
        <v>1</v>
      </c>
      <c r="R65" s="2" t="inlineStr">
        <is>
          <t>Knärot</t>
        </is>
      </c>
      <c r="S65">
        <f>HYPERLINK("https://klasma.github.io/Logging_1981/artfynd/A 56704-2022 artfynd.xlsx", "A 56704-2022")</f>
        <v/>
      </c>
      <c r="T65">
        <f>HYPERLINK("https://klasma.github.io/Logging_1981/kartor/A 56704-2022 karta.png", "A 56704-2022")</f>
        <v/>
      </c>
      <c r="U65">
        <f>HYPERLINK("https://klasma.github.io/Logging_1981/knärot/A 56704-2022 karta knärot.png", "A 56704-2022")</f>
        <v/>
      </c>
      <c r="V65">
        <f>HYPERLINK("https://klasma.github.io/Logging_1981/klagomål/A 56704-2022 FSC-klagomål.docx", "A 56704-2022")</f>
        <v/>
      </c>
      <c r="W65">
        <f>HYPERLINK("https://klasma.github.io/Logging_1981/klagomålsmail/A 56704-2022 FSC-klagomål mail.docx", "A 56704-2022")</f>
        <v/>
      </c>
      <c r="X65">
        <f>HYPERLINK("https://klasma.github.io/Logging_1981/tillsyn/A 56704-2022 tillsynsbegäran.docx", "A 56704-2022")</f>
        <v/>
      </c>
      <c r="Y65">
        <f>HYPERLINK("https://klasma.github.io/Logging_1981/tillsynsmail/A 56704-2022 tillsynsbegäran mail.docx", "A 56704-2022")</f>
        <v/>
      </c>
    </row>
    <row r="66" ht="15" customHeight="1">
      <c r="A66" t="inlineStr">
        <is>
          <t>A 21738-2025</t>
        </is>
      </c>
      <c r="B66" s="1" t="n">
        <v>45783.59173611111</v>
      </c>
      <c r="C66" s="1" t="n">
        <v>46092</v>
      </c>
      <c r="D66" t="inlineStr">
        <is>
          <t>VÄSTMANLANDS LÄN</t>
        </is>
      </c>
      <c r="E66" t="inlineStr">
        <is>
          <t>SALA</t>
        </is>
      </c>
      <c r="G66" t="n">
        <v>2.1</v>
      </c>
      <c r="H66" t="n">
        <v>0</v>
      </c>
      <c r="I66" t="n">
        <v>0</v>
      </c>
      <c r="J66" t="n">
        <v>1</v>
      </c>
      <c r="K66" t="n">
        <v>0</v>
      </c>
      <c r="L66" t="n">
        <v>0</v>
      </c>
      <c r="M66" t="n">
        <v>0</v>
      </c>
      <c r="N66" t="n">
        <v>0</v>
      </c>
      <c r="O66" t="n">
        <v>1</v>
      </c>
      <c r="P66" t="n">
        <v>0</v>
      </c>
      <c r="Q66" t="n">
        <v>1</v>
      </c>
      <c r="R66" s="2" t="inlineStr">
        <is>
          <t>Motaggsvamp</t>
        </is>
      </c>
      <c r="S66">
        <f>HYPERLINK("https://klasma.github.io/Logging_1981/artfynd/A 21738-2025 artfynd.xlsx", "A 21738-2025")</f>
        <v/>
      </c>
      <c r="T66">
        <f>HYPERLINK("https://klasma.github.io/Logging_1981/kartor/A 21738-2025 karta.png", "A 21738-2025")</f>
        <v/>
      </c>
      <c r="V66">
        <f>HYPERLINK("https://klasma.github.io/Logging_1981/klagomål/A 21738-2025 FSC-klagomål.docx", "A 21738-2025")</f>
        <v/>
      </c>
      <c r="W66">
        <f>HYPERLINK("https://klasma.github.io/Logging_1981/klagomålsmail/A 21738-2025 FSC-klagomål mail.docx", "A 21738-2025")</f>
        <v/>
      </c>
      <c r="X66">
        <f>HYPERLINK("https://klasma.github.io/Logging_1981/tillsyn/A 21738-2025 tillsynsbegäran.docx", "A 21738-2025")</f>
        <v/>
      </c>
      <c r="Y66">
        <f>HYPERLINK("https://klasma.github.io/Logging_1981/tillsynsmail/A 21738-2025 tillsynsbegäran mail.docx", "A 21738-2025")</f>
        <v/>
      </c>
    </row>
    <row r="67" ht="15" customHeight="1">
      <c r="A67" t="inlineStr">
        <is>
          <t>A 73124-2021</t>
        </is>
      </c>
      <c r="B67" s="1" t="n">
        <v>44550</v>
      </c>
      <c r="C67" s="1" t="n">
        <v>46092</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46092</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66561-2021</t>
        </is>
      </c>
      <c r="B69" s="1" t="n">
        <v>44519.41648148148</v>
      </c>
      <c r="C69" s="1" t="n">
        <v>46092</v>
      </c>
      <c r="D69" t="inlineStr">
        <is>
          <t>VÄSTMANLANDS LÄN</t>
        </is>
      </c>
      <c r="E69" t="inlineStr">
        <is>
          <t>SALA</t>
        </is>
      </c>
      <c r="G69" t="n">
        <v>0.3</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46092</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46092</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46092</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46092</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46092</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46092</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46092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46092</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46092</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46092</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46092</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46092</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46092</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46092</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46092</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46092</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46092</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46092</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46092</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46092</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46092</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46092</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46092</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46092</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46092</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46092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46092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46092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46092</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46092</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46092</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46092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46092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46092</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46092</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46092</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46092</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46092</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46092</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46092</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46092</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46092</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46092</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46092</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46092</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46092</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46092</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46092</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46092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46092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46092</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46092</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46092</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46092</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46092</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46092</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46092</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46092</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46092</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46092</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46092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46092</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46092</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46092</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46092</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46092</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46092</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46092</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46092</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46092</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46092</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46092</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46092</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46092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46092</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46092</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46092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46092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46092</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46092</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46092</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46092</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46092</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46092</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46092</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46092</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46092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46092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46092</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46092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46092</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46092</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46092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46092</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46092</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46092</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46092</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46092</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40113-2022</t>
        </is>
      </c>
      <c r="B168" s="1" t="n">
        <v>44819</v>
      </c>
      <c r="C168" s="1" t="n">
        <v>46092</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73519-2021</t>
        </is>
      </c>
      <c r="B169" s="1" t="n">
        <v>44551</v>
      </c>
      <c r="C169" s="1" t="n">
        <v>46092</v>
      </c>
      <c r="D169" t="inlineStr">
        <is>
          <t>VÄSTMANLANDS LÄN</t>
        </is>
      </c>
      <c r="E169" t="inlineStr">
        <is>
          <t>SALA</t>
        </is>
      </c>
      <c r="G169" t="n">
        <v>0.3</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46092</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46092</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46092</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46092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46092</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46092</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26579-2021</t>
        </is>
      </c>
      <c r="B176" s="1" t="n">
        <v>44348</v>
      </c>
      <c r="C176" s="1" t="n">
        <v>46092</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46092</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46092</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46092</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62449-2023</t>
        </is>
      </c>
      <c r="B180" s="1" t="n">
        <v>45268.49008101852</v>
      </c>
      <c r="C180" s="1" t="n">
        <v>46092</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17458-2024</t>
        </is>
      </c>
      <c r="B181" s="1" t="n">
        <v>45415</v>
      </c>
      <c r="C181" s="1" t="n">
        <v>46092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46092</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35462-2024</t>
        </is>
      </c>
      <c r="B183" s="1" t="n">
        <v>45531</v>
      </c>
      <c r="C183" s="1" t="n">
        <v>46092</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46092</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46092</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46092</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46092</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46092</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46092</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46092</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46092</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46092</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46092</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59909-2024</t>
        </is>
      </c>
      <c r="B194" s="1" t="n">
        <v>45641</v>
      </c>
      <c r="C194" s="1" t="n">
        <v>46092</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46092</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64724-2023</t>
        </is>
      </c>
      <c r="B196" s="1" t="n">
        <v>45281.7602662037</v>
      </c>
      <c r="C196" s="1" t="n">
        <v>46092</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7176-2023</t>
        </is>
      </c>
      <c r="B197" s="1" t="n">
        <v>44970</v>
      </c>
      <c r="C197" s="1" t="n">
        <v>46092</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42447-2022</t>
        </is>
      </c>
      <c r="B198" s="1" t="n">
        <v>44831</v>
      </c>
      <c r="C198" s="1" t="n">
        <v>46092</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46092</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54603-2024</t>
        </is>
      </c>
      <c r="B200" s="1" t="n">
        <v>45617.68224537037</v>
      </c>
      <c r="C200" s="1" t="n">
        <v>46092</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69232-2021</t>
        </is>
      </c>
      <c r="B201" s="1" t="n">
        <v>44531.39696759259</v>
      </c>
      <c r="C201" s="1" t="n">
        <v>46092</v>
      </c>
      <c r="D201" t="inlineStr">
        <is>
          <t>VÄSTMANLANDS LÄN</t>
        </is>
      </c>
      <c r="E201" t="inlineStr">
        <is>
          <t>SALA</t>
        </is>
      </c>
      <c r="G201" t="n">
        <v>2.3</v>
      </c>
      <c r="H201" t="n">
        <v>0</v>
      </c>
      <c r="I201" t="n">
        <v>0</v>
      </c>
      <c r="J201" t="n">
        <v>0</v>
      </c>
      <c r="K201" t="n">
        <v>0</v>
      </c>
      <c r="L201" t="n">
        <v>0</v>
      </c>
      <c r="M201" t="n">
        <v>0</v>
      </c>
      <c r="N201" t="n">
        <v>0</v>
      </c>
      <c r="O201" t="n">
        <v>0</v>
      </c>
      <c r="P201" t="n">
        <v>0</v>
      </c>
      <c r="Q201" t="n">
        <v>0</v>
      </c>
      <c r="R201" s="2" t="inlineStr"/>
    </row>
    <row r="202" ht="15" customHeight="1">
      <c r="A202" t="inlineStr">
        <is>
          <t>A 43600-2024</t>
        </is>
      </c>
      <c r="B202" s="1" t="n">
        <v>45569</v>
      </c>
      <c r="C202" s="1" t="n">
        <v>46092</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31405-2024</t>
        </is>
      </c>
      <c r="B203" s="1" t="n">
        <v>45505.5490625</v>
      </c>
      <c r="C203" s="1" t="n">
        <v>46092</v>
      </c>
      <c r="D203" t="inlineStr">
        <is>
          <t>VÄSTMANLANDS LÄN</t>
        </is>
      </c>
      <c r="E203" t="inlineStr">
        <is>
          <t>SALA</t>
        </is>
      </c>
      <c r="G203" t="n">
        <v>5.2</v>
      </c>
      <c r="H203" t="n">
        <v>0</v>
      </c>
      <c r="I203" t="n">
        <v>0</v>
      </c>
      <c r="J203" t="n">
        <v>0</v>
      </c>
      <c r="K203" t="n">
        <v>0</v>
      </c>
      <c r="L203" t="n">
        <v>0</v>
      </c>
      <c r="M203" t="n">
        <v>0</v>
      </c>
      <c r="N203" t="n">
        <v>0</v>
      </c>
      <c r="O203" t="n">
        <v>0</v>
      </c>
      <c r="P203" t="n">
        <v>0</v>
      </c>
      <c r="Q203" t="n">
        <v>0</v>
      </c>
      <c r="R203" s="2" t="inlineStr"/>
    </row>
    <row r="204" ht="15" customHeight="1">
      <c r="A204" t="inlineStr">
        <is>
          <t>A 22616-2025</t>
        </is>
      </c>
      <c r="B204" s="1" t="n">
        <v>45789.42752314815</v>
      </c>
      <c r="C204" s="1" t="n">
        <v>46092</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22353-2025</t>
        </is>
      </c>
      <c r="B205" s="1" t="n">
        <v>45786</v>
      </c>
      <c r="C205" s="1" t="n">
        <v>46092</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22383-2025</t>
        </is>
      </c>
      <c r="B206" s="1" t="n">
        <v>45786</v>
      </c>
      <c r="C206" s="1" t="n">
        <v>46092</v>
      </c>
      <c r="D206" t="inlineStr">
        <is>
          <t>VÄSTMANLANDS LÄN</t>
        </is>
      </c>
      <c r="E206" t="inlineStr">
        <is>
          <t>SALA</t>
        </is>
      </c>
      <c r="G206" t="n">
        <v>2.2</v>
      </c>
      <c r="H206" t="n">
        <v>0</v>
      </c>
      <c r="I206" t="n">
        <v>0</v>
      </c>
      <c r="J206" t="n">
        <v>0</v>
      </c>
      <c r="K206" t="n">
        <v>0</v>
      </c>
      <c r="L206" t="n">
        <v>0</v>
      </c>
      <c r="M206" t="n">
        <v>0</v>
      </c>
      <c r="N206" t="n">
        <v>0</v>
      </c>
      <c r="O206" t="n">
        <v>0</v>
      </c>
      <c r="P206" t="n">
        <v>0</v>
      </c>
      <c r="Q206" t="n">
        <v>0</v>
      </c>
      <c r="R206" s="2" t="inlineStr"/>
    </row>
    <row r="207" ht="15" customHeight="1">
      <c r="A207" t="inlineStr">
        <is>
          <t>A 19398-2025</t>
        </is>
      </c>
      <c r="B207" s="1" t="n">
        <v>45769</v>
      </c>
      <c r="C207" s="1" t="n">
        <v>46092</v>
      </c>
      <c r="D207" t="inlineStr">
        <is>
          <t>VÄSTMANLANDS LÄN</t>
        </is>
      </c>
      <c r="E207" t="inlineStr">
        <is>
          <t>SALA</t>
        </is>
      </c>
      <c r="G207" t="n">
        <v>0.4</v>
      </c>
      <c r="H207" t="n">
        <v>0</v>
      </c>
      <c r="I207" t="n">
        <v>0</v>
      </c>
      <c r="J207" t="n">
        <v>0</v>
      </c>
      <c r="K207" t="n">
        <v>0</v>
      </c>
      <c r="L207" t="n">
        <v>0</v>
      </c>
      <c r="M207" t="n">
        <v>0</v>
      </c>
      <c r="N207" t="n">
        <v>0</v>
      </c>
      <c r="O207" t="n">
        <v>0</v>
      </c>
      <c r="P207" t="n">
        <v>0</v>
      </c>
      <c r="Q207" t="n">
        <v>0</v>
      </c>
      <c r="R207" s="2" t="inlineStr"/>
    </row>
    <row r="208" ht="15" customHeight="1">
      <c r="A208" t="inlineStr">
        <is>
          <t>A 4797-2023</t>
        </is>
      </c>
      <c r="B208" s="1" t="n">
        <v>44957</v>
      </c>
      <c r="C208" s="1" t="n">
        <v>46092</v>
      </c>
      <c r="D208" t="inlineStr">
        <is>
          <t>VÄSTMANLANDS LÄN</t>
        </is>
      </c>
      <c r="E208" t="inlineStr">
        <is>
          <t>SALA</t>
        </is>
      </c>
      <c r="G208" t="n">
        <v>5.7</v>
      </c>
      <c r="H208" t="n">
        <v>0</v>
      </c>
      <c r="I208" t="n">
        <v>0</v>
      </c>
      <c r="J208" t="n">
        <v>0</v>
      </c>
      <c r="K208" t="n">
        <v>0</v>
      </c>
      <c r="L208" t="n">
        <v>0</v>
      </c>
      <c r="M208" t="n">
        <v>0</v>
      </c>
      <c r="N208" t="n">
        <v>0</v>
      </c>
      <c r="O208" t="n">
        <v>0</v>
      </c>
      <c r="P208" t="n">
        <v>0</v>
      </c>
      <c r="Q208" t="n">
        <v>0</v>
      </c>
      <c r="R208" s="2" t="inlineStr"/>
    </row>
    <row r="209" ht="15" customHeight="1">
      <c r="A209" t="inlineStr">
        <is>
          <t>A 55997-2025</t>
        </is>
      </c>
      <c r="B209" s="1" t="n">
        <v>45973.56833333334</v>
      </c>
      <c r="C209" s="1" t="n">
        <v>46092</v>
      </c>
      <c r="D209" t="inlineStr">
        <is>
          <t>VÄSTMANLANDS LÄN</t>
        </is>
      </c>
      <c r="E209" t="inlineStr">
        <is>
          <t>SALA</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61517-2024</t>
        </is>
      </c>
      <c r="B210" s="1" t="n">
        <v>45645</v>
      </c>
      <c r="C210" s="1" t="n">
        <v>46092</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1638-2023</t>
        </is>
      </c>
      <c r="B211" s="1" t="n">
        <v>44937</v>
      </c>
      <c r="C211" s="1" t="n">
        <v>46092</v>
      </c>
      <c r="D211" t="inlineStr">
        <is>
          <t>VÄSTMANLANDS LÄN</t>
        </is>
      </c>
      <c r="E211" t="inlineStr">
        <is>
          <t>SALA</t>
        </is>
      </c>
      <c r="G211" t="n">
        <v>3.1</v>
      </c>
      <c r="H211" t="n">
        <v>0</v>
      </c>
      <c r="I211" t="n">
        <v>0</v>
      </c>
      <c r="J211" t="n">
        <v>0</v>
      </c>
      <c r="K211" t="n">
        <v>0</v>
      </c>
      <c r="L211" t="n">
        <v>0</v>
      </c>
      <c r="M211" t="n">
        <v>0</v>
      </c>
      <c r="N211" t="n">
        <v>0</v>
      </c>
      <c r="O211" t="n">
        <v>0</v>
      </c>
      <c r="P211" t="n">
        <v>0</v>
      </c>
      <c r="Q211" t="n">
        <v>0</v>
      </c>
      <c r="R211" s="2" t="inlineStr"/>
    </row>
    <row r="212" ht="15" customHeight="1">
      <c r="A212" t="inlineStr">
        <is>
          <t>A 55714-2025</t>
        </is>
      </c>
      <c r="B212" s="1" t="n">
        <v>45972.49131944445</v>
      </c>
      <c r="C212" s="1" t="n">
        <v>46092</v>
      </c>
      <c r="D212" t="inlineStr">
        <is>
          <t>VÄSTMANLANDS LÄN</t>
        </is>
      </c>
      <c r="E212" t="inlineStr">
        <is>
          <t>SALA</t>
        </is>
      </c>
      <c r="G212" t="n">
        <v>6.6</v>
      </c>
      <c r="H212" t="n">
        <v>0</v>
      </c>
      <c r="I212" t="n">
        <v>0</v>
      </c>
      <c r="J212" t="n">
        <v>0</v>
      </c>
      <c r="K212" t="n">
        <v>0</v>
      </c>
      <c r="L212" t="n">
        <v>0</v>
      </c>
      <c r="M212" t="n">
        <v>0</v>
      </c>
      <c r="N212" t="n">
        <v>0</v>
      </c>
      <c r="O212" t="n">
        <v>0</v>
      </c>
      <c r="P212" t="n">
        <v>0</v>
      </c>
      <c r="Q212" t="n">
        <v>0</v>
      </c>
      <c r="R212" s="2" t="inlineStr"/>
    </row>
    <row r="213" ht="15" customHeight="1">
      <c r="A213" t="inlineStr">
        <is>
          <t>A 22624-2025</t>
        </is>
      </c>
      <c r="B213" s="1" t="n">
        <v>45789.43327546296</v>
      </c>
      <c r="C213" s="1" t="n">
        <v>46092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56593-2025</t>
        </is>
      </c>
      <c r="B214" s="1" t="n">
        <v>45975</v>
      </c>
      <c r="C214" s="1" t="n">
        <v>46092</v>
      </c>
      <c r="D214" t="inlineStr">
        <is>
          <t>VÄSTMANLANDS LÄN</t>
        </is>
      </c>
      <c r="E214" t="inlineStr">
        <is>
          <t>SALA</t>
        </is>
      </c>
      <c r="F214" t="inlineStr">
        <is>
          <t>Kyrkan</t>
        </is>
      </c>
      <c r="G214" t="n">
        <v>0.1</v>
      </c>
      <c r="H214" t="n">
        <v>0</v>
      </c>
      <c r="I214" t="n">
        <v>0</v>
      </c>
      <c r="J214" t="n">
        <v>0</v>
      </c>
      <c r="K214" t="n">
        <v>0</v>
      </c>
      <c r="L214" t="n">
        <v>0</v>
      </c>
      <c r="M214" t="n">
        <v>0</v>
      </c>
      <c r="N214" t="n">
        <v>0</v>
      </c>
      <c r="O214" t="n">
        <v>0</v>
      </c>
      <c r="P214" t="n">
        <v>0</v>
      </c>
      <c r="Q214" t="n">
        <v>0</v>
      </c>
      <c r="R214" s="2" t="inlineStr"/>
    </row>
    <row r="215" ht="15" customHeight="1">
      <c r="A215" t="inlineStr">
        <is>
          <t>A 38574-2025</t>
        </is>
      </c>
      <c r="B215" s="1" t="n">
        <v>45884.46390046296</v>
      </c>
      <c r="C215" s="1" t="n">
        <v>46092</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56645-2025</t>
        </is>
      </c>
      <c r="B216" s="1" t="n">
        <v>45975.63063657407</v>
      </c>
      <c r="C216" s="1" t="n">
        <v>46092</v>
      </c>
      <c r="D216" t="inlineStr">
        <is>
          <t>VÄSTMANLANDS LÄN</t>
        </is>
      </c>
      <c r="E216" t="inlineStr">
        <is>
          <t>SALA</t>
        </is>
      </c>
      <c r="F216" t="inlineStr">
        <is>
          <t>Bergvik skog öst AB</t>
        </is>
      </c>
      <c r="G216" t="n">
        <v>5.3</v>
      </c>
      <c r="H216" t="n">
        <v>0</v>
      </c>
      <c r="I216" t="n">
        <v>0</v>
      </c>
      <c r="J216" t="n">
        <v>0</v>
      </c>
      <c r="K216" t="n">
        <v>0</v>
      </c>
      <c r="L216" t="n">
        <v>0</v>
      </c>
      <c r="M216" t="n">
        <v>0</v>
      </c>
      <c r="N216" t="n">
        <v>0</v>
      </c>
      <c r="O216" t="n">
        <v>0</v>
      </c>
      <c r="P216" t="n">
        <v>0</v>
      </c>
      <c r="Q216" t="n">
        <v>0</v>
      </c>
      <c r="R216" s="2" t="inlineStr"/>
    </row>
    <row r="217" ht="15" customHeight="1">
      <c r="A217" t="inlineStr">
        <is>
          <t>A 56502-2025</t>
        </is>
      </c>
      <c r="B217" s="1" t="n">
        <v>45975</v>
      </c>
      <c r="C217" s="1" t="n">
        <v>46092</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15972-2024</t>
        </is>
      </c>
      <c r="B218" s="1" t="n">
        <v>45405.56498842593</v>
      </c>
      <c r="C218" s="1" t="n">
        <v>46092</v>
      </c>
      <c r="D218" t="inlineStr">
        <is>
          <t>VÄSTMANLANDS LÄN</t>
        </is>
      </c>
      <c r="E218" t="inlineStr">
        <is>
          <t>SALA</t>
        </is>
      </c>
      <c r="G218" t="n">
        <v>1.8</v>
      </c>
      <c r="H218" t="n">
        <v>0</v>
      </c>
      <c r="I218" t="n">
        <v>0</v>
      </c>
      <c r="J218" t="n">
        <v>0</v>
      </c>
      <c r="K218" t="n">
        <v>0</v>
      </c>
      <c r="L218" t="n">
        <v>0</v>
      </c>
      <c r="M218" t="n">
        <v>0</v>
      </c>
      <c r="N218" t="n">
        <v>0</v>
      </c>
      <c r="O218" t="n">
        <v>0</v>
      </c>
      <c r="P218" t="n">
        <v>0</v>
      </c>
      <c r="Q218" t="n">
        <v>0</v>
      </c>
      <c r="R218" s="2" t="inlineStr"/>
    </row>
    <row r="219" ht="15" customHeight="1">
      <c r="A219" t="inlineStr">
        <is>
          <t>A 56614-2025</t>
        </is>
      </c>
      <c r="B219" s="1" t="n">
        <v>45975.59288194445</v>
      </c>
      <c r="C219" s="1" t="n">
        <v>46092</v>
      </c>
      <c r="D219" t="inlineStr">
        <is>
          <t>VÄSTMANLANDS LÄN</t>
        </is>
      </c>
      <c r="E219" t="inlineStr">
        <is>
          <t>SALA</t>
        </is>
      </c>
      <c r="G219" t="n">
        <v>1.4</v>
      </c>
      <c r="H219" t="n">
        <v>0</v>
      </c>
      <c r="I219" t="n">
        <v>0</v>
      </c>
      <c r="J219" t="n">
        <v>0</v>
      </c>
      <c r="K219" t="n">
        <v>0</v>
      </c>
      <c r="L219" t="n">
        <v>0</v>
      </c>
      <c r="M219" t="n">
        <v>0</v>
      </c>
      <c r="N219" t="n">
        <v>0</v>
      </c>
      <c r="O219" t="n">
        <v>0</v>
      </c>
      <c r="P219" t="n">
        <v>0</v>
      </c>
      <c r="Q219" t="n">
        <v>0</v>
      </c>
      <c r="R219" s="2" t="inlineStr"/>
    </row>
    <row r="220" ht="15" customHeight="1">
      <c r="A220" t="inlineStr">
        <is>
          <t>A 56611-2025</t>
        </is>
      </c>
      <c r="B220" s="1" t="n">
        <v>45975</v>
      </c>
      <c r="C220" s="1" t="n">
        <v>46092</v>
      </c>
      <c r="D220" t="inlineStr">
        <is>
          <t>VÄSTMANLANDS LÄN</t>
        </is>
      </c>
      <c r="E220" t="inlineStr">
        <is>
          <t>SALA</t>
        </is>
      </c>
      <c r="G220" t="n">
        <v>2.8</v>
      </c>
      <c r="H220" t="n">
        <v>0</v>
      </c>
      <c r="I220" t="n">
        <v>0</v>
      </c>
      <c r="J220" t="n">
        <v>0</v>
      </c>
      <c r="K220" t="n">
        <v>0</v>
      </c>
      <c r="L220" t="n">
        <v>0</v>
      </c>
      <c r="M220" t="n">
        <v>0</v>
      </c>
      <c r="N220" t="n">
        <v>0</v>
      </c>
      <c r="O220" t="n">
        <v>0</v>
      </c>
      <c r="P220" t="n">
        <v>0</v>
      </c>
      <c r="Q220" t="n">
        <v>0</v>
      </c>
      <c r="R220" s="2" t="inlineStr"/>
    </row>
    <row r="221" ht="15" customHeight="1">
      <c r="A221" t="inlineStr">
        <is>
          <t>A 22370-2025</t>
        </is>
      </c>
      <c r="B221" s="1" t="n">
        <v>45786</v>
      </c>
      <c r="C221" s="1" t="n">
        <v>46092</v>
      </c>
      <c r="D221" t="inlineStr">
        <is>
          <t>VÄSTMANLANDS LÄN</t>
        </is>
      </c>
      <c r="E221" t="inlineStr">
        <is>
          <t>SALA</t>
        </is>
      </c>
      <c r="G221" t="n">
        <v>3.2</v>
      </c>
      <c r="H221" t="n">
        <v>0</v>
      </c>
      <c r="I221" t="n">
        <v>0</v>
      </c>
      <c r="J221" t="n">
        <v>0</v>
      </c>
      <c r="K221" t="n">
        <v>0</v>
      </c>
      <c r="L221" t="n">
        <v>0</v>
      </c>
      <c r="M221" t="n">
        <v>0</v>
      </c>
      <c r="N221" t="n">
        <v>0</v>
      </c>
      <c r="O221" t="n">
        <v>0</v>
      </c>
      <c r="P221" t="n">
        <v>0</v>
      </c>
      <c r="Q221" t="n">
        <v>0</v>
      </c>
      <c r="R221" s="2" t="inlineStr"/>
    </row>
    <row r="222" ht="15" customHeight="1">
      <c r="A222" t="inlineStr">
        <is>
          <t>A 37958-2024</t>
        </is>
      </c>
      <c r="B222" s="1" t="n">
        <v>45544</v>
      </c>
      <c r="C222" s="1" t="n">
        <v>46092</v>
      </c>
      <c r="D222" t="inlineStr">
        <is>
          <t>VÄSTMANLANDS LÄN</t>
        </is>
      </c>
      <c r="E222" t="inlineStr">
        <is>
          <t>SALA</t>
        </is>
      </c>
      <c r="G222" t="n">
        <v>5.6</v>
      </c>
      <c r="H222" t="n">
        <v>0</v>
      </c>
      <c r="I222" t="n">
        <v>0</v>
      </c>
      <c r="J222" t="n">
        <v>0</v>
      </c>
      <c r="K222" t="n">
        <v>0</v>
      </c>
      <c r="L222" t="n">
        <v>0</v>
      </c>
      <c r="M222" t="n">
        <v>0</v>
      </c>
      <c r="N222" t="n">
        <v>0</v>
      </c>
      <c r="O222" t="n">
        <v>0</v>
      </c>
      <c r="P222" t="n">
        <v>0</v>
      </c>
      <c r="Q222" t="n">
        <v>0</v>
      </c>
      <c r="R222" s="2" t="inlineStr"/>
    </row>
    <row r="223" ht="15" customHeight="1">
      <c r="A223" t="inlineStr">
        <is>
          <t>A 13130-2025</t>
        </is>
      </c>
      <c r="B223" s="1" t="n">
        <v>45734</v>
      </c>
      <c r="C223" s="1" t="n">
        <v>46092</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1555-2024</t>
        </is>
      </c>
      <c r="B224" s="1" t="n">
        <v>45306</v>
      </c>
      <c r="C224" s="1" t="n">
        <v>46092</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31864-2025</t>
        </is>
      </c>
      <c r="B225" s="1" t="n">
        <v>45834.63819444444</v>
      </c>
      <c r="C225" s="1" t="n">
        <v>46092</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57014-2025</t>
        </is>
      </c>
      <c r="B226" s="1" t="n">
        <v>45978</v>
      </c>
      <c r="C226" s="1" t="n">
        <v>46092</v>
      </c>
      <c r="D226" t="inlineStr">
        <is>
          <t>VÄSTMANLANDS LÄN</t>
        </is>
      </c>
      <c r="E226" t="inlineStr">
        <is>
          <t>SALA</t>
        </is>
      </c>
      <c r="G226" t="n">
        <v>2.2</v>
      </c>
      <c r="H226" t="n">
        <v>0</v>
      </c>
      <c r="I226" t="n">
        <v>0</v>
      </c>
      <c r="J226" t="n">
        <v>0</v>
      </c>
      <c r="K226" t="n">
        <v>0</v>
      </c>
      <c r="L226" t="n">
        <v>0</v>
      </c>
      <c r="M226" t="n">
        <v>0</v>
      </c>
      <c r="N226" t="n">
        <v>0</v>
      </c>
      <c r="O226" t="n">
        <v>0</v>
      </c>
      <c r="P226" t="n">
        <v>0</v>
      </c>
      <c r="Q226" t="n">
        <v>0</v>
      </c>
      <c r="R226" s="2" t="inlineStr"/>
    </row>
    <row r="227" ht="15" customHeight="1">
      <c r="A227" t="inlineStr">
        <is>
          <t>A 16651-2021</t>
        </is>
      </c>
      <c r="B227" s="1" t="n">
        <v>44294.50096064815</v>
      </c>
      <c r="C227" s="1" t="n">
        <v>46092</v>
      </c>
      <c r="D227" t="inlineStr">
        <is>
          <t>VÄSTMANLANDS LÄN</t>
        </is>
      </c>
      <c r="E227" t="inlineStr">
        <is>
          <t>SALA</t>
        </is>
      </c>
      <c r="G227" t="n">
        <v>7.7</v>
      </c>
      <c r="H227" t="n">
        <v>0</v>
      </c>
      <c r="I227" t="n">
        <v>0</v>
      </c>
      <c r="J227" t="n">
        <v>0</v>
      </c>
      <c r="K227" t="n">
        <v>0</v>
      </c>
      <c r="L227" t="n">
        <v>0</v>
      </c>
      <c r="M227" t="n">
        <v>0</v>
      </c>
      <c r="N227" t="n">
        <v>0</v>
      </c>
      <c r="O227" t="n">
        <v>0</v>
      </c>
      <c r="P227" t="n">
        <v>0</v>
      </c>
      <c r="Q227" t="n">
        <v>0</v>
      </c>
      <c r="R227" s="2" t="inlineStr"/>
    </row>
    <row r="228" ht="15" customHeight="1">
      <c r="A228" t="inlineStr">
        <is>
          <t>A 57414-2025</t>
        </is>
      </c>
      <c r="B228" s="1" t="n">
        <v>45980.45003472222</v>
      </c>
      <c r="C228" s="1" t="n">
        <v>46092</v>
      </c>
      <c r="D228" t="inlineStr">
        <is>
          <t>VÄSTMANLANDS LÄN</t>
        </is>
      </c>
      <c r="E228" t="inlineStr">
        <is>
          <t>SALA</t>
        </is>
      </c>
      <c r="F228" t="inlineStr">
        <is>
          <t>Bergvik skog öst AB</t>
        </is>
      </c>
      <c r="G228" t="n">
        <v>2</v>
      </c>
      <c r="H228" t="n">
        <v>0</v>
      </c>
      <c r="I228" t="n">
        <v>0</v>
      </c>
      <c r="J228" t="n">
        <v>0</v>
      </c>
      <c r="K228" t="n">
        <v>0</v>
      </c>
      <c r="L228" t="n">
        <v>0</v>
      </c>
      <c r="M228" t="n">
        <v>0</v>
      </c>
      <c r="N228" t="n">
        <v>0</v>
      </c>
      <c r="O228" t="n">
        <v>0</v>
      </c>
      <c r="P228" t="n">
        <v>0</v>
      </c>
      <c r="Q228" t="n">
        <v>0</v>
      </c>
      <c r="R228" s="2" t="inlineStr"/>
    </row>
    <row r="229" ht="15" customHeight="1">
      <c r="A229" t="inlineStr">
        <is>
          <t>A 57415-2025</t>
        </is>
      </c>
      <c r="B229" s="1" t="n">
        <v>45980.45099537037</v>
      </c>
      <c r="C229" s="1" t="n">
        <v>46092</v>
      </c>
      <c r="D229" t="inlineStr">
        <is>
          <t>VÄSTMANLANDS LÄN</t>
        </is>
      </c>
      <c r="E229" t="inlineStr">
        <is>
          <t>SALA</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57412-2025</t>
        </is>
      </c>
      <c r="B230" s="1" t="n">
        <v>45980.44883101852</v>
      </c>
      <c r="C230" s="1" t="n">
        <v>46092</v>
      </c>
      <c r="D230" t="inlineStr">
        <is>
          <t>VÄSTMANLANDS LÄN</t>
        </is>
      </c>
      <c r="E230" t="inlineStr">
        <is>
          <t>SALA</t>
        </is>
      </c>
      <c r="F230" t="inlineStr">
        <is>
          <t>Bergvik skog öst AB</t>
        </is>
      </c>
      <c r="G230" t="n">
        <v>4.5</v>
      </c>
      <c r="H230" t="n">
        <v>0</v>
      </c>
      <c r="I230" t="n">
        <v>0</v>
      </c>
      <c r="J230" t="n">
        <v>0</v>
      </c>
      <c r="K230" t="n">
        <v>0</v>
      </c>
      <c r="L230" t="n">
        <v>0</v>
      </c>
      <c r="M230" t="n">
        <v>0</v>
      </c>
      <c r="N230" t="n">
        <v>0</v>
      </c>
      <c r="O230" t="n">
        <v>0</v>
      </c>
      <c r="P230" t="n">
        <v>0</v>
      </c>
      <c r="Q230" t="n">
        <v>0</v>
      </c>
      <c r="R230" s="2" t="inlineStr"/>
    </row>
    <row r="231" ht="15" customHeight="1">
      <c r="A231" t="inlineStr">
        <is>
          <t>A 39167-2025</t>
        </is>
      </c>
      <c r="B231" s="1" t="n">
        <v>45888</v>
      </c>
      <c r="C231" s="1" t="n">
        <v>46092</v>
      </c>
      <c r="D231" t="inlineStr">
        <is>
          <t>VÄSTMANLANDS LÄN</t>
        </is>
      </c>
      <c r="E231" t="inlineStr">
        <is>
          <t>SALA</t>
        </is>
      </c>
      <c r="G231" t="n">
        <v>5.5</v>
      </c>
      <c r="H231" t="n">
        <v>0</v>
      </c>
      <c r="I231" t="n">
        <v>0</v>
      </c>
      <c r="J231" t="n">
        <v>0</v>
      </c>
      <c r="K231" t="n">
        <v>0</v>
      </c>
      <c r="L231" t="n">
        <v>0</v>
      </c>
      <c r="M231" t="n">
        <v>0</v>
      </c>
      <c r="N231" t="n">
        <v>0</v>
      </c>
      <c r="O231" t="n">
        <v>0</v>
      </c>
      <c r="P231" t="n">
        <v>0</v>
      </c>
      <c r="Q231" t="n">
        <v>0</v>
      </c>
      <c r="R231" s="2" t="inlineStr"/>
    </row>
    <row r="232" ht="15" customHeight="1">
      <c r="A232" t="inlineStr">
        <is>
          <t>A 39182-2025</t>
        </is>
      </c>
      <c r="B232" s="1" t="n">
        <v>45888.66204861111</v>
      </c>
      <c r="C232" s="1" t="n">
        <v>46092</v>
      </c>
      <c r="D232" t="inlineStr">
        <is>
          <t>VÄSTMANLANDS LÄN</t>
        </is>
      </c>
      <c r="E232" t="inlineStr">
        <is>
          <t>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15756-2025</t>
        </is>
      </c>
      <c r="B233" s="1" t="n">
        <v>45748.56810185185</v>
      </c>
      <c r="C233" s="1" t="n">
        <v>46092</v>
      </c>
      <c r="D233" t="inlineStr">
        <is>
          <t>VÄSTMANLANDS LÄN</t>
        </is>
      </c>
      <c r="E233" t="inlineStr">
        <is>
          <t>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31000-2022</t>
        </is>
      </c>
      <c r="B234" s="1" t="n">
        <v>44768</v>
      </c>
      <c r="C234" s="1" t="n">
        <v>46092</v>
      </c>
      <c r="D234" t="inlineStr">
        <is>
          <t>VÄSTMANLANDS LÄN</t>
        </is>
      </c>
      <c r="E234" t="inlineStr">
        <is>
          <t>SALA</t>
        </is>
      </c>
      <c r="G234" t="n">
        <v>5.7</v>
      </c>
      <c r="H234" t="n">
        <v>0</v>
      </c>
      <c r="I234" t="n">
        <v>0</v>
      </c>
      <c r="J234" t="n">
        <v>0</v>
      </c>
      <c r="K234" t="n">
        <v>0</v>
      </c>
      <c r="L234" t="n">
        <v>0</v>
      </c>
      <c r="M234" t="n">
        <v>0</v>
      </c>
      <c r="N234" t="n">
        <v>0</v>
      </c>
      <c r="O234" t="n">
        <v>0</v>
      </c>
      <c r="P234" t="n">
        <v>0</v>
      </c>
      <c r="Q234" t="n">
        <v>0</v>
      </c>
      <c r="R234" s="2" t="inlineStr"/>
    </row>
    <row r="235" ht="15" customHeight="1">
      <c r="A235" t="inlineStr">
        <is>
          <t>A 58359-2025</t>
        </is>
      </c>
      <c r="B235" s="1" t="n">
        <v>45985.51594907408</v>
      </c>
      <c r="C235" s="1" t="n">
        <v>46092</v>
      </c>
      <c r="D235" t="inlineStr">
        <is>
          <t>VÄSTMANLANDS LÄN</t>
        </is>
      </c>
      <c r="E235" t="inlineStr">
        <is>
          <t>SALA</t>
        </is>
      </c>
      <c r="G235" t="n">
        <v>3.7</v>
      </c>
      <c r="H235" t="n">
        <v>0</v>
      </c>
      <c r="I235" t="n">
        <v>0</v>
      </c>
      <c r="J235" t="n">
        <v>0</v>
      </c>
      <c r="K235" t="n">
        <v>0</v>
      </c>
      <c r="L235" t="n">
        <v>0</v>
      </c>
      <c r="M235" t="n">
        <v>0</v>
      </c>
      <c r="N235" t="n">
        <v>0</v>
      </c>
      <c r="O235" t="n">
        <v>0</v>
      </c>
      <c r="P235" t="n">
        <v>0</v>
      </c>
      <c r="Q235" t="n">
        <v>0</v>
      </c>
      <c r="R235" s="2" t="inlineStr"/>
    </row>
    <row r="236" ht="15" customHeight="1">
      <c r="A236" t="inlineStr">
        <is>
          <t>A 58364-2025</t>
        </is>
      </c>
      <c r="B236" s="1" t="n">
        <v>45985.5228125</v>
      </c>
      <c r="C236" s="1" t="n">
        <v>46092</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37183-2024</t>
        </is>
      </c>
      <c r="B237" s="1" t="n">
        <v>45539</v>
      </c>
      <c r="C237" s="1" t="n">
        <v>46092</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58282-2025</t>
        </is>
      </c>
      <c r="B238" s="1" t="n">
        <v>45985.44309027777</v>
      </c>
      <c r="C238" s="1" t="n">
        <v>46092</v>
      </c>
      <c r="D238" t="inlineStr">
        <is>
          <t>VÄSTMANLANDS LÄN</t>
        </is>
      </c>
      <c r="E238" t="inlineStr">
        <is>
          <t>SALA</t>
        </is>
      </c>
      <c r="G238" t="n">
        <v>8.9</v>
      </c>
      <c r="H238" t="n">
        <v>0</v>
      </c>
      <c r="I238" t="n">
        <v>0</v>
      </c>
      <c r="J238" t="n">
        <v>0</v>
      </c>
      <c r="K238" t="n">
        <v>0</v>
      </c>
      <c r="L238" t="n">
        <v>0</v>
      </c>
      <c r="M238" t="n">
        <v>0</v>
      </c>
      <c r="N238" t="n">
        <v>0</v>
      </c>
      <c r="O238" t="n">
        <v>0</v>
      </c>
      <c r="P238" t="n">
        <v>0</v>
      </c>
      <c r="Q238" t="n">
        <v>0</v>
      </c>
      <c r="R238" s="2" t="inlineStr"/>
    </row>
    <row r="239" ht="15" customHeight="1">
      <c r="A239" t="inlineStr">
        <is>
          <t>A 55760-2025</t>
        </is>
      </c>
      <c r="B239" s="1" t="n">
        <v>45972</v>
      </c>
      <c r="C239" s="1" t="n">
        <v>46092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58357-2025</t>
        </is>
      </c>
      <c r="B240" s="1" t="n">
        <v>45985.51518518518</v>
      </c>
      <c r="C240" s="1" t="n">
        <v>46092</v>
      </c>
      <c r="D240" t="inlineStr">
        <is>
          <t>VÄSTMANLANDS LÄN</t>
        </is>
      </c>
      <c r="E240" t="inlineStr">
        <is>
          <t>SALA</t>
        </is>
      </c>
      <c r="G240" t="n">
        <v>3</v>
      </c>
      <c r="H240" t="n">
        <v>0</v>
      </c>
      <c r="I240" t="n">
        <v>0</v>
      </c>
      <c r="J240" t="n">
        <v>0</v>
      </c>
      <c r="K240" t="n">
        <v>0</v>
      </c>
      <c r="L240" t="n">
        <v>0</v>
      </c>
      <c r="M240" t="n">
        <v>0</v>
      </c>
      <c r="N240" t="n">
        <v>0</v>
      </c>
      <c r="O240" t="n">
        <v>0</v>
      </c>
      <c r="P240" t="n">
        <v>0</v>
      </c>
      <c r="Q240" t="n">
        <v>0</v>
      </c>
      <c r="R240" s="2" t="inlineStr"/>
    </row>
    <row r="241" ht="15" customHeight="1">
      <c r="A241" t="inlineStr">
        <is>
          <t>A 58365-2025</t>
        </is>
      </c>
      <c r="B241" s="1" t="n">
        <v>45985.52288194445</v>
      </c>
      <c r="C241" s="1" t="n">
        <v>46092</v>
      </c>
      <c r="D241" t="inlineStr">
        <is>
          <t>VÄSTMANLANDS LÄN</t>
        </is>
      </c>
      <c r="E241" t="inlineStr">
        <is>
          <t>SALA</t>
        </is>
      </c>
      <c r="G241" t="n">
        <v>3.9</v>
      </c>
      <c r="H241" t="n">
        <v>0</v>
      </c>
      <c r="I241" t="n">
        <v>0</v>
      </c>
      <c r="J241" t="n">
        <v>0</v>
      </c>
      <c r="K241" t="n">
        <v>0</v>
      </c>
      <c r="L241" t="n">
        <v>0</v>
      </c>
      <c r="M241" t="n">
        <v>0</v>
      </c>
      <c r="N241" t="n">
        <v>0</v>
      </c>
      <c r="O241" t="n">
        <v>0</v>
      </c>
      <c r="P241" t="n">
        <v>0</v>
      </c>
      <c r="Q241" t="n">
        <v>0</v>
      </c>
      <c r="R241" s="2" t="inlineStr"/>
    </row>
    <row r="242" ht="15" customHeight="1">
      <c r="A242" t="inlineStr">
        <is>
          <t>A 27229-2022</t>
        </is>
      </c>
      <c r="B242" s="1" t="n">
        <v>44741</v>
      </c>
      <c r="C242" s="1" t="n">
        <v>46092</v>
      </c>
      <c r="D242" t="inlineStr">
        <is>
          <t>VÄSTMANLANDS LÄN</t>
        </is>
      </c>
      <c r="E242" t="inlineStr">
        <is>
          <t>SALA</t>
        </is>
      </c>
      <c r="F242" t="inlineStr">
        <is>
          <t>Kommuner</t>
        </is>
      </c>
      <c r="G242" t="n">
        <v>1.4</v>
      </c>
      <c r="H242" t="n">
        <v>0</v>
      </c>
      <c r="I242" t="n">
        <v>0</v>
      </c>
      <c r="J242" t="n">
        <v>0</v>
      </c>
      <c r="K242" t="n">
        <v>0</v>
      </c>
      <c r="L242" t="n">
        <v>0</v>
      </c>
      <c r="M242" t="n">
        <v>0</v>
      </c>
      <c r="N242" t="n">
        <v>0</v>
      </c>
      <c r="O242" t="n">
        <v>0</v>
      </c>
      <c r="P242" t="n">
        <v>0</v>
      </c>
      <c r="Q242" t="n">
        <v>0</v>
      </c>
      <c r="R242" s="2" t="inlineStr"/>
    </row>
    <row r="243" ht="15" customHeight="1">
      <c r="A243" t="inlineStr">
        <is>
          <t>A 1793-2023</t>
        </is>
      </c>
      <c r="B243" s="1" t="n">
        <v>44937</v>
      </c>
      <c r="C243" s="1" t="n">
        <v>46092</v>
      </c>
      <c r="D243" t="inlineStr">
        <is>
          <t>VÄSTMANLANDS LÄN</t>
        </is>
      </c>
      <c r="E243" t="inlineStr">
        <is>
          <t>SALA</t>
        </is>
      </c>
      <c r="G243" t="n">
        <v>2.6</v>
      </c>
      <c r="H243" t="n">
        <v>0</v>
      </c>
      <c r="I243" t="n">
        <v>0</v>
      </c>
      <c r="J243" t="n">
        <v>0</v>
      </c>
      <c r="K243" t="n">
        <v>0</v>
      </c>
      <c r="L243" t="n">
        <v>0</v>
      </c>
      <c r="M243" t="n">
        <v>0</v>
      </c>
      <c r="N243" t="n">
        <v>0</v>
      </c>
      <c r="O243" t="n">
        <v>0</v>
      </c>
      <c r="P243" t="n">
        <v>0</v>
      </c>
      <c r="Q243" t="n">
        <v>0</v>
      </c>
      <c r="R243" s="2" t="inlineStr"/>
    </row>
    <row r="244" ht="15" customHeight="1">
      <c r="A244" t="inlineStr">
        <is>
          <t>A 29248-2022</t>
        </is>
      </c>
      <c r="B244" s="1" t="n">
        <v>44750</v>
      </c>
      <c r="C244" s="1" t="n">
        <v>46092</v>
      </c>
      <c r="D244" t="inlineStr">
        <is>
          <t>VÄSTMANLANDS LÄN</t>
        </is>
      </c>
      <c r="E244" t="inlineStr">
        <is>
          <t>SALA</t>
        </is>
      </c>
      <c r="G244" t="n">
        <v>1.6</v>
      </c>
      <c r="H244" t="n">
        <v>0</v>
      </c>
      <c r="I244" t="n">
        <v>0</v>
      </c>
      <c r="J244" t="n">
        <v>0</v>
      </c>
      <c r="K244" t="n">
        <v>0</v>
      </c>
      <c r="L244" t="n">
        <v>0</v>
      </c>
      <c r="M244" t="n">
        <v>0</v>
      </c>
      <c r="N244" t="n">
        <v>0</v>
      </c>
      <c r="O244" t="n">
        <v>0</v>
      </c>
      <c r="P244" t="n">
        <v>0</v>
      </c>
      <c r="Q244" t="n">
        <v>0</v>
      </c>
      <c r="R244" s="2" t="inlineStr"/>
    </row>
    <row r="245" ht="15" customHeight="1">
      <c r="A245" t="inlineStr">
        <is>
          <t>A 52498-2022</t>
        </is>
      </c>
      <c r="B245" s="1" t="n">
        <v>44874.50152777778</v>
      </c>
      <c r="C245" s="1" t="n">
        <v>46092</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22397-2022</t>
        </is>
      </c>
      <c r="B246" s="1" t="n">
        <v>44713</v>
      </c>
      <c r="C246" s="1" t="n">
        <v>46092</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28863-2022</t>
        </is>
      </c>
      <c r="B247" s="1" t="n">
        <v>44749.50649305555</v>
      </c>
      <c r="C247" s="1" t="n">
        <v>46092</v>
      </c>
      <c r="D247" t="inlineStr">
        <is>
          <t>VÄSTMANLANDS LÄN</t>
        </is>
      </c>
      <c r="E247" t="inlineStr">
        <is>
          <t>SALA</t>
        </is>
      </c>
      <c r="G247" t="n">
        <v>1.6</v>
      </c>
      <c r="H247" t="n">
        <v>0</v>
      </c>
      <c r="I247" t="n">
        <v>0</v>
      </c>
      <c r="J247" t="n">
        <v>0</v>
      </c>
      <c r="K247" t="n">
        <v>0</v>
      </c>
      <c r="L247" t="n">
        <v>0</v>
      </c>
      <c r="M247" t="n">
        <v>0</v>
      </c>
      <c r="N247" t="n">
        <v>0</v>
      </c>
      <c r="O247" t="n">
        <v>0</v>
      </c>
      <c r="P247" t="n">
        <v>0</v>
      </c>
      <c r="Q247" t="n">
        <v>0</v>
      </c>
      <c r="R247" s="2" t="inlineStr"/>
    </row>
    <row r="248" ht="15" customHeight="1">
      <c r="A248" t="inlineStr">
        <is>
          <t>A 59385-2025</t>
        </is>
      </c>
      <c r="B248" s="1" t="n">
        <v>45989.45746527778</v>
      </c>
      <c r="C248" s="1" t="n">
        <v>46092</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59390-2025</t>
        </is>
      </c>
      <c r="B249" s="1" t="n">
        <v>45989.4640162037</v>
      </c>
      <c r="C249" s="1" t="n">
        <v>46092</v>
      </c>
      <c r="D249" t="inlineStr">
        <is>
          <t>VÄSTMANLANDS LÄN</t>
        </is>
      </c>
      <c r="E249" t="inlineStr">
        <is>
          <t>SALA</t>
        </is>
      </c>
      <c r="G249" t="n">
        <v>1.8</v>
      </c>
      <c r="H249" t="n">
        <v>0</v>
      </c>
      <c r="I249" t="n">
        <v>0</v>
      </c>
      <c r="J249" t="n">
        <v>0</v>
      </c>
      <c r="K249" t="n">
        <v>0</v>
      </c>
      <c r="L249" t="n">
        <v>0</v>
      </c>
      <c r="M249" t="n">
        <v>0</v>
      </c>
      <c r="N249" t="n">
        <v>0</v>
      </c>
      <c r="O249" t="n">
        <v>0</v>
      </c>
      <c r="P249" t="n">
        <v>0</v>
      </c>
      <c r="Q249" t="n">
        <v>0</v>
      </c>
      <c r="R249" s="2" t="inlineStr"/>
    </row>
    <row r="250" ht="15" customHeight="1">
      <c r="A250" t="inlineStr">
        <is>
          <t>A 51247-2025</t>
        </is>
      </c>
      <c r="B250" s="1" t="n">
        <v>45947.86487268518</v>
      </c>
      <c r="C250" s="1" t="n">
        <v>46092</v>
      </c>
      <c r="D250" t="inlineStr">
        <is>
          <t>VÄSTMANLANDS LÄN</t>
        </is>
      </c>
      <c r="E250" t="inlineStr">
        <is>
          <t>SALA</t>
        </is>
      </c>
      <c r="G250" t="n">
        <v>10.4</v>
      </c>
      <c r="H250" t="n">
        <v>0</v>
      </c>
      <c r="I250" t="n">
        <v>0</v>
      </c>
      <c r="J250" t="n">
        <v>0</v>
      </c>
      <c r="K250" t="n">
        <v>0</v>
      </c>
      <c r="L250" t="n">
        <v>0</v>
      </c>
      <c r="M250" t="n">
        <v>0</v>
      </c>
      <c r="N250" t="n">
        <v>0</v>
      </c>
      <c r="O250" t="n">
        <v>0</v>
      </c>
      <c r="P250" t="n">
        <v>0</v>
      </c>
      <c r="Q250" t="n">
        <v>0</v>
      </c>
      <c r="R250" s="2" t="inlineStr"/>
    </row>
    <row r="251" ht="15" customHeight="1">
      <c r="A251" t="inlineStr">
        <is>
          <t>A 23804-2025</t>
        </is>
      </c>
      <c r="B251" s="1" t="n">
        <v>45793.55995370371</v>
      </c>
      <c r="C251" s="1" t="n">
        <v>46092</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59817-2025</t>
        </is>
      </c>
      <c r="B252" s="1" t="n">
        <v>45992.63711805556</v>
      </c>
      <c r="C252" s="1" t="n">
        <v>46092</v>
      </c>
      <c r="D252" t="inlineStr">
        <is>
          <t>VÄSTMANLANDS LÄN</t>
        </is>
      </c>
      <c r="E252" t="inlineStr">
        <is>
          <t>SALA</t>
        </is>
      </c>
      <c r="G252" t="n">
        <v>6.9</v>
      </c>
      <c r="H252" t="n">
        <v>0</v>
      </c>
      <c r="I252" t="n">
        <v>0</v>
      </c>
      <c r="J252" t="n">
        <v>0</v>
      </c>
      <c r="K252" t="n">
        <v>0</v>
      </c>
      <c r="L252" t="n">
        <v>0</v>
      </c>
      <c r="M252" t="n">
        <v>0</v>
      </c>
      <c r="N252" t="n">
        <v>0</v>
      </c>
      <c r="O252" t="n">
        <v>0</v>
      </c>
      <c r="P252" t="n">
        <v>0</v>
      </c>
      <c r="Q252" t="n">
        <v>0</v>
      </c>
      <c r="R252" s="2" t="inlineStr"/>
    </row>
    <row r="253" ht="15" customHeight="1">
      <c r="A253" t="inlineStr">
        <is>
          <t>A 14919-2025</t>
        </is>
      </c>
      <c r="B253" s="1" t="n">
        <v>45743.54256944444</v>
      </c>
      <c r="C253" s="1" t="n">
        <v>46092</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14920-2025</t>
        </is>
      </c>
      <c r="B254" s="1" t="n">
        <v>45743</v>
      </c>
      <c r="C254" s="1" t="n">
        <v>46092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40398-2021</t>
        </is>
      </c>
      <c r="B255" s="1" t="n">
        <v>44419</v>
      </c>
      <c r="C255" s="1" t="n">
        <v>46092</v>
      </c>
      <c r="D255" t="inlineStr">
        <is>
          <t>VÄSTMANLANDS LÄN</t>
        </is>
      </c>
      <c r="E255" t="inlineStr">
        <is>
          <t>SALA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59870-2025</t>
        </is>
      </c>
      <c r="B256" s="1" t="n">
        <v>45992.92226851852</v>
      </c>
      <c r="C256" s="1" t="n">
        <v>46092</v>
      </c>
      <c r="D256" t="inlineStr">
        <is>
          <t>VÄSTMANLANDS LÄN</t>
        </is>
      </c>
      <c r="E256" t="inlineStr">
        <is>
          <t>SALA</t>
        </is>
      </c>
      <c r="G256" t="n">
        <v>3.4</v>
      </c>
      <c r="H256" t="n">
        <v>0</v>
      </c>
      <c r="I256" t="n">
        <v>0</v>
      </c>
      <c r="J256" t="n">
        <v>0</v>
      </c>
      <c r="K256" t="n">
        <v>0</v>
      </c>
      <c r="L256" t="n">
        <v>0</v>
      </c>
      <c r="M256" t="n">
        <v>0</v>
      </c>
      <c r="N256" t="n">
        <v>0</v>
      </c>
      <c r="O256" t="n">
        <v>0</v>
      </c>
      <c r="P256" t="n">
        <v>0</v>
      </c>
      <c r="Q256" t="n">
        <v>0</v>
      </c>
      <c r="R256" s="2" t="inlineStr"/>
    </row>
    <row r="257" ht="15" customHeight="1">
      <c r="A257" t="inlineStr">
        <is>
          <t>A 22126-2025</t>
        </is>
      </c>
      <c r="B257" s="1" t="n">
        <v>45785</v>
      </c>
      <c r="C257" s="1" t="n">
        <v>46092</v>
      </c>
      <c r="D257" t="inlineStr">
        <is>
          <t>VÄSTMANLANDS LÄN</t>
        </is>
      </c>
      <c r="E257" t="inlineStr">
        <is>
          <t>SALA</t>
        </is>
      </c>
      <c r="G257" t="n">
        <v>10.6</v>
      </c>
      <c r="H257" t="n">
        <v>0</v>
      </c>
      <c r="I257" t="n">
        <v>0</v>
      </c>
      <c r="J257" t="n">
        <v>0</v>
      </c>
      <c r="K257" t="n">
        <v>0</v>
      </c>
      <c r="L257" t="n">
        <v>0</v>
      </c>
      <c r="M257" t="n">
        <v>0</v>
      </c>
      <c r="N257" t="n">
        <v>0</v>
      </c>
      <c r="O257" t="n">
        <v>0</v>
      </c>
      <c r="P257" t="n">
        <v>0</v>
      </c>
      <c r="Q257" t="n">
        <v>0</v>
      </c>
      <c r="R257" s="2" t="inlineStr"/>
    </row>
    <row r="258" ht="15" customHeight="1">
      <c r="A258" t="inlineStr">
        <is>
          <t>A 59926-2025</t>
        </is>
      </c>
      <c r="B258" s="1" t="n">
        <v>45993.39221064815</v>
      </c>
      <c r="C258" s="1" t="n">
        <v>46092</v>
      </c>
      <c r="D258" t="inlineStr">
        <is>
          <t>VÄSTMANLANDS LÄN</t>
        </is>
      </c>
      <c r="E258" t="inlineStr">
        <is>
          <t>SALA</t>
        </is>
      </c>
      <c r="G258" t="n">
        <v>7.1</v>
      </c>
      <c r="H258" t="n">
        <v>0</v>
      </c>
      <c r="I258" t="n">
        <v>0</v>
      </c>
      <c r="J258" t="n">
        <v>0</v>
      </c>
      <c r="K258" t="n">
        <v>0</v>
      </c>
      <c r="L258" t="n">
        <v>0</v>
      </c>
      <c r="M258" t="n">
        <v>0</v>
      </c>
      <c r="N258" t="n">
        <v>0</v>
      </c>
      <c r="O258" t="n">
        <v>0</v>
      </c>
      <c r="P258" t="n">
        <v>0</v>
      </c>
      <c r="Q258" t="n">
        <v>0</v>
      </c>
      <c r="R258" s="2" t="inlineStr"/>
    </row>
    <row r="259" ht="15" customHeight="1">
      <c r="A259" t="inlineStr">
        <is>
          <t>A 40559-2025</t>
        </is>
      </c>
      <c r="B259" s="1" t="n">
        <v>45896.45037037037</v>
      </c>
      <c r="C259" s="1" t="n">
        <v>46092</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43362-2023</t>
        </is>
      </c>
      <c r="B260" s="1" t="n">
        <v>45183</v>
      </c>
      <c r="C260" s="1" t="n">
        <v>46092</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40556-2025</t>
        </is>
      </c>
      <c r="B261" s="1" t="n">
        <v>45896.44944444444</v>
      </c>
      <c r="C261" s="1" t="n">
        <v>46092</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40620-2025</t>
        </is>
      </c>
      <c r="B262" s="1" t="n">
        <v>45896.58609953704</v>
      </c>
      <c r="C262" s="1" t="n">
        <v>46092</v>
      </c>
      <c r="D262" t="inlineStr">
        <is>
          <t>VÄSTMANLANDS LÄN</t>
        </is>
      </c>
      <c r="E262" t="inlineStr">
        <is>
          <t>SALA</t>
        </is>
      </c>
      <c r="G262" t="n">
        <v>6.7</v>
      </c>
      <c r="H262" t="n">
        <v>0</v>
      </c>
      <c r="I262" t="n">
        <v>0</v>
      </c>
      <c r="J262" t="n">
        <v>0</v>
      </c>
      <c r="K262" t="n">
        <v>0</v>
      </c>
      <c r="L262" t="n">
        <v>0</v>
      </c>
      <c r="M262" t="n">
        <v>0</v>
      </c>
      <c r="N262" t="n">
        <v>0</v>
      </c>
      <c r="O262" t="n">
        <v>0</v>
      </c>
      <c r="P262" t="n">
        <v>0</v>
      </c>
      <c r="Q262" t="n">
        <v>0</v>
      </c>
      <c r="R262" s="2" t="inlineStr"/>
    </row>
    <row r="263" ht="15" customHeight="1">
      <c r="A263" t="inlineStr">
        <is>
          <t>A 60017-2025</t>
        </is>
      </c>
      <c r="B263" s="1" t="n">
        <v>45993.59998842593</v>
      </c>
      <c r="C263" s="1" t="n">
        <v>46092</v>
      </c>
      <c r="D263" t="inlineStr">
        <is>
          <t>VÄSTMANLANDS LÄN</t>
        </is>
      </c>
      <c r="E263" t="inlineStr">
        <is>
          <t>SALA</t>
        </is>
      </c>
      <c r="G263" t="n">
        <v>4.4</v>
      </c>
      <c r="H263" t="n">
        <v>0</v>
      </c>
      <c r="I263" t="n">
        <v>0</v>
      </c>
      <c r="J263" t="n">
        <v>0</v>
      </c>
      <c r="K263" t="n">
        <v>0</v>
      </c>
      <c r="L263" t="n">
        <v>0</v>
      </c>
      <c r="M263" t="n">
        <v>0</v>
      </c>
      <c r="N263" t="n">
        <v>0</v>
      </c>
      <c r="O263" t="n">
        <v>0</v>
      </c>
      <c r="P263" t="n">
        <v>0</v>
      </c>
      <c r="Q263" t="n">
        <v>0</v>
      </c>
      <c r="R263" s="2" t="inlineStr"/>
    </row>
    <row r="264" ht="15" customHeight="1">
      <c r="A264" t="inlineStr">
        <is>
          <t>A 2900-2023</t>
        </is>
      </c>
      <c r="B264" s="1" t="n">
        <v>44943</v>
      </c>
      <c r="C264" s="1" t="n">
        <v>46092</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19297-2025</t>
        </is>
      </c>
      <c r="B265" s="1" t="n">
        <v>45769.56261574074</v>
      </c>
      <c r="C265" s="1" t="n">
        <v>46092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6030-2024</t>
        </is>
      </c>
      <c r="B266" s="1" t="n">
        <v>45336.62782407407</v>
      </c>
      <c r="C266" s="1" t="n">
        <v>46092</v>
      </c>
      <c r="D266" t="inlineStr">
        <is>
          <t>VÄSTMANLANDS LÄN</t>
        </is>
      </c>
      <c r="E266" t="inlineStr">
        <is>
          <t>SALA</t>
        </is>
      </c>
      <c r="G266" t="n">
        <v>3.9</v>
      </c>
      <c r="H266" t="n">
        <v>0</v>
      </c>
      <c r="I266" t="n">
        <v>0</v>
      </c>
      <c r="J266" t="n">
        <v>0</v>
      </c>
      <c r="K266" t="n">
        <v>0</v>
      </c>
      <c r="L266" t="n">
        <v>0</v>
      </c>
      <c r="M266" t="n">
        <v>0</v>
      </c>
      <c r="N266" t="n">
        <v>0</v>
      </c>
      <c r="O266" t="n">
        <v>0</v>
      </c>
      <c r="P266" t="n">
        <v>0</v>
      </c>
      <c r="Q266" t="n">
        <v>0</v>
      </c>
      <c r="R266" s="2" t="inlineStr"/>
    </row>
    <row r="267" ht="15" customHeight="1">
      <c r="A267" t="inlineStr">
        <is>
          <t>A 52630-2022</t>
        </is>
      </c>
      <c r="B267" s="1" t="n">
        <v>44874</v>
      </c>
      <c r="C267" s="1" t="n">
        <v>46092</v>
      </c>
      <c r="D267" t="inlineStr">
        <is>
          <t>VÄSTMANLANDS LÄN</t>
        </is>
      </c>
      <c r="E267" t="inlineStr">
        <is>
          <t>SALA</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60254-2025</t>
        </is>
      </c>
      <c r="B268" s="1" t="n">
        <v>45994.60146990741</v>
      </c>
      <c r="C268" s="1" t="n">
        <v>46092</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60259-2025</t>
        </is>
      </c>
      <c r="B269" s="1" t="n">
        <v>45994.60913194445</v>
      </c>
      <c r="C269" s="1" t="n">
        <v>46092</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row>
    <row r="270" ht="15" customHeight="1">
      <c r="A270" t="inlineStr">
        <is>
          <t>A 60241-2025</t>
        </is>
      </c>
      <c r="B270" s="1" t="n">
        <v>45994.58454861111</v>
      </c>
      <c r="C270" s="1" t="n">
        <v>46092</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23810-2025</t>
        </is>
      </c>
      <c r="B271" s="1" t="n">
        <v>45793.56989583333</v>
      </c>
      <c r="C271" s="1" t="n">
        <v>46092</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41230-2025</t>
        </is>
      </c>
      <c r="B272" s="1" t="n">
        <v>45898</v>
      </c>
      <c r="C272" s="1" t="n">
        <v>46092</v>
      </c>
      <c r="D272" t="inlineStr">
        <is>
          <t>VÄSTMANLANDS LÄN</t>
        </is>
      </c>
      <c r="E272" t="inlineStr">
        <is>
          <t>SALA</t>
        </is>
      </c>
      <c r="G272" t="n">
        <v>2.3</v>
      </c>
      <c r="H272" t="n">
        <v>0</v>
      </c>
      <c r="I272" t="n">
        <v>0</v>
      </c>
      <c r="J272" t="n">
        <v>0</v>
      </c>
      <c r="K272" t="n">
        <v>0</v>
      </c>
      <c r="L272" t="n">
        <v>0</v>
      </c>
      <c r="M272" t="n">
        <v>0</v>
      </c>
      <c r="N272" t="n">
        <v>0</v>
      </c>
      <c r="O272" t="n">
        <v>0</v>
      </c>
      <c r="P272" t="n">
        <v>0</v>
      </c>
      <c r="Q272" t="n">
        <v>0</v>
      </c>
      <c r="R272" s="2" t="inlineStr"/>
    </row>
    <row r="273" ht="15" customHeight="1">
      <c r="A273" t="inlineStr">
        <is>
          <t>A 60258-2025</t>
        </is>
      </c>
      <c r="B273" s="1" t="n">
        <v>45994.6064699074</v>
      </c>
      <c r="C273" s="1" t="n">
        <v>46092</v>
      </c>
      <c r="D273" t="inlineStr">
        <is>
          <t>VÄSTMANLANDS LÄN</t>
        </is>
      </c>
      <c r="E273" t="inlineStr">
        <is>
          <t>SALA</t>
        </is>
      </c>
      <c r="G273" t="n">
        <v>2.2</v>
      </c>
      <c r="H273" t="n">
        <v>0</v>
      </c>
      <c r="I273" t="n">
        <v>0</v>
      </c>
      <c r="J273" t="n">
        <v>0</v>
      </c>
      <c r="K273" t="n">
        <v>0</v>
      </c>
      <c r="L273" t="n">
        <v>0</v>
      </c>
      <c r="M273" t="n">
        <v>0</v>
      </c>
      <c r="N273" t="n">
        <v>0</v>
      </c>
      <c r="O273" t="n">
        <v>0</v>
      </c>
      <c r="P273" t="n">
        <v>0</v>
      </c>
      <c r="Q273" t="n">
        <v>0</v>
      </c>
      <c r="R273" s="2" t="inlineStr"/>
    </row>
    <row r="274" ht="15" customHeight="1">
      <c r="A274" t="inlineStr">
        <is>
          <t>A 14690-2025</t>
        </is>
      </c>
      <c r="B274" s="1" t="n">
        <v>45742.58212962963</v>
      </c>
      <c r="C274" s="1" t="n">
        <v>46092</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60246-2025</t>
        </is>
      </c>
      <c r="B275" s="1" t="n">
        <v>45994.58931712963</v>
      </c>
      <c r="C275" s="1" t="n">
        <v>46092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60629-2025</t>
        </is>
      </c>
      <c r="B276" s="1" t="n">
        <v>45996.41972222222</v>
      </c>
      <c r="C276" s="1" t="n">
        <v>46092</v>
      </c>
      <c r="D276" t="inlineStr">
        <is>
          <t>VÄSTMANLANDS LÄN</t>
        </is>
      </c>
      <c r="E276" t="inlineStr">
        <is>
          <t>SALA</t>
        </is>
      </c>
      <c r="G276" t="n">
        <v>4.3</v>
      </c>
      <c r="H276" t="n">
        <v>0</v>
      </c>
      <c r="I276" t="n">
        <v>0</v>
      </c>
      <c r="J276" t="n">
        <v>0</v>
      </c>
      <c r="K276" t="n">
        <v>0</v>
      </c>
      <c r="L276" t="n">
        <v>0</v>
      </c>
      <c r="M276" t="n">
        <v>0</v>
      </c>
      <c r="N276" t="n">
        <v>0</v>
      </c>
      <c r="O276" t="n">
        <v>0</v>
      </c>
      <c r="P276" t="n">
        <v>0</v>
      </c>
      <c r="Q276" t="n">
        <v>0</v>
      </c>
      <c r="R276" s="2" t="inlineStr"/>
    </row>
    <row r="277" ht="15" customHeight="1">
      <c r="A277" t="inlineStr">
        <is>
          <t>A 2521-2025</t>
        </is>
      </c>
      <c r="B277" s="1" t="n">
        <v>45674</v>
      </c>
      <c r="C277" s="1" t="n">
        <v>46092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41414-2025</t>
        </is>
      </c>
      <c r="B278" s="1" t="n">
        <v>45901.360625</v>
      </c>
      <c r="C278" s="1" t="n">
        <v>46092</v>
      </c>
      <c r="D278" t="inlineStr">
        <is>
          <t>VÄSTMANLANDS LÄN</t>
        </is>
      </c>
      <c r="E278" t="inlineStr">
        <is>
          <t>SALA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46092</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53164-2024</t>
        </is>
      </c>
      <c r="B280" s="1" t="n">
        <v>45611.64887731482</v>
      </c>
      <c r="C280" s="1" t="n">
        <v>46092</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60548-2024</t>
        </is>
      </c>
      <c r="B281" s="1" t="n">
        <v>45643.80978009259</v>
      </c>
      <c r="C281" s="1" t="n">
        <v>46092</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41431-2025</t>
        </is>
      </c>
      <c r="B282" s="1" t="n">
        <v>45901.39347222223</v>
      </c>
      <c r="C282" s="1" t="n">
        <v>46092</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24169-2025</t>
        </is>
      </c>
      <c r="B283" s="1" t="n">
        <v>45796</v>
      </c>
      <c r="C283" s="1" t="n">
        <v>46092</v>
      </c>
      <c r="D283" t="inlineStr">
        <is>
          <t>VÄSTMANLANDS LÄN</t>
        </is>
      </c>
      <c r="E283" t="inlineStr">
        <is>
          <t>SALA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11210-2025</t>
        </is>
      </c>
      <c r="B284" s="1" t="n">
        <v>45726</v>
      </c>
      <c r="C284" s="1" t="n">
        <v>46092</v>
      </c>
      <c r="D284" t="inlineStr">
        <is>
          <t>VÄSTMANLANDS LÄN</t>
        </is>
      </c>
      <c r="E284" t="inlineStr">
        <is>
          <t>SALA</t>
        </is>
      </c>
      <c r="G284" t="n">
        <v>4.1</v>
      </c>
      <c r="H284" t="n">
        <v>0</v>
      </c>
      <c r="I284" t="n">
        <v>0</v>
      </c>
      <c r="J284" t="n">
        <v>0</v>
      </c>
      <c r="K284" t="n">
        <v>0</v>
      </c>
      <c r="L284" t="n">
        <v>0</v>
      </c>
      <c r="M284" t="n">
        <v>0</v>
      </c>
      <c r="N284" t="n">
        <v>0</v>
      </c>
      <c r="O284" t="n">
        <v>0</v>
      </c>
      <c r="P284" t="n">
        <v>0</v>
      </c>
      <c r="Q284" t="n">
        <v>0</v>
      </c>
      <c r="R284" s="2" t="inlineStr"/>
    </row>
    <row r="285" ht="15" customHeight="1">
      <c r="A285" t="inlineStr">
        <is>
          <t>A 24944-2023</t>
        </is>
      </c>
      <c r="B285" s="1" t="n">
        <v>45085</v>
      </c>
      <c r="C285" s="1" t="n">
        <v>46092</v>
      </c>
      <c r="D285" t="inlineStr">
        <is>
          <t>VÄSTMANLANDS LÄN</t>
        </is>
      </c>
      <c r="E285" t="inlineStr">
        <is>
          <t>SALA</t>
        </is>
      </c>
      <c r="G285" t="n">
        <v>3.8</v>
      </c>
      <c r="H285" t="n">
        <v>0</v>
      </c>
      <c r="I285" t="n">
        <v>0</v>
      </c>
      <c r="J285" t="n">
        <v>0</v>
      </c>
      <c r="K285" t="n">
        <v>0</v>
      </c>
      <c r="L285" t="n">
        <v>0</v>
      </c>
      <c r="M285" t="n">
        <v>0</v>
      </c>
      <c r="N285" t="n">
        <v>0</v>
      </c>
      <c r="O285" t="n">
        <v>0</v>
      </c>
      <c r="P285" t="n">
        <v>0</v>
      </c>
      <c r="Q285" t="n">
        <v>0</v>
      </c>
      <c r="R285" s="2" t="inlineStr"/>
    </row>
    <row r="286" ht="15" customHeight="1">
      <c r="A286" t="inlineStr">
        <is>
          <t>A 26761-2023</t>
        </is>
      </c>
      <c r="B286" s="1" t="n">
        <v>45093</v>
      </c>
      <c r="C286" s="1" t="n">
        <v>46092</v>
      </c>
      <c r="D286" t="inlineStr">
        <is>
          <t>VÄSTMANLANDS LÄN</t>
        </is>
      </c>
      <c r="E286" t="inlineStr">
        <is>
          <t>SALA</t>
        </is>
      </c>
      <c r="G286" t="n">
        <v>4.3</v>
      </c>
      <c r="H286" t="n">
        <v>0</v>
      </c>
      <c r="I286" t="n">
        <v>0</v>
      </c>
      <c r="J286" t="n">
        <v>0</v>
      </c>
      <c r="K286" t="n">
        <v>0</v>
      </c>
      <c r="L286" t="n">
        <v>0</v>
      </c>
      <c r="M286" t="n">
        <v>0</v>
      </c>
      <c r="N286" t="n">
        <v>0</v>
      </c>
      <c r="O286" t="n">
        <v>0</v>
      </c>
      <c r="P286" t="n">
        <v>0</v>
      </c>
      <c r="Q286" t="n">
        <v>0</v>
      </c>
      <c r="R286" s="2" t="inlineStr"/>
    </row>
    <row r="287" ht="15" customHeight="1">
      <c r="A287" t="inlineStr">
        <is>
          <t>A 61522-2025</t>
        </is>
      </c>
      <c r="B287" s="1" t="n">
        <v>46001.68684027778</v>
      </c>
      <c r="C287" s="1" t="n">
        <v>46092</v>
      </c>
      <c r="D287" t="inlineStr">
        <is>
          <t>VÄSTMANLANDS LÄN</t>
        </is>
      </c>
      <c r="E287" t="inlineStr">
        <is>
          <t>SALA</t>
        </is>
      </c>
      <c r="G287" t="n">
        <v>5.7</v>
      </c>
      <c r="H287" t="n">
        <v>0</v>
      </c>
      <c r="I287" t="n">
        <v>0</v>
      </c>
      <c r="J287" t="n">
        <v>0</v>
      </c>
      <c r="K287" t="n">
        <v>0</v>
      </c>
      <c r="L287" t="n">
        <v>0</v>
      </c>
      <c r="M287" t="n">
        <v>0</v>
      </c>
      <c r="N287" t="n">
        <v>0</v>
      </c>
      <c r="O287" t="n">
        <v>0</v>
      </c>
      <c r="P287" t="n">
        <v>0</v>
      </c>
      <c r="Q287" t="n">
        <v>0</v>
      </c>
      <c r="R287" s="2" t="inlineStr"/>
    </row>
    <row r="288" ht="15" customHeight="1">
      <c r="A288" t="inlineStr">
        <is>
          <t>A 55035-2023</t>
        </is>
      </c>
      <c r="B288" s="1" t="n">
        <v>45229</v>
      </c>
      <c r="C288" s="1" t="n">
        <v>46092</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24460-2025</t>
        </is>
      </c>
      <c r="B289" s="1" t="n">
        <v>45798</v>
      </c>
      <c r="C289" s="1" t="n">
        <v>46092</v>
      </c>
      <c r="D289" t="inlineStr">
        <is>
          <t>VÄSTMANLANDS LÄN</t>
        </is>
      </c>
      <c r="E289" t="inlineStr">
        <is>
          <t>SALA</t>
        </is>
      </c>
      <c r="F289" t="inlineStr">
        <is>
          <t>Bergvik skog öst AB</t>
        </is>
      </c>
      <c r="G289" t="n">
        <v>2.6</v>
      </c>
      <c r="H289" t="n">
        <v>0</v>
      </c>
      <c r="I289" t="n">
        <v>0</v>
      </c>
      <c r="J289" t="n">
        <v>0</v>
      </c>
      <c r="K289" t="n">
        <v>0</v>
      </c>
      <c r="L289" t="n">
        <v>0</v>
      </c>
      <c r="M289" t="n">
        <v>0</v>
      </c>
      <c r="N289" t="n">
        <v>0</v>
      </c>
      <c r="O289" t="n">
        <v>0</v>
      </c>
      <c r="P289" t="n">
        <v>0</v>
      </c>
      <c r="Q289" t="n">
        <v>0</v>
      </c>
      <c r="R289" s="2" t="inlineStr"/>
    </row>
    <row r="290" ht="15" customHeight="1">
      <c r="A290" t="inlineStr">
        <is>
          <t>A 24463-2025</t>
        </is>
      </c>
      <c r="B290" s="1" t="n">
        <v>45798</v>
      </c>
      <c r="C290" s="1" t="n">
        <v>46092</v>
      </c>
      <c r="D290" t="inlineStr">
        <is>
          <t>VÄSTMANLANDS LÄN</t>
        </is>
      </c>
      <c r="E290" t="inlineStr">
        <is>
          <t>SALA</t>
        </is>
      </c>
      <c r="F290" t="inlineStr">
        <is>
          <t>Bergvik skog öst AB</t>
        </is>
      </c>
      <c r="G290" t="n">
        <v>1.5</v>
      </c>
      <c r="H290" t="n">
        <v>0</v>
      </c>
      <c r="I290" t="n">
        <v>0</v>
      </c>
      <c r="J290" t="n">
        <v>0</v>
      </c>
      <c r="K290" t="n">
        <v>0</v>
      </c>
      <c r="L290" t="n">
        <v>0</v>
      </c>
      <c r="M290" t="n">
        <v>0</v>
      </c>
      <c r="N290" t="n">
        <v>0</v>
      </c>
      <c r="O290" t="n">
        <v>0</v>
      </c>
      <c r="P290" t="n">
        <v>0</v>
      </c>
      <c r="Q290" t="n">
        <v>0</v>
      </c>
      <c r="R290" s="2" t="inlineStr"/>
    </row>
    <row r="291" ht="15" customHeight="1">
      <c r="A291" t="inlineStr">
        <is>
          <t>A 60249-2023</t>
        </is>
      </c>
      <c r="B291" s="1" t="n">
        <v>45258</v>
      </c>
      <c r="C291" s="1" t="n">
        <v>46092</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21968-2024</t>
        </is>
      </c>
      <c r="B292" s="1" t="n">
        <v>45443</v>
      </c>
      <c r="C292" s="1" t="n">
        <v>46092</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46092</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55065-2024</t>
        </is>
      </c>
      <c r="B294" s="1" t="n">
        <v>45618</v>
      </c>
      <c r="C294" s="1" t="n">
        <v>46092</v>
      </c>
      <c r="D294" t="inlineStr">
        <is>
          <t>VÄSTMANLANDS LÄN</t>
        </is>
      </c>
      <c r="E294" t="inlineStr">
        <is>
          <t>SALA</t>
        </is>
      </c>
      <c r="G294" t="n">
        <v>3.5</v>
      </c>
      <c r="H294" t="n">
        <v>0</v>
      </c>
      <c r="I294" t="n">
        <v>0</v>
      </c>
      <c r="J294" t="n">
        <v>0</v>
      </c>
      <c r="K294" t="n">
        <v>0</v>
      </c>
      <c r="L294" t="n">
        <v>0</v>
      </c>
      <c r="M294" t="n">
        <v>0</v>
      </c>
      <c r="N294" t="n">
        <v>0</v>
      </c>
      <c r="O294" t="n">
        <v>0</v>
      </c>
      <c r="P294" t="n">
        <v>0</v>
      </c>
      <c r="Q294" t="n">
        <v>0</v>
      </c>
      <c r="R294" s="2" t="inlineStr"/>
    </row>
    <row r="295" ht="15" customHeight="1">
      <c r="A295" t="inlineStr">
        <is>
          <t>A 24907-2025</t>
        </is>
      </c>
      <c r="B295" s="1" t="n">
        <v>45799</v>
      </c>
      <c r="C295" s="1" t="n">
        <v>46092</v>
      </c>
      <c r="D295" t="inlineStr">
        <is>
          <t>VÄSTMANLANDS LÄN</t>
        </is>
      </c>
      <c r="E295" t="inlineStr">
        <is>
          <t>SALA</t>
        </is>
      </c>
      <c r="G295" t="n">
        <v>3.5</v>
      </c>
      <c r="H295" t="n">
        <v>0</v>
      </c>
      <c r="I295" t="n">
        <v>0</v>
      </c>
      <c r="J295" t="n">
        <v>0</v>
      </c>
      <c r="K295" t="n">
        <v>0</v>
      </c>
      <c r="L295" t="n">
        <v>0</v>
      </c>
      <c r="M295" t="n">
        <v>0</v>
      </c>
      <c r="N295" t="n">
        <v>0</v>
      </c>
      <c r="O295" t="n">
        <v>0</v>
      </c>
      <c r="P295" t="n">
        <v>0</v>
      </c>
      <c r="Q295" t="n">
        <v>0</v>
      </c>
      <c r="R295" s="2" t="inlineStr"/>
    </row>
    <row r="296" ht="15" customHeight="1">
      <c r="A296" t="inlineStr">
        <is>
          <t>A 24910-2025</t>
        </is>
      </c>
      <c r="B296" s="1" t="n">
        <v>45799.53775462963</v>
      </c>
      <c r="C296" s="1" t="n">
        <v>46092</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17495-2024</t>
        </is>
      </c>
      <c r="B297" s="1" t="n">
        <v>45415</v>
      </c>
      <c r="C297" s="1" t="n">
        <v>46092</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37263-2025</t>
        </is>
      </c>
      <c r="B298" s="1" t="n">
        <v>45876.4584837963</v>
      </c>
      <c r="C298" s="1" t="n">
        <v>46092</v>
      </c>
      <c r="D298" t="inlineStr">
        <is>
          <t>VÄSTMANLANDS LÄN</t>
        </is>
      </c>
      <c r="E298" t="inlineStr">
        <is>
          <t>SALA</t>
        </is>
      </c>
      <c r="G298" t="n">
        <v>2.3</v>
      </c>
      <c r="H298" t="n">
        <v>0</v>
      </c>
      <c r="I298" t="n">
        <v>0</v>
      </c>
      <c r="J298" t="n">
        <v>0</v>
      </c>
      <c r="K298" t="n">
        <v>0</v>
      </c>
      <c r="L298" t="n">
        <v>0</v>
      </c>
      <c r="M298" t="n">
        <v>0</v>
      </c>
      <c r="N298" t="n">
        <v>0</v>
      </c>
      <c r="O298" t="n">
        <v>0</v>
      </c>
      <c r="P298" t="n">
        <v>0</v>
      </c>
      <c r="Q298" t="n">
        <v>0</v>
      </c>
      <c r="R298" s="2" t="inlineStr"/>
    </row>
    <row r="299" ht="15" customHeight="1">
      <c r="A299" t="inlineStr">
        <is>
          <t>A 31597-2024</t>
        </is>
      </c>
      <c r="B299" s="1" t="n">
        <v>45506</v>
      </c>
      <c r="C299" s="1" t="n">
        <v>46092</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31599-2024</t>
        </is>
      </c>
      <c r="B300" s="1" t="n">
        <v>45506</v>
      </c>
      <c r="C300" s="1" t="n">
        <v>46092</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31601-2024</t>
        </is>
      </c>
      <c r="B301" s="1" t="n">
        <v>45506</v>
      </c>
      <c r="C301" s="1" t="n">
        <v>46092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43127-2025</t>
        </is>
      </c>
      <c r="B302" s="1" t="n">
        <v>45909</v>
      </c>
      <c r="C302" s="1" t="n">
        <v>46092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31608-2024</t>
        </is>
      </c>
      <c r="B303" s="1" t="n">
        <v>45506</v>
      </c>
      <c r="C303" s="1" t="n">
        <v>46092</v>
      </c>
      <c r="D303" t="inlineStr">
        <is>
          <t>VÄSTMANLANDS LÄN</t>
        </is>
      </c>
      <c r="E303" t="inlineStr">
        <is>
          <t>SALA</t>
        </is>
      </c>
      <c r="G303" t="n">
        <v>1.7</v>
      </c>
      <c r="H303" t="n">
        <v>0</v>
      </c>
      <c r="I303" t="n">
        <v>0</v>
      </c>
      <c r="J303" t="n">
        <v>0</v>
      </c>
      <c r="K303" t="n">
        <v>0</v>
      </c>
      <c r="L303" t="n">
        <v>0</v>
      </c>
      <c r="M303" t="n">
        <v>0</v>
      </c>
      <c r="N303" t="n">
        <v>0</v>
      </c>
      <c r="O303" t="n">
        <v>0</v>
      </c>
      <c r="P303" t="n">
        <v>0</v>
      </c>
      <c r="Q303" t="n">
        <v>0</v>
      </c>
      <c r="R303" s="2" t="inlineStr"/>
    </row>
    <row r="304" ht="15" customHeight="1">
      <c r="A304" t="inlineStr">
        <is>
          <t>A 31612-2024</t>
        </is>
      </c>
      <c r="B304" s="1" t="n">
        <v>45506</v>
      </c>
      <c r="C304" s="1" t="n">
        <v>46092</v>
      </c>
      <c r="D304" t="inlineStr">
        <is>
          <t>VÄSTMANLANDS LÄN</t>
        </is>
      </c>
      <c r="E304" t="inlineStr">
        <is>
          <t>SALA</t>
        </is>
      </c>
      <c r="G304" t="n">
        <v>3.2</v>
      </c>
      <c r="H304" t="n">
        <v>0</v>
      </c>
      <c r="I304" t="n">
        <v>0</v>
      </c>
      <c r="J304" t="n">
        <v>0</v>
      </c>
      <c r="K304" t="n">
        <v>0</v>
      </c>
      <c r="L304" t="n">
        <v>0</v>
      </c>
      <c r="M304" t="n">
        <v>0</v>
      </c>
      <c r="N304" t="n">
        <v>0</v>
      </c>
      <c r="O304" t="n">
        <v>0</v>
      </c>
      <c r="P304" t="n">
        <v>0</v>
      </c>
      <c r="Q304" t="n">
        <v>0</v>
      </c>
      <c r="R304" s="2" t="inlineStr"/>
    </row>
    <row r="305" ht="15" customHeight="1">
      <c r="A305" t="inlineStr">
        <is>
          <t>A 52500-2024</t>
        </is>
      </c>
      <c r="B305" s="1" t="n">
        <v>45609</v>
      </c>
      <c r="C305" s="1" t="n">
        <v>46092</v>
      </c>
      <c r="D305" t="inlineStr">
        <is>
          <t>VÄSTMANLANDS LÄN</t>
        </is>
      </c>
      <c r="E305" t="inlineStr">
        <is>
          <t>SALA</t>
        </is>
      </c>
      <c r="G305" t="n">
        <v>1.3</v>
      </c>
      <c r="H305" t="n">
        <v>0</v>
      </c>
      <c r="I305" t="n">
        <v>0</v>
      </c>
      <c r="J305" t="n">
        <v>0</v>
      </c>
      <c r="K305" t="n">
        <v>0</v>
      </c>
      <c r="L305" t="n">
        <v>0</v>
      </c>
      <c r="M305" t="n">
        <v>0</v>
      </c>
      <c r="N305" t="n">
        <v>0</v>
      </c>
      <c r="O305" t="n">
        <v>0</v>
      </c>
      <c r="P305" t="n">
        <v>0</v>
      </c>
      <c r="Q305" t="n">
        <v>0</v>
      </c>
      <c r="R305" s="2" t="inlineStr"/>
    </row>
    <row r="306" ht="15" customHeight="1">
      <c r="A306" t="inlineStr">
        <is>
          <t>A 62523-2025</t>
        </is>
      </c>
      <c r="B306" s="1" t="n">
        <v>46007.61512731481</v>
      </c>
      <c r="C306" s="1" t="n">
        <v>46092</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43128-2025</t>
        </is>
      </c>
      <c r="B307" s="1" t="n">
        <v>45909</v>
      </c>
      <c r="C307" s="1" t="n">
        <v>46092</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40554-2025</t>
        </is>
      </c>
      <c r="B308" s="1" t="n">
        <v>45896.44506944445</v>
      </c>
      <c r="C308" s="1" t="n">
        <v>46092</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43129-2025</t>
        </is>
      </c>
      <c r="B309" s="1" t="n">
        <v>45909</v>
      </c>
      <c r="C309" s="1" t="n">
        <v>46092</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43130-2025</t>
        </is>
      </c>
      <c r="B310" s="1" t="n">
        <v>45909</v>
      </c>
      <c r="C310" s="1" t="n">
        <v>46092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43028-2025</t>
        </is>
      </c>
      <c r="B311" s="1" t="n">
        <v>45909.53472222222</v>
      </c>
      <c r="C311" s="1" t="n">
        <v>46092</v>
      </c>
      <c r="D311" t="inlineStr">
        <is>
          <t>VÄSTMANLANDS LÄN</t>
        </is>
      </c>
      <c r="E311" t="inlineStr">
        <is>
          <t>SALA</t>
        </is>
      </c>
      <c r="G311" t="n">
        <v>3.8</v>
      </c>
      <c r="H311" t="n">
        <v>0</v>
      </c>
      <c r="I311" t="n">
        <v>0</v>
      </c>
      <c r="J311" t="n">
        <v>0</v>
      </c>
      <c r="K311" t="n">
        <v>0</v>
      </c>
      <c r="L311" t="n">
        <v>0</v>
      </c>
      <c r="M311" t="n">
        <v>0</v>
      </c>
      <c r="N311" t="n">
        <v>0</v>
      </c>
      <c r="O311" t="n">
        <v>0</v>
      </c>
      <c r="P311" t="n">
        <v>0</v>
      </c>
      <c r="Q311" t="n">
        <v>0</v>
      </c>
      <c r="R311" s="2" t="inlineStr"/>
    </row>
    <row r="312" ht="15" customHeight="1">
      <c r="A312" t="inlineStr">
        <is>
          <t>A 43031-2025</t>
        </is>
      </c>
      <c r="B312" s="1" t="n">
        <v>45909.53856481481</v>
      </c>
      <c r="C312" s="1" t="n">
        <v>46092</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56949-2023</t>
        </is>
      </c>
      <c r="B313" s="1" t="n">
        <v>45244.61589120371</v>
      </c>
      <c r="C313" s="1" t="n">
        <v>46092</v>
      </c>
      <c r="D313" t="inlineStr">
        <is>
          <t>VÄSTMANLANDS LÄN</t>
        </is>
      </c>
      <c r="E313" t="inlineStr">
        <is>
          <t>SALA</t>
        </is>
      </c>
      <c r="G313" t="n">
        <v>4.7</v>
      </c>
      <c r="H313" t="n">
        <v>0</v>
      </c>
      <c r="I313" t="n">
        <v>0</v>
      </c>
      <c r="J313" t="n">
        <v>0</v>
      </c>
      <c r="K313" t="n">
        <v>0</v>
      </c>
      <c r="L313" t="n">
        <v>0</v>
      </c>
      <c r="M313" t="n">
        <v>0</v>
      </c>
      <c r="N313" t="n">
        <v>0</v>
      </c>
      <c r="O313" t="n">
        <v>0</v>
      </c>
      <c r="P313" t="n">
        <v>0</v>
      </c>
      <c r="Q313" t="n">
        <v>0</v>
      </c>
      <c r="R313" s="2" t="inlineStr"/>
    </row>
    <row r="314" ht="15" customHeight="1">
      <c r="A314" t="inlineStr">
        <is>
          <t>A 5525-2026</t>
        </is>
      </c>
      <c r="B314" s="1" t="n">
        <v>46050.65055555556</v>
      </c>
      <c r="C314" s="1" t="n">
        <v>46092</v>
      </c>
      <c r="D314" t="inlineStr">
        <is>
          <t>VÄSTMANLANDS LÄN</t>
        </is>
      </c>
      <c r="E314" t="inlineStr">
        <is>
          <t>SALA</t>
        </is>
      </c>
      <c r="G314" t="n">
        <v>13.1</v>
      </c>
      <c r="H314" t="n">
        <v>0</v>
      </c>
      <c r="I314" t="n">
        <v>0</v>
      </c>
      <c r="J314" t="n">
        <v>0</v>
      </c>
      <c r="K314" t="n">
        <v>0</v>
      </c>
      <c r="L314" t="n">
        <v>0</v>
      </c>
      <c r="M314" t="n">
        <v>0</v>
      </c>
      <c r="N314" t="n">
        <v>0</v>
      </c>
      <c r="O314" t="n">
        <v>0</v>
      </c>
      <c r="P314" t="n">
        <v>0</v>
      </c>
      <c r="Q314" t="n">
        <v>0</v>
      </c>
      <c r="R314" s="2" t="inlineStr"/>
    </row>
    <row r="315" ht="15" customHeight="1">
      <c r="A315" t="inlineStr">
        <is>
          <t>A 43328-2025</t>
        </is>
      </c>
      <c r="B315" s="1" t="n">
        <v>45910</v>
      </c>
      <c r="C315" s="1" t="n">
        <v>46092</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63055-2025</t>
        </is>
      </c>
      <c r="B316" s="1" t="n">
        <v>46009.63619212963</v>
      </c>
      <c r="C316" s="1" t="n">
        <v>46092</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63051-2025</t>
        </is>
      </c>
      <c r="B317" s="1" t="n">
        <v>46009.63134259259</v>
      </c>
      <c r="C317" s="1" t="n">
        <v>46092</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96-2024</t>
        </is>
      </c>
      <c r="B318" s="1" t="n">
        <v>45293.85872685185</v>
      </c>
      <c r="C318" s="1" t="n">
        <v>46092</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54118-2023</t>
        </is>
      </c>
      <c r="B319" s="1" t="n">
        <v>45232</v>
      </c>
      <c r="C319" s="1" t="n">
        <v>46092</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63046-2025</t>
        </is>
      </c>
      <c r="B320" s="1" t="n">
        <v>46009.62373842593</v>
      </c>
      <c r="C320" s="1" t="n">
        <v>46092</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5418-2026</t>
        </is>
      </c>
      <c r="B321" s="1" t="n">
        <v>46050.53740740741</v>
      </c>
      <c r="C321" s="1" t="n">
        <v>46092</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5894-2026</t>
        </is>
      </c>
      <c r="B322" s="1" t="n">
        <v>46052.42412037037</v>
      </c>
      <c r="C322" s="1" t="n">
        <v>46092</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34814-2021</t>
        </is>
      </c>
      <c r="B323" s="1" t="n">
        <v>44383</v>
      </c>
      <c r="C323" s="1" t="n">
        <v>46092</v>
      </c>
      <c r="D323" t="inlineStr">
        <is>
          <t>VÄSTMANLANDS LÄN</t>
        </is>
      </c>
      <c r="E323" t="inlineStr">
        <is>
          <t>SALA</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25748-2022</t>
        </is>
      </c>
      <c r="B324" s="1" t="n">
        <v>44732</v>
      </c>
      <c r="C324" s="1" t="n">
        <v>46092</v>
      </c>
      <c r="D324" t="inlineStr">
        <is>
          <t>VÄSTMANLANDS LÄN</t>
        </is>
      </c>
      <c r="E324" t="inlineStr">
        <is>
          <t>SALA</t>
        </is>
      </c>
      <c r="G324" t="n">
        <v>7.7</v>
      </c>
      <c r="H324" t="n">
        <v>0</v>
      </c>
      <c r="I324" t="n">
        <v>0</v>
      </c>
      <c r="J324" t="n">
        <v>0</v>
      </c>
      <c r="K324" t="n">
        <v>0</v>
      </c>
      <c r="L324" t="n">
        <v>0</v>
      </c>
      <c r="M324" t="n">
        <v>0</v>
      </c>
      <c r="N324" t="n">
        <v>0</v>
      </c>
      <c r="O324" t="n">
        <v>0</v>
      </c>
      <c r="P324" t="n">
        <v>0</v>
      </c>
      <c r="Q324" t="n">
        <v>0</v>
      </c>
      <c r="R324" s="2" t="inlineStr"/>
    </row>
    <row r="325" ht="15" customHeight="1">
      <c r="A325" t="inlineStr">
        <is>
          <t>A 44100-2025</t>
        </is>
      </c>
      <c r="B325" s="1" t="n">
        <v>45915.56707175926</v>
      </c>
      <c r="C325" s="1" t="n">
        <v>46092</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3733-2023</t>
        </is>
      </c>
      <c r="B326" s="1" t="n">
        <v>44951.42501157407</v>
      </c>
      <c r="C326" s="1" t="n">
        <v>46092</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6136-2025</t>
        </is>
      </c>
      <c r="B327" s="1" t="n">
        <v>45698.37601851852</v>
      </c>
      <c r="C327" s="1" t="n">
        <v>46092</v>
      </c>
      <c r="D327" t="inlineStr">
        <is>
          <t>VÄSTMANLANDS LÄN</t>
        </is>
      </c>
      <c r="E327" t="inlineStr">
        <is>
          <t>SALA</t>
        </is>
      </c>
      <c r="F327" t="inlineStr">
        <is>
          <t>Bergvik skog öst AB</t>
        </is>
      </c>
      <c r="G327" t="n">
        <v>2.2</v>
      </c>
      <c r="H327" t="n">
        <v>0</v>
      </c>
      <c r="I327" t="n">
        <v>0</v>
      </c>
      <c r="J327" t="n">
        <v>0</v>
      </c>
      <c r="K327" t="n">
        <v>0</v>
      </c>
      <c r="L327" t="n">
        <v>0</v>
      </c>
      <c r="M327" t="n">
        <v>0</v>
      </c>
      <c r="N327" t="n">
        <v>0</v>
      </c>
      <c r="O327" t="n">
        <v>0</v>
      </c>
      <c r="P327" t="n">
        <v>0</v>
      </c>
      <c r="Q327" t="n">
        <v>0</v>
      </c>
      <c r="R327" s="2" t="inlineStr"/>
    </row>
    <row r="328" ht="15" customHeight="1">
      <c r="A328" t="inlineStr">
        <is>
          <t>A 6190-2025</t>
        </is>
      </c>
      <c r="B328" s="1" t="n">
        <v>45698</v>
      </c>
      <c r="C328" s="1" t="n">
        <v>46092</v>
      </c>
      <c r="D328" t="inlineStr">
        <is>
          <t>VÄSTMANLANDS LÄN</t>
        </is>
      </c>
      <c r="E328" t="inlineStr">
        <is>
          <t>SALA</t>
        </is>
      </c>
      <c r="F328" t="inlineStr">
        <is>
          <t>Bergvik skog öst AB</t>
        </is>
      </c>
      <c r="G328" t="n">
        <v>4.6</v>
      </c>
      <c r="H328" t="n">
        <v>0</v>
      </c>
      <c r="I328" t="n">
        <v>0</v>
      </c>
      <c r="J328" t="n">
        <v>0</v>
      </c>
      <c r="K328" t="n">
        <v>0</v>
      </c>
      <c r="L328" t="n">
        <v>0</v>
      </c>
      <c r="M328" t="n">
        <v>0</v>
      </c>
      <c r="N328" t="n">
        <v>0</v>
      </c>
      <c r="O328" t="n">
        <v>0</v>
      </c>
      <c r="P328" t="n">
        <v>0</v>
      </c>
      <c r="Q328" t="n">
        <v>0</v>
      </c>
      <c r="R328" s="2" t="inlineStr"/>
    </row>
    <row r="329" ht="15" customHeight="1">
      <c r="A329" t="inlineStr">
        <is>
          <t>A 63353-2025</t>
        </is>
      </c>
      <c r="B329" s="1" t="n">
        <v>46010.66670138889</v>
      </c>
      <c r="C329" s="1" t="n">
        <v>46092</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16760-2024</t>
        </is>
      </c>
      <c r="B330" s="1" t="n">
        <v>45411</v>
      </c>
      <c r="C330" s="1" t="n">
        <v>46092</v>
      </c>
      <c r="D330" t="inlineStr">
        <is>
          <t>VÄSTMANLANDS LÄN</t>
        </is>
      </c>
      <c r="E330" t="inlineStr">
        <is>
          <t>SALA</t>
        </is>
      </c>
      <c r="G330" t="n">
        <v>2.6</v>
      </c>
      <c r="H330" t="n">
        <v>0</v>
      </c>
      <c r="I330" t="n">
        <v>0</v>
      </c>
      <c r="J330" t="n">
        <v>0</v>
      </c>
      <c r="K330" t="n">
        <v>0</v>
      </c>
      <c r="L330" t="n">
        <v>0</v>
      </c>
      <c r="M330" t="n">
        <v>0</v>
      </c>
      <c r="N330" t="n">
        <v>0</v>
      </c>
      <c r="O330" t="n">
        <v>0</v>
      </c>
      <c r="P330" t="n">
        <v>0</v>
      </c>
      <c r="Q330" t="n">
        <v>0</v>
      </c>
      <c r="R330" s="2" t="inlineStr"/>
    </row>
    <row r="331" ht="15" customHeight="1">
      <c r="A331" t="inlineStr">
        <is>
          <t>A 63269-2025</t>
        </is>
      </c>
      <c r="B331" s="1" t="n">
        <v>46010</v>
      </c>
      <c r="C331" s="1" t="n">
        <v>46092</v>
      </c>
      <c r="D331" t="inlineStr">
        <is>
          <t>VÄSTMANLANDS LÄN</t>
        </is>
      </c>
      <c r="E331" t="inlineStr">
        <is>
          <t>SALA</t>
        </is>
      </c>
      <c r="G331" t="n">
        <v>6.4</v>
      </c>
      <c r="H331" t="n">
        <v>0</v>
      </c>
      <c r="I331" t="n">
        <v>0</v>
      </c>
      <c r="J331" t="n">
        <v>0</v>
      </c>
      <c r="K331" t="n">
        <v>0</v>
      </c>
      <c r="L331" t="n">
        <v>0</v>
      </c>
      <c r="M331" t="n">
        <v>0</v>
      </c>
      <c r="N331" t="n">
        <v>0</v>
      </c>
      <c r="O331" t="n">
        <v>0</v>
      </c>
      <c r="P331" t="n">
        <v>0</v>
      </c>
      <c r="Q331" t="n">
        <v>0</v>
      </c>
      <c r="R331" s="2" t="inlineStr"/>
    </row>
    <row r="332" ht="15" customHeight="1">
      <c r="A332" t="inlineStr">
        <is>
          <t>A 44524-2025</t>
        </is>
      </c>
      <c r="B332" s="1" t="n">
        <v>45916.72920138889</v>
      </c>
      <c r="C332" s="1" t="n">
        <v>46092</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44486-2025</t>
        </is>
      </c>
      <c r="B333" s="1" t="n">
        <v>45916.65517361111</v>
      </c>
      <c r="C333" s="1" t="n">
        <v>46092</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6127-2025</t>
        </is>
      </c>
      <c r="B334" s="1" t="n">
        <v>45698</v>
      </c>
      <c r="C334" s="1" t="n">
        <v>46092</v>
      </c>
      <c r="D334" t="inlineStr">
        <is>
          <t>VÄSTMANLANDS LÄN</t>
        </is>
      </c>
      <c r="E334" t="inlineStr">
        <is>
          <t>SALA</t>
        </is>
      </c>
      <c r="F334" t="inlineStr">
        <is>
          <t>Bergvik skog öst AB</t>
        </is>
      </c>
      <c r="G334" t="n">
        <v>4.3</v>
      </c>
      <c r="H334" t="n">
        <v>0</v>
      </c>
      <c r="I334" t="n">
        <v>0</v>
      </c>
      <c r="J334" t="n">
        <v>0</v>
      </c>
      <c r="K334" t="n">
        <v>0</v>
      </c>
      <c r="L334" t="n">
        <v>0</v>
      </c>
      <c r="M334" t="n">
        <v>0</v>
      </c>
      <c r="N334" t="n">
        <v>0</v>
      </c>
      <c r="O334" t="n">
        <v>0</v>
      </c>
      <c r="P334" t="n">
        <v>0</v>
      </c>
      <c r="Q334" t="n">
        <v>0</v>
      </c>
      <c r="R334" s="2" t="inlineStr"/>
    </row>
    <row r="335" ht="15" customHeight="1">
      <c r="A335" t="inlineStr">
        <is>
          <t>A 45177-2025</t>
        </is>
      </c>
      <c r="B335" s="1" t="n">
        <v>45919.52444444445</v>
      </c>
      <c r="C335" s="1" t="n">
        <v>46092</v>
      </c>
      <c r="D335" t="inlineStr">
        <is>
          <t>VÄSTMANLANDS LÄN</t>
        </is>
      </c>
      <c r="E335" t="inlineStr">
        <is>
          <t>SALA</t>
        </is>
      </c>
      <c r="G335" t="n">
        <v>2.4</v>
      </c>
      <c r="H335" t="n">
        <v>0</v>
      </c>
      <c r="I335" t="n">
        <v>0</v>
      </c>
      <c r="J335" t="n">
        <v>0</v>
      </c>
      <c r="K335" t="n">
        <v>0</v>
      </c>
      <c r="L335" t="n">
        <v>0</v>
      </c>
      <c r="M335" t="n">
        <v>0</v>
      </c>
      <c r="N335" t="n">
        <v>0</v>
      </c>
      <c r="O335" t="n">
        <v>0</v>
      </c>
      <c r="P335" t="n">
        <v>0</v>
      </c>
      <c r="Q335" t="n">
        <v>0</v>
      </c>
      <c r="R335" s="2" t="inlineStr"/>
    </row>
    <row r="336" ht="15" customHeight="1">
      <c r="A336" t="inlineStr">
        <is>
          <t>A 6021-2026</t>
        </is>
      </c>
      <c r="B336" s="1" t="n">
        <v>46050</v>
      </c>
      <c r="C336" s="1" t="n">
        <v>46092</v>
      </c>
      <c r="D336" t="inlineStr">
        <is>
          <t>VÄSTMANLANDS LÄN</t>
        </is>
      </c>
      <c r="E336" t="inlineStr">
        <is>
          <t>SALA</t>
        </is>
      </c>
      <c r="G336" t="n">
        <v>1.9</v>
      </c>
      <c r="H336" t="n">
        <v>0</v>
      </c>
      <c r="I336" t="n">
        <v>0</v>
      </c>
      <c r="J336" t="n">
        <v>0</v>
      </c>
      <c r="K336" t="n">
        <v>0</v>
      </c>
      <c r="L336" t="n">
        <v>0</v>
      </c>
      <c r="M336" t="n">
        <v>0</v>
      </c>
      <c r="N336" t="n">
        <v>0</v>
      </c>
      <c r="O336" t="n">
        <v>0</v>
      </c>
      <c r="P336" t="n">
        <v>0</v>
      </c>
      <c r="Q336" t="n">
        <v>0</v>
      </c>
      <c r="R336" s="2" t="inlineStr"/>
    </row>
    <row r="337" ht="15" customHeight="1">
      <c r="A337" t="inlineStr">
        <is>
          <t>A 988-2025</t>
        </is>
      </c>
      <c r="B337" s="1" t="n">
        <v>45666.44038194444</v>
      </c>
      <c r="C337" s="1" t="n">
        <v>46092</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60328-2024</t>
        </is>
      </c>
      <c r="B338" s="1" t="n">
        <v>45643.38416666666</v>
      </c>
      <c r="C338" s="1" t="n">
        <v>46092</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43122-2025</t>
        </is>
      </c>
      <c r="B339" s="1" t="n">
        <v>45909</v>
      </c>
      <c r="C339" s="1" t="n">
        <v>46092</v>
      </c>
      <c r="D339" t="inlineStr">
        <is>
          <t>VÄSTMANLANDS LÄN</t>
        </is>
      </c>
      <c r="E339" t="inlineStr">
        <is>
          <t>SALA</t>
        </is>
      </c>
      <c r="G339" t="n">
        <v>3.2</v>
      </c>
      <c r="H339" t="n">
        <v>0</v>
      </c>
      <c r="I339" t="n">
        <v>0</v>
      </c>
      <c r="J339" t="n">
        <v>0</v>
      </c>
      <c r="K339" t="n">
        <v>0</v>
      </c>
      <c r="L339" t="n">
        <v>0</v>
      </c>
      <c r="M339" t="n">
        <v>0</v>
      </c>
      <c r="N339" t="n">
        <v>0</v>
      </c>
      <c r="O339" t="n">
        <v>0</v>
      </c>
      <c r="P339" t="n">
        <v>0</v>
      </c>
      <c r="Q339" t="n">
        <v>0</v>
      </c>
      <c r="R339" s="2" t="inlineStr"/>
    </row>
    <row r="340" ht="15" customHeight="1">
      <c r="A340" t="inlineStr">
        <is>
          <t>A 35016-2024</t>
        </is>
      </c>
      <c r="B340" s="1" t="n">
        <v>45527.59115740741</v>
      </c>
      <c r="C340" s="1" t="n">
        <v>46092</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17722-2025</t>
        </is>
      </c>
      <c r="B341" s="1" t="n">
        <v>45758</v>
      </c>
      <c r="C341" s="1" t="n">
        <v>46092</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25897-2024</t>
        </is>
      </c>
      <c r="B342" s="1" t="n">
        <v>45467.54435185185</v>
      </c>
      <c r="C342" s="1" t="n">
        <v>46092</v>
      </c>
      <c r="D342" t="inlineStr">
        <is>
          <t>VÄSTMANLANDS LÄN</t>
        </is>
      </c>
      <c r="E342" t="inlineStr">
        <is>
          <t>SALA</t>
        </is>
      </c>
      <c r="G342" t="n">
        <v>9.9</v>
      </c>
      <c r="H342" t="n">
        <v>0</v>
      </c>
      <c r="I342" t="n">
        <v>0</v>
      </c>
      <c r="J342" t="n">
        <v>0</v>
      </c>
      <c r="K342" t="n">
        <v>0</v>
      </c>
      <c r="L342" t="n">
        <v>0</v>
      </c>
      <c r="M342" t="n">
        <v>0</v>
      </c>
      <c r="N342" t="n">
        <v>0</v>
      </c>
      <c r="O342" t="n">
        <v>0</v>
      </c>
      <c r="P342" t="n">
        <v>0</v>
      </c>
      <c r="Q342" t="n">
        <v>0</v>
      </c>
      <c r="R342" s="2" t="inlineStr"/>
    </row>
    <row r="343" ht="15" customHeight="1">
      <c r="A343" t="inlineStr">
        <is>
          <t>A 31072-2021</t>
        </is>
      </c>
      <c r="B343" s="1" t="n">
        <v>44368</v>
      </c>
      <c r="C343" s="1" t="n">
        <v>46092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7498-2026</t>
        </is>
      </c>
      <c r="B344" s="1" t="n">
        <v>46059.55550925926</v>
      </c>
      <c r="C344" s="1" t="n">
        <v>46092</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63749-2025</t>
        </is>
      </c>
      <c r="B345" s="1" t="n">
        <v>46017.75243055556</v>
      </c>
      <c r="C345" s="1" t="n">
        <v>46092</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7329-2026</t>
        </is>
      </c>
      <c r="B346" s="1" t="n">
        <v>46058.68678240741</v>
      </c>
      <c r="C346" s="1" t="n">
        <v>46092</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7324-2026</t>
        </is>
      </c>
      <c r="B347" s="1" t="n">
        <v>46058.68023148148</v>
      </c>
      <c r="C347" s="1" t="n">
        <v>46092</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57371-2022</t>
        </is>
      </c>
      <c r="B348" s="1" t="n">
        <v>44896.43832175926</v>
      </c>
      <c r="C348" s="1" t="n">
        <v>46092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22019-2021</t>
        </is>
      </c>
      <c r="B349" s="1" t="n">
        <v>44323</v>
      </c>
      <c r="C349" s="1" t="n">
        <v>46092</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55784-2024</t>
        </is>
      </c>
      <c r="B350" s="1" t="n">
        <v>45623</v>
      </c>
      <c r="C350" s="1" t="n">
        <v>46092</v>
      </c>
      <c r="D350" t="inlineStr">
        <is>
          <t>VÄSTMANLANDS LÄN</t>
        </is>
      </c>
      <c r="E350" t="inlineStr">
        <is>
          <t>SALA</t>
        </is>
      </c>
      <c r="F350" t="inlineStr">
        <is>
          <t>Bergvik skog öst AB</t>
        </is>
      </c>
      <c r="G350" t="n">
        <v>28.4</v>
      </c>
      <c r="H350" t="n">
        <v>0</v>
      </c>
      <c r="I350" t="n">
        <v>0</v>
      </c>
      <c r="J350" t="n">
        <v>0</v>
      </c>
      <c r="K350" t="n">
        <v>0</v>
      </c>
      <c r="L350" t="n">
        <v>0</v>
      </c>
      <c r="M350" t="n">
        <v>0</v>
      </c>
      <c r="N350" t="n">
        <v>0</v>
      </c>
      <c r="O350" t="n">
        <v>0</v>
      </c>
      <c r="P350" t="n">
        <v>0</v>
      </c>
      <c r="Q350" t="n">
        <v>0</v>
      </c>
      <c r="R350" s="2" t="inlineStr"/>
    </row>
    <row r="351" ht="15" customHeight="1">
      <c r="A351" t="inlineStr">
        <is>
          <t>A 63748-2025</t>
        </is>
      </c>
      <c r="B351" s="1" t="n">
        <v>46017.71640046296</v>
      </c>
      <c r="C351" s="1" t="n">
        <v>46092</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16651-2021</t>
        </is>
      </c>
      <c r="B352" s="1" t="n">
        <v>44294.50096064815</v>
      </c>
      <c r="C352" s="1" t="n">
        <v>46092</v>
      </c>
      <c r="D352" t="inlineStr">
        <is>
          <t>VÄSTMANLANDS LÄN</t>
        </is>
      </c>
      <c r="E352" t="inlineStr">
        <is>
          <t>SALA</t>
        </is>
      </c>
      <c r="G352" t="n">
        <v>7.7</v>
      </c>
      <c r="H352" t="n">
        <v>0</v>
      </c>
      <c r="I352" t="n">
        <v>0</v>
      </c>
      <c r="J352" t="n">
        <v>0</v>
      </c>
      <c r="K352" t="n">
        <v>0</v>
      </c>
      <c r="L352" t="n">
        <v>0</v>
      </c>
      <c r="M352" t="n">
        <v>0</v>
      </c>
      <c r="N352" t="n">
        <v>0</v>
      </c>
      <c r="O352" t="n">
        <v>0</v>
      </c>
      <c r="P352" t="n">
        <v>0</v>
      </c>
      <c r="Q352" t="n">
        <v>0</v>
      </c>
      <c r="R352" s="2" t="inlineStr"/>
    </row>
    <row r="353" ht="15" customHeight="1">
      <c r="A353" t="inlineStr">
        <is>
          <t>A 7327-2026</t>
        </is>
      </c>
      <c r="B353" s="1" t="n">
        <v>46058.68371527778</v>
      </c>
      <c r="C353" s="1" t="n">
        <v>46092</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7332-2026</t>
        </is>
      </c>
      <c r="B354" s="1" t="n">
        <v>46058.68884259259</v>
      </c>
      <c r="C354" s="1" t="n">
        <v>46092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45371-2025</t>
        </is>
      </c>
      <c r="B355" s="1" t="n">
        <v>45922.39001157408</v>
      </c>
      <c r="C355" s="1" t="n">
        <v>46092</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7654-2026</t>
        </is>
      </c>
      <c r="B356" s="1" t="n">
        <v>46062.38828703704</v>
      </c>
      <c r="C356" s="1" t="n">
        <v>46092</v>
      </c>
      <c r="D356" t="inlineStr">
        <is>
          <t>VÄSTMANLANDS LÄN</t>
        </is>
      </c>
      <c r="E356" t="inlineStr">
        <is>
          <t>SALA</t>
        </is>
      </c>
      <c r="G356" t="n">
        <v>4.5</v>
      </c>
      <c r="H356" t="n">
        <v>0</v>
      </c>
      <c r="I356" t="n">
        <v>0</v>
      </c>
      <c r="J356" t="n">
        <v>0</v>
      </c>
      <c r="K356" t="n">
        <v>0</v>
      </c>
      <c r="L356" t="n">
        <v>0</v>
      </c>
      <c r="M356" t="n">
        <v>0</v>
      </c>
      <c r="N356" t="n">
        <v>0</v>
      </c>
      <c r="O356" t="n">
        <v>0</v>
      </c>
      <c r="P356" t="n">
        <v>0</v>
      </c>
      <c r="Q356" t="n">
        <v>0</v>
      </c>
      <c r="R356" s="2" t="inlineStr"/>
    </row>
    <row r="357" ht="15" customHeight="1">
      <c r="A357" t="inlineStr">
        <is>
          <t>A 19803-2024</t>
        </is>
      </c>
      <c r="B357" s="1" t="n">
        <v>45432</v>
      </c>
      <c r="C357" s="1" t="n">
        <v>46092</v>
      </c>
      <c r="D357" t="inlineStr">
        <is>
          <t>VÄSTMANLANDS LÄN</t>
        </is>
      </c>
      <c r="E357" t="inlineStr">
        <is>
          <t>SALA</t>
        </is>
      </c>
      <c r="G357" t="n">
        <v>3.1</v>
      </c>
      <c r="H357" t="n">
        <v>0</v>
      </c>
      <c r="I357" t="n">
        <v>0</v>
      </c>
      <c r="J357" t="n">
        <v>0</v>
      </c>
      <c r="K357" t="n">
        <v>0</v>
      </c>
      <c r="L357" t="n">
        <v>0</v>
      </c>
      <c r="M357" t="n">
        <v>0</v>
      </c>
      <c r="N357" t="n">
        <v>0</v>
      </c>
      <c r="O357" t="n">
        <v>0</v>
      </c>
      <c r="P357" t="n">
        <v>0</v>
      </c>
      <c r="Q357" t="n">
        <v>0</v>
      </c>
      <c r="R357" s="2" t="inlineStr"/>
    </row>
    <row r="358" ht="15" customHeight="1">
      <c r="A358" t="inlineStr">
        <is>
          <t>A 7680-2026</t>
        </is>
      </c>
      <c r="B358" s="1" t="n">
        <v>46062.43087962963</v>
      </c>
      <c r="C358" s="1" t="n">
        <v>46092</v>
      </c>
      <c r="D358" t="inlineStr">
        <is>
          <t>VÄSTMANLANDS LÄN</t>
        </is>
      </c>
      <c r="E358" t="inlineStr">
        <is>
          <t>SALA</t>
        </is>
      </c>
      <c r="G358" t="n">
        <v>2.7</v>
      </c>
      <c r="H358" t="n">
        <v>0</v>
      </c>
      <c r="I358" t="n">
        <v>0</v>
      </c>
      <c r="J358" t="n">
        <v>0</v>
      </c>
      <c r="K358" t="n">
        <v>0</v>
      </c>
      <c r="L358" t="n">
        <v>0</v>
      </c>
      <c r="M358" t="n">
        <v>0</v>
      </c>
      <c r="N358" t="n">
        <v>0</v>
      </c>
      <c r="O358" t="n">
        <v>0</v>
      </c>
      <c r="P358" t="n">
        <v>0</v>
      </c>
      <c r="Q358" t="n">
        <v>0</v>
      </c>
      <c r="R358" s="2" t="inlineStr"/>
    </row>
    <row r="359" ht="15" customHeight="1">
      <c r="A359" t="inlineStr">
        <is>
          <t>A 45914-2025</t>
        </is>
      </c>
      <c r="B359" s="1" t="n">
        <v>45923.82582175926</v>
      </c>
      <c r="C359" s="1" t="n">
        <v>46092</v>
      </c>
      <c r="D359" t="inlineStr">
        <is>
          <t>VÄSTMANLANDS LÄN</t>
        </is>
      </c>
      <c r="E359" t="inlineStr">
        <is>
          <t>SALA</t>
        </is>
      </c>
      <c r="F359" t="inlineStr">
        <is>
          <t>Kommuner</t>
        </is>
      </c>
      <c r="G359" t="n">
        <v>18.2</v>
      </c>
      <c r="H359" t="n">
        <v>0</v>
      </c>
      <c r="I359" t="n">
        <v>0</v>
      </c>
      <c r="J359" t="n">
        <v>0</v>
      </c>
      <c r="K359" t="n">
        <v>0</v>
      </c>
      <c r="L359" t="n">
        <v>0</v>
      </c>
      <c r="M359" t="n">
        <v>0</v>
      </c>
      <c r="N359" t="n">
        <v>0</v>
      </c>
      <c r="O359" t="n">
        <v>0</v>
      </c>
      <c r="P359" t="n">
        <v>0</v>
      </c>
      <c r="Q359" t="n">
        <v>0</v>
      </c>
      <c r="R359" s="2" t="inlineStr"/>
    </row>
    <row r="360" ht="15" customHeight="1">
      <c r="A360" t="inlineStr">
        <is>
          <t>A 7595-2026</t>
        </is>
      </c>
      <c r="B360" s="1" t="n">
        <v>46061.90009259259</v>
      </c>
      <c r="C360" s="1" t="n">
        <v>46092</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7588-2026</t>
        </is>
      </c>
      <c r="B361" s="1" t="n">
        <v>46061.83528935185</v>
      </c>
      <c r="C361" s="1" t="n">
        <v>46092</v>
      </c>
      <c r="D361" t="inlineStr">
        <is>
          <t>VÄSTMANLANDS LÄN</t>
        </is>
      </c>
      <c r="E361" t="inlineStr">
        <is>
          <t>SALA</t>
        </is>
      </c>
      <c r="G361" t="n">
        <v>2.8</v>
      </c>
      <c r="H361" t="n">
        <v>0</v>
      </c>
      <c r="I361" t="n">
        <v>0</v>
      </c>
      <c r="J361" t="n">
        <v>0</v>
      </c>
      <c r="K361" t="n">
        <v>0</v>
      </c>
      <c r="L361" t="n">
        <v>0</v>
      </c>
      <c r="M361" t="n">
        <v>0</v>
      </c>
      <c r="N361" t="n">
        <v>0</v>
      </c>
      <c r="O361" t="n">
        <v>0</v>
      </c>
      <c r="P361" t="n">
        <v>0</v>
      </c>
      <c r="Q361" t="n">
        <v>0</v>
      </c>
      <c r="R361" s="2" t="inlineStr"/>
    </row>
    <row r="362" ht="15" customHeight="1">
      <c r="A362" t="inlineStr">
        <is>
          <t>A 7196-2025</t>
        </is>
      </c>
      <c r="B362" s="1" t="n">
        <v>45702</v>
      </c>
      <c r="C362" s="1" t="n">
        <v>46092</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7593-2026</t>
        </is>
      </c>
      <c r="B363" s="1" t="n">
        <v>46061.88057870371</v>
      </c>
      <c r="C363" s="1" t="n">
        <v>46092</v>
      </c>
      <c r="D363" t="inlineStr">
        <is>
          <t>VÄSTMANLANDS LÄN</t>
        </is>
      </c>
      <c r="E363" t="inlineStr">
        <is>
          <t>SALA</t>
        </is>
      </c>
      <c r="G363" t="n">
        <v>7.5</v>
      </c>
      <c r="H363" t="n">
        <v>0</v>
      </c>
      <c r="I363" t="n">
        <v>0</v>
      </c>
      <c r="J363" t="n">
        <v>0</v>
      </c>
      <c r="K363" t="n">
        <v>0</v>
      </c>
      <c r="L363" t="n">
        <v>0</v>
      </c>
      <c r="M363" t="n">
        <v>0</v>
      </c>
      <c r="N363" t="n">
        <v>0</v>
      </c>
      <c r="O363" t="n">
        <v>0</v>
      </c>
      <c r="P363" t="n">
        <v>0</v>
      </c>
      <c r="Q363" t="n">
        <v>0</v>
      </c>
      <c r="R363" s="2" t="inlineStr"/>
    </row>
    <row r="364" ht="15" customHeight="1">
      <c r="A364" t="inlineStr">
        <is>
          <t>A 7597-2026</t>
        </is>
      </c>
      <c r="B364" s="1" t="n">
        <v>46061.91765046296</v>
      </c>
      <c r="C364" s="1" t="n">
        <v>46092</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7850-2026</t>
        </is>
      </c>
      <c r="B365" s="1" t="n">
        <v>46062.66236111111</v>
      </c>
      <c r="C365" s="1" t="n">
        <v>46092</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40597-2022</t>
        </is>
      </c>
      <c r="B366" s="1" t="n">
        <v>44823.84862268518</v>
      </c>
      <c r="C366" s="1" t="n">
        <v>46092</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7611-2026</t>
        </is>
      </c>
      <c r="B367" s="1" t="n">
        <v>46062.32387731481</v>
      </c>
      <c r="C367" s="1" t="n">
        <v>46092</v>
      </c>
      <c r="D367" t="inlineStr">
        <is>
          <t>VÄSTMANLANDS LÄN</t>
        </is>
      </c>
      <c r="E367" t="inlineStr">
        <is>
          <t>SALA</t>
        </is>
      </c>
      <c r="G367" t="n">
        <v>1.9</v>
      </c>
      <c r="H367" t="n">
        <v>0</v>
      </c>
      <c r="I367" t="n">
        <v>0</v>
      </c>
      <c r="J367" t="n">
        <v>0</v>
      </c>
      <c r="K367" t="n">
        <v>0</v>
      </c>
      <c r="L367" t="n">
        <v>0</v>
      </c>
      <c r="M367" t="n">
        <v>0</v>
      </c>
      <c r="N367" t="n">
        <v>0</v>
      </c>
      <c r="O367" t="n">
        <v>0</v>
      </c>
      <c r="P367" t="n">
        <v>0</v>
      </c>
      <c r="Q367" t="n">
        <v>0</v>
      </c>
      <c r="R367" s="2" t="inlineStr"/>
    </row>
    <row r="368" ht="15" customHeight="1">
      <c r="A368" t="inlineStr">
        <is>
          <t>A 7676-2026</t>
        </is>
      </c>
      <c r="B368" s="1" t="n">
        <v>46062.42498842593</v>
      </c>
      <c r="C368" s="1" t="n">
        <v>46092</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45909-2025</t>
        </is>
      </c>
      <c r="B369" s="1" t="n">
        <v>45923.75078703704</v>
      </c>
      <c r="C369" s="1" t="n">
        <v>46092</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7661-2026</t>
        </is>
      </c>
      <c r="B370" s="1" t="n">
        <v>46062.39614583334</v>
      </c>
      <c r="C370" s="1" t="n">
        <v>46092</v>
      </c>
      <c r="D370" t="inlineStr">
        <is>
          <t>VÄSTMANLANDS LÄN</t>
        </is>
      </c>
      <c r="E370" t="inlineStr">
        <is>
          <t>SALA</t>
        </is>
      </c>
      <c r="G370" t="n">
        <v>1.3</v>
      </c>
      <c r="H370" t="n">
        <v>0</v>
      </c>
      <c r="I370" t="n">
        <v>0</v>
      </c>
      <c r="J370" t="n">
        <v>0</v>
      </c>
      <c r="K370" t="n">
        <v>0</v>
      </c>
      <c r="L370" t="n">
        <v>0</v>
      </c>
      <c r="M370" t="n">
        <v>0</v>
      </c>
      <c r="N370" t="n">
        <v>0</v>
      </c>
      <c r="O370" t="n">
        <v>0</v>
      </c>
      <c r="P370" t="n">
        <v>0</v>
      </c>
      <c r="Q370" t="n">
        <v>0</v>
      </c>
      <c r="R370" s="2" t="inlineStr"/>
    </row>
    <row r="371" ht="15" customHeight="1">
      <c r="A371" t="inlineStr">
        <is>
          <t>A 7584-2026</t>
        </is>
      </c>
      <c r="B371" s="1" t="n">
        <v>46061.81653935185</v>
      </c>
      <c r="C371" s="1" t="n">
        <v>46092</v>
      </c>
      <c r="D371" t="inlineStr">
        <is>
          <t>VÄSTMANLANDS LÄN</t>
        </is>
      </c>
      <c r="E371" t="inlineStr">
        <is>
          <t>SALA</t>
        </is>
      </c>
      <c r="G371" t="n">
        <v>16.7</v>
      </c>
      <c r="H371" t="n">
        <v>0</v>
      </c>
      <c r="I371" t="n">
        <v>0</v>
      </c>
      <c r="J371" t="n">
        <v>0</v>
      </c>
      <c r="K371" t="n">
        <v>0</v>
      </c>
      <c r="L371" t="n">
        <v>0</v>
      </c>
      <c r="M371" t="n">
        <v>0</v>
      </c>
      <c r="N371" t="n">
        <v>0</v>
      </c>
      <c r="O371" t="n">
        <v>0</v>
      </c>
      <c r="P371" t="n">
        <v>0</v>
      </c>
      <c r="Q371" t="n">
        <v>0</v>
      </c>
      <c r="R371" s="2" t="inlineStr"/>
    </row>
    <row r="372" ht="15" customHeight="1">
      <c r="A372" t="inlineStr">
        <is>
          <t>A 7590-2026</t>
        </is>
      </c>
      <c r="B372" s="1" t="n">
        <v>46061.85252314815</v>
      </c>
      <c r="C372" s="1" t="n">
        <v>46092</v>
      </c>
      <c r="D372" t="inlineStr">
        <is>
          <t>VÄSTMANLANDS LÄN</t>
        </is>
      </c>
      <c r="E372" t="inlineStr">
        <is>
          <t>SALA</t>
        </is>
      </c>
      <c r="G372" t="n">
        <v>1.9</v>
      </c>
      <c r="H372" t="n">
        <v>0</v>
      </c>
      <c r="I372" t="n">
        <v>0</v>
      </c>
      <c r="J372" t="n">
        <v>0</v>
      </c>
      <c r="K372" t="n">
        <v>0</v>
      </c>
      <c r="L372" t="n">
        <v>0</v>
      </c>
      <c r="M372" t="n">
        <v>0</v>
      </c>
      <c r="N372" t="n">
        <v>0</v>
      </c>
      <c r="O372" t="n">
        <v>0</v>
      </c>
      <c r="P372" t="n">
        <v>0</v>
      </c>
      <c r="Q372" t="n">
        <v>0</v>
      </c>
      <c r="R372" s="2" t="inlineStr"/>
    </row>
    <row r="373" ht="15" customHeight="1">
      <c r="A373" t="inlineStr">
        <is>
          <t>A 7596-2026</t>
        </is>
      </c>
      <c r="B373" s="1" t="n">
        <v>46061.90922453703</v>
      </c>
      <c r="C373" s="1" t="n">
        <v>46092</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46915-2025</t>
        </is>
      </c>
      <c r="B374" s="1" t="n">
        <v>45929.42114583333</v>
      </c>
      <c r="C374" s="1" t="n">
        <v>46092</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10909-2024</t>
        </is>
      </c>
      <c r="B375" s="1" t="n">
        <v>45370</v>
      </c>
      <c r="C375" s="1" t="n">
        <v>46092</v>
      </c>
      <c r="D375" t="inlineStr">
        <is>
          <t>VÄSTMANLANDS LÄN</t>
        </is>
      </c>
      <c r="E375" t="inlineStr">
        <is>
          <t>SALA</t>
        </is>
      </c>
      <c r="G375" t="n">
        <v>3.3</v>
      </c>
      <c r="H375" t="n">
        <v>0</v>
      </c>
      <c r="I375" t="n">
        <v>0</v>
      </c>
      <c r="J375" t="n">
        <v>0</v>
      </c>
      <c r="K375" t="n">
        <v>0</v>
      </c>
      <c r="L375" t="n">
        <v>0</v>
      </c>
      <c r="M375" t="n">
        <v>0</v>
      </c>
      <c r="N375" t="n">
        <v>0</v>
      </c>
      <c r="O375" t="n">
        <v>0</v>
      </c>
      <c r="P375" t="n">
        <v>0</v>
      </c>
      <c r="Q375" t="n">
        <v>0</v>
      </c>
      <c r="R375" s="2" t="inlineStr"/>
    </row>
    <row r="376" ht="15" customHeight="1">
      <c r="A376" t="inlineStr">
        <is>
          <t>A 64925-2023</t>
        </is>
      </c>
      <c r="B376" s="1" t="n">
        <v>45282</v>
      </c>
      <c r="C376" s="1" t="n">
        <v>46092</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46597-2025</t>
        </is>
      </c>
      <c r="B377" s="1" t="n">
        <v>45926.40113425926</v>
      </c>
      <c r="C377" s="1" t="n">
        <v>46092</v>
      </c>
      <c r="D377" t="inlineStr">
        <is>
          <t>VÄSTMANLANDS LÄN</t>
        </is>
      </c>
      <c r="E377" t="inlineStr">
        <is>
          <t>SALA</t>
        </is>
      </c>
      <c r="G377" t="n">
        <v>3.4</v>
      </c>
      <c r="H377" t="n">
        <v>0</v>
      </c>
      <c r="I377" t="n">
        <v>0</v>
      </c>
      <c r="J377" t="n">
        <v>0</v>
      </c>
      <c r="K377" t="n">
        <v>0</v>
      </c>
      <c r="L377" t="n">
        <v>0</v>
      </c>
      <c r="M377" t="n">
        <v>0</v>
      </c>
      <c r="N377" t="n">
        <v>0</v>
      </c>
      <c r="O377" t="n">
        <v>0</v>
      </c>
      <c r="P377" t="n">
        <v>0</v>
      </c>
      <c r="Q377" t="n">
        <v>0</v>
      </c>
      <c r="R377" s="2" t="inlineStr"/>
    </row>
    <row r="378" ht="15" customHeight="1">
      <c r="A378" t="inlineStr">
        <is>
          <t>A 23406-2024</t>
        </is>
      </c>
      <c r="B378" s="1" t="n">
        <v>45453.58296296297</v>
      </c>
      <c r="C378" s="1" t="n">
        <v>46092</v>
      </c>
      <c r="D378" t="inlineStr">
        <is>
          <t>VÄSTMANLANDS LÄN</t>
        </is>
      </c>
      <c r="E378" t="inlineStr">
        <is>
          <t>SALA</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16133-2025</t>
        </is>
      </c>
      <c r="B379" s="1" t="n">
        <v>45750</v>
      </c>
      <c r="C379" s="1" t="n">
        <v>46092</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47577-2025</t>
        </is>
      </c>
      <c r="B380" s="1" t="n">
        <v>45931.4047337963</v>
      </c>
      <c r="C380" s="1" t="n">
        <v>46092</v>
      </c>
      <c r="D380" t="inlineStr">
        <is>
          <t>VÄSTMANLANDS LÄN</t>
        </is>
      </c>
      <c r="E380" t="inlineStr">
        <is>
          <t>SALA</t>
        </is>
      </c>
      <c r="G380" t="n">
        <v>3.7</v>
      </c>
      <c r="H380" t="n">
        <v>0</v>
      </c>
      <c r="I380" t="n">
        <v>0</v>
      </c>
      <c r="J380" t="n">
        <v>0</v>
      </c>
      <c r="K380" t="n">
        <v>0</v>
      </c>
      <c r="L380" t="n">
        <v>0</v>
      </c>
      <c r="M380" t="n">
        <v>0</v>
      </c>
      <c r="N380" t="n">
        <v>0</v>
      </c>
      <c r="O380" t="n">
        <v>0</v>
      </c>
      <c r="P380" t="n">
        <v>0</v>
      </c>
      <c r="Q380" t="n">
        <v>0</v>
      </c>
      <c r="R380" s="2" t="inlineStr"/>
    </row>
    <row r="381" ht="15" customHeight="1">
      <c r="A381" t="inlineStr">
        <is>
          <t>A 15099-2025</t>
        </is>
      </c>
      <c r="B381" s="1" t="n">
        <v>45744.3434837963</v>
      </c>
      <c r="C381" s="1" t="n">
        <v>46092</v>
      </c>
      <c r="D381" t="inlineStr">
        <is>
          <t>VÄSTMANLANDS LÄN</t>
        </is>
      </c>
      <c r="E381" t="inlineStr">
        <is>
          <t>SALA</t>
        </is>
      </c>
      <c r="F381" t="inlineStr">
        <is>
          <t>Sveaskog</t>
        </is>
      </c>
      <c r="G381" t="n">
        <v>14.4</v>
      </c>
      <c r="H381" t="n">
        <v>0</v>
      </c>
      <c r="I381" t="n">
        <v>0</v>
      </c>
      <c r="J381" t="n">
        <v>0</v>
      </c>
      <c r="K381" t="n">
        <v>0</v>
      </c>
      <c r="L381" t="n">
        <v>0</v>
      </c>
      <c r="M381" t="n">
        <v>0</v>
      </c>
      <c r="N381" t="n">
        <v>0</v>
      </c>
      <c r="O381" t="n">
        <v>0</v>
      </c>
      <c r="P381" t="n">
        <v>0</v>
      </c>
      <c r="Q381" t="n">
        <v>0</v>
      </c>
      <c r="R381" s="2" t="inlineStr"/>
    </row>
    <row r="382" ht="15" customHeight="1">
      <c r="A382" t="inlineStr">
        <is>
          <t>A 46661-2025</t>
        </is>
      </c>
      <c r="B382" s="1" t="n">
        <v>45926</v>
      </c>
      <c r="C382" s="1" t="n">
        <v>46092</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60036-2024</t>
        </is>
      </c>
      <c r="B383" s="1" t="n">
        <v>45642.46434027778</v>
      </c>
      <c r="C383" s="1" t="n">
        <v>46092</v>
      </c>
      <c r="D383" t="inlineStr">
        <is>
          <t>VÄSTMANLANDS LÄN</t>
        </is>
      </c>
      <c r="E383" t="inlineStr">
        <is>
          <t>SALA</t>
        </is>
      </c>
      <c r="G383" t="n">
        <v>2.5</v>
      </c>
      <c r="H383" t="n">
        <v>0</v>
      </c>
      <c r="I383" t="n">
        <v>0</v>
      </c>
      <c r="J383" t="n">
        <v>0</v>
      </c>
      <c r="K383" t="n">
        <v>0</v>
      </c>
      <c r="L383" t="n">
        <v>0</v>
      </c>
      <c r="M383" t="n">
        <v>0</v>
      </c>
      <c r="N383" t="n">
        <v>0</v>
      </c>
      <c r="O383" t="n">
        <v>0</v>
      </c>
      <c r="P383" t="n">
        <v>0</v>
      </c>
      <c r="Q383" t="n">
        <v>0</v>
      </c>
      <c r="R383" s="2" t="inlineStr"/>
    </row>
    <row r="384" ht="15" customHeight="1">
      <c r="A384" t="inlineStr">
        <is>
          <t>A 52827-2024</t>
        </is>
      </c>
      <c r="B384" s="1" t="n">
        <v>45610</v>
      </c>
      <c r="C384" s="1" t="n">
        <v>46092</v>
      </c>
      <c r="D384" t="inlineStr">
        <is>
          <t>VÄSTMANLANDS LÄN</t>
        </is>
      </c>
      <c r="E384" t="inlineStr">
        <is>
          <t>SALA</t>
        </is>
      </c>
      <c r="G384" t="n">
        <v>0.2</v>
      </c>
      <c r="H384" t="n">
        <v>0</v>
      </c>
      <c r="I384" t="n">
        <v>0</v>
      </c>
      <c r="J384" t="n">
        <v>0</v>
      </c>
      <c r="K384" t="n">
        <v>0</v>
      </c>
      <c r="L384" t="n">
        <v>0</v>
      </c>
      <c r="M384" t="n">
        <v>0</v>
      </c>
      <c r="N384" t="n">
        <v>0</v>
      </c>
      <c r="O384" t="n">
        <v>0</v>
      </c>
      <c r="P384" t="n">
        <v>0</v>
      </c>
      <c r="Q384" t="n">
        <v>0</v>
      </c>
      <c r="R384" s="2" t="inlineStr"/>
    </row>
    <row r="385" ht="15" customHeight="1">
      <c r="A385" t="inlineStr">
        <is>
          <t>A 16328-2025</t>
        </is>
      </c>
      <c r="B385" s="1" t="n">
        <v>45751</v>
      </c>
      <c r="C385" s="1" t="n">
        <v>46092</v>
      </c>
      <c r="D385" t="inlineStr">
        <is>
          <t>VÄSTMANLANDS LÄN</t>
        </is>
      </c>
      <c r="E385" t="inlineStr">
        <is>
          <t>SALA</t>
        </is>
      </c>
      <c r="G385" t="n">
        <v>2.9</v>
      </c>
      <c r="H385" t="n">
        <v>0</v>
      </c>
      <c r="I385" t="n">
        <v>0</v>
      </c>
      <c r="J385" t="n">
        <v>0</v>
      </c>
      <c r="K385" t="n">
        <v>0</v>
      </c>
      <c r="L385" t="n">
        <v>0</v>
      </c>
      <c r="M385" t="n">
        <v>0</v>
      </c>
      <c r="N385" t="n">
        <v>0</v>
      </c>
      <c r="O385" t="n">
        <v>0</v>
      </c>
      <c r="P385" t="n">
        <v>0</v>
      </c>
      <c r="Q385" t="n">
        <v>0</v>
      </c>
      <c r="R385" s="2" t="inlineStr"/>
    </row>
    <row r="386" ht="15" customHeight="1">
      <c r="A386" t="inlineStr">
        <is>
          <t>A 26661-2025</t>
        </is>
      </c>
      <c r="B386" s="1" t="n">
        <v>45810</v>
      </c>
      <c r="C386" s="1" t="n">
        <v>46092</v>
      </c>
      <c r="D386" t="inlineStr">
        <is>
          <t>VÄSTMANLANDS LÄN</t>
        </is>
      </c>
      <c r="E386" t="inlineStr">
        <is>
          <t>SALA</t>
        </is>
      </c>
      <c r="G386" t="n">
        <v>3.5</v>
      </c>
      <c r="H386" t="n">
        <v>0</v>
      </c>
      <c r="I386" t="n">
        <v>0</v>
      </c>
      <c r="J386" t="n">
        <v>0</v>
      </c>
      <c r="K386" t="n">
        <v>0</v>
      </c>
      <c r="L386" t="n">
        <v>0</v>
      </c>
      <c r="M386" t="n">
        <v>0</v>
      </c>
      <c r="N386" t="n">
        <v>0</v>
      </c>
      <c r="O386" t="n">
        <v>0</v>
      </c>
      <c r="P386" t="n">
        <v>0</v>
      </c>
      <c r="Q386" t="n">
        <v>0</v>
      </c>
      <c r="R386" s="2" t="inlineStr"/>
    </row>
    <row r="387" ht="15" customHeight="1">
      <c r="A387" t="inlineStr">
        <is>
          <t>A 48057-2025</t>
        </is>
      </c>
      <c r="B387" s="1" t="n">
        <v>45932.67947916667</v>
      </c>
      <c r="C387" s="1" t="n">
        <v>46092</v>
      </c>
      <c r="D387" t="inlineStr">
        <is>
          <t>VÄSTMANLANDS LÄN</t>
        </is>
      </c>
      <c r="E387" t="inlineStr">
        <is>
          <t>SALA</t>
        </is>
      </c>
      <c r="G387" t="n">
        <v>4.3</v>
      </c>
      <c r="H387" t="n">
        <v>0</v>
      </c>
      <c r="I387" t="n">
        <v>0</v>
      </c>
      <c r="J387" t="n">
        <v>0</v>
      </c>
      <c r="K387" t="n">
        <v>0</v>
      </c>
      <c r="L387" t="n">
        <v>0</v>
      </c>
      <c r="M387" t="n">
        <v>0</v>
      </c>
      <c r="N387" t="n">
        <v>0</v>
      </c>
      <c r="O387" t="n">
        <v>0</v>
      </c>
      <c r="P387" t="n">
        <v>0</v>
      </c>
      <c r="Q387" t="n">
        <v>0</v>
      </c>
      <c r="R387" s="2" t="inlineStr"/>
    </row>
    <row r="388" ht="15" customHeight="1">
      <c r="A388" t="inlineStr">
        <is>
          <t>A 66908-2021</t>
        </is>
      </c>
      <c r="B388" s="1" t="n">
        <v>44522</v>
      </c>
      <c r="C388" s="1" t="n">
        <v>46092</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73835-2021</t>
        </is>
      </c>
      <c r="B389" s="1" t="n">
        <v>44552.92112268518</v>
      </c>
      <c r="C389" s="1" t="n">
        <v>46092</v>
      </c>
      <c r="D389" t="inlineStr">
        <is>
          <t>VÄSTMANLANDS LÄN</t>
        </is>
      </c>
      <c r="E389" t="inlineStr">
        <is>
          <t>SALA</t>
        </is>
      </c>
      <c r="G389" t="n">
        <v>2</v>
      </c>
      <c r="H389" t="n">
        <v>0</v>
      </c>
      <c r="I389" t="n">
        <v>0</v>
      </c>
      <c r="J389" t="n">
        <v>0</v>
      </c>
      <c r="K389" t="n">
        <v>0</v>
      </c>
      <c r="L389" t="n">
        <v>0</v>
      </c>
      <c r="M389" t="n">
        <v>0</v>
      </c>
      <c r="N389" t="n">
        <v>0</v>
      </c>
      <c r="O389" t="n">
        <v>0</v>
      </c>
      <c r="P389" t="n">
        <v>0</v>
      </c>
      <c r="Q389" t="n">
        <v>0</v>
      </c>
      <c r="R389" s="2" t="inlineStr"/>
    </row>
    <row r="390" ht="15" customHeight="1">
      <c r="A390" t="inlineStr">
        <is>
          <t>A 3810-2023</t>
        </is>
      </c>
      <c r="B390" s="1" t="n">
        <v>44951.60454861111</v>
      </c>
      <c r="C390" s="1" t="n">
        <v>46092</v>
      </c>
      <c r="D390" t="inlineStr">
        <is>
          <t>VÄSTMANLANDS LÄN</t>
        </is>
      </c>
      <c r="E390" t="inlineStr">
        <is>
          <t>SALA</t>
        </is>
      </c>
      <c r="G390" t="n">
        <v>4.2</v>
      </c>
      <c r="H390" t="n">
        <v>0</v>
      </c>
      <c r="I390" t="n">
        <v>0</v>
      </c>
      <c r="J390" t="n">
        <v>0</v>
      </c>
      <c r="K390" t="n">
        <v>0</v>
      </c>
      <c r="L390" t="n">
        <v>0</v>
      </c>
      <c r="M390" t="n">
        <v>0</v>
      </c>
      <c r="N390" t="n">
        <v>0</v>
      </c>
      <c r="O390" t="n">
        <v>0</v>
      </c>
      <c r="P390" t="n">
        <v>0</v>
      </c>
      <c r="Q390" t="n">
        <v>0</v>
      </c>
      <c r="R390" s="2" t="inlineStr"/>
    </row>
    <row r="391" ht="15" customHeight="1">
      <c r="A391" t="inlineStr">
        <is>
          <t>A 27989-2025</t>
        </is>
      </c>
      <c r="B391" s="1" t="n">
        <v>45817.58716435185</v>
      </c>
      <c r="C391" s="1" t="n">
        <v>46092</v>
      </c>
      <c r="D391" t="inlineStr">
        <is>
          <t>VÄSTMANLANDS LÄN</t>
        </is>
      </c>
      <c r="E391" t="inlineStr">
        <is>
          <t>SALA</t>
        </is>
      </c>
      <c r="G391" t="n">
        <v>1.9</v>
      </c>
      <c r="H391" t="n">
        <v>0</v>
      </c>
      <c r="I391" t="n">
        <v>0</v>
      </c>
      <c r="J391" t="n">
        <v>0</v>
      </c>
      <c r="K391" t="n">
        <v>0</v>
      </c>
      <c r="L391" t="n">
        <v>0</v>
      </c>
      <c r="M391" t="n">
        <v>0</v>
      </c>
      <c r="N391" t="n">
        <v>0</v>
      </c>
      <c r="O391" t="n">
        <v>0</v>
      </c>
      <c r="P391" t="n">
        <v>0</v>
      </c>
      <c r="Q391" t="n">
        <v>0</v>
      </c>
      <c r="R391" s="2" t="inlineStr"/>
    </row>
    <row r="392" ht="15" customHeight="1">
      <c r="A392" t="inlineStr">
        <is>
          <t>A 27981-2025</t>
        </is>
      </c>
      <c r="B392" s="1" t="n">
        <v>45817.57471064815</v>
      </c>
      <c r="C392" s="1" t="n">
        <v>46092</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5219-2026</t>
        </is>
      </c>
      <c r="B393" s="1" t="n">
        <v>46049.76225694444</v>
      </c>
      <c r="C393" s="1" t="n">
        <v>46092</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28193-2025</t>
        </is>
      </c>
      <c r="B394" s="1" t="n">
        <v>45818.425625</v>
      </c>
      <c r="C394" s="1" t="n">
        <v>46092</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910-2026</t>
        </is>
      </c>
      <c r="B395" s="1" t="n">
        <v>46030.4771412037</v>
      </c>
      <c r="C395" s="1" t="n">
        <v>46092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48710-2025</t>
        </is>
      </c>
      <c r="B396" s="1" t="n">
        <v>45936.63184027778</v>
      </c>
      <c r="C396" s="1" t="n">
        <v>46092</v>
      </c>
      <c r="D396" t="inlineStr">
        <is>
          <t>VÄSTMANLANDS LÄN</t>
        </is>
      </c>
      <c r="E396" t="inlineStr">
        <is>
          <t>SALA</t>
        </is>
      </c>
      <c r="G396" t="n">
        <v>2.7</v>
      </c>
      <c r="H396" t="n">
        <v>0</v>
      </c>
      <c r="I396" t="n">
        <v>0</v>
      </c>
      <c r="J396" t="n">
        <v>0</v>
      </c>
      <c r="K396" t="n">
        <v>0</v>
      </c>
      <c r="L396" t="n">
        <v>0</v>
      </c>
      <c r="M396" t="n">
        <v>0</v>
      </c>
      <c r="N396" t="n">
        <v>0</v>
      </c>
      <c r="O396" t="n">
        <v>0</v>
      </c>
      <c r="P396" t="n">
        <v>0</v>
      </c>
      <c r="Q396" t="n">
        <v>0</v>
      </c>
      <c r="R396" s="2" t="inlineStr"/>
    </row>
    <row r="397" ht="15" customHeight="1">
      <c r="A397" t="inlineStr">
        <is>
          <t>A 914-2026</t>
        </is>
      </c>
      <c r="B397" s="1" t="n">
        <v>46030.47952546296</v>
      </c>
      <c r="C397" s="1" t="n">
        <v>46092</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948-2026</t>
        </is>
      </c>
      <c r="B398" s="1" t="n">
        <v>46030.53986111111</v>
      </c>
      <c r="C398" s="1" t="n">
        <v>46092</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28284-2025</t>
        </is>
      </c>
      <c r="B399" s="1" t="n">
        <v>45818.58893518519</v>
      </c>
      <c r="C399" s="1" t="n">
        <v>46092</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28278-2025</t>
        </is>
      </c>
      <c r="B400" s="1" t="n">
        <v>45818.58454861111</v>
      </c>
      <c r="C400" s="1" t="n">
        <v>46092</v>
      </c>
      <c r="D400" t="inlineStr">
        <is>
          <t>VÄSTMANLANDS LÄN</t>
        </is>
      </c>
      <c r="E400" t="inlineStr">
        <is>
          <t>SALA</t>
        </is>
      </c>
      <c r="G400" t="n">
        <v>7.6</v>
      </c>
      <c r="H400" t="n">
        <v>0</v>
      </c>
      <c r="I400" t="n">
        <v>0</v>
      </c>
      <c r="J400" t="n">
        <v>0</v>
      </c>
      <c r="K400" t="n">
        <v>0</v>
      </c>
      <c r="L400" t="n">
        <v>0</v>
      </c>
      <c r="M400" t="n">
        <v>0</v>
      </c>
      <c r="N400" t="n">
        <v>0</v>
      </c>
      <c r="O400" t="n">
        <v>0</v>
      </c>
      <c r="P400" t="n">
        <v>0</v>
      </c>
      <c r="Q400" t="n">
        <v>0</v>
      </c>
      <c r="R400" s="2" t="inlineStr"/>
    </row>
    <row r="401" ht="15" customHeight="1">
      <c r="A401" t="inlineStr">
        <is>
          <t>A 28628-2025</t>
        </is>
      </c>
      <c r="B401" s="1" t="n">
        <v>45819.62158564815</v>
      </c>
      <c r="C401" s="1" t="n">
        <v>46092</v>
      </c>
      <c r="D401" t="inlineStr">
        <is>
          <t>VÄSTMANLANDS LÄN</t>
        </is>
      </c>
      <c r="E401" t="inlineStr">
        <is>
          <t>SALA</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12252-2023</t>
        </is>
      </c>
      <c r="B402" s="1" t="n">
        <v>44995</v>
      </c>
      <c r="C402" s="1" t="n">
        <v>46092</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28632-2025</t>
        </is>
      </c>
      <c r="B403" s="1" t="n">
        <v>45819.62344907408</v>
      </c>
      <c r="C403" s="1" t="n">
        <v>46092</v>
      </c>
      <c r="D403" t="inlineStr">
        <is>
          <t>VÄSTMANLANDS LÄN</t>
        </is>
      </c>
      <c r="E403" t="inlineStr">
        <is>
          <t>SALA</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28630-2025</t>
        </is>
      </c>
      <c r="B404" s="1" t="n">
        <v>45819.62274305556</v>
      </c>
      <c r="C404" s="1" t="n">
        <v>46092</v>
      </c>
      <c r="D404" t="inlineStr">
        <is>
          <t>VÄSTMANLANDS LÄN</t>
        </is>
      </c>
      <c r="E404" t="inlineStr">
        <is>
          <t>SALA</t>
        </is>
      </c>
      <c r="F404" t="inlineStr">
        <is>
          <t>Sveaskog</t>
        </is>
      </c>
      <c r="G404" t="n">
        <v>9</v>
      </c>
      <c r="H404" t="n">
        <v>0</v>
      </c>
      <c r="I404" t="n">
        <v>0</v>
      </c>
      <c r="J404" t="n">
        <v>0</v>
      </c>
      <c r="K404" t="n">
        <v>0</v>
      </c>
      <c r="L404" t="n">
        <v>0</v>
      </c>
      <c r="M404" t="n">
        <v>0</v>
      </c>
      <c r="N404" t="n">
        <v>0</v>
      </c>
      <c r="O404" t="n">
        <v>0</v>
      </c>
      <c r="P404" t="n">
        <v>0</v>
      </c>
      <c r="Q404" t="n">
        <v>0</v>
      </c>
      <c r="R404" s="2" t="inlineStr"/>
    </row>
    <row r="405" ht="15" customHeight="1">
      <c r="A405" t="inlineStr">
        <is>
          <t>A 28837-2025</t>
        </is>
      </c>
      <c r="B405" s="1" t="n">
        <v>45820.56243055555</v>
      </c>
      <c r="C405" s="1" t="n">
        <v>46092</v>
      </c>
      <c r="D405" t="inlineStr">
        <is>
          <t>VÄSTMANLANDS LÄN</t>
        </is>
      </c>
      <c r="E405" t="inlineStr">
        <is>
          <t>SALA</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28849-2025</t>
        </is>
      </c>
      <c r="B406" s="1" t="n">
        <v>45820</v>
      </c>
      <c r="C406" s="1" t="n">
        <v>46092</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48910-2025</t>
        </is>
      </c>
      <c r="B407" s="1" t="n">
        <v>45937.48649305556</v>
      </c>
      <c r="C407" s="1" t="n">
        <v>46092</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49585-2025</t>
        </is>
      </c>
      <c r="B408" s="1" t="n">
        <v>45939.5043287037</v>
      </c>
      <c r="C408" s="1" t="n">
        <v>46092</v>
      </c>
      <c r="D408" t="inlineStr">
        <is>
          <t>VÄSTMANLANDS LÄN</t>
        </is>
      </c>
      <c r="E408" t="inlineStr">
        <is>
          <t>SALA</t>
        </is>
      </c>
      <c r="G408" t="n">
        <v>2.2</v>
      </c>
      <c r="H408" t="n">
        <v>0</v>
      </c>
      <c r="I408" t="n">
        <v>0</v>
      </c>
      <c r="J408" t="n">
        <v>0</v>
      </c>
      <c r="K408" t="n">
        <v>0</v>
      </c>
      <c r="L408" t="n">
        <v>0</v>
      </c>
      <c r="M408" t="n">
        <v>0</v>
      </c>
      <c r="N408" t="n">
        <v>0</v>
      </c>
      <c r="O408" t="n">
        <v>0</v>
      </c>
      <c r="P408" t="n">
        <v>0</v>
      </c>
      <c r="Q408" t="n">
        <v>0</v>
      </c>
      <c r="R408" s="2" t="inlineStr"/>
    </row>
    <row r="409" ht="15" customHeight="1">
      <c r="A409" t="inlineStr">
        <is>
          <t>A 29085-2025</t>
        </is>
      </c>
      <c r="B409" s="1" t="n">
        <v>45821</v>
      </c>
      <c r="C409" s="1" t="n">
        <v>46092</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25260-2023</t>
        </is>
      </c>
      <c r="B410" s="1" t="n">
        <v>45086</v>
      </c>
      <c r="C410" s="1" t="n">
        <v>46092</v>
      </c>
      <c r="D410" t="inlineStr">
        <is>
          <t>VÄSTMANLANDS LÄN</t>
        </is>
      </c>
      <c r="E410" t="inlineStr">
        <is>
          <t>SALA</t>
        </is>
      </c>
      <c r="F410" t="inlineStr">
        <is>
          <t>Sveaskog</t>
        </is>
      </c>
      <c r="G410" t="n">
        <v>3.2</v>
      </c>
      <c r="H410" t="n">
        <v>0</v>
      </c>
      <c r="I410" t="n">
        <v>0</v>
      </c>
      <c r="J410" t="n">
        <v>0</v>
      </c>
      <c r="K410" t="n">
        <v>0</v>
      </c>
      <c r="L410" t="n">
        <v>0</v>
      </c>
      <c r="M410" t="n">
        <v>0</v>
      </c>
      <c r="N410" t="n">
        <v>0</v>
      </c>
      <c r="O410" t="n">
        <v>0</v>
      </c>
      <c r="P410" t="n">
        <v>0</v>
      </c>
      <c r="Q410" t="n">
        <v>0</v>
      </c>
      <c r="R410" s="2" t="inlineStr"/>
    </row>
    <row r="411" ht="15" customHeight="1">
      <c r="A411" t="inlineStr">
        <is>
          <t>A 29691-2025</t>
        </is>
      </c>
      <c r="B411" s="1" t="n">
        <v>45825.53645833334</v>
      </c>
      <c r="C411" s="1" t="n">
        <v>46092</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60541-2024</t>
        </is>
      </c>
      <c r="B412" s="1" t="n">
        <v>45643</v>
      </c>
      <c r="C412" s="1" t="n">
        <v>46092</v>
      </c>
      <c r="D412" t="inlineStr">
        <is>
          <t>VÄSTMANLANDS LÄN</t>
        </is>
      </c>
      <c r="E412" t="inlineStr">
        <is>
          <t>SALA</t>
        </is>
      </c>
      <c r="G412" t="n">
        <v>10.6</v>
      </c>
      <c r="H412" t="n">
        <v>0</v>
      </c>
      <c r="I412" t="n">
        <v>0</v>
      </c>
      <c r="J412" t="n">
        <v>0</v>
      </c>
      <c r="K412" t="n">
        <v>0</v>
      </c>
      <c r="L412" t="n">
        <v>0</v>
      </c>
      <c r="M412" t="n">
        <v>0</v>
      </c>
      <c r="N412" t="n">
        <v>0</v>
      </c>
      <c r="O412" t="n">
        <v>0</v>
      </c>
      <c r="P412" t="n">
        <v>0</v>
      </c>
      <c r="Q412" t="n">
        <v>0</v>
      </c>
      <c r="R412" s="2" t="inlineStr"/>
    </row>
    <row r="413" ht="15" customHeight="1">
      <c r="A413" t="inlineStr">
        <is>
          <t>A 57404-2024</t>
        </is>
      </c>
      <c r="B413" s="1" t="n">
        <v>45629.71967592592</v>
      </c>
      <c r="C413" s="1" t="n">
        <v>46092</v>
      </c>
      <c r="D413" t="inlineStr">
        <is>
          <t>VÄSTMANLANDS LÄN</t>
        </is>
      </c>
      <c r="E413" t="inlineStr">
        <is>
          <t>SALA</t>
        </is>
      </c>
      <c r="G413" t="n">
        <v>0.3</v>
      </c>
      <c r="H413" t="n">
        <v>0</v>
      </c>
      <c r="I413" t="n">
        <v>0</v>
      </c>
      <c r="J413" t="n">
        <v>0</v>
      </c>
      <c r="K413" t="n">
        <v>0</v>
      </c>
      <c r="L413" t="n">
        <v>0</v>
      </c>
      <c r="M413" t="n">
        <v>0</v>
      </c>
      <c r="N413" t="n">
        <v>0</v>
      </c>
      <c r="O413" t="n">
        <v>0</v>
      </c>
      <c r="P413" t="n">
        <v>0</v>
      </c>
      <c r="Q413" t="n">
        <v>0</v>
      </c>
      <c r="R413" s="2" t="inlineStr"/>
    </row>
    <row r="414" ht="15" customHeight="1">
      <c r="A414" t="inlineStr">
        <is>
          <t>A 13128-2023</t>
        </is>
      </c>
      <c r="B414" s="1" t="n">
        <v>45002</v>
      </c>
      <c r="C414" s="1" t="n">
        <v>46092</v>
      </c>
      <c r="D414" t="inlineStr">
        <is>
          <t>VÄSTMANLANDS LÄN</t>
        </is>
      </c>
      <c r="E414" t="inlineStr">
        <is>
          <t>SALA</t>
        </is>
      </c>
      <c r="G414" t="n">
        <v>7.9</v>
      </c>
      <c r="H414" t="n">
        <v>0</v>
      </c>
      <c r="I414" t="n">
        <v>0</v>
      </c>
      <c r="J414" t="n">
        <v>0</v>
      </c>
      <c r="K414" t="n">
        <v>0</v>
      </c>
      <c r="L414" t="n">
        <v>0</v>
      </c>
      <c r="M414" t="n">
        <v>0</v>
      </c>
      <c r="N414" t="n">
        <v>0</v>
      </c>
      <c r="O414" t="n">
        <v>0</v>
      </c>
      <c r="P414" t="n">
        <v>0</v>
      </c>
      <c r="Q414" t="n">
        <v>0</v>
      </c>
      <c r="R414" s="2" t="inlineStr"/>
    </row>
    <row r="415" ht="15" customHeight="1">
      <c r="A415" t="inlineStr">
        <is>
          <t>A 49640-2025</t>
        </is>
      </c>
      <c r="B415" s="1" t="n">
        <v>45939.61459490741</v>
      </c>
      <c r="C415" s="1" t="n">
        <v>46092</v>
      </c>
      <c r="D415" t="inlineStr">
        <is>
          <t>VÄSTMANLANDS LÄN</t>
        </is>
      </c>
      <c r="E415" t="inlineStr">
        <is>
          <t>SALA</t>
        </is>
      </c>
      <c r="F415" t="inlineStr">
        <is>
          <t>Kommuner</t>
        </is>
      </c>
      <c r="G415" t="n">
        <v>18.8</v>
      </c>
      <c r="H415" t="n">
        <v>0</v>
      </c>
      <c r="I415" t="n">
        <v>0</v>
      </c>
      <c r="J415" t="n">
        <v>0</v>
      </c>
      <c r="K415" t="n">
        <v>0</v>
      </c>
      <c r="L415" t="n">
        <v>0</v>
      </c>
      <c r="M415" t="n">
        <v>0</v>
      </c>
      <c r="N415" t="n">
        <v>0</v>
      </c>
      <c r="O415" t="n">
        <v>0</v>
      </c>
      <c r="P415" t="n">
        <v>0</v>
      </c>
      <c r="Q415" t="n">
        <v>0</v>
      </c>
      <c r="R415" s="2" t="inlineStr"/>
    </row>
    <row r="416" ht="15" customHeight="1">
      <c r="A416" t="inlineStr">
        <is>
          <t>A 10252-2026</t>
        </is>
      </c>
      <c r="B416" s="1" t="n">
        <v>46076.55700231482</v>
      </c>
      <c r="C416" s="1" t="n">
        <v>46092</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29826-2025</t>
        </is>
      </c>
      <c r="B417" s="1" t="n">
        <v>45825.85761574074</v>
      </c>
      <c r="C417" s="1" t="n">
        <v>46092</v>
      </c>
      <c r="D417" t="inlineStr">
        <is>
          <t>VÄSTMANLANDS LÄN</t>
        </is>
      </c>
      <c r="E417" t="inlineStr">
        <is>
          <t>SALA</t>
        </is>
      </c>
      <c r="G417" t="n">
        <v>1.9</v>
      </c>
      <c r="H417" t="n">
        <v>0</v>
      </c>
      <c r="I417" t="n">
        <v>0</v>
      </c>
      <c r="J417" t="n">
        <v>0</v>
      </c>
      <c r="K417" t="n">
        <v>0</v>
      </c>
      <c r="L417" t="n">
        <v>0</v>
      </c>
      <c r="M417" t="n">
        <v>0</v>
      </c>
      <c r="N417" t="n">
        <v>0</v>
      </c>
      <c r="O417" t="n">
        <v>0</v>
      </c>
      <c r="P417" t="n">
        <v>0</v>
      </c>
      <c r="Q417" t="n">
        <v>0</v>
      </c>
      <c r="R417" s="2" t="inlineStr"/>
    </row>
    <row r="418" ht="15" customHeight="1">
      <c r="A418" t="inlineStr">
        <is>
          <t>A 10239-2026</t>
        </is>
      </c>
      <c r="B418" s="1" t="n">
        <v>46076.54824074074</v>
      </c>
      <c r="C418" s="1" t="n">
        <v>46092</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10245-2026</t>
        </is>
      </c>
      <c r="B419" s="1" t="n">
        <v>46076.55144675926</v>
      </c>
      <c r="C419" s="1" t="n">
        <v>46092</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50128-2025</t>
        </is>
      </c>
      <c r="B420" s="1" t="n">
        <v>45943.55318287037</v>
      </c>
      <c r="C420" s="1" t="n">
        <v>46092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1705-2026</t>
        </is>
      </c>
      <c r="B421" s="1" t="n">
        <v>46034.59930555556</v>
      </c>
      <c r="C421" s="1" t="n">
        <v>46092</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50119-2025</t>
        </is>
      </c>
      <c r="B422" s="1" t="n">
        <v>45943.54883101852</v>
      </c>
      <c r="C422" s="1" t="n">
        <v>46092</v>
      </c>
      <c r="D422" t="inlineStr">
        <is>
          <t>VÄSTMANLANDS LÄN</t>
        </is>
      </c>
      <c r="E422" t="inlineStr">
        <is>
          <t>SALA</t>
        </is>
      </c>
      <c r="G422" t="n">
        <v>3.3</v>
      </c>
      <c r="H422" t="n">
        <v>0</v>
      </c>
      <c r="I422" t="n">
        <v>0</v>
      </c>
      <c r="J422" t="n">
        <v>0</v>
      </c>
      <c r="K422" t="n">
        <v>0</v>
      </c>
      <c r="L422" t="n">
        <v>0</v>
      </c>
      <c r="M422" t="n">
        <v>0</v>
      </c>
      <c r="N422" t="n">
        <v>0</v>
      </c>
      <c r="O422" t="n">
        <v>0</v>
      </c>
      <c r="P422" t="n">
        <v>0</v>
      </c>
      <c r="Q422" t="n">
        <v>0</v>
      </c>
      <c r="R422" s="2" t="inlineStr"/>
    </row>
    <row r="423" ht="15" customHeight="1">
      <c r="A423" t="inlineStr">
        <is>
          <t>A 24864-2024</t>
        </is>
      </c>
      <c r="B423" s="1" t="n">
        <v>45461.48888888889</v>
      </c>
      <c r="C423" s="1" t="n">
        <v>46092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50059-2025</t>
        </is>
      </c>
      <c r="B424" s="1" t="n">
        <v>45943.44125</v>
      </c>
      <c r="C424" s="1" t="n">
        <v>46092</v>
      </c>
      <c r="D424" t="inlineStr">
        <is>
          <t>VÄSTMANLANDS LÄN</t>
        </is>
      </c>
      <c r="E424" t="inlineStr">
        <is>
          <t>SALA</t>
        </is>
      </c>
      <c r="G424" t="n">
        <v>4.4</v>
      </c>
      <c r="H424" t="n">
        <v>0</v>
      </c>
      <c r="I424" t="n">
        <v>0</v>
      </c>
      <c r="J424" t="n">
        <v>0</v>
      </c>
      <c r="K424" t="n">
        <v>0</v>
      </c>
      <c r="L424" t="n">
        <v>0</v>
      </c>
      <c r="M424" t="n">
        <v>0</v>
      </c>
      <c r="N424" t="n">
        <v>0</v>
      </c>
      <c r="O424" t="n">
        <v>0</v>
      </c>
      <c r="P424" t="n">
        <v>0</v>
      </c>
      <c r="Q424" t="n">
        <v>0</v>
      </c>
      <c r="R424" s="2" t="inlineStr"/>
    </row>
    <row r="425" ht="15" customHeight="1">
      <c r="A425" t="inlineStr">
        <is>
          <t>A 50249-2025</t>
        </is>
      </c>
      <c r="B425" s="1" t="n">
        <v>45944.31508101852</v>
      </c>
      <c r="C425" s="1" t="n">
        <v>46092</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24755-2021</t>
        </is>
      </c>
      <c r="B426" s="1" t="n">
        <v>44340</v>
      </c>
      <c r="C426" s="1" t="n">
        <v>46092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31608-2025</t>
        </is>
      </c>
      <c r="B427" s="1" t="n">
        <v>45833</v>
      </c>
      <c r="C427" s="1" t="n">
        <v>46092</v>
      </c>
      <c r="D427" t="inlineStr">
        <is>
          <t>VÄSTMANLANDS LÄN</t>
        </is>
      </c>
      <c r="E427" t="inlineStr">
        <is>
          <t>SALA</t>
        </is>
      </c>
      <c r="G427" t="n">
        <v>6.1</v>
      </c>
      <c r="H427" t="n">
        <v>0</v>
      </c>
      <c r="I427" t="n">
        <v>0</v>
      </c>
      <c r="J427" t="n">
        <v>0</v>
      </c>
      <c r="K427" t="n">
        <v>0</v>
      </c>
      <c r="L427" t="n">
        <v>0</v>
      </c>
      <c r="M427" t="n">
        <v>0</v>
      </c>
      <c r="N427" t="n">
        <v>0</v>
      </c>
      <c r="O427" t="n">
        <v>0</v>
      </c>
      <c r="P427" t="n">
        <v>0</v>
      </c>
      <c r="Q427" t="n">
        <v>0</v>
      </c>
      <c r="R427" s="2" t="inlineStr"/>
    </row>
    <row r="428" ht="15" customHeight="1">
      <c r="A428" t="inlineStr">
        <is>
          <t>A 30866-2025</t>
        </is>
      </c>
      <c r="B428" s="1" t="n">
        <v>45832.3246875</v>
      </c>
      <c r="C428" s="1" t="n">
        <v>46092</v>
      </c>
      <c r="D428" t="inlineStr">
        <is>
          <t>VÄSTMANLANDS LÄN</t>
        </is>
      </c>
      <c r="E428" t="inlineStr">
        <is>
          <t>SALA</t>
        </is>
      </c>
      <c r="G428" t="n">
        <v>14.3</v>
      </c>
      <c r="H428" t="n">
        <v>0</v>
      </c>
      <c r="I428" t="n">
        <v>0</v>
      </c>
      <c r="J428" t="n">
        <v>0</v>
      </c>
      <c r="K428" t="n">
        <v>0</v>
      </c>
      <c r="L428" t="n">
        <v>0</v>
      </c>
      <c r="M428" t="n">
        <v>0</v>
      </c>
      <c r="N428" t="n">
        <v>0</v>
      </c>
      <c r="O428" t="n">
        <v>0</v>
      </c>
      <c r="P428" t="n">
        <v>0</v>
      </c>
      <c r="Q428" t="n">
        <v>0</v>
      </c>
      <c r="R428" s="2" t="inlineStr"/>
    </row>
    <row r="429" ht="15" customHeight="1">
      <c r="A429" t="inlineStr">
        <is>
          <t>A 30874-2025</t>
        </is>
      </c>
      <c r="B429" s="1" t="n">
        <v>45832.34430555555</v>
      </c>
      <c r="C429" s="1" t="n">
        <v>46092</v>
      </c>
      <c r="D429" t="inlineStr">
        <is>
          <t>VÄSTMANLANDS LÄN</t>
        </is>
      </c>
      <c r="E429" t="inlineStr">
        <is>
          <t>SALA</t>
        </is>
      </c>
      <c r="G429" t="n">
        <v>8.4</v>
      </c>
      <c r="H429" t="n">
        <v>0</v>
      </c>
      <c r="I429" t="n">
        <v>0</v>
      </c>
      <c r="J429" t="n">
        <v>0</v>
      </c>
      <c r="K429" t="n">
        <v>0</v>
      </c>
      <c r="L429" t="n">
        <v>0</v>
      </c>
      <c r="M429" t="n">
        <v>0</v>
      </c>
      <c r="N429" t="n">
        <v>0</v>
      </c>
      <c r="O429" t="n">
        <v>0</v>
      </c>
      <c r="P429" t="n">
        <v>0</v>
      </c>
      <c r="Q429" t="n">
        <v>0</v>
      </c>
      <c r="R429" s="2" t="inlineStr"/>
    </row>
    <row r="430" ht="15" customHeight="1">
      <c r="A430" t="inlineStr">
        <is>
          <t>A 31573-2025</t>
        </is>
      </c>
      <c r="B430" s="1" t="n">
        <v>45833</v>
      </c>
      <c r="C430" s="1" t="n">
        <v>46092</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31288-2025</t>
        </is>
      </c>
      <c r="B431" s="1" t="n">
        <v>45833</v>
      </c>
      <c r="C431" s="1" t="n">
        <v>46092</v>
      </c>
      <c r="D431" t="inlineStr">
        <is>
          <t>VÄSTMANLANDS LÄN</t>
        </is>
      </c>
      <c r="E431" t="inlineStr">
        <is>
          <t>SALA</t>
        </is>
      </c>
      <c r="G431" t="n">
        <v>3.1</v>
      </c>
      <c r="H431" t="n">
        <v>0</v>
      </c>
      <c r="I431" t="n">
        <v>0</v>
      </c>
      <c r="J431" t="n">
        <v>0</v>
      </c>
      <c r="K431" t="n">
        <v>0</v>
      </c>
      <c r="L431" t="n">
        <v>0</v>
      </c>
      <c r="M431" t="n">
        <v>0</v>
      </c>
      <c r="N431" t="n">
        <v>0</v>
      </c>
      <c r="O431" t="n">
        <v>0</v>
      </c>
      <c r="P431" t="n">
        <v>0</v>
      </c>
      <c r="Q431" t="n">
        <v>0</v>
      </c>
      <c r="R431" s="2" t="inlineStr"/>
    </row>
    <row r="432" ht="15" customHeight="1">
      <c r="A432" t="inlineStr">
        <is>
          <t>A 31554-2025</t>
        </is>
      </c>
      <c r="B432" s="1" t="n">
        <v>45833</v>
      </c>
      <c r="C432" s="1" t="n">
        <v>46092</v>
      </c>
      <c r="D432" t="inlineStr">
        <is>
          <t>VÄSTMANLANDS LÄN</t>
        </is>
      </c>
      <c r="E432" t="inlineStr">
        <is>
          <t>SALA</t>
        </is>
      </c>
      <c r="G432" t="n">
        <v>1.5</v>
      </c>
      <c r="H432" t="n">
        <v>0</v>
      </c>
      <c r="I432" t="n">
        <v>0</v>
      </c>
      <c r="J432" t="n">
        <v>0</v>
      </c>
      <c r="K432" t="n">
        <v>0</v>
      </c>
      <c r="L432" t="n">
        <v>0</v>
      </c>
      <c r="M432" t="n">
        <v>0</v>
      </c>
      <c r="N432" t="n">
        <v>0</v>
      </c>
      <c r="O432" t="n">
        <v>0</v>
      </c>
      <c r="P432" t="n">
        <v>0</v>
      </c>
      <c r="Q432" t="n">
        <v>0</v>
      </c>
      <c r="R432" s="2" t="inlineStr"/>
    </row>
    <row r="433" ht="15" customHeight="1">
      <c r="A433" t="inlineStr">
        <is>
          <t>A 30899-2025</t>
        </is>
      </c>
      <c r="B433" s="1" t="n">
        <v>45832.35767361111</v>
      </c>
      <c r="C433" s="1" t="n">
        <v>46092</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31065-2025</t>
        </is>
      </c>
      <c r="B434" s="1" t="n">
        <v>45832.57571759259</v>
      </c>
      <c r="C434" s="1" t="n">
        <v>46092</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31296-2025</t>
        </is>
      </c>
      <c r="B435" s="1" t="n">
        <v>45833.36765046296</v>
      </c>
      <c r="C435" s="1" t="n">
        <v>46092</v>
      </c>
      <c r="D435" t="inlineStr">
        <is>
          <t>VÄSTMANLANDS LÄN</t>
        </is>
      </c>
      <c r="E435" t="inlineStr">
        <is>
          <t>SALA</t>
        </is>
      </c>
      <c r="G435" t="n">
        <v>3.7</v>
      </c>
      <c r="H435" t="n">
        <v>0</v>
      </c>
      <c r="I435" t="n">
        <v>0</v>
      </c>
      <c r="J435" t="n">
        <v>0</v>
      </c>
      <c r="K435" t="n">
        <v>0</v>
      </c>
      <c r="L435" t="n">
        <v>0</v>
      </c>
      <c r="M435" t="n">
        <v>0</v>
      </c>
      <c r="N435" t="n">
        <v>0</v>
      </c>
      <c r="O435" t="n">
        <v>0</v>
      </c>
      <c r="P435" t="n">
        <v>0</v>
      </c>
      <c r="Q435" t="n">
        <v>0</v>
      </c>
      <c r="R435" s="2" t="inlineStr"/>
    </row>
    <row r="436" ht="15" customHeight="1">
      <c r="A436" t="inlineStr">
        <is>
          <t>A 51764-2025</t>
        </is>
      </c>
      <c r="B436" s="1" t="n">
        <v>45951.63636574074</v>
      </c>
      <c r="C436" s="1" t="n">
        <v>46092</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31748-2025</t>
        </is>
      </c>
      <c r="B437" s="1" t="n">
        <v>45834</v>
      </c>
      <c r="C437" s="1" t="n">
        <v>46092</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28696-2023</t>
        </is>
      </c>
      <c r="B438" s="1" t="n">
        <v>45103.71759259259</v>
      </c>
      <c r="C438" s="1" t="n">
        <v>46092</v>
      </c>
      <c r="D438" t="inlineStr">
        <is>
          <t>VÄSTMANLANDS LÄN</t>
        </is>
      </c>
      <c r="E438" t="inlineStr">
        <is>
          <t>SALA</t>
        </is>
      </c>
      <c r="F438" t="inlineStr">
        <is>
          <t>Kommuner</t>
        </is>
      </c>
      <c r="G438" t="n">
        <v>5.9</v>
      </c>
      <c r="H438" t="n">
        <v>0</v>
      </c>
      <c r="I438" t="n">
        <v>0</v>
      </c>
      <c r="J438" t="n">
        <v>0</v>
      </c>
      <c r="K438" t="n">
        <v>0</v>
      </c>
      <c r="L438" t="n">
        <v>0</v>
      </c>
      <c r="M438" t="n">
        <v>0</v>
      </c>
      <c r="N438" t="n">
        <v>0</v>
      </c>
      <c r="O438" t="n">
        <v>0</v>
      </c>
      <c r="P438" t="n">
        <v>0</v>
      </c>
      <c r="Q438" t="n">
        <v>0</v>
      </c>
      <c r="R438" s="2" t="inlineStr"/>
    </row>
    <row r="439" ht="15" customHeight="1">
      <c r="A439" t="inlineStr">
        <is>
          <t>A 32210-2025</t>
        </is>
      </c>
      <c r="B439" s="1" t="n">
        <v>45835</v>
      </c>
      <c r="C439" s="1" t="n">
        <v>46092</v>
      </c>
      <c r="D439" t="inlineStr">
        <is>
          <t>VÄSTMANLANDS LÄN</t>
        </is>
      </c>
      <c r="E439" t="inlineStr">
        <is>
          <t>SALA</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51626-2025</t>
        </is>
      </c>
      <c r="B440" s="1" t="n">
        <v>45951.41769675926</v>
      </c>
      <c r="C440" s="1" t="n">
        <v>46092</v>
      </c>
      <c r="D440" t="inlineStr">
        <is>
          <t>VÄSTMANLANDS LÄN</t>
        </is>
      </c>
      <c r="E440" t="inlineStr">
        <is>
          <t>SALA</t>
        </is>
      </c>
      <c r="G440" t="n">
        <v>2.6</v>
      </c>
      <c r="H440" t="n">
        <v>0</v>
      </c>
      <c r="I440" t="n">
        <v>0</v>
      </c>
      <c r="J440" t="n">
        <v>0</v>
      </c>
      <c r="K440" t="n">
        <v>0</v>
      </c>
      <c r="L440" t="n">
        <v>0</v>
      </c>
      <c r="M440" t="n">
        <v>0</v>
      </c>
      <c r="N440" t="n">
        <v>0</v>
      </c>
      <c r="O440" t="n">
        <v>0</v>
      </c>
      <c r="P440" t="n">
        <v>0</v>
      </c>
      <c r="Q440" t="n">
        <v>0</v>
      </c>
      <c r="R440" s="2" t="inlineStr"/>
    </row>
    <row r="441" ht="15" customHeight="1">
      <c r="A441" t="inlineStr">
        <is>
          <t>A 6691-2025</t>
        </is>
      </c>
      <c r="B441" s="1" t="n">
        <v>45700.50625</v>
      </c>
      <c r="C441" s="1" t="n">
        <v>46092</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31610-2025</t>
        </is>
      </c>
      <c r="B442" s="1" t="n">
        <v>45833.78650462963</v>
      </c>
      <c r="C442" s="1" t="n">
        <v>46092</v>
      </c>
      <c r="D442" t="inlineStr">
        <is>
          <t>VÄSTMANLANDS LÄN</t>
        </is>
      </c>
      <c r="E442" t="inlineStr">
        <is>
          <t>SALA</t>
        </is>
      </c>
      <c r="G442" t="n">
        <v>8</v>
      </c>
      <c r="H442" t="n">
        <v>0</v>
      </c>
      <c r="I442" t="n">
        <v>0</v>
      </c>
      <c r="J442" t="n">
        <v>0</v>
      </c>
      <c r="K442" t="n">
        <v>0</v>
      </c>
      <c r="L442" t="n">
        <v>0</v>
      </c>
      <c r="M442" t="n">
        <v>0</v>
      </c>
      <c r="N442" t="n">
        <v>0</v>
      </c>
      <c r="O442" t="n">
        <v>0</v>
      </c>
      <c r="P442" t="n">
        <v>0</v>
      </c>
      <c r="Q442" t="n">
        <v>0</v>
      </c>
      <c r="R442" s="2" t="inlineStr"/>
    </row>
    <row r="443" ht="15" customHeight="1">
      <c r="A443" t="inlineStr">
        <is>
          <t>A 32201-2025</t>
        </is>
      </c>
      <c r="B443" s="1" t="n">
        <v>45835</v>
      </c>
      <c r="C443" s="1" t="n">
        <v>46092</v>
      </c>
      <c r="D443" t="inlineStr">
        <is>
          <t>VÄSTMANLANDS LÄN</t>
        </is>
      </c>
      <c r="E443" t="inlineStr">
        <is>
          <t>SALA</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31612-2025</t>
        </is>
      </c>
      <c r="B444" s="1" t="n">
        <v>45833.80056712963</v>
      </c>
      <c r="C444" s="1" t="n">
        <v>46092</v>
      </c>
      <c r="D444" t="inlineStr">
        <is>
          <t>VÄSTMANLANDS LÄN</t>
        </is>
      </c>
      <c r="E444" t="inlineStr">
        <is>
          <t>SALA</t>
        </is>
      </c>
      <c r="G444" t="n">
        <v>6.3</v>
      </c>
      <c r="H444" t="n">
        <v>0</v>
      </c>
      <c r="I444" t="n">
        <v>0</v>
      </c>
      <c r="J444" t="n">
        <v>0</v>
      </c>
      <c r="K444" t="n">
        <v>0</v>
      </c>
      <c r="L444" t="n">
        <v>0</v>
      </c>
      <c r="M444" t="n">
        <v>0</v>
      </c>
      <c r="N444" t="n">
        <v>0</v>
      </c>
      <c r="O444" t="n">
        <v>0</v>
      </c>
      <c r="P444" t="n">
        <v>0</v>
      </c>
      <c r="Q444" t="n">
        <v>0</v>
      </c>
      <c r="R444" s="2" t="inlineStr"/>
    </row>
    <row r="445" ht="15" customHeight="1">
      <c r="A445" t="inlineStr">
        <is>
          <t>A 32207-2025</t>
        </is>
      </c>
      <c r="B445" s="1" t="n">
        <v>45835</v>
      </c>
      <c r="C445" s="1" t="n">
        <v>46092</v>
      </c>
      <c r="D445" t="inlineStr">
        <is>
          <t>VÄSTMANLANDS LÄN</t>
        </is>
      </c>
      <c r="E445" t="inlineStr">
        <is>
          <t>SALA</t>
        </is>
      </c>
      <c r="F445" t="inlineStr">
        <is>
          <t>Bergvik skog öst AB</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1934-2023</t>
        </is>
      </c>
      <c r="B446" s="1" t="n">
        <v>44939.43024305555</v>
      </c>
      <c r="C446" s="1" t="n">
        <v>46092</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31762-2025</t>
        </is>
      </c>
      <c r="B447" s="1" t="n">
        <v>45834.49288194445</v>
      </c>
      <c r="C447" s="1" t="n">
        <v>46092</v>
      </c>
      <c r="D447" t="inlineStr">
        <is>
          <t>VÄSTMANLANDS LÄN</t>
        </is>
      </c>
      <c r="E447" t="inlineStr">
        <is>
          <t>SALA</t>
        </is>
      </c>
      <c r="G447" t="n">
        <v>5.9</v>
      </c>
      <c r="H447" t="n">
        <v>0</v>
      </c>
      <c r="I447" t="n">
        <v>0</v>
      </c>
      <c r="J447" t="n">
        <v>0</v>
      </c>
      <c r="K447" t="n">
        <v>0</v>
      </c>
      <c r="L447" t="n">
        <v>0</v>
      </c>
      <c r="M447" t="n">
        <v>0</v>
      </c>
      <c r="N447" t="n">
        <v>0</v>
      </c>
      <c r="O447" t="n">
        <v>0</v>
      </c>
      <c r="P447" t="n">
        <v>0</v>
      </c>
      <c r="Q447" t="n">
        <v>0</v>
      </c>
      <c r="R447" s="2" t="inlineStr"/>
    </row>
    <row r="448" ht="15" customHeight="1">
      <c r="A448" t="inlineStr">
        <is>
          <t>A 31771-2025</t>
        </is>
      </c>
      <c r="B448" s="1" t="n">
        <v>45834.50910879629</v>
      </c>
      <c r="C448" s="1" t="n">
        <v>46092</v>
      </c>
      <c r="D448" t="inlineStr">
        <is>
          <t>VÄSTMANLANDS LÄN</t>
        </is>
      </c>
      <c r="E448" t="inlineStr">
        <is>
          <t>SALA</t>
        </is>
      </c>
      <c r="G448" t="n">
        <v>5.1</v>
      </c>
      <c r="H448" t="n">
        <v>0</v>
      </c>
      <c r="I448" t="n">
        <v>0</v>
      </c>
      <c r="J448" t="n">
        <v>0</v>
      </c>
      <c r="K448" t="n">
        <v>0</v>
      </c>
      <c r="L448" t="n">
        <v>0</v>
      </c>
      <c r="M448" t="n">
        <v>0</v>
      </c>
      <c r="N448" t="n">
        <v>0</v>
      </c>
      <c r="O448" t="n">
        <v>0</v>
      </c>
      <c r="P448" t="n">
        <v>0</v>
      </c>
      <c r="Q448" t="n">
        <v>0</v>
      </c>
      <c r="R448" s="2" t="inlineStr"/>
    </row>
    <row r="449" ht="15" customHeight="1">
      <c r="A449" t="inlineStr">
        <is>
          <t>A 51690-2025</t>
        </is>
      </c>
      <c r="B449" s="1" t="n">
        <v>45951.53462962963</v>
      </c>
      <c r="C449" s="1" t="n">
        <v>46092</v>
      </c>
      <c r="D449" t="inlineStr">
        <is>
          <t>VÄSTMANLANDS LÄN</t>
        </is>
      </c>
      <c r="E449" t="inlineStr">
        <is>
          <t>SALA</t>
        </is>
      </c>
      <c r="G449" t="n">
        <v>0.8</v>
      </c>
      <c r="H449" t="n">
        <v>0</v>
      </c>
      <c r="I449" t="n">
        <v>0</v>
      </c>
      <c r="J449" t="n">
        <v>0</v>
      </c>
      <c r="K449" t="n">
        <v>0</v>
      </c>
      <c r="L449" t="n">
        <v>0</v>
      </c>
      <c r="M449" t="n">
        <v>0</v>
      </c>
      <c r="N449" t="n">
        <v>0</v>
      </c>
      <c r="O449" t="n">
        <v>0</v>
      </c>
      <c r="P449" t="n">
        <v>0</v>
      </c>
      <c r="Q449" t="n">
        <v>0</v>
      </c>
      <c r="R449" s="2" t="inlineStr"/>
    </row>
    <row r="450" ht="15" customHeight="1">
      <c r="A450" t="inlineStr">
        <is>
          <t>A 32205-2025</t>
        </is>
      </c>
      <c r="B450" s="1" t="n">
        <v>45835</v>
      </c>
      <c r="C450" s="1" t="n">
        <v>46092</v>
      </c>
      <c r="D450" t="inlineStr">
        <is>
          <t>VÄSTMANLANDS LÄN</t>
        </is>
      </c>
      <c r="E450" t="inlineStr">
        <is>
          <t>SALA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32286-2025</t>
        </is>
      </c>
      <c r="B451" s="1" t="n">
        <v>45835</v>
      </c>
      <c r="C451" s="1" t="n">
        <v>46092</v>
      </c>
      <c r="D451" t="inlineStr">
        <is>
          <t>VÄSTMANLANDS LÄN</t>
        </is>
      </c>
      <c r="E451" t="inlineStr">
        <is>
          <t>SALA</t>
        </is>
      </c>
      <c r="G451" t="n">
        <v>6.4</v>
      </c>
      <c r="H451" t="n">
        <v>0</v>
      </c>
      <c r="I451" t="n">
        <v>0</v>
      </c>
      <c r="J451" t="n">
        <v>0</v>
      </c>
      <c r="K451" t="n">
        <v>0</v>
      </c>
      <c r="L451" t="n">
        <v>0</v>
      </c>
      <c r="M451" t="n">
        <v>0</v>
      </c>
      <c r="N451" t="n">
        <v>0</v>
      </c>
      <c r="O451" t="n">
        <v>0</v>
      </c>
      <c r="P451" t="n">
        <v>0</v>
      </c>
      <c r="Q451" t="n">
        <v>0</v>
      </c>
      <c r="R451" s="2" t="inlineStr"/>
    </row>
    <row r="452" ht="15" customHeight="1">
      <c r="A452" t="inlineStr">
        <is>
          <t>A 35519-2024</t>
        </is>
      </c>
      <c r="B452" s="1" t="n">
        <v>45531</v>
      </c>
      <c r="C452" s="1" t="n">
        <v>46092</v>
      </c>
      <c r="D452" t="inlineStr">
        <is>
          <t>VÄSTMANLANDS LÄN</t>
        </is>
      </c>
      <c r="E452" t="inlineStr">
        <is>
          <t>SALA</t>
        </is>
      </c>
      <c r="G452" t="n">
        <v>1.8</v>
      </c>
      <c r="H452" t="n">
        <v>0</v>
      </c>
      <c r="I452" t="n">
        <v>0</v>
      </c>
      <c r="J452" t="n">
        <v>0</v>
      </c>
      <c r="K452" t="n">
        <v>0</v>
      </c>
      <c r="L452" t="n">
        <v>0</v>
      </c>
      <c r="M452" t="n">
        <v>0</v>
      </c>
      <c r="N452" t="n">
        <v>0</v>
      </c>
      <c r="O452" t="n">
        <v>0</v>
      </c>
      <c r="P452" t="n">
        <v>0</v>
      </c>
      <c r="Q452" t="n">
        <v>0</v>
      </c>
      <c r="R452" s="2" t="inlineStr"/>
    </row>
    <row r="453" ht="15" customHeight="1">
      <c r="A453" t="inlineStr">
        <is>
          <t>A 51804-2025</t>
        </is>
      </c>
      <c r="B453" s="1" t="n">
        <v>45951.77697916667</v>
      </c>
      <c r="C453" s="1" t="n">
        <v>46092</v>
      </c>
      <c r="D453" t="inlineStr">
        <is>
          <t>VÄSTMANLANDS LÄN</t>
        </is>
      </c>
      <c r="E453" t="inlineStr">
        <is>
          <t>SALA</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51808-2025</t>
        </is>
      </c>
      <c r="B454" s="1" t="n">
        <v>45951.79302083333</v>
      </c>
      <c r="C454" s="1" t="n">
        <v>46092</v>
      </c>
      <c r="D454" t="inlineStr">
        <is>
          <t>VÄSTMANLANDS LÄN</t>
        </is>
      </c>
      <c r="E454" t="inlineStr">
        <is>
          <t>SALA</t>
        </is>
      </c>
      <c r="F454" t="inlineStr">
        <is>
          <t>Kommuner</t>
        </is>
      </c>
      <c r="G454" t="n">
        <v>3</v>
      </c>
      <c r="H454" t="n">
        <v>0</v>
      </c>
      <c r="I454" t="n">
        <v>0</v>
      </c>
      <c r="J454" t="n">
        <v>0</v>
      </c>
      <c r="K454" t="n">
        <v>0</v>
      </c>
      <c r="L454" t="n">
        <v>0</v>
      </c>
      <c r="M454" t="n">
        <v>0</v>
      </c>
      <c r="N454" t="n">
        <v>0</v>
      </c>
      <c r="O454" t="n">
        <v>0</v>
      </c>
      <c r="P454" t="n">
        <v>0</v>
      </c>
      <c r="Q454" t="n">
        <v>0</v>
      </c>
      <c r="R454" s="2" t="inlineStr"/>
    </row>
    <row r="455" ht="15" customHeight="1">
      <c r="A455" t="inlineStr">
        <is>
          <t>A 32902-2025</t>
        </is>
      </c>
      <c r="B455" s="1" t="n">
        <v>45839</v>
      </c>
      <c r="C455" s="1" t="n">
        <v>46092</v>
      </c>
      <c r="D455" t="inlineStr">
        <is>
          <t>VÄSTMANLANDS LÄN</t>
        </is>
      </c>
      <c r="E455" t="inlineStr">
        <is>
          <t>SALA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51803-2025</t>
        </is>
      </c>
      <c r="B456" s="1" t="n">
        <v>45951.76818287037</v>
      </c>
      <c r="C456" s="1" t="n">
        <v>46092</v>
      </c>
      <c r="D456" t="inlineStr">
        <is>
          <t>VÄSTMANLANDS LÄN</t>
        </is>
      </c>
      <c r="E456" t="inlineStr">
        <is>
          <t>SALA</t>
        </is>
      </c>
      <c r="F456" t="inlineStr">
        <is>
          <t>Kommuner</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51805-2025</t>
        </is>
      </c>
      <c r="B457" s="1" t="n">
        <v>45951.78359953704</v>
      </c>
      <c r="C457" s="1" t="n">
        <v>46092</v>
      </c>
      <c r="D457" t="inlineStr">
        <is>
          <t>VÄSTMANLANDS LÄN</t>
        </is>
      </c>
      <c r="E457" t="inlineStr">
        <is>
          <t>SALA</t>
        </is>
      </c>
      <c r="F457" t="inlineStr">
        <is>
          <t>Kommuner</t>
        </is>
      </c>
      <c r="G457" t="n">
        <v>1.3</v>
      </c>
      <c r="H457" t="n">
        <v>0</v>
      </c>
      <c r="I457" t="n">
        <v>0</v>
      </c>
      <c r="J457" t="n">
        <v>0</v>
      </c>
      <c r="K457" t="n">
        <v>0</v>
      </c>
      <c r="L457" t="n">
        <v>0</v>
      </c>
      <c r="M457" t="n">
        <v>0</v>
      </c>
      <c r="N457" t="n">
        <v>0</v>
      </c>
      <c r="O457" t="n">
        <v>0</v>
      </c>
      <c r="P457" t="n">
        <v>0</v>
      </c>
      <c r="Q457" t="n">
        <v>0</v>
      </c>
      <c r="R457" s="2" t="inlineStr"/>
    </row>
    <row r="458" ht="15" customHeight="1">
      <c r="A458" t="inlineStr">
        <is>
          <t>A 51809-2025</t>
        </is>
      </c>
      <c r="B458" s="1" t="n">
        <v>45951.80116898148</v>
      </c>
      <c r="C458" s="1" t="n">
        <v>46092</v>
      </c>
      <c r="D458" t="inlineStr">
        <is>
          <t>VÄSTMANLANDS LÄN</t>
        </is>
      </c>
      <c r="E458" t="inlineStr">
        <is>
          <t>SALA</t>
        </is>
      </c>
      <c r="F458" t="inlineStr">
        <is>
          <t>Kommuner</t>
        </is>
      </c>
      <c r="G458" t="n">
        <v>3.5</v>
      </c>
      <c r="H458" t="n">
        <v>0</v>
      </c>
      <c r="I458" t="n">
        <v>0</v>
      </c>
      <c r="J458" t="n">
        <v>0</v>
      </c>
      <c r="K458" t="n">
        <v>0</v>
      </c>
      <c r="L458" t="n">
        <v>0</v>
      </c>
      <c r="M458" t="n">
        <v>0</v>
      </c>
      <c r="N458" t="n">
        <v>0</v>
      </c>
      <c r="O458" t="n">
        <v>0</v>
      </c>
      <c r="P458" t="n">
        <v>0</v>
      </c>
      <c r="Q458" t="n">
        <v>0</v>
      </c>
      <c r="R458" s="2" t="inlineStr"/>
    </row>
    <row r="459" ht="15" customHeight="1">
      <c r="A459" t="inlineStr">
        <is>
          <t>A 50241-2023</t>
        </is>
      </c>
      <c r="B459" s="1" t="n">
        <v>45216</v>
      </c>
      <c r="C459" s="1" t="n">
        <v>46092</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30971-2022</t>
        </is>
      </c>
      <c r="B460" s="1" t="n">
        <v>44768.46725694444</v>
      </c>
      <c r="C460" s="1" t="n">
        <v>46092</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35637-2022</t>
        </is>
      </c>
      <c r="B461" s="1" t="n">
        <v>44799.55194444444</v>
      </c>
      <c r="C461" s="1" t="n">
        <v>46092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19304-2025</t>
        </is>
      </c>
      <c r="B462" s="1" t="n">
        <v>45769</v>
      </c>
      <c r="C462" s="1" t="n">
        <v>46092</v>
      </c>
      <c r="D462" t="inlineStr">
        <is>
          <t>VÄSTMANLANDS LÄN</t>
        </is>
      </c>
      <c r="E462" t="inlineStr">
        <is>
          <t>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27038-2023</t>
        </is>
      </c>
      <c r="B463" s="1" t="n">
        <v>45095</v>
      </c>
      <c r="C463" s="1" t="n">
        <v>46092</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44719.79707175926</v>
      </c>
      <c r="C464" s="1" t="n">
        <v>46092</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31859-2023</t>
        </is>
      </c>
      <c r="B465" s="1" t="n">
        <v>45118</v>
      </c>
      <c r="C465" s="1" t="n">
        <v>46092</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c r="U465">
        <f>HYPERLINK("https://klasma.github.io/Logging_1981/knärot/A 31859-2023 karta knärot.png", "A 31859-2023")</f>
        <v/>
      </c>
      <c r="V465">
        <f>HYPERLINK("https://klasma.github.io/Logging_1981/klagomål/A 31859-2023 FSC-klagomål.docx", "A 31859-2023")</f>
        <v/>
      </c>
      <c r="W465">
        <f>HYPERLINK("https://klasma.github.io/Logging_1981/klagomålsmail/A 31859-2023 FSC-klagomål mail.docx", "A 31859-2023")</f>
        <v/>
      </c>
      <c r="X465">
        <f>HYPERLINK("https://klasma.github.io/Logging_1981/tillsyn/A 31859-2023 tillsynsbegäran.docx", "A 31859-2023")</f>
        <v/>
      </c>
      <c r="Y465">
        <f>HYPERLINK("https://klasma.github.io/Logging_1981/tillsynsmail/A 31859-2023 tillsynsbegäran mail.docx", "A 31859-2023")</f>
        <v/>
      </c>
    </row>
    <row r="466" ht="15" customHeight="1">
      <c r="A466" t="inlineStr">
        <is>
          <t>A 7469-2025</t>
        </is>
      </c>
      <c r="B466" s="1" t="n">
        <v>45705</v>
      </c>
      <c r="C466" s="1" t="n">
        <v>46092</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60034-2024</t>
        </is>
      </c>
      <c r="B467" s="1" t="n">
        <v>45642.46261574074</v>
      </c>
      <c r="C467" s="1" t="n">
        <v>46092</v>
      </c>
      <c r="D467" t="inlineStr">
        <is>
          <t>VÄSTMANLANDS LÄN</t>
        </is>
      </c>
      <c r="E467" t="inlineStr">
        <is>
          <t>SALA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11799-2026</t>
        </is>
      </c>
      <c r="B468" s="1" t="n">
        <v>46085.34180555555</v>
      </c>
      <c r="C468" s="1" t="n">
        <v>46092</v>
      </c>
      <c r="D468" t="inlineStr">
        <is>
          <t>VÄSTMANLANDS LÄN</t>
        </is>
      </c>
      <c r="E468" t="inlineStr">
        <is>
          <t>SALA</t>
        </is>
      </c>
      <c r="G468" t="n">
        <v>3.6</v>
      </c>
      <c r="H468" t="n">
        <v>0</v>
      </c>
      <c r="I468" t="n">
        <v>0</v>
      </c>
      <c r="J468" t="n">
        <v>0</v>
      </c>
      <c r="K468" t="n">
        <v>0</v>
      </c>
      <c r="L468" t="n">
        <v>0</v>
      </c>
      <c r="M468" t="n">
        <v>0</v>
      </c>
      <c r="N468" t="n">
        <v>0</v>
      </c>
      <c r="O468" t="n">
        <v>0</v>
      </c>
      <c r="P468" t="n">
        <v>0</v>
      </c>
      <c r="Q468" t="n">
        <v>0</v>
      </c>
      <c r="R468" s="2" t="inlineStr"/>
    </row>
    <row r="469" ht="15" customHeight="1">
      <c r="A469" t="inlineStr">
        <is>
          <t>A 53725-2025</t>
        </is>
      </c>
      <c r="B469" s="1" t="n">
        <v>45960.63394675926</v>
      </c>
      <c r="C469" s="1" t="n">
        <v>46092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34867-2023</t>
        </is>
      </c>
      <c r="B470" s="1" t="n">
        <v>45142.33481481481</v>
      </c>
      <c r="C470" s="1" t="n">
        <v>46092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38636-2024</t>
        </is>
      </c>
      <c r="B471" s="1" t="n">
        <v>45546</v>
      </c>
      <c r="C471" s="1" t="n">
        <v>46092</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11631-2023</t>
        </is>
      </c>
      <c r="B472" s="1" t="n">
        <v>44994.44001157407</v>
      </c>
      <c r="C472" s="1" t="n">
        <v>46092</v>
      </c>
      <c r="D472" t="inlineStr">
        <is>
          <t>VÄSTMANLANDS LÄN</t>
        </is>
      </c>
      <c r="E472" t="inlineStr">
        <is>
          <t>SALA</t>
        </is>
      </c>
      <c r="F472" t="inlineStr">
        <is>
          <t>Kommuner</t>
        </is>
      </c>
      <c r="G472" t="n">
        <v>1.9</v>
      </c>
      <c r="H472" t="n">
        <v>0</v>
      </c>
      <c r="I472" t="n">
        <v>0</v>
      </c>
      <c r="J472" t="n">
        <v>0</v>
      </c>
      <c r="K472" t="n">
        <v>0</v>
      </c>
      <c r="L472" t="n">
        <v>0</v>
      </c>
      <c r="M472" t="n">
        <v>0</v>
      </c>
      <c r="N472" t="n">
        <v>0</v>
      </c>
      <c r="O472" t="n">
        <v>0</v>
      </c>
      <c r="P472" t="n">
        <v>0</v>
      </c>
      <c r="Q472" t="n">
        <v>0</v>
      </c>
      <c r="R472" s="2" t="inlineStr"/>
    </row>
    <row r="473" ht="15" customHeight="1">
      <c r="A473" t="inlineStr">
        <is>
          <t>A 34069-2025</t>
        </is>
      </c>
      <c r="B473" s="1" t="n">
        <v>45845.43560185185</v>
      </c>
      <c r="C473" s="1" t="n">
        <v>46092</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c r="U473">
        <f>HYPERLINK("https://klasma.github.io/Logging_1981/knärot/A 34069-2025 karta knärot.png", "A 34069-2025")</f>
        <v/>
      </c>
      <c r="V473">
        <f>HYPERLINK("https://klasma.github.io/Logging_1981/klagomål/A 34069-2025 FSC-klagomål.docx", "A 34069-2025")</f>
        <v/>
      </c>
      <c r="W473">
        <f>HYPERLINK("https://klasma.github.io/Logging_1981/klagomålsmail/A 34069-2025 FSC-klagomål mail.docx", "A 34069-2025")</f>
        <v/>
      </c>
      <c r="X473">
        <f>HYPERLINK("https://klasma.github.io/Logging_1981/tillsyn/A 34069-2025 tillsynsbegäran.docx", "A 34069-2025")</f>
        <v/>
      </c>
      <c r="Y473">
        <f>HYPERLINK("https://klasma.github.io/Logging_1981/tillsynsmail/A 34069-2025 tillsynsbegäran mail.docx", "A 34069-2025")</f>
        <v/>
      </c>
    </row>
    <row r="474" ht="15" customHeight="1">
      <c r="A474" t="inlineStr">
        <is>
          <t>A 53744-2025</t>
        </is>
      </c>
      <c r="B474" s="1" t="n">
        <v>45960.64863425926</v>
      </c>
      <c r="C474" s="1" t="n">
        <v>46092</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12144-2026</t>
        </is>
      </c>
      <c r="B475" s="1" t="n">
        <v>46086.58008101852</v>
      </c>
      <c r="C475" s="1" t="n">
        <v>46092</v>
      </c>
      <c r="D475" t="inlineStr">
        <is>
          <t>VÄSTMANLANDS LÄN</t>
        </is>
      </c>
      <c r="E475" t="inlineStr">
        <is>
          <t>SALA</t>
        </is>
      </c>
      <c r="G475" t="n">
        <v>1</v>
      </c>
      <c r="H475" t="n">
        <v>0</v>
      </c>
      <c r="I475" t="n">
        <v>0</v>
      </c>
      <c r="J475" t="n">
        <v>0</v>
      </c>
      <c r="K475" t="n">
        <v>0</v>
      </c>
      <c r="L475" t="n">
        <v>0</v>
      </c>
      <c r="M475" t="n">
        <v>0</v>
      </c>
      <c r="N475" t="n">
        <v>0</v>
      </c>
      <c r="O475" t="n">
        <v>0</v>
      </c>
      <c r="P475" t="n">
        <v>0</v>
      </c>
      <c r="Q475" t="n">
        <v>0</v>
      </c>
      <c r="R475" s="2" t="inlineStr"/>
    </row>
    <row r="476" ht="15" customHeight="1">
      <c r="A476" t="inlineStr">
        <is>
          <t>A 53724-2025</t>
        </is>
      </c>
      <c r="B476" s="1" t="n">
        <v>45960.63174768518</v>
      </c>
      <c r="C476" s="1" t="n">
        <v>46092</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15744-2025</t>
        </is>
      </c>
      <c r="B477" s="1" t="n">
        <v>45748</v>
      </c>
      <c r="C477" s="1" t="n">
        <v>46092</v>
      </c>
      <c r="D477" t="inlineStr">
        <is>
          <t>VÄSTMANLANDS LÄN</t>
        </is>
      </c>
      <c r="E477" t="inlineStr">
        <is>
          <t>SALA</t>
        </is>
      </c>
      <c r="G477" t="n">
        <v>1.6</v>
      </c>
      <c r="H477" t="n">
        <v>0</v>
      </c>
      <c r="I477" t="n">
        <v>0</v>
      </c>
      <c r="J477" t="n">
        <v>0</v>
      </c>
      <c r="K477" t="n">
        <v>0</v>
      </c>
      <c r="L477" t="n">
        <v>0</v>
      </c>
      <c r="M477" t="n">
        <v>0</v>
      </c>
      <c r="N477" t="n">
        <v>0</v>
      </c>
      <c r="O477" t="n">
        <v>0</v>
      </c>
      <c r="P477" t="n">
        <v>0</v>
      </c>
      <c r="Q477" t="n">
        <v>0</v>
      </c>
      <c r="R477" s="2" t="inlineStr"/>
    </row>
    <row r="478" ht="15" customHeight="1">
      <c r="A478" t="inlineStr">
        <is>
          <t>A 8775-2024</t>
        </is>
      </c>
      <c r="B478" s="1" t="n">
        <v>45356</v>
      </c>
      <c r="C478" s="1" t="n">
        <v>46092</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48710-2024</t>
        </is>
      </c>
      <c r="B479" s="1" t="n">
        <v>45593.53636574074</v>
      </c>
      <c r="C479" s="1" t="n">
        <v>46092</v>
      </c>
      <c r="D479" t="inlineStr">
        <is>
          <t>VÄSTMANLANDS LÄN</t>
        </is>
      </c>
      <c r="E479" t="inlineStr">
        <is>
          <t>SALA</t>
        </is>
      </c>
      <c r="G479" t="n">
        <v>6.5</v>
      </c>
      <c r="H479" t="n">
        <v>0</v>
      </c>
      <c r="I479" t="n">
        <v>0</v>
      </c>
      <c r="J479" t="n">
        <v>0</v>
      </c>
      <c r="K479" t="n">
        <v>0</v>
      </c>
      <c r="L479" t="n">
        <v>0</v>
      </c>
      <c r="M479" t="n">
        <v>0</v>
      </c>
      <c r="N479" t="n">
        <v>0</v>
      </c>
      <c r="O479" t="n">
        <v>0</v>
      </c>
      <c r="P479" t="n">
        <v>0</v>
      </c>
      <c r="Q479" t="n">
        <v>0</v>
      </c>
      <c r="R479" s="2" t="inlineStr"/>
    </row>
    <row r="480" ht="15" customHeight="1">
      <c r="A480" t="inlineStr">
        <is>
          <t>A 54344-2025</t>
        </is>
      </c>
      <c r="B480" s="1" t="n">
        <v>45965.36462962963</v>
      </c>
      <c r="C480" s="1" t="n">
        <v>46092</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16404-2022</t>
        </is>
      </c>
      <c r="B481" s="1" t="n">
        <v>44671</v>
      </c>
      <c r="C481" s="1" t="n">
        <v>46092</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54590-2025</t>
        </is>
      </c>
      <c r="B482" s="1" t="n">
        <v>45965.74199074074</v>
      </c>
      <c r="C482" s="1" t="n">
        <v>46092</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54201-2025</t>
        </is>
      </c>
      <c r="B483" s="1" t="n">
        <v>45964.58055555556</v>
      </c>
      <c r="C483" s="1" t="n">
        <v>46092</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24248-2023</t>
        </is>
      </c>
      <c r="B484" s="1" t="n">
        <v>45079</v>
      </c>
      <c r="C484" s="1" t="n">
        <v>46092</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4214-2026</t>
        </is>
      </c>
      <c r="B485" s="1" t="n">
        <v>46044.76459490741</v>
      </c>
      <c r="C485" s="1" t="n">
        <v>46092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54893-2025</t>
        </is>
      </c>
      <c r="B486" s="1" t="n">
        <v>45967.36383101852</v>
      </c>
      <c r="C486" s="1" t="n">
        <v>46092</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4712-2026</t>
        </is>
      </c>
      <c r="B487" s="1" t="n">
        <v>46048.46082175926</v>
      </c>
      <c r="C487" s="1" t="n">
        <v>46092</v>
      </c>
      <c r="D487" t="inlineStr">
        <is>
          <t>VÄSTMANLANDS LÄN</t>
        </is>
      </c>
      <c r="E487" t="inlineStr">
        <is>
          <t>SALA</t>
        </is>
      </c>
      <c r="G487" t="n">
        <v>4.1</v>
      </c>
      <c r="H487" t="n">
        <v>0</v>
      </c>
      <c r="I487" t="n">
        <v>0</v>
      </c>
      <c r="J487" t="n">
        <v>0</v>
      </c>
      <c r="K487" t="n">
        <v>0</v>
      </c>
      <c r="L487" t="n">
        <v>0</v>
      </c>
      <c r="M487" t="n">
        <v>0</v>
      </c>
      <c r="N487" t="n">
        <v>0</v>
      </c>
      <c r="O487" t="n">
        <v>0</v>
      </c>
      <c r="P487" t="n">
        <v>0</v>
      </c>
      <c r="Q487" t="n">
        <v>0</v>
      </c>
      <c r="R487" s="2" t="inlineStr"/>
    </row>
    <row r="488" ht="15" customHeight="1">
      <c r="A488" t="inlineStr">
        <is>
          <t>A 10559-2024</t>
        </is>
      </c>
      <c r="B488" s="1" t="n">
        <v>45366</v>
      </c>
      <c r="C488" s="1" t="n">
        <v>46092</v>
      </c>
      <c r="D488" t="inlineStr">
        <is>
          <t>VÄSTMANLANDS LÄN</t>
        </is>
      </c>
      <c r="E488" t="inlineStr">
        <is>
          <t>SALA</t>
        </is>
      </c>
      <c r="G488" t="n">
        <v>0.3</v>
      </c>
      <c r="H488" t="n">
        <v>0</v>
      </c>
      <c r="I488" t="n">
        <v>0</v>
      </c>
      <c r="J488" t="n">
        <v>0</v>
      </c>
      <c r="K488" t="n">
        <v>0</v>
      </c>
      <c r="L488" t="n">
        <v>0</v>
      </c>
      <c r="M488" t="n">
        <v>0</v>
      </c>
      <c r="N488" t="n">
        <v>0</v>
      </c>
      <c r="O488" t="n">
        <v>0</v>
      </c>
      <c r="P488" t="n">
        <v>0</v>
      </c>
      <c r="Q488" t="n">
        <v>0</v>
      </c>
      <c r="R488" s="2" t="inlineStr"/>
    </row>
    <row r="489" ht="15" customHeight="1">
      <c r="A489" t="inlineStr">
        <is>
          <t>A 40214-2023</t>
        </is>
      </c>
      <c r="B489" s="1" t="n">
        <v>45169.45173611111</v>
      </c>
      <c r="C489" s="1" t="n">
        <v>46092</v>
      </c>
      <c r="D489" t="inlineStr">
        <is>
          <t>VÄSTMANLANDS LÄN</t>
        </is>
      </c>
      <c r="E489" t="inlineStr">
        <is>
          <t>SALA</t>
        </is>
      </c>
      <c r="G489" t="n">
        <v>5.5</v>
      </c>
      <c r="H489" t="n">
        <v>0</v>
      </c>
      <c r="I489" t="n">
        <v>0</v>
      </c>
      <c r="J489" t="n">
        <v>0</v>
      </c>
      <c r="K489" t="n">
        <v>0</v>
      </c>
      <c r="L489" t="n">
        <v>0</v>
      </c>
      <c r="M489" t="n">
        <v>0</v>
      </c>
      <c r="N489" t="n">
        <v>0</v>
      </c>
      <c r="O489" t="n">
        <v>0</v>
      </c>
      <c r="P489" t="n">
        <v>0</v>
      </c>
      <c r="Q489" t="n">
        <v>0</v>
      </c>
      <c r="R489" s="2" t="inlineStr"/>
    </row>
    <row r="490" ht="15" customHeight="1">
      <c r="A490" t="inlineStr">
        <is>
          <t>A 9856-2022</t>
        </is>
      </c>
      <c r="B490" s="1" t="n">
        <v>44620</v>
      </c>
      <c r="C490" s="1" t="n">
        <v>46092</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4664-2026</t>
        </is>
      </c>
      <c r="B491" s="1" t="n">
        <v>46048.41061342593</v>
      </c>
      <c r="C491" s="1" t="n">
        <v>46092</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12497-2026</t>
        </is>
      </c>
      <c r="B492" s="1" t="n">
        <v>46090.57240740741</v>
      </c>
      <c r="C492" s="1" t="n">
        <v>46092</v>
      </c>
      <c r="D492" t="inlineStr">
        <is>
          <t>VÄSTMANLANDS LÄN</t>
        </is>
      </c>
      <c r="E492" t="inlineStr">
        <is>
          <t>SALA</t>
        </is>
      </c>
      <c r="G492" t="n">
        <v>1.3</v>
      </c>
      <c r="H492" t="n">
        <v>0</v>
      </c>
      <c r="I492" t="n">
        <v>0</v>
      </c>
      <c r="J492" t="n">
        <v>0</v>
      </c>
      <c r="K492" t="n">
        <v>0</v>
      </c>
      <c r="L492" t="n">
        <v>0</v>
      </c>
      <c r="M492" t="n">
        <v>0</v>
      </c>
      <c r="N492" t="n">
        <v>0</v>
      </c>
      <c r="O492" t="n">
        <v>0</v>
      </c>
      <c r="P492" t="n">
        <v>0</v>
      </c>
      <c r="Q492" t="n">
        <v>0</v>
      </c>
      <c r="R492" s="2" t="inlineStr"/>
    </row>
    <row r="493" ht="15" customHeight="1">
      <c r="A493" t="inlineStr">
        <is>
          <t>A 19033-2025</t>
        </is>
      </c>
      <c r="B493" s="1" t="n">
        <v>45764.65796296296</v>
      </c>
      <c r="C493" s="1" t="n">
        <v>46092</v>
      </c>
      <c r="D493" t="inlineStr">
        <is>
          <t>VÄSTMANLANDS LÄN</t>
        </is>
      </c>
      <c r="E493" t="inlineStr">
        <is>
          <t>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18100-2023</t>
        </is>
      </c>
      <c r="B494" s="1" t="n">
        <v>45040</v>
      </c>
      <c r="C494" s="1" t="n">
        <v>46092</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35775-2025</t>
        </is>
      </c>
      <c r="B495" s="1" t="n">
        <v>45860</v>
      </c>
      <c r="C495" s="1" t="n">
        <v>46092</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35779-2025</t>
        </is>
      </c>
      <c r="B496" s="1" t="n">
        <v>45860.69495370371</v>
      </c>
      <c r="C496" s="1" t="n">
        <v>46092</v>
      </c>
      <c r="D496" t="inlineStr">
        <is>
          <t>VÄSTMANLANDS LÄN</t>
        </is>
      </c>
      <c r="E496" t="inlineStr">
        <is>
          <t>SALA</t>
        </is>
      </c>
      <c r="G496" t="n">
        <v>2.4</v>
      </c>
      <c r="H496" t="n">
        <v>0</v>
      </c>
      <c r="I496" t="n">
        <v>0</v>
      </c>
      <c r="J496" t="n">
        <v>0</v>
      </c>
      <c r="K496" t="n">
        <v>0</v>
      </c>
      <c r="L496" t="n">
        <v>0</v>
      </c>
      <c r="M496" t="n">
        <v>0</v>
      </c>
      <c r="N496" t="n">
        <v>0</v>
      </c>
      <c r="O496" t="n">
        <v>0</v>
      </c>
      <c r="P496" t="n">
        <v>0</v>
      </c>
      <c r="Q496" t="n">
        <v>0</v>
      </c>
      <c r="R496" s="2" t="inlineStr"/>
    </row>
    <row r="497" ht="15" customHeight="1">
      <c r="A497" t="inlineStr">
        <is>
          <t>A 35776-2025</t>
        </is>
      </c>
      <c r="B497" s="1" t="n">
        <v>45860.69211805556</v>
      </c>
      <c r="C497" s="1" t="n">
        <v>46092</v>
      </c>
      <c r="D497" t="inlineStr">
        <is>
          <t>VÄSTMANLANDS LÄN</t>
        </is>
      </c>
      <c r="E497" t="inlineStr">
        <is>
          <t>SALA</t>
        </is>
      </c>
      <c r="G497" t="n">
        <v>14.2</v>
      </c>
      <c r="H497" t="n">
        <v>0</v>
      </c>
      <c r="I497" t="n">
        <v>0</v>
      </c>
      <c r="J497" t="n">
        <v>0</v>
      </c>
      <c r="K497" t="n">
        <v>0</v>
      </c>
      <c r="L497" t="n">
        <v>0</v>
      </c>
      <c r="M497" t="n">
        <v>0</v>
      </c>
      <c r="N497" t="n">
        <v>0</v>
      </c>
      <c r="O497" t="n">
        <v>0</v>
      </c>
      <c r="P497" t="n">
        <v>0</v>
      </c>
      <c r="Q497" t="n">
        <v>0</v>
      </c>
      <c r="R497" s="2" t="inlineStr"/>
    </row>
    <row r="498" ht="15" customHeight="1">
      <c r="A498" t="inlineStr">
        <is>
          <t>A 35715-2025</t>
        </is>
      </c>
      <c r="B498" s="1" t="n">
        <v>45860.42148148148</v>
      </c>
      <c r="C498" s="1" t="n">
        <v>46092</v>
      </c>
      <c r="D498" t="inlineStr">
        <is>
          <t>VÄSTMANLANDS LÄN</t>
        </is>
      </c>
      <c r="E498" t="inlineStr">
        <is>
          <t>SALA</t>
        </is>
      </c>
      <c r="G498" t="n">
        <v>3.8</v>
      </c>
      <c r="H498" t="n">
        <v>0</v>
      </c>
      <c r="I498" t="n">
        <v>0</v>
      </c>
      <c r="J498" t="n">
        <v>0</v>
      </c>
      <c r="K498" t="n">
        <v>0</v>
      </c>
      <c r="L498" t="n">
        <v>0</v>
      </c>
      <c r="M498" t="n">
        <v>0</v>
      </c>
      <c r="N498" t="n">
        <v>0</v>
      </c>
      <c r="O498" t="n">
        <v>0</v>
      </c>
      <c r="P498" t="n">
        <v>0</v>
      </c>
      <c r="Q498" t="n">
        <v>0</v>
      </c>
      <c r="R498" s="2" t="inlineStr"/>
    </row>
    <row r="499" ht="15" customHeight="1">
      <c r="A499" t="inlineStr">
        <is>
          <t>A 35651-2025</t>
        </is>
      </c>
      <c r="B499" s="1" t="n">
        <v>45859.52435185185</v>
      </c>
      <c r="C499" s="1" t="n">
        <v>46092</v>
      </c>
      <c r="D499" t="inlineStr">
        <is>
          <t>VÄSTMANLANDS LÄN</t>
        </is>
      </c>
      <c r="E499" t="inlineStr">
        <is>
          <t>SALA</t>
        </is>
      </c>
      <c r="G499" t="n">
        <v>6.3</v>
      </c>
      <c r="H499" t="n">
        <v>0</v>
      </c>
      <c r="I499" t="n">
        <v>0</v>
      </c>
      <c r="J499" t="n">
        <v>0</v>
      </c>
      <c r="K499" t="n">
        <v>0</v>
      </c>
      <c r="L499" t="n">
        <v>0</v>
      </c>
      <c r="M499" t="n">
        <v>0</v>
      </c>
      <c r="N499" t="n">
        <v>0</v>
      </c>
      <c r="O499" t="n">
        <v>0</v>
      </c>
      <c r="P499" t="n">
        <v>0</v>
      </c>
      <c r="Q499" t="n">
        <v>0</v>
      </c>
      <c r="R499" s="2" t="inlineStr"/>
    </row>
    <row r="500" ht="15" customHeight="1">
      <c r="A500" t="inlineStr">
        <is>
          <t>A 35774-2025</t>
        </is>
      </c>
      <c r="B500" s="1" t="n">
        <v>45860.68780092592</v>
      </c>
      <c r="C500" s="1" t="n">
        <v>46092</v>
      </c>
      <c r="D500" t="inlineStr">
        <is>
          <t>VÄSTMANLANDS LÄN</t>
        </is>
      </c>
      <c r="E500" t="inlineStr">
        <is>
          <t>SALA</t>
        </is>
      </c>
      <c r="G500" t="n">
        <v>6.5</v>
      </c>
      <c r="H500" t="n">
        <v>0</v>
      </c>
      <c r="I500" t="n">
        <v>0</v>
      </c>
      <c r="J500" t="n">
        <v>0</v>
      </c>
      <c r="K500" t="n">
        <v>0</v>
      </c>
      <c r="L500" t="n">
        <v>0</v>
      </c>
      <c r="M500" t="n">
        <v>0</v>
      </c>
      <c r="N500" t="n">
        <v>0</v>
      </c>
      <c r="O500" t="n">
        <v>0</v>
      </c>
      <c r="P500" t="n">
        <v>0</v>
      </c>
      <c r="Q500" t="n">
        <v>0</v>
      </c>
      <c r="R500" s="2" t="inlineStr"/>
    </row>
    <row r="501" ht="15" customHeight="1">
      <c r="A501" t="inlineStr">
        <is>
          <t>A 4683-2026</t>
        </is>
      </c>
      <c r="B501" s="1" t="n">
        <v>46048.43489583334</v>
      </c>
      <c r="C501" s="1" t="n">
        <v>46092</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4681-2026</t>
        </is>
      </c>
      <c r="B502" s="1" t="n">
        <v>46048.43016203704</v>
      </c>
      <c r="C502" s="1" t="n">
        <v>46092</v>
      </c>
      <c r="D502" t="inlineStr">
        <is>
          <t>VÄSTMANLANDS LÄN</t>
        </is>
      </c>
      <c r="E502" t="inlineStr">
        <is>
          <t>SALA</t>
        </is>
      </c>
      <c r="G502" t="n">
        <v>2.5</v>
      </c>
      <c r="H502" t="n">
        <v>0</v>
      </c>
      <c r="I502" t="n">
        <v>0</v>
      </c>
      <c r="J502" t="n">
        <v>0</v>
      </c>
      <c r="K502" t="n">
        <v>0</v>
      </c>
      <c r="L502" t="n">
        <v>0</v>
      </c>
      <c r="M502" t="n">
        <v>0</v>
      </c>
      <c r="N502" t="n">
        <v>0</v>
      </c>
      <c r="O502" t="n">
        <v>0</v>
      </c>
      <c r="P502" t="n">
        <v>0</v>
      </c>
      <c r="Q502" t="n">
        <v>0</v>
      </c>
      <c r="R502" s="2" t="inlineStr"/>
    </row>
    <row r="503" ht="15" customHeight="1">
      <c r="A503" t="inlineStr">
        <is>
          <t>A 36060-2025</t>
        </is>
      </c>
      <c r="B503" s="1" t="n">
        <v>45866.39469907407</v>
      </c>
      <c r="C503" s="1" t="n">
        <v>46092</v>
      </c>
      <c r="D503" t="inlineStr">
        <is>
          <t>VÄSTMANLANDS LÄN</t>
        </is>
      </c>
      <c r="E503" t="inlineStr">
        <is>
          <t>SALA</t>
        </is>
      </c>
      <c r="F503" t="inlineStr">
        <is>
          <t>Kommuner</t>
        </is>
      </c>
      <c r="G503" t="n">
        <v>4.3</v>
      </c>
      <c r="H503" t="n">
        <v>0</v>
      </c>
      <c r="I503" t="n">
        <v>0</v>
      </c>
      <c r="J503" t="n">
        <v>0</v>
      </c>
      <c r="K503" t="n">
        <v>0</v>
      </c>
      <c r="L503" t="n">
        <v>0</v>
      </c>
      <c r="M503" t="n">
        <v>0</v>
      </c>
      <c r="N503" t="n">
        <v>0</v>
      </c>
      <c r="O503" t="n">
        <v>0</v>
      </c>
      <c r="P503" t="n">
        <v>0</v>
      </c>
      <c r="Q503" t="n">
        <v>0</v>
      </c>
      <c r="R503" s="2" t="inlineStr"/>
    </row>
    <row r="504" ht="15" customHeight="1">
      <c r="A504" t="inlineStr">
        <is>
          <t>A 23374-2023</t>
        </is>
      </c>
      <c r="B504" s="1" t="n">
        <v>45076.4399537037</v>
      </c>
      <c r="C504" s="1" t="n">
        <v>46092</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36031-2025</t>
        </is>
      </c>
      <c r="B505" s="1" t="n">
        <v>45865.46111111111</v>
      </c>
      <c r="C505" s="1" t="n">
        <v>46092</v>
      </c>
      <c r="D505" t="inlineStr">
        <is>
          <t>VÄSTMANLANDS LÄN</t>
        </is>
      </c>
      <c r="E505" t="inlineStr">
        <is>
          <t>SALA</t>
        </is>
      </c>
      <c r="G505" t="n">
        <v>7.2</v>
      </c>
      <c r="H505" t="n">
        <v>0</v>
      </c>
      <c r="I505" t="n">
        <v>0</v>
      </c>
      <c r="J505" t="n">
        <v>0</v>
      </c>
      <c r="K505" t="n">
        <v>0</v>
      </c>
      <c r="L505" t="n">
        <v>0</v>
      </c>
      <c r="M505" t="n">
        <v>0</v>
      </c>
      <c r="N505" t="n">
        <v>0</v>
      </c>
      <c r="O505" t="n">
        <v>0</v>
      </c>
      <c r="P505" t="n">
        <v>0</v>
      </c>
      <c r="Q505" t="n">
        <v>0</v>
      </c>
      <c r="R505" s="2" t="inlineStr"/>
    </row>
    <row r="506" ht="15" customHeight="1">
      <c r="A506" t="inlineStr">
        <is>
          <t>A 36043-2025</t>
        </is>
      </c>
      <c r="B506" s="1" t="n">
        <v>45866.35333333333</v>
      </c>
      <c r="C506" s="1" t="n">
        <v>46092</v>
      </c>
      <c r="D506" t="inlineStr">
        <is>
          <t>VÄSTMANLANDS LÄN</t>
        </is>
      </c>
      <c r="E506" t="inlineStr">
        <is>
          <t>SALA</t>
        </is>
      </c>
      <c r="F506" t="inlineStr">
        <is>
          <t>Kommuner</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36032-2025</t>
        </is>
      </c>
      <c r="B507" s="1" t="n">
        <v>45865.48740740741</v>
      </c>
      <c r="C507" s="1" t="n">
        <v>46092</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6134-2024</t>
        </is>
      </c>
      <c r="B508" s="1" t="n">
        <v>45337</v>
      </c>
      <c r="C508" s="1" t="n">
        <v>46092</v>
      </c>
      <c r="D508" t="inlineStr">
        <is>
          <t>VÄSTMANLANDS LÄN</t>
        </is>
      </c>
      <c r="E508" t="inlineStr">
        <is>
          <t>SALA</t>
        </is>
      </c>
      <c r="G508" t="n">
        <v>1.8</v>
      </c>
      <c r="H508" t="n">
        <v>0</v>
      </c>
      <c r="I508" t="n">
        <v>0</v>
      </c>
      <c r="J508" t="n">
        <v>0</v>
      </c>
      <c r="K508" t="n">
        <v>0</v>
      </c>
      <c r="L508" t="n">
        <v>0</v>
      </c>
      <c r="M508" t="n">
        <v>0</v>
      </c>
      <c r="N508" t="n">
        <v>0</v>
      </c>
      <c r="O508" t="n">
        <v>0</v>
      </c>
      <c r="P508" t="n">
        <v>0</v>
      </c>
      <c r="Q508" t="n">
        <v>0</v>
      </c>
      <c r="R508" s="2" t="inlineStr"/>
    </row>
    <row r="509" ht="15" customHeight="1">
      <c r="A509" t="inlineStr">
        <is>
          <t>A 36049-2025</t>
        </is>
      </c>
      <c r="B509" s="1" t="n">
        <v>45866.37065972222</v>
      </c>
      <c r="C509" s="1" t="n">
        <v>46092</v>
      </c>
      <c r="D509" t="inlineStr">
        <is>
          <t>VÄSTMANLANDS LÄN</t>
        </is>
      </c>
      <c r="E509" t="inlineStr">
        <is>
          <t>SALA</t>
        </is>
      </c>
      <c r="F509" t="inlineStr">
        <is>
          <t>Kommuner</t>
        </is>
      </c>
      <c r="G509" t="n">
        <v>1.9</v>
      </c>
      <c r="H509" t="n">
        <v>0</v>
      </c>
      <c r="I509" t="n">
        <v>0</v>
      </c>
      <c r="J509" t="n">
        <v>0</v>
      </c>
      <c r="K509" t="n">
        <v>0</v>
      </c>
      <c r="L509" t="n">
        <v>0</v>
      </c>
      <c r="M509" t="n">
        <v>0</v>
      </c>
      <c r="N509" t="n">
        <v>0</v>
      </c>
      <c r="O509" t="n">
        <v>0</v>
      </c>
      <c r="P509" t="n">
        <v>0</v>
      </c>
      <c r="Q509" t="n">
        <v>0</v>
      </c>
      <c r="R509" s="2" t="inlineStr"/>
    </row>
    <row r="510" ht="15" customHeight="1">
      <c r="A510" t="inlineStr">
        <is>
          <t>A 48117-2024</t>
        </is>
      </c>
      <c r="B510" s="1" t="n">
        <v>45589</v>
      </c>
      <c r="C510" s="1" t="n">
        <v>46092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4624-2026</t>
        </is>
      </c>
      <c r="B511" s="1" t="n">
        <v>46048.38107638889</v>
      </c>
      <c r="C511" s="1" t="n">
        <v>46092</v>
      </c>
      <c r="D511" t="inlineStr">
        <is>
          <t>VÄSTMANLANDS LÄN</t>
        </is>
      </c>
      <c r="E511" t="inlineStr">
        <is>
          <t>SALA</t>
        </is>
      </c>
      <c r="G511" t="n">
        <v>12.3</v>
      </c>
      <c r="H511" t="n">
        <v>0</v>
      </c>
      <c r="I511" t="n">
        <v>0</v>
      </c>
      <c r="J511" t="n">
        <v>0</v>
      </c>
      <c r="K511" t="n">
        <v>0</v>
      </c>
      <c r="L511" t="n">
        <v>0</v>
      </c>
      <c r="M511" t="n">
        <v>0</v>
      </c>
      <c r="N511" t="n">
        <v>0</v>
      </c>
      <c r="O511" t="n">
        <v>0</v>
      </c>
      <c r="P511" t="n">
        <v>0</v>
      </c>
      <c r="Q511" t="n">
        <v>0</v>
      </c>
      <c r="R511" s="2" t="inlineStr"/>
    </row>
    <row r="512" ht="15" customHeight="1">
      <c r="A512" t="inlineStr">
        <is>
          <t>A 36045-2025</t>
        </is>
      </c>
      <c r="B512" s="1" t="n">
        <v>45866.36200231482</v>
      </c>
      <c r="C512" s="1" t="n">
        <v>46092</v>
      </c>
      <c r="D512" t="inlineStr">
        <is>
          <t>VÄSTMANLANDS LÄN</t>
        </is>
      </c>
      <c r="E512" t="inlineStr">
        <is>
          <t>SALA</t>
        </is>
      </c>
      <c r="F512" t="inlineStr">
        <is>
          <t>Kommuner</t>
        </is>
      </c>
      <c r="G512" t="n">
        <v>1.7</v>
      </c>
      <c r="H512" t="n">
        <v>0</v>
      </c>
      <c r="I512" t="n">
        <v>0</v>
      </c>
      <c r="J512" t="n">
        <v>0</v>
      </c>
      <c r="K512" t="n">
        <v>0</v>
      </c>
      <c r="L512" t="n">
        <v>0</v>
      </c>
      <c r="M512" t="n">
        <v>0</v>
      </c>
      <c r="N512" t="n">
        <v>0</v>
      </c>
      <c r="O512" t="n">
        <v>0</v>
      </c>
      <c r="P512" t="n">
        <v>0</v>
      </c>
      <c r="Q512" t="n">
        <v>0</v>
      </c>
      <c r="R512" s="2" t="inlineStr"/>
    </row>
    <row r="513" ht="15" customHeight="1">
      <c r="A513" t="inlineStr">
        <is>
          <t>A 31082-2021</t>
        </is>
      </c>
      <c r="B513" s="1" t="n">
        <v>44368</v>
      </c>
      <c r="C513" s="1" t="n">
        <v>46092</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31470-2021</t>
        </is>
      </c>
      <c r="B514" s="1" t="n">
        <v>44369</v>
      </c>
      <c r="C514" s="1" t="n">
        <v>46092</v>
      </c>
      <c r="D514" t="inlineStr">
        <is>
          <t>VÄSTMANLANDS LÄN</t>
        </is>
      </c>
      <c r="E514" t="inlineStr">
        <is>
          <t>SALA</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17766-2025</t>
        </is>
      </c>
      <c r="B515" s="1" t="n">
        <v>45758</v>
      </c>
      <c r="C515" s="1" t="n">
        <v>46092</v>
      </c>
      <c r="D515" t="inlineStr">
        <is>
          <t>VÄSTMANLANDS LÄN</t>
        </is>
      </c>
      <c r="E515" t="inlineStr">
        <is>
          <t>SALA</t>
        </is>
      </c>
      <c r="G515" t="n">
        <v>16.5</v>
      </c>
      <c r="H515" t="n">
        <v>0</v>
      </c>
      <c r="I515" t="n">
        <v>0</v>
      </c>
      <c r="J515" t="n">
        <v>0</v>
      </c>
      <c r="K515" t="n">
        <v>0</v>
      </c>
      <c r="L515" t="n">
        <v>0</v>
      </c>
      <c r="M515" t="n">
        <v>0</v>
      </c>
      <c r="N515" t="n">
        <v>0</v>
      </c>
      <c r="O515" t="n">
        <v>0</v>
      </c>
      <c r="P515" t="n">
        <v>0</v>
      </c>
      <c r="Q515" t="n">
        <v>0</v>
      </c>
      <c r="R515" s="2" t="inlineStr"/>
    </row>
    <row r="516" ht="15" customHeight="1">
      <c r="A516" t="inlineStr">
        <is>
          <t>A 31863-2025</t>
        </is>
      </c>
      <c r="B516" s="1" t="n">
        <v>45834.63303240741</v>
      </c>
      <c r="C516" s="1" t="n">
        <v>46092</v>
      </c>
      <c r="D516" t="inlineStr">
        <is>
          <t>VÄSTMANLANDS LÄN</t>
        </is>
      </c>
      <c r="E516" t="inlineStr">
        <is>
          <t>SALA</t>
        </is>
      </c>
      <c r="G516" t="n">
        <v>2.5</v>
      </c>
      <c r="H516" t="n">
        <v>0</v>
      </c>
      <c r="I516" t="n">
        <v>0</v>
      </c>
      <c r="J516" t="n">
        <v>0</v>
      </c>
      <c r="K516" t="n">
        <v>0</v>
      </c>
      <c r="L516" t="n">
        <v>0</v>
      </c>
      <c r="M516" t="n">
        <v>0</v>
      </c>
      <c r="N516" t="n">
        <v>0</v>
      </c>
      <c r="O516" t="n">
        <v>0</v>
      </c>
      <c r="P516" t="n">
        <v>0</v>
      </c>
      <c r="Q516" t="n">
        <v>0</v>
      </c>
      <c r="R516" s="2" t="inlineStr"/>
    </row>
    <row r="517" ht="15" customHeight="1">
      <c r="A517" t="inlineStr">
        <is>
          <t>A 24175-2024</t>
        </is>
      </c>
      <c r="B517" s="1" t="n">
        <v>45456</v>
      </c>
      <c r="C517" s="1" t="n">
        <v>46092</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28328-2023</t>
        </is>
      </c>
      <c r="B518" s="1" t="n">
        <v>45099.71063657408</v>
      </c>
      <c r="C518" s="1" t="n">
        <v>46092</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3546-2025</t>
        </is>
      </c>
      <c r="B519" s="1" t="n">
        <v>45680</v>
      </c>
      <c r="C519" s="1" t="n">
        <v>46092</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31869-2025</t>
        </is>
      </c>
      <c r="B520" s="1" t="n">
        <v>45834.64555555556</v>
      </c>
      <c r="C520" s="1" t="n">
        <v>46092</v>
      </c>
      <c r="D520" t="inlineStr">
        <is>
          <t>VÄSTMANLANDS LÄN</t>
        </is>
      </c>
      <c r="E520" t="inlineStr">
        <is>
          <t>SALA</t>
        </is>
      </c>
      <c r="G520" t="n">
        <v>17.5</v>
      </c>
      <c r="H520" t="n">
        <v>0</v>
      </c>
      <c r="I520" t="n">
        <v>0</v>
      </c>
      <c r="J520" t="n">
        <v>0</v>
      </c>
      <c r="K520" t="n">
        <v>0</v>
      </c>
      <c r="L520" t="n">
        <v>0</v>
      </c>
      <c r="M520" t="n">
        <v>0</v>
      </c>
      <c r="N520" t="n">
        <v>0</v>
      </c>
      <c r="O520" t="n">
        <v>0</v>
      </c>
      <c r="P520" t="n">
        <v>0</v>
      </c>
      <c r="Q520" t="n">
        <v>0</v>
      </c>
      <c r="R520" s="2" t="inlineStr"/>
    </row>
    <row r="521" ht="15" customHeight="1">
      <c r="A521" t="inlineStr">
        <is>
          <t>A 7664-2023</t>
        </is>
      </c>
      <c r="B521" s="1" t="n">
        <v>44972</v>
      </c>
      <c r="C521" s="1" t="n">
        <v>46092</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61715-2024</t>
        </is>
      </c>
      <c r="B522" s="1" t="n">
        <v>45648.89519675926</v>
      </c>
      <c r="C522" s="1" t="n">
        <v>46092</v>
      </c>
      <c r="D522" t="inlineStr">
        <is>
          <t>VÄSTMANLANDS LÄN</t>
        </is>
      </c>
      <c r="E522" t="inlineStr">
        <is>
          <t>SALA</t>
        </is>
      </c>
      <c r="G522" t="n">
        <v>2.5</v>
      </c>
      <c r="H522" t="n">
        <v>0</v>
      </c>
      <c r="I522" t="n">
        <v>0</v>
      </c>
      <c r="J522" t="n">
        <v>0</v>
      </c>
      <c r="K522" t="n">
        <v>0</v>
      </c>
      <c r="L522" t="n">
        <v>0</v>
      </c>
      <c r="M522" t="n">
        <v>0</v>
      </c>
      <c r="N522" t="n">
        <v>0</v>
      </c>
      <c r="O522" t="n">
        <v>0</v>
      </c>
      <c r="P522" t="n">
        <v>0</v>
      </c>
      <c r="Q522" t="n">
        <v>0</v>
      </c>
      <c r="R522" s="2" t="inlineStr"/>
    </row>
    <row r="523" ht="15" customHeight="1">
      <c r="A523" t="inlineStr">
        <is>
          <t>A 17985-2025</t>
        </is>
      </c>
      <c r="B523" s="1" t="n">
        <v>45761</v>
      </c>
      <c r="C523" s="1" t="n">
        <v>46092</v>
      </c>
      <c r="D523" t="inlineStr">
        <is>
          <t>VÄSTMANLANDS LÄN</t>
        </is>
      </c>
      <c r="E523" t="inlineStr">
        <is>
          <t>SALA</t>
        </is>
      </c>
      <c r="G523" t="n">
        <v>12.5</v>
      </c>
      <c r="H523" t="n">
        <v>0</v>
      </c>
      <c r="I523" t="n">
        <v>0</v>
      </c>
      <c r="J523" t="n">
        <v>0</v>
      </c>
      <c r="K523" t="n">
        <v>0</v>
      </c>
      <c r="L523" t="n">
        <v>0</v>
      </c>
      <c r="M523" t="n">
        <v>0</v>
      </c>
      <c r="N523" t="n">
        <v>0</v>
      </c>
      <c r="O523" t="n">
        <v>0</v>
      </c>
      <c r="P523" t="n">
        <v>0</v>
      </c>
      <c r="Q523" t="n">
        <v>0</v>
      </c>
      <c r="R523" s="2" t="inlineStr"/>
    </row>
    <row r="524" ht="15" customHeight="1">
      <c r="A524" t="inlineStr">
        <is>
          <t>A 38195-2021</t>
        </is>
      </c>
      <c r="B524" s="1" t="n">
        <v>44405</v>
      </c>
      <c r="C524" s="1" t="n">
        <v>46092</v>
      </c>
      <c r="D524" t="inlineStr">
        <is>
          <t>VÄSTMANLANDS LÄN</t>
        </is>
      </c>
      <c r="E524" t="inlineStr">
        <is>
          <t>SALA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37103-2025</t>
        </is>
      </c>
      <c r="B525" s="1" t="n">
        <v>45875.47743055555</v>
      </c>
      <c r="C525" s="1" t="n">
        <v>46092</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6132-2025</t>
        </is>
      </c>
      <c r="B526" s="1" t="n">
        <v>45698</v>
      </c>
      <c r="C526" s="1" t="n">
        <v>46092</v>
      </c>
      <c r="D526" t="inlineStr">
        <is>
          <t>VÄSTMANLANDS LÄN</t>
        </is>
      </c>
      <c r="E526" t="inlineStr">
        <is>
          <t>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21777-2022</t>
        </is>
      </c>
      <c r="B527" s="1" t="n">
        <v>44708.48194444444</v>
      </c>
      <c r="C527" s="1" t="n">
        <v>46092</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11389-2024</t>
        </is>
      </c>
      <c r="B528" s="1" t="n">
        <v>45372.45016203704</v>
      </c>
      <c r="C528" s="1" t="n">
        <v>46092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37017-2025</t>
        </is>
      </c>
      <c r="B529" s="1" t="n">
        <v>45874</v>
      </c>
      <c r="C529" s="1" t="n">
        <v>46092</v>
      </c>
      <c r="D529" t="inlineStr">
        <is>
          <t>VÄSTMANLANDS LÄN</t>
        </is>
      </c>
      <c r="E529" t="inlineStr">
        <is>
          <t>SALA</t>
        </is>
      </c>
      <c r="G529" t="n">
        <v>11.1</v>
      </c>
      <c r="H529" t="n">
        <v>0</v>
      </c>
      <c r="I529" t="n">
        <v>0</v>
      </c>
      <c r="J529" t="n">
        <v>0</v>
      </c>
      <c r="K529" t="n">
        <v>0</v>
      </c>
      <c r="L529" t="n">
        <v>0</v>
      </c>
      <c r="M529" t="n">
        <v>0</v>
      </c>
      <c r="N529" t="n">
        <v>0</v>
      </c>
      <c r="O529" t="n">
        <v>0</v>
      </c>
      <c r="P529" t="n">
        <v>0</v>
      </c>
      <c r="Q529" t="n">
        <v>0</v>
      </c>
      <c r="R529" s="2" t="inlineStr"/>
    </row>
    <row r="530" ht="15" customHeight="1">
      <c r="A530" t="inlineStr">
        <is>
          <t>A 37246-2025</t>
        </is>
      </c>
      <c r="B530" s="1" t="n">
        <v>45876.39435185185</v>
      </c>
      <c r="C530" s="1" t="n">
        <v>46092</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2925-2024</t>
        </is>
      </c>
      <c r="B531" s="1" t="n">
        <v>45315.58909722222</v>
      </c>
      <c r="C531" s="1" t="n">
        <v>46092</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37590-2025</t>
        </is>
      </c>
      <c r="B532" s="1" t="n">
        <v>45880.41138888889</v>
      </c>
      <c r="C532" s="1" t="n">
        <v>46092</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37593-2025</t>
        </is>
      </c>
      <c r="B533" s="1" t="n">
        <v>45880.41325231481</v>
      </c>
      <c r="C533" s="1" t="n">
        <v>46092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39439-2021</t>
        </is>
      </c>
      <c r="B534" s="1" t="n">
        <v>44414</v>
      </c>
      <c r="C534" s="1" t="n">
        <v>46092</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3332-2024</t>
        </is>
      </c>
      <c r="B535" s="1" t="n">
        <v>45317</v>
      </c>
      <c r="C535" s="1" t="n">
        <v>46092</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38294-2025</t>
        </is>
      </c>
      <c r="B536" s="1" t="n">
        <v>45883.44854166666</v>
      </c>
      <c r="C536" s="1" t="n">
        <v>46092</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2529-2022</t>
        </is>
      </c>
      <c r="B537" s="1" t="n">
        <v>44579.86452546297</v>
      </c>
      <c r="C537" s="1" t="n">
        <v>46092</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13471-2025</t>
        </is>
      </c>
      <c r="B538" s="1" t="n">
        <v>45736.40579861111</v>
      </c>
      <c r="C538" s="1" t="n">
        <v>46092</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43359-2024</t>
        </is>
      </c>
      <c r="B539" s="1" t="n">
        <v>45568.57724537037</v>
      </c>
      <c r="C539" s="1" t="n">
        <v>46092</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29972-2025</t>
        </is>
      </c>
      <c r="B540" s="1" t="n">
        <v>45826</v>
      </c>
      <c r="C540" s="1" t="n">
        <v>46092</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15681-2025</t>
        </is>
      </c>
      <c r="B541" s="1" t="n">
        <v>45748.45454861111</v>
      </c>
      <c r="C541" s="1" t="n">
        <v>46092</v>
      </c>
      <c r="D541" t="inlineStr">
        <is>
          <t>VÄSTMANLANDS LÄN</t>
        </is>
      </c>
      <c r="E541" t="inlineStr">
        <is>
          <t>SALA</t>
        </is>
      </c>
      <c r="F541" t="inlineStr">
        <is>
          <t>Bergvik skog öst AB</t>
        </is>
      </c>
      <c r="G541" t="n">
        <v>4.3</v>
      </c>
      <c r="H541" t="n">
        <v>0</v>
      </c>
      <c r="I541" t="n">
        <v>0</v>
      </c>
      <c r="J541" t="n">
        <v>0</v>
      </c>
      <c r="K541" t="n">
        <v>0</v>
      </c>
      <c r="L541" t="n">
        <v>0</v>
      </c>
      <c r="M541" t="n">
        <v>0</v>
      </c>
      <c r="N541" t="n">
        <v>0</v>
      </c>
      <c r="O541" t="n">
        <v>0</v>
      </c>
      <c r="P541" t="n">
        <v>0</v>
      </c>
      <c r="Q541" t="n">
        <v>0</v>
      </c>
      <c r="R541" s="2" t="inlineStr"/>
    </row>
    <row r="542" ht="15" customHeight="1">
      <c r="A542" t="inlineStr">
        <is>
          <t>A 18431-2023</t>
        </is>
      </c>
      <c r="B542" s="1" t="n">
        <v>45042</v>
      </c>
      <c r="C542" s="1" t="n">
        <v>46092</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27424-2023</t>
        </is>
      </c>
      <c r="B543" s="1" t="n">
        <v>45097.37690972222</v>
      </c>
      <c r="C543" s="1" t="n">
        <v>46092</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58701-2021</t>
        </is>
      </c>
      <c r="B544" s="1" t="n">
        <v>44489.46454861111</v>
      </c>
      <c r="C544" s="1" t="n">
        <v>46092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11244-2024</t>
        </is>
      </c>
      <c r="B545" s="1" t="n">
        <v>45371</v>
      </c>
      <c r="C545" s="1" t="n">
        <v>46092</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46279-2021</t>
        </is>
      </c>
      <c r="B546" s="1" t="n">
        <v>44442.57797453704</v>
      </c>
      <c r="C546" s="1" t="n">
        <v>46092</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12225-2023</t>
        </is>
      </c>
      <c r="B547" s="1" t="n">
        <v>44995</v>
      </c>
      <c r="C547" s="1" t="n">
        <v>46092</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61874-2021</t>
        </is>
      </c>
      <c r="B548" s="1" t="n">
        <v>44502</v>
      </c>
      <c r="C548" s="1" t="n">
        <v>46092</v>
      </c>
      <c r="D548" t="inlineStr">
        <is>
          <t>VÄSTMANLANDS LÄN</t>
        </is>
      </c>
      <c r="E548" t="inlineStr">
        <is>
          <t>SALA</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62651-2022</t>
        </is>
      </c>
      <c r="B549" s="1" t="n">
        <v>44917</v>
      </c>
      <c r="C549" s="1" t="n">
        <v>46092</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15968-2024</t>
        </is>
      </c>
      <c r="B550" s="1" t="n">
        <v>45405.56021990741</v>
      </c>
      <c r="C550" s="1" t="n">
        <v>46092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60730-2023</t>
        </is>
      </c>
      <c r="B551" s="1" t="n">
        <v>45260</v>
      </c>
      <c r="C551" s="1" t="n">
        <v>46092</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60731-2023</t>
        </is>
      </c>
      <c r="B552" s="1" t="n">
        <v>45260</v>
      </c>
      <c r="C552" s="1" t="n">
        <v>46092</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73673-2021</t>
        </is>
      </c>
      <c r="B553" s="1" t="n">
        <v>44552.46501157407</v>
      </c>
      <c r="C553" s="1" t="n">
        <v>46092</v>
      </c>
      <c r="D553" t="inlineStr">
        <is>
          <t>VÄSTMANLANDS LÄN</t>
        </is>
      </c>
      <c r="E553" t="inlineStr">
        <is>
          <t>SALA</t>
        </is>
      </c>
      <c r="G553" t="n">
        <v>11.4</v>
      </c>
      <c r="H553" t="n">
        <v>0</v>
      </c>
      <c r="I553" t="n">
        <v>0</v>
      </c>
      <c r="J553" t="n">
        <v>0</v>
      </c>
      <c r="K553" t="n">
        <v>0</v>
      </c>
      <c r="L553" t="n">
        <v>0</v>
      </c>
      <c r="M553" t="n">
        <v>0</v>
      </c>
      <c r="N553" t="n">
        <v>0</v>
      </c>
      <c r="O553" t="n">
        <v>0</v>
      </c>
      <c r="P553" t="n">
        <v>0</v>
      </c>
      <c r="Q553" t="n">
        <v>0</v>
      </c>
      <c r="R553" s="2" t="inlineStr"/>
    </row>
    <row r="554" ht="15" customHeight="1">
      <c r="A554" t="inlineStr">
        <is>
          <t>A 18461-2024</t>
        </is>
      </c>
      <c r="B554" s="1" t="n">
        <v>45425.47435185185</v>
      </c>
      <c r="C554" s="1" t="n">
        <v>46092</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4663-2022</t>
        </is>
      </c>
      <c r="B555" s="1" t="n">
        <v>44592.45429398148</v>
      </c>
      <c r="C555" s="1" t="n">
        <v>46092</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6032-2025</t>
        </is>
      </c>
      <c r="B556" s="1" t="n">
        <v>45695.6371875</v>
      </c>
      <c r="C556" s="1" t="n">
        <v>46092</v>
      </c>
      <c r="D556" t="inlineStr">
        <is>
          <t>VÄSTMANLANDS LÄN</t>
        </is>
      </c>
      <c r="E556" t="inlineStr">
        <is>
          <t>SALA</t>
        </is>
      </c>
      <c r="F556" t="inlineStr">
        <is>
          <t>Bergvik skog öst AB</t>
        </is>
      </c>
      <c r="G556" t="n">
        <v>8.1</v>
      </c>
      <c r="H556" t="n">
        <v>0</v>
      </c>
      <c r="I556" t="n">
        <v>0</v>
      </c>
      <c r="J556" t="n">
        <v>0</v>
      </c>
      <c r="K556" t="n">
        <v>0</v>
      </c>
      <c r="L556" t="n">
        <v>0</v>
      </c>
      <c r="M556" t="n">
        <v>0</v>
      </c>
      <c r="N556" t="n">
        <v>0</v>
      </c>
      <c r="O556" t="n">
        <v>0</v>
      </c>
      <c r="P556" t="n">
        <v>0</v>
      </c>
      <c r="Q556" t="n">
        <v>0</v>
      </c>
      <c r="R556" s="2" t="inlineStr"/>
    </row>
    <row r="557" ht="15" customHeight="1">
      <c r="A557" t="inlineStr">
        <is>
          <t>A 2766-2024</t>
        </is>
      </c>
      <c r="B557" s="1" t="n">
        <v>45314.60950231482</v>
      </c>
      <c r="C557" s="1" t="n">
        <v>46092</v>
      </c>
      <c r="D557" t="inlineStr">
        <is>
          <t>VÄSTMANLANDS LÄN</t>
        </is>
      </c>
      <c r="E557" t="inlineStr">
        <is>
          <t>SALA</t>
        </is>
      </c>
      <c r="G557" t="n">
        <v>2.8</v>
      </c>
      <c r="H557" t="n">
        <v>0</v>
      </c>
      <c r="I557" t="n">
        <v>0</v>
      </c>
      <c r="J557" t="n">
        <v>0</v>
      </c>
      <c r="K557" t="n">
        <v>0</v>
      </c>
      <c r="L557" t="n">
        <v>0</v>
      </c>
      <c r="M557" t="n">
        <v>0</v>
      </c>
      <c r="N557" t="n">
        <v>0</v>
      </c>
      <c r="O557" t="n">
        <v>0</v>
      </c>
      <c r="P557" t="n">
        <v>0</v>
      </c>
      <c r="Q557" t="n">
        <v>0</v>
      </c>
      <c r="R557" s="2" t="inlineStr"/>
    </row>
    <row r="558" ht="15" customHeight="1">
      <c r="A558" t="inlineStr">
        <is>
          <t>A 6351-2023</t>
        </is>
      </c>
      <c r="B558" s="1" t="n">
        <v>44965</v>
      </c>
      <c r="C558" s="1" t="n">
        <v>46092</v>
      </c>
      <c r="D558" t="inlineStr">
        <is>
          <t>VÄSTMANLANDS LÄN</t>
        </is>
      </c>
      <c r="E558" t="inlineStr">
        <is>
          <t>SALA</t>
        </is>
      </c>
      <c r="F558" t="inlineStr">
        <is>
          <t>Kommuner</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45187-2024</t>
        </is>
      </c>
      <c r="B559" s="1" t="n">
        <v>45575</v>
      </c>
      <c r="C559" s="1" t="n">
        <v>46092</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33527-2023</t>
        </is>
      </c>
      <c r="B560" s="1" t="n">
        <v>45131</v>
      </c>
      <c r="C560" s="1" t="n">
        <v>46092</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7377-2023</t>
        </is>
      </c>
      <c r="B561" s="1" t="n">
        <v>44971</v>
      </c>
      <c r="C561" s="1" t="n">
        <v>46092</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21159-2022</t>
        </is>
      </c>
      <c r="B562" s="1" t="n">
        <v>44704</v>
      </c>
      <c r="C562" s="1" t="n">
        <v>46092</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56688-2024</t>
        </is>
      </c>
      <c r="B563" s="1" t="n">
        <v>45627.66478009259</v>
      </c>
      <c r="C563" s="1" t="n">
        <v>46092</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16159-2024</t>
        </is>
      </c>
      <c r="B564" s="1" t="n">
        <v>45406</v>
      </c>
      <c r="C564" s="1" t="n">
        <v>46092</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66307-2021</t>
        </is>
      </c>
      <c r="B565" s="1" t="n">
        <v>44518.48670138889</v>
      </c>
      <c r="C565" s="1" t="n">
        <v>46092</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27262-2024</t>
        </is>
      </c>
      <c r="B566" s="1" t="n">
        <v>45471</v>
      </c>
      <c r="C566" s="1" t="n">
        <v>46092</v>
      </c>
      <c r="D566" t="inlineStr">
        <is>
          <t>VÄSTMANLANDS LÄN</t>
        </is>
      </c>
      <c r="E566" t="inlineStr">
        <is>
          <t>SALA</t>
        </is>
      </c>
      <c r="G566" t="n">
        <v>0.8</v>
      </c>
      <c r="H566" t="n">
        <v>0</v>
      </c>
      <c r="I566" t="n">
        <v>0</v>
      </c>
      <c r="J566" t="n">
        <v>0</v>
      </c>
      <c r="K566" t="n">
        <v>0</v>
      </c>
      <c r="L566" t="n">
        <v>0</v>
      </c>
      <c r="M566" t="n">
        <v>0</v>
      </c>
      <c r="N566" t="n">
        <v>0</v>
      </c>
      <c r="O566" t="n">
        <v>0</v>
      </c>
      <c r="P566" t="n">
        <v>0</v>
      </c>
      <c r="Q566" t="n">
        <v>0</v>
      </c>
      <c r="R566" s="2" t="inlineStr"/>
    </row>
    <row r="567" ht="15" customHeight="1">
      <c r="A567" t="inlineStr">
        <is>
          <t>A 10913-2025</t>
        </is>
      </c>
      <c r="B567" s="1" t="n">
        <v>45722.73423611111</v>
      </c>
      <c r="C567" s="1" t="n">
        <v>46092</v>
      </c>
      <c r="D567" t="inlineStr">
        <is>
          <t>VÄSTMANLANDS LÄN</t>
        </is>
      </c>
      <c r="E567" t="inlineStr">
        <is>
          <t>SALA</t>
        </is>
      </c>
      <c r="G567" t="n">
        <v>7.6</v>
      </c>
      <c r="H567" t="n">
        <v>0</v>
      </c>
      <c r="I567" t="n">
        <v>0</v>
      </c>
      <c r="J567" t="n">
        <v>0</v>
      </c>
      <c r="K567" t="n">
        <v>0</v>
      </c>
      <c r="L567" t="n">
        <v>0</v>
      </c>
      <c r="M567" t="n">
        <v>0</v>
      </c>
      <c r="N567" t="n">
        <v>0</v>
      </c>
      <c r="O567" t="n">
        <v>0</v>
      </c>
      <c r="P567" t="n">
        <v>0</v>
      </c>
      <c r="Q567" t="n">
        <v>0</v>
      </c>
      <c r="R567" s="2" t="inlineStr"/>
    </row>
    <row r="568" ht="15" customHeight="1">
      <c r="A568" t="inlineStr">
        <is>
          <t>A 35410-2022</t>
        </is>
      </c>
      <c r="B568" s="1" t="n">
        <v>44798.62576388889</v>
      </c>
      <c r="C568" s="1" t="n">
        <v>46092</v>
      </c>
      <c r="D568" t="inlineStr">
        <is>
          <t>VÄSTMANLANDS LÄN</t>
        </is>
      </c>
      <c r="E568" t="inlineStr">
        <is>
          <t>SALA</t>
        </is>
      </c>
      <c r="G568" t="n">
        <v>1.6</v>
      </c>
      <c r="H568" t="n">
        <v>0</v>
      </c>
      <c r="I568" t="n">
        <v>0</v>
      </c>
      <c r="J568" t="n">
        <v>0</v>
      </c>
      <c r="K568" t="n">
        <v>0</v>
      </c>
      <c r="L568" t="n">
        <v>0</v>
      </c>
      <c r="M568" t="n">
        <v>0</v>
      </c>
      <c r="N568" t="n">
        <v>0</v>
      </c>
      <c r="O568" t="n">
        <v>0</v>
      </c>
      <c r="P568" t="n">
        <v>0</v>
      </c>
      <c r="Q568" t="n">
        <v>0</v>
      </c>
      <c r="R568" s="2" t="inlineStr"/>
    </row>
    <row r="569" ht="15" customHeight="1">
      <c r="A569" t="inlineStr">
        <is>
          <t>A 1118-2024</t>
        </is>
      </c>
      <c r="B569" s="1" t="n">
        <v>45302</v>
      </c>
      <c r="C569" s="1" t="n">
        <v>46092</v>
      </c>
      <c r="D569" t="inlineStr">
        <is>
          <t>VÄSTMANLANDS LÄN</t>
        </is>
      </c>
      <c r="E569" t="inlineStr">
        <is>
          <t>SALA</t>
        </is>
      </c>
      <c r="G569" t="n">
        <v>1.9</v>
      </c>
      <c r="H569" t="n">
        <v>0</v>
      </c>
      <c r="I569" t="n">
        <v>0</v>
      </c>
      <c r="J569" t="n">
        <v>0</v>
      </c>
      <c r="K569" t="n">
        <v>0</v>
      </c>
      <c r="L569" t="n">
        <v>0</v>
      </c>
      <c r="M569" t="n">
        <v>0</v>
      </c>
      <c r="N569" t="n">
        <v>0</v>
      </c>
      <c r="O569" t="n">
        <v>0</v>
      </c>
      <c r="P569" t="n">
        <v>0</v>
      </c>
      <c r="Q569" t="n">
        <v>0</v>
      </c>
      <c r="R569" s="2" t="inlineStr"/>
    </row>
    <row r="570" ht="15" customHeight="1">
      <c r="A570" t="inlineStr">
        <is>
          <t>A 53864-2022</t>
        </is>
      </c>
      <c r="B570" s="1" t="n">
        <v>44880.64016203704</v>
      </c>
      <c r="C570" s="1" t="n">
        <v>46092</v>
      </c>
      <c r="D570" t="inlineStr">
        <is>
          <t>VÄSTMANLANDS LÄN</t>
        </is>
      </c>
      <c r="E570" t="inlineStr">
        <is>
          <t>SALA</t>
        </is>
      </c>
      <c r="G570" t="n">
        <v>5.9</v>
      </c>
      <c r="H570" t="n">
        <v>0</v>
      </c>
      <c r="I570" t="n">
        <v>0</v>
      </c>
      <c r="J570" t="n">
        <v>0</v>
      </c>
      <c r="K570" t="n">
        <v>0</v>
      </c>
      <c r="L570" t="n">
        <v>0</v>
      </c>
      <c r="M570" t="n">
        <v>0</v>
      </c>
      <c r="N570" t="n">
        <v>0</v>
      </c>
      <c r="O570" t="n">
        <v>0</v>
      </c>
      <c r="P570" t="n">
        <v>0</v>
      </c>
      <c r="Q570" t="n">
        <v>0</v>
      </c>
      <c r="R570" s="2" t="inlineStr"/>
    </row>
    <row r="571" ht="15" customHeight="1">
      <c r="A571" t="inlineStr">
        <is>
          <t>A 40085-2024</t>
        </is>
      </c>
      <c r="B571" s="1" t="n">
        <v>45554</v>
      </c>
      <c r="C571" s="1" t="n">
        <v>46092</v>
      </c>
      <c r="D571" t="inlineStr">
        <is>
          <t>VÄSTMANLANDS LÄN</t>
        </is>
      </c>
      <c r="E571" t="inlineStr">
        <is>
          <t>SALA</t>
        </is>
      </c>
      <c r="G571" t="n">
        <v>2.8</v>
      </c>
      <c r="H571" t="n">
        <v>0</v>
      </c>
      <c r="I571" t="n">
        <v>0</v>
      </c>
      <c r="J571" t="n">
        <v>0</v>
      </c>
      <c r="K571" t="n">
        <v>0</v>
      </c>
      <c r="L571" t="n">
        <v>0</v>
      </c>
      <c r="M571" t="n">
        <v>0</v>
      </c>
      <c r="N571" t="n">
        <v>0</v>
      </c>
      <c r="O571" t="n">
        <v>0</v>
      </c>
      <c r="P571" t="n">
        <v>0</v>
      </c>
      <c r="Q571" t="n">
        <v>0</v>
      </c>
      <c r="R571" s="2" t="inlineStr"/>
    </row>
    <row r="572" ht="15" customHeight="1">
      <c r="A572" t="inlineStr">
        <is>
          <t>A 3551-2024</t>
        </is>
      </c>
      <c r="B572" s="1" t="n">
        <v>45320.61099537037</v>
      </c>
      <c r="C572" s="1" t="n">
        <v>46092</v>
      </c>
      <c r="D572" t="inlineStr">
        <is>
          <t>VÄSTMANLANDS LÄN</t>
        </is>
      </c>
      <c r="E572" t="inlineStr">
        <is>
          <t>SALA</t>
        </is>
      </c>
      <c r="F572" t="inlineStr">
        <is>
          <t>Kommuner</t>
        </is>
      </c>
      <c r="G572" t="n">
        <v>6</v>
      </c>
      <c r="H572" t="n">
        <v>0</v>
      </c>
      <c r="I572" t="n">
        <v>0</v>
      </c>
      <c r="J572" t="n">
        <v>0</v>
      </c>
      <c r="K572" t="n">
        <v>0</v>
      </c>
      <c r="L572" t="n">
        <v>0</v>
      </c>
      <c r="M572" t="n">
        <v>0</v>
      </c>
      <c r="N572" t="n">
        <v>0</v>
      </c>
      <c r="O572" t="n">
        <v>0</v>
      </c>
      <c r="P572" t="n">
        <v>0</v>
      </c>
      <c r="Q572" t="n">
        <v>0</v>
      </c>
      <c r="R572" s="2" t="inlineStr"/>
    </row>
    <row r="573" ht="15" customHeight="1">
      <c r="A573" t="inlineStr">
        <is>
          <t>A 22961-2023</t>
        </is>
      </c>
      <c r="B573" s="1" t="n">
        <v>45072</v>
      </c>
      <c r="C573" s="1" t="n">
        <v>46092</v>
      </c>
      <c r="D573" t="inlineStr">
        <is>
          <t>VÄSTMANLANDS LÄN</t>
        </is>
      </c>
      <c r="E573" t="inlineStr">
        <is>
          <t>SALA</t>
        </is>
      </c>
      <c r="G573" t="n">
        <v>2.7</v>
      </c>
      <c r="H573" t="n">
        <v>0</v>
      </c>
      <c r="I573" t="n">
        <v>0</v>
      </c>
      <c r="J573" t="n">
        <v>0</v>
      </c>
      <c r="K573" t="n">
        <v>0</v>
      </c>
      <c r="L573" t="n">
        <v>0</v>
      </c>
      <c r="M573" t="n">
        <v>0</v>
      </c>
      <c r="N573" t="n">
        <v>0</v>
      </c>
      <c r="O573" t="n">
        <v>0</v>
      </c>
      <c r="P573" t="n">
        <v>0</v>
      </c>
      <c r="Q573" t="n">
        <v>0</v>
      </c>
      <c r="R573" s="2" t="inlineStr"/>
    </row>
    <row r="574" ht="15" customHeight="1">
      <c r="A574" t="inlineStr">
        <is>
          <t>A 22963-2023</t>
        </is>
      </c>
      <c r="B574" s="1" t="n">
        <v>45072</v>
      </c>
      <c r="C574" s="1" t="n">
        <v>46092</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54960-2024</t>
        </is>
      </c>
      <c r="B575" s="1" t="n">
        <v>45619.85208333333</v>
      </c>
      <c r="C575" s="1" t="n">
        <v>46092</v>
      </c>
      <c r="D575" t="inlineStr">
        <is>
          <t>VÄSTMANLANDS LÄN</t>
        </is>
      </c>
      <c r="E575" t="inlineStr">
        <is>
          <t>SALA</t>
        </is>
      </c>
      <c r="G575" t="n">
        <v>2.6</v>
      </c>
      <c r="H575" t="n">
        <v>0</v>
      </c>
      <c r="I575" t="n">
        <v>0</v>
      </c>
      <c r="J575" t="n">
        <v>0</v>
      </c>
      <c r="K575" t="n">
        <v>0</v>
      </c>
      <c r="L575" t="n">
        <v>0</v>
      </c>
      <c r="M575" t="n">
        <v>0</v>
      </c>
      <c r="N575" t="n">
        <v>0</v>
      </c>
      <c r="O575" t="n">
        <v>0</v>
      </c>
      <c r="P575" t="n">
        <v>0</v>
      </c>
      <c r="Q575" t="n">
        <v>0</v>
      </c>
      <c r="R575" s="2" t="inlineStr"/>
    </row>
    <row r="576" ht="15" customHeight="1">
      <c r="A576" t="inlineStr">
        <is>
          <t>A 27228-2023</t>
        </is>
      </c>
      <c r="B576" s="1" t="n">
        <v>45096.59189814814</v>
      </c>
      <c r="C576" s="1" t="n">
        <v>46092</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26507-2023</t>
        </is>
      </c>
      <c r="B577" s="1" t="n">
        <v>45092</v>
      </c>
      <c r="C577" s="1" t="n">
        <v>46092</v>
      </c>
      <c r="D577" t="inlineStr">
        <is>
          <t>VÄSTMANLANDS LÄN</t>
        </is>
      </c>
      <c r="E577" t="inlineStr">
        <is>
          <t>SALA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6183-2025</t>
        </is>
      </c>
      <c r="B578" s="1" t="n">
        <v>45698</v>
      </c>
      <c r="C578" s="1" t="n">
        <v>46092</v>
      </c>
      <c r="D578" t="inlineStr">
        <is>
          <t>VÄSTMANLANDS LÄN</t>
        </is>
      </c>
      <c r="E578" t="inlineStr">
        <is>
          <t>SALA</t>
        </is>
      </c>
      <c r="F578" t="inlineStr">
        <is>
          <t>Bergvik skog öst AB</t>
        </is>
      </c>
      <c r="G578" t="n">
        <v>2.3</v>
      </c>
      <c r="H578" t="n">
        <v>0</v>
      </c>
      <c r="I578" t="n">
        <v>0</v>
      </c>
      <c r="J578" t="n">
        <v>0</v>
      </c>
      <c r="K578" t="n">
        <v>0</v>
      </c>
      <c r="L578" t="n">
        <v>0</v>
      </c>
      <c r="M578" t="n">
        <v>0</v>
      </c>
      <c r="N578" t="n">
        <v>0</v>
      </c>
      <c r="O578" t="n">
        <v>0</v>
      </c>
      <c r="P578" t="n">
        <v>0</v>
      </c>
      <c r="Q578" t="n">
        <v>0</v>
      </c>
      <c r="R578" s="2" t="inlineStr"/>
    </row>
    <row r="579" ht="15" customHeight="1">
      <c r="A579" t="inlineStr">
        <is>
          <t>A 16543-2023</t>
        </is>
      </c>
      <c r="B579" s="1" t="n">
        <v>45029</v>
      </c>
      <c r="C579" s="1" t="n">
        <v>46092</v>
      </c>
      <c r="D579" t="inlineStr">
        <is>
          <t>VÄSTMANLANDS LÄN</t>
        </is>
      </c>
      <c r="E579" t="inlineStr">
        <is>
          <t>SALA</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43176-2023</t>
        </is>
      </c>
      <c r="B580" s="1" t="n">
        <v>45183</v>
      </c>
      <c r="C580" s="1" t="n">
        <v>46092</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37624-2024</t>
        </is>
      </c>
      <c r="B581" s="1" t="n">
        <v>45541</v>
      </c>
      <c r="C581" s="1" t="n">
        <v>46092</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57895-2024</t>
        </is>
      </c>
      <c r="B582" s="1" t="n">
        <v>45631</v>
      </c>
      <c r="C582" s="1" t="n">
        <v>46092</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47086-2022</t>
        </is>
      </c>
      <c r="B583" s="1" t="n">
        <v>44852</v>
      </c>
      <c r="C583" s="1" t="n">
        <v>46092</v>
      </c>
      <c r="D583" t="inlineStr">
        <is>
          <t>VÄSTMANLANDS LÄN</t>
        </is>
      </c>
      <c r="E583" t="inlineStr">
        <is>
          <t>SALA</t>
        </is>
      </c>
      <c r="G583" t="n">
        <v>12.5</v>
      </c>
      <c r="H583" t="n">
        <v>0</v>
      </c>
      <c r="I583" t="n">
        <v>0</v>
      </c>
      <c r="J583" t="n">
        <v>0</v>
      </c>
      <c r="K583" t="n">
        <v>0</v>
      </c>
      <c r="L583" t="n">
        <v>0</v>
      </c>
      <c r="M583" t="n">
        <v>0</v>
      </c>
      <c r="N583" t="n">
        <v>0</v>
      </c>
      <c r="O583" t="n">
        <v>0</v>
      </c>
      <c r="P583" t="n">
        <v>0</v>
      </c>
      <c r="Q583" t="n">
        <v>0</v>
      </c>
      <c r="R583" s="2" t="inlineStr"/>
    </row>
    <row r="584" ht="15" customHeight="1">
      <c r="A584" t="inlineStr">
        <is>
          <t>A 14010-2021</t>
        </is>
      </c>
      <c r="B584" s="1" t="n">
        <v>44277.63396990741</v>
      </c>
      <c r="C584" s="1" t="n">
        <v>46092</v>
      </c>
      <c r="D584" t="inlineStr">
        <is>
          <t>VÄSTMANLANDS LÄN</t>
        </is>
      </c>
      <c r="E584" t="inlineStr">
        <is>
          <t>SALA</t>
        </is>
      </c>
      <c r="G584" t="n">
        <v>3.5</v>
      </c>
      <c r="H584" t="n">
        <v>0</v>
      </c>
      <c r="I584" t="n">
        <v>0</v>
      </c>
      <c r="J584" t="n">
        <v>0</v>
      </c>
      <c r="K584" t="n">
        <v>0</v>
      </c>
      <c r="L584" t="n">
        <v>0</v>
      </c>
      <c r="M584" t="n">
        <v>0</v>
      </c>
      <c r="N584" t="n">
        <v>0</v>
      </c>
      <c r="O584" t="n">
        <v>0</v>
      </c>
      <c r="P584" t="n">
        <v>0</v>
      </c>
      <c r="Q584" t="n">
        <v>0</v>
      </c>
      <c r="R584" s="2" t="inlineStr"/>
    </row>
    <row r="585" ht="15" customHeight="1">
      <c r="A585" t="inlineStr">
        <is>
          <t>A 56687-2024</t>
        </is>
      </c>
      <c r="B585" s="1" t="n">
        <v>45627.63271990741</v>
      </c>
      <c r="C585" s="1" t="n">
        <v>46092</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54347-2024</t>
        </is>
      </c>
      <c r="B586" s="1" t="n">
        <v>45617.39325231482</v>
      </c>
      <c r="C586" s="1" t="n">
        <v>46092</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64693-2023</t>
        </is>
      </c>
      <c r="B587" s="1" t="n">
        <v>45281.63850694444</v>
      </c>
      <c r="C587" s="1" t="n">
        <v>46092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64695-2023</t>
        </is>
      </c>
      <c r="B588" s="1" t="n">
        <v>45281.64099537037</v>
      </c>
      <c r="C588" s="1" t="n">
        <v>46092</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27486-2022</t>
        </is>
      </c>
      <c r="B589" s="1" t="n">
        <v>44742.60846064815</v>
      </c>
      <c r="C589" s="1" t="n">
        <v>46092</v>
      </c>
      <c r="D589" t="inlineStr">
        <is>
          <t>VÄSTMANLANDS LÄN</t>
        </is>
      </c>
      <c r="E589" t="inlineStr">
        <is>
          <t>SALA</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35003-2024</t>
        </is>
      </c>
      <c r="B590" s="1" t="n">
        <v>45527.56790509259</v>
      </c>
      <c r="C590" s="1" t="n">
        <v>46092</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48688-2024</t>
        </is>
      </c>
      <c r="B591" s="1" t="n">
        <v>45593.50541666667</v>
      </c>
      <c r="C591" s="1" t="n">
        <v>46092</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15354-2021</t>
        </is>
      </c>
      <c r="B592" s="1" t="n">
        <v>44284</v>
      </c>
      <c r="C592" s="1" t="n">
        <v>46092</v>
      </c>
      <c r="D592" t="inlineStr">
        <is>
          <t>VÄSTMANLANDS LÄN</t>
        </is>
      </c>
      <c r="E592" t="inlineStr">
        <is>
          <t>SALA</t>
        </is>
      </c>
      <c r="F592" t="inlineStr">
        <is>
          <t>Kyrkan</t>
        </is>
      </c>
      <c r="G592" t="n">
        <v>8.5</v>
      </c>
      <c r="H592" t="n">
        <v>0</v>
      </c>
      <c r="I592" t="n">
        <v>0</v>
      </c>
      <c r="J592" t="n">
        <v>0</v>
      </c>
      <c r="K592" t="n">
        <v>0</v>
      </c>
      <c r="L592" t="n">
        <v>0</v>
      </c>
      <c r="M592" t="n">
        <v>0</v>
      </c>
      <c r="N592" t="n">
        <v>0</v>
      </c>
      <c r="O592" t="n">
        <v>0</v>
      </c>
      <c r="P592" t="n">
        <v>0</v>
      </c>
      <c r="Q592" t="n">
        <v>0</v>
      </c>
      <c r="R592" s="2" t="inlineStr"/>
    </row>
    <row r="593" ht="15" customHeight="1">
      <c r="A593" t="inlineStr">
        <is>
          <t>A 63933-2023</t>
        </is>
      </c>
      <c r="B593" s="1" t="n">
        <v>45278</v>
      </c>
      <c r="C593" s="1" t="n">
        <v>46092</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44746-2024</t>
        </is>
      </c>
      <c r="B594" s="1" t="n">
        <v>45574.59813657407</v>
      </c>
      <c r="C594" s="1" t="n">
        <v>46092</v>
      </c>
      <c r="D594" t="inlineStr">
        <is>
          <t>VÄSTMANLANDS LÄN</t>
        </is>
      </c>
      <c r="E594" t="inlineStr">
        <is>
          <t>SALA</t>
        </is>
      </c>
      <c r="G594" t="n">
        <v>6.7</v>
      </c>
      <c r="H594" t="n">
        <v>0</v>
      </c>
      <c r="I594" t="n">
        <v>0</v>
      </c>
      <c r="J594" t="n">
        <v>0</v>
      </c>
      <c r="K594" t="n">
        <v>0</v>
      </c>
      <c r="L594" t="n">
        <v>0</v>
      </c>
      <c r="M594" t="n">
        <v>0</v>
      </c>
      <c r="N594" t="n">
        <v>0</v>
      </c>
      <c r="O594" t="n">
        <v>0</v>
      </c>
      <c r="P594" t="n">
        <v>0</v>
      </c>
      <c r="Q594" t="n">
        <v>0</v>
      </c>
      <c r="R594" s="2" t="inlineStr"/>
    </row>
    <row r="595" ht="15" customHeight="1">
      <c r="A595" t="inlineStr">
        <is>
          <t>A 33273-2023</t>
        </is>
      </c>
      <c r="B595" s="1" t="n">
        <v>45127</v>
      </c>
      <c r="C595" s="1" t="n">
        <v>46092</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11696-2025</t>
        </is>
      </c>
      <c r="B596" s="1" t="n">
        <v>45727</v>
      </c>
      <c r="C596" s="1" t="n">
        <v>46092</v>
      </c>
      <c r="D596" t="inlineStr">
        <is>
          <t>VÄSTMANLANDS LÄN</t>
        </is>
      </c>
      <c r="E596" t="inlineStr">
        <is>
          <t>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60545-2024</t>
        </is>
      </c>
      <c r="B597" s="1" t="n">
        <v>45643</v>
      </c>
      <c r="C597" s="1" t="n">
        <v>46092</v>
      </c>
      <c r="D597" t="inlineStr">
        <is>
          <t>VÄSTMANLANDS LÄN</t>
        </is>
      </c>
      <c r="E597" t="inlineStr">
        <is>
          <t>SALA</t>
        </is>
      </c>
      <c r="G597" t="n">
        <v>3.3</v>
      </c>
      <c r="H597" t="n">
        <v>0</v>
      </c>
      <c r="I597" t="n">
        <v>0</v>
      </c>
      <c r="J597" t="n">
        <v>0</v>
      </c>
      <c r="K597" t="n">
        <v>0</v>
      </c>
      <c r="L597" t="n">
        <v>0</v>
      </c>
      <c r="M597" t="n">
        <v>0</v>
      </c>
      <c r="N597" t="n">
        <v>0</v>
      </c>
      <c r="O597" t="n">
        <v>0</v>
      </c>
      <c r="P597" t="n">
        <v>0</v>
      </c>
      <c r="Q597" t="n">
        <v>0</v>
      </c>
      <c r="R597" s="2" t="inlineStr"/>
    </row>
    <row r="598" ht="15" customHeight="1">
      <c r="A598" t="inlineStr">
        <is>
          <t>A 60547-2024</t>
        </is>
      </c>
      <c r="B598" s="1" t="n">
        <v>45643</v>
      </c>
      <c r="C598" s="1" t="n">
        <v>46092</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1985-2022</t>
        </is>
      </c>
      <c r="B599" s="1" t="n">
        <v>44575</v>
      </c>
      <c r="C599" s="1" t="n">
        <v>46092</v>
      </c>
      <c r="D599" t="inlineStr">
        <is>
          <t>VÄSTMANLANDS LÄN</t>
        </is>
      </c>
      <c r="E599" t="inlineStr">
        <is>
          <t>SALA</t>
        </is>
      </c>
      <c r="G599" t="n">
        <v>1.4</v>
      </c>
      <c r="H599" t="n">
        <v>0</v>
      </c>
      <c r="I599" t="n">
        <v>0</v>
      </c>
      <c r="J599" t="n">
        <v>0</v>
      </c>
      <c r="K599" t="n">
        <v>0</v>
      </c>
      <c r="L599" t="n">
        <v>0</v>
      </c>
      <c r="M599" t="n">
        <v>0</v>
      </c>
      <c r="N599" t="n">
        <v>0</v>
      </c>
      <c r="O599" t="n">
        <v>0</v>
      </c>
      <c r="P599" t="n">
        <v>0</v>
      </c>
      <c r="Q599" t="n">
        <v>0</v>
      </c>
      <c r="R599" s="2" t="inlineStr"/>
    </row>
    <row r="600" ht="15" customHeight="1">
      <c r="A600" t="inlineStr">
        <is>
          <t>A 27261-2024</t>
        </is>
      </c>
      <c r="B600" s="1" t="n">
        <v>45471</v>
      </c>
      <c r="C600" s="1" t="n">
        <v>46092</v>
      </c>
      <c r="D600" t="inlineStr">
        <is>
          <t>VÄSTMANLANDS LÄN</t>
        </is>
      </c>
      <c r="E600" t="inlineStr">
        <is>
          <t>SALA</t>
        </is>
      </c>
      <c r="G600" t="n">
        <v>6.1</v>
      </c>
      <c r="H600" t="n">
        <v>0</v>
      </c>
      <c r="I600" t="n">
        <v>0</v>
      </c>
      <c r="J600" t="n">
        <v>0</v>
      </c>
      <c r="K600" t="n">
        <v>0</v>
      </c>
      <c r="L600" t="n">
        <v>0</v>
      </c>
      <c r="M600" t="n">
        <v>0</v>
      </c>
      <c r="N600" t="n">
        <v>0</v>
      </c>
      <c r="O600" t="n">
        <v>0</v>
      </c>
      <c r="P600" t="n">
        <v>0</v>
      </c>
      <c r="Q600" t="n">
        <v>0</v>
      </c>
      <c r="R600" s="2" t="inlineStr"/>
    </row>
    <row r="601" ht="15" customHeight="1">
      <c r="A601" t="inlineStr">
        <is>
          <t>A 35976-2024</t>
        </is>
      </c>
      <c r="B601" s="1" t="n">
        <v>45533.49555555556</v>
      </c>
      <c r="C601" s="1" t="n">
        <v>46092</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55556-2023</t>
        </is>
      </c>
      <c r="B602" s="1" t="n">
        <v>45232</v>
      </c>
      <c r="C602" s="1" t="n">
        <v>46092</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57650-2024</t>
        </is>
      </c>
      <c r="B603" s="1" t="n">
        <v>45630</v>
      </c>
      <c r="C603" s="1" t="n">
        <v>46092</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50479-2022</t>
        </is>
      </c>
      <c r="B604" s="1" t="n">
        <v>44861</v>
      </c>
      <c r="C604" s="1" t="n">
        <v>46092</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45790-2023</t>
        </is>
      </c>
      <c r="B605" s="1" t="n">
        <v>45195.45958333334</v>
      </c>
      <c r="C605" s="1" t="n">
        <v>46092</v>
      </c>
      <c r="D605" t="inlineStr">
        <is>
          <t>VÄSTMANLANDS LÄN</t>
        </is>
      </c>
      <c r="E605" t="inlineStr">
        <is>
          <t>SALA</t>
        </is>
      </c>
      <c r="G605" t="n">
        <v>5.7</v>
      </c>
      <c r="H605" t="n">
        <v>0</v>
      </c>
      <c r="I605" t="n">
        <v>0</v>
      </c>
      <c r="J605" t="n">
        <v>0</v>
      </c>
      <c r="K605" t="n">
        <v>0</v>
      </c>
      <c r="L605" t="n">
        <v>0</v>
      </c>
      <c r="M605" t="n">
        <v>0</v>
      </c>
      <c r="N605" t="n">
        <v>0</v>
      </c>
      <c r="O605" t="n">
        <v>0</v>
      </c>
      <c r="P605" t="n">
        <v>0</v>
      </c>
      <c r="Q605" t="n">
        <v>0</v>
      </c>
      <c r="R605" s="2" t="inlineStr"/>
    </row>
    <row r="606" ht="15" customHeight="1">
      <c r="A606" t="inlineStr">
        <is>
          <t>A 2928-2024</t>
        </is>
      </c>
      <c r="B606" s="1" t="n">
        <v>45315.59041666667</v>
      </c>
      <c r="C606" s="1" t="n">
        <v>46092</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73673-2021</t>
        </is>
      </c>
      <c r="B607" s="1" t="n">
        <v>44552.46501157407</v>
      </c>
      <c r="C607" s="1" t="n">
        <v>46092</v>
      </c>
      <c r="D607" t="inlineStr">
        <is>
          <t>VÄSTMANLANDS LÄN</t>
        </is>
      </c>
      <c r="E607" t="inlineStr">
        <is>
          <t>SALA</t>
        </is>
      </c>
      <c r="G607" t="n">
        <v>11.4</v>
      </c>
      <c r="H607" t="n">
        <v>0</v>
      </c>
      <c r="I607" t="n">
        <v>0</v>
      </c>
      <c r="J607" t="n">
        <v>0</v>
      </c>
      <c r="K607" t="n">
        <v>0</v>
      </c>
      <c r="L607" t="n">
        <v>0</v>
      </c>
      <c r="M607" t="n">
        <v>0</v>
      </c>
      <c r="N607" t="n">
        <v>0</v>
      </c>
      <c r="O607" t="n">
        <v>0</v>
      </c>
      <c r="P607" t="n">
        <v>0</v>
      </c>
      <c r="Q607" t="n">
        <v>0</v>
      </c>
      <c r="R607" s="2" t="inlineStr"/>
    </row>
    <row r="608" ht="15" customHeight="1">
      <c r="A608" t="inlineStr">
        <is>
          <t>A 40871-2021</t>
        </is>
      </c>
      <c r="B608" s="1" t="n">
        <v>44421</v>
      </c>
      <c r="C608" s="1" t="n">
        <v>46092</v>
      </c>
      <c r="D608" t="inlineStr">
        <is>
          <t>VÄSTMANLANDS LÄN</t>
        </is>
      </c>
      <c r="E608" t="inlineStr">
        <is>
          <t>SALA</t>
        </is>
      </c>
      <c r="G608" t="n">
        <v>1.4</v>
      </c>
      <c r="H608" t="n">
        <v>0</v>
      </c>
      <c r="I608" t="n">
        <v>0</v>
      </c>
      <c r="J608" t="n">
        <v>0</v>
      </c>
      <c r="K608" t="n">
        <v>0</v>
      </c>
      <c r="L608" t="n">
        <v>0</v>
      </c>
      <c r="M608" t="n">
        <v>0</v>
      </c>
      <c r="N608" t="n">
        <v>0</v>
      </c>
      <c r="O608" t="n">
        <v>0</v>
      </c>
      <c r="P608" t="n">
        <v>0</v>
      </c>
      <c r="Q608" t="n">
        <v>0</v>
      </c>
      <c r="R608" s="2" t="inlineStr"/>
    </row>
    <row r="609" ht="15" customHeight="1">
      <c r="A609" t="inlineStr">
        <is>
          <t>A 14271-2025</t>
        </is>
      </c>
      <c r="B609" s="1" t="n">
        <v>45740.64129629629</v>
      </c>
      <c r="C609" s="1" t="n">
        <v>46092</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54199-2024</t>
        </is>
      </c>
      <c r="B610" s="1" t="n">
        <v>45616.64703703704</v>
      </c>
      <c r="C610" s="1" t="n">
        <v>46092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6312-2025</t>
        </is>
      </c>
      <c r="B611" s="1" t="n">
        <v>45698</v>
      </c>
      <c r="C611" s="1" t="n">
        <v>46092</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44857-2023</t>
        </is>
      </c>
      <c r="B612" s="1" t="n">
        <v>45190.58479166667</v>
      </c>
      <c r="C612" s="1" t="n">
        <v>46092</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62654-2022</t>
        </is>
      </c>
      <c r="B613" s="1" t="n">
        <v>44917</v>
      </c>
      <c r="C613" s="1" t="n">
        <v>46092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43188-2023</t>
        </is>
      </c>
      <c r="B614" s="1" t="n">
        <v>45183</v>
      </c>
      <c r="C614" s="1" t="n">
        <v>46092</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43205-2023</t>
        </is>
      </c>
      <c r="B615" s="1" t="n">
        <v>45183</v>
      </c>
      <c r="C615" s="1" t="n">
        <v>46092</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61892-2021</t>
        </is>
      </c>
      <c r="B616" s="1" t="n">
        <v>44502</v>
      </c>
      <c r="C616" s="1" t="n">
        <v>46092</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29213-2022</t>
        </is>
      </c>
      <c r="B617" s="1" t="n">
        <v>44750.57474537037</v>
      </c>
      <c r="C617" s="1" t="n">
        <v>46092</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59483-2022</t>
        </is>
      </c>
      <c r="B618" s="1" t="n">
        <v>44907.45679398148</v>
      </c>
      <c r="C618" s="1" t="n">
        <v>46092</v>
      </c>
      <c r="D618" t="inlineStr">
        <is>
          <t>VÄSTMANLANDS LÄN</t>
        </is>
      </c>
      <c r="E618" t="inlineStr">
        <is>
          <t>SALA</t>
        </is>
      </c>
      <c r="G618" t="n">
        <v>5.2</v>
      </c>
      <c r="H618" t="n">
        <v>0</v>
      </c>
      <c r="I618" t="n">
        <v>0</v>
      </c>
      <c r="J618" t="n">
        <v>0</v>
      </c>
      <c r="K618" t="n">
        <v>0</v>
      </c>
      <c r="L618" t="n">
        <v>0</v>
      </c>
      <c r="M618" t="n">
        <v>0</v>
      </c>
      <c r="N618" t="n">
        <v>0</v>
      </c>
      <c r="O618" t="n">
        <v>0</v>
      </c>
      <c r="P618" t="n">
        <v>0</v>
      </c>
      <c r="Q618" t="n">
        <v>0</v>
      </c>
      <c r="R618" s="2" t="inlineStr"/>
    </row>
    <row r="619" ht="15" customHeight="1">
      <c r="A619" t="inlineStr">
        <is>
          <t>A 16160-2024</t>
        </is>
      </c>
      <c r="B619" s="1" t="n">
        <v>45406</v>
      </c>
      <c r="C619" s="1" t="n">
        <v>46092</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39597-2022</t>
        </is>
      </c>
      <c r="B620" s="1" t="n">
        <v>44818</v>
      </c>
      <c r="C620" s="1" t="n">
        <v>46092</v>
      </c>
      <c r="D620" t="inlineStr">
        <is>
          <t>VÄSTMANLANDS LÄN</t>
        </is>
      </c>
      <c r="E620" t="inlineStr">
        <is>
          <t>SALA</t>
        </is>
      </c>
      <c r="G620" t="n">
        <v>2.3</v>
      </c>
      <c r="H620" t="n">
        <v>0</v>
      </c>
      <c r="I620" t="n">
        <v>0</v>
      </c>
      <c r="J620" t="n">
        <v>0</v>
      </c>
      <c r="K620" t="n">
        <v>0</v>
      </c>
      <c r="L620" t="n">
        <v>0</v>
      </c>
      <c r="M620" t="n">
        <v>0</v>
      </c>
      <c r="N620" t="n">
        <v>0</v>
      </c>
      <c r="O620" t="n">
        <v>0</v>
      </c>
      <c r="P620" t="n">
        <v>0</v>
      </c>
      <c r="Q620" t="n">
        <v>0</v>
      </c>
      <c r="R620" s="2" t="inlineStr"/>
    </row>
    <row r="621" ht="15" customHeight="1">
      <c r="A621" t="inlineStr">
        <is>
          <t>A 22921-2023</t>
        </is>
      </c>
      <c r="B621" s="1" t="n">
        <v>45070</v>
      </c>
      <c r="C621" s="1" t="n">
        <v>46092</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36858-2023</t>
        </is>
      </c>
      <c r="B622" s="1" t="n">
        <v>45154.55184027777</v>
      </c>
      <c r="C622" s="1" t="n">
        <v>46092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55024-2023</t>
        </is>
      </c>
      <c r="B623" s="1" t="n">
        <v>45229</v>
      </c>
      <c r="C623" s="1" t="n">
        <v>46092</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55032-2023</t>
        </is>
      </c>
      <c r="B624" s="1" t="n">
        <v>45229</v>
      </c>
      <c r="C624" s="1" t="n">
        <v>46092</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20352-2022</t>
        </is>
      </c>
      <c r="B625" s="1" t="n">
        <v>44699.37318287037</v>
      </c>
      <c r="C625" s="1" t="n">
        <v>46092</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5032-2025</t>
        </is>
      </c>
      <c r="B626" s="1" t="n">
        <v>45691</v>
      </c>
      <c r="C626" s="1" t="n">
        <v>46092</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17117-2023</t>
        </is>
      </c>
      <c r="B627" s="1" t="n">
        <v>45034</v>
      </c>
      <c r="C627" s="1" t="n">
        <v>46092</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19243-2025</t>
        </is>
      </c>
      <c r="B628" s="1" t="n">
        <v>45769</v>
      </c>
      <c r="C628" s="1" t="n">
        <v>46092</v>
      </c>
      <c r="D628" t="inlineStr">
        <is>
          <t>VÄSTMANLANDS LÄN</t>
        </is>
      </c>
      <c r="E628" t="inlineStr">
        <is>
          <t>SALA</t>
        </is>
      </c>
      <c r="F628" t="inlineStr">
        <is>
          <t>Bergvik skog öst AB</t>
        </is>
      </c>
      <c r="G628" t="n">
        <v>1.5</v>
      </c>
      <c r="H628" t="n">
        <v>0</v>
      </c>
      <c r="I628" t="n">
        <v>0</v>
      </c>
      <c r="J628" t="n">
        <v>0</v>
      </c>
      <c r="K628" t="n">
        <v>0</v>
      </c>
      <c r="L628" t="n">
        <v>0</v>
      </c>
      <c r="M628" t="n">
        <v>0</v>
      </c>
      <c r="N628" t="n">
        <v>0</v>
      </c>
      <c r="O628" t="n">
        <v>0</v>
      </c>
      <c r="P628" t="n">
        <v>0</v>
      </c>
      <c r="Q628" t="n">
        <v>0</v>
      </c>
      <c r="R628" s="2" t="inlineStr"/>
    </row>
    <row r="629" ht="15" customHeight="1">
      <c r="A629" t="inlineStr">
        <is>
          <t>A 7166-2025</t>
        </is>
      </c>
      <c r="B629" s="1" t="n">
        <v>45702</v>
      </c>
      <c r="C629" s="1" t="n">
        <v>46092</v>
      </c>
      <c r="D629" t="inlineStr">
        <is>
          <t>VÄSTMANLANDS LÄN</t>
        </is>
      </c>
      <c r="E629" t="inlineStr">
        <is>
          <t>SALA</t>
        </is>
      </c>
      <c r="G629" t="n">
        <v>6.1</v>
      </c>
      <c r="H629" t="n">
        <v>0</v>
      </c>
      <c r="I629" t="n">
        <v>0</v>
      </c>
      <c r="J629" t="n">
        <v>0</v>
      </c>
      <c r="K629" t="n">
        <v>0</v>
      </c>
      <c r="L629" t="n">
        <v>0</v>
      </c>
      <c r="M629" t="n">
        <v>0</v>
      </c>
      <c r="N629" t="n">
        <v>0</v>
      </c>
      <c r="O629" t="n">
        <v>0</v>
      </c>
      <c r="P629" t="n">
        <v>0</v>
      </c>
      <c r="Q629" t="n">
        <v>0</v>
      </c>
      <c r="R629" s="2" t="inlineStr"/>
    </row>
    <row r="630" ht="15" customHeight="1">
      <c r="A630" t="inlineStr">
        <is>
          <t>A 36393-2023</t>
        </is>
      </c>
      <c r="B630" s="1" t="n">
        <v>45152</v>
      </c>
      <c r="C630" s="1" t="n">
        <v>46092</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26416-2023</t>
        </is>
      </c>
      <c r="B631" s="1" t="n">
        <v>45092.38087962963</v>
      </c>
      <c r="C631" s="1" t="n">
        <v>46092</v>
      </c>
      <c r="D631" t="inlineStr">
        <is>
          <t>VÄSTMANLANDS LÄN</t>
        </is>
      </c>
      <c r="E631" t="inlineStr">
        <is>
          <t>SALA</t>
        </is>
      </c>
      <c r="G631" t="n">
        <v>2.9</v>
      </c>
      <c r="H631" t="n">
        <v>0</v>
      </c>
      <c r="I631" t="n">
        <v>0</v>
      </c>
      <c r="J631" t="n">
        <v>0</v>
      </c>
      <c r="K631" t="n">
        <v>0</v>
      </c>
      <c r="L631" t="n">
        <v>0</v>
      </c>
      <c r="M631" t="n">
        <v>0</v>
      </c>
      <c r="N631" t="n">
        <v>0</v>
      </c>
      <c r="O631" t="n">
        <v>0</v>
      </c>
      <c r="P631" t="n">
        <v>0</v>
      </c>
      <c r="Q631" t="n">
        <v>0</v>
      </c>
      <c r="R631" s="2" t="inlineStr"/>
    </row>
    <row r="632" ht="15" customHeight="1">
      <c r="A632" t="inlineStr">
        <is>
          <t>A 28661-2024</t>
        </is>
      </c>
      <c r="B632" s="1" t="n">
        <v>45478</v>
      </c>
      <c r="C632" s="1" t="n">
        <v>46092</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27255-2023</t>
        </is>
      </c>
      <c r="B633" s="1" t="n">
        <v>45096</v>
      </c>
      <c r="C633" s="1" t="n">
        <v>46092</v>
      </c>
      <c r="D633" t="inlineStr">
        <is>
          <t>VÄSTMANLANDS LÄN</t>
        </is>
      </c>
      <c r="E633" t="inlineStr">
        <is>
          <t>SALA</t>
        </is>
      </c>
      <c r="F633" t="inlineStr">
        <is>
          <t>Sveaskog</t>
        </is>
      </c>
      <c r="G633" t="n">
        <v>2.3</v>
      </c>
      <c r="H633" t="n">
        <v>0</v>
      </c>
      <c r="I633" t="n">
        <v>0</v>
      </c>
      <c r="J633" t="n">
        <v>0</v>
      </c>
      <c r="K633" t="n">
        <v>0</v>
      </c>
      <c r="L633" t="n">
        <v>0</v>
      </c>
      <c r="M633" t="n">
        <v>0</v>
      </c>
      <c r="N633" t="n">
        <v>0</v>
      </c>
      <c r="O633" t="n">
        <v>0</v>
      </c>
      <c r="P633" t="n">
        <v>0</v>
      </c>
      <c r="Q633" t="n">
        <v>0</v>
      </c>
      <c r="R633" s="2" t="inlineStr"/>
    </row>
    <row r="634" ht="15" customHeight="1">
      <c r="A634" t="inlineStr">
        <is>
          <t>A 7197-2025</t>
        </is>
      </c>
      <c r="B634" s="1" t="n">
        <v>45702</v>
      </c>
      <c r="C634" s="1" t="n">
        <v>46092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13752-2025</t>
        </is>
      </c>
      <c r="B635" s="1" t="n">
        <v>45737.41416666667</v>
      </c>
      <c r="C635" s="1" t="n">
        <v>46092</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2927-2024</t>
        </is>
      </c>
      <c r="B636" s="1" t="n">
        <v>45315.58989583333</v>
      </c>
      <c r="C636" s="1" t="n">
        <v>46092</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26854-2024</t>
        </is>
      </c>
      <c r="B637" s="1" t="n">
        <v>45470</v>
      </c>
      <c r="C637" s="1" t="n">
        <v>46092</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48570-2024</t>
        </is>
      </c>
      <c r="B638" s="1" t="n">
        <v>45591</v>
      </c>
      <c r="C638" s="1" t="n">
        <v>46092</v>
      </c>
      <c r="D638" t="inlineStr">
        <is>
          <t>VÄSTMANLANDS LÄN</t>
        </is>
      </c>
      <c r="E638" t="inlineStr">
        <is>
          <t>SALA</t>
        </is>
      </c>
      <c r="G638" t="n">
        <v>3</v>
      </c>
      <c r="H638" t="n">
        <v>0</v>
      </c>
      <c r="I638" t="n">
        <v>0</v>
      </c>
      <c r="J638" t="n">
        <v>0</v>
      </c>
      <c r="K638" t="n">
        <v>0</v>
      </c>
      <c r="L638" t="n">
        <v>0</v>
      </c>
      <c r="M638" t="n">
        <v>0</v>
      </c>
      <c r="N638" t="n">
        <v>0</v>
      </c>
      <c r="O638" t="n">
        <v>0</v>
      </c>
      <c r="P638" t="n">
        <v>0</v>
      </c>
      <c r="Q638" t="n">
        <v>0</v>
      </c>
      <c r="R638" s="2" t="inlineStr"/>
    </row>
    <row r="639" ht="15" customHeight="1">
      <c r="A639" t="inlineStr">
        <is>
          <t>A 57883-2024</t>
        </is>
      </c>
      <c r="B639" s="1" t="n">
        <v>45630</v>
      </c>
      <c r="C639" s="1" t="n">
        <v>46092</v>
      </c>
      <c r="D639" t="inlineStr">
        <is>
          <t>VÄSTMANLANDS LÄN</t>
        </is>
      </c>
      <c r="E639" t="inlineStr">
        <is>
          <t>SALA</t>
        </is>
      </c>
      <c r="G639" t="n">
        <v>5.4</v>
      </c>
      <c r="H639" t="n">
        <v>0</v>
      </c>
      <c r="I639" t="n">
        <v>0</v>
      </c>
      <c r="J639" t="n">
        <v>0</v>
      </c>
      <c r="K639" t="n">
        <v>0</v>
      </c>
      <c r="L639" t="n">
        <v>0</v>
      </c>
      <c r="M639" t="n">
        <v>0</v>
      </c>
      <c r="N639" t="n">
        <v>0</v>
      </c>
      <c r="O639" t="n">
        <v>0</v>
      </c>
      <c r="P639" t="n">
        <v>0</v>
      </c>
      <c r="Q639" t="n">
        <v>0</v>
      </c>
      <c r="R639" s="2" t="inlineStr"/>
    </row>
    <row r="640" ht="15" customHeight="1">
      <c r="A640" t="inlineStr">
        <is>
          <t>A 16769-2024</t>
        </is>
      </c>
      <c r="B640" s="1" t="n">
        <v>45411.38738425926</v>
      </c>
      <c r="C640" s="1" t="n">
        <v>46092</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18877-2023</t>
        </is>
      </c>
      <c r="B641" s="1" t="n">
        <v>45044</v>
      </c>
      <c r="C641" s="1" t="n">
        <v>46092</v>
      </c>
      <c r="D641" t="inlineStr">
        <is>
          <t>VÄSTMANLANDS LÄN</t>
        </is>
      </c>
      <c r="E641" t="inlineStr">
        <is>
          <t>SALA</t>
        </is>
      </c>
      <c r="F641" t="inlineStr">
        <is>
          <t>Kommuner</t>
        </is>
      </c>
      <c r="G641" t="n">
        <v>4.4</v>
      </c>
      <c r="H641" t="n">
        <v>0</v>
      </c>
      <c r="I641" t="n">
        <v>0</v>
      </c>
      <c r="J641" t="n">
        <v>0</v>
      </c>
      <c r="K641" t="n">
        <v>0</v>
      </c>
      <c r="L641" t="n">
        <v>0</v>
      </c>
      <c r="M641" t="n">
        <v>0</v>
      </c>
      <c r="N641" t="n">
        <v>0</v>
      </c>
      <c r="O641" t="n">
        <v>0</v>
      </c>
      <c r="P641" t="n">
        <v>0</v>
      </c>
      <c r="Q641" t="n">
        <v>0</v>
      </c>
      <c r="R641" s="2" t="inlineStr"/>
    </row>
    <row r="642" ht="15" customHeight="1">
      <c r="A642" t="inlineStr">
        <is>
          <t>A 44544-2024</t>
        </is>
      </c>
      <c r="B642" s="1" t="n">
        <v>45574.46119212963</v>
      </c>
      <c r="C642" s="1" t="n">
        <v>46092</v>
      </c>
      <c r="D642" t="inlineStr">
        <is>
          <t>VÄSTMANLANDS LÄN</t>
        </is>
      </c>
      <c r="E642" t="inlineStr">
        <is>
          <t>SALA</t>
        </is>
      </c>
      <c r="G642" t="n">
        <v>3.3</v>
      </c>
      <c r="H642" t="n">
        <v>0</v>
      </c>
      <c r="I642" t="n">
        <v>0</v>
      </c>
      <c r="J642" t="n">
        <v>0</v>
      </c>
      <c r="K642" t="n">
        <v>0</v>
      </c>
      <c r="L642" t="n">
        <v>0</v>
      </c>
      <c r="M642" t="n">
        <v>0</v>
      </c>
      <c r="N642" t="n">
        <v>0</v>
      </c>
      <c r="O642" t="n">
        <v>0</v>
      </c>
      <c r="P642" t="n">
        <v>0</v>
      </c>
      <c r="Q642" t="n">
        <v>0</v>
      </c>
      <c r="R642" s="2" t="inlineStr"/>
    </row>
    <row r="643" ht="15" customHeight="1">
      <c r="A643" t="inlineStr">
        <is>
          <t>A 60379-2022</t>
        </is>
      </c>
      <c r="B643" s="1" t="n">
        <v>44910</v>
      </c>
      <c r="C643" s="1" t="n">
        <v>46092</v>
      </c>
      <c r="D643" t="inlineStr">
        <is>
          <t>VÄSTMANLANDS LÄN</t>
        </is>
      </c>
      <c r="E643" t="inlineStr">
        <is>
          <t>SALA</t>
        </is>
      </c>
      <c r="F643" t="inlineStr">
        <is>
          <t>Kyrkan</t>
        </is>
      </c>
      <c r="G643" t="n">
        <v>2.5</v>
      </c>
      <c r="H643" t="n">
        <v>0</v>
      </c>
      <c r="I643" t="n">
        <v>0</v>
      </c>
      <c r="J643" t="n">
        <v>0</v>
      </c>
      <c r="K643" t="n">
        <v>0</v>
      </c>
      <c r="L643" t="n">
        <v>0</v>
      </c>
      <c r="M643" t="n">
        <v>0</v>
      </c>
      <c r="N643" t="n">
        <v>0</v>
      </c>
      <c r="O643" t="n">
        <v>0</v>
      </c>
      <c r="P643" t="n">
        <v>0</v>
      </c>
      <c r="Q643" t="n">
        <v>0</v>
      </c>
      <c r="R643" s="2" t="inlineStr"/>
    </row>
    <row r="644" ht="15" customHeight="1">
      <c r="A644" t="inlineStr">
        <is>
          <t>A 56547-2022</t>
        </is>
      </c>
      <c r="B644" s="1" t="n">
        <v>44893.48284722222</v>
      </c>
      <c r="C644" s="1" t="n">
        <v>46092</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29542-2023</t>
        </is>
      </c>
      <c r="B645" s="1" t="n">
        <v>45098</v>
      </c>
      <c r="C645" s="1" t="n">
        <v>46092</v>
      </c>
      <c r="D645" t="inlineStr">
        <is>
          <t>VÄSTMANLANDS LÄN</t>
        </is>
      </c>
      <c r="E645" t="inlineStr">
        <is>
          <t>SALA</t>
        </is>
      </c>
      <c r="G645" t="n">
        <v>4.8</v>
      </c>
      <c r="H645" t="n">
        <v>0</v>
      </c>
      <c r="I645" t="n">
        <v>0</v>
      </c>
      <c r="J645" t="n">
        <v>0</v>
      </c>
      <c r="K645" t="n">
        <v>0</v>
      </c>
      <c r="L645" t="n">
        <v>0</v>
      </c>
      <c r="M645" t="n">
        <v>0</v>
      </c>
      <c r="N645" t="n">
        <v>0</v>
      </c>
      <c r="O645" t="n">
        <v>0</v>
      </c>
      <c r="P645" t="n">
        <v>0</v>
      </c>
      <c r="Q645" t="n">
        <v>0</v>
      </c>
      <c r="R645" s="2" t="inlineStr"/>
    </row>
    <row r="646" ht="15" customHeight="1">
      <c r="A646" t="inlineStr">
        <is>
          <t>A 16638-2023</t>
        </is>
      </c>
      <c r="B646" s="1" t="n">
        <v>45027</v>
      </c>
      <c r="C646" s="1" t="n">
        <v>46092</v>
      </c>
      <c r="D646" t="inlineStr">
        <is>
          <t>VÄSTMANLANDS LÄN</t>
        </is>
      </c>
      <c r="E646" t="inlineStr">
        <is>
          <t>SALA</t>
        </is>
      </c>
      <c r="G646" t="n">
        <v>14.8</v>
      </c>
      <c r="H646" t="n">
        <v>0</v>
      </c>
      <c r="I646" t="n">
        <v>0</v>
      </c>
      <c r="J646" t="n">
        <v>0</v>
      </c>
      <c r="K646" t="n">
        <v>0</v>
      </c>
      <c r="L646" t="n">
        <v>0</v>
      </c>
      <c r="M646" t="n">
        <v>0</v>
      </c>
      <c r="N646" t="n">
        <v>0</v>
      </c>
      <c r="O646" t="n">
        <v>0</v>
      </c>
      <c r="P646" t="n">
        <v>0</v>
      </c>
      <c r="Q646" t="n">
        <v>0</v>
      </c>
      <c r="R646" s="2" t="inlineStr"/>
    </row>
    <row r="647" ht="15" customHeight="1">
      <c r="A647" t="inlineStr">
        <is>
          <t>A 37190-2024</t>
        </is>
      </c>
      <c r="B647" s="1" t="n">
        <v>45539</v>
      </c>
      <c r="C647" s="1" t="n">
        <v>46092</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23222-2023</t>
        </is>
      </c>
      <c r="B648" s="1" t="n">
        <v>45075</v>
      </c>
      <c r="C648" s="1" t="n">
        <v>46092</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23224-2023</t>
        </is>
      </c>
      <c r="B649" s="1" t="n">
        <v>45075.65040509259</v>
      </c>
      <c r="C649" s="1" t="n">
        <v>46092</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22026-2021</t>
        </is>
      </c>
      <c r="B650" s="1" t="n">
        <v>44323</v>
      </c>
      <c r="C650" s="1" t="n">
        <v>46092</v>
      </c>
      <c r="D650" t="inlineStr">
        <is>
          <t>VÄSTMANLANDS LÄN</t>
        </is>
      </c>
      <c r="E650" t="inlineStr">
        <is>
          <t>SALA</t>
        </is>
      </c>
      <c r="G650" t="n">
        <v>2.9</v>
      </c>
      <c r="H650" t="n">
        <v>0</v>
      </c>
      <c r="I650" t="n">
        <v>0</v>
      </c>
      <c r="J650" t="n">
        <v>0</v>
      </c>
      <c r="K650" t="n">
        <v>0</v>
      </c>
      <c r="L650" t="n">
        <v>0</v>
      </c>
      <c r="M650" t="n">
        <v>0</v>
      </c>
      <c r="N650" t="n">
        <v>0</v>
      </c>
      <c r="O650" t="n">
        <v>0</v>
      </c>
      <c r="P650" t="n">
        <v>0</v>
      </c>
      <c r="Q650" t="n">
        <v>0</v>
      </c>
      <c r="R650" s="2" t="inlineStr"/>
    </row>
    <row r="651" ht="15" customHeight="1">
      <c r="A651" t="inlineStr">
        <is>
          <t>A 68864-2021</t>
        </is>
      </c>
      <c r="B651" s="1" t="n">
        <v>44530</v>
      </c>
      <c r="C651" s="1" t="n">
        <v>46092</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19065-2022</t>
        </is>
      </c>
      <c r="B652" s="1" t="n">
        <v>44691.44309027777</v>
      </c>
      <c r="C652" s="1" t="n">
        <v>46092</v>
      </c>
      <c r="D652" t="inlineStr">
        <is>
          <t>VÄSTMANLANDS LÄN</t>
        </is>
      </c>
      <c r="E652" t="inlineStr">
        <is>
          <t>SALA</t>
        </is>
      </c>
      <c r="G652" t="n">
        <v>3.4</v>
      </c>
      <c r="H652" t="n">
        <v>0</v>
      </c>
      <c r="I652" t="n">
        <v>0</v>
      </c>
      <c r="J652" t="n">
        <v>0</v>
      </c>
      <c r="K652" t="n">
        <v>0</v>
      </c>
      <c r="L652" t="n">
        <v>0</v>
      </c>
      <c r="M652" t="n">
        <v>0</v>
      </c>
      <c r="N652" t="n">
        <v>0</v>
      </c>
      <c r="O652" t="n">
        <v>0</v>
      </c>
      <c r="P652" t="n">
        <v>0</v>
      </c>
      <c r="Q652" t="n">
        <v>0</v>
      </c>
      <c r="R652" s="2" t="inlineStr"/>
    </row>
    <row r="653" ht="15" customHeight="1">
      <c r="A653" t="inlineStr">
        <is>
          <t>A 37612-2024</t>
        </is>
      </c>
      <c r="B653" s="1" t="n">
        <v>45541</v>
      </c>
      <c r="C653" s="1" t="n">
        <v>46092</v>
      </c>
      <c r="D653" t="inlineStr">
        <is>
          <t>VÄSTMANLANDS LÄN</t>
        </is>
      </c>
      <c r="E653" t="inlineStr">
        <is>
          <t>SALA</t>
        </is>
      </c>
      <c r="G653" t="n">
        <v>2.2</v>
      </c>
      <c r="H653" t="n">
        <v>0</v>
      </c>
      <c r="I653" t="n">
        <v>0</v>
      </c>
      <c r="J653" t="n">
        <v>0</v>
      </c>
      <c r="K653" t="n">
        <v>0</v>
      </c>
      <c r="L653" t="n">
        <v>0</v>
      </c>
      <c r="M653" t="n">
        <v>0</v>
      </c>
      <c r="N653" t="n">
        <v>0</v>
      </c>
      <c r="O653" t="n">
        <v>0</v>
      </c>
      <c r="P653" t="n">
        <v>0</v>
      </c>
      <c r="Q653" t="n">
        <v>0</v>
      </c>
      <c r="R653" s="2" t="inlineStr"/>
    </row>
    <row r="654" ht="15" customHeight="1">
      <c r="A654" t="inlineStr">
        <is>
          <t>A 37615-2024</t>
        </is>
      </c>
      <c r="B654" s="1" t="n">
        <v>45541.50673611111</v>
      </c>
      <c r="C654" s="1" t="n">
        <v>46092</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18158-2025</t>
        </is>
      </c>
      <c r="B655" s="1" t="n">
        <v>45761</v>
      </c>
      <c r="C655" s="1" t="n">
        <v>46092</v>
      </c>
      <c r="D655" t="inlineStr">
        <is>
          <t>VÄSTMANLANDS LÄN</t>
        </is>
      </c>
      <c r="E655" t="inlineStr">
        <is>
          <t>SALA</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9962-2025</t>
        </is>
      </c>
      <c r="B656" s="1" t="n">
        <v>45719.37072916667</v>
      </c>
      <c r="C656" s="1" t="n">
        <v>46092</v>
      </c>
      <c r="D656" t="inlineStr">
        <is>
          <t>VÄSTMANLANDS LÄN</t>
        </is>
      </c>
      <c r="E656" t="inlineStr">
        <is>
          <t>SALA</t>
        </is>
      </c>
      <c r="G656" t="n">
        <v>4.5</v>
      </c>
      <c r="H656" t="n">
        <v>0</v>
      </c>
      <c r="I656" t="n">
        <v>0</v>
      </c>
      <c r="J656" t="n">
        <v>0</v>
      </c>
      <c r="K656" t="n">
        <v>0</v>
      </c>
      <c r="L656" t="n">
        <v>0</v>
      </c>
      <c r="M656" t="n">
        <v>0</v>
      </c>
      <c r="N656" t="n">
        <v>0</v>
      </c>
      <c r="O656" t="n">
        <v>0</v>
      </c>
      <c r="P656" t="n">
        <v>0</v>
      </c>
      <c r="Q656" t="n">
        <v>0</v>
      </c>
      <c r="R656" s="2" t="inlineStr"/>
    </row>
    <row r="657" ht="15" customHeight="1">
      <c r="A657" t="inlineStr">
        <is>
          <t>A 37602-2024</t>
        </is>
      </c>
      <c r="B657" s="1" t="n">
        <v>45541</v>
      </c>
      <c r="C657" s="1" t="n">
        <v>46092</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18762-2024</t>
        </is>
      </c>
      <c r="B658" s="1" t="n">
        <v>45426.55240740741</v>
      </c>
      <c r="C658" s="1" t="n">
        <v>46092</v>
      </c>
      <c r="D658" t="inlineStr">
        <is>
          <t>VÄSTMANLANDS LÄN</t>
        </is>
      </c>
      <c r="E658" t="inlineStr">
        <is>
          <t>SALA</t>
        </is>
      </c>
      <c r="G658" t="n">
        <v>6.2</v>
      </c>
      <c r="H658" t="n">
        <v>0</v>
      </c>
      <c r="I658" t="n">
        <v>0</v>
      </c>
      <c r="J658" t="n">
        <v>0</v>
      </c>
      <c r="K658" t="n">
        <v>0</v>
      </c>
      <c r="L658" t="n">
        <v>0</v>
      </c>
      <c r="M658" t="n">
        <v>0</v>
      </c>
      <c r="N658" t="n">
        <v>0</v>
      </c>
      <c r="O658" t="n">
        <v>0</v>
      </c>
      <c r="P658" t="n">
        <v>0</v>
      </c>
      <c r="Q658" t="n">
        <v>0</v>
      </c>
      <c r="R658" s="2" t="inlineStr"/>
    </row>
    <row r="659" ht="15" customHeight="1">
      <c r="A659" t="inlineStr">
        <is>
          <t>A 39011-2023</t>
        </is>
      </c>
      <c r="B659" s="1" t="n">
        <v>45162</v>
      </c>
      <c r="C659" s="1" t="n">
        <v>46092</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46352-2023</t>
        </is>
      </c>
      <c r="B660" s="1" t="n">
        <v>45192</v>
      </c>
      <c r="C660" s="1" t="n">
        <v>46092</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43751-2021</t>
        </is>
      </c>
      <c r="B661" s="1" t="n">
        <v>44433</v>
      </c>
      <c r="C661" s="1" t="n">
        <v>46092</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1128-2025</t>
        </is>
      </c>
      <c r="B662" s="1" t="n">
        <v>45666.68469907407</v>
      </c>
      <c r="C662" s="1" t="n">
        <v>46092</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31950-2023</t>
        </is>
      </c>
      <c r="B663" s="1" t="n">
        <v>45107</v>
      </c>
      <c r="C663" s="1" t="n">
        <v>46092</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56540-2024</t>
        </is>
      </c>
      <c r="B664" s="1" t="n">
        <v>45625</v>
      </c>
      <c r="C664" s="1" t="n">
        <v>46092</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6116-2023</t>
        </is>
      </c>
      <c r="B665" s="1" t="n">
        <v>44964</v>
      </c>
      <c r="C665" s="1" t="n">
        <v>46092</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25860-2024</t>
        </is>
      </c>
      <c r="B666" s="1" t="n">
        <v>45467.46278935186</v>
      </c>
      <c r="C666" s="1" t="n">
        <v>46092</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56916-2022</t>
        </is>
      </c>
      <c r="B667" s="1" t="n">
        <v>44888</v>
      </c>
      <c r="C667" s="1" t="n">
        <v>46092</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71471-2021</t>
        </is>
      </c>
      <c r="B668" s="1" t="n">
        <v>44540.53421296296</v>
      </c>
      <c r="C668" s="1" t="n">
        <v>46092</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46092</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46092</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46092</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17051-2025</t>
        </is>
      </c>
      <c r="B672" s="1" t="n">
        <v>45755</v>
      </c>
      <c r="C672" s="1" t="n">
        <v>46092</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43509-2021</t>
        </is>
      </c>
      <c r="B673" s="1" t="n">
        <v>44433</v>
      </c>
      <c r="C673" s="1" t="n">
        <v>46092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54959-2024</t>
        </is>
      </c>
      <c r="B674" s="1" t="n">
        <v>45619</v>
      </c>
      <c r="C674" s="1" t="n">
        <v>46092</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56964-2023</t>
        </is>
      </c>
      <c r="B675" s="1" t="n">
        <v>45244.63140046296</v>
      </c>
      <c r="C675" s="1" t="n">
        <v>46092</v>
      </c>
      <c r="D675" t="inlineStr">
        <is>
          <t>VÄSTMANLANDS LÄN</t>
        </is>
      </c>
      <c r="E675" t="inlineStr">
        <is>
          <t>SALA</t>
        </is>
      </c>
      <c r="G675" t="n">
        <v>4.6</v>
      </c>
      <c r="H675" t="n">
        <v>0</v>
      </c>
      <c r="I675" t="n">
        <v>0</v>
      </c>
      <c r="J675" t="n">
        <v>0</v>
      </c>
      <c r="K675" t="n">
        <v>0</v>
      </c>
      <c r="L675" t="n">
        <v>0</v>
      </c>
      <c r="M675" t="n">
        <v>0</v>
      </c>
      <c r="N675" t="n">
        <v>0</v>
      </c>
      <c r="O675" t="n">
        <v>0</v>
      </c>
      <c r="P675" t="n">
        <v>0</v>
      </c>
      <c r="Q675" t="n">
        <v>0</v>
      </c>
      <c r="R675" s="2" t="inlineStr"/>
    </row>
    <row r="676" ht="15" customHeight="1">
      <c r="A676" t="inlineStr">
        <is>
          <t>A 37337-2024</t>
        </is>
      </c>
      <c r="B676" s="1" t="n">
        <v>45540</v>
      </c>
      <c r="C676" s="1" t="n">
        <v>46092</v>
      </c>
      <c r="D676" t="inlineStr">
        <is>
          <t>VÄSTMANLANDS LÄN</t>
        </is>
      </c>
      <c r="E676" t="inlineStr">
        <is>
          <t>SALA</t>
        </is>
      </c>
      <c r="G676" t="n">
        <v>6.5</v>
      </c>
      <c r="H676" t="n">
        <v>0</v>
      </c>
      <c r="I676" t="n">
        <v>0</v>
      </c>
      <c r="J676" t="n">
        <v>0</v>
      </c>
      <c r="K676" t="n">
        <v>0</v>
      </c>
      <c r="L676" t="n">
        <v>0</v>
      </c>
      <c r="M676" t="n">
        <v>0</v>
      </c>
      <c r="N676" t="n">
        <v>0</v>
      </c>
      <c r="O676" t="n">
        <v>0</v>
      </c>
      <c r="P676" t="n">
        <v>0</v>
      </c>
      <c r="Q676" t="n">
        <v>0</v>
      </c>
      <c r="R676" s="2" t="inlineStr"/>
    </row>
    <row r="677" ht="15" customHeight="1">
      <c r="A677" t="inlineStr">
        <is>
          <t>A 17120-2023</t>
        </is>
      </c>
      <c r="B677" s="1" t="n">
        <v>45034</v>
      </c>
      <c r="C677" s="1" t="n">
        <v>46092</v>
      </c>
      <c r="D677" t="inlineStr">
        <is>
          <t>VÄSTMANLANDS LÄN</t>
        </is>
      </c>
      <c r="E677" t="inlineStr">
        <is>
          <t>SALA</t>
        </is>
      </c>
      <c r="G677" t="n">
        <v>0.1</v>
      </c>
      <c r="H677" t="n">
        <v>0</v>
      </c>
      <c r="I677" t="n">
        <v>0</v>
      </c>
      <c r="J677" t="n">
        <v>0</v>
      </c>
      <c r="K677" t="n">
        <v>0</v>
      </c>
      <c r="L677" t="n">
        <v>0</v>
      </c>
      <c r="M677" t="n">
        <v>0</v>
      </c>
      <c r="N677" t="n">
        <v>0</v>
      </c>
      <c r="O677" t="n">
        <v>0</v>
      </c>
      <c r="P677" t="n">
        <v>0</v>
      </c>
      <c r="Q677" t="n">
        <v>0</v>
      </c>
      <c r="R677" s="2" t="inlineStr"/>
    </row>
    <row r="678" ht="15" customHeight="1">
      <c r="A678" t="inlineStr">
        <is>
          <t>A 34494-2023</t>
        </is>
      </c>
      <c r="B678" s="1" t="n">
        <v>45133</v>
      </c>
      <c r="C678" s="1" t="n">
        <v>46092</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10579-2022</t>
        </is>
      </c>
      <c r="B679" s="1" t="n">
        <v>44624</v>
      </c>
      <c r="C679" s="1" t="n">
        <v>46092</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9335-2022</t>
        </is>
      </c>
      <c r="B680" s="1" t="n">
        <v>44616.56579861111</v>
      </c>
      <c r="C680" s="1" t="n">
        <v>46092</v>
      </c>
      <c r="D680" t="inlineStr">
        <is>
          <t>VÄSTMANLANDS LÄN</t>
        </is>
      </c>
      <c r="E680" t="inlineStr">
        <is>
          <t>SALA</t>
        </is>
      </c>
      <c r="G680" t="n">
        <v>1.5</v>
      </c>
      <c r="H680" t="n">
        <v>0</v>
      </c>
      <c r="I680" t="n">
        <v>0</v>
      </c>
      <c r="J680" t="n">
        <v>0</v>
      </c>
      <c r="K680" t="n">
        <v>0</v>
      </c>
      <c r="L680" t="n">
        <v>0</v>
      </c>
      <c r="M680" t="n">
        <v>0</v>
      </c>
      <c r="N680" t="n">
        <v>0</v>
      </c>
      <c r="O680" t="n">
        <v>0</v>
      </c>
      <c r="P680" t="n">
        <v>0</v>
      </c>
      <c r="Q680" t="n">
        <v>0</v>
      </c>
      <c r="R680" s="2" t="inlineStr"/>
    </row>
    <row r="681" ht="15" customHeight="1">
      <c r="A681" t="inlineStr">
        <is>
          <t>A 45313-2024</t>
        </is>
      </c>
      <c r="B681" s="1" t="n">
        <v>45576</v>
      </c>
      <c r="C681" s="1" t="n">
        <v>46092</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23119-2022</t>
        </is>
      </c>
      <c r="B682" s="1" t="n">
        <v>44719.56697916667</v>
      </c>
      <c r="C682" s="1" t="n">
        <v>46092</v>
      </c>
      <c r="D682" t="inlineStr">
        <is>
          <t>VÄSTMANLANDS LÄN</t>
        </is>
      </c>
      <c r="E682" t="inlineStr">
        <is>
          <t>SALA</t>
        </is>
      </c>
      <c r="G682" t="n">
        <v>7</v>
      </c>
      <c r="H682" t="n">
        <v>0</v>
      </c>
      <c r="I682" t="n">
        <v>0</v>
      </c>
      <c r="J682" t="n">
        <v>0</v>
      </c>
      <c r="K682" t="n">
        <v>0</v>
      </c>
      <c r="L682" t="n">
        <v>0</v>
      </c>
      <c r="M682" t="n">
        <v>0</v>
      </c>
      <c r="N682" t="n">
        <v>0</v>
      </c>
      <c r="O682" t="n">
        <v>0</v>
      </c>
      <c r="P682" t="n">
        <v>0</v>
      </c>
      <c r="Q682" t="n">
        <v>0</v>
      </c>
      <c r="R682" s="2" t="inlineStr"/>
    </row>
    <row r="683" ht="15" customHeight="1">
      <c r="A683" t="inlineStr">
        <is>
          <t>A 1196-2023</t>
        </is>
      </c>
      <c r="B683" s="1" t="n">
        <v>44935.82290509259</v>
      </c>
      <c r="C683" s="1" t="n">
        <v>46092</v>
      </c>
      <c r="D683" t="inlineStr">
        <is>
          <t>VÄSTMANLANDS LÄN</t>
        </is>
      </c>
      <c r="E683" t="inlineStr">
        <is>
          <t>SALA</t>
        </is>
      </c>
      <c r="G683" t="n">
        <v>4.1</v>
      </c>
      <c r="H683" t="n">
        <v>0</v>
      </c>
      <c r="I683" t="n">
        <v>0</v>
      </c>
      <c r="J683" t="n">
        <v>0</v>
      </c>
      <c r="K683" t="n">
        <v>0</v>
      </c>
      <c r="L683" t="n">
        <v>0</v>
      </c>
      <c r="M683" t="n">
        <v>0</v>
      </c>
      <c r="N683" t="n">
        <v>0</v>
      </c>
      <c r="O683" t="n">
        <v>0</v>
      </c>
      <c r="P683" t="n">
        <v>0</v>
      </c>
      <c r="Q683" t="n">
        <v>0</v>
      </c>
      <c r="R683" s="2" t="inlineStr"/>
    </row>
    <row r="684" ht="15" customHeight="1">
      <c r="A684" t="inlineStr">
        <is>
          <t>A 52503-2024</t>
        </is>
      </c>
      <c r="B684" s="1" t="n">
        <v>45609.58806712963</v>
      </c>
      <c r="C684" s="1" t="n">
        <v>46092</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7953-2024</t>
        </is>
      </c>
      <c r="B685" s="1" t="n">
        <v>45350</v>
      </c>
      <c r="C685" s="1" t="n">
        <v>46092</v>
      </c>
      <c r="D685" t="inlineStr">
        <is>
          <t>VÄSTMANLANDS LÄN</t>
        </is>
      </c>
      <c r="E685" t="inlineStr">
        <is>
          <t>SALA</t>
        </is>
      </c>
      <c r="G685" t="n">
        <v>2.6</v>
      </c>
      <c r="H685" t="n">
        <v>0</v>
      </c>
      <c r="I685" t="n">
        <v>0</v>
      </c>
      <c r="J685" t="n">
        <v>0</v>
      </c>
      <c r="K685" t="n">
        <v>0</v>
      </c>
      <c r="L685" t="n">
        <v>0</v>
      </c>
      <c r="M685" t="n">
        <v>0</v>
      </c>
      <c r="N685" t="n">
        <v>0</v>
      </c>
      <c r="O685" t="n">
        <v>0</v>
      </c>
      <c r="P685" t="n">
        <v>0</v>
      </c>
      <c r="Q685" t="n">
        <v>0</v>
      </c>
      <c r="R685" s="2" t="inlineStr"/>
    </row>
    <row r="686" ht="15" customHeight="1">
      <c r="A686" t="inlineStr">
        <is>
          <t>A 30028-2024</t>
        </is>
      </c>
      <c r="B686" s="1" t="n">
        <v>45485</v>
      </c>
      <c r="C686" s="1" t="n">
        <v>46092</v>
      </c>
      <c r="D686" t="inlineStr">
        <is>
          <t>VÄSTMANLANDS LÄN</t>
        </is>
      </c>
      <c r="E686" t="inlineStr">
        <is>
          <t>SALA</t>
        </is>
      </c>
      <c r="G686" t="n">
        <v>2.6</v>
      </c>
      <c r="H686" t="n">
        <v>0</v>
      </c>
      <c r="I686" t="n">
        <v>0</v>
      </c>
      <c r="J686" t="n">
        <v>0</v>
      </c>
      <c r="K686" t="n">
        <v>0</v>
      </c>
      <c r="L686" t="n">
        <v>0</v>
      </c>
      <c r="M686" t="n">
        <v>0</v>
      </c>
      <c r="N686" t="n">
        <v>0</v>
      </c>
      <c r="O686" t="n">
        <v>0</v>
      </c>
      <c r="P686" t="n">
        <v>0</v>
      </c>
      <c r="Q686" t="n">
        <v>0</v>
      </c>
      <c r="R686" s="2" t="inlineStr"/>
    </row>
    <row r="687" ht="15" customHeight="1">
      <c r="A687" t="inlineStr">
        <is>
          <t>A 7950-2025</t>
        </is>
      </c>
      <c r="B687" s="1" t="n">
        <v>45707.41799768519</v>
      </c>
      <c r="C687" s="1" t="n">
        <v>46092</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27657-2023</t>
        </is>
      </c>
      <c r="B688" s="1" t="n">
        <v>45097.76631944445</v>
      </c>
      <c r="C688" s="1" t="n">
        <v>46092</v>
      </c>
      <c r="D688" t="inlineStr">
        <is>
          <t>VÄSTMANLANDS LÄN</t>
        </is>
      </c>
      <c r="E688" t="inlineStr">
        <is>
          <t>SALA</t>
        </is>
      </c>
      <c r="G688" t="n">
        <v>0.1</v>
      </c>
      <c r="H688" t="n">
        <v>0</v>
      </c>
      <c r="I688" t="n">
        <v>0</v>
      </c>
      <c r="J688" t="n">
        <v>0</v>
      </c>
      <c r="K688" t="n">
        <v>0</v>
      </c>
      <c r="L688" t="n">
        <v>0</v>
      </c>
      <c r="M688" t="n">
        <v>0</v>
      </c>
      <c r="N688" t="n">
        <v>0</v>
      </c>
      <c r="O688" t="n">
        <v>0</v>
      </c>
      <c r="P688" t="n">
        <v>0</v>
      </c>
      <c r="Q688" t="n">
        <v>0</v>
      </c>
      <c r="R688" s="2" t="inlineStr"/>
    </row>
    <row r="689" ht="15" customHeight="1">
      <c r="A689" t="inlineStr">
        <is>
          <t>A 13855-2023</t>
        </is>
      </c>
      <c r="B689" s="1" t="n">
        <v>45007</v>
      </c>
      <c r="C689" s="1" t="n">
        <v>46092</v>
      </c>
      <c r="D689" t="inlineStr">
        <is>
          <t>VÄSTMANLANDS LÄN</t>
        </is>
      </c>
      <c r="E689" t="inlineStr">
        <is>
          <t>SALA</t>
        </is>
      </c>
      <c r="G689" t="n">
        <v>2.9</v>
      </c>
      <c r="H689" t="n">
        <v>0</v>
      </c>
      <c r="I689" t="n">
        <v>0</v>
      </c>
      <c r="J689" t="n">
        <v>0</v>
      </c>
      <c r="K689" t="n">
        <v>0</v>
      </c>
      <c r="L689" t="n">
        <v>0</v>
      </c>
      <c r="M689" t="n">
        <v>0</v>
      </c>
      <c r="N689" t="n">
        <v>0</v>
      </c>
      <c r="O689" t="n">
        <v>0</v>
      </c>
      <c r="P689" t="n">
        <v>0</v>
      </c>
      <c r="Q689" t="n">
        <v>0</v>
      </c>
      <c r="R689" s="2" t="inlineStr"/>
    </row>
    <row r="690" ht="15" customHeight="1">
      <c r="A690" t="inlineStr">
        <is>
          <t>A 33309-2022</t>
        </is>
      </c>
      <c r="B690" s="1" t="n">
        <v>44788.40986111111</v>
      </c>
      <c r="C690" s="1" t="n">
        <v>46092</v>
      </c>
      <c r="D690" t="inlineStr">
        <is>
          <t>VÄSTMANLANDS LÄN</t>
        </is>
      </c>
      <c r="E690" t="inlineStr">
        <is>
          <t>SALA</t>
        </is>
      </c>
      <c r="G690" t="n">
        <v>2.6</v>
      </c>
      <c r="H690" t="n">
        <v>0</v>
      </c>
      <c r="I690" t="n">
        <v>0</v>
      </c>
      <c r="J690" t="n">
        <v>0</v>
      </c>
      <c r="K690" t="n">
        <v>0</v>
      </c>
      <c r="L690" t="n">
        <v>0</v>
      </c>
      <c r="M690" t="n">
        <v>0</v>
      </c>
      <c r="N690" t="n">
        <v>0</v>
      </c>
      <c r="O690" t="n">
        <v>0</v>
      </c>
      <c r="P690" t="n">
        <v>0</v>
      </c>
      <c r="Q690" t="n">
        <v>0</v>
      </c>
      <c r="R690" s="2" t="inlineStr"/>
    </row>
    <row r="691" ht="15" customHeight="1">
      <c r="A691" t="inlineStr">
        <is>
          <t>A 47909-2022</t>
        </is>
      </c>
      <c r="B691" s="1" t="n">
        <v>44855</v>
      </c>
      <c r="C691" s="1" t="n">
        <v>46092</v>
      </c>
      <c r="D691" t="inlineStr">
        <is>
          <t>VÄSTMANLANDS LÄN</t>
        </is>
      </c>
      <c r="E691" t="inlineStr">
        <is>
          <t>SALA</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15272-2025</t>
        </is>
      </c>
      <c r="B692" s="1" t="n">
        <v>45744</v>
      </c>
      <c r="C692" s="1" t="n">
        <v>46092</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11183-2023</t>
        </is>
      </c>
      <c r="B693" s="1" t="n">
        <v>44992.57782407408</v>
      </c>
      <c r="C693" s="1" t="n">
        <v>46092</v>
      </c>
      <c r="D693" t="inlineStr">
        <is>
          <t>VÄSTMANLANDS LÄN</t>
        </is>
      </c>
      <c r="E693" t="inlineStr">
        <is>
          <t>SALA</t>
        </is>
      </c>
      <c r="G693" t="n">
        <v>0.9</v>
      </c>
      <c r="H693" t="n">
        <v>0</v>
      </c>
      <c r="I693" t="n">
        <v>0</v>
      </c>
      <c r="J693" t="n">
        <v>0</v>
      </c>
      <c r="K693" t="n">
        <v>0</v>
      </c>
      <c r="L693" t="n">
        <v>0</v>
      </c>
      <c r="M693" t="n">
        <v>0</v>
      </c>
      <c r="N693" t="n">
        <v>0</v>
      </c>
      <c r="O693" t="n">
        <v>0</v>
      </c>
      <c r="P693" t="n">
        <v>0</v>
      </c>
      <c r="Q693" t="n">
        <v>0</v>
      </c>
      <c r="R693" s="2" t="inlineStr"/>
    </row>
    <row r="694" ht="15" customHeight="1">
      <c r="A694" t="inlineStr">
        <is>
          <t>A 11190-2023</t>
        </is>
      </c>
      <c r="B694" s="1" t="n">
        <v>44992</v>
      </c>
      <c r="C694" s="1" t="n">
        <v>46092</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53838-2022</t>
        </is>
      </c>
      <c r="B695" s="1" t="n">
        <v>44880.59363425926</v>
      </c>
      <c r="C695" s="1" t="n">
        <v>46092</v>
      </c>
      <c r="D695" t="inlineStr">
        <is>
          <t>VÄSTMANLANDS LÄN</t>
        </is>
      </c>
      <c r="E695" t="inlineStr">
        <is>
          <t>SALA</t>
        </is>
      </c>
      <c r="G695" t="n">
        <v>3.9</v>
      </c>
      <c r="H695" t="n">
        <v>0</v>
      </c>
      <c r="I695" t="n">
        <v>0</v>
      </c>
      <c r="J695" t="n">
        <v>0</v>
      </c>
      <c r="K695" t="n">
        <v>0</v>
      </c>
      <c r="L695" t="n">
        <v>0</v>
      </c>
      <c r="M695" t="n">
        <v>0</v>
      </c>
      <c r="N695" t="n">
        <v>0</v>
      </c>
      <c r="O695" t="n">
        <v>0</v>
      </c>
      <c r="P695" t="n">
        <v>0</v>
      </c>
      <c r="Q695" t="n">
        <v>0</v>
      </c>
      <c r="R695" s="2" t="inlineStr"/>
    </row>
    <row r="696" ht="15" customHeight="1">
      <c r="A696" t="inlineStr">
        <is>
          <t>A 53166-2024</t>
        </is>
      </c>
      <c r="B696" s="1" t="n">
        <v>45611</v>
      </c>
      <c r="C696" s="1" t="n">
        <v>46092</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28827-2022</t>
        </is>
      </c>
      <c r="B697" s="1" t="n">
        <v>44749.45561342593</v>
      </c>
      <c r="C697" s="1" t="n">
        <v>46092</v>
      </c>
      <c r="D697" t="inlineStr">
        <is>
          <t>VÄSTMANLANDS LÄN</t>
        </is>
      </c>
      <c r="E697" t="inlineStr">
        <is>
          <t>SALA</t>
        </is>
      </c>
      <c r="F697" t="inlineStr">
        <is>
          <t>Kommuner</t>
        </is>
      </c>
      <c r="G697" t="n">
        <v>11.9</v>
      </c>
      <c r="H697" t="n">
        <v>0</v>
      </c>
      <c r="I697" t="n">
        <v>0</v>
      </c>
      <c r="J697" t="n">
        <v>0</v>
      </c>
      <c r="K697" t="n">
        <v>0</v>
      </c>
      <c r="L697" t="n">
        <v>0</v>
      </c>
      <c r="M697" t="n">
        <v>0</v>
      </c>
      <c r="N697" t="n">
        <v>0</v>
      </c>
      <c r="O697" t="n">
        <v>0</v>
      </c>
      <c r="P697" t="n">
        <v>0</v>
      </c>
      <c r="Q697" t="n">
        <v>0</v>
      </c>
      <c r="R697" s="2" t="inlineStr"/>
    </row>
    <row r="698" ht="15" customHeight="1">
      <c r="A698" t="inlineStr">
        <is>
          <t>A 17866-2025</t>
        </is>
      </c>
      <c r="B698" s="1" t="n">
        <v>45758</v>
      </c>
      <c r="C698" s="1" t="n">
        <v>46092</v>
      </c>
      <c r="D698" t="inlineStr">
        <is>
          <t>VÄSTMANLANDS LÄN</t>
        </is>
      </c>
      <c r="E698" t="inlineStr">
        <is>
          <t>SALA</t>
        </is>
      </c>
      <c r="F698" t="inlineStr">
        <is>
          <t>Bergvik skog öst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54836-2024</t>
        </is>
      </c>
      <c r="B699" s="1" t="n">
        <v>45618</v>
      </c>
      <c r="C699" s="1" t="n">
        <v>46092</v>
      </c>
      <c r="D699" t="inlineStr">
        <is>
          <t>VÄSTMANLANDS LÄN</t>
        </is>
      </c>
      <c r="E699" t="inlineStr">
        <is>
          <t>SALA</t>
        </is>
      </c>
      <c r="G699" t="n">
        <v>0.6</v>
      </c>
      <c r="H699" t="n">
        <v>0</v>
      </c>
      <c r="I699" t="n">
        <v>0</v>
      </c>
      <c r="J699" t="n">
        <v>0</v>
      </c>
      <c r="K699" t="n">
        <v>0</v>
      </c>
      <c r="L699" t="n">
        <v>0</v>
      </c>
      <c r="M699" t="n">
        <v>0</v>
      </c>
      <c r="N699" t="n">
        <v>0</v>
      </c>
      <c r="O699" t="n">
        <v>0</v>
      </c>
      <c r="P699" t="n">
        <v>0</v>
      </c>
      <c r="Q699" t="n">
        <v>0</v>
      </c>
      <c r="R699" s="2" t="inlineStr"/>
    </row>
    <row r="700" ht="15" customHeight="1">
      <c r="A700" t="inlineStr">
        <is>
          <t>A 64729-2023</t>
        </is>
      </c>
      <c r="B700" s="1" t="n">
        <v>45281</v>
      </c>
      <c r="C700" s="1" t="n">
        <v>46092</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10585-2022</t>
        </is>
      </c>
      <c r="B701" s="1" t="n">
        <v>44624</v>
      </c>
      <c r="C701" s="1" t="n">
        <v>46092</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46092</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31609-2024</t>
        </is>
      </c>
      <c r="B703" s="1" t="n">
        <v>45506</v>
      </c>
      <c r="C703" s="1" t="n">
        <v>46092</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56057-2023</t>
        </is>
      </c>
      <c r="B704" s="1" t="n">
        <v>45233</v>
      </c>
      <c r="C704" s="1" t="n">
        <v>46092</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62635-2022</t>
        </is>
      </c>
      <c r="B705" s="1" t="n">
        <v>44917</v>
      </c>
      <c r="C705" s="1" t="n">
        <v>46092</v>
      </c>
      <c r="D705" t="inlineStr">
        <is>
          <t>VÄSTMANLANDS LÄN</t>
        </is>
      </c>
      <c r="E705" t="inlineStr">
        <is>
          <t>SALA</t>
        </is>
      </c>
      <c r="G705" t="n">
        <v>0.4</v>
      </c>
      <c r="H705" t="n">
        <v>0</v>
      </c>
      <c r="I705" t="n">
        <v>0</v>
      </c>
      <c r="J705" t="n">
        <v>0</v>
      </c>
      <c r="K705" t="n">
        <v>0</v>
      </c>
      <c r="L705" t="n">
        <v>0</v>
      </c>
      <c r="M705" t="n">
        <v>0</v>
      </c>
      <c r="N705" t="n">
        <v>0</v>
      </c>
      <c r="O705" t="n">
        <v>0</v>
      </c>
      <c r="P705" t="n">
        <v>0</v>
      </c>
      <c r="Q705" t="n">
        <v>0</v>
      </c>
      <c r="R705" s="2" t="inlineStr"/>
    </row>
    <row r="706" ht="15" customHeight="1">
      <c r="A706" t="inlineStr">
        <is>
          <t>A 4852-2023</t>
        </is>
      </c>
      <c r="B706" s="1" t="n">
        <v>44957.72496527778</v>
      </c>
      <c r="C706" s="1" t="n">
        <v>46092</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39714-2023</t>
        </is>
      </c>
      <c r="B707" s="1" t="n">
        <v>45167.62133101852</v>
      </c>
      <c r="C707" s="1" t="n">
        <v>46092</v>
      </c>
      <c r="D707" t="inlineStr">
        <is>
          <t>VÄSTMANLANDS LÄN</t>
        </is>
      </c>
      <c r="E707" t="inlineStr">
        <is>
          <t>SALA</t>
        </is>
      </c>
      <c r="G707" t="n">
        <v>1.3</v>
      </c>
      <c r="H707" t="n">
        <v>0</v>
      </c>
      <c r="I707" t="n">
        <v>0</v>
      </c>
      <c r="J707" t="n">
        <v>0</v>
      </c>
      <c r="K707" t="n">
        <v>0</v>
      </c>
      <c r="L707" t="n">
        <v>0</v>
      </c>
      <c r="M707" t="n">
        <v>0</v>
      </c>
      <c r="N707" t="n">
        <v>0</v>
      </c>
      <c r="O707" t="n">
        <v>0</v>
      </c>
      <c r="P707" t="n">
        <v>0</v>
      </c>
      <c r="Q707" t="n">
        <v>0</v>
      </c>
      <c r="R707" s="2" t="inlineStr"/>
    </row>
    <row r="708" ht="15" customHeight="1">
      <c r="A708" t="inlineStr">
        <is>
          <t>A 42984-2023</t>
        </is>
      </c>
      <c r="B708" s="1" t="n">
        <v>45179</v>
      </c>
      <c r="C708" s="1" t="n">
        <v>46092</v>
      </c>
      <c r="D708" t="inlineStr">
        <is>
          <t>VÄSTMANLANDS LÄN</t>
        </is>
      </c>
      <c r="E708" t="inlineStr">
        <is>
          <t>SALA</t>
        </is>
      </c>
      <c r="G708" t="n">
        <v>1.1</v>
      </c>
      <c r="H708" t="n">
        <v>0</v>
      </c>
      <c r="I708" t="n">
        <v>0</v>
      </c>
      <c r="J708" t="n">
        <v>0</v>
      </c>
      <c r="K708" t="n">
        <v>0</v>
      </c>
      <c r="L708" t="n">
        <v>0</v>
      </c>
      <c r="M708" t="n">
        <v>0</v>
      </c>
      <c r="N708" t="n">
        <v>0</v>
      </c>
      <c r="O708" t="n">
        <v>0</v>
      </c>
      <c r="P708" t="n">
        <v>0</v>
      </c>
      <c r="Q708" t="n">
        <v>0</v>
      </c>
      <c r="R708" s="2" t="inlineStr"/>
    </row>
    <row r="709" ht="15" customHeight="1">
      <c r="A709" t="inlineStr">
        <is>
          <t>A 56535-2022</t>
        </is>
      </c>
      <c r="B709" s="1" t="n">
        <v>44893.47173611111</v>
      </c>
      <c r="C709" s="1" t="n">
        <v>46092</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60550-2024</t>
        </is>
      </c>
      <c r="B710" s="1" t="n">
        <v>45643</v>
      </c>
      <c r="C710" s="1" t="n">
        <v>46092</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13746-2025</t>
        </is>
      </c>
      <c r="B711" s="1" t="n">
        <v>45737.40944444444</v>
      </c>
      <c r="C711" s="1" t="n">
        <v>46092</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29230-2022</t>
        </is>
      </c>
      <c r="B712" s="1" t="n">
        <v>44750</v>
      </c>
      <c r="C712" s="1" t="n">
        <v>46092</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59175-2022</t>
        </is>
      </c>
      <c r="B713" s="1" t="n">
        <v>44904.48502314815</v>
      </c>
      <c r="C713" s="1" t="n">
        <v>46092</v>
      </c>
      <c r="D713" t="inlineStr">
        <is>
          <t>VÄSTMANLANDS LÄN</t>
        </is>
      </c>
      <c r="E713" t="inlineStr">
        <is>
          <t>SALA</t>
        </is>
      </c>
      <c r="G713" t="n">
        <v>2.1</v>
      </c>
      <c r="H713" t="n">
        <v>0</v>
      </c>
      <c r="I713" t="n">
        <v>0</v>
      </c>
      <c r="J713" t="n">
        <v>0</v>
      </c>
      <c r="K713" t="n">
        <v>0</v>
      </c>
      <c r="L713" t="n">
        <v>0</v>
      </c>
      <c r="M713" t="n">
        <v>0</v>
      </c>
      <c r="N713" t="n">
        <v>0</v>
      </c>
      <c r="O713" t="n">
        <v>0</v>
      </c>
      <c r="P713" t="n">
        <v>0</v>
      </c>
      <c r="Q713" t="n">
        <v>0</v>
      </c>
      <c r="R713" s="2" t="inlineStr"/>
    </row>
    <row r="714" ht="15" customHeight="1">
      <c r="A714" t="inlineStr">
        <is>
          <t>A 19381-2025</t>
        </is>
      </c>
      <c r="B714" s="1" t="n">
        <v>45769</v>
      </c>
      <c r="C714" s="1" t="n">
        <v>46092</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42938-2023</t>
        </is>
      </c>
      <c r="B715" s="1" t="n">
        <v>45179</v>
      </c>
      <c r="C715" s="1" t="n">
        <v>46092</v>
      </c>
      <c r="D715" t="inlineStr">
        <is>
          <t>VÄSTMANLANDS LÄN</t>
        </is>
      </c>
      <c r="E715" t="inlineStr">
        <is>
          <t>SALA</t>
        </is>
      </c>
      <c r="G715" t="n">
        <v>10.9</v>
      </c>
      <c r="H715" t="n">
        <v>0</v>
      </c>
      <c r="I715" t="n">
        <v>0</v>
      </c>
      <c r="J715" t="n">
        <v>0</v>
      </c>
      <c r="K715" t="n">
        <v>0</v>
      </c>
      <c r="L715" t="n">
        <v>0</v>
      </c>
      <c r="M715" t="n">
        <v>0</v>
      </c>
      <c r="N715" t="n">
        <v>0</v>
      </c>
      <c r="O715" t="n">
        <v>0</v>
      </c>
      <c r="P715" t="n">
        <v>0</v>
      </c>
      <c r="Q715" t="n">
        <v>0</v>
      </c>
      <c r="R715" s="2" t="inlineStr"/>
    </row>
    <row r="716" ht="15" customHeight="1">
      <c r="A716" t="inlineStr">
        <is>
          <t>A 19222-2025</t>
        </is>
      </c>
      <c r="B716" s="1" t="n">
        <v>45769</v>
      </c>
      <c r="C716" s="1" t="n">
        <v>46092</v>
      </c>
      <c r="D716" t="inlineStr">
        <is>
          <t>VÄSTMANLANDS LÄN</t>
        </is>
      </c>
      <c r="E716" t="inlineStr">
        <is>
          <t>SALA</t>
        </is>
      </c>
      <c r="G716" t="n">
        <v>1.8</v>
      </c>
      <c r="H716" t="n">
        <v>0</v>
      </c>
      <c r="I716" t="n">
        <v>0</v>
      </c>
      <c r="J716" t="n">
        <v>0</v>
      </c>
      <c r="K716" t="n">
        <v>0</v>
      </c>
      <c r="L716" t="n">
        <v>0</v>
      </c>
      <c r="M716" t="n">
        <v>0</v>
      </c>
      <c r="N716" t="n">
        <v>0</v>
      </c>
      <c r="O716" t="n">
        <v>0</v>
      </c>
      <c r="P716" t="n">
        <v>0</v>
      </c>
      <c r="Q716" t="n">
        <v>0</v>
      </c>
      <c r="R716" s="2" t="inlineStr"/>
    </row>
    <row r="717" ht="15" customHeight="1">
      <c r="A717" t="inlineStr">
        <is>
          <t>A 19241-2025</t>
        </is>
      </c>
      <c r="B717" s="1" t="n">
        <v>45769</v>
      </c>
      <c r="C717" s="1" t="n">
        <v>46092</v>
      </c>
      <c r="D717" t="inlineStr">
        <is>
          <t>VÄSTMANLANDS LÄN</t>
        </is>
      </c>
      <c r="E717" t="inlineStr">
        <is>
          <t>SALA</t>
        </is>
      </c>
      <c r="G717" t="n">
        <v>3.6</v>
      </c>
      <c r="H717" t="n">
        <v>0</v>
      </c>
      <c r="I717" t="n">
        <v>0</v>
      </c>
      <c r="J717" t="n">
        <v>0</v>
      </c>
      <c r="K717" t="n">
        <v>0</v>
      </c>
      <c r="L717" t="n">
        <v>0</v>
      </c>
      <c r="M717" t="n">
        <v>0</v>
      </c>
      <c r="N717" t="n">
        <v>0</v>
      </c>
      <c r="O717" t="n">
        <v>0</v>
      </c>
      <c r="P717" t="n">
        <v>0</v>
      </c>
      <c r="Q717" t="n">
        <v>0</v>
      </c>
      <c r="R717" s="2" t="inlineStr"/>
    </row>
    <row r="718" ht="15" customHeight="1">
      <c r="A718" t="inlineStr">
        <is>
          <t>A 60823-2024</t>
        </is>
      </c>
      <c r="B718" s="1" t="n">
        <v>45644</v>
      </c>
      <c r="C718" s="1" t="n">
        <v>46092</v>
      </c>
      <c r="D718" t="inlineStr">
        <is>
          <t>VÄSTMANLANDS LÄN</t>
        </is>
      </c>
      <c r="E718" t="inlineStr">
        <is>
          <t>SALA</t>
        </is>
      </c>
      <c r="G718" t="n">
        <v>0.6</v>
      </c>
      <c r="H718" t="n">
        <v>0</v>
      </c>
      <c r="I718" t="n">
        <v>0</v>
      </c>
      <c r="J718" t="n">
        <v>0</v>
      </c>
      <c r="K718" t="n">
        <v>0</v>
      </c>
      <c r="L718" t="n">
        <v>0</v>
      </c>
      <c r="M718" t="n">
        <v>0</v>
      </c>
      <c r="N718" t="n">
        <v>0</v>
      </c>
      <c r="O718" t="n">
        <v>0</v>
      </c>
      <c r="P718" t="n">
        <v>0</v>
      </c>
      <c r="Q718" t="n">
        <v>0</v>
      </c>
      <c r="R718" s="2" t="inlineStr"/>
    </row>
    <row r="719" ht="15" customHeight="1">
      <c r="A719" t="inlineStr">
        <is>
          <t>A 61681-2024</t>
        </is>
      </c>
      <c r="B719" s="1" t="n">
        <v>45647</v>
      </c>
      <c r="C719" s="1" t="n">
        <v>46092</v>
      </c>
      <c r="D719" t="inlineStr">
        <is>
          <t>VÄSTMANLANDS LÄN</t>
        </is>
      </c>
      <c r="E719" t="inlineStr">
        <is>
          <t>SALA</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49661-2024</t>
        </is>
      </c>
      <c r="B720" s="1" t="n">
        <v>45596</v>
      </c>
      <c r="C720" s="1" t="n">
        <v>46092</v>
      </c>
      <c r="D720" t="inlineStr">
        <is>
          <t>VÄSTMANLANDS LÄN</t>
        </is>
      </c>
      <c r="E720" t="inlineStr">
        <is>
          <t>SALA</t>
        </is>
      </c>
      <c r="G720" t="n">
        <v>6.7</v>
      </c>
      <c r="H720" t="n">
        <v>0</v>
      </c>
      <c r="I720" t="n">
        <v>0</v>
      </c>
      <c r="J720" t="n">
        <v>0</v>
      </c>
      <c r="K720" t="n">
        <v>0</v>
      </c>
      <c r="L720" t="n">
        <v>0</v>
      </c>
      <c r="M720" t="n">
        <v>0</v>
      </c>
      <c r="N720" t="n">
        <v>0</v>
      </c>
      <c r="O720" t="n">
        <v>0</v>
      </c>
      <c r="P720" t="n">
        <v>0</v>
      </c>
      <c r="Q720" t="n">
        <v>0</v>
      </c>
      <c r="R720" s="2" t="inlineStr"/>
    </row>
    <row r="721" ht="15" customHeight="1">
      <c r="A721" t="inlineStr">
        <is>
          <t>A 59297-2023</t>
        </is>
      </c>
      <c r="B721" s="1" t="n">
        <v>45253</v>
      </c>
      <c r="C721" s="1" t="n">
        <v>46092</v>
      </c>
      <c r="D721" t="inlineStr">
        <is>
          <t>VÄSTMANLANDS LÄN</t>
        </is>
      </c>
      <c r="E721" t="inlineStr">
        <is>
          <t>SALA</t>
        </is>
      </c>
      <c r="G721" t="n">
        <v>2</v>
      </c>
      <c r="H721" t="n">
        <v>0</v>
      </c>
      <c r="I721" t="n">
        <v>0</v>
      </c>
      <c r="J721" t="n">
        <v>0</v>
      </c>
      <c r="K721" t="n">
        <v>0</v>
      </c>
      <c r="L721" t="n">
        <v>0</v>
      </c>
      <c r="M721" t="n">
        <v>0</v>
      </c>
      <c r="N721" t="n">
        <v>0</v>
      </c>
      <c r="O721" t="n">
        <v>0</v>
      </c>
      <c r="P721" t="n">
        <v>0</v>
      </c>
      <c r="Q721" t="n">
        <v>0</v>
      </c>
      <c r="R721" s="2" t="inlineStr"/>
    </row>
    <row r="722" ht="15" customHeight="1">
      <c r="A722" t="inlineStr">
        <is>
          <t>A 15965-2024</t>
        </is>
      </c>
      <c r="B722" s="1" t="n">
        <v>45405.55740740741</v>
      </c>
      <c r="C722" s="1" t="n">
        <v>46092</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23180-2022</t>
        </is>
      </c>
      <c r="B723" s="1" t="n">
        <v>44719.79344907407</v>
      </c>
      <c r="C723" s="1" t="n">
        <v>46092</v>
      </c>
      <c r="D723" t="inlineStr">
        <is>
          <t>VÄSTMANLANDS LÄN</t>
        </is>
      </c>
      <c r="E723" t="inlineStr">
        <is>
          <t>SALA</t>
        </is>
      </c>
      <c r="G723" t="n">
        <v>1.2</v>
      </c>
      <c r="H723" t="n">
        <v>0</v>
      </c>
      <c r="I723" t="n">
        <v>0</v>
      </c>
      <c r="J723" t="n">
        <v>0</v>
      </c>
      <c r="K723" t="n">
        <v>0</v>
      </c>
      <c r="L723" t="n">
        <v>0</v>
      </c>
      <c r="M723" t="n">
        <v>0</v>
      </c>
      <c r="N723" t="n">
        <v>0</v>
      </c>
      <c r="O723" t="n">
        <v>0</v>
      </c>
      <c r="P723" t="n">
        <v>0</v>
      </c>
      <c r="Q723" t="n">
        <v>0</v>
      </c>
      <c r="R723" s="2" t="inlineStr"/>
    </row>
    <row r="724" ht="15" customHeight="1">
      <c r="A724" t="inlineStr">
        <is>
          <t>A 21455-2023</t>
        </is>
      </c>
      <c r="B724" s="1" t="n">
        <v>45058</v>
      </c>
      <c r="C724" s="1" t="n">
        <v>46092</v>
      </c>
      <c r="D724" t="inlineStr">
        <is>
          <t>VÄSTMANLANDS LÄN</t>
        </is>
      </c>
      <c r="E724" t="inlineStr">
        <is>
          <t>SALA</t>
        </is>
      </c>
      <c r="G724" t="n">
        <v>6.4</v>
      </c>
      <c r="H724" t="n">
        <v>0</v>
      </c>
      <c r="I724" t="n">
        <v>0</v>
      </c>
      <c r="J724" t="n">
        <v>0</v>
      </c>
      <c r="K724" t="n">
        <v>0</v>
      </c>
      <c r="L724" t="n">
        <v>0</v>
      </c>
      <c r="M724" t="n">
        <v>0</v>
      </c>
      <c r="N724" t="n">
        <v>0</v>
      </c>
      <c r="O724" t="n">
        <v>0</v>
      </c>
      <c r="P724" t="n">
        <v>0</v>
      </c>
      <c r="Q724" t="n">
        <v>0</v>
      </c>
      <c r="R724" s="2" t="inlineStr"/>
    </row>
    <row r="725" ht="15" customHeight="1">
      <c r="A725" t="inlineStr">
        <is>
          <t>A 21053-2022</t>
        </is>
      </c>
      <c r="B725" s="1" t="n">
        <v>44704</v>
      </c>
      <c r="C725" s="1" t="n">
        <v>46092</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11927-2025</t>
        </is>
      </c>
      <c r="B726" s="1" t="n">
        <v>45728.5137962963</v>
      </c>
      <c r="C726" s="1" t="n">
        <v>46092</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50876-2023</t>
        </is>
      </c>
      <c r="B727" s="1" t="n">
        <v>45211</v>
      </c>
      <c r="C727" s="1" t="n">
        <v>46092</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10255-2024</t>
        </is>
      </c>
      <c r="B728" s="1" t="n">
        <v>45365</v>
      </c>
      <c r="C728" s="1" t="n">
        <v>46092</v>
      </c>
      <c r="D728" t="inlineStr">
        <is>
          <t>VÄSTMANLANDS LÄN</t>
        </is>
      </c>
      <c r="E728" t="inlineStr">
        <is>
          <t>SALA</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62648-2022</t>
        </is>
      </c>
      <c r="B729" s="1" t="n">
        <v>44917</v>
      </c>
      <c r="C729" s="1" t="n">
        <v>46092</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56548-2024</t>
        </is>
      </c>
      <c r="B730" s="1" t="n">
        <v>45625</v>
      </c>
      <c r="C730" s="1" t="n">
        <v>46092</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5477-2024</t>
        </is>
      </c>
      <c r="B731" s="1" t="n">
        <v>45333.67833333334</v>
      </c>
      <c r="C731" s="1" t="n">
        <v>46092</v>
      </c>
      <c r="D731" t="inlineStr">
        <is>
          <t>VÄSTMANLANDS LÄN</t>
        </is>
      </c>
      <c r="E731" t="inlineStr">
        <is>
          <t>SALA</t>
        </is>
      </c>
      <c r="G731" t="n">
        <v>2.3</v>
      </c>
      <c r="H731" t="n">
        <v>0</v>
      </c>
      <c r="I731" t="n">
        <v>0</v>
      </c>
      <c r="J731" t="n">
        <v>0</v>
      </c>
      <c r="K731" t="n">
        <v>0</v>
      </c>
      <c r="L731" t="n">
        <v>0</v>
      </c>
      <c r="M731" t="n">
        <v>0</v>
      </c>
      <c r="N731" t="n">
        <v>0</v>
      </c>
      <c r="O731" t="n">
        <v>0</v>
      </c>
      <c r="P731" t="n">
        <v>0</v>
      </c>
      <c r="Q731" t="n">
        <v>0</v>
      </c>
      <c r="R731" s="2" t="inlineStr"/>
    </row>
    <row r="732" ht="15" customHeight="1">
      <c r="A732" t="inlineStr">
        <is>
          <t>A 39451-2022</t>
        </is>
      </c>
      <c r="B732" s="1" t="n">
        <v>44818.36606481481</v>
      </c>
      <c r="C732" s="1" t="n">
        <v>46092</v>
      </c>
      <c r="D732" t="inlineStr">
        <is>
          <t>VÄSTMANLANDS LÄN</t>
        </is>
      </c>
      <c r="E732" t="inlineStr">
        <is>
          <t>SALA</t>
        </is>
      </c>
      <c r="G732" t="n">
        <v>9.4</v>
      </c>
      <c r="H732" t="n">
        <v>0</v>
      </c>
      <c r="I732" t="n">
        <v>0</v>
      </c>
      <c r="J732" t="n">
        <v>0</v>
      </c>
      <c r="K732" t="n">
        <v>0</v>
      </c>
      <c r="L732" t="n">
        <v>0</v>
      </c>
      <c r="M732" t="n">
        <v>0</v>
      </c>
      <c r="N732" t="n">
        <v>0</v>
      </c>
      <c r="O732" t="n">
        <v>0</v>
      </c>
      <c r="P732" t="n">
        <v>0</v>
      </c>
      <c r="Q732" t="n">
        <v>0</v>
      </c>
      <c r="R732" s="2" t="inlineStr"/>
    </row>
    <row r="733" ht="15" customHeight="1">
      <c r="A733" t="inlineStr">
        <is>
          <t>A 7772-2023</t>
        </is>
      </c>
      <c r="B733" s="1" t="n">
        <v>44973.40076388889</v>
      </c>
      <c r="C733" s="1" t="n">
        <v>46092</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19751-2022</t>
        </is>
      </c>
      <c r="B734" s="1" t="n">
        <v>44694</v>
      </c>
      <c r="C734" s="1" t="n">
        <v>46092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44713-2023</t>
        </is>
      </c>
      <c r="B735" s="1" t="n">
        <v>45184</v>
      </c>
      <c r="C735" s="1" t="n">
        <v>46092</v>
      </c>
      <c r="D735" t="inlineStr">
        <is>
          <t>VÄSTMANLANDS LÄN</t>
        </is>
      </c>
      <c r="E735" t="inlineStr">
        <is>
          <t>SALA</t>
        </is>
      </c>
      <c r="F735" t="inlineStr">
        <is>
          <t>Kyrkan</t>
        </is>
      </c>
      <c r="G735" t="n">
        <v>7.6</v>
      </c>
      <c r="H735" t="n">
        <v>0</v>
      </c>
      <c r="I735" t="n">
        <v>0</v>
      </c>
      <c r="J735" t="n">
        <v>0</v>
      </c>
      <c r="K735" t="n">
        <v>0</v>
      </c>
      <c r="L735" t="n">
        <v>0</v>
      </c>
      <c r="M735" t="n">
        <v>0</v>
      </c>
      <c r="N735" t="n">
        <v>0</v>
      </c>
      <c r="O735" t="n">
        <v>0</v>
      </c>
      <c r="P735" t="n">
        <v>0</v>
      </c>
      <c r="Q735" t="n">
        <v>0</v>
      </c>
      <c r="R735" s="2" t="inlineStr"/>
    </row>
    <row r="736" ht="15" customHeight="1">
      <c r="A736" t="inlineStr">
        <is>
          <t>A 18713-2025</t>
        </is>
      </c>
      <c r="B736" s="1" t="n">
        <v>45763</v>
      </c>
      <c r="C736" s="1" t="n">
        <v>46092</v>
      </c>
      <c r="D736" t="inlineStr">
        <is>
          <t>VÄSTMANLANDS LÄN</t>
        </is>
      </c>
      <c r="E736" t="inlineStr">
        <is>
          <t>SALA</t>
        </is>
      </c>
      <c r="F736" t="inlineStr">
        <is>
          <t>Bergvik skog öst AB</t>
        </is>
      </c>
      <c r="G736" t="n">
        <v>11.6</v>
      </c>
      <c r="H736" t="n">
        <v>0</v>
      </c>
      <c r="I736" t="n">
        <v>0</v>
      </c>
      <c r="J736" t="n">
        <v>0</v>
      </c>
      <c r="K736" t="n">
        <v>0</v>
      </c>
      <c r="L736" t="n">
        <v>0</v>
      </c>
      <c r="M736" t="n">
        <v>0</v>
      </c>
      <c r="N736" t="n">
        <v>0</v>
      </c>
      <c r="O736" t="n">
        <v>0</v>
      </c>
      <c r="P736" t="n">
        <v>0</v>
      </c>
      <c r="Q736" t="n">
        <v>0</v>
      </c>
      <c r="R736" s="2" t="inlineStr"/>
    </row>
    <row r="737" ht="15" customHeight="1">
      <c r="A737" t="inlineStr">
        <is>
          <t>A 47479-2024</t>
        </is>
      </c>
      <c r="B737" s="1" t="n">
        <v>45587</v>
      </c>
      <c r="C737" s="1" t="n">
        <v>46092</v>
      </c>
      <c r="D737" t="inlineStr">
        <is>
          <t>VÄSTMANLANDS LÄN</t>
        </is>
      </c>
      <c r="E737" t="inlineStr">
        <is>
          <t>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69236-2021</t>
        </is>
      </c>
      <c r="B738" s="1" t="n">
        <v>44531.4047337963</v>
      </c>
      <c r="C738" s="1" t="n">
        <v>46092</v>
      </c>
      <c r="D738" t="inlineStr">
        <is>
          <t>VÄSTMANLANDS LÄN</t>
        </is>
      </c>
      <c r="E738" t="inlineStr">
        <is>
          <t>SALA</t>
        </is>
      </c>
      <c r="G738" t="n">
        <v>2.8</v>
      </c>
      <c r="H738" t="n">
        <v>0</v>
      </c>
      <c r="I738" t="n">
        <v>0</v>
      </c>
      <c r="J738" t="n">
        <v>0</v>
      </c>
      <c r="K738" t="n">
        <v>0</v>
      </c>
      <c r="L738" t="n">
        <v>0</v>
      </c>
      <c r="M738" t="n">
        <v>0</v>
      </c>
      <c r="N738" t="n">
        <v>0</v>
      </c>
      <c r="O738" t="n">
        <v>0</v>
      </c>
      <c r="P738" t="n">
        <v>0</v>
      </c>
      <c r="Q738" t="n">
        <v>0</v>
      </c>
      <c r="R738" s="2" t="inlineStr"/>
    </row>
    <row r="739" ht="15" customHeight="1">
      <c r="A739" t="inlineStr">
        <is>
          <t>A 25541-2024</t>
        </is>
      </c>
      <c r="B739" s="1" t="n">
        <v>45463.56337962963</v>
      </c>
      <c r="C739" s="1" t="n">
        <v>46092</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5728-2022</t>
        </is>
      </c>
      <c r="B740" s="1" t="n">
        <v>44596.42082175926</v>
      </c>
      <c r="C740" s="1" t="n">
        <v>46092</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10250-2025</t>
        </is>
      </c>
      <c r="B741" s="1" t="n">
        <v>45720.36165509259</v>
      </c>
      <c r="C741" s="1" t="n">
        <v>46092</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49512-2024</t>
        </is>
      </c>
      <c r="B742" s="1" t="n">
        <v>45591</v>
      </c>
      <c r="C742" s="1" t="n">
        <v>46092</v>
      </c>
      <c r="D742" t="inlineStr">
        <is>
          <t>VÄSTMANLANDS LÄN</t>
        </is>
      </c>
      <c r="E742" t="inlineStr">
        <is>
          <t>SALA</t>
        </is>
      </c>
      <c r="G742" t="n">
        <v>8.1</v>
      </c>
      <c r="H742" t="n">
        <v>0</v>
      </c>
      <c r="I742" t="n">
        <v>0</v>
      </c>
      <c r="J742" t="n">
        <v>0</v>
      </c>
      <c r="K742" t="n">
        <v>0</v>
      </c>
      <c r="L742" t="n">
        <v>0</v>
      </c>
      <c r="M742" t="n">
        <v>0</v>
      </c>
      <c r="N742" t="n">
        <v>0</v>
      </c>
      <c r="O742" t="n">
        <v>0</v>
      </c>
      <c r="P742" t="n">
        <v>0</v>
      </c>
      <c r="Q742" t="n">
        <v>0</v>
      </c>
      <c r="R742" s="2" t="inlineStr"/>
    </row>
    <row r="743" ht="15" customHeight="1">
      <c r="A743" t="inlineStr">
        <is>
          <t>A 42416-2022</t>
        </is>
      </c>
      <c r="B743" s="1" t="n">
        <v>44831</v>
      </c>
      <c r="C743" s="1" t="n">
        <v>46092</v>
      </c>
      <c r="D743" t="inlineStr">
        <is>
          <t>VÄSTMANLANDS LÄN</t>
        </is>
      </c>
      <c r="E743" t="inlineStr">
        <is>
          <t>SALA</t>
        </is>
      </c>
      <c r="G743" t="n">
        <v>2.2</v>
      </c>
      <c r="H743" t="n">
        <v>0</v>
      </c>
      <c r="I743" t="n">
        <v>0</v>
      </c>
      <c r="J743" t="n">
        <v>0</v>
      </c>
      <c r="K743" t="n">
        <v>0</v>
      </c>
      <c r="L743" t="n">
        <v>0</v>
      </c>
      <c r="M743" t="n">
        <v>0</v>
      </c>
      <c r="N743" t="n">
        <v>0</v>
      </c>
      <c r="O743" t="n">
        <v>0</v>
      </c>
      <c r="P743" t="n">
        <v>0</v>
      </c>
      <c r="Q743" t="n">
        <v>0</v>
      </c>
      <c r="R743" s="2" t="inlineStr"/>
    </row>
    <row r="744" ht="15" customHeight="1">
      <c r="A744" t="inlineStr">
        <is>
          <t>A 6135-2023</t>
        </is>
      </c>
      <c r="B744" s="1" t="n">
        <v>44964.62628472222</v>
      </c>
      <c r="C744" s="1" t="n">
        <v>46092</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16693-2023</t>
        </is>
      </c>
      <c r="B745" s="1" t="n">
        <v>45028</v>
      </c>
      <c r="C745" s="1" t="n">
        <v>46092</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8285-2025</t>
        </is>
      </c>
      <c r="B746" s="1" t="n">
        <v>45708</v>
      </c>
      <c r="C746" s="1" t="n">
        <v>46092</v>
      </c>
      <c r="D746" t="inlineStr">
        <is>
          <t>VÄSTMANLANDS LÄN</t>
        </is>
      </c>
      <c r="E746" t="inlineStr">
        <is>
          <t>SALA</t>
        </is>
      </c>
      <c r="G746" t="n">
        <v>5.7</v>
      </c>
      <c r="H746" t="n">
        <v>0</v>
      </c>
      <c r="I746" t="n">
        <v>0</v>
      </c>
      <c r="J746" t="n">
        <v>0</v>
      </c>
      <c r="K746" t="n">
        <v>0</v>
      </c>
      <c r="L746" t="n">
        <v>0</v>
      </c>
      <c r="M746" t="n">
        <v>0</v>
      </c>
      <c r="N746" t="n">
        <v>0</v>
      </c>
      <c r="O746" t="n">
        <v>0</v>
      </c>
      <c r="P746" t="n">
        <v>0</v>
      </c>
      <c r="Q746" t="n">
        <v>0</v>
      </c>
      <c r="R746" s="2" t="inlineStr"/>
    </row>
    <row r="747" ht="15" customHeight="1">
      <c r="A747" t="inlineStr">
        <is>
          <t>A 15584-2021</t>
        </is>
      </c>
      <c r="B747" s="1" t="n">
        <v>44285</v>
      </c>
      <c r="C747" s="1" t="n">
        <v>46092</v>
      </c>
      <c r="D747" t="inlineStr">
        <is>
          <t>VÄSTMANLANDS LÄN</t>
        </is>
      </c>
      <c r="E747" t="inlineStr">
        <is>
          <t>SALA</t>
        </is>
      </c>
      <c r="G747" t="n">
        <v>3.4</v>
      </c>
      <c r="H747" t="n">
        <v>0</v>
      </c>
      <c r="I747" t="n">
        <v>0</v>
      </c>
      <c r="J747" t="n">
        <v>0</v>
      </c>
      <c r="K747" t="n">
        <v>0</v>
      </c>
      <c r="L747" t="n">
        <v>0</v>
      </c>
      <c r="M747" t="n">
        <v>0</v>
      </c>
      <c r="N747" t="n">
        <v>0</v>
      </c>
      <c r="O747" t="n">
        <v>0</v>
      </c>
      <c r="P747" t="n">
        <v>0</v>
      </c>
      <c r="Q747" t="n">
        <v>0</v>
      </c>
      <c r="R747" s="2" t="inlineStr"/>
    </row>
    <row r="748" ht="15" customHeight="1">
      <c r="A748" t="inlineStr">
        <is>
          <t>A 18340-2025</t>
        </is>
      </c>
      <c r="B748" s="1" t="n">
        <v>45762</v>
      </c>
      <c r="C748" s="1" t="n">
        <v>46092</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56706-2022</t>
        </is>
      </c>
      <c r="B749" s="1" t="n">
        <v>44893.78893518518</v>
      </c>
      <c r="C749" s="1" t="n">
        <v>46092</v>
      </c>
      <c r="D749" t="inlineStr">
        <is>
          <t>VÄSTMANLANDS LÄN</t>
        </is>
      </c>
      <c r="E749" t="inlineStr">
        <is>
          <t>SALA</t>
        </is>
      </c>
      <c r="G749" t="n">
        <v>4.5</v>
      </c>
      <c r="H749" t="n">
        <v>0</v>
      </c>
      <c r="I749" t="n">
        <v>0</v>
      </c>
      <c r="J749" t="n">
        <v>0</v>
      </c>
      <c r="K749" t="n">
        <v>0</v>
      </c>
      <c r="L749" t="n">
        <v>0</v>
      </c>
      <c r="M749" t="n">
        <v>0</v>
      </c>
      <c r="N749" t="n">
        <v>0</v>
      </c>
      <c r="O749" t="n">
        <v>0</v>
      </c>
      <c r="P749" t="n">
        <v>0</v>
      </c>
      <c r="Q749" t="n">
        <v>0</v>
      </c>
      <c r="R749" s="2" t="inlineStr"/>
    </row>
    <row r="750" ht="15" customHeight="1">
      <c r="A750" t="inlineStr">
        <is>
          <t>A 56707-2022</t>
        </is>
      </c>
      <c r="B750" s="1" t="n">
        <v>44893.79412037037</v>
      </c>
      <c r="C750" s="1" t="n">
        <v>46092</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48571-2024</t>
        </is>
      </c>
      <c r="B751" s="1" t="n">
        <v>45591</v>
      </c>
      <c r="C751" s="1" t="n">
        <v>46092</v>
      </c>
      <c r="D751" t="inlineStr">
        <is>
          <t>VÄSTMANLANDS LÄN</t>
        </is>
      </c>
      <c r="E751" t="inlineStr">
        <is>
          <t>SALA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13188-2025</t>
        </is>
      </c>
      <c r="B752" s="1" t="n">
        <v>45735.39246527778</v>
      </c>
      <c r="C752" s="1" t="n">
        <v>46092</v>
      </c>
      <c r="D752" t="inlineStr">
        <is>
          <t>VÄSTMANLANDS LÄN</t>
        </is>
      </c>
      <c r="E752" t="inlineStr">
        <is>
          <t>SALA</t>
        </is>
      </c>
      <c r="F752" t="inlineStr">
        <is>
          <t>Naturvårdsverket</t>
        </is>
      </c>
      <c r="G752" t="n">
        <v>18.4</v>
      </c>
      <c r="H752" t="n">
        <v>0</v>
      </c>
      <c r="I752" t="n">
        <v>0</v>
      </c>
      <c r="J752" t="n">
        <v>0</v>
      </c>
      <c r="K752" t="n">
        <v>0</v>
      </c>
      <c r="L752" t="n">
        <v>0</v>
      </c>
      <c r="M752" t="n">
        <v>0</v>
      </c>
      <c r="N752" t="n">
        <v>0</v>
      </c>
      <c r="O752" t="n">
        <v>0</v>
      </c>
      <c r="P752" t="n">
        <v>0</v>
      </c>
      <c r="Q752" t="n">
        <v>0</v>
      </c>
      <c r="R752" s="2" t="inlineStr"/>
    </row>
    <row r="753" ht="15" customHeight="1">
      <c r="A753" t="inlineStr">
        <is>
          <t>A 23431-2024</t>
        </is>
      </c>
      <c r="B753" s="1" t="n">
        <v>45453</v>
      </c>
      <c r="C753" s="1" t="n">
        <v>46092</v>
      </c>
      <c r="D753" t="inlineStr">
        <is>
          <t>VÄSTMANLANDS LÄN</t>
        </is>
      </c>
      <c r="E753" t="inlineStr">
        <is>
          <t>SALA</t>
        </is>
      </c>
      <c r="G753" t="n">
        <v>1.6</v>
      </c>
      <c r="H753" t="n">
        <v>0</v>
      </c>
      <c r="I753" t="n">
        <v>0</v>
      </c>
      <c r="J753" t="n">
        <v>0</v>
      </c>
      <c r="K753" t="n">
        <v>0</v>
      </c>
      <c r="L753" t="n">
        <v>0</v>
      </c>
      <c r="M753" t="n">
        <v>0</v>
      </c>
      <c r="N753" t="n">
        <v>0</v>
      </c>
      <c r="O753" t="n">
        <v>0</v>
      </c>
      <c r="P753" t="n">
        <v>0</v>
      </c>
      <c r="Q753" t="n">
        <v>0</v>
      </c>
      <c r="R753" s="2" t="inlineStr"/>
    </row>
    <row r="754" ht="15" customHeight="1">
      <c r="A754" t="inlineStr">
        <is>
          <t>A 21168-2025</t>
        </is>
      </c>
      <c r="B754" s="1" t="n">
        <v>45777</v>
      </c>
      <c r="C754" s="1" t="n">
        <v>46092</v>
      </c>
      <c r="D754" t="inlineStr">
        <is>
          <t>VÄSTMANLANDS LÄN</t>
        </is>
      </c>
      <c r="E754" t="inlineStr">
        <is>
          <t>SALA</t>
        </is>
      </c>
      <c r="G754" t="n">
        <v>4.5</v>
      </c>
      <c r="H754" t="n">
        <v>0</v>
      </c>
      <c r="I754" t="n">
        <v>0</v>
      </c>
      <c r="J754" t="n">
        <v>0</v>
      </c>
      <c r="K754" t="n">
        <v>0</v>
      </c>
      <c r="L754" t="n">
        <v>0</v>
      </c>
      <c r="M754" t="n">
        <v>0</v>
      </c>
      <c r="N754" t="n">
        <v>0</v>
      </c>
      <c r="O754" t="n">
        <v>0</v>
      </c>
      <c r="P754" t="n">
        <v>0</v>
      </c>
      <c r="Q754" t="n">
        <v>0</v>
      </c>
      <c r="R754" s="2" t="inlineStr"/>
    </row>
    <row r="755" ht="15" customHeight="1">
      <c r="A755" t="inlineStr">
        <is>
          <t>A 21754-2025</t>
        </is>
      </c>
      <c r="B755" s="1" t="n">
        <v>45783.61837962963</v>
      </c>
      <c r="C755" s="1" t="n">
        <v>46092</v>
      </c>
      <c r="D755" t="inlineStr">
        <is>
          <t>VÄSTMANLANDS LÄN</t>
        </is>
      </c>
      <c r="E755" t="inlineStr">
        <is>
          <t>SALA</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21751-2025</t>
        </is>
      </c>
      <c r="B756" s="1" t="n">
        <v>45783.61372685185</v>
      </c>
      <c r="C756" s="1" t="n">
        <v>46092</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c r="A757" t="inlineStr">
        <is>
          <t>A 37587-2024</t>
        </is>
      </c>
      <c r="B757" s="1" t="n">
        <v>45541</v>
      </c>
      <c r="C757" s="1" t="n">
        <v>46092</v>
      </c>
      <c r="D757" t="inlineStr">
        <is>
          <t>VÄSTMANLANDS LÄN</t>
        </is>
      </c>
      <c r="E757" t="inlineStr">
        <is>
          <t>SALA</t>
        </is>
      </c>
      <c r="G757" t="n">
        <v>1.2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2026-03-11T11:24:48Z</dcterms:created>
  <dcterms:modified xmlns:dcterms="http://purl.org/dc/terms/" xmlns:xsi="http://www.w3.org/2001/XMLSchema-instance" xsi:type="dcterms:W3CDTF">2026-03-11T11:24:48Z</dcterms:modified>
</cp:coreProperties>
</file>