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46010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46010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46010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46010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46010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46010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46010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46010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46010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53009-2024</t>
        </is>
      </c>
      <c r="B12" s="1" t="n">
        <v>45610</v>
      </c>
      <c r="C12" s="1" t="n">
        <v>46010</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46010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46010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34752-2023</t>
        </is>
      </c>
      <c r="B15" s="1" t="n">
        <v>45141</v>
      </c>
      <c r="C15" s="1" t="n">
        <v>46010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46010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46010</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46010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46010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46010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46010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46010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46010</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46010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46010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46010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46010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46010</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46010</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1500-2022</t>
        </is>
      </c>
      <c r="B30" s="1" t="n">
        <v>44573.54357638889</v>
      </c>
      <c r="C30" s="1" t="n">
        <v>46010</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15102-2025</t>
        </is>
      </c>
      <c r="B31" s="1" t="n">
        <v>45744.34585648148</v>
      </c>
      <c r="C31" s="1" t="n">
        <v>46010</v>
      </c>
      <c r="D31" t="inlineStr">
        <is>
          <t>VÄSTMANLANDS LÄN</t>
        </is>
      </c>
      <c r="E31" t="inlineStr">
        <is>
          <t>SALA</t>
        </is>
      </c>
      <c r="F31" t="inlineStr">
        <is>
          <t>Sveaskog</t>
        </is>
      </c>
      <c r="G31" t="n">
        <v>4.2</v>
      </c>
      <c r="H31" t="n">
        <v>2</v>
      </c>
      <c r="I31" t="n">
        <v>0</v>
      </c>
      <c r="J31" t="n">
        <v>1</v>
      </c>
      <c r="K31" t="n">
        <v>0</v>
      </c>
      <c r="L31" t="n">
        <v>0</v>
      </c>
      <c r="M31" t="n">
        <v>0</v>
      </c>
      <c r="N31" t="n">
        <v>0</v>
      </c>
      <c r="O31" t="n">
        <v>1</v>
      </c>
      <c r="P31" t="n">
        <v>0</v>
      </c>
      <c r="Q31" t="n">
        <v>2</v>
      </c>
      <c r="R31" s="2" t="inlineStr">
        <is>
          <t>Spillkråka
Grönsiska</t>
        </is>
      </c>
      <c r="S31">
        <f>HYPERLINK("https://klasma.github.io/Logging_1981/artfynd/A 15102-2025 artfynd.xlsx", "A 15102-2025")</f>
        <v/>
      </c>
      <c r="T31">
        <f>HYPERLINK("https://klasma.github.io/Logging_1981/kartor/A 15102-2025 karta.png", "A 15102-2025")</f>
        <v/>
      </c>
      <c r="V31">
        <f>HYPERLINK("https://klasma.github.io/Logging_1981/klagomål/A 15102-2025 FSC-klagomål.docx", "A 15102-2025")</f>
        <v/>
      </c>
      <c r="W31">
        <f>HYPERLINK("https://klasma.github.io/Logging_1981/klagomålsmail/A 15102-2025 FSC-klagomål mail.docx", "A 15102-2025")</f>
        <v/>
      </c>
      <c r="X31">
        <f>HYPERLINK("https://klasma.github.io/Logging_1981/tillsyn/A 15102-2025 tillsynsbegäran.docx", "A 15102-2025")</f>
        <v/>
      </c>
      <c r="Y31">
        <f>HYPERLINK("https://klasma.github.io/Logging_1981/tillsynsmail/A 15102-2025 tillsynsbegäran mail.docx", "A 15102-2025")</f>
        <v/>
      </c>
      <c r="Z31">
        <f>HYPERLINK("https://klasma.github.io/Logging_1981/fåglar/A 15102-2025 prioriterade fågelarter.docx", "A 15102-2025")</f>
        <v/>
      </c>
    </row>
    <row r="32" ht="15" customHeight="1">
      <c r="A32" t="inlineStr">
        <is>
          <t>A 59826-2025</t>
        </is>
      </c>
      <c r="B32" s="1" t="n">
        <v>45992.65416666667</v>
      </c>
      <c r="C32" s="1" t="n">
        <v>46010</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46010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11846-2024</t>
        </is>
      </c>
      <c r="B34" s="1" t="n">
        <v>45376.4047337963</v>
      </c>
      <c r="C34" s="1" t="n">
        <v>46010</v>
      </c>
      <c r="D34" t="inlineStr">
        <is>
          <t>VÄSTMANLANDS LÄN</t>
        </is>
      </c>
      <c r="E34" t="inlineStr">
        <is>
          <t>SALA</t>
        </is>
      </c>
      <c r="G34" t="n">
        <v>8</v>
      </c>
      <c r="H34" t="n">
        <v>0</v>
      </c>
      <c r="I34" t="n">
        <v>2</v>
      </c>
      <c r="J34" t="n">
        <v>0</v>
      </c>
      <c r="K34" t="n">
        <v>0</v>
      </c>
      <c r="L34" t="n">
        <v>0</v>
      </c>
      <c r="M34" t="n">
        <v>0</v>
      </c>
      <c r="N34" t="n">
        <v>0</v>
      </c>
      <c r="O34" t="n">
        <v>0</v>
      </c>
      <c r="P34" t="n">
        <v>0</v>
      </c>
      <c r="Q34" t="n">
        <v>2</v>
      </c>
      <c r="R34" s="2" t="inlineStr">
        <is>
          <t>Bronshjon
Vågbandad barkbock</t>
        </is>
      </c>
      <c r="S34">
        <f>HYPERLINK("https://klasma.github.io/Logging_1981/artfynd/A 11846-2024 artfynd.xlsx", "A 11846-2024")</f>
        <v/>
      </c>
      <c r="T34">
        <f>HYPERLINK("https://klasma.github.io/Logging_1981/kartor/A 11846-2024 karta.png", "A 11846-2024")</f>
        <v/>
      </c>
      <c r="V34">
        <f>HYPERLINK("https://klasma.github.io/Logging_1981/klagomål/A 11846-2024 FSC-klagomål.docx", "A 11846-2024")</f>
        <v/>
      </c>
      <c r="W34">
        <f>HYPERLINK("https://klasma.github.io/Logging_1981/klagomålsmail/A 11846-2024 FSC-klagomål mail.docx", "A 11846-2024")</f>
        <v/>
      </c>
      <c r="X34">
        <f>HYPERLINK("https://klasma.github.io/Logging_1981/tillsyn/A 11846-2024 tillsynsbegäran.docx", "A 11846-2024")</f>
        <v/>
      </c>
      <c r="Y34">
        <f>HYPERLINK("https://klasma.github.io/Logging_1981/tillsynsmail/A 11846-2024 tillsynsbegäran mail.docx", "A 11846-2024")</f>
        <v/>
      </c>
    </row>
    <row r="35" ht="15" customHeight="1">
      <c r="A35" t="inlineStr">
        <is>
          <t>A 12444-2024</t>
        </is>
      </c>
      <c r="B35" s="1" t="n">
        <v>45379.46285879629</v>
      </c>
      <c r="C35" s="1" t="n">
        <v>46010</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44970-2021</t>
        </is>
      </c>
      <c r="B36" s="1" t="n">
        <v>44438.74399305556</v>
      </c>
      <c r="C36" s="1" t="n">
        <v>46010</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46010</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46010</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46010</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22950-2025</t>
        </is>
      </c>
      <c r="B40" s="1" t="n">
        <v>45790.50728009259</v>
      </c>
      <c r="C40" s="1" t="n">
        <v>46010</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46010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46010</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46010</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14775-2023</t>
        </is>
      </c>
      <c r="B44" s="1" t="n">
        <v>45014</v>
      </c>
      <c r="C44" s="1" t="n">
        <v>46010</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12509-2023</t>
        </is>
      </c>
      <c r="B45" s="1" t="n">
        <v>44999.95988425926</v>
      </c>
      <c r="C45" s="1" t="n">
        <v>46010</v>
      </c>
      <c r="D45" t="inlineStr">
        <is>
          <t>VÄSTMANLANDS LÄN</t>
        </is>
      </c>
      <c r="E45" t="inlineStr">
        <is>
          <t>SALA</t>
        </is>
      </c>
      <c r="G45" t="n">
        <v>13.9</v>
      </c>
      <c r="H45" t="n">
        <v>1</v>
      </c>
      <c r="I45" t="n">
        <v>0</v>
      </c>
      <c r="J45" t="n">
        <v>0</v>
      </c>
      <c r="K45" t="n">
        <v>0</v>
      </c>
      <c r="L45" t="n">
        <v>0</v>
      </c>
      <c r="M45" t="n">
        <v>0</v>
      </c>
      <c r="N45" t="n">
        <v>0</v>
      </c>
      <c r="O45" t="n">
        <v>0</v>
      </c>
      <c r="P45" t="n">
        <v>0</v>
      </c>
      <c r="Q45" t="n">
        <v>1</v>
      </c>
      <c r="R45" s="2" t="inlineStr">
        <is>
          <t>Grönvit nattviol</t>
        </is>
      </c>
      <c r="S45">
        <f>HYPERLINK("https://klasma.github.io/Logging_1981/artfynd/A 12509-2023 artfynd.xlsx", "A 12509-2023")</f>
        <v/>
      </c>
      <c r="T45">
        <f>HYPERLINK("https://klasma.github.io/Logging_1981/kartor/A 12509-2023 karta.png", "A 12509-2023")</f>
        <v/>
      </c>
      <c r="V45">
        <f>HYPERLINK("https://klasma.github.io/Logging_1981/klagomål/A 12509-2023 FSC-klagomål.docx", "A 12509-2023")</f>
        <v/>
      </c>
      <c r="W45">
        <f>HYPERLINK("https://klasma.github.io/Logging_1981/klagomålsmail/A 12509-2023 FSC-klagomål mail.docx", "A 12509-2023")</f>
        <v/>
      </c>
      <c r="X45">
        <f>HYPERLINK("https://klasma.github.io/Logging_1981/tillsyn/A 12509-2023 tillsynsbegäran.docx", "A 12509-2023")</f>
        <v/>
      </c>
      <c r="Y45">
        <f>HYPERLINK("https://klasma.github.io/Logging_1981/tillsynsmail/A 12509-2023 tillsynsbegäran mail.docx", "A 12509-2023")</f>
        <v/>
      </c>
    </row>
    <row r="46" ht="15" customHeight="1">
      <c r="A46" t="inlineStr">
        <is>
          <t>A 22350-2024</t>
        </is>
      </c>
      <c r="B46" s="1" t="n">
        <v>45446</v>
      </c>
      <c r="C46" s="1" t="n">
        <v>46010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38255-2025</t>
        </is>
      </c>
      <c r="B47" s="1" t="n">
        <v>45883.38020833334</v>
      </c>
      <c r="C47" s="1" t="n">
        <v>46010</v>
      </c>
      <c r="D47" t="inlineStr">
        <is>
          <t>VÄSTMANLANDS LÄN</t>
        </is>
      </c>
      <c r="E47" t="inlineStr">
        <is>
          <t>SALA</t>
        </is>
      </c>
      <c r="G47" t="n">
        <v>0.9</v>
      </c>
      <c r="H47" t="n">
        <v>1</v>
      </c>
      <c r="I47" t="n">
        <v>0</v>
      </c>
      <c r="J47" t="n">
        <v>0</v>
      </c>
      <c r="K47" t="n">
        <v>1</v>
      </c>
      <c r="L47" t="n">
        <v>0</v>
      </c>
      <c r="M47" t="n">
        <v>0</v>
      </c>
      <c r="N47" t="n">
        <v>0</v>
      </c>
      <c r="O47" t="n">
        <v>1</v>
      </c>
      <c r="P47" t="n">
        <v>1</v>
      </c>
      <c r="Q47" t="n">
        <v>1</v>
      </c>
      <c r="R47" s="2" t="inlineStr">
        <is>
          <t>Knärot</t>
        </is>
      </c>
      <c r="S47">
        <f>HYPERLINK("https://klasma.github.io/Logging_1981/artfynd/A 38255-2025 artfynd.xlsx", "A 38255-2025")</f>
        <v/>
      </c>
      <c r="T47">
        <f>HYPERLINK("https://klasma.github.io/Logging_1981/kartor/A 38255-2025 karta.png", "A 38255-2025")</f>
        <v/>
      </c>
      <c r="U47">
        <f>HYPERLINK("https://klasma.github.io/Logging_1981/knärot/A 38255-2025 karta knärot.png", "A 38255-2025")</f>
        <v/>
      </c>
      <c r="V47">
        <f>HYPERLINK("https://klasma.github.io/Logging_1981/klagomål/A 38255-2025 FSC-klagomål.docx", "A 38255-2025")</f>
        <v/>
      </c>
      <c r="W47">
        <f>HYPERLINK("https://klasma.github.io/Logging_1981/klagomålsmail/A 38255-2025 FSC-klagomål mail.docx", "A 38255-2025")</f>
        <v/>
      </c>
      <c r="X47">
        <f>HYPERLINK("https://klasma.github.io/Logging_1981/tillsyn/A 38255-2025 tillsynsbegäran.docx", "A 38255-2025")</f>
        <v/>
      </c>
      <c r="Y47">
        <f>HYPERLINK("https://klasma.github.io/Logging_1981/tillsynsmail/A 38255-2025 tillsynsbegäran mail.docx", "A 38255-2025")</f>
        <v/>
      </c>
    </row>
    <row r="48" ht="15" customHeight="1">
      <c r="A48" t="inlineStr">
        <is>
          <t>A 19361-2025</t>
        </is>
      </c>
      <c r="B48" s="1" t="n">
        <v>45769.63357638889</v>
      </c>
      <c r="C48" s="1" t="n">
        <v>46010</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46010</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55995-2025</t>
        </is>
      </c>
      <c r="B50" s="1" t="n">
        <v>45973.56733796297</v>
      </c>
      <c r="C50" s="1" t="n">
        <v>46010</v>
      </c>
      <c r="D50" t="inlineStr">
        <is>
          <t>VÄSTMANLANDS LÄN</t>
        </is>
      </c>
      <c r="E50" t="inlineStr">
        <is>
          <t>SALA</t>
        </is>
      </c>
      <c r="F50" t="inlineStr">
        <is>
          <t>Sveaskog</t>
        </is>
      </c>
      <c r="G50" t="n">
        <v>4.5</v>
      </c>
      <c r="H50" t="n">
        <v>1</v>
      </c>
      <c r="I50" t="n">
        <v>0</v>
      </c>
      <c r="J50" t="n">
        <v>0</v>
      </c>
      <c r="K50" t="n">
        <v>0</v>
      </c>
      <c r="L50" t="n">
        <v>0</v>
      </c>
      <c r="M50" t="n">
        <v>0</v>
      </c>
      <c r="N50" t="n">
        <v>0</v>
      </c>
      <c r="O50" t="n">
        <v>0</v>
      </c>
      <c r="P50" t="n">
        <v>0</v>
      </c>
      <c r="Q50" t="n">
        <v>1</v>
      </c>
      <c r="R50" s="2" t="inlineStr">
        <is>
          <t>Fläcknycklar</t>
        </is>
      </c>
      <c r="S50">
        <f>HYPERLINK("https://klasma.github.io/Logging_1981/artfynd/A 55995-2025 artfynd.xlsx", "A 55995-2025")</f>
        <v/>
      </c>
      <c r="T50">
        <f>HYPERLINK("https://klasma.github.io/Logging_1981/kartor/A 55995-2025 karta.png", "A 55995-2025")</f>
        <v/>
      </c>
      <c r="V50">
        <f>HYPERLINK("https://klasma.github.io/Logging_1981/klagomål/A 55995-2025 FSC-klagomål.docx", "A 55995-2025")</f>
        <v/>
      </c>
      <c r="W50">
        <f>HYPERLINK("https://klasma.github.io/Logging_1981/klagomålsmail/A 55995-2025 FSC-klagomål mail.docx", "A 55995-2025")</f>
        <v/>
      </c>
      <c r="X50">
        <f>HYPERLINK("https://klasma.github.io/Logging_1981/tillsyn/A 55995-2025 tillsynsbegäran.docx", "A 55995-2025")</f>
        <v/>
      </c>
      <c r="Y50">
        <f>HYPERLINK("https://klasma.github.io/Logging_1981/tillsynsmail/A 55995-2025 tillsynsbegäran mail.docx", "A 55995-2025")</f>
        <v/>
      </c>
    </row>
    <row r="51" ht="15" customHeight="1">
      <c r="A51" t="inlineStr">
        <is>
          <t>A 60852-2024</t>
        </is>
      </c>
      <c r="B51" s="1" t="n">
        <v>45644</v>
      </c>
      <c r="C51" s="1" t="n">
        <v>46010</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43175-2023</t>
        </is>
      </c>
      <c r="B52" s="1" t="n">
        <v>45183</v>
      </c>
      <c r="C52" s="1" t="n">
        <v>46010</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48705-2025</t>
        </is>
      </c>
      <c r="B53" s="1" t="n">
        <v>45936.62290509259</v>
      </c>
      <c r="C53" s="1" t="n">
        <v>46010</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50268-2025</t>
        </is>
      </c>
      <c r="B54" s="1" t="n">
        <v>45944.35162037037</v>
      </c>
      <c r="C54" s="1" t="n">
        <v>46010</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55550-2023</t>
        </is>
      </c>
      <c r="B55" s="1" t="n">
        <v>45232</v>
      </c>
      <c r="C55" s="1" t="n">
        <v>46010</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53052-2025</t>
        </is>
      </c>
      <c r="B56" s="1" t="n">
        <v>45958.36266203703</v>
      </c>
      <c r="C56" s="1" t="n">
        <v>46010</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41270-2024</t>
        </is>
      </c>
      <c r="B57" s="1" t="n">
        <v>45559</v>
      </c>
      <c r="C57" s="1" t="n">
        <v>46010</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46010</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46010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46010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46010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46010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46010</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69194-2020</t>
        </is>
      </c>
      <c r="B64" s="1" t="n">
        <v>44191</v>
      </c>
      <c r="C64" s="1" t="n">
        <v>46010</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46010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46010</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46010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46010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46010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46010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46010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46010</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46010</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46010</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46010</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46010</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46010</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46010</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46010</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46010</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46010</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46010</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46010</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46010</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46010</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46010</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46010</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46010</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46010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46010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46010</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46010</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46010</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46010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46010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46010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46010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46010</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46010</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46010</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46010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46010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46010</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46010</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46010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46010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46010</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46010</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46010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46010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46010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46010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46010</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46010</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46010</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46010</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46010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46010</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46010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46010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46010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46010</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46010</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46010</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46010</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46010</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46010</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46010</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46010</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46010</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46010</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46010</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46010</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46010</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46010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46010</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46010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46010</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46010</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46010</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46010</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46010</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46010</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46010</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46010</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46010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46010</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46010</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46010</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46010</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29002-2022</t>
        </is>
      </c>
      <c r="B151" s="1" t="n">
        <v>44749</v>
      </c>
      <c r="C151" s="1" t="n">
        <v>46010</v>
      </c>
      <c r="D151" t="inlineStr">
        <is>
          <t>VÄSTMANLANDS LÄN</t>
        </is>
      </c>
      <c r="E151" t="inlineStr">
        <is>
          <t>SALA</t>
        </is>
      </c>
      <c r="G151" t="n">
        <v>5.4</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46010</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46010</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46010</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46010</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46010</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46010</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46010</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30915-2021</t>
        </is>
      </c>
      <c r="B159" s="1" t="n">
        <v>44365</v>
      </c>
      <c r="C159" s="1" t="n">
        <v>46010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46010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46010</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46010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46010</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46010</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46010</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46010</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46010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46010</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46010</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46010</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46010</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46010</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46010</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46010</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46010</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46010</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46010</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46010</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46010</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44482.46760416667</v>
      </c>
      <c r="C180" s="1" t="n">
        <v>46010</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46010</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46010</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46010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35462-2024</t>
        </is>
      </c>
      <c r="B184" s="1" t="n">
        <v>45531</v>
      </c>
      <c r="C184" s="1" t="n">
        <v>46010</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17458-2024</t>
        </is>
      </c>
      <c r="B185" s="1" t="n">
        <v>45415</v>
      </c>
      <c r="C185" s="1" t="n">
        <v>46010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14024-2025</t>
        </is>
      </c>
      <c r="B186" s="1" t="n">
        <v>45740.34650462963</v>
      </c>
      <c r="C186" s="1" t="n">
        <v>46010</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58107-2021</t>
        </is>
      </c>
      <c r="B187" s="1" t="n">
        <v>44487</v>
      </c>
      <c r="C187" s="1" t="n">
        <v>46010</v>
      </c>
      <c r="D187" t="inlineStr">
        <is>
          <t>VÄSTMANLANDS LÄN</t>
        </is>
      </c>
      <c r="E187" t="inlineStr">
        <is>
          <t>SALA</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26692-2023</t>
        </is>
      </c>
      <c r="B188" s="1" t="n">
        <v>45093.360625</v>
      </c>
      <c r="C188" s="1" t="n">
        <v>46010</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56543-2024</t>
        </is>
      </c>
      <c r="B189" s="1" t="n">
        <v>45625</v>
      </c>
      <c r="C189" s="1" t="n">
        <v>46010</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31950-2023</t>
        </is>
      </c>
      <c r="B190" s="1" t="n">
        <v>45107</v>
      </c>
      <c r="C190" s="1" t="n">
        <v>46010</v>
      </c>
      <c r="D190" t="inlineStr">
        <is>
          <t>VÄSTMANLANDS LÄN</t>
        </is>
      </c>
      <c r="E190" t="inlineStr">
        <is>
          <t>SALA</t>
        </is>
      </c>
      <c r="G190" t="n">
        <v>1.9</v>
      </c>
      <c r="H190" t="n">
        <v>0</v>
      </c>
      <c r="I190" t="n">
        <v>0</v>
      </c>
      <c r="J190" t="n">
        <v>0</v>
      </c>
      <c r="K190" t="n">
        <v>0</v>
      </c>
      <c r="L190" t="n">
        <v>0</v>
      </c>
      <c r="M190" t="n">
        <v>0</v>
      </c>
      <c r="N190" t="n">
        <v>0</v>
      </c>
      <c r="O190" t="n">
        <v>0</v>
      </c>
      <c r="P190" t="n">
        <v>0</v>
      </c>
      <c r="Q190" t="n">
        <v>0</v>
      </c>
      <c r="R190" s="2" t="inlineStr"/>
    </row>
    <row r="191" ht="15" customHeight="1">
      <c r="A191" t="inlineStr">
        <is>
          <t>A 6097-2022</t>
        </is>
      </c>
      <c r="B191" s="1" t="n">
        <v>44599</v>
      </c>
      <c r="C191" s="1" t="n">
        <v>46010</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16767-2024</t>
        </is>
      </c>
      <c r="B192" s="1" t="n">
        <v>45411.38171296296</v>
      </c>
      <c r="C192" s="1" t="n">
        <v>46010</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13022-2023</t>
        </is>
      </c>
      <c r="B193" s="1" t="n">
        <v>45002.33291666667</v>
      </c>
      <c r="C193" s="1" t="n">
        <v>46010</v>
      </c>
      <c r="D193" t="inlineStr">
        <is>
          <t>VÄSTMANLANDS LÄN</t>
        </is>
      </c>
      <c r="E193" t="inlineStr">
        <is>
          <t>SALA</t>
        </is>
      </c>
      <c r="G193" t="n">
        <v>1.5</v>
      </c>
      <c r="H193" t="n">
        <v>0</v>
      </c>
      <c r="I193" t="n">
        <v>0</v>
      </c>
      <c r="J193" t="n">
        <v>0</v>
      </c>
      <c r="K193" t="n">
        <v>0</v>
      </c>
      <c r="L193" t="n">
        <v>0</v>
      </c>
      <c r="M193" t="n">
        <v>0</v>
      </c>
      <c r="N193" t="n">
        <v>0</v>
      </c>
      <c r="O193" t="n">
        <v>0</v>
      </c>
      <c r="P193" t="n">
        <v>0</v>
      </c>
      <c r="Q193" t="n">
        <v>0</v>
      </c>
      <c r="R193" s="2" t="inlineStr"/>
    </row>
    <row r="194" ht="15" customHeight="1">
      <c r="A194" t="inlineStr">
        <is>
          <t>A 4853-2023</t>
        </is>
      </c>
      <c r="B194" s="1" t="n">
        <v>44957.73234953704</v>
      </c>
      <c r="C194" s="1" t="n">
        <v>46010</v>
      </c>
      <c r="D194" t="inlineStr">
        <is>
          <t>VÄSTMANLANDS LÄN</t>
        </is>
      </c>
      <c r="E194" t="inlineStr">
        <is>
          <t>SALA</t>
        </is>
      </c>
      <c r="G194" t="n">
        <v>2.7</v>
      </c>
      <c r="H194" t="n">
        <v>0</v>
      </c>
      <c r="I194" t="n">
        <v>0</v>
      </c>
      <c r="J194" t="n">
        <v>0</v>
      </c>
      <c r="K194" t="n">
        <v>0</v>
      </c>
      <c r="L194" t="n">
        <v>0</v>
      </c>
      <c r="M194" t="n">
        <v>0</v>
      </c>
      <c r="N194" t="n">
        <v>0</v>
      </c>
      <c r="O194" t="n">
        <v>0</v>
      </c>
      <c r="P194" t="n">
        <v>0</v>
      </c>
      <c r="Q194" t="n">
        <v>0</v>
      </c>
      <c r="R194" s="2" t="inlineStr"/>
    </row>
    <row r="195" ht="15" customHeight="1">
      <c r="A195" t="inlineStr">
        <is>
          <t>A 12246-2023</t>
        </is>
      </c>
      <c r="B195" s="1" t="n">
        <v>44995</v>
      </c>
      <c r="C195" s="1" t="n">
        <v>46010</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46010</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33732-2023</t>
        </is>
      </c>
      <c r="B197" s="1" t="n">
        <v>45133.32409722222</v>
      </c>
      <c r="C197" s="1" t="n">
        <v>46010</v>
      </c>
      <c r="D197" t="inlineStr">
        <is>
          <t>VÄSTMANLANDS LÄN</t>
        </is>
      </c>
      <c r="E197" t="inlineStr">
        <is>
          <t>SALA</t>
        </is>
      </c>
      <c r="G197" t="n">
        <v>2</v>
      </c>
      <c r="H197" t="n">
        <v>0</v>
      </c>
      <c r="I197" t="n">
        <v>0</v>
      </c>
      <c r="J197" t="n">
        <v>0</v>
      </c>
      <c r="K197" t="n">
        <v>0</v>
      </c>
      <c r="L197" t="n">
        <v>0</v>
      </c>
      <c r="M197" t="n">
        <v>0</v>
      </c>
      <c r="N197" t="n">
        <v>0</v>
      </c>
      <c r="O197" t="n">
        <v>0</v>
      </c>
      <c r="P197" t="n">
        <v>0</v>
      </c>
      <c r="Q197" t="n">
        <v>0</v>
      </c>
      <c r="R197" s="2" t="inlineStr"/>
    </row>
    <row r="198" ht="15" customHeight="1">
      <c r="A198" t="inlineStr">
        <is>
          <t>A 59909-2024</t>
        </is>
      </c>
      <c r="B198" s="1" t="n">
        <v>45641</v>
      </c>
      <c r="C198" s="1" t="n">
        <v>46010</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69232-2021</t>
        </is>
      </c>
      <c r="B199" s="1" t="n">
        <v>44531.39696759259</v>
      </c>
      <c r="C199" s="1" t="n">
        <v>46010</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46010</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46010</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51464-2024</t>
        </is>
      </c>
      <c r="B202" s="1" t="n">
        <v>45604.49768518518</v>
      </c>
      <c r="C202" s="1" t="n">
        <v>46010</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4797-2023</t>
        </is>
      </c>
      <c r="B203" s="1" t="n">
        <v>44957</v>
      </c>
      <c r="C203" s="1" t="n">
        <v>46010</v>
      </c>
      <c r="D203" t="inlineStr">
        <is>
          <t>VÄSTMANLANDS LÄN</t>
        </is>
      </c>
      <c r="E203" t="inlineStr">
        <is>
          <t>SALA</t>
        </is>
      </c>
      <c r="G203" t="n">
        <v>5.7</v>
      </c>
      <c r="H203" t="n">
        <v>0</v>
      </c>
      <c r="I203" t="n">
        <v>0</v>
      </c>
      <c r="J203" t="n">
        <v>0</v>
      </c>
      <c r="K203" t="n">
        <v>0</v>
      </c>
      <c r="L203" t="n">
        <v>0</v>
      </c>
      <c r="M203" t="n">
        <v>0</v>
      </c>
      <c r="N203" t="n">
        <v>0</v>
      </c>
      <c r="O203" t="n">
        <v>0</v>
      </c>
      <c r="P203" t="n">
        <v>0</v>
      </c>
      <c r="Q203" t="n">
        <v>0</v>
      </c>
      <c r="R203" s="2" t="inlineStr"/>
    </row>
    <row r="204" ht="15" customHeight="1">
      <c r="A204" t="inlineStr">
        <is>
          <t>A 54603-2024</t>
        </is>
      </c>
      <c r="B204" s="1" t="n">
        <v>45617.68224537037</v>
      </c>
      <c r="C204" s="1" t="n">
        <v>46010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46010</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61517-2024</t>
        </is>
      </c>
      <c r="B206" s="1" t="n">
        <v>45645</v>
      </c>
      <c r="C206" s="1" t="n">
        <v>46010</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15972-2024</t>
        </is>
      </c>
      <c r="B207" s="1" t="n">
        <v>45405.56498842593</v>
      </c>
      <c r="C207" s="1" t="n">
        <v>46010</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46010</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1555-2024</t>
        </is>
      </c>
      <c r="B209" s="1" t="n">
        <v>45306</v>
      </c>
      <c r="C209" s="1" t="n">
        <v>46010</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13130-2025</t>
        </is>
      </c>
      <c r="B210" s="1" t="n">
        <v>45734</v>
      </c>
      <c r="C210" s="1" t="n">
        <v>46010</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15756-2025</t>
        </is>
      </c>
      <c r="B211" s="1" t="n">
        <v>45748.56810185185</v>
      </c>
      <c r="C211" s="1" t="n">
        <v>46010</v>
      </c>
      <c r="D211" t="inlineStr">
        <is>
          <t>VÄSTMANLANDS LÄN</t>
        </is>
      </c>
      <c r="E211" t="inlineStr">
        <is>
          <t>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46010</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31000-2022</t>
        </is>
      </c>
      <c r="B213" s="1" t="n">
        <v>44768</v>
      </c>
      <c r="C213" s="1" t="n">
        <v>46010</v>
      </c>
      <c r="D213" t="inlineStr">
        <is>
          <t>VÄSTMANLANDS LÄN</t>
        </is>
      </c>
      <c r="E213" t="inlineStr">
        <is>
          <t>SALA</t>
        </is>
      </c>
      <c r="G213" t="n">
        <v>5.7</v>
      </c>
      <c r="H213" t="n">
        <v>0</v>
      </c>
      <c r="I213" t="n">
        <v>0</v>
      </c>
      <c r="J213" t="n">
        <v>0</v>
      </c>
      <c r="K213" t="n">
        <v>0</v>
      </c>
      <c r="L213" t="n">
        <v>0</v>
      </c>
      <c r="M213" t="n">
        <v>0</v>
      </c>
      <c r="N213" t="n">
        <v>0</v>
      </c>
      <c r="O213" t="n">
        <v>0</v>
      </c>
      <c r="P213" t="n">
        <v>0</v>
      </c>
      <c r="Q213" t="n">
        <v>0</v>
      </c>
      <c r="R213" s="2" t="inlineStr"/>
    </row>
    <row r="214" ht="15" customHeight="1">
      <c r="A214" t="inlineStr">
        <is>
          <t>A 37183-2024</t>
        </is>
      </c>
      <c r="B214" s="1" t="n">
        <v>45539</v>
      </c>
      <c r="C214" s="1" t="n">
        <v>46010</v>
      </c>
      <c r="D214" t="inlineStr">
        <is>
          <t>VÄSTMANLANDS LÄN</t>
        </is>
      </c>
      <c r="E214" t="inlineStr">
        <is>
          <t>SALA</t>
        </is>
      </c>
      <c r="G214" t="n">
        <v>1.2</v>
      </c>
      <c r="H214" t="n">
        <v>0</v>
      </c>
      <c r="I214" t="n">
        <v>0</v>
      </c>
      <c r="J214" t="n">
        <v>0</v>
      </c>
      <c r="K214" t="n">
        <v>0</v>
      </c>
      <c r="L214" t="n">
        <v>0</v>
      </c>
      <c r="M214" t="n">
        <v>0</v>
      </c>
      <c r="N214" t="n">
        <v>0</v>
      </c>
      <c r="O214" t="n">
        <v>0</v>
      </c>
      <c r="P214" t="n">
        <v>0</v>
      </c>
      <c r="Q214" t="n">
        <v>0</v>
      </c>
      <c r="R214" s="2" t="inlineStr"/>
    </row>
    <row r="215" ht="15" customHeight="1">
      <c r="A215" t="inlineStr">
        <is>
          <t>A 23804-2025</t>
        </is>
      </c>
      <c r="B215" s="1" t="n">
        <v>45793.55995370371</v>
      </c>
      <c r="C215" s="1" t="n">
        <v>46010</v>
      </c>
      <c r="D215" t="inlineStr">
        <is>
          <t>VÄSTMANLANDS LÄN</t>
        </is>
      </c>
      <c r="E215" t="inlineStr">
        <is>
          <t>SALA</t>
        </is>
      </c>
      <c r="G215" t="n">
        <v>1.9</v>
      </c>
      <c r="H215" t="n">
        <v>0</v>
      </c>
      <c r="I215" t="n">
        <v>0</v>
      </c>
      <c r="J215" t="n">
        <v>0</v>
      </c>
      <c r="K215" t="n">
        <v>0</v>
      </c>
      <c r="L215" t="n">
        <v>0</v>
      </c>
      <c r="M215" t="n">
        <v>0</v>
      </c>
      <c r="N215" t="n">
        <v>0</v>
      </c>
      <c r="O215" t="n">
        <v>0</v>
      </c>
      <c r="P215" t="n">
        <v>0</v>
      </c>
      <c r="Q215" t="n">
        <v>0</v>
      </c>
      <c r="R215" s="2" t="inlineStr"/>
    </row>
    <row r="216" ht="15" customHeight="1">
      <c r="A216" t="inlineStr">
        <is>
          <t>A 22126-2025</t>
        </is>
      </c>
      <c r="B216" s="1" t="n">
        <v>45785</v>
      </c>
      <c r="C216" s="1" t="n">
        <v>46010</v>
      </c>
      <c r="D216" t="inlineStr">
        <is>
          <t>VÄSTMANLANDS LÄN</t>
        </is>
      </c>
      <c r="E216" t="inlineStr">
        <is>
          <t>SALA</t>
        </is>
      </c>
      <c r="G216" t="n">
        <v>10.6</v>
      </c>
      <c r="H216" t="n">
        <v>0</v>
      </c>
      <c r="I216" t="n">
        <v>0</v>
      </c>
      <c r="J216" t="n">
        <v>0</v>
      </c>
      <c r="K216" t="n">
        <v>0</v>
      </c>
      <c r="L216" t="n">
        <v>0</v>
      </c>
      <c r="M216" t="n">
        <v>0</v>
      </c>
      <c r="N216" t="n">
        <v>0</v>
      </c>
      <c r="O216" t="n">
        <v>0</v>
      </c>
      <c r="P216" t="n">
        <v>0</v>
      </c>
      <c r="Q216" t="n">
        <v>0</v>
      </c>
      <c r="R216" s="2" t="inlineStr"/>
    </row>
    <row r="217" ht="15" customHeight="1">
      <c r="A217" t="inlineStr">
        <is>
          <t>A 19297-2025</t>
        </is>
      </c>
      <c r="B217" s="1" t="n">
        <v>45769.56261574074</v>
      </c>
      <c r="C217" s="1" t="n">
        <v>46010</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27229-2022</t>
        </is>
      </c>
      <c r="B218" s="1" t="n">
        <v>44741</v>
      </c>
      <c r="C218" s="1" t="n">
        <v>46010</v>
      </c>
      <c r="D218" t="inlineStr">
        <is>
          <t>VÄSTMANLANDS LÄN</t>
        </is>
      </c>
      <c r="E218" t="inlineStr">
        <is>
          <t>SALA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23810-2025</t>
        </is>
      </c>
      <c r="B219" s="1" t="n">
        <v>45793.56989583333</v>
      </c>
      <c r="C219" s="1" t="n">
        <v>46010</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31864-2025</t>
        </is>
      </c>
      <c r="B220" s="1" t="n">
        <v>45834.63819444444</v>
      </c>
      <c r="C220" s="1" t="n">
        <v>46010</v>
      </c>
      <c r="D220" t="inlineStr">
        <is>
          <t>VÄSTMANLANDS LÄN</t>
        </is>
      </c>
      <c r="E220" t="inlineStr">
        <is>
          <t>SALA</t>
        </is>
      </c>
      <c r="G220" t="n">
        <v>6.3</v>
      </c>
      <c r="H220" t="n">
        <v>0</v>
      </c>
      <c r="I220" t="n">
        <v>0</v>
      </c>
      <c r="J220" t="n">
        <v>0</v>
      </c>
      <c r="K220" t="n">
        <v>0</v>
      </c>
      <c r="L220" t="n">
        <v>0</v>
      </c>
      <c r="M220" t="n">
        <v>0</v>
      </c>
      <c r="N220" t="n">
        <v>0</v>
      </c>
      <c r="O220" t="n">
        <v>0</v>
      </c>
      <c r="P220" t="n">
        <v>0</v>
      </c>
      <c r="Q220" t="n">
        <v>0</v>
      </c>
      <c r="R220" s="2" t="inlineStr"/>
    </row>
    <row r="221" ht="15" customHeight="1">
      <c r="A221" t="inlineStr">
        <is>
          <t>A 16651-2021</t>
        </is>
      </c>
      <c r="B221" s="1" t="n">
        <v>44294.50096064815</v>
      </c>
      <c r="C221" s="1" t="n">
        <v>46010</v>
      </c>
      <c r="D221" t="inlineStr">
        <is>
          <t>VÄSTMANLANDS LÄN</t>
        </is>
      </c>
      <c r="E221" t="inlineStr">
        <is>
          <t>SALA</t>
        </is>
      </c>
      <c r="G221" t="n">
        <v>7.7</v>
      </c>
      <c r="H221" t="n">
        <v>0</v>
      </c>
      <c r="I221" t="n">
        <v>0</v>
      </c>
      <c r="J221" t="n">
        <v>0</v>
      </c>
      <c r="K221" t="n">
        <v>0</v>
      </c>
      <c r="L221" t="n">
        <v>0</v>
      </c>
      <c r="M221" t="n">
        <v>0</v>
      </c>
      <c r="N221" t="n">
        <v>0</v>
      </c>
      <c r="O221" t="n">
        <v>0</v>
      </c>
      <c r="P221" t="n">
        <v>0</v>
      </c>
      <c r="Q221" t="n">
        <v>0</v>
      </c>
      <c r="R221" s="2" t="inlineStr"/>
    </row>
    <row r="222" ht="15" customHeight="1">
      <c r="A222" t="inlineStr">
        <is>
          <t>A 1793-2023</t>
        </is>
      </c>
      <c r="B222" s="1" t="n">
        <v>44937</v>
      </c>
      <c r="C222" s="1" t="n">
        <v>46010</v>
      </c>
      <c r="D222" t="inlineStr">
        <is>
          <t>VÄSTMANLANDS LÄN</t>
        </is>
      </c>
      <c r="E222" t="inlineStr">
        <is>
          <t>SALA</t>
        </is>
      </c>
      <c r="G222" t="n">
        <v>2.6</v>
      </c>
      <c r="H222" t="n">
        <v>0</v>
      </c>
      <c r="I222" t="n">
        <v>0</v>
      </c>
      <c r="J222" t="n">
        <v>0</v>
      </c>
      <c r="K222" t="n">
        <v>0</v>
      </c>
      <c r="L222" t="n">
        <v>0</v>
      </c>
      <c r="M222" t="n">
        <v>0</v>
      </c>
      <c r="N222" t="n">
        <v>0</v>
      </c>
      <c r="O222" t="n">
        <v>0</v>
      </c>
      <c r="P222" t="n">
        <v>0</v>
      </c>
      <c r="Q222" t="n">
        <v>0</v>
      </c>
      <c r="R222" s="2" t="inlineStr"/>
    </row>
    <row r="223" ht="15" customHeight="1">
      <c r="A223" t="inlineStr">
        <is>
          <t>A 29248-2022</t>
        </is>
      </c>
      <c r="B223" s="1" t="n">
        <v>44750</v>
      </c>
      <c r="C223" s="1" t="n">
        <v>46010</v>
      </c>
      <c r="D223" t="inlineStr">
        <is>
          <t>VÄSTMANLANDS LÄN</t>
        </is>
      </c>
      <c r="E223" t="inlineStr">
        <is>
          <t>SALA</t>
        </is>
      </c>
      <c r="G223" t="n">
        <v>1.6</v>
      </c>
      <c r="H223" t="n">
        <v>0</v>
      </c>
      <c r="I223" t="n">
        <v>0</v>
      </c>
      <c r="J223" t="n">
        <v>0</v>
      </c>
      <c r="K223" t="n">
        <v>0</v>
      </c>
      <c r="L223" t="n">
        <v>0</v>
      </c>
      <c r="M223" t="n">
        <v>0</v>
      </c>
      <c r="N223" t="n">
        <v>0</v>
      </c>
      <c r="O223" t="n">
        <v>0</v>
      </c>
      <c r="P223" t="n">
        <v>0</v>
      </c>
      <c r="Q223" t="n">
        <v>0</v>
      </c>
      <c r="R223" s="2" t="inlineStr"/>
    </row>
    <row r="224" ht="15" customHeight="1">
      <c r="A224" t="inlineStr">
        <is>
          <t>A 39167-2025</t>
        </is>
      </c>
      <c r="B224" s="1" t="n">
        <v>45888</v>
      </c>
      <c r="C224" s="1" t="n">
        <v>46010</v>
      </c>
      <c r="D224" t="inlineStr">
        <is>
          <t>VÄSTMANLANDS LÄN</t>
        </is>
      </c>
      <c r="E224" t="inlineStr">
        <is>
          <t>SALA</t>
        </is>
      </c>
      <c r="G224" t="n">
        <v>5.5</v>
      </c>
      <c r="H224" t="n">
        <v>0</v>
      </c>
      <c r="I224" t="n">
        <v>0</v>
      </c>
      <c r="J224" t="n">
        <v>0</v>
      </c>
      <c r="K224" t="n">
        <v>0</v>
      </c>
      <c r="L224" t="n">
        <v>0</v>
      </c>
      <c r="M224" t="n">
        <v>0</v>
      </c>
      <c r="N224" t="n">
        <v>0</v>
      </c>
      <c r="O224" t="n">
        <v>0</v>
      </c>
      <c r="P224" t="n">
        <v>0</v>
      </c>
      <c r="Q224" t="n">
        <v>0</v>
      </c>
      <c r="R224" s="2" t="inlineStr"/>
    </row>
    <row r="225" ht="15" customHeight="1">
      <c r="A225" t="inlineStr">
        <is>
          <t>A 39182-2025</t>
        </is>
      </c>
      <c r="B225" s="1" t="n">
        <v>45888.66204861111</v>
      </c>
      <c r="C225" s="1" t="n">
        <v>46010</v>
      </c>
      <c r="D225" t="inlineStr">
        <is>
          <t>VÄSTMANLANDS LÄN</t>
        </is>
      </c>
      <c r="E225" t="inlineStr">
        <is>
          <t>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22397-2022</t>
        </is>
      </c>
      <c r="B226" s="1" t="n">
        <v>44713</v>
      </c>
      <c r="C226" s="1" t="n">
        <v>46010</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28863-2022</t>
        </is>
      </c>
      <c r="B227" s="1" t="n">
        <v>44749.50649305555</v>
      </c>
      <c r="C227" s="1" t="n">
        <v>46010</v>
      </c>
      <c r="D227" t="inlineStr">
        <is>
          <t>VÄSTMANLANDS LÄN</t>
        </is>
      </c>
      <c r="E227" t="inlineStr">
        <is>
          <t>SALA</t>
        </is>
      </c>
      <c r="G227" t="n">
        <v>1.6</v>
      </c>
      <c r="H227" t="n">
        <v>0</v>
      </c>
      <c r="I227" t="n">
        <v>0</v>
      </c>
      <c r="J227" t="n">
        <v>0</v>
      </c>
      <c r="K227" t="n">
        <v>0</v>
      </c>
      <c r="L227" t="n">
        <v>0</v>
      </c>
      <c r="M227" t="n">
        <v>0</v>
      </c>
      <c r="N227" t="n">
        <v>0</v>
      </c>
      <c r="O227" t="n">
        <v>0</v>
      </c>
      <c r="P227" t="n">
        <v>0</v>
      </c>
      <c r="Q227" t="n">
        <v>0</v>
      </c>
      <c r="R227" s="2" t="inlineStr"/>
    </row>
    <row r="228" ht="15" customHeight="1">
      <c r="A228" t="inlineStr">
        <is>
          <t>A 24169-2025</t>
        </is>
      </c>
      <c r="B228" s="1" t="n">
        <v>45796</v>
      </c>
      <c r="C228" s="1" t="n">
        <v>46010</v>
      </c>
      <c r="D228" t="inlineStr">
        <is>
          <t>VÄSTMANLANDS LÄN</t>
        </is>
      </c>
      <c r="E228" t="inlineStr">
        <is>
          <t>SALA</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46010</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24944-2023</t>
        </is>
      </c>
      <c r="B230" s="1" t="n">
        <v>45085</v>
      </c>
      <c r="C230" s="1" t="n">
        <v>46010</v>
      </c>
      <c r="D230" t="inlineStr">
        <is>
          <t>VÄSTMANLANDS LÄN</t>
        </is>
      </c>
      <c r="E230" t="inlineStr">
        <is>
          <t>SALA</t>
        </is>
      </c>
      <c r="G230" t="n">
        <v>3.8</v>
      </c>
      <c r="H230" t="n">
        <v>0</v>
      </c>
      <c r="I230" t="n">
        <v>0</v>
      </c>
      <c r="J230" t="n">
        <v>0</v>
      </c>
      <c r="K230" t="n">
        <v>0</v>
      </c>
      <c r="L230" t="n">
        <v>0</v>
      </c>
      <c r="M230" t="n">
        <v>0</v>
      </c>
      <c r="N230" t="n">
        <v>0</v>
      </c>
      <c r="O230" t="n">
        <v>0</v>
      </c>
      <c r="P230" t="n">
        <v>0</v>
      </c>
      <c r="Q230" t="n">
        <v>0</v>
      </c>
      <c r="R230" s="2" t="inlineStr"/>
    </row>
    <row r="231" ht="15" customHeight="1">
      <c r="A231" t="inlineStr">
        <is>
          <t>A 7681-2021</t>
        </is>
      </c>
      <c r="B231" s="1" t="n">
        <v>44242</v>
      </c>
      <c r="C231" s="1" t="n">
        <v>46010</v>
      </c>
      <c r="D231" t="inlineStr">
        <is>
          <t>VÄSTMANLANDS LÄN</t>
        </is>
      </c>
      <c r="E231" t="inlineStr">
        <is>
          <t>SALA</t>
        </is>
      </c>
      <c r="F231" t="inlineStr">
        <is>
          <t>Sveaskog</t>
        </is>
      </c>
      <c r="G231" t="n">
        <v>16.1</v>
      </c>
      <c r="H231" t="n">
        <v>0</v>
      </c>
      <c r="I231" t="n">
        <v>0</v>
      </c>
      <c r="J231" t="n">
        <v>0</v>
      </c>
      <c r="K231" t="n">
        <v>0</v>
      </c>
      <c r="L231" t="n">
        <v>0</v>
      </c>
      <c r="M231" t="n">
        <v>0</v>
      </c>
      <c r="N231" t="n">
        <v>0</v>
      </c>
      <c r="O231" t="n">
        <v>0</v>
      </c>
      <c r="P231" t="n">
        <v>0</v>
      </c>
      <c r="Q231" t="n">
        <v>0</v>
      </c>
      <c r="R231" s="2" t="inlineStr"/>
    </row>
    <row r="232" ht="15" customHeight="1">
      <c r="A232" t="inlineStr">
        <is>
          <t>A 14919-2025</t>
        </is>
      </c>
      <c r="B232" s="1" t="n">
        <v>45743.54256944444</v>
      </c>
      <c r="C232" s="1" t="n">
        <v>46010</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14920-2025</t>
        </is>
      </c>
      <c r="B233" s="1" t="n">
        <v>45743</v>
      </c>
      <c r="C233" s="1" t="n">
        <v>46010</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40398-2021</t>
        </is>
      </c>
      <c r="B234" s="1" t="n">
        <v>44419</v>
      </c>
      <c r="C234" s="1" t="n">
        <v>46010</v>
      </c>
      <c r="D234" t="inlineStr">
        <is>
          <t>VÄSTMANLANDS LÄN</t>
        </is>
      </c>
      <c r="E234" t="inlineStr">
        <is>
          <t>SALA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43362-2023</t>
        </is>
      </c>
      <c r="B235" s="1" t="n">
        <v>45183</v>
      </c>
      <c r="C235" s="1" t="n">
        <v>46010</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24460-2025</t>
        </is>
      </c>
      <c r="B236" s="1" t="n">
        <v>45798</v>
      </c>
      <c r="C236" s="1" t="n">
        <v>46010</v>
      </c>
      <c r="D236" t="inlineStr">
        <is>
          <t>VÄSTMANLANDS LÄN</t>
        </is>
      </c>
      <c r="E236" t="inlineStr">
        <is>
          <t>SALA</t>
        </is>
      </c>
      <c r="F236" t="inlineStr">
        <is>
          <t>Bergvik skog öst AB</t>
        </is>
      </c>
      <c r="G236" t="n">
        <v>2.6</v>
      </c>
      <c r="H236" t="n">
        <v>0</v>
      </c>
      <c r="I236" t="n">
        <v>0</v>
      </c>
      <c r="J236" t="n">
        <v>0</v>
      </c>
      <c r="K236" t="n">
        <v>0</v>
      </c>
      <c r="L236" t="n">
        <v>0</v>
      </c>
      <c r="M236" t="n">
        <v>0</v>
      </c>
      <c r="N236" t="n">
        <v>0</v>
      </c>
      <c r="O236" t="n">
        <v>0</v>
      </c>
      <c r="P236" t="n">
        <v>0</v>
      </c>
      <c r="Q236" t="n">
        <v>0</v>
      </c>
      <c r="R236" s="2" t="inlineStr"/>
    </row>
    <row r="237" ht="15" customHeight="1">
      <c r="A237" t="inlineStr">
        <is>
          <t>A 2900-2023</t>
        </is>
      </c>
      <c r="B237" s="1" t="n">
        <v>44943</v>
      </c>
      <c r="C237" s="1" t="n">
        <v>46010</v>
      </c>
      <c r="D237" t="inlineStr">
        <is>
          <t>VÄSTMANLANDS LÄN</t>
        </is>
      </c>
      <c r="E237" t="inlineStr">
        <is>
          <t>SALA</t>
        </is>
      </c>
      <c r="G237" t="n">
        <v>0.5</v>
      </c>
      <c r="H237" t="n">
        <v>0</v>
      </c>
      <c r="I237" t="n">
        <v>0</v>
      </c>
      <c r="J237" t="n">
        <v>0</v>
      </c>
      <c r="K237" t="n">
        <v>0</v>
      </c>
      <c r="L237" t="n">
        <v>0</v>
      </c>
      <c r="M237" t="n">
        <v>0</v>
      </c>
      <c r="N237" t="n">
        <v>0</v>
      </c>
      <c r="O237" t="n">
        <v>0</v>
      </c>
      <c r="P237" t="n">
        <v>0</v>
      </c>
      <c r="Q237" t="n">
        <v>0</v>
      </c>
      <c r="R237" s="2" t="inlineStr"/>
    </row>
    <row r="238" ht="15" customHeight="1">
      <c r="A238" t="inlineStr">
        <is>
          <t>A 6030-2024</t>
        </is>
      </c>
      <c r="B238" s="1" t="n">
        <v>45336.62782407407</v>
      </c>
      <c r="C238" s="1" t="n">
        <v>46010</v>
      </c>
      <c r="D238" t="inlineStr">
        <is>
          <t>VÄSTMANLANDS LÄN</t>
        </is>
      </c>
      <c r="E238" t="inlineStr">
        <is>
          <t>SALA</t>
        </is>
      </c>
      <c r="G238" t="n">
        <v>3.9</v>
      </c>
      <c r="H238" t="n">
        <v>0</v>
      </c>
      <c r="I238" t="n">
        <v>0</v>
      </c>
      <c r="J238" t="n">
        <v>0</v>
      </c>
      <c r="K238" t="n">
        <v>0</v>
      </c>
      <c r="L238" t="n">
        <v>0</v>
      </c>
      <c r="M238" t="n">
        <v>0</v>
      </c>
      <c r="N238" t="n">
        <v>0</v>
      </c>
      <c r="O238" t="n">
        <v>0</v>
      </c>
      <c r="P238" t="n">
        <v>0</v>
      </c>
      <c r="Q238" t="n">
        <v>0</v>
      </c>
      <c r="R238" s="2" t="inlineStr"/>
    </row>
    <row r="239" ht="15" customHeight="1">
      <c r="A239" t="inlineStr">
        <is>
          <t>A 24463-2025</t>
        </is>
      </c>
      <c r="B239" s="1" t="n">
        <v>45798</v>
      </c>
      <c r="C239" s="1" t="n">
        <v>46010</v>
      </c>
      <c r="D239" t="inlineStr">
        <is>
          <t>VÄSTMANLANDS LÄN</t>
        </is>
      </c>
      <c r="E239" t="inlineStr">
        <is>
          <t>SALA</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52630-2022</t>
        </is>
      </c>
      <c r="B240" s="1" t="n">
        <v>44874</v>
      </c>
      <c r="C240" s="1" t="n">
        <v>46010</v>
      </c>
      <c r="D240" t="inlineStr">
        <is>
          <t>VÄSTMANLANDS LÄN</t>
        </is>
      </c>
      <c r="E240" t="inlineStr">
        <is>
          <t>SALA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52498-2022</t>
        </is>
      </c>
      <c r="B241" s="1" t="n">
        <v>44874.50152777778</v>
      </c>
      <c r="C241" s="1" t="n">
        <v>46010</v>
      </c>
      <c r="D241" t="inlineStr">
        <is>
          <t>VÄSTMANLANDS LÄN</t>
        </is>
      </c>
      <c r="E241" t="inlineStr">
        <is>
          <t>SALA</t>
        </is>
      </c>
      <c r="G241" t="n">
        <v>2.1</v>
      </c>
      <c r="H241" t="n">
        <v>0</v>
      </c>
      <c r="I241" t="n">
        <v>0</v>
      </c>
      <c r="J241" t="n">
        <v>0</v>
      </c>
      <c r="K241" t="n">
        <v>0</v>
      </c>
      <c r="L241" t="n">
        <v>0</v>
      </c>
      <c r="M241" t="n">
        <v>0</v>
      </c>
      <c r="N241" t="n">
        <v>0</v>
      </c>
      <c r="O241" t="n">
        <v>0</v>
      </c>
      <c r="P241" t="n">
        <v>0</v>
      </c>
      <c r="Q241" t="n">
        <v>0</v>
      </c>
      <c r="R241" s="2" t="inlineStr"/>
    </row>
    <row r="242" ht="15" customHeight="1">
      <c r="A242" t="inlineStr">
        <is>
          <t>A 14690-2025</t>
        </is>
      </c>
      <c r="B242" s="1" t="n">
        <v>45742.58212962963</v>
      </c>
      <c r="C242" s="1" t="n">
        <v>46010</v>
      </c>
      <c r="D242" t="inlineStr">
        <is>
          <t>VÄSTMANLANDS LÄN</t>
        </is>
      </c>
      <c r="E242" t="inlineStr">
        <is>
          <t>SALA</t>
        </is>
      </c>
      <c r="G242" t="n">
        <v>3.4</v>
      </c>
      <c r="H242" t="n">
        <v>0</v>
      </c>
      <c r="I242" t="n">
        <v>0</v>
      </c>
      <c r="J242" t="n">
        <v>0</v>
      </c>
      <c r="K242" t="n">
        <v>0</v>
      </c>
      <c r="L242" t="n">
        <v>0</v>
      </c>
      <c r="M242" t="n">
        <v>0</v>
      </c>
      <c r="N242" t="n">
        <v>0</v>
      </c>
      <c r="O242" t="n">
        <v>0</v>
      </c>
      <c r="P242" t="n">
        <v>0</v>
      </c>
      <c r="Q242" t="n">
        <v>0</v>
      </c>
      <c r="R242" s="2" t="inlineStr"/>
    </row>
    <row r="243" ht="15" customHeight="1">
      <c r="A243" t="inlineStr">
        <is>
          <t>A 55065-2024</t>
        </is>
      </c>
      <c r="B243" s="1" t="n">
        <v>45618</v>
      </c>
      <c r="C243" s="1" t="n">
        <v>46010</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24907-2025</t>
        </is>
      </c>
      <c r="B244" s="1" t="n">
        <v>45799</v>
      </c>
      <c r="C244" s="1" t="n">
        <v>46010</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24910-2025</t>
        </is>
      </c>
      <c r="B245" s="1" t="n">
        <v>45799.53775462963</v>
      </c>
      <c r="C245" s="1" t="n">
        <v>46010</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2521-2025</t>
        </is>
      </c>
      <c r="B246" s="1" t="n">
        <v>45674</v>
      </c>
      <c r="C246" s="1" t="n">
        <v>46010</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4736-2021</t>
        </is>
      </c>
      <c r="B247" s="1" t="n">
        <v>44225</v>
      </c>
      <c r="C247" s="1" t="n">
        <v>46010</v>
      </c>
      <c r="D247" t="inlineStr">
        <is>
          <t>VÄSTMANLANDS LÄN</t>
        </is>
      </c>
      <c r="E247" t="inlineStr">
        <is>
          <t>SALA</t>
        </is>
      </c>
      <c r="G247" t="n">
        <v>4.2</v>
      </c>
      <c r="H247" t="n">
        <v>0</v>
      </c>
      <c r="I247" t="n">
        <v>0</v>
      </c>
      <c r="J247" t="n">
        <v>0</v>
      </c>
      <c r="K247" t="n">
        <v>0</v>
      </c>
      <c r="L247" t="n">
        <v>0</v>
      </c>
      <c r="M247" t="n">
        <v>0</v>
      </c>
      <c r="N247" t="n">
        <v>0</v>
      </c>
      <c r="O247" t="n">
        <v>0</v>
      </c>
      <c r="P247" t="n">
        <v>0</v>
      </c>
      <c r="Q247" t="n">
        <v>0</v>
      </c>
      <c r="R247" s="2" t="inlineStr"/>
    </row>
    <row r="248" ht="15" customHeight="1">
      <c r="A248" t="inlineStr">
        <is>
          <t>A 60548-2024</t>
        </is>
      </c>
      <c r="B248" s="1" t="n">
        <v>45643.80978009259</v>
      </c>
      <c r="C248" s="1" t="n">
        <v>46010</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26761-2023</t>
        </is>
      </c>
      <c r="B249" s="1" t="n">
        <v>45093</v>
      </c>
      <c r="C249" s="1" t="n">
        <v>46010</v>
      </c>
      <c r="D249" t="inlineStr">
        <is>
          <t>VÄSTMANLANDS LÄN</t>
        </is>
      </c>
      <c r="E249" t="inlineStr">
        <is>
          <t>SALA</t>
        </is>
      </c>
      <c r="G249" t="n">
        <v>4.3</v>
      </c>
      <c r="H249" t="n">
        <v>0</v>
      </c>
      <c r="I249" t="n">
        <v>0</v>
      </c>
      <c r="J249" t="n">
        <v>0</v>
      </c>
      <c r="K249" t="n">
        <v>0</v>
      </c>
      <c r="L249" t="n">
        <v>0</v>
      </c>
      <c r="M249" t="n">
        <v>0</v>
      </c>
      <c r="N249" t="n">
        <v>0</v>
      </c>
      <c r="O249" t="n">
        <v>0</v>
      </c>
      <c r="P249" t="n">
        <v>0</v>
      </c>
      <c r="Q249" t="n">
        <v>0</v>
      </c>
      <c r="R249" s="2" t="inlineStr"/>
    </row>
    <row r="250" ht="15" customHeight="1">
      <c r="A250" t="inlineStr">
        <is>
          <t>A 55035-2023</t>
        </is>
      </c>
      <c r="B250" s="1" t="n">
        <v>45229</v>
      </c>
      <c r="C250" s="1" t="n">
        <v>46010</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60249-2023</t>
        </is>
      </c>
      <c r="B251" s="1" t="n">
        <v>45258</v>
      </c>
      <c r="C251" s="1" t="n">
        <v>46010</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40559-2025</t>
        </is>
      </c>
      <c r="B252" s="1" t="n">
        <v>45896.45037037037</v>
      </c>
      <c r="C252" s="1" t="n">
        <v>46010</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10909-2024</t>
        </is>
      </c>
      <c r="B253" s="1" t="n">
        <v>45370</v>
      </c>
      <c r="C253" s="1" t="n">
        <v>46010</v>
      </c>
      <c r="D253" t="inlineStr">
        <is>
          <t>VÄSTMANLANDS LÄN</t>
        </is>
      </c>
      <c r="E253" t="inlineStr">
        <is>
          <t>SALA</t>
        </is>
      </c>
      <c r="G253" t="n">
        <v>3.3</v>
      </c>
      <c r="H253" t="n">
        <v>0</v>
      </c>
      <c r="I253" t="n">
        <v>0</v>
      </c>
      <c r="J253" t="n">
        <v>0</v>
      </c>
      <c r="K253" t="n">
        <v>0</v>
      </c>
      <c r="L253" t="n">
        <v>0</v>
      </c>
      <c r="M253" t="n">
        <v>0</v>
      </c>
      <c r="N253" t="n">
        <v>0</v>
      </c>
      <c r="O253" t="n">
        <v>0</v>
      </c>
      <c r="P253" t="n">
        <v>0</v>
      </c>
      <c r="Q253" t="n">
        <v>0</v>
      </c>
      <c r="R253" s="2" t="inlineStr"/>
    </row>
    <row r="254" ht="15" customHeight="1">
      <c r="A254" t="inlineStr">
        <is>
          <t>A 40556-2025</t>
        </is>
      </c>
      <c r="B254" s="1" t="n">
        <v>45896.44944444444</v>
      </c>
      <c r="C254" s="1" t="n">
        <v>46010</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40620-2025</t>
        </is>
      </c>
      <c r="B255" s="1" t="n">
        <v>45896.58609953704</v>
      </c>
      <c r="C255" s="1" t="n">
        <v>46010</v>
      </c>
      <c r="D255" t="inlineStr">
        <is>
          <t>VÄSTMANLANDS LÄN</t>
        </is>
      </c>
      <c r="E255" t="inlineStr">
        <is>
          <t>SALA</t>
        </is>
      </c>
      <c r="G255" t="n">
        <v>6.7</v>
      </c>
      <c r="H255" t="n">
        <v>0</v>
      </c>
      <c r="I255" t="n">
        <v>0</v>
      </c>
      <c r="J255" t="n">
        <v>0</v>
      </c>
      <c r="K255" t="n">
        <v>0</v>
      </c>
      <c r="L255" t="n">
        <v>0</v>
      </c>
      <c r="M255" t="n">
        <v>0</v>
      </c>
      <c r="N255" t="n">
        <v>0</v>
      </c>
      <c r="O255" t="n">
        <v>0</v>
      </c>
      <c r="P255" t="n">
        <v>0</v>
      </c>
      <c r="Q255" t="n">
        <v>0</v>
      </c>
      <c r="R255" s="2" t="inlineStr"/>
    </row>
    <row r="256" ht="15" customHeight="1">
      <c r="A256" t="inlineStr">
        <is>
          <t>A 31597-2024</t>
        </is>
      </c>
      <c r="B256" s="1" t="n">
        <v>45506</v>
      </c>
      <c r="C256" s="1" t="n">
        <v>46010</v>
      </c>
      <c r="D256" t="inlineStr">
        <is>
          <t>VÄSTMANLANDS LÄN</t>
        </is>
      </c>
      <c r="E256" t="inlineStr">
        <is>
          <t>SALA</t>
        </is>
      </c>
      <c r="G256" t="n">
        <v>2.4</v>
      </c>
      <c r="H256" t="n">
        <v>0</v>
      </c>
      <c r="I256" t="n">
        <v>0</v>
      </c>
      <c r="J256" t="n">
        <v>0</v>
      </c>
      <c r="K256" t="n">
        <v>0</v>
      </c>
      <c r="L256" t="n">
        <v>0</v>
      </c>
      <c r="M256" t="n">
        <v>0</v>
      </c>
      <c r="N256" t="n">
        <v>0</v>
      </c>
      <c r="O256" t="n">
        <v>0</v>
      </c>
      <c r="P256" t="n">
        <v>0</v>
      </c>
      <c r="Q256" t="n">
        <v>0</v>
      </c>
      <c r="R256" s="2" t="inlineStr"/>
    </row>
    <row r="257" ht="15" customHeight="1">
      <c r="A257" t="inlineStr">
        <is>
          <t>A 31599-2024</t>
        </is>
      </c>
      <c r="B257" s="1" t="n">
        <v>45506</v>
      </c>
      <c r="C257" s="1" t="n">
        <v>46010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31601-2024</t>
        </is>
      </c>
      <c r="B258" s="1" t="n">
        <v>45506</v>
      </c>
      <c r="C258" s="1" t="n">
        <v>46010</v>
      </c>
      <c r="D258" t="inlineStr">
        <is>
          <t>VÄSTMANLANDS LÄN</t>
        </is>
      </c>
      <c r="E258" t="inlineStr">
        <is>
          <t>SALA</t>
        </is>
      </c>
      <c r="G258" t="n">
        <v>0.5</v>
      </c>
      <c r="H258" t="n">
        <v>0</v>
      </c>
      <c r="I258" t="n">
        <v>0</v>
      </c>
      <c r="J258" t="n">
        <v>0</v>
      </c>
      <c r="K258" t="n">
        <v>0</v>
      </c>
      <c r="L258" t="n">
        <v>0</v>
      </c>
      <c r="M258" t="n">
        <v>0</v>
      </c>
      <c r="N258" t="n">
        <v>0</v>
      </c>
      <c r="O258" t="n">
        <v>0</v>
      </c>
      <c r="P258" t="n">
        <v>0</v>
      </c>
      <c r="Q258" t="n">
        <v>0</v>
      </c>
      <c r="R258" s="2" t="inlineStr"/>
    </row>
    <row r="259" ht="15" customHeight="1">
      <c r="A259" t="inlineStr">
        <is>
          <t>A 31608-2024</t>
        </is>
      </c>
      <c r="B259" s="1" t="n">
        <v>45506</v>
      </c>
      <c r="C259" s="1" t="n">
        <v>46010</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31612-2024</t>
        </is>
      </c>
      <c r="B260" s="1" t="n">
        <v>45506</v>
      </c>
      <c r="C260" s="1" t="n">
        <v>46010</v>
      </c>
      <c r="D260" t="inlineStr">
        <is>
          <t>VÄSTMANLANDS LÄN</t>
        </is>
      </c>
      <c r="E260" t="inlineStr">
        <is>
          <t>SALA</t>
        </is>
      </c>
      <c r="G260" t="n">
        <v>3.2</v>
      </c>
      <c r="H260" t="n">
        <v>0</v>
      </c>
      <c r="I260" t="n">
        <v>0</v>
      </c>
      <c r="J260" t="n">
        <v>0</v>
      </c>
      <c r="K260" t="n">
        <v>0</v>
      </c>
      <c r="L260" t="n">
        <v>0</v>
      </c>
      <c r="M260" t="n">
        <v>0</v>
      </c>
      <c r="N260" t="n">
        <v>0</v>
      </c>
      <c r="O260" t="n">
        <v>0</v>
      </c>
      <c r="P260" t="n">
        <v>0</v>
      </c>
      <c r="Q260" t="n">
        <v>0</v>
      </c>
      <c r="R260" s="2" t="inlineStr"/>
    </row>
    <row r="261" ht="15" customHeight="1">
      <c r="A261" t="inlineStr">
        <is>
          <t>A 52500-2024</t>
        </is>
      </c>
      <c r="B261" s="1" t="n">
        <v>45609</v>
      </c>
      <c r="C261" s="1" t="n">
        <v>46010</v>
      </c>
      <c r="D261" t="inlineStr">
        <is>
          <t>VÄSTMANLANDS LÄN</t>
        </is>
      </c>
      <c r="E261" t="inlineStr">
        <is>
          <t>SALA</t>
        </is>
      </c>
      <c r="G261" t="n">
        <v>1.3</v>
      </c>
      <c r="H261" t="n">
        <v>0</v>
      </c>
      <c r="I261" t="n">
        <v>0</v>
      </c>
      <c r="J261" t="n">
        <v>0</v>
      </c>
      <c r="K261" t="n">
        <v>0</v>
      </c>
      <c r="L261" t="n">
        <v>0</v>
      </c>
      <c r="M261" t="n">
        <v>0</v>
      </c>
      <c r="N261" t="n">
        <v>0</v>
      </c>
      <c r="O261" t="n">
        <v>0</v>
      </c>
      <c r="P261" t="n">
        <v>0</v>
      </c>
      <c r="Q261" t="n">
        <v>0</v>
      </c>
      <c r="R261" s="2" t="inlineStr"/>
    </row>
    <row r="262" ht="15" customHeight="1">
      <c r="A262" t="inlineStr">
        <is>
          <t>A 56949-2023</t>
        </is>
      </c>
      <c r="B262" s="1" t="n">
        <v>45244.61589120371</v>
      </c>
      <c r="C262" s="1" t="n">
        <v>46010</v>
      </c>
      <c r="D262" t="inlineStr">
        <is>
          <t>VÄSTMANLANDS LÄN</t>
        </is>
      </c>
      <c r="E262" t="inlineStr">
        <is>
          <t>SALA</t>
        </is>
      </c>
      <c r="G262" t="n">
        <v>4.7</v>
      </c>
      <c r="H262" t="n">
        <v>0</v>
      </c>
      <c r="I262" t="n">
        <v>0</v>
      </c>
      <c r="J262" t="n">
        <v>0</v>
      </c>
      <c r="K262" t="n">
        <v>0</v>
      </c>
      <c r="L262" t="n">
        <v>0</v>
      </c>
      <c r="M262" t="n">
        <v>0</v>
      </c>
      <c r="N262" t="n">
        <v>0</v>
      </c>
      <c r="O262" t="n">
        <v>0</v>
      </c>
      <c r="P262" t="n">
        <v>0</v>
      </c>
      <c r="Q262" t="n">
        <v>0</v>
      </c>
      <c r="R262" s="2" t="inlineStr"/>
    </row>
    <row r="263" ht="15" customHeight="1">
      <c r="A263" t="inlineStr">
        <is>
          <t>A 26661-2025</t>
        </is>
      </c>
      <c r="B263" s="1" t="n">
        <v>45810</v>
      </c>
      <c r="C263" s="1" t="n">
        <v>46010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96-2024</t>
        </is>
      </c>
      <c r="B264" s="1" t="n">
        <v>45293.85872685185</v>
      </c>
      <c r="C264" s="1" t="n">
        <v>46010</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41230-2025</t>
        </is>
      </c>
      <c r="B265" s="1" t="n">
        <v>45898</v>
      </c>
      <c r="C265" s="1" t="n">
        <v>46010</v>
      </c>
      <c r="D265" t="inlineStr">
        <is>
          <t>VÄSTMANLANDS LÄN</t>
        </is>
      </c>
      <c r="E265" t="inlineStr">
        <is>
          <t>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54118-2023</t>
        </is>
      </c>
      <c r="B266" s="1" t="n">
        <v>45232</v>
      </c>
      <c r="C266" s="1" t="n">
        <v>46010</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41414-2025</t>
        </is>
      </c>
      <c r="B267" s="1" t="n">
        <v>45901.360625</v>
      </c>
      <c r="C267" s="1" t="n">
        <v>46010</v>
      </c>
      <c r="D267" t="inlineStr">
        <is>
          <t>VÄSTMANLANDS LÄN</t>
        </is>
      </c>
      <c r="E267" t="inlineStr">
        <is>
          <t>SALA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34814-2021</t>
        </is>
      </c>
      <c r="B268" s="1" t="n">
        <v>44383</v>
      </c>
      <c r="C268" s="1" t="n">
        <v>46010</v>
      </c>
      <c r="D268" t="inlineStr">
        <is>
          <t>VÄSTMANLANDS LÄN</t>
        </is>
      </c>
      <c r="E268" t="inlineStr">
        <is>
          <t>SALA</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25748-2022</t>
        </is>
      </c>
      <c r="B269" s="1" t="n">
        <v>44732</v>
      </c>
      <c r="C269" s="1" t="n">
        <v>46010</v>
      </c>
      <c r="D269" t="inlineStr">
        <is>
          <t>VÄSTMANLANDS LÄN</t>
        </is>
      </c>
      <c r="E269" t="inlineStr">
        <is>
          <t>SALA</t>
        </is>
      </c>
      <c r="G269" t="n">
        <v>7.7</v>
      </c>
      <c r="H269" t="n">
        <v>0</v>
      </c>
      <c r="I269" t="n">
        <v>0</v>
      </c>
      <c r="J269" t="n">
        <v>0</v>
      </c>
      <c r="K269" t="n">
        <v>0</v>
      </c>
      <c r="L269" t="n">
        <v>0</v>
      </c>
      <c r="M269" t="n">
        <v>0</v>
      </c>
      <c r="N269" t="n">
        <v>0</v>
      </c>
      <c r="O269" t="n">
        <v>0</v>
      </c>
      <c r="P269" t="n">
        <v>0</v>
      </c>
      <c r="Q269" t="n">
        <v>0</v>
      </c>
      <c r="R269" s="2" t="inlineStr"/>
    </row>
    <row r="270" ht="15" customHeight="1">
      <c r="A270" t="inlineStr">
        <is>
          <t>A 61717-2024</t>
        </is>
      </c>
      <c r="B270" s="1" t="n">
        <v>45648</v>
      </c>
      <c r="C270" s="1" t="n">
        <v>46010</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53164-2024</t>
        </is>
      </c>
      <c r="B271" s="1" t="n">
        <v>45611.64887731482</v>
      </c>
      <c r="C271" s="1" t="n">
        <v>46010</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41431-2025</t>
        </is>
      </c>
      <c r="B272" s="1" t="n">
        <v>45901.39347222223</v>
      </c>
      <c r="C272" s="1" t="n">
        <v>46010</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3733-2023</t>
        </is>
      </c>
      <c r="B273" s="1" t="n">
        <v>44951.42501157407</v>
      </c>
      <c r="C273" s="1" t="n">
        <v>46010</v>
      </c>
      <c r="D273" t="inlineStr">
        <is>
          <t>VÄSTMANLANDS LÄN</t>
        </is>
      </c>
      <c r="E273" t="inlineStr">
        <is>
          <t>SALA</t>
        </is>
      </c>
      <c r="G273" t="n">
        <v>3.1</v>
      </c>
      <c r="H273" t="n">
        <v>0</v>
      </c>
      <c r="I273" t="n">
        <v>0</v>
      </c>
      <c r="J273" t="n">
        <v>0</v>
      </c>
      <c r="K273" t="n">
        <v>0</v>
      </c>
      <c r="L273" t="n">
        <v>0</v>
      </c>
      <c r="M273" t="n">
        <v>0</v>
      </c>
      <c r="N273" t="n">
        <v>0</v>
      </c>
      <c r="O273" t="n">
        <v>0</v>
      </c>
      <c r="P273" t="n">
        <v>0</v>
      </c>
      <c r="Q273" t="n">
        <v>0</v>
      </c>
      <c r="R273" s="2" t="inlineStr"/>
    </row>
    <row r="274" ht="15" customHeight="1">
      <c r="A274" t="inlineStr">
        <is>
          <t>A 6136-2025</t>
        </is>
      </c>
      <c r="B274" s="1" t="n">
        <v>45698.37601851852</v>
      </c>
      <c r="C274" s="1" t="n">
        <v>46010</v>
      </c>
      <c r="D274" t="inlineStr">
        <is>
          <t>VÄSTMANLANDS LÄN</t>
        </is>
      </c>
      <c r="E274" t="inlineStr">
        <is>
          <t>SALA</t>
        </is>
      </c>
      <c r="F274" t="inlineStr">
        <is>
          <t>Bergvik skog öst AB</t>
        </is>
      </c>
      <c r="G274" t="n">
        <v>2.2</v>
      </c>
      <c r="H274" t="n">
        <v>0</v>
      </c>
      <c r="I274" t="n">
        <v>0</v>
      </c>
      <c r="J274" t="n">
        <v>0</v>
      </c>
      <c r="K274" t="n">
        <v>0</v>
      </c>
      <c r="L274" t="n">
        <v>0</v>
      </c>
      <c r="M274" t="n">
        <v>0</v>
      </c>
      <c r="N274" t="n">
        <v>0</v>
      </c>
      <c r="O274" t="n">
        <v>0</v>
      </c>
      <c r="P274" t="n">
        <v>0</v>
      </c>
      <c r="Q274" t="n">
        <v>0</v>
      </c>
      <c r="R274" s="2" t="inlineStr"/>
    </row>
    <row r="275" ht="15" customHeight="1">
      <c r="A275" t="inlineStr">
        <is>
          <t>A 6190-2025</t>
        </is>
      </c>
      <c r="B275" s="1" t="n">
        <v>45698</v>
      </c>
      <c r="C275" s="1" t="n">
        <v>46010</v>
      </c>
      <c r="D275" t="inlineStr">
        <is>
          <t>VÄSTMANLANDS LÄN</t>
        </is>
      </c>
      <c r="E275" t="inlineStr">
        <is>
          <t>SALA</t>
        </is>
      </c>
      <c r="F275" t="inlineStr">
        <is>
          <t>Bergvik skog öst AB</t>
        </is>
      </c>
      <c r="G275" t="n">
        <v>4.6</v>
      </c>
      <c r="H275" t="n">
        <v>0</v>
      </c>
      <c r="I275" t="n">
        <v>0</v>
      </c>
      <c r="J275" t="n">
        <v>0</v>
      </c>
      <c r="K275" t="n">
        <v>0</v>
      </c>
      <c r="L275" t="n">
        <v>0</v>
      </c>
      <c r="M275" t="n">
        <v>0</v>
      </c>
      <c r="N275" t="n">
        <v>0</v>
      </c>
      <c r="O275" t="n">
        <v>0</v>
      </c>
      <c r="P275" t="n">
        <v>0</v>
      </c>
      <c r="Q275" t="n">
        <v>0</v>
      </c>
      <c r="R275" s="2" t="inlineStr"/>
    </row>
    <row r="276" ht="15" customHeight="1">
      <c r="A276" t="inlineStr">
        <is>
          <t>A 16760-2024</t>
        </is>
      </c>
      <c r="B276" s="1" t="n">
        <v>45411</v>
      </c>
      <c r="C276" s="1" t="n">
        <v>46010</v>
      </c>
      <c r="D276" t="inlineStr">
        <is>
          <t>VÄSTMANLANDS LÄN</t>
        </is>
      </c>
      <c r="E276" t="inlineStr">
        <is>
          <t>SALA</t>
        </is>
      </c>
      <c r="G276" t="n">
        <v>2.6</v>
      </c>
      <c r="H276" t="n">
        <v>0</v>
      </c>
      <c r="I276" t="n">
        <v>0</v>
      </c>
      <c r="J276" t="n">
        <v>0</v>
      </c>
      <c r="K276" t="n">
        <v>0</v>
      </c>
      <c r="L276" t="n">
        <v>0</v>
      </c>
      <c r="M276" t="n">
        <v>0</v>
      </c>
      <c r="N276" t="n">
        <v>0</v>
      </c>
      <c r="O276" t="n">
        <v>0</v>
      </c>
      <c r="P276" t="n">
        <v>0</v>
      </c>
      <c r="Q276" t="n">
        <v>0</v>
      </c>
      <c r="R276" s="2" t="inlineStr"/>
    </row>
    <row r="277" ht="15" customHeight="1">
      <c r="A277" t="inlineStr">
        <is>
          <t>A 27989-2025</t>
        </is>
      </c>
      <c r="B277" s="1" t="n">
        <v>45817.58716435185</v>
      </c>
      <c r="C277" s="1" t="n">
        <v>46010</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27981-2025</t>
        </is>
      </c>
      <c r="B278" s="1" t="n">
        <v>45817.57471064815</v>
      </c>
      <c r="C278" s="1" t="n">
        <v>46010</v>
      </c>
      <c r="D278" t="inlineStr">
        <is>
          <t>VÄSTMANLANDS LÄN</t>
        </is>
      </c>
      <c r="E278" t="inlineStr">
        <is>
          <t>SALA</t>
        </is>
      </c>
      <c r="G278" t="n">
        <v>1.7</v>
      </c>
      <c r="H278" t="n">
        <v>0</v>
      </c>
      <c r="I278" t="n">
        <v>0</v>
      </c>
      <c r="J278" t="n">
        <v>0</v>
      </c>
      <c r="K278" t="n">
        <v>0</v>
      </c>
      <c r="L278" t="n">
        <v>0</v>
      </c>
      <c r="M278" t="n">
        <v>0</v>
      </c>
      <c r="N278" t="n">
        <v>0</v>
      </c>
      <c r="O278" t="n">
        <v>0</v>
      </c>
      <c r="P278" t="n">
        <v>0</v>
      </c>
      <c r="Q278" t="n">
        <v>0</v>
      </c>
      <c r="R278" s="2" t="inlineStr"/>
    </row>
    <row r="279" ht="15" customHeight="1">
      <c r="A279" t="inlineStr">
        <is>
          <t>A 28193-2025</t>
        </is>
      </c>
      <c r="B279" s="1" t="n">
        <v>45818.425625</v>
      </c>
      <c r="C279" s="1" t="n">
        <v>46010</v>
      </c>
      <c r="D279" t="inlineStr">
        <is>
          <t>VÄSTMANLANDS LÄN</t>
        </is>
      </c>
      <c r="E279" t="inlineStr">
        <is>
          <t>SALA</t>
        </is>
      </c>
      <c r="G279" t="n">
        <v>1.8</v>
      </c>
      <c r="H279" t="n">
        <v>0</v>
      </c>
      <c r="I279" t="n">
        <v>0</v>
      </c>
      <c r="J279" t="n">
        <v>0</v>
      </c>
      <c r="K279" t="n">
        <v>0</v>
      </c>
      <c r="L279" t="n">
        <v>0</v>
      </c>
      <c r="M279" t="n">
        <v>0</v>
      </c>
      <c r="N279" t="n">
        <v>0</v>
      </c>
      <c r="O279" t="n">
        <v>0</v>
      </c>
      <c r="P279" t="n">
        <v>0</v>
      </c>
      <c r="Q279" t="n">
        <v>0</v>
      </c>
      <c r="R279" s="2" t="inlineStr"/>
    </row>
    <row r="280" ht="15" customHeight="1">
      <c r="A280" t="inlineStr">
        <is>
          <t>A 28284-2025</t>
        </is>
      </c>
      <c r="B280" s="1" t="n">
        <v>45818.58893518519</v>
      </c>
      <c r="C280" s="1" t="n">
        <v>46010</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6127-2025</t>
        </is>
      </c>
      <c r="B281" s="1" t="n">
        <v>45698</v>
      </c>
      <c r="C281" s="1" t="n">
        <v>46010</v>
      </c>
      <c r="D281" t="inlineStr">
        <is>
          <t>VÄSTMANLANDS LÄN</t>
        </is>
      </c>
      <c r="E281" t="inlineStr">
        <is>
          <t>SALA</t>
        </is>
      </c>
      <c r="F281" t="inlineStr">
        <is>
          <t>Bergvik skog öst AB</t>
        </is>
      </c>
      <c r="G281" t="n">
        <v>4.3</v>
      </c>
      <c r="H281" t="n">
        <v>0</v>
      </c>
      <c r="I281" t="n">
        <v>0</v>
      </c>
      <c r="J281" t="n">
        <v>0</v>
      </c>
      <c r="K281" t="n">
        <v>0</v>
      </c>
      <c r="L281" t="n">
        <v>0</v>
      </c>
      <c r="M281" t="n">
        <v>0</v>
      </c>
      <c r="N281" t="n">
        <v>0</v>
      </c>
      <c r="O281" t="n">
        <v>0</v>
      </c>
      <c r="P281" t="n">
        <v>0</v>
      </c>
      <c r="Q281" t="n">
        <v>0</v>
      </c>
      <c r="R281" s="2" t="inlineStr"/>
    </row>
    <row r="282" ht="15" customHeight="1">
      <c r="A282" t="inlineStr">
        <is>
          <t>A 28278-2025</t>
        </is>
      </c>
      <c r="B282" s="1" t="n">
        <v>45818.58454861111</v>
      </c>
      <c r="C282" s="1" t="n">
        <v>46010</v>
      </c>
      <c r="D282" t="inlineStr">
        <is>
          <t>VÄSTMANLANDS LÄN</t>
        </is>
      </c>
      <c r="E282" t="inlineStr">
        <is>
          <t>SALA</t>
        </is>
      </c>
      <c r="G282" t="n">
        <v>7.6</v>
      </c>
      <c r="H282" t="n">
        <v>0</v>
      </c>
      <c r="I282" t="n">
        <v>0</v>
      </c>
      <c r="J282" t="n">
        <v>0</v>
      </c>
      <c r="K282" t="n">
        <v>0</v>
      </c>
      <c r="L282" t="n">
        <v>0</v>
      </c>
      <c r="M282" t="n">
        <v>0</v>
      </c>
      <c r="N282" t="n">
        <v>0</v>
      </c>
      <c r="O282" t="n">
        <v>0</v>
      </c>
      <c r="P282" t="n">
        <v>0</v>
      </c>
      <c r="Q282" t="n">
        <v>0</v>
      </c>
      <c r="R282" s="2" t="inlineStr"/>
    </row>
    <row r="283" ht="15" customHeight="1">
      <c r="A283" t="inlineStr">
        <is>
          <t>A 28628-2025</t>
        </is>
      </c>
      <c r="B283" s="1" t="n">
        <v>45819.62158564815</v>
      </c>
      <c r="C283" s="1" t="n">
        <v>46010</v>
      </c>
      <c r="D283" t="inlineStr">
        <is>
          <t>VÄSTMANLANDS LÄN</t>
        </is>
      </c>
      <c r="E283" t="inlineStr">
        <is>
          <t>SALA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28632-2025</t>
        </is>
      </c>
      <c r="B284" s="1" t="n">
        <v>45819.62344907408</v>
      </c>
      <c r="C284" s="1" t="n">
        <v>46010</v>
      </c>
      <c r="D284" t="inlineStr">
        <is>
          <t>VÄSTMANLANDS LÄN</t>
        </is>
      </c>
      <c r="E284" t="inlineStr">
        <is>
          <t>SALA</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28630-2025</t>
        </is>
      </c>
      <c r="B285" s="1" t="n">
        <v>45819.62274305556</v>
      </c>
      <c r="C285" s="1" t="n">
        <v>46010</v>
      </c>
      <c r="D285" t="inlineStr">
        <is>
          <t>VÄSTMANLANDS LÄN</t>
        </is>
      </c>
      <c r="E285" t="inlineStr">
        <is>
          <t>SALA</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988-2025</t>
        </is>
      </c>
      <c r="B286" s="1" t="n">
        <v>45666.44038194444</v>
      </c>
      <c r="C286" s="1" t="n">
        <v>46010</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60328-2024</t>
        </is>
      </c>
      <c r="B287" s="1" t="n">
        <v>45643.38416666666</v>
      </c>
      <c r="C287" s="1" t="n">
        <v>46010</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28837-2025</t>
        </is>
      </c>
      <c r="B288" s="1" t="n">
        <v>45820.56243055555</v>
      </c>
      <c r="C288" s="1" t="n">
        <v>46010</v>
      </c>
      <c r="D288" t="inlineStr">
        <is>
          <t>VÄSTMANLANDS LÄN</t>
        </is>
      </c>
      <c r="E288" t="inlineStr">
        <is>
          <t>SALA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28849-2025</t>
        </is>
      </c>
      <c r="B289" s="1" t="n">
        <v>45820</v>
      </c>
      <c r="C289" s="1" t="n">
        <v>46010</v>
      </c>
      <c r="D289" t="inlineStr">
        <is>
          <t>VÄSTMANLANDS LÄN</t>
        </is>
      </c>
      <c r="E289" t="inlineStr">
        <is>
          <t>SALA</t>
        </is>
      </c>
      <c r="G289" t="n">
        <v>1.1</v>
      </c>
      <c r="H289" t="n">
        <v>0</v>
      </c>
      <c r="I289" t="n">
        <v>0</v>
      </c>
      <c r="J289" t="n">
        <v>0</v>
      </c>
      <c r="K289" t="n">
        <v>0</v>
      </c>
      <c r="L289" t="n">
        <v>0</v>
      </c>
      <c r="M289" t="n">
        <v>0</v>
      </c>
      <c r="N289" t="n">
        <v>0</v>
      </c>
      <c r="O289" t="n">
        <v>0</v>
      </c>
      <c r="P289" t="n">
        <v>0</v>
      </c>
      <c r="Q289" t="n">
        <v>0</v>
      </c>
      <c r="R289" s="2" t="inlineStr"/>
    </row>
    <row r="290" ht="15" customHeight="1">
      <c r="A290" t="inlineStr">
        <is>
          <t>A 35016-2024</t>
        </is>
      </c>
      <c r="B290" s="1" t="n">
        <v>45527.59115740741</v>
      </c>
      <c r="C290" s="1" t="n">
        <v>46010</v>
      </c>
      <c r="D290" t="inlineStr">
        <is>
          <t>VÄSTMANLANDS LÄN</t>
        </is>
      </c>
      <c r="E290" t="inlineStr">
        <is>
          <t>SALA</t>
        </is>
      </c>
      <c r="G290" t="n">
        <v>0.4</v>
      </c>
      <c r="H290" t="n">
        <v>0</v>
      </c>
      <c r="I290" t="n">
        <v>0</v>
      </c>
      <c r="J290" t="n">
        <v>0</v>
      </c>
      <c r="K290" t="n">
        <v>0</v>
      </c>
      <c r="L290" t="n">
        <v>0</v>
      </c>
      <c r="M290" t="n">
        <v>0</v>
      </c>
      <c r="N290" t="n">
        <v>0</v>
      </c>
      <c r="O290" t="n">
        <v>0</v>
      </c>
      <c r="P290" t="n">
        <v>0</v>
      </c>
      <c r="Q290" t="n">
        <v>0</v>
      </c>
      <c r="R290" s="2" t="inlineStr"/>
    </row>
    <row r="291" ht="15" customHeight="1">
      <c r="A291" t="inlineStr">
        <is>
          <t>A 25897-2024</t>
        </is>
      </c>
      <c r="B291" s="1" t="n">
        <v>45467.54435185185</v>
      </c>
      <c r="C291" s="1" t="n">
        <v>46010</v>
      </c>
      <c r="D291" t="inlineStr">
        <is>
          <t>VÄSTMANLANDS LÄN</t>
        </is>
      </c>
      <c r="E291" t="inlineStr">
        <is>
          <t>SALA</t>
        </is>
      </c>
      <c r="G291" t="n">
        <v>9.9</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46010</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29085-2025</t>
        </is>
      </c>
      <c r="B293" s="1" t="n">
        <v>45821</v>
      </c>
      <c r="C293" s="1" t="n">
        <v>46010</v>
      </c>
      <c r="D293" t="inlineStr">
        <is>
          <t>VÄSTMANLANDS LÄN</t>
        </is>
      </c>
      <c r="E293" t="inlineStr">
        <is>
          <t>SALA</t>
        </is>
      </c>
      <c r="G293" t="n">
        <v>3.5</v>
      </c>
      <c r="H293" t="n">
        <v>0</v>
      </c>
      <c r="I293" t="n">
        <v>0</v>
      </c>
      <c r="J293" t="n">
        <v>0</v>
      </c>
      <c r="K293" t="n">
        <v>0</v>
      </c>
      <c r="L293" t="n">
        <v>0</v>
      </c>
      <c r="M293" t="n">
        <v>0</v>
      </c>
      <c r="N293" t="n">
        <v>0</v>
      </c>
      <c r="O293" t="n">
        <v>0</v>
      </c>
      <c r="P293" t="n">
        <v>0</v>
      </c>
      <c r="Q293" t="n">
        <v>0</v>
      </c>
      <c r="R293" s="2" t="inlineStr"/>
    </row>
    <row r="294" ht="15" customHeight="1">
      <c r="A294" t="inlineStr">
        <is>
          <t>A 21968-2024</t>
        </is>
      </c>
      <c r="B294" s="1" t="n">
        <v>45443</v>
      </c>
      <c r="C294" s="1" t="n">
        <v>46010</v>
      </c>
      <c r="D294" t="inlineStr">
        <is>
          <t>VÄSTMANLANDS LÄN</t>
        </is>
      </c>
      <c r="E294" t="inlineStr">
        <is>
          <t>SALA</t>
        </is>
      </c>
      <c r="G294" t="n">
        <v>1.9</v>
      </c>
      <c r="H294" t="n">
        <v>0</v>
      </c>
      <c r="I294" t="n">
        <v>0</v>
      </c>
      <c r="J294" t="n">
        <v>0</v>
      </c>
      <c r="K294" t="n">
        <v>0</v>
      </c>
      <c r="L294" t="n">
        <v>0</v>
      </c>
      <c r="M294" t="n">
        <v>0</v>
      </c>
      <c r="N294" t="n">
        <v>0</v>
      </c>
      <c r="O294" t="n">
        <v>0</v>
      </c>
      <c r="P294" t="n">
        <v>0</v>
      </c>
      <c r="Q294" t="n">
        <v>0</v>
      </c>
      <c r="R294" s="2" t="inlineStr"/>
    </row>
    <row r="295" ht="15" customHeight="1">
      <c r="A295" t="inlineStr">
        <is>
          <t>A 57371-2022</t>
        </is>
      </c>
      <c r="B295" s="1" t="n">
        <v>44896.43832175926</v>
      </c>
      <c r="C295" s="1" t="n">
        <v>46010</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29691-2025</t>
        </is>
      </c>
      <c r="B296" s="1" t="n">
        <v>45825.53645833334</v>
      </c>
      <c r="C296" s="1" t="n">
        <v>46010</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22019-2021</t>
        </is>
      </c>
      <c r="B297" s="1" t="n">
        <v>44323</v>
      </c>
      <c r="C297" s="1" t="n">
        <v>46010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60541-2024</t>
        </is>
      </c>
      <c r="B298" s="1" t="n">
        <v>45643</v>
      </c>
      <c r="C298" s="1" t="n">
        <v>46010</v>
      </c>
      <c r="D298" t="inlineStr">
        <is>
          <t>VÄSTMANLANDS LÄN</t>
        </is>
      </c>
      <c r="E298" t="inlineStr">
        <is>
          <t>SALA</t>
        </is>
      </c>
      <c r="G298" t="n">
        <v>10.6</v>
      </c>
      <c r="H298" t="n">
        <v>0</v>
      </c>
      <c r="I298" t="n">
        <v>0</v>
      </c>
      <c r="J298" t="n">
        <v>0</v>
      </c>
      <c r="K298" t="n">
        <v>0</v>
      </c>
      <c r="L298" t="n">
        <v>0</v>
      </c>
      <c r="M298" t="n">
        <v>0</v>
      </c>
      <c r="N298" t="n">
        <v>0</v>
      </c>
      <c r="O298" t="n">
        <v>0</v>
      </c>
      <c r="P298" t="n">
        <v>0</v>
      </c>
      <c r="Q298" t="n">
        <v>0</v>
      </c>
      <c r="R298" s="2" t="inlineStr"/>
    </row>
    <row r="299" ht="15" customHeight="1">
      <c r="A299" t="inlineStr">
        <is>
          <t>A 55784-2024</t>
        </is>
      </c>
      <c r="B299" s="1" t="n">
        <v>45623</v>
      </c>
      <c r="C299" s="1" t="n">
        <v>46010</v>
      </c>
      <c r="D299" t="inlineStr">
        <is>
          <t>VÄSTMANLANDS LÄN</t>
        </is>
      </c>
      <c r="E299" t="inlineStr">
        <is>
          <t>SALA</t>
        </is>
      </c>
      <c r="F299" t="inlineStr">
        <is>
          <t>Bergvik skog öst AB</t>
        </is>
      </c>
      <c r="G299" t="n">
        <v>28.4</v>
      </c>
      <c r="H299" t="n">
        <v>0</v>
      </c>
      <c r="I299" t="n">
        <v>0</v>
      </c>
      <c r="J299" t="n">
        <v>0</v>
      </c>
      <c r="K299" t="n">
        <v>0</v>
      </c>
      <c r="L299" t="n">
        <v>0</v>
      </c>
      <c r="M299" t="n">
        <v>0</v>
      </c>
      <c r="N299" t="n">
        <v>0</v>
      </c>
      <c r="O299" t="n">
        <v>0</v>
      </c>
      <c r="P299" t="n">
        <v>0</v>
      </c>
      <c r="Q299" t="n">
        <v>0</v>
      </c>
      <c r="R299" s="2" t="inlineStr"/>
    </row>
    <row r="300" ht="15" customHeight="1">
      <c r="A300" t="inlineStr">
        <is>
          <t>A 16651-2021</t>
        </is>
      </c>
      <c r="B300" s="1" t="n">
        <v>44294.50096064815</v>
      </c>
      <c r="C300" s="1" t="n">
        <v>46010</v>
      </c>
      <c r="D300" t="inlineStr">
        <is>
          <t>VÄSTMANLANDS LÄN</t>
        </is>
      </c>
      <c r="E300" t="inlineStr">
        <is>
          <t>SALA</t>
        </is>
      </c>
      <c r="G300" t="n">
        <v>7.7</v>
      </c>
      <c r="H300" t="n">
        <v>0</v>
      </c>
      <c r="I300" t="n">
        <v>0</v>
      </c>
      <c r="J300" t="n">
        <v>0</v>
      </c>
      <c r="K300" t="n">
        <v>0</v>
      </c>
      <c r="L300" t="n">
        <v>0</v>
      </c>
      <c r="M300" t="n">
        <v>0</v>
      </c>
      <c r="N300" t="n">
        <v>0</v>
      </c>
      <c r="O300" t="n">
        <v>0</v>
      </c>
      <c r="P300" t="n">
        <v>0</v>
      </c>
      <c r="Q300" t="n">
        <v>0</v>
      </c>
      <c r="R300" s="2" t="inlineStr"/>
    </row>
    <row r="301" ht="15" customHeight="1">
      <c r="A301" t="inlineStr">
        <is>
          <t>A 42421-2025</t>
        </is>
      </c>
      <c r="B301" s="1" t="n">
        <v>45905.40067129629</v>
      </c>
      <c r="C301" s="1" t="n">
        <v>46010</v>
      </c>
      <c r="D301" t="inlineStr">
        <is>
          <t>VÄSTMANLANDS LÄN</t>
        </is>
      </c>
      <c r="E301" t="inlineStr">
        <is>
          <t>SALA</t>
        </is>
      </c>
      <c r="G301" t="n">
        <v>1.3</v>
      </c>
      <c r="H301" t="n">
        <v>0</v>
      </c>
      <c r="I301" t="n">
        <v>0</v>
      </c>
      <c r="J301" t="n">
        <v>0</v>
      </c>
      <c r="K301" t="n">
        <v>0</v>
      </c>
      <c r="L301" t="n">
        <v>0</v>
      </c>
      <c r="M301" t="n">
        <v>0</v>
      </c>
      <c r="N301" t="n">
        <v>0</v>
      </c>
      <c r="O301" t="n">
        <v>0</v>
      </c>
      <c r="P301" t="n">
        <v>0</v>
      </c>
      <c r="Q301" t="n">
        <v>0</v>
      </c>
      <c r="R301" s="2" t="inlineStr"/>
    </row>
    <row r="302" ht="15" customHeight="1">
      <c r="A302" t="inlineStr">
        <is>
          <t>A 29826-2025</t>
        </is>
      </c>
      <c r="B302" s="1" t="n">
        <v>45825.85761574074</v>
      </c>
      <c r="C302" s="1" t="n">
        <v>46010</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19803-2024</t>
        </is>
      </c>
      <c r="B303" s="1" t="n">
        <v>45432</v>
      </c>
      <c r="C303" s="1" t="n">
        <v>46010</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17495-2024</t>
        </is>
      </c>
      <c r="B304" s="1" t="n">
        <v>45415</v>
      </c>
      <c r="C304" s="1" t="n">
        <v>46010</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37263-2025</t>
        </is>
      </c>
      <c r="B305" s="1" t="n">
        <v>45876.4584837963</v>
      </c>
      <c r="C305" s="1" t="n">
        <v>46010</v>
      </c>
      <c r="D305" t="inlineStr">
        <is>
          <t>VÄSTMANLANDS LÄN</t>
        </is>
      </c>
      <c r="E305" t="inlineStr">
        <is>
          <t>SALA</t>
        </is>
      </c>
      <c r="G305" t="n">
        <v>2.3</v>
      </c>
      <c r="H305" t="n">
        <v>0</v>
      </c>
      <c r="I305" t="n">
        <v>0</v>
      </c>
      <c r="J305" t="n">
        <v>0</v>
      </c>
      <c r="K305" t="n">
        <v>0</v>
      </c>
      <c r="L305" t="n">
        <v>0</v>
      </c>
      <c r="M305" t="n">
        <v>0</v>
      </c>
      <c r="N305" t="n">
        <v>0</v>
      </c>
      <c r="O305" t="n">
        <v>0</v>
      </c>
      <c r="P305" t="n">
        <v>0</v>
      </c>
      <c r="Q305" t="n">
        <v>0</v>
      </c>
      <c r="R305" s="2" t="inlineStr"/>
    </row>
    <row r="306" ht="15" customHeight="1">
      <c r="A306" t="inlineStr">
        <is>
          <t>A 43127-2025</t>
        </is>
      </c>
      <c r="B306" s="1" t="n">
        <v>45909</v>
      </c>
      <c r="C306" s="1" t="n">
        <v>46010</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7196-2025</t>
        </is>
      </c>
      <c r="B307" s="1" t="n">
        <v>45702</v>
      </c>
      <c r="C307" s="1" t="n">
        <v>46010</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40597-2022</t>
        </is>
      </c>
      <c r="B308" s="1" t="n">
        <v>44823.84862268518</v>
      </c>
      <c r="C308" s="1" t="n">
        <v>46010</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43128-2025</t>
        </is>
      </c>
      <c r="B309" s="1" t="n">
        <v>45909</v>
      </c>
      <c r="C309" s="1" t="n">
        <v>46010</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40554-2025</t>
        </is>
      </c>
      <c r="B310" s="1" t="n">
        <v>45896.44506944445</v>
      </c>
      <c r="C310" s="1" t="n">
        <v>46010</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43129-2025</t>
        </is>
      </c>
      <c r="B311" s="1" t="n">
        <v>45909</v>
      </c>
      <c r="C311" s="1" t="n">
        <v>46010</v>
      </c>
      <c r="D311" t="inlineStr">
        <is>
          <t>VÄSTMANLANDS LÄN</t>
        </is>
      </c>
      <c r="E311" t="inlineStr">
        <is>
          <t>SALA</t>
        </is>
      </c>
      <c r="G311" t="n">
        <v>2.4</v>
      </c>
      <c r="H311" t="n">
        <v>0</v>
      </c>
      <c r="I311" t="n">
        <v>0</v>
      </c>
      <c r="J311" t="n">
        <v>0</v>
      </c>
      <c r="K311" t="n">
        <v>0</v>
      </c>
      <c r="L311" t="n">
        <v>0</v>
      </c>
      <c r="M311" t="n">
        <v>0</v>
      </c>
      <c r="N311" t="n">
        <v>0</v>
      </c>
      <c r="O311" t="n">
        <v>0</v>
      </c>
      <c r="P311" t="n">
        <v>0</v>
      </c>
      <c r="Q311" t="n">
        <v>0</v>
      </c>
      <c r="R311" s="2" t="inlineStr"/>
    </row>
    <row r="312" ht="15" customHeight="1">
      <c r="A312" t="inlineStr">
        <is>
          <t>A 43130-2025</t>
        </is>
      </c>
      <c r="B312" s="1" t="n">
        <v>45909</v>
      </c>
      <c r="C312" s="1" t="n">
        <v>46010</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43028-2025</t>
        </is>
      </c>
      <c r="B313" s="1" t="n">
        <v>45909.53472222222</v>
      </c>
      <c r="C313" s="1" t="n">
        <v>46010</v>
      </c>
      <c r="D313" t="inlineStr">
        <is>
          <t>VÄSTMANLANDS LÄN</t>
        </is>
      </c>
      <c r="E313" t="inlineStr">
        <is>
          <t>SALA</t>
        </is>
      </c>
      <c r="G313" t="n">
        <v>3.8</v>
      </c>
      <c r="H313" t="n">
        <v>0</v>
      </c>
      <c r="I313" t="n">
        <v>0</v>
      </c>
      <c r="J313" t="n">
        <v>0</v>
      </c>
      <c r="K313" t="n">
        <v>0</v>
      </c>
      <c r="L313" t="n">
        <v>0</v>
      </c>
      <c r="M313" t="n">
        <v>0</v>
      </c>
      <c r="N313" t="n">
        <v>0</v>
      </c>
      <c r="O313" t="n">
        <v>0</v>
      </c>
      <c r="P313" t="n">
        <v>0</v>
      </c>
      <c r="Q313" t="n">
        <v>0</v>
      </c>
      <c r="R313" s="2" t="inlineStr"/>
    </row>
    <row r="314" ht="15" customHeight="1">
      <c r="A314" t="inlineStr">
        <is>
          <t>A 43031-2025</t>
        </is>
      </c>
      <c r="B314" s="1" t="n">
        <v>45909.53856481481</v>
      </c>
      <c r="C314" s="1" t="n">
        <v>46010</v>
      </c>
      <c r="D314" t="inlineStr">
        <is>
          <t>VÄSTMANLANDS LÄN</t>
        </is>
      </c>
      <c r="E314" t="inlineStr">
        <is>
          <t>SALA</t>
        </is>
      </c>
      <c r="G314" t="n">
        <v>0.2</v>
      </c>
      <c r="H314" t="n">
        <v>0</v>
      </c>
      <c r="I314" t="n">
        <v>0</v>
      </c>
      <c r="J314" t="n">
        <v>0</v>
      </c>
      <c r="K314" t="n">
        <v>0</v>
      </c>
      <c r="L314" t="n">
        <v>0</v>
      </c>
      <c r="M314" t="n">
        <v>0</v>
      </c>
      <c r="N314" t="n">
        <v>0</v>
      </c>
      <c r="O314" t="n">
        <v>0</v>
      </c>
      <c r="P314" t="n">
        <v>0</v>
      </c>
      <c r="Q314" t="n">
        <v>0</v>
      </c>
      <c r="R314" s="2" t="inlineStr"/>
    </row>
    <row r="315" ht="15" customHeight="1">
      <c r="A315" t="inlineStr">
        <is>
          <t>A 64925-2023</t>
        </is>
      </c>
      <c r="B315" s="1" t="n">
        <v>45282</v>
      </c>
      <c r="C315" s="1" t="n">
        <v>46010</v>
      </c>
      <c r="D315" t="inlineStr">
        <is>
          <t>VÄSTMANLANDS LÄN</t>
        </is>
      </c>
      <c r="E315" t="inlineStr">
        <is>
          <t>SALA</t>
        </is>
      </c>
      <c r="G315" t="n">
        <v>2.5</v>
      </c>
      <c r="H315" t="n">
        <v>0</v>
      </c>
      <c r="I315" t="n">
        <v>0</v>
      </c>
      <c r="J315" t="n">
        <v>0</v>
      </c>
      <c r="K315" t="n">
        <v>0</v>
      </c>
      <c r="L315" t="n">
        <v>0</v>
      </c>
      <c r="M315" t="n">
        <v>0</v>
      </c>
      <c r="N315" t="n">
        <v>0</v>
      </c>
      <c r="O315" t="n">
        <v>0</v>
      </c>
      <c r="P315" t="n">
        <v>0</v>
      </c>
      <c r="Q315" t="n">
        <v>0</v>
      </c>
      <c r="R315" s="2" t="inlineStr"/>
    </row>
    <row r="316" ht="15" customHeight="1">
      <c r="A316" t="inlineStr">
        <is>
          <t>A 31608-2025</t>
        </is>
      </c>
      <c r="B316" s="1" t="n">
        <v>45833</v>
      </c>
      <c r="C316" s="1" t="n">
        <v>46010</v>
      </c>
      <c r="D316" t="inlineStr">
        <is>
          <t>VÄSTMANLANDS LÄN</t>
        </is>
      </c>
      <c r="E316" t="inlineStr">
        <is>
          <t>SALA</t>
        </is>
      </c>
      <c r="G316" t="n">
        <v>6.1</v>
      </c>
      <c r="H316" t="n">
        <v>0</v>
      </c>
      <c r="I316" t="n">
        <v>0</v>
      </c>
      <c r="J316" t="n">
        <v>0</v>
      </c>
      <c r="K316" t="n">
        <v>0</v>
      </c>
      <c r="L316" t="n">
        <v>0</v>
      </c>
      <c r="M316" t="n">
        <v>0</v>
      </c>
      <c r="N316" t="n">
        <v>0</v>
      </c>
      <c r="O316" t="n">
        <v>0</v>
      </c>
      <c r="P316" t="n">
        <v>0</v>
      </c>
      <c r="Q316" t="n">
        <v>0</v>
      </c>
      <c r="R316" s="2" t="inlineStr"/>
    </row>
    <row r="317" ht="15" customHeight="1">
      <c r="A317" t="inlineStr">
        <is>
          <t>A 23406-2024</t>
        </is>
      </c>
      <c r="B317" s="1" t="n">
        <v>45453.58296296297</v>
      </c>
      <c r="C317" s="1" t="n">
        <v>46010</v>
      </c>
      <c r="D317" t="inlineStr">
        <is>
          <t>VÄSTMANLANDS LÄN</t>
        </is>
      </c>
      <c r="E317" t="inlineStr">
        <is>
          <t>SALA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30866-2025</t>
        </is>
      </c>
      <c r="B318" s="1" t="n">
        <v>45832.3246875</v>
      </c>
      <c r="C318" s="1" t="n">
        <v>46010</v>
      </c>
      <c r="D318" t="inlineStr">
        <is>
          <t>VÄSTMANLANDS LÄN</t>
        </is>
      </c>
      <c r="E318" t="inlineStr">
        <is>
          <t>SALA</t>
        </is>
      </c>
      <c r="G318" t="n">
        <v>14.3</v>
      </c>
      <c r="H318" t="n">
        <v>0</v>
      </c>
      <c r="I318" t="n">
        <v>0</v>
      </c>
      <c r="J318" t="n">
        <v>0</v>
      </c>
      <c r="K318" t="n">
        <v>0</v>
      </c>
      <c r="L318" t="n">
        <v>0</v>
      </c>
      <c r="M318" t="n">
        <v>0</v>
      </c>
      <c r="N318" t="n">
        <v>0</v>
      </c>
      <c r="O318" t="n">
        <v>0</v>
      </c>
      <c r="P318" t="n">
        <v>0</v>
      </c>
      <c r="Q318" t="n">
        <v>0</v>
      </c>
      <c r="R318" s="2" t="inlineStr"/>
    </row>
    <row r="319" ht="15" customHeight="1">
      <c r="A319" t="inlineStr">
        <is>
          <t>A 30874-2025</t>
        </is>
      </c>
      <c r="B319" s="1" t="n">
        <v>45832.34430555555</v>
      </c>
      <c r="C319" s="1" t="n">
        <v>46010</v>
      </c>
      <c r="D319" t="inlineStr">
        <is>
          <t>VÄSTMANLANDS LÄN</t>
        </is>
      </c>
      <c r="E319" t="inlineStr">
        <is>
          <t>SALA</t>
        </is>
      </c>
      <c r="G319" t="n">
        <v>8.4</v>
      </c>
      <c r="H319" t="n">
        <v>0</v>
      </c>
      <c r="I319" t="n">
        <v>0</v>
      </c>
      <c r="J319" t="n">
        <v>0</v>
      </c>
      <c r="K319" t="n">
        <v>0</v>
      </c>
      <c r="L319" t="n">
        <v>0</v>
      </c>
      <c r="M319" t="n">
        <v>0</v>
      </c>
      <c r="N319" t="n">
        <v>0</v>
      </c>
      <c r="O319" t="n">
        <v>0</v>
      </c>
      <c r="P319" t="n">
        <v>0</v>
      </c>
      <c r="Q319" t="n">
        <v>0</v>
      </c>
      <c r="R319" s="2" t="inlineStr"/>
    </row>
    <row r="320" ht="15" customHeight="1">
      <c r="A320" t="inlineStr">
        <is>
          <t>A 43328-2025</t>
        </is>
      </c>
      <c r="B320" s="1" t="n">
        <v>45910</v>
      </c>
      <c r="C320" s="1" t="n">
        <v>46010</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31573-2025</t>
        </is>
      </c>
      <c r="B321" s="1" t="n">
        <v>45833</v>
      </c>
      <c r="C321" s="1" t="n">
        <v>46010</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46010</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46010</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16133-2025</t>
        </is>
      </c>
      <c r="B324" s="1" t="n">
        <v>45750</v>
      </c>
      <c r="C324" s="1" t="n">
        <v>46010</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30899-2025</t>
        </is>
      </c>
      <c r="B325" s="1" t="n">
        <v>45832.35767361111</v>
      </c>
      <c r="C325" s="1" t="n">
        <v>46010</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15099-2025</t>
        </is>
      </c>
      <c r="B326" s="1" t="n">
        <v>45744.3434837963</v>
      </c>
      <c r="C326" s="1" t="n">
        <v>46010</v>
      </c>
      <c r="D326" t="inlineStr">
        <is>
          <t>VÄSTMANLANDS LÄN</t>
        </is>
      </c>
      <c r="E326" t="inlineStr">
        <is>
          <t>SALA</t>
        </is>
      </c>
      <c r="F326" t="inlineStr">
        <is>
          <t>Sveaskog</t>
        </is>
      </c>
      <c r="G326" t="n">
        <v>14.4</v>
      </c>
      <c r="H326" t="n">
        <v>0</v>
      </c>
      <c r="I326" t="n">
        <v>0</v>
      </c>
      <c r="J326" t="n">
        <v>0</v>
      </c>
      <c r="K326" t="n">
        <v>0</v>
      </c>
      <c r="L326" t="n">
        <v>0</v>
      </c>
      <c r="M326" t="n">
        <v>0</v>
      </c>
      <c r="N326" t="n">
        <v>0</v>
      </c>
      <c r="O326" t="n">
        <v>0</v>
      </c>
      <c r="P326" t="n">
        <v>0</v>
      </c>
      <c r="Q326" t="n">
        <v>0</v>
      </c>
      <c r="R326" s="2" t="inlineStr"/>
    </row>
    <row r="327" ht="15" customHeight="1">
      <c r="A327" t="inlineStr">
        <is>
          <t>A 31065-2025</t>
        </is>
      </c>
      <c r="B327" s="1" t="n">
        <v>45832.57571759259</v>
      </c>
      <c r="C327" s="1" t="n">
        <v>46010</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60036-2024</t>
        </is>
      </c>
      <c r="B328" s="1" t="n">
        <v>45642.46434027778</v>
      </c>
      <c r="C328" s="1" t="n">
        <v>46010</v>
      </c>
      <c r="D328" t="inlineStr">
        <is>
          <t>VÄSTMANLANDS LÄN</t>
        </is>
      </c>
      <c r="E328" t="inlineStr">
        <is>
          <t>SALA</t>
        </is>
      </c>
      <c r="G328" t="n">
        <v>2.5</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46010</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52827-2024</t>
        </is>
      </c>
      <c r="B330" s="1" t="n">
        <v>45610</v>
      </c>
      <c r="C330" s="1" t="n">
        <v>46010</v>
      </c>
      <c r="D330" t="inlineStr">
        <is>
          <t>VÄSTMANLANDS LÄN</t>
        </is>
      </c>
      <c r="E330" t="inlineStr">
        <is>
          <t>SALA</t>
        </is>
      </c>
      <c r="G330" t="n">
        <v>0.2</v>
      </c>
      <c r="H330" t="n">
        <v>0</v>
      </c>
      <c r="I330" t="n">
        <v>0</v>
      </c>
      <c r="J330" t="n">
        <v>0</v>
      </c>
      <c r="K330" t="n">
        <v>0</v>
      </c>
      <c r="L330" t="n">
        <v>0</v>
      </c>
      <c r="M330" t="n">
        <v>0</v>
      </c>
      <c r="N330" t="n">
        <v>0</v>
      </c>
      <c r="O330" t="n">
        <v>0</v>
      </c>
      <c r="P330" t="n">
        <v>0</v>
      </c>
      <c r="Q330" t="n">
        <v>0</v>
      </c>
      <c r="R330" s="2" t="inlineStr"/>
    </row>
    <row r="331" ht="15" customHeight="1">
      <c r="A331" t="inlineStr">
        <is>
          <t>A 31748-2025</t>
        </is>
      </c>
      <c r="B331" s="1" t="n">
        <v>45834</v>
      </c>
      <c r="C331" s="1" t="n">
        <v>46010</v>
      </c>
      <c r="D331" t="inlineStr">
        <is>
          <t>VÄSTMANLANDS LÄN</t>
        </is>
      </c>
      <c r="E331" t="inlineStr">
        <is>
          <t>SALA</t>
        </is>
      </c>
      <c r="G331" t="n">
        <v>2</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46010</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31610-2025</t>
        </is>
      </c>
      <c r="B333" s="1" t="n">
        <v>45833.78650462963</v>
      </c>
      <c r="C333" s="1" t="n">
        <v>46010</v>
      </c>
      <c r="D333" t="inlineStr">
        <is>
          <t>VÄSTMANLANDS LÄN</t>
        </is>
      </c>
      <c r="E333" t="inlineStr">
        <is>
          <t>SALA</t>
        </is>
      </c>
      <c r="G333" t="n">
        <v>8</v>
      </c>
      <c r="H333" t="n">
        <v>0</v>
      </c>
      <c r="I333" t="n">
        <v>0</v>
      </c>
      <c r="J333" t="n">
        <v>0</v>
      </c>
      <c r="K333" t="n">
        <v>0</v>
      </c>
      <c r="L333" t="n">
        <v>0</v>
      </c>
      <c r="M333" t="n">
        <v>0</v>
      </c>
      <c r="N333" t="n">
        <v>0</v>
      </c>
      <c r="O333" t="n">
        <v>0</v>
      </c>
      <c r="P333" t="n">
        <v>0</v>
      </c>
      <c r="Q333" t="n">
        <v>0</v>
      </c>
      <c r="R333" s="2" t="inlineStr"/>
    </row>
    <row r="334" ht="15" customHeight="1">
      <c r="A334" t="inlineStr">
        <is>
          <t>A 32201-2025</t>
        </is>
      </c>
      <c r="B334" s="1" t="n">
        <v>45835</v>
      </c>
      <c r="C334" s="1" t="n">
        <v>46010</v>
      </c>
      <c r="D334" t="inlineStr">
        <is>
          <t>VÄSTMANLANDS LÄN</t>
        </is>
      </c>
      <c r="E334" t="inlineStr">
        <is>
          <t>SALA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31612-2025</t>
        </is>
      </c>
      <c r="B335" s="1" t="n">
        <v>45833.80056712963</v>
      </c>
      <c r="C335" s="1" t="n">
        <v>46010</v>
      </c>
      <c r="D335" t="inlineStr">
        <is>
          <t>VÄSTMANLANDS LÄN</t>
        </is>
      </c>
      <c r="E335" t="inlineStr">
        <is>
          <t>SALA</t>
        </is>
      </c>
      <c r="G335" t="n">
        <v>6.3</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46010</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16328-2025</t>
        </is>
      </c>
      <c r="B337" s="1" t="n">
        <v>45751</v>
      </c>
      <c r="C337" s="1" t="n">
        <v>46010</v>
      </c>
      <c r="D337" t="inlineStr">
        <is>
          <t>VÄSTMANLANDS LÄN</t>
        </is>
      </c>
      <c r="E337" t="inlineStr">
        <is>
          <t>SALA</t>
        </is>
      </c>
      <c r="G337" t="n">
        <v>2.9</v>
      </c>
      <c r="H337" t="n">
        <v>0</v>
      </c>
      <c r="I337" t="n">
        <v>0</v>
      </c>
      <c r="J337" t="n">
        <v>0</v>
      </c>
      <c r="K337" t="n">
        <v>0</v>
      </c>
      <c r="L337" t="n">
        <v>0</v>
      </c>
      <c r="M337" t="n">
        <v>0</v>
      </c>
      <c r="N337" t="n">
        <v>0</v>
      </c>
      <c r="O337" t="n">
        <v>0</v>
      </c>
      <c r="P337" t="n">
        <v>0</v>
      </c>
      <c r="Q337" t="n">
        <v>0</v>
      </c>
      <c r="R337" s="2" t="inlineStr"/>
    </row>
    <row r="338" ht="15" customHeight="1">
      <c r="A338" t="inlineStr">
        <is>
          <t>A 31762-2025</t>
        </is>
      </c>
      <c r="B338" s="1" t="n">
        <v>45834.49288194445</v>
      </c>
      <c r="C338" s="1" t="n">
        <v>46010</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31771-2025</t>
        </is>
      </c>
      <c r="B339" s="1" t="n">
        <v>45834.50910879629</v>
      </c>
      <c r="C339" s="1" t="n">
        <v>46010</v>
      </c>
      <c r="D339" t="inlineStr">
        <is>
          <t>VÄSTMANLANDS LÄN</t>
        </is>
      </c>
      <c r="E339" t="inlineStr">
        <is>
          <t>SALA</t>
        </is>
      </c>
      <c r="G339" t="n">
        <v>5.1</v>
      </c>
      <c r="H339" t="n">
        <v>0</v>
      </c>
      <c r="I339" t="n">
        <v>0</v>
      </c>
      <c r="J339" t="n">
        <v>0</v>
      </c>
      <c r="K339" t="n">
        <v>0</v>
      </c>
      <c r="L339" t="n">
        <v>0</v>
      </c>
      <c r="M339" t="n">
        <v>0</v>
      </c>
      <c r="N339" t="n">
        <v>0</v>
      </c>
      <c r="O339" t="n">
        <v>0</v>
      </c>
      <c r="P339" t="n">
        <v>0</v>
      </c>
      <c r="Q339" t="n">
        <v>0</v>
      </c>
      <c r="R339" s="2" t="inlineStr"/>
    </row>
    <row r="340" ht="15" customHeight="1">
      <c r="A340" t="inlineStr">
        <is>
          <t>A 32205-2025</t>
        </is>
      </c>
      <c r="B340" s="1" t="n">
        <v>45835</v>
      </c>
      <c r="C340" s="1" t="n">
        <v>46010</v>
      </c>
      <c r="D340" t="inlineStr">
        <is>
          <t>VÄSTMANLANDS LÄN</t>
        </is>
      </c>
      <c r="E340" t="inlineStr">
        <is>
          <t>SALA</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32286-2025</t>
        </is>
      </c>
      <c r="B341" s="1" t="n">
        <v>45835</v>
      </c>
      <c r="C341" s="1" t="n">
        <v>46010</v>
      </c>
      <c r="D341" t="inlineStr">
        <is>
          <t>VÄSTMANLANDS LÄN</t>
        </is>
      </c>
      <c r="E341" t="inlineStr">
        <is>
          <t>SALA</t>
        </is>
      </c>
      <c r="G341" t="n">
        <v>6.4</v>
      </c>
      <c r="H341" t="n">
        <v>0</v>
      </c>
      <c r="I341" t="n">
        <v>0</v>
      </c>
      <c r="J341" t="n">
        <v>0</v>
      </c>
      <c r="K341" t="n">
        <v>0</v>
      </c>
      <c r="L341" t="n">
        <v>0</v>
      </c>
      <c r="M341" t="n">
        <v>0</v>
      </c>
      <c r="N341" t="n">
        <v>0</v>
      </c>
      <c r="O341" t="n">
        <v>0</v>
      </c>
      <c r="P341" t="n">
        <v>0</v>
      </c>
      <c r="Q341" t="n">
        <v>0</v>
      </c>
      <c r="R341" s="2" t="inlineStr"/>
    </row>
    <row r="342" ht="15" customHeight="1">
      <c r="A342" t="inlineStr">
        <is>
          <t>A 44100-2025</t>
        </is>
      </c>
      <c r="B342" s="1" t="n">
        <v>45915.56707175926</v>
      </c>
      <c r="C342" s="1" t="n">
        <v>46010</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66908-2021</t>
        </is>
      </c>
      <c r="B343" s="1" t="n">
        <v>44522</v>
      </c>
      <c r="C343" s="1" t="n">
        <v>46010</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32902-2025</t>
        </is>
      </c>
      <c r="B344" s="1" t="n">
        <v>45839</v>
      </c>
      <c r="C344" s="1" t="n">
        <v>46010</v>
      </c>
      <c r="D344" t="inlineStr">
        <is>
          <t>VÄSTMANLANDS LÄN</t>
        </is>
      </c>
      <c r="E344" t="inlineStr">
        <is>
          <t>SALA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73835-2021</t>
        </is>
      </c>
      <c r="B345" s="1" t="n">
        <v>44552.92112268518</v>
      </c>
      <c r="C345" s="1" t="n">
        <v>46010</v>
      </c>
      <c r="D345" t="inlineStr">
        <is>
          <t>VÄSTMANLANDS LÄN</t>
        </is>
      </c>
      <c r="E345" t="inlineStr">
        <is>
          <t>SALA</t>
        </is>
      </c>
      <c r="G345" t="n">
        <v>2</v>
      </c>
      <c r="H345" t="n">
        <v>0</v>
      </c>
      <c r="I345" t="n">
        <v>0</v>
      </c>
      <c r="J345" t="n">
        <v>0</v>
      </c>
      <c r="K345" t="n">
        <v>0</v>
      </c>
      <c r="L345" t="n">
        <v>0</v>
      </c>
      <c r="M345" t="n">
        <v>0</v>
      </c>
      <c r="N345" t="n">
        <v>0</v>
      </c>
      <c r="O345" t="n">
        <v>0</v>
      </c>
      <c r="P345" t="n">
        <v>0</v>
      </c>
      <c r="Q345" t="n">
        <v>0</v>
      </c>
      <c r="R345" s="2" t="inlineStr"/>
    </row>
    <row r="346" ht="15" customHeight="1">
      <c r="A346" t="inlineStr">
        <is>
          <t>A 3810-2023</t>
        </is>
      </c>
      <c r="B346" s="1" t="n">
        <v>44951.60454861111</v>
      </c>
      <c r="C346" s="1" t="n">
        <v>46010</v>
      </c>
      <c r="D346" t="inlineStr">
        <is>
          <t>VÄSTMANLANDS LÄN</t>
        </is>
      </c>
      <c r="E346" t="inlineStr">
        <is>
          <t>SALA</t>
        </is>
      </c>
      <c r="G346" t="n">
        <v>4.2</v>
      </c>
      <c r="H346" t="n">
        <v>0</v>
      </c>
      <c r="I346" t="n">
        <v>0</v>
      </c>
      <c r="J346" t="n">
        <v>0</v>
      </c>
      <c r="K346" t="n">
        <v>0</v>
      </c>
      <c r="L346" t="n">
        <v>0</v>
      </c>
      <c r="M346" t="n">
        <v>0</v>
      </c>
      <c r="N346" t="n">
        <v>0</v>
      </c>
      <c r="O346" t="n">
        <v>0</v>
      </c>
      <c r="P346" t="n">
        <v>0</v>
      </c>
      <c r="Q346" t="n">
        <v>0</v>
      </c>
      <c r="R346" s="2" t="inlineStr"/>
    </row>
    <row r="347" ht="15" customHeight="1">
      <c r="A347" t="inlineStr">
        <is>
          <t>A 12252-2023</t>
        </is>
      </c>
      <c r="B347" s="1" t="n">
        <v>44995</v>
      </c>
      <c r="C347" s="1" t="n">
        <v>46010</v>
      </c>
      <c r="D347" t="inlineStr">
        <is>
          <t>VÄSTMANLANDS LÄN</t>
        </is>
      </c>
      <c r="E347" t="inlineStr">
        <is>
          <t>SALA</t>
        </is>
      </c>
      <c r="G347" t="n">
        <v>2.6</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46010</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44486-2025</t>
        </is>
      </c>
      <c r="B349" s="1" t="n">
        <v>45916.65517361111</v>
      </c>
      <c r="C349" s="1" t="n">
        <v>46010</v>
      </c>
      <c r="D349" t="inlineStr">
        <is>
          <t>VÄSTMANLANDS LÄN</t>
        </is>
      </c>
      <c r="E349" t="inlineStr">
        <is>
          <t>SALA</t>
        </is>
      </c>
      <c r="G349" t="n">
        <v>1.7</v>
      </c>
      <c r="H349" t="n">
        <v>0</v>
      </c>
      <c r="I349" t="n">
        <v>0</v>
      </c>
      <c r="J349" t="n">
        <v>0</v>
      </c>
      <c r="K349" t="n">
        <v>0</v>
      </c>
      <c r="L349" t="n">
        <v>0</v>
      </c>
      <c r="M349" t="n">
        <v>0</v>
      </c>
      <c r="N349" t="n">
        <v>0</v>
      </c>
      <c r="O349" t="n">
        <v>0</v>
      </c>
      <c r="P349" t="n">
        <v>0</v>
      </c>
      <c r="Q349" t="n">
        <v>0</v>
      </c>
      <c r="R349" s="2" t="inlineStr"/>
    </row>
    <row r="350" ht="15" customHeight="1">
      <c r="A350" t="inlineStr">
        <is>
          <t>A 45177-2025</t>
        </is>
      </c>
      <c r="B350" s="1" t="n">
        <v>45919.52444444445</v>
      </c>
      <c r="C350" s="1" t="n">
        <v>46010</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25260-2023</t>
        </is>
      </c>
      <c r="B351" s="1" t="n">
        <v>45086</v>
      </c>
      <c r="C351" s="1" t="n">
        <v>46010</v>
      </c>
      <c r="D351" t="inlineStr">
        <is>
          <t>VÄSTMANLANDS LÄN</t>
        </is>
      </c>
      <c r="E351" t="inlineStr">
        <is>
          <t>SALA</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57404-2024</t>
        </is>
      </c>
      <c r="B352" s="1" t="n">
        <v>45629.71967592592</v>
      </c>
      <c r="C352" s="1" t="n">
        <v>46010</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13128-2023</t>
        </is>
      </c>
      <c r="B353" s="1" t="n">
        <v>45002</v>
      </c>
      <c r="C353" s="1" t="n">
        <v>46010</v>
      </c>
      <c r="D353" t="inlineStr">
        <is>
          <t>VÄSTMANLANDS LÄN</t>
        </is>
      </c>
      <c r="E353" t="inlineStr">
        <is>
          <t>SALA</t>
        </is>
      </c>
      <c r="G353" t="n">
        <v>7.9</v>
      </c>
      <c r="H353" t="n">
        <v>0</v>
      </c>
      <c r="I353" t="n">
        <v>0</v>
      </c>
      <c r="J353" t="n">
        <v>0</v>
      </c>
      <c r="K353" t="n">
        <v>0</v>
      </c>
      <c r="L353" t="n">
        <v>0</v>
      </c>
      <c r="M353" t="n">
        <v>0</v>
      </c>
      <c r="N353" t="n">
        <v>0</v>
      </c>
      <c r="O353" t="n">
        <v>0</v>
      </c>
      <c r="P353" t="n">
        <v>0</v>
      </c>
      <c r="Q353" t="n">
        <v>0</v>
      </c>
      <c r="R353" s="2" t="inlineStr"/>
    </row>
    <row r="354" ht="15" customHeight="1">
      <c r="A354" t="inlineStr">
        <is>
          <t>A 34069-2025</t>
        </is>
      </c>
      <c r="B354" s="1" t="n">
        <v>45845.43560185185</v>
      </c>
      <c r="C354" s="1" t="n">
        <v>46010</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c r="U354">
        <f>HYPERLINK("https://klasma.github.io/Logging_1981/knärot/A 34069-2025 karta knärot.png", "A 34069-2025")</f>
        <v/>
      </c>
      <c r="V354">
        <f>HYPERLINK("https://klasma.github.io/Logging_1981/klagomål/A 34069-2025 FSC-klagomål.docx", "A 34069-2025")</f>
        <v/>
      </c>
      <c r="W354">
        <f>HYPERLINK("https://klasma.github.io/Logging_1981/klagomålsmail/A 34069-2025 FSC-klagomål mail.docx", "A 34069-2025")</f>
        <v/>
      </c>
      <c r="X354">
        <f>HYPERLINK("https://klasma.github.io/Logging_1981/tillsyn/A 34069-2025 tillsynsbegäran.docx", "A 34069-2025")</f>
        <v/>
      </c>
      <c r="Y354">
        <f>HYPERLINK("https://klasma.github.io/Logging_1981/tillsynsmail/A 34069-2025 tillsynsbegäran mail.docx", "A 34069-2025")</f>
        <v/>
      </c>
    </row>
    <row r="355" ht="15" customHeight="1">
      <c r="A355" t="inlineStr">
        <is>
          <t>A 15744-2025</t>
        </is>
      </c>
      <c r="B355" s="1" t="n">
        <v>45748</v>
      </c>
      <c r="C355" s="1" t="n">
        <v>46010</v>
      </c>
      <c r="D355" t="inlineStr">
        <is>
          <t>VÄSTMANLANDS LÄN</t>
        </is>
      </c>
      <c r="E355" t="inlineStr">
        <is>
          <t>SALA</t>
        </is>
      </c>
      <c r="G355" t="n">
        <v>1.6</v>
      </c>
      <c r="H355" t="n">
        <v>0</v>
      </c>
      <c r="I355" t="n">
        <v>0</v>
      </c>
      <c r="J355" t="n">
        <v>0</v>
      </c>
      <c r="K355" t="n">
        <v>0</v>
      </c>
      <c r="L355" t="n">
        <v>0</v>
      </c>
      <c r="M355" t="n">
        <v>0</v>
      </c>
      <c r="N355" t="n">
        <v>0</v>
      </c>
      <c r="O355" t="n">
        <v>0</v>
      </c>
      <c r="P355" t="n">
        <v>0</v>
      </c>
      <c r="Q355" t="n">
        <v>0</v>
      </c>
      <c r="R355" s="2" t="inlineStr"/>
    </row>
    <row r="356" ht="15" customHeight="1">
      <c r="A356" t="inlineStr">
        <is>
          <t>A 43122-2025</t>
        </is>
      </c>
      <c r="B356" s="1" t="n">
        <v>45909</v>
      </c>
      <c r="C356" s="1" t="n">
        <v>46010</v>
      </c>
      <c r="D356" t="inlineStr">
        <is>
          <t>VÄSTMANLANDS LÄN</t>
        </is>
      </c>
      <c r="E356" t="inlineStr">
        <is>
          <t>SALA</t>
        </is>
      </c>
      <c r="G356" t="n">
        <v>3.2</v>
      </c>
      <c r="H356" t="n">
        <v>0</v>
      </c>
      <c r="I356" t="n">
        <v>0</v>
      </c>
      <c r="J356" t="n">
        <v>0</v>
      </c>
      <c r="K356" t="n">
        <v>0</v>
      </c>
      <c r="L356" t="n">
        <v>0</v>
      </c>
      <c r="M356" t="n">
        <v>0</v>
      </c>
      <c r="N356" t="n">
        <v>0</v>
      </c>
      <c r="O356" t="n">
        <v>0</v>
      </c>
      <c r="P356" t="n">
        <v>0</v>
      </c>
      <c r="Q356" t="n">
        <v>0</v>
      </c>
      <c r="R356" s="2" t="inlineStr"/>
    </row>
    <row r="357" ht="15" customHeight="1">
      <c r="A357" t="inlineStr">
        <is>
          <t>A 24864-2024</t>
        </is>
      </c>
      <c r="B357" s="1" t="n">
        <v>45461.48888888889</v>
      </c>
      <c r="C357" s="1" t="n">
        <v>46010</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24755-2021</t>
        </is>
      </c>
      <c r="B358" s="1" t="n">
        <v>44340</v>
      </c>
      <c r="C358" s="1" t="n">
        <v>46010</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45371-2025</t>
        </is>
      </c>
      <c r="B359" s="1" t="n">
        <v>45922.39001157408</v>
      </c>
      <c r="C359" s="1" t="n">
        <v>46010</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35775-2025</t>
        </is>
      </c>
      <c r="B360" s="1" t="n">
        <v>45860</v>
      </c>
      <c r="C360" s="1" t="n">
        <v>46010</v>
      </c>
      <c r="D360" t="inlineStr">
        <is>
          <t>VÄSTMANLANDS LÄN</t>
        </is>
      </c>
      <c r="E360" t="inlineStr">
        <is>
          <t>SALA</t>
        </is>
      </c>
      <c r="G360" t="n">
        <v>2.6</v>
      </c>
      <c r="H360" t="n">
        <v>0</v>
      </c>
      <c r="I360" t="n">
        <v>0</v>
      </c>
      <c r="J360" t="n">
        <v>0</v>
      </c>
      <c r="K360" t="n">
        <v>0</v>
      </c>
      <c r="L360" t="n">
        <v>0</v>
      </c>
      <c r="M360" t="n">
        <v>0</v>
      </c>
      <c r="N360" t="n">
        <v>0</v>
      </c>
      <c r="O360" t="n">
        <v>0</v>
      </c>
      <c r="P360" t="n">
        <v>0</v>
      </c>
      <c r="Q360" t="n">
        <v>0</v>
      </c>
      <c r="R360" s="2" t="inlineStr"/>
    </row>
    <row r="361" ht="15" customHeight="1">
      <c r="A361" t="inlineStr">
        <is>
          <t>A 35779-2025</t>
        </is>
      </c>
      <c r="B361" s="1" t="n">
        <v>45860.69495370371</v>
      </c>
      <c r="C361" s="1" t="n">
        <v>46010</v>
      </c>
      <c r="D361" t="inlineStr">
        <is>
          <t>VÄSTMANLANDS LÄN</t>
        </is>
      </c>
      <c r="E361" t="inlineStr">
        <is>
          <t>SALA</t>
        </is>
      </c>
      <c r="G361" t="n">
        <v>2.4</v>
      </c>
      <c r="H361" t="n">
        <v>0</v>
      </c>
      <c r="I361" t="n">
        <v>0</v>
      </c>
      <c r="J361" t="n">
        <v>0</v>
      </c>
      <c r="K361" t="n">
        <v>0</v>
      </c>
      <c r="L361" t="n">
        <v>0</v>
      </c>
      <c r="M361" t="n">
        <v>0</v>
      </c>
      <c r="N361" t="n">
        <v>0</v>
      </c>
      <c r="O361" t="n">
        <v>0</v>
      </c>
      <c r="P361" t="n">
        <v>0</v>
      </c>
      <c r="Q361" t="n">
        <v>0</v>
      </c>
      <c r="R361" s="2" t="inlineStr"/>
    </row>
    <row r="362" ht="15" customHeight="1">
      <c r="A362" t="inlineStr">
        <is>
          <t>A 35776-2025</t>
        </is>
      </c>
      <c r="B362" s="1" t="n">
        <v>45860.69211805556</v>
      </c>
      <c r="C362" s="1" t="n">
        <v>46010</v>
      </c>
      <c r="D362" t="inlineStr">
        <is>
          <t>VÄSTMANLANDS LÄN</t>
        </is>
      </c>
      <c r="E362" t="inlineStr">
        <is>
          <t>SALA</t>
        </is>
      </c>
      <c r="G362" t="n">
        <v>14.2</v>
      </c>
      <c r="H362" t="n">
        <v>0</v>
      </c>
      <c r="I362" t="n">
        <v>0</v>
      </c>
      <c r="J362" t="n">
        <v>0</v>
      </c>
      <c r="K362" t="n">
        <v>0</v>
      </c>
      <c r="L362" t="n">
        <v>0</v>
      </c>
      <c r="M362" t="n">
        <v>0</v>
      </c>
      <c r="N362" t="n">
        <v>0</v>
      </c>
      <c r="O362" t="n">
        <v>0</v>
      </c>
      <c r="P362" t="n">
        <v>0</v>
      </c>
      <c r="Q362" t="n">
        <v>0</v>
      </c>
      <c r="R362" s="2" t="inlineStr"/>
    </row>
    <row r="363" ht="15" customHeight="1">
      <c r="A363" t="inlineStr">
        <is>
          <t>A 35715-2025</t>
        </is>
      </c>
      <c r="B363" s="1" t="n">
        <v>45860.42148148148</v>
      </c>
      <c r="C363" s="1" t="n">
        <v>46010</v>
      </c>
      <c r="D363" t="inlineStr">
        <is>
          <t>VÄSTMANLANDS LÄN</t>
        </is>
      </c>
      <c r="E363" t="inlineStr">
        <is>
          <t>SALA</t>
        </is>
      </c>
      <c r="G363" t="n">
        <v>3.8</v>
      </c>
      <c r="H363" t="n">
        <v>0</v>
      </c>
      <c r="I363" t="n">
        <v>0</v>
      </c>
      <c r="J363" t="n">
        <v>0</v>
      </c>
      <c r="K363" t="n">
        <v>0</v>
      </c>
      <c r="L363" t="n">
        <v>0</v>
      </c>
      <c r="M363" t="n">
        <v>0</v>
      </c>
      <c r="N363" t="n">
        <v>0</v>
      </c>
      <c r="O363" t="n">
        <v>0</v>
      </c>
      <c r="P363" t="n">
        <v>0</v>
      </c>
      <c r="Q363" t="n">
        <v>0</v>
      </c>
      <c r="R363" s="2" t="inlineStr"/>
    </row>
    <row r="364" ht="15" customHeight="1">
      <c r="A364" t="inlineStr">
        <is>
          <t>A 35651-2025</t>
        </is>
      </c>
      <c r="B364" s="1" t="n">
        <v>45859.52435185185</v>
      </c>
      <c r="C364" s="1" t="n">
        <v>46010</v>
      </c>
      <c r="D364" t="inlineStr">
        <is>
          <t>VÄSTMANLANDS LÄN</t>
        </is>
      </c>
      <c r="E364" t="inlineStr">
        <is>
          <t>SALA</t>
        </is>
      </c>
      <c r="G364" t="n">
        <v>6.3</v>
      </c>
      <c r="H364" t="n">
        <v>0</v>
      </c>
      <c r="I364" t="n">
        <v>0</v>
      </c>
      <c r="J364" t="n">
        <v>0</v>
      </c>
      <c r="K364" t="n">
        <v>0</v>
      </c>
      <c r="L364" t="n">
        <v>0</v>
      </c>
      <c r="M364" t="n">
        <v>0</v>
      </c>
      <c r="N364" t="n">
        <v>0</v>
      </c>
      <c r="O364" t="n">
        <v>0</v>
      </c>
      <c r="P364" t="n">
        <v>0</v>
      </c>
      <c r="Q364" t="n">
        <v>0</v>
      </c>
      <c r="R364" s="2" t="inlineStr"/>
    </row>
    <row r="365" ht="15" customHeight="1">
      <c r="A365" t="inlineStr">
        <is>
          <t>A 35774-2025</t>
        </is>
      </c>
      <c r="B365" s="1" t="n">
        <v>45860.68780092592</v>
      </c>
      <c r="C365" s="1" t="n">
        <v>46010</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28696-2023</t>
        </is>
      </c>
      <c r="B366" s="1" t="n">
        <v>45103.71759259259</v>
      </c>
      <c r="C366" s="1" t="n">
        <v>46010</v>
      </c>
      <c r="D366" t="inlineStr">
        <is>
          <t>VÄSTMANLANDS LÄN</t>
        </is>
      </c>
      <c r="E366" t="inlineStr">
        <is>
          <t>SALA</t>
        </is>
      </c>
      <c r="F366" t="inlineStr">
        <is>
          <t>Kommuner</t>
        </is>
      </c>
      <c r="G366" t="n">
        <v>5.9</v>
      </c>
      <c r="H366" t="n">
        <v>0</v>
      </c>
      <c r="I366" t="n">
        <v>0</v>
      </c>
      <c r="J366" t="n">
        <v>0</v>
      </c>
      <c r="K366" t="n">
        <v>0</v>
      </c>
      <c r="L366" t="n">
        <v>0</v>
      </c>
      <c r="M366" t="n">
        <v>0</v>
      </c>
      <c r="N366" t="n">
        <v>0</v>
      </c>
      <c r="O366" t="n">
        <v>0</v>
      </c>
      <c r="P366" t="n">
        <v>0</v>
      </c>
      <c r="Q366" t="n">
        <v>0</v>
      </c>
      <c r="R366" s="2" t="inlineStr"/>
    </row>
    <row r="367" ht="15" customHeight="1">
      <c r="A367" t="inlineStr">
        <is>
          <t>A 6691-2025</t>
        </is>
      </c>
      <c r="B367" s="1" t="n">
        <v>45700.50625</v>
      </c>
      <c r="C367" s="1" t="n">
        <v>46010</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1934-2023</t>
        </is>
      </c>
      <c r="B368" s="1" t="n">
        <v>44939.43024305555</v>
      </c>
      <c r="C368" s="1" t="n">
        <v>46010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35519-2024</t>
        </is>
      </c>
      <c r="B369" s="1" t="n">
        <v>45531</v>
      </c>
      <c r="C369" s="1" t="n">
        <v>46010</v>
      </c>
      <c r="D369" t="inlineStr">
        <is>
          <t>VÄSTMANLANDS LÄN</t>
        </is>
      </c>
      <c r="E369" t="inlineStr">
        <is>
          <t>SALA</t>
        </is>
      </c>
      <c r="G369" t="n">
        <v>1.8</v>
      </c>
      <c r="H369" t="n">
        <v>0</v>
      </c>
      <c r="I369" t="n">
        <v>0</v>
      </c>
      <c r="J369" t="n">
        <v>0</v>
      </c>
      <c r="K369" t="n">
        <v>0</v>
      </c>
      <c r="L369" t="n">
        <v>0</v>
      </c>
      <c r="M369" t="n">
        <v>0</v>
      </c>
      <c r="N369" t="n">
        <v>0</v>
      </c>
      <c r="O369" t="n">
        <v>0</v>
      </c>
      <c r="P369" t="n">
        <v>0</v>
      </c>
      <c r="Q369" t="n">
        <v>0</v>
      </c>
      <c r="R369" s="2" t="inlineStr"/>
    </row>
    <row r="370" ht="15" customHeight="1">
      <c r="A370" t="inlineStr">
        <is>
          <t>A 45914-2025</t>
        </is>
      </c>
      <c r="B370" s="1" t="n">
        <v>45923.82582175926</v>
      </c>
      <c r="C370" s="1" t="n">
        <v>46010</v>
      </c>
      <c r="D370" t="inlineStr">
        <is>
          <t>VÄSTMANLANDS LÄN</t>
        </is>
      </c>
      <c r="E370" t="inlineStr">
        <is>
          <t>SALA</t>
        </is>
      </c>
      <c r="F370" t="inlineStr">
        <is>
          <t>Kommuner</t>
        </is>
      </c>
      <c r="G370" t="n">
        <v>18.2</v>
      </c>
      <c r="H370" t="n">
        <v>0</v>
      </c>
      <c r="I370" t="n">
        <v>0</v>
      </c>
      <c r="J370" t="n">
        <v>0</v>
      </c>
      <c r="K370" t="n">
        <v>0</v>
      </c>
      <c r="L370" t="n">
        <v>0</v>
      </c>
      <c r="M370" t="n">
        <v>0</v>
      </c>
      <c r="N370" t="n">
        <v>0</v>
      </c>
      <c r="O370" t="n">
        <v>0</v>
      </c>
      <c r="P370" t="n">
        <v>0</v>
      </c>
      <c r="Q370" t="n">
        <v>0</v>
      </c>
      <c r="R370" s="2" t="inlineStr"/>
    </row>
    <row r="371" ht="15" customHeight="1">
      <c r="A371" t="inlineStr">
        <is>
          <t>A 36060-2025</t>
        </is>
      </c>
      <c r="B371" s="1" t="n">
        <v>45866.39469907407</v>
      </c>
      <c r="C371" s="1" t="n">
        <v>46010</v>
      </c>
      <c r="D371" t="inlineStr">
        <is>
          <t>VÄSTMANLANDS LÄN</t>
        </is>
      </c>
      <c r="E371" t="inlineStr">
        <is>
          <t>SALA</t>
        </is>
      </c>
      <c r="F371" t="inlineStr">
        <is>
          <t>Kommuner</t>
        </is>
      </c>
      <c r="G371" t="n">
        <v>4.3</v>
      </c>
      <c r="H371" t="n">
        <v>0</v>
      </c>
      <c r="I371" t="n">
        <v>0</v>
      </c>
      <c r="J371" t="n">
        <v>0</v>
      </c>
      <c r="K371" t="n">
        <v>0</v>
      </c>
      <c r="L371" t="n">
        <v>0</v>
      </c>
      <c r="M371" t="n">
        <v>0</v>
      </c>
      <c r="N371" t="n">
        <v>0</v>
      </c>
      <c r="O371" t="n">
        <v>0</v>
      </c>
      <c r="P371" t="n">
        <v>0</v>
      </c>
      <c r="Q371" t="n">
        <v>0</v>
      </c>
      <c r="R371" s="2" t="inlineStr"/>
    </row>
    <row r="372" ht="15" customHeight="1">
      <c r="A372" t="inlineStr">
        <is>
          <t>A 36031-2025</t>
        </is>
      </c>
      <c r="B372" s="1" t="n">
        <v>45865.46111111111</v>
      </c>
      <c r="C372" s="1" t="n">
        <v>46010</v>
      </c>
      <c r="D372" t="inlineStr">
        <is>
          <t>VÄSTMANLANDS LÄN</t>
        </is>
      </c>
      <c r="E372" t="inlineStr">
        <is>
          <t>SALA</t>
        </is>
      </c>
      <c r="G372" t="n">
        <v>7.2</v>
      </c>
      <c r="H372" t="n">
        <v>0</v>
      </c>
      <c r="I372" t="n">
        <v>0</v>
      </c>
      <c r="J372" t="n">
        <v>0</v>
      </c>
      <c r="K372" t="n">
        <v>0</v>
      </c>
      <c r="L372" t="n">
        <v>0</v>
      </c>
      <c r="M372" t="n">
        <v>0</v>
      </c>
      <c r="N372" t="n">
        <v>0</v>
      </c>
      <c r="O372" t="n">
        <v>0</v>
      </c>
      <c r="P372" t="n">
        <v>0</v>
      </c>
      <c r="Q372" t="n">
        <v>0</v>
      </c>
      <c r="R372" s="2" t="inlineStr"/>
    </row>
    <row r="373" ht="15" customHeight="1">
      <c r="A373" t="inlineStr">
        <is>
          <t>A 36043-2025</t>
        </is>
      </c>
      <c r="B373" s="1" t="n">
        <v>45866.35333333333</v>
      </c>
      <c r="C373" s="1" t="n">
        <v>46010</v>
      </c>
      <c r="D373" t="inlineStr">
        <is>
          <t>VÄSTMANLANDS LÄN</t>
        </is>
      </c>
      <c r="E373" t="inlineStr">
        <is>
          <t>SALA</t>
        </is>
      </c>
      <c r="F373" t="inlineStr">
        <is>
          <t>Kommuner</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36032-2025</t>
        </is>
      </c>
      <c r="B374" s="1" t="n">
        <v>45865.48740740741</v>
      </c>
      <c r="C374" s="1" t="n">
        <v>46010</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36049-2025</t>
        </is>
      </c>
      <c r="B375" s="1" t="n">
        <v>45866.37065972222</v>
      </c>
      <c r="C375" s="1" t="n">
        <v>46010</v>
      </c>
      <c r="D375" t="inlineStr">
        <is>
          <t>VÄSTMANLANDS LÄN</t>
        </is>
      </c>
      <c r="E375" t="inlineStr">
        <is>
          <t>SALA</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36045-2025</t>
        </is>
      </c>
      <c r="B376" s="1" t="n">
        <v>45866.36200231482</v>
      </c>
      <c r="C376" s="1" t="n">
        <v>46010</v>
      </c>
      <c r="D376" t="inlineStr">
        <is>
          <t>VÄSTMANLANDS LÄN</t>
        </is>
      </c>
      <c r="E376" t="inlineStr">
        <is>
          <t>SALA</t>
        </is>
      </c>
      <c r="F376" t="inlineStr">
        <is>
          <t>Kommuner</t>
        </is>
      </c>
      <c r="G376" t="n">
        <v>1.7</v>
      </c>
      <c r="H376" t="n">
        <v>0</v>
      </c>
      <c r="I376" t="n">
        <v>0</v>
      </c>
      <c r="J376" t="n">
        <v>0</v>
      </c>
      <c r="K376" t="n">
        <v>0</v>
      </c>
      <c r="L376" t="n">
        <v>0</v>
      </c>
      <c r="M376" t="n">
        <v>0</v>
      </c>
      <c r="N376" t="n">
        <v>0</v>
      </c>
      <c r="O376" t="n">
        <v>0</v>
      </c>
      <c r="P376" t="n">
        <v>0</v>
      </c>
      <c r="Q376" t="n">
        <v>0</v>
      </c>
      <c r="R376" s="2" t="inlineStr"/>
    </row>
    <row r="377" ht="15" customHeight="1">
      <c r="A377" t="inlineStr">
        <is>
          <t>A 50241-2023</t>
        </is>
      </c>
      <c r="B377" s="1" t="n">
        <v>45216</v>
      </c>
      <c r="C377" s="1" t="n">
        <v>46010</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30971-2022</t>
        </is>
      </c>
      <c r="B378" s="1" t="n">
        <v>44768.46725694444</v>
      </c>
      <c r="C378" s="1" t="n">
        <v>46010</v>
      </c>
      <c r="D378" t="inlineStr">
        <is>
          <t>VÄSTMANLANDS LÄN</t>
        </is>
      </c>
      <c r="E378" t="inlineStr">
        <is>
          <t>SALA</t>
        </is>
      </c>
      <c r="G378" t="n">
        <v>2.4</v>
      </c>
      <c r="H378" t="n">
        <v>0</v>
      </c>
      <c r="I378" t="n">
        <v>0</v>
      </c>
      <c r="J378" t="n">
        <v>0</v>
      </c>
      <c r="K378" t="n">
        <v>0</v>
      </c>
      <c r="L378" t="n">
        <v>0</v>
      </c>
      <c r="M378" t="n">
        <v>0</v>
      </c>
      <c r="N378" t="n">
        <v>0</v>
      </c>
      <c r="O378" t="n">
        <v>0</v>
      </c>
      <c r="P378" t="n">
        <v>0</v>
      </c>
      <c r="Q378" t="n">
        <v>0</v>
      </c>
      <c r="R378" s="2" t="inlineStr"/>
    </row>
    <row r="379" ht="15" customHeight="1">
      <c r="A379" t="inlineStr">
        <is>
          <t>A 35637-2022</t>
        </is>
      </c>
      <c r="B379" s="1" t="n">
        <v>44799.55194444444</v>
      </c>
      <c r="C379" s="1" t="n">
        <v>46010</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19304-2025</t>
        </is>
      </c>
      <c r="B380" s="1" t="n">
        <v>45769</v>
      </c>
      <c r="C380" s="1" t="n">
        <v>46010</v>
      </c>
      <c r="D380" t="inlineStr">
        <is>
          <t>VÄSTMANLANDS LÄN</t>
        </is>
      </c>
      <c r="E380" t="inlineStr">
        <is>
          <t>SALA</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27038-2023</t>
        </is>
      </c>
      <c r="B381" s="1" t="n">
        <v>45095</v>
      </c>
      <c r="C381" s="1" t="n">
        <v>46010</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17766-2025</t>
        </is>
      </c>
      <c r="B382" s="1" t="n">
        <v>45758</v>
      </c>
      <c r="C382" s="1" t="n">
        <v>46010</v>
      </c>
      <c r="D382" t="inlineStr">
        <is>
          <t>VÄSTMANLANDS LÄN</t>
        </is>
      </c>
      <c r="E382" t="inlineStr">
        <is>
          <t>SALA</t>
        </is>
      </c>
      <c r="G382" t="n">
        <v>16.5</v>
      </c>
      <c r="H382" t="n">
        <v>0</v>
      </c>
      <c r="I382" t="n">
        <v>0</v>
      </c>
      <c r="J382" t="n">
        <v>0</v>
      </c>
      <c r="K382" t="n">
        <v>0</v>
      </c>
      <c r="L382" t="n">
        <v>0</v>
      </c>
      <c r="M382" t="n">
        <v>0</v>
      </c>
      <c r="N382" t="n">
        <v>0</v>
      </c>
      <c r="O382" t="n">
        <v>0</v>
      </c>
      <c r="P382" t="n">
        <v>0</v>
      </c>
      <c r="Q382" t="n">
        <v>0</v>
      </c>
      <c r="R382" s="2" t="inlineStr"/>
    </row>
    <row r="383" ht="15" customHeight="1">
      <c r="A383" t="inlineStr">
        <is>
          <t>A 31863-2025</t>
        </is>
      </c>
      <c r="B383" s="1" t="n">
        <v>45834.63303240741</v>
      </c>
      <c r="C383" s="1" t="n">
        <v>46010</v>
      </c>
      <c r="D383" t="inlineStr">
        <is>
          <t>VÄSTMANLANDS LÄN</t>
        </is>
      </c>
      <c r="E383" t="inlineStr">
        <is>
          <t>SALA</t>
        </is>
      </c>
      <c r="G383" t="n">
        <v>2.5</v>
      </c>
      <c r="H383" t="n">
        <v>0</v>
      </c>
      <c r="I383" t="n">
        <v>0</v>
      </c>
      <c r="J383" t="n">
        <v>0</v>
      </c>
      <c r="K383" t="n">
        <v>0</v>
      </c>
      <c r="L383" t="n">
        <v>0</v>
      </c>
      <c r="M383" t="n">
        <v>0</v>
      </c>
      <c r="N383" t="n">
        <v>0</v>
      </c>
      <c r="O383" t="n">
        <v>0</v>
      </c>
      <c r="P383" t="n">
        <v>0</v>
      </c>
      <c r="Q383" t="n">
        <v>0</v>
      </c>
      <c r="R383" s="2" t="inlineStr"/>
    </row>
    <row r="384" ht="15" customHeight="1">
      <c r="A384" t="inlineStr">
        <is>
          <t>A 45909-2025</t>
        </is>
      </c>
      <c r="B384" s="1" t="n">
        <v>45923.75078703704</v>
      </c>
      <c r="C384" s="1" t="n">
        <v>46010</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23182-2022</t>
        </is>
      </c>
      <c r="B385" s="1" t="n">
        <v>44719.79707175926</v>
      </c>
      <c r="C385" s="1" t="n">
        <v>46010</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3546-2025</t>
        </is>
      </c>
      <c r="B386" s="1" t="n">
        <v>45680</v>
      </c>
      <c r="C386" s="1" t="n">
        <v>46010</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31869-2025</t>
        </is>
      </c>
      <c r="B387" s="1" t="n">
        <v>45834.64555555556</v>
      </c>
      <c r="C387" s="1" t="n">
        <v>46010</v>
      </c>
      <c r="D387" t="inlineStr">
        <is>
          <t>VÄSTMANLANDS LÄN</t>
        </is>
      </c>
      <c r="E387" t="inlineStr">
        <is>
          <t>SALA</t>
        </is>
      </c>
      <c r="G387" t="n">
        <v>17.5</v>
      </c>
      <c r="H387" t="n">
        <v>0</v>
      </c>
      <c r="I387" t="n">
        <v>0</v>
      </c>
      <c r="J387" t="n">
        <v>0</v>
      </c>
      <c r="K387" t="n">
        <v>0</v>
      </c>
      <c r="L387" t="n">
        <v>0</v>
      </c>
      <c r="M387" t="n">
        <v>0</v>
      </c>
      <c r="N387" t="n">
        <v>0</v>
      </c>
      <c r="O387" t="n">
        <v>0</v>
      </c>
      <c r="P387" t="n">
        <v>0</v>
      </c>
      <c r="Q387" t="n">
        <v>0</v>
      </c>
      <c r="R387" s="2" t="inlineStr"/>
    </row>
    <row r="388" ht="15" customHeight="1">
      <c r="A388" t="inlineStr">
        <is>
          <t>A 7664-2023</t>
        </is>
      </c>
      <c r="B388" s="1" t="n">
        <v>44972</v>
      </c>
      <c r="C388" s="1" t="n">
        <v>46010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17985-2025</t>
        </is>
      </c>
      <c r="B389" s="1" t="n">
        <v>45761</v>
      </c>
      <c r="C389" s="1" t="n">
        <v>46010</v>
      </c>
      <c r="D389" t="inlineStr">
        <is>
          <t>VÄSTMANLANDS LÄN</t>
        </is>
      </c>
      <c r="E389" t="inlineStr">
        <is>
          <t>SALA</t>
        </is>
      </c>
      <c r="G389" t="n">
        <v>12.5</v>
      </c>
      <c r="H389" t="n">
        <v>0</v>
      </c>
      <c r="I389" t="n">
        <v>0</v>
      </c>
      <c r="J389" t="n">
        <v>0</v>
      </c>
      <c r="K389" t="n">
        <v>0</v>
      </c>
      <c r="L389" t="n">
        <v>0</v>
      </c>
      <c r="M389" t="n">
        <v>0</v>
      </c>
      <c r="N389" t="n">
        <v>0</v>
      </c>
      <c r="O389" t="n">
        <v>0</v>
      </c>
      <c r="P389" t="n">
        <v>0</v>
      </c>
      <c r="Q389" t="n">
        <v>0</v>
      </c>
      <c r="R389" s="2" t="inlineStr"/>
    </row>
    <row r="390" ht="15" customHeight="1">
      <c r="A390" t="inlineStr">
        <is>
          <t>A 31859-2023</t>
        </is>
      </c>
      <c r="B390" s="1" t="n">
        <v>45118</v>
      </c>
      <c r="C390" s="1" t="n">
        <v>46010</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c r="U390">
        <f>HYPERLINK("https://klasma.github.io/Logging_1981/knärot/A 31859-2023 karta knärot.png", "A 31859-2023")</f>
        <v/>
      </c>
      <c r="V390">
        <f>HYPERLINK("https://klasma.github.io/Logging_1981/klagomål/A 31859-2023 FSC-klagomål.docx", "A 31859-2023")</f>
        <v/>
      </c>
      <c r="W390">
        <f>HYPERLINK("https://klasma.github.io/Logging_1981/klagomålsmail/A 31859-2023 FSC-klagomål mail.docx", "A 31859-2023")</f>
        <v/>
      </c>
      <c r="X390">
        <f>HYPERLINK("https://klasma.github.io/Logging_1981/tillsyn/A 31859-2023 tillsynsbegäran.docx", "A 31859-2023")</f>
        <v/>
      </c>
      <c r="Y390">
        <f>HYPERLINK("https://klasma.github.io/Logging_1981/tillsynsmail/A 31859-2023 tillsynsbegäran mail.docx", "A 31859-2023")</f>
        <v/>
      </c>
    </row>
    <row r="391" ht="15" customHeight="1">
      <c r="A391" t="inlineStr">
        <is>
          <t>A 7469-2025</t>
        </is>
      </c>
      <c r="B391" s="1" t="n">
        <v>45705</v>
      </c>
      <c r="C391" s="1" t="n">
        <v>46010</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46915-2025</t>
        </is>
      </c>
      <c r="B392" s="1" t="n">
        <v>45929.42114583333</v>
      </c>
      <c r="C392" s="1" t="n">
        <v>46010</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37103-2025</t>
        </is>
      </c>
      <c r="B393" s="1" t="n">
        <v>45875.47743055555</v>
      </c>
      <c r="C393" s="1" t="n">
        <v>46010</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46010</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37017-2025</t>
        </is>
      </c>
      <c r="B395" s="1" t="n">
        <v>45874</v>
      </c>
      <c r="C395" s="1" t="n">
        <v>46010</v>
      </c>
      <c r="D395" t="inlineStr">
        <is>
          <t>VÄSTMANLANDS LÄN</t>
        </is>
      </c>
      <c r="E395" t="inlineStr">
        <is>
          <t>SALA</t>
        </is>
      </c>
      <c r="G395" t="n">
        <v>11.1</v>
      </c>
      <c r="H395" t="n">
        <v>0</v>
      </c>
      <c r="I395" t="n">
        <v>0</v>
      </c>
      <c r="J395" t="n">
        <v>0</v>
      </c>
      <c r="K395" t="n">
        <v>0</v>
      </c>
      <c r="L395" t="n">
        <v>0</v>
      </c>
      <c r="M395" t="n">
        <v>0</v>
      </c>
      <c r="N395" t="n">
        <v>0</v>
      </c>
      <c r="O395" t="n">
        <v>0</v>
      </c>
      <c r="P395" t="n">
        <v>0</v>
      </c>
      <c r="Q395" t="n">
        <v>0</v>
      </c>
      <c r="R395" s="2" t="inlineStr"/>
    </row>
    <row r="396" ht="15" customHeight="1">
      <c r="A396" t="inlineStr">
        <is>
          <t>A 37246-2025</t>
        </is>
      </c>
      <c r="B396" s="1" t="n">
        <v>45876.39435185185</v>
      </c>
      <c r="C396" s="1" t="n">
        <v>46010</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34867-2023</t>
        </is>
      </c>
      <c r="B397" s="1" t="n">
        <v>45142.33481481481</v>
      </c>
      <c r="C397" s="1" t="n">
        <v>46010</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11631-2023</t>
        </is>
      </c>
      <c r="B398" s="1" t="n">
        <v>44994.44001157407</v>
      </c>
      <c r="C398" s="1" t="n">
        <v>46010</v>
      </c>
      <c r="D398" t="inlineStr">
        <is>
          <t>VÄSTMANLANDS LÄN</t>
        </is>
      </c>
      <c r="E398" t="inlineStr">
        <is>
          <t>SALA</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37590-2025</t>
        </is>
      </c>
      <c r="B399" s="1" t="n">
        <v>45880.41138888889</v>
      </c>
      <c r="C399" s="1" t="n">
        <v>46010</v>
      </c>
      <c r="D399" t="inlineStr">
        <is>
          <t>VÄSTMANLANDS LÄN</t>
        </is>
      </c>
      <c r="E399" t="inlineStr">
        <is>
          <t>SALA</t>
        </is>
      </c>
      <c r="G399" t="n">
        <v>2.2</v>
      </c>
      <c r="H399" t="n">
        <v>0</v>
      </c>
      <c r="I399" t="n">
        <v>0</v>
      </c>
      <c r="J399" t="n">
        <v>0</v>
      </c>
      <c r="K399" t="n">
        <v>0</v>
      </c>
      <c r="L399" t="n">
        <v>0</v>
      </c>
      <c r="M399" t="n">
        <v>0</v>
      </c>
      <c r="N399" t="n">
        <v>0</v>
      </c>
      <c r="O399" t="n">
        <v>0</v>
      </c>
      <c r="P399" t="n">
        <v>0</v>
      </c>
      <c r="Q399" t="n">
        <v>0</v>
      </c>
      <c r="R399" s="2" t="inlineStr"/>
    </row>
    <row r="400" ht="15" customHeight="1">
      <c r="A400" t="inlineStr">
        <is>
          <t>A 37593-2025</t>
        </is>
      </c>
      <c r="B400" s="1" t="n">
        <v>45880.41325231481</v>
      </c>
      <c r="C400" s="1" t="n">
        <v>46010</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17722-2025</t>
        </is>
      </c>
      <c r="B401" s="1" t="n">
        <v>45758</v>
      </c>
      <c r="C401" s="1" t="n">
        <v>46010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8775-2024</t>
        </is>
      </c>
      <c r="B402" s="1" t="n">
        <v>45356</v>
      </c>
      <c r="C402" s="1" t="n">
        <v>46010</v>
      </c>
      <c r="D402" t="inlineStr">
        <is>
          <t>VÄSTMANLANDS LÄN</t>
        </is>
      </c>
      <c r="E402" t="inlineStr">
        <is>
          <t>SALA</t>
        </is>
      </c>
      <c r="G402" t="n">
        <v>0.6</v>
      </c>
      <c r="H402" t="n">
        <v>0</v>
      </c>
      <c r="I402" t="n">
        <v>0</v>
      </c>
      <c r="J402" t="n">
        <v>0</v>
      </c>
      <c r="K402" t="n">
        <v>0</v>
      </c>
      <c r="L402" t="n">
        <v>0</v>
      </c>
      <c r="M402" t="n">
        <v>0</v>
      </c>
      <c r="N402" t="n">
        <v>0</v>
      </c>
      <c r="O402" t="n">
        <v>0</v>
      </c>
      <c r="P402" t="n">
        <v>0</v>
      </c>
      <c r="Q402" t="n">
        <v>0</v>
      </c>
      <c r="R402" s="2" t="inlineStr"/>
    </row>
    <row r="403" ht="15" customHeight="1">
      <c r="A403" t="inlineStr">
        <is>
          <t>A 48710-2024</t>
        </is>
      </c>
      <c r="B403" s="1" t="n">
        <v>45593.53636574074</v>
      </c>
      <c r="C403" s="1" t="n">
        <v>46010</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16404-2022</t>
        </is>
      </c>
      <c r="B404" s="1" t="n">
        <v>44671</v>
      </c>
      <c r="C404" s="1" t="n">
        <v>46010</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38294-2025</t>
        </is>
      </c>
      <c r="B405" s="1" t="n">
        <v>45883.44854166666</v>
      </c>
      <c r="C405" s="1" t="n">
        <v>46010</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46597-2025</t>
        </is>
      </c>
      <c r="B406" s="1" t="n">
        <v>45926.40113425926</v>
      </c>
      <c r="C406" s="1" t="n">
        <v>46010</v>
      </c>
      <c r="D406" t="inlineStr">
        <is>
          <t>VÄSTMANLANDS LÄN</t>
        </is>
      </c>
      <c r="E406" t="inlineStr">
        <is>
          <t>SALA</t>
        </is>
      </c>
      <c r="G406" t="n">
        <v>3.4</v>
      </c>
      <c r="H406" t="n">
        <v>0</v>
      </c>
      <c r="I406" t="n">
        <v>0</v>
      </c>
      <c r="J406" t="n">
        <v>0</v>
      </c>
      <c r="K406" t="n">
        <v>0</v>
      </c>
      <c r="L406" t="n">
        <v>0</v>
      </c>
      <c r="M406" t="n">
        <v>0</v>
      </c>
      <c r="N406" t="n">
        <v>0</v>
      </c>
      <c r="O406" t="n">
        <v>0</v>
      </c>
      <c r="P406" t="n">
        <v>0</v>
      </c>
      <c r="Q406" t="n">
        <v>0</v>
      </c>
      <c r="R406" s="2" t="inlineStr"/>
    </row>
    <row r="407" ht="15" customHeight="1">
      <c r="A407" t="inlineStr">
        <is>
          <t>A 43359-2024</t>
        </is>
      </c>
      <c r="B407" s="1" t="n">
        <v>45568.57724537037</v>
      </c>
      <c r="C407" s="1" t="n">
        <v>46010</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29972-2025</t>
        </is>
      </c>
      <c r="B408" s="1" t="n">
        <v>45826</v>
      </c>
      <c r="C408" s="1" t="n">
        <v>46010</v>
      </c>
      <c r="D408" t="inlineStr">
        <is>
          <t>VÄSTMANLANDS LÄN</t>
        </is>
      </c>
      <c r="E408" t="inlineStr">
        <is>
          <t>SALA</t>
        </is>
      </c>
      <c r="G408" t="n">
        <v>2.7</v>
      </c>
      <c r="H408" t="n">
        <v>0</v>
      </c>
      <c r="I408" t="n">
        <v>0</v>
      </c>
      <c r="J408" t="n">
        <v>0</v>
      </c>
      <c r="K408" t="n">
        <v>0</v>
      </c>
      <c r="L408" t="n">
        <v>0</v>
      </c>
      <c r="M408" t="n">
        <v>0</v>
      </c>
      <c r="N408" t="n">
        <v>0</v>
      </c>
      <c r="O408" t="n">
        <v>0</v>
      </c>
      <c r="P408" t="n">
        <v>0</v>
      </c>
      <c r="Q408" t="n">
        <v>0</v>
      </c>
      <c r="R408" s="2" t="inlineStr"/>
    </row>
    <row r="409" ht="15" customHeight="1">
      <c r="A409" t="inlineStr">
        <is>
          <t>A 24248-2023</t>
        </is>
      </c>
      <c r="B409" s="1" t="n">
        <v>45079</v>
      </c>
      <c r="C409" s="1" t="n">
        <v>46010</v>
      </c>
      <c r="D409" t="inlineStr">
        <is>
          <t>VÄSTMANLANDS LÄN</t>
        </is>
      </c>
      <c r="E409" t="inlineStr">
        <is>
          <t>SALA</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46279-2021</t>
        </is>
      </c>
      <c r="B410" s="1" t="n">
        <v>44442.57797453704</v>
      </c>
      <c r="C410" s="1" t="n">
        <v>46010</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10559-2024</t>
        </is>
      </c>
      <c r="B411" s="1" t="n">
        <v>45366</v>
      </c>
      <c r="C411" s="1" t="n">
        <v>46010</v>
      </c>
      <c r="D411" t="inlineStr">
        <is>
          <t>VÄSTMANLANDS LÄN</t>
        </is>
      </c>
      <c r="E411" t="inlineStr">
        <is>
          <t>SALA</t>
        </is>
      </c>
      <c r="G411" t="n">
        <v>0.3</v>
      </c>
      <c r="H411" t="n">
        <v>0</v>
      </c>
      <c r="I411" t="n">
        <v>0</v>
      </c>
      <c r="J411" t="n">
        <v>0</v>
      </c>
      <c r="K411" t="n">
        <v>0</v>
      </c>
      <c r="L411" t="n">
        <v>0</v>
      </c>
      <c r="M411" t="n">
        <v>0</v>
      </c>
      <c r="N411" t="n">
        <v>0</v>
      </c>
      <c r="O411" t="n">
        <v>0</v>
      </c>
      <c r="P411" t="n">
        <v>0</v>
      </c>
      <c r="Q411" t="n">
        <v>0</v>
      </c>
      <c r="R411" s="2" t="inlineStr"/>
    </row>
    <row r="412" ht="15" customHeight="1">
      <c r="A412" t="inlineStr">
        <is>
          <t>A 40214-2023</t>
        </is>
      </c>
      <c r="B412" s="1" t="n">
        <v>45169.45173611111</v>
      </c>
      <c r="C412" s="1" t="n">
        <v>46010</v>
      </c>
      <c r="D412" t="inlineStr">
        <is>
          <t>VÄSTMANLANDS LÄN</t>
        </is>
      </c>
      <c r="E412" t="inlineStr">
        <is>
          <t>SALA</t>
        </is>
      </c>
      <c r="G412" t="n">
        <v>5.5</v>
      </c>
      <c r="H412" t="n">
        <v>0</v>
      </c>
      <c r="I412" t="n">
        <v>0</v>
      </c>
      <c r="J412" t="n">
        <v>0</v>
      </c>
      <c r="K412" t="n">
        <v>0</v>
      </c>
      <c r="L412" t="n">
        <v>0</v>
      </c>
      <c r="M412" t="n">
        <v>0</v>
      </c>
      <c r="N412" t="n">
        <v>0</v>
      </c>
      <c r="O412" t="n">
        <v>0</v>
      </c>
      <c r="P412" t="n">
        <v>0</v>
      </c>
      <c r="Q412" t="n">
        <v>0</v>
      </c>
      <c r="R412" s="2" t="inlineStr"/>
    </row>
    <row r="413" ht="15" customHeight="1">
      <c r="A413" t="inlineStr">
        <is>
          <t>A 9856-2022</t>
        </is>
      </c>
      <c r="B413" s="1" t="n">
        <v>44620</v>
      </c>
      <c r="C413" s="1" t="n">
        <v>46010</v>
      </c>
      <c r="D413" t="inlineStr">
        <is>
          <t>VÄSTMANLANDS LÄN</t>
        </is>
      </c>
      <c r="E413" t="inlineStr">
        <is>
          <t>SALA</t>
        </is>
      </c>
      <c r="G413" t="n">
        <v>2.4</v>
      </c>
      <c r="H413" t="n">
        <v>0</v>
      </c>
      <c r="I413" t="n">
        <v>0</v>
      </c>
      <c r="J413" t="n">
        <v>0</v>
      </c>
      <c r="K413" t="n">
        <v>0</v>
      </c>
      <c r="L413" t="n">
        <v>0</v>
      </c>
      <c r="M413" t="n">
        <v>0</v>
      </c>
      <c r="N413" t="n">
        <v>0</v>
      </c>
      <c r="O413" t="n">
        <v>0</v>
      </c>
      <c r="P413" t="n">
        <v>0</v>
      </c>
      <c r="Q413" t="n">
        <v>0</v>
      </c>
      <c r="R413" s="2" t="inlineStr"/>
    </row>
    <row r="414" ht="15" customHeight="1">
      <c r="A414" t="inlineStr">
        <is>
          <t>A 18100-2023</t>
        </is>
      </c>
      <c r="B414" s="1" t="n">
        <v>45040</v>
      </c>
      <c r="C414" s="1" t="n">
        <v>46010</v>
      </c>
      <c r="D414" t="inlineStr">
        <is>
          <t>VÄSTMANLANDS LÄN</t>
        </is>
      </c>
      <c r="E414" t="inlineStr">
        <is>
          <t>SALA</t>
        </is>
      </c>
      <c r="G414" t="n">
        <v>1.8</v>
      </c>
      <c r="H414" t="n">
        <v>0</v>
      </c>
      <c r="I414" t="n">
        <v>0</v>
      </c>
      <c r="J414" t="n">
        <v>0</v>
      </c>
      <c r="K414" t="n">
        <v>0</v>
      </c>
      <c r="L414" t="n">
        <v>0</v>
      </c>
      <c r="M414" t="n">
        <v>0</v>
      </c>
      <c r="N414" t="n">
        <v>0</v>
      </c>
      <c r="O414" t="n">
        <v>0</v>
      </c>
      <c r="P414" t="n">
        <v>0</v>
      </c>
      <c r="Q414" t="n">
        <v>0</v>
      </c>
      <c r="R414" s="2" t="inlineStr"/>
    </row>
    <row r="415" ht="15" customHeight="1">
      <c r="A415" t="inlineStr">
        <is>
          <t>A 47577-2025</t>
        </is>
      </c>
      <c r="B415" s="1" t="n">
        <v>45931.4047337963</v>
      </c>
      <c r="C415" s="1" t="n">
        <v>46010</v>
      </c>
      <c r="D415" t="inlineStr">
        <is>
          <t>VÄSTMANLANDS LÄN</t>
        </is>
      </c>
      <c r="E415" t="inlineStr">
        <is>
          <t>SALA</t>
        </is>
      </c>
      <c r="G415" t="n">
        <v>3.7</v>
      </c>
      <c r="H415" t="n">
        <v>0</v>
      </c>
      <c r="I415" t="n">
        <v>0</v>
      </c>
      <c r="J415" t="n">
        <v>0</v>
      </c>
      <c r="K415" t="n">
        <v>0</v>
      </c>
      <c r="L415" t="n">
        <v>0</v>
      </c>
      <c r="M415" t="n">
        <v>0</v>
      </c>
      <c r="N415" t="n">
        <v>0</v>
      </c>
      <c r="O415" t="n">
        <v>0</v>
      </c>
      <c r="P415" t="n">
        <v>0</v>
      </c>
      <c r="Q415" t="n">
        <v>0</v>
      </c>
      <c r="R415" s="2" t="inlineStr"/>
    </row>
    <row r="416" ht="15" customHeight="1">
      <c r="A416" t="inlineStr">
        <is>
          <t>A 23374-2023</t>
        </is>
      </c>
      <c r="B416" s="1" t="n">
        <v>45076.4399537037</v>
      </c>
      <c r="C416" s="1" t="n">
        <v>46010</v>
      </c>
      <c r="D416" t="inlineStr">
        <is>
          <t>VÄSTMANLANDS LÄN</t>
        </is>
      </c>
      <c r="E416" t="inlineStr">
        <is>
          <t>SALA</t>
        </is>
      </c>
      <c r="G416" t="n">
        <v>0.7</v>
      </c>
      <c r="H416" t="n">
        <v>0</v>
      </c>
      <c r="I416" t="n">
        <v>0</v>
      </c>
      <c r="J416" t="n">
        <v>0</v>
      </c>
      <c r="K416" t="n">
        <v>0</v>
      </c>
      <c r="L416" t="n">
        <v>0</v>
      </c>
      <c r="M416" t="n">
        <v>0</v>
      </c>
      <c r="N416" t="n">
        <v>0</v>
      </c>
      <c r="O416" t="n">
        <v>0</v>
      </c>
      <c r="P416" t="n">
        <v>0</v>
      </c>
      <c r="Q416" t="n">
        <v>0</v>
      </c>
      <c r="R416" s="2" t="inlineStr"/>
    </row>
    <row r="417" ht="15" customHeight="1">
      <c r="A417" t="inlineStr">
        <is>
          <t>A 55997-2025</t>
        </is>
      </c>
      <c r="B417" s="1" t="n">
        <v>45973.56833333334</v>
      </c>
      <c r="C417" s="1" t="n">
        <v>46010</v>
      </c>
      <c r="D417" t="inlineStr">
        <is>
          <t>VÄSTMANLANDS LÄN</t>
        </is>
      </c>
      <c r="E417" t="inlineStr">
        <is>
          <t>SALA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6134-2024</t>
        </is>
      </c>
      <c r="B418" s="1" t="n">
        <v>45337</v>
      </c>
      <c r="C418" s="1" t="n">
        <v>46010</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48117-2024</t>
        </is>
      </c>
      <c r="B419" s="1" t="n">
        <v>45589</v>
      </c>
      <c r="C419" s="1" t="n">
        <v>46010</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46661-2025</t>
        </is>
      </c>
      <c r="B420" s="1" t="n">
        <v>45926</v>
      </c>
      <c r="C420" s="1" t="n">
        <v>46010</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31082-2021</t>
        </is>
      </c>
      <c r="B421" s="1" t="n">
        <v>44368</v>
      </c>
      <c r="C421" s="1" t="n">
        <v>46010</v>
      </c>
      <c r="D421" t="inlineStr">
        <is>
          <t>VÄSTMANLANDS LÄN</t>
        </is>
      </c>
      <c r="E421" t="inlineStr">
        <is>
          <t>SALA</t>
        </is>
      </c>
      <c r="G421" t="n">
        <v>2</v>
      </c>
      <c r="H421" t="n">
        <v>0</v>
      </c>
      <c r="I421" t="n">
        <v>0</v>
      </c>
      <c r="J421" t="n">
        <v>0</v>
      </c>
      <c r="K421" t="n">
        <v>0</v>
      </c>
      <c r="L421" t="n">
        <v>0</v>
      </c>
      <c r="M421" t="n">
        <v>0</v>
      </c>
      <c r="N421" t="n">
        <v>0</v>
      </c>
      <c r="O421" t="n">
        <v>0</v>
      </c>
      <c r="P421" t="n">
        <v>0</v>
      </c>
      <c r="Q421" t="n">
        <v>0</v>
      </c>
      <c r="R421" s="2" t="inlineStr"/>
    </row>
    <row r="422" ht="15" customHeight="1">
      <c r="A422" t="inlineStr">
        <is>
          <t>A 31470-2021</t>
        </is>
      </c>
      <c r="B422" s="1" t="n">
        <v>44369</v>
      </c>
      <c r="C422" s="1" t="n">
        <v>46010</v>
      </c>
      <c r="D422" t="inlineStr">
        <is>
          <t>VÄSTMANLANDS LÄN</t>
        </is>
      </c>
      <c r="E422" t="inlineStr">
        <is>
          <t>SALA</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24175-2024</t>
        </is>
      </c>
      <c r="B423" s="1" t="n">
        <v>45456</v>
      </c>
      <c r="C423" s="1" t="n">
        <v>46010</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55714-2025</t>
        </is>
      </c>
      <c r="B424" s="1" t="n">
        <v>45972.49131944445</v>
      </c>
      <c r="C424" s="1" t="n">
        <v>46010</v>
      </c>
      <c r="D424" t="inlineStr">
        <is>
          <t>VÄSTMANLANDS LÄN</t>
        </is>
      </c>
      <c r="E424" t="inlineStr">
        <is>
          <t>SALA</t>
        </is>
      </c>
      <c r="G424" t="n">
        <v>6.6</v>
      </c>
      <c r="H424" t="n">
        <v>0</v>
      </c>
      <c r="I424" t="n">
        <v>0</v>
      </c>
      <c r="J424" t="n">
        <v>0</v>
      </c>
      <c r="K424" t="n">
        <v>0</v>
      </c>
      <c r="L424" t="n">
        <v>0</v>
      </c>
      <c r="M424" t="n">
        <v>0</v>
      </c>
      <c r="N424" t="n">
        <v>0</v>
      </c>
      <c r="O424" t="n">
        <v>0</v>
      </c>
      <c r="P424" t="n">
        <v>0</v>
      </c>
      <c r="Q424" t="n">
        <v>0</v>
      </c>
      <c r="R424" s="2" t="inlineStr"/>
    </row>
    <row r="425" ht="15" customHeight="1">
      <c r="A425" t="inlineStr">
        <is>
          <t>A 28328-2023</t>
        </is>
      </c>
      <c r="B425" s="1" t="n">
        <v>45099.71063657408</v>
      </c>
      <c r="C425" s="1" t="n">
        <v>46010</v>
      </c>
      <c r="D425" t="inlineStr">
        <is>
          <t>VÄSTMANLANDS LÄN</t>
        </is>
      </c>
      <c r="E425" t="inlineStr">
        <is>
          <t>SALA</t>
        </is>
      </c>
      <c r="G425" t="n">
        <v>1.8</v>
      </c>
      <c r="H425" t="n">
        <v>0</v>
      </c>
      <c r="I425" t="n">
        <v>0</v>
      </c>
      <c r="J425" t="n">
        <v>0</v>
      </c>
      <c r="K425" t="n">
        <v>0</v>
      </c>
      <c r="L425" t="n">
        <v>0</v>
      </c>
      <c r="M425" t="n">
        <v>0</v>
      </c>
      <c r="N425" t="n">
        <v>0</v>
      </c>
      <c r="O425" t="n">
        <v>0</v>
      </c>
      <c r="P425" t="n">
        <v>0</v>
      </c>
      <c r="Q425" t="n">
        <v>0</v>
      </c>
      <c r="R425" s="2" t="inlineStr"/>
    </row>
    <row r="426" ht="15" customHeight="1">
      <c r="A426" t="inlineStr">
        <is>
          <t>A 61715-2024</t>
        </is>
      </c>
      <c r="B426" s="1" t="n">
        <v>45648.89519675926</v>
      </c>
      <c r="C426" s="1" t="n">
        <v>46010</v>
      </c>
      <c r="D426" t="inlineStr">
        <is>
          <t>VÄSTMANLANDS LÄN</t>
        </is>
      </c>
      <c r="E426" t="inlineStr">
        <is>
          <t>SALA</t>
        </is>
      </c>
      <c r="G426" t="n">
        <v>2.5</v>
      </c>
      <c r="H426" t="n">
        <v>0</v>
      </c>
      <c r="I426" t="n">
        <v>0</v>
      </c>
      <c r="J426" t="n">
        <v>0</v>
      </c>
      <c r="K426" t="n">
        <v>0</v>
      </c>
      <c r="L426" t="n">
        <v>0</v>
      </c>
      <c r="M426" t="n">
        <v>0</v>
      </c>
      <c r="N426" t="n">
        <v>0</v>
      </c>
      <c r="O426" t="n">
        <v>0</v>
      </c>
      <c r="P426" t="n">
        <v>0</v>
      </c>
      <c r="Q426" t="n">
        <v>0</v>
      </c>
      <c r="R426" s="2" t="inlineStr"/>
    </row>
    <row r="427" ht="15" customHeight="1">
      <c r="A427" t="inlineStr">
        <is>
          <t>A 73673-2021</t>
        </is>
      </c>
      <c r="B427" s="1" t="n">
        <v>44552.46501157407</v>
      </c>
      <c r="C427" s="1" t="n">
        <v>46010</v>
      </c>
      <c r="D427" t="inlineStr">
        <is>
          <t>VÄSTMANLANDS LÄN</t>
        </is>
      </c>
      <c r="E427" t="inlineStr">
        <is>
          <t>SALA</t>
        </is>
      </c>
      <c r="G427" t="n">
        <v>11.4</v>
      </c>
      <c r="H427" t="n">
        <v>0</v>
      </c>
      <c r="I427" t="n">
        <v>0</v>
      </c>
      <c r="J427" t="n">
        <v>0</v>
      </c>
      <c r="K427" t="n">
        <v>0</v>
      </c>
      <c r="L427" t="n">
        <v>0</v>
      </c>
      <c r="M427" t="n">
        <v>0</v>
      </c>
      <c r="N427" t="n">
        <v>0</v>
      </c>
      <c r="O427" t="n">
        <v>0</v>
      </c>
      <c r="P427" t="n">
        <v>0</v>
      </c>
      <c r="Q427" t="n">
        <v>0</v>
      </c>
      <c r="R427" s="2" t="inlineStr"/>
    </row>
    <row r="428" ht="15" customHeight="1">
      <c r="A428" t="inlineStr">
        <is>
          <t>A 38195-2021</t>
        </is>
      </c>
      <c r="B428" s="1" t="n">
        <v>44405</v>
      </c>
      <c r="C428" s="1" t="n">
        <v>46010</v>
      </c>
      <c r="D428" t="inlineStr">
        <is>
          <t>VÄSTMANLANDS LÄN</t>
        </is>
      </c>
      <c r="E428" t="inlineStr">
        <is>
          <t>SALA</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6132-2025</t>
        </is>
      </c>
      <c r="B429" s="1" t="n">
        <v>45698</v>
      </c>
      <c r="C429" s="1" t="n">
        <v>46010</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21777-2022</t>
        </is>
      </c>
      <c r="B430" s="1" t="n">
        <v>44708.48194444444</v>
      </c>
      <c r="C430" s="1" t="n">
        <v>46010</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11389-2024</t>
        </is>
      </c>
      <c r="B431" s="1" t="n">
        <v>45372.45016203704</v>
      </c>
      <c r="C431" s="1" t="n">
        <v>46010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56645-2025</t>
        </is>
      </c>
      <c r="B432" s="1" t="n">
        <v>45975.63063657407</v>
      </c>
      <c r="C432" s="1" t="n">
        <v>46010</v>
      </c>
      <c r="D432" t="inlineStr">
        <is>
          <t>VÄSTMANLANDS LÄN</t>
        </is>
      </c>
      <c r="E432" t="inlineStr">
        <is>
          <t>SALA</t>
        </is>
      </c>
      <c r="F432" t="inlineStr">
        <is>
          <t>Bergvik skog öst AB</t>
        </is>
      </c>
      <c r="G432" t="n">
        <v>5.3</v>
      </c>
      <c r="H432" t="n">
        <v>0</v>
      </c>
      <c r="I432" t="n">
        <v>0</v>
      </c>
      <c r="J432" t="n">
        <v>0</v>
      </c>
      <c r="K432" t="n">
        <v>0</v>
      </c>
      <c r="L432" t="n">
        <v>0</v>
      </c>
      <c r="M432" t="n">
        <v>0</v>
      </c>
      <c r="N432" t="n">
        <v>0</v>
      </c>
      <c r="O432" t="n">
        <v>0</v>
      </c>
      <c r="P432" t="n">
        <v>0</v>
      </c>
      <c r="Q432" t="n">
        <v>0</v>
      </c>
      <c r="R432" s="2" t="inlineStr"/>
    </row>
    <row r="433" ht="15" customHeight="1">
      <c r="A433" t="inlineStr">
        <is>
          <t>A 48057-2025</t>
        </is>
      </c>
      <c r="B433" s="1" t="n">
        <v>45932.67947916667</v>
      </c>
      <c r="C433" s="1" t="n">
        <v>46010</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2925-2024</t>
        </is>
      </c>
      <c r="B434" s="1" t="n">
        <v>45315.58909722222</v>
      </c>
      <c r="C434" s="1" t="n">
        <v>46010</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39439-2021</t>
        </is>
      </c>
      <c r="B435" s="1" t="n">
        <v>44414</v>
      </c>
      <c r="C435" s="1" t="n">
        <v>46010</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56614-2025</t>
        </is>
      </c>
      <c r="B436" s="1" t="n">
        <v>45975.59288194445</v>
      </c>
      <c r="C436" s="1" t="n">
        <v>46010</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3332-2024</t>
        </is>
      </c>
      <c r="B437" s="1" t="n">
        <v>45317</v>
      </c>
      <c r="C437" s="1" t="n">
        <v>46010</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56593-2025</t>
        </is>
      </c>
      <c r="B438" s="1" t="n">
        <v>45975</v>
      </c>
      <c r="C438" s="1" t="n">
        <v>46010</v>
      </c>
      <c r="D438" t="inlineStr">
        <is>
          <t>VÄSTMANLANDS LÄN</t>
        </is>
      </c>
      <c r="E438" t="inlineStr">
        <is>
          <t>SALA</t>
        </is>
      </c>
      <c r="F438" t="inlineStr">
        <is>
          <t>Kyrkan</t>
        </is>
      </c>
      <c r="G438" t="n">
        <v>0.1</v>
      </c>
      <c r="H438" t="n">
        <v>0</v>
      </c>
      <c r="I438" t="n">
        <v>0</v>
      </c>
      <c r="J438" t="n">
        <v>0</v>
      </c>
      <c r="K438" t="n">
        <v>0</v>
      </c>
      <c r="L438" t="n">
        <v>0</v>
      </c>
      <c r="M438" t="n">
        <v>0</v>
      </c>
      <c r="N438" t="n">
        <v>0</v>
      </c>
      <c r="O438" t="n">
        <v>0</v>
      </c>
      <c r="P438" t="n">
        <v>0</v>
      </c>
      <c r="Q438" t="n">
        <v>0</v>
      </c>
      <c r="R438" s="2" t="inlineStr"/>
    </row>
    <row r="439" ht="15" customHeight="1">
      <c r="A439" t="inlineStr">
        <is>
          <t>A 2529-2022</t>
        </is>
      </c>
      <c r="B439" s="1" t="n">
        <v>44579.86452546297</v>
      </c>
      <c r="C439" s="1" t="n">
        <v>46010</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56611-2025</t>
        </is>
      </c>
      <c r="B440" s="1" t="n">
        <v>45975</v>
      </c>
      <c r="C440" s="1" t="n">
        <v>46010</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13471-2025</t>
        </is>
      </c>
      <c r="B441" s="1" t="n">
        <v>45736.40579861111</v>
      </c>
      <c r="C441" s="1" t="n">
        <v>46010</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48710-2025</t>
        </is>
      </c>
      <c r="B442" s="1" t="n">
        <v>45936.63184027778</v>
      </c>
      <c r="C442" s="1" t="n">
        <v>46010</v>
      </c>
      <c r="D442" t="inlineStr">
        <is>
          <t>VÄSTMANLANDS LÄN</t>
        </is>
      </c>
      <c r="E442" t="inlineStr">
        <is>
          <t>SALA</t>
        </is>
      </c>
      <c r="G442" t="n">
        <v>2.7</v>
      </c>
      <c r="H442" t="n">
        <v>0</v>
      </c>
      <c r="I442" t="n">
        <v>0</v>
      </c>
      <c r="J442" t="n">
        <v>0</v>
      </c>
      <c r="K442" t="n">
        <v>0</v>
      </c>
      <c r="L442" t="n">
        <v>0</v>
      </c>
      <c r="M442" t="n">
        <v>0</v>
      </c>
      <c r="N442" t="n">
        <v>0</v>
      </c>
      <c r="O442" t="n">
        <v>0</v>
      </c>
      <c r="P442" t="n">
        <v>0</v>
      </c>
      <c r="Q442" t="n">
        <v>0</v>
      </c>
      <c r="R442" s="2" t="inlineStr"/>
    </row>
    <row r="443" ht="15" customHeight="1">
      <c r="A443" t="inlineStr">
        <is>
          <t>A 15681-2025</t>
        </is>
      </c>
      <c r="B443" s="1" t="n">
        <v>45748.45454861111</v>
      </c>
      <c r="C443" s="1" t="n">
        <v>46010</v>
      </c>
      <c r="D443" t="inlineStr">
        <is>
          <t>VÄSTMANLANDS LÄN</t>
        </is>
      </c>
      <c r="E443" t="inlineStr">
        <is>
          <t>SALA</t>
        </is>
      </c>
      <c r="F443" t="inlineStr">
        <is>
          <t>Bergvik skog öst AB</t>
        </is>
      </c>
      <c r="G443" t="n">
        <v>4.3</v>
      </c>
      <c r="H443" t="n">
        <v>0</v>
      </c>
      <c r="I443" t="n">
        <v>0</v>
      </c>
      <c r="J443" t="n">
        <v>0</v>
      </c>
      <c r="K443" t="n">
        <v>0</v>
      </c>
      <c r="L443" t="n">
        <v>0</v>
      </c>
      <c r="M443" t="n">
        <v>0</v>
      </c>
      <c r="N443" t="n">
        <v>0</v>
      </c>
      <c r="O443" t="n">
        <v>0</v>
      </c>
      <c r="P443" t="n">
        <v>0</v>
      </c>
      <c r="Q443" t="n">
        <v>0</v>
      </c>
      <c r="R443" s="2" t="inlineStr"/>
    </row>
    <row r="444" ht="15" customHeight="1">
      <c r="A444" t="inlineStr">
        <is>
          <t>A 18431-2023</t>
        </is>
      </c>
      <c r="B444" s="1" t="n">
        <v>45042</v>
      </c>
      <c r="C444" s="1" t="n">
        <v>46010</v>
      </c>
      <c r="D444" t="inlineStr">
        <is>
          <t>VÄSTMANLANDS LÄN</t>
        </is>
      </c>
      <c r="E444" t="inlineStr">
        <is>
          <t>SALA</t>
        </is>
      </c>
      <c r="G444" t="n">
        <v>1.9</v>
      </c>
      <c r="H444" t="n">
        <v>0</v>
      </c>
      <c r="I444" t="n">
        <v>0</v>
      </c>
      <c r="J444" t="n">
        <v>0</v>
      </c>
      <c r="K444" t="n">
        <v>0</v>
      </c>
      <c r="L444" t="n">
        <v>0</v>
      </c>
      <c r="M444" t="n">
        <v>0</v>
      </c>
      <c r="N444" t="n">
        <v>0</v>
      </c>
      <c r="O444" t="n">
        <v>0</v>
      </c>
      <c r="P444" t="n">
        <v>0</v>
      </c>
      <c r="Q444" t="n">
        <v>0</v>
      </c>
      <c r="R444" s="2" t="inlineStr"/>
    </row>
    <row r="445" ht="15" customHeight="1">
      <c r="A445" t="inlineStr">
        <is>
          <t>A 27424-2023</t>
        </is>
      </c>
      <c r="B445" s="1" t="n">
        <v>45097.37690972222</v>
      </c>
      <c r="C445" s="1" t="n">
        <v>46010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58701-2021</t>
        </is>
      </c>
      <c r="B446" s="1" t="n">
        <v>44489.46454861111</v>
      </c>
      <c r="C446" s="1" t="n">
        <v>46010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11244-2024</t>
        </is>
      </c>
      <c r="B447" s="1" t="n">
        <v>45371</v>
      </c>
      <c r="C447" s="1" t="n">
        <v>46010</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56502-2025</t>
        </is>
      </c>
      <c r="B448" s="1" t="n">
        <v>45975</v>
      </c>
      <c r="C448" s="1" t="n">
        <v>46010</v>
      </c>
      <c r="D448" t="inlineStr">
        <is>
          <t>VÄSTMANLANDS LÄN</t>
        </is>
      </c>
      <c r="E448" t="inlineStr">
        <is>
          <t>SALA</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12225-2023</t>
        </is>
      </c>
      <c r="B449" s="1" t="n">
        <v>44995</v>
      </c>
      <c r="C449" s="1" t="n">
        <v>46010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61874-2021</t>
        </is>
      </c>
      <c r="B450" s="1" t="n">
        <v>44502</v>
      </c>
      <c r="C450" s="1" t="n">
        <v>46010</v>
      </c>
      <c r="D450" t="inlineStr">
        <is>
          <t>VÄSTMANLANDS LÄN</t>
        </is>
      </c>
      <c r="E450" t="inlineStr">
        <is>
          <t>SALA</t>
        </is>
      </c>
      <c r="F450" t="inlineStr">
        <is>
          <t>Kyrkan</t>
        </is>
      </c>
      <c r="G450" t="n">
        <v>1.3</v>
      </c>
      <c r="H450" t="n">
        <v>0</v>
      </c>
      <c r="I450" t="n">
        <v>0</v>
      </c>
      <c r="J450" t="n">
        <v>0</v>
      </c>
      <c r="K450" t="n">
        <v>0</v>
      </c>
      <c r="L450" t="n">
        <v>0</v>
      </c>
      <c r="M450" t="n">
        <v>0</v>
      </c>
      <c r="N450" t="n">
        <v>0</v>
      </c>
      <c r="O450" t="n">
        <v>0</v>
      </c>
      <c r="P450" t="n">
        <v>0</v>
      </c>
      <c r="Q450" t="n">
        <v>0</v>
      </c>
      <c r="R450" s="2" t="inlineStr"/>
    </row>
    <row r="451" ht="15" customHeight="1">
      <c r="A451" t="inlineStr">
        <is>
          <t>A 48910-2025</t>
        </is>
      </c>
      <c r="B451" s="1" t="n">
        <v>45937.48649305556</v>
      </c>
      <c r="C451" s="1" t="n">
        <v>46010</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57414-2025</t>
        </is>
      </c>
      <c r="B452" s="1" t="n">
        <v>45980.45003472222</v>
      </c>
      <c r="C452" s="1" t="n">
        <v>46010</v>
      </c>
      <c r="D452" t="inlineStr">
        <is>
          <t>VÄSTMANLANDS LÄN</t>
        </is>
      </c>
      <c r="E452" t="inlineStr">
        <is>
          <t>SALA</t>
        </is>
      </c>
      <c r="F452" t="inlineStr">
        <is>
          <t>Bergvik skog öst AB</t>
        </is>
      </c>
      <c r="G452" t="n">
        <v>2</v>
      </c>
      <c r="H452" t="n">
        <v>0</v>
      </c>
      <c r="I452" t="n">
        <v>0</v>
      </c>
      <c r="J452" t="n">
        <v>0</v>
      </c>
      <c r="K452" t="n">
        <v>0</v>
      </c>
      <c r="L452" t="n">
        <v>0</v>
      </c>
      <c r="M452" t="n">
        <v>0</v>
      </c>
      <c r="N452" t="n">
        <v>0</v>
      </c>
      <c r="O452" t="n">
        <v>0</v>
      </c>
      <c r="P452" t="n">
        <v>0</v>
      </c>
      <c r="Q452" t="n">
        <v>0</v>
      </c>
      <c r="R452" s="2" t="inlineStr"/>
    </row>
    <row r="453" ht="15" customHeight="1">
      <c r="A453" t="inlineStr">
        <is>
          <t>A 57415-2025</t>
        </is>
      </c>
      <c r="B453" s="1" t="n">
        <v>45980.45099537037</v>
      </c>
      <c r="C453" s="1" t="n">
        <v>46010</v>
      </c>
      <c r="D453" t="inlineStr">
        <is>
          <t>VÄSTMANLANDS LÄN</t>
        </is>
      </c>
      <c r="E453" t="inlineStr">
        <is>
          <t>SALA</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62651-2022</t>
        </is>
      </c>
      <c r="B454" s="1" t="n">
        <v>44917</v>
      </c>
      <c r="C454" s="1" t="n">
        <v>46010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49585-2025</t>
        </is>
      </c>
      <c r="B455" s="1" t="n">
        <v>45939.5043287037</v>
      </c>
      <c r="C455" s="1" t="n">
        <v>46010</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15968-2024</t>
        </is>
      </c>
      <c r="B456" s="1" t="n">
        <v>45405.56021990741</v>
      </c>
      <c r="C456" s="1" t="n">
        <v>46010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60730-2023</t>
        </is>
      </c>
      <c r="B457" s="1" t="n">
        <v>45260</v>
      </c>
      <c r="C457" s="1" t="n">
        <v>46010</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60731-2023</t>
        </is>
      </c>
      <c r="B458" s="1" t="n">
        <v>45260</v>
      </c>
      <c r="C458" s="1" t="n">
        <v>46010</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18461-2024</t>
        </is>
      </c>
      <c r="B459" s="1" t="n">
        <v>45425.47435185185</v>
      </c>
      <c r="C459" s="1" t="n">
        <v>46010</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44592.45429398148</v>
      </c>
      <c r="C460" s="1" t="n">
        <v>46010</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6032-2025</t>
        </is>
      </c>
      <c r="B461" s="1" t="n">
        <v>45695.6371875</v>
      </c>
      <c r="C461" s="1" t="n">
        <v>46010</v>
      </c>
      <c r="D461" t="inlineStr">
        <is>
          <t>VÄSTMANLANDS LÄN</t>
        </is>
      </c>
      <c r="E461" t="inlineStr">
        <is>
          <t>SALA</t>
        </is>
      </c>
      <c r="F461" t="inlineStr">
        <is>
          <t>Bergvik skog öst AB</t>
        </is>
      </c>
      <c r="G461" t="n">
        <v>8.1</v>
      </c>
      <c r="H461" t="n">
        <v>0</v>
      </c>
      <c r="I461" t="n">
        <v>0</v>
      </c>
      <c r="J461" t="n">
        <v>0</v>
      </c>
      <c r="K461" t="n">
        <v>0</v>
      </c>
      <c r="L461" t="n">
        <v>0</v>
      </c>
      <c r="M461" t="n">
        <v>0</v>
      </c>
      <c r="N461" t="n">
        <v>0</v>
      </c>
      <c r="O461" t="n">
        <v>0</v>
      </c>
      <c r="P461" t="n">
        <v>0</v>
      </c>
      <c r="Q461" t="n">
        <v>0</v>
      </c>
      <c r="R461" s="2" t="inlineStr"/>
    </row>
    <row r="462" ht="15" customHeight="1">
      <c r="A462" t="inlineStr">
        <is>
          <t>A 49640-2025</t>
        </is>
      </c>
      <c r="B462" s="1" t="n">
        <v>45939.61459490741</v>
      </c>
      <c r="C462" s="1" t="n">
        <v>46010</v>
      </c>
      <c r="D462" t="inlineStr">
        <is>
          <t>VÄSTMANLANDS LÄN</t>
        </is>
      </c>
      <c r="E462" t="inlineStr">
        <is>
          <t>SALA</t>
        </is>
      </c>
      <c r="F462" t="inlineStr">
        <is>
          <t>Kommuner</t>
        </is>
      </c>
      <c r="G462" t="n">
        <v>18.8</v>
      </c>
      <c r="H462" t="n">
        <v>0</v>
      </c>
      <c r="I462" t="n">
        <v>0</v>
      </c>
      <c r="J462" t="n">
        <v>0</v>
      </c>
      <c r="K462" t="n">
        <v>0</v>
      </c>
      <c r="L462" t="n">
        <v>0</v>
      </c>
      <c r="M462" t="n">
        <v>0</v>
      </c>
      <c r="N462" t="n">
        <v>0</v>
      </c>
      <c r="O462" t="n">
        <v>0</v>
      </c>
      <c r="P462" t="n">
        <v>0</v>
      </c>
      <c r="Q462" t="n">
        <v>0</v>
      </c>
      <c r="R462" s="2" t="inlineStr"/>
    </row>
    <row r="463" ht="15" customHeight="1">
      <c r="A463" t="inlineStr">
        <is>
          <t>A 57412-2025</t>
        </is>
      </c>
      <c r="B463" s="1" t="n">
        <v>45980.44883101852</v>
      </c>
      <c r="C463" s="1" t="n">
        <v>46010</v>
      </c>
      <c r="D463" t="inlineStr">
        <is>
          <t>VÄSTMANLANDS LÄN</t>
        </is>
      </c>
      <c r="E463" t="inlineStr">
        <is>
          <t>SALA</t>
        </is>
      </c>
      <c r="F463" t="inlineStr">
        <is>
          <t>Bergvik skog öst AB</t>
        </is>
      </c>
      <c r="G463" t="n">
        <v>4.5</v>
      </c>
      <c r="H463" t="n">
        <v>0</v>
      </c>
      <c r="I463" t="n">
        <v>0</v>
      </c>
      <c r="J463" t="n">
        <v>0</v>
      </c>
      <c r="K463" t="n">
        <v>0</v>
      </c>
      <c r="L463" t="n">
        <v>0</v>
      </c>
      <c r="M463" t="n">
        <v>0</v>
      </c>
      <c r="N463" t="n">
        <v>0</v>
      </c>
      <c r="O463" t="n">
        <v>0</v>
      </c>
      <c r="P463" t="n">
        <v>0</v>
      </c>
      <c r="Q463" t="n">
        <v>0</v>
      </c>
      <c r="R463" s="2" t="inlineStr"/>
    </row>
    <row r="464" ht="15" customHeight="1">
      <c r="A464" t="inlineStr">
        <is>
          <t>A 2766-2024</t>
        </is>
      </c>
      <c r="B464" s="1" t="n">
        <v>45314.60950231482</v>
      </c>
      <c r="C464" s="1" t="n">
        <v>46010</v>
      </c>
      <c r="D464" t="inlineStr">
        <is>
          <t>VÄSTMANLANDS LÄN</t>
        </is>
      </c>
      <c r="E464" t="inlineStr">
        <is>
          <t>SALA</t>
        </is>
      </c>
      <c r="G464" t="n">
        <v>2.8</v>
      </c>
      <c r="H464" t="n">
        <v>0</v>
      </c>
      <c r="I464" t="n">
        <v>0</v>
      </c>
      <c r="J464" t="n">
        <v>0</v>
      </c>
      <c r="K464" t="n">
        <v>0</v>
      </c>
      <c r="L464" t="n">
        <v>0</v>
      </c>
      <c r="M464" t="n">
        <v>0</v>
      </c>
      <c r="N464" t="n">
        <v>0</v>
      </c>
      <c r="O464" t="n">
        <v>0</v>
      </c>
      <c r="P464" t="n">
        <v>0</v>
      </c>
      <c r="Q464" t="n">
        <v>0</v>
      </c>
      <c r="R464" s="2" t="inlineStr"/>
    </row>
    <row r="465" ht="15" customHeight="1">
      <c r="A465" t="inlineStr">
        <is>
          <t>A 6351-2023</t>
        </is>
      </c>
      <c r="B465" s="1" t="n">
        <v>44965</v>
      </c>
      <c r="C465" s="1" t="n">
        <v>46010</v>
      </c>
      <c r="D465" t="inlineStr">
        <is>
          <t>VÄSTMANLANDS LÄN</t>
        </is>
      </c>
      <c r="E465" t="inlineStr">
        <is>
          <t>SALA</t>
        </is>
      </c>
      <c r="F465" t="inlineStr">
        <is>
          <t>Kommuner</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45187-2024</t>
        </is>
      </c>
      <c r="B466" s="1" t="n">
        <v>45575</v>
      </c>
      <c r="C466" s="1" t="n">
        <v>46010</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58357-2025</t>
        </is>
      </c>
      <c r="B467" s="1" t="n">
        <v>45985.51518518518</v>
      </c>
      <c r="C467" s="1" t="n">
        <v>46010</v>
      </c>
      <c r="D467" t="inlineStr">
        <is>
          <t>VÄSTMANLANDS LÄN</t>
        </is>
      </c>
      <c r="E467" t="inlineStr">
        <is>
          <t>SALA</t>
        </is>
      </c>
      <c r="G467" t="n">
        <v>3</v>
      </c>
      <c r="H467" t="n">
        <v>0</v>
      </c>
      <c r="I467" t="n">
        <v>0</v>
      </c>
      <c r="J467" t="n">
        <v>0</v>
      </c>
      <c r="K467" t="n">
        <v>0</v>
      </c>
      <c r="L467" t="n">
        <v>0</v>
      </c>
      <c r="M467" t="n">
        <v>0</v>
      </c>
      <c r="N467" t="n">
        <v>0</v>
      </c>
      <c r="O467" t="n">
        <v>0</v>
      </c>
      <c r="P467" t="n">
        <v>0</v>
      </c>
      <c r="Q467" t="n">
        <v>0</v>
      </c>
      <c r="R467" s="2" t="inlineStr"/>
    </row>
    <row r="468" ht="15" customHeight="1">
      <c r="A468" t="inlineStr">
        <is>
          <t>A 58359-2025</t>
        </is>
      </c>
      <c r="B468" s="1" t="n">
        <v>45985.51594907408</v>
      </c>
      <c r="C468" s="1" t="n">
        <v>46010</v>
      </c>
      <c r="D468" t="inlineStr">
        <is>
          <t>VÄSTMANLANDS LÄN</t>
        </is>
      </c>
      <c r="E468" t="inlineStr">
        <is>
          <t>SALA</t>
        </is>
      </c>
      <c r="G468" t="n">
        <v>3.7</v>
      </c>
      <c r="H468" t="n">
        <v>0</v>
      </c>
      <c r="I468" t="n">
        <v>0</v>
      </c>
      <c r="J468" t="n">
        <v>0</v>
      </c>
      <c r="K468" t="n">
        <v>0</v>
      </c>
      <c r="L468" t="n">
        <v>0</v>
      </c>
      <c r="M468" t="n">
        <v>0</v>
      </c>
      <c r="N468" t="n">
        <v>0</v>
      </c>
      <c r="O468" t="n">
        <v>0</v>
      </c>
      <c r="P468" t="n">
        <v>0</v>
      </c>
      <c r="Q468" t="n">
        <v>0</v>
      </c>
      <c r="R468" s="2" t="inlineStr"/>
    </row>
    <row r="469" ht="15" customHeight="1">
      <c r="A469" t="inlineStr">
        <is>
          <t>A 33527-2023</t>
        </is>
      </c>
      <c r="B469" s="1" t="n">
        <v>45131</v>
      </c>
      <c r="C469" s="1" t="n">
        <v>46010</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7377-2023</t>
        </is>
      </c>
      <c r="B470" s="1" t="n">
        <v>44971</v>
      </c>
      <c r="C470" s="1" t="n">
        <v>46010</v>
      </c>
      <c r="D470" t="inlineStr">
        <is>
          <t>VÄSTMANLANDS LÄN</t>
        </is>
      </c>
      <c r="E470" t="inlineStr">
        <is>
          <t>SALA</t>
        </is>
      </c>
      <c r="G470" t="n">
        <v>0.9</v>
      </c>
      <c r="H470" t="n">
        <v>0</v>
      </c>
      <c r="I470" t="n">
        <v>0</v>
      </c>
      <c r="J470" t="n">
        <v>0</v>
      </c>
      <c r="K470" t="n">
        <v>0</v>
      </c>
      <c r="L470" t="n">
        <v>0</v>
      </c>
      <c r="M470" t="n">
        <v>0</v>
      </c>
      <c r="N470" t="n">
        <v>0</v>
      </c>
      <c r="O470" t="n">
        <v>0</v>
      </c>
      <c r="P470" t="n">
        <v>0</v>
      </c>
      <c r="Q470" t="n">
        <v>0</v>
      </c>
      <c r="R470" s="2" t="inlineStr"/>
    </row>
    <row r="471" ht="15" customHeight="1">
      <c r="A471" t="inlineStr">
        <is>
          <t>A 6308-2021</t>
        </is>
      </c>
      <c r="B471" s="1" t="n">
        <v>44235</v>
      </c>
      <c r="C471" s="1" t="n">
        <v>46010</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46010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56688-2024</t>
        </is>
      </c>
      <c r="B473" s="1" t="n">
        <v>45627.66478009259</v>
      </c>
      <c r="C473" s="1" t="n">
        <v>46010</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50128-2025</t>
        </is>
      </c>
      <c r="B474" s="1" t="n">
        <v>45943.55318287037</v>
      </c>
      <c r="C474" s="1" t="n">
        <v>46010</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16159-2024</t>
        </is>
      </c>
      <c r="B475" s="1" t="n">
        <v>45406</v>
      </c>
      <c r="C475" s="1" t="n">
        <v>46010</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58282-2025</t>
        </is>
      </c>
      <c r="B476" s="1" t="n">
        <v>45985.44309027777</v>
      </c>
      <c r="C476" s="1" t="n">
        <v>46010</v>
      </c>
      <c r="D476" t="inlineStr">
        <is>
          <t>VÄSTMANLANDS LÄN</t>
        </is>
      </c>
      <c r="E476" t="inlineStr">
        <is>
          <t>SALA</t>
        </is>
      </c>
      <c r="G476" t="n">
        <v>8.9</v>
      </c>
      <c r="H476" t="n">
        <v>0</v>
      </c>
      <c r="I476" t="n">
        <v>0</v>
      </c>
      <c r="J476" t="n">
        <v>0</v>
      </c>
      <c r="K476" t="n">
        <v>0</v>
      </c>
      <c r="L476" t="n">
        <v>0</v>
      </c>
      <c r="M476" t="n">
        <v>0</v>
      </c>
      <c r="N476" t="n">
        <v>0</v>
      </c>
      <c r="O476" t="n">
        <v>0</v>
      </c>
      <c r="P476" t="n">
        <v>0</v>
      </c>
      <c r="Q476" t="n">
        <v>0</v>
      </c>
      <c r="R476" s="2" t="inlineStr"/>
    </row>
    <row r="477" ht="15" customHeight="1">
      <c r="A477" t="inlineStr">
        <is>
          <t>A 50119-2025</t>
        </is>
      </c>
      <c r="B477" s="1" t="n">
        <v>45943.54883101852</v>
      </c>
      <c r="C477" s="1" t="n">
        <v>46010</v>
      </c>
      <c r="D477" t="inlineStr">
        <is>
          <t>VÄSTMANLANDS LÄN</t>
        </is>
      </c>
      <c r="E477" t="inlineStr">
        <is>
          <t>SALA</t>
        </is>
      </c>
      <c r="G477" t="n">
        <v>3.3</v>
      </c>
      <c r="H477" t="n">
        <v>0</v>
      </c>
      <c r="I477" t="n">
        <v>0</v>
      </c>
      <c r="J477" t="n">
        <v>0</v>
      </c>
      <c r="K477" t="n">
        <v>0</v>
      </c>
      <c r="L477" t="n">
        <v>0</v>
      </c>
      <c r="M477" t="n">
        <v>0</v>
      </c>
      <c r="N477" t="n">
        <v>0</v>
      </c>
      <c r="O477" t="n">
        <v>0</v>
      </c>
      <c r="P477" t="n">
        <v>0</v>
      </c>
      <c r="Q477" t="n">
        <v>0</v>
      </c>
      <c r="R477" s="2" t="inlineStr"/>
    </row>
    <row r="478" ht="15" customHeight="1">
      <c r="A478" t="inlineStr">
        <is>
          <t>A 58365-2025</t>
        </is>
      </c>
      <c r="B478" s="1" t="n">
        <v>45985.52288194445</v>
      </c>
      <c r="C478" s="1" t="n">
        <v>46010</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50059-2025</t>
        </is>
      </c>
      <c r="B479" s="1" t="n">
        <v>45943.44125</v>
      </c>
      <c r="C479" s="1" t="n">
        <v>46010</v>
      </c>
      <c r="D479" t="inlineStr">
        <is>
          <t>VÄSTMANLANDS LÄN</t>
        </is>
      </c>
      <c r="E479" t="inlineStr">
        <is>
          <t>SALA</t>
        </is>
      </c>
      <c r="G479" t="n">
        <v>4.4</v>
      </c>
      <c r="H479" t="n">
        <v>0</v>
      </c>
      <c r="I479" t="n">
        <v>0</v>
      </c>
      <c r="J479" t="n">
        <v>0</v>
      </c>
      <c r="K479" t="n">
        <v>0</v>
      </c>
      <c r="L479" t="n">
        <v>0</v>
      </c>
      <c r="M479" t="n">
        <v>0</v>
      </c>
      <c r="N479" t="n">
        <v>0</v>
      </c>
      <c r="O479" t="n">
        <v>0</v>
      </c>
      <c r="P479" t="n">
        <v>0</v>
      </c>
      <c r="Q479" t="n">
        <v>0</v>
      </c>
      <c r="R479" s="2" t="inlineStr"/>
    </row>
    <row r="480" ht="15" customHeight="1">
      <c r="A480" t="inlineStr">
        <is>
          <t>A 66307-2021</t>
        </is>
      </c>
      <c r="B480" s="1" t="n">
        <v>44518.48670138889</v>
      </c>
      <c r="C480" s="1" t="n">
        <v>46010</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58364-2025</t>
        </is>
      </c>
      <c r="B481" s="1" t="n">
        <v>45985.5228125</v>
      </c>
      <c r="C481" s="1" t="n">
        <v>46010</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27262-2024</t>
        </is>
      </c>
      <c r="B482" s="1" t="n">
        <v>45471</v>
      </c>
      <c r="C482" s="1" t="n">
        <v>46010</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10913-2025</t>
        </is>
      </c>
      <c r="B483" s="1" t="n">
        <v>45722.73423611111</v>
      </c>
      <c r="C483" s="1" t="n">
        <v>46010</v>
      </c>
      <c r="D483" t="inlineStr">
        <is>
          <t>VÄSTMANLANDS LÄN</t>
        </is>
      </c>
      <c r="E483" t="inlineStr">
        <is>
          <t>SALA</t>
        </is>
      </c>
      <c r="G483" t="n">
        <v>7.6</v>
      </c>
      <c r="H483" t="n">
        <v>0</v>
      </c>
      <c r="I483" t="n">
        <v>0</v>
      </c>
      <c r="J483" t="n">
        <v>0</v>
      </c>
      <c r="K483" t="n">
        <v>0</v>
      </c>
      <c r="L483" t="n">
        <v>0</v>
      </c>
      <c r="M483" t="n">
        <v>0</v>
      </c>
      <c r="N483" t="n">
        <v>0</v>
      </c>
      <c r="O483" t="n">
        <v>0</v>
      </c>
      <c r="P483" t="n">
        <v>0</v>
      </c>
      <c r="Q483" t="n">
        <v>0</v>
      </c>
      <c r="R483" s="2" t="inlineStr"/>
    </row>
    <row r="484" ht="15" customHeight="1">
      <c r="A484" t="inlineStr">
        <is>
          <t>A 50249-2025</t>
        </is>
      </c>
      <c r="B484" s="1" t="n">
        <v>45944.31508101852</v>
      </c>
      <c r="C484" s="1" t="n">
        <v>46010</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35410-2022</t>
        </is>
      </c>
      <c r="B485" s="1" t="n">
        <v>44798.62576388889</v>
      </c>
      <c r="C485" s="1" t="n">
        <v>46010</v>
      </c>
      <c r="D485" t="inlineStr">
        <is>
          <t>VÄSTMANLANDS LÄN</t>
        </is>
      </c>
      <c r="E485" t="inlineStr">
        <is>
          <t>SALA</t>
        </is>
      </c>
      <c r="G485" t="n">
        <v>1.6</v>
      </c>
      <c r="H485" t="n">
        <v>0</v>
      </c>
      <c r="I485" t="n">
        <v>0</v>
      </c>
      <c r="J485" t="n">
        <v>0</v>
      </c>
      <c r="K485" t="n">
        <v>0</v>
      </c>
      <c r="L485" t="n">
        <v>0</v>
      </c>
      <c r="M485" t="n">
        <v>0</v>
      </c>
      <c r="N485" t="n">
        <v>0</v>
      </c>
      <c r="O485" t="n">
        <v>0</v>
      </c>
      <c r="P485" t="n">
        <v>0</v>
      </c>
      <c r="Q485" t="n">
        <v>0</v>
      </c>
      <c r="R485" s="2" t="inlineStr"/>
    </row>
    <row r="486" ht="15" customHeight="1">
      <c r="A486" t="inlineStr">
        <is>
          <t>A 1118-2024</t>
        </is>
      </c>
      <c r="B486" s="1" t="n">
        <v>45302</v>
      </c>
      <c r="C486" s="1" t="n">
        <v>46010</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19033-2025</t>
        </is>
      </c>
      <c r="B487" s="1" t="n">
        <v>45764.65796296296</v>
      </c>
      <c r="C487" s="1" t="n">
        <v>46010</v>
      </c>
      <c r="D487" t="inlineStr">
        <is>
          <t>VÄSTMANLANDS LÄN</t>
        </is>
      </c>
      <c r="E487" t="inlineStr">
        <is>
          <t>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53864-2022</t>
        </is>
      </c>
      <c r="B488" s="1" t="n">
        <v>44880.64016203704</v>
      </c>
      <c r="C488" s="1" t="n">
        <v>46010</v>
      </c>
      <c r="D488" t="inlineStr">
        <is>
          <t>VÄSTMANLANDS LÄN</t>
        </is>
      </c>
      <c r="E488" t="inlineStr">
        <is>
          <t>SALA</t>
        </is>
      </c>
      <c r="G488" t="n">
        <v>5.9</v>
      </c>
      <c r="H488" t="n">
        <v>0</v>
      </c>
      <c r="I488" t="n">
        <v>0</v>
      </c>
      <c r="J488" t="n">
        <v>0</v>
      </c>
      <c r="K488" t="n">
        <v>0</v>
      </c>
      <c r="L488" t="n">
        <v>0</v>
      </c>
      <c r="M488" t="n">
        <v>0</v>
      </c>
      <c r="N488" t="n">
        <v>0</v>
      </c>
      <c r="O488" t="n">
        <v>0</v>
      </c>
      <c r="P488" t="n">
        <v>0</v>
      </c>
      <c r="Q488" t="n">
        <v>0</v>
      </c>
      <c r="R488" s="2" t="inlineStr"/>
    </row>
    <row r="489" ht="15" customHeight="1">
      <c r="A489" t="inlineStr">
        <is>
          <t>A 40085-2024</t>
        </is>
      </c>
      <c r="B489" s="1" t="n">
        <v>45554</v>
      </c>
      <c r="C489" s="1" t="n">
        <v>46010</v>
      </c>
      <c r="D489" t="inlineStr">
        <is>
          <t>VÄSTMANLANDS LÄN</t>
        </is>
      </c>
      <c r="E489" t="inlineStr">
        <is>
          <t>SALA</t>
        </is>
      </c>
      <c r="G489" t="n">
        <v>2.8</v>
      </c>
      <c r="H489" t="n">
        <v>0</v>
      </c>
      <c r="I489" t="n">
        <v>0</v>
      </c>
      <c r="J489" t="n">
        <v>0</v>
      </c>
      <c r="K489" t="n">
        <v>0</v>
      </c>
      <c r="L489" t="n">
        <v>0</v>
      </c>
      <c r="M489" t="n">
        <v>0</v>
      </c>
      <c r="N489" t="n">
        <v>0</v>
      </c>
      <c r="O489" t="n">
        <v>0</v>
      </c>
      <c r="P489" t="n">
        <v>0</v>
      </c>
      <c r="Q489" t="n">
        <v>0</v>
      </c>
      <c r="R489" s="2" t="inlineStr"/>
    </row>
    <row r="490" ht="15" customHeight="1">
      <c r="A490" t="inlineStr">
        <is>
          <t>A 3551-2024</t>
        </is>
      </c>
      <c r="B490" s="1" t="n">
        <v>45320.61099537037</v>
      </c>
      <c r="C490" s="1" t="n">
        <v>46010</v>
      </c>
      <c r="D490" t="inlineStr">
        <is>
          <t>VÄSTMANLANDS LÄN</t>
        </is>
      </c>
      <c r="E490" t="inlineStr">
        <is>
          <t>SALA</t>
        </is>
      </c>
      <c r="F490" t="inlineStr">
        <is>
          <t>Kommuner</t>
        </is>
      </c>
      <c r="G490" t="n">
        <v>6</v>
      </c>
      <c r="H490" t="n">
        <v>0</v>
      </c>
      <c r="I490" t="n">
        <v>0</v>
      </c>
      <c r="J490" t="n">
        <v>0</v>
      </c>
      <c r="K490" t="n">
        <v>0</v>
      </c>
      <c r="L490" t="n">
        <v>0</v>
      </c>
      <c r="M490" t="n">
        <v>0</v>
      </c>
      <c r="N490" t="n">
        <v>0</v>
      </c>
      <c r="O490" t="n">
        <v>0</v>
      </c>
      <c r="P490" t="n">
        <v>0</v>
      </c>
      <c r="Q490" t="n">
        <v>0</v>
      </c>
      <c r="R490" s="2" t="inlineStr"/>
    </row>
    <row r="491" ht="15" customHeight="1">
      <c r="A491" t="inlineStr">
        <is>
          <t>A 22961-2023</t>
        </is>
      </c>
      <c r="B491" s="1" t="n">
        <v>45072</v>
      </c>
      <c r="C491" s="1" t="n">
        <v>46010</v>
      </c>
      <c r="D491" t="inlineStr">
        <is>
          <t>VÄSTMANLANDS LÄN</t>
        </is>
      </c>
      <c r="E491" t="inlineStr">
        <is>
          <t>SALA</t>
        </is>
      </c>
      <c r="G491" t="n">
        <v>2.7</v>
      </c>
      <c r="H491" t="n">
        <v>0</v>
      </c>
      <c r="I491" t="n">
        <v>0</v>
      </c>
      <c r="J491" t="n">
        <v>0</v>
      </c>
      <c r="K491" t="n">
        <v>0</v>
      </c>
      <c r="L491" t="n">
        <v>0</v>
      </c>
      <c r="M491" t="n">
        <v>0</v>
      </c>
      <c r="N491" t="n">
        <v>0</v>
      </c>
      <c r="O491" t="n">
        <v>0</v>
      </c>
      <c r="P491" t="n">
        <v>0</v>
      </c>
      <c r="Q491" t="n">
        <v>0</v>
      </c>
      <c r="R491" s="2" t="inlineStr"/>
    </row>
    <row r="492" ht="15" customHeight="1">
      <c r="A492" t="inlineStr">
        <is>
          <t>A 22963-2023</t>
        </is>
      </c>
      <c r="B492" s="1" t="n">
        <v>45072</v>
      </c>
      <c r="C492" s="1" t="n">
        <v>46010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54960-2024</t>
        </is>
      </c>
      <c r="B493" s="1" t="n">
        <v>45619.85208333333</v>
      </c>
      <c r="C493" s="1" t="n">
        <v>46010</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59385-2025</t>
        </is>
      </c>
      <c r="B494" s="1" t="n">
        <v>45989.45746527778</v>
      </c>
      <c r="C494" s="1" t="n">
        <v>46010</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59390-2025</t>
        </is>
      </c>
      <c r="B495" s="1" t="n">
        <v>45989.4640162037</v>
      </c>
      <c r="C495" s="1" t="n">
        <v>46010</v>
      </c>
      <c r="D495" t="inlineStr">
        <is>
          <t>VÄSTMANLANDS LÄN</t>
        </is>
      </c>
      <c r="E495" t="inlineStr">
        <is>
          <t>SALA</t>
        </is>
      </c>
      <c r="G495" t="n">
        <v>1.8</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46010</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26507-2023</t>
        </is>
      </c>
      <c r="B497" s="1" t="n">
        <v>45092</v>
      </c>
      <c r="C497" s="1" t="n">
        <v>46010</v>
      </c>
      <c r="D497" t="inlineStr">
        <is>
          <t>VÄSTMANLANDS LÄN</t>
        </is>
      </c>
      <c r="E497" t="inlineStr">
        <is>
          <t>SALA</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46010</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6183-2025</t>
        </is>
      </c>
      <c r="B499" s="1" t="n">
        <v>45698</v>
      </c>
      <c r="C499" s="1" t="n">
        <v>46010</v>
      </c>
      <c r="D499" t="inlineStr">
        <is>
          <t>VÄSTMANLANDS LÄN</t>
        </is>
      </c>
      <c r="E499" t="inlineStr">
        <is>
          <t>SALA</t>
        </is>
      </c>
      <c r="F499" t="inlineStr">
        <is>
          <t>Bergvik skog öst AB</t>
        </is>
      </c>
      <c r="G499" t="n">
        <v>2.3</v>
      </c>
      <c r="H499" t="n">
        <v>0</v>
      </c>
      <c r="I499" t="n">
        <v>0</v>
      </c>
      <c r="J499" t="n">
        <v>0</v>
      </c>
      <c r="K499" t="n">
        <v>0</v>
      </c>
      <c r="L499" t="n">
        <v>0</v>
      </c>
      <c r="M499" t="n">
        <v>0</v>
      </c>
      <c r="N499" t="n">
        <v>0</v>
      </c>
      <c r="O499" t="n">
        <v>0</v>
      </c>
      <c r="P499" t="n">
        <v>0</v>
      </c>
      <c r="Q499" t="n">
        <v>0</v>
      </c>
      <c r="R499" s="2" t="inlineStr"/>
    </row>
    <row r="500" ht="15" customHeight="1">
      <c r="A500" t="inlineStr">
        <is>
          <t>A 59926-2025</t>
        </is>
      </c>
      <c r="B500" s="1" t="n">
        <v>45993.39221064815</v>
      </c>
      <c r="C500" s="1" t="n">
        <v>46010</v>
      </c>
      <c r="D500" t="inlineStr">
        <is>
          <t>VÄSTMANLANDS LÄN</t>
        </is>
      </c>
      <c r="E500" t="inlineStr">
        <is>
          <t>SALA</t>
        </is>
      </c>
      <c r="G500" t="n">
        <v>7.1</v>
      </c>
      <c r="H500" t="n">
        <v>0</v>
      </c>
      <c r="I500" t="n">
        <v>0</v>
      </c>
      <c r="J500" t="n">
        <v>0</v>
      </c>
      <c r="K500" t="n">
        <v>0</v>
      </c>
      <c r="L500" t="n">
        <v>0</v>
      </c>
      <c r="M500" t="n">
        <v>0</v>
      </c>
      <c r="N500" t="n">
        <v>0</v>
      </c>
      <c r="O500" t="n">
        <v>0</v>
      </c>
      <c r="P500" t="n">
        <v>0</v>
      </c>
      <c r="Q500" t="n">
        <v>0</v>
      </c>
      <c r="R500" s="2" t="inlineStr"/>
    </row>
    <row r="501" ht="15" customHeight="1">
      <c r="A501" t="inlineStr">
        <is>
          <t>A 16543-2023</t>
        </is>
      </c>
      <c r="B501" s="1" t="n">
        <v>45029</v>
      </c>
      <c r="C501" s="1" t="n">
        <v>46010</v>
      </c>
      <c r="D501" t="inlineStr">
        <is>
          <t>VÄSTMANLANDS LÄN</t>
        </is>
      </c>
      <c r="E501" t="inlineStr">
        <is>
          <t>SALA</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43176-2023</t>
        </is>
      </c>
      <c r="B502" s="1" t="n">
        <v>45183</v>
      </c>
      <c r="C502" s="1" t="n">
        <v>46010</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37624-2024</t>
        </is>
      </c>
      <c r="B503" s="1" t="n">
        <v>45541</v>
      </c>
      <c r="C503" s="1" t="n">
        <v>46010</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57895-2024</t>
        </is>
      </c>
      <c r="B504" s="1" t="n">
        <v>45631</v>
      </c>
      <c r="C504" s="1" t="n">
        <v>46010</v>
      </c>
      <c r="D504" t="inlineStr">
        <is>
          <t>VÄSTMANLANDS LÄN</t>
        </is>
      </c>
      <c r="E504" t="inlineStr">
        <is>
          <t>SALA</t>
        </is>
      </c>
      <c r="G504" t="n">
        <v>1</v>
      </c>
      <c r="H504" t="n">
        <v>0</v>
      </c>
      <c r="I504" t="n">
        <v>0</v>
      </c>
      <c r="J504" t="n">
        <v>0</v>
      </c>
      <c r="K504" t="n">
        <v>0</v>
      </c>
      <c r="L504" t="n">
        <v>0</v>
      </c>
      <c r="M504" t="n">
        <v>0</v>
      </c>
      <c r="N504" t="n">
        <v>0</v>
      </c>
      <c r="O504" t="n">
        <v>0</v>
      </c>
      <c r="P504" t="n">
        <v>0</v>
      </c>
      <c r="Q504" t="n">
        <v>0</v>
      </c>
      <c r="R504" s="2" t="inlineStr"/>
    </row>
    <row r="505" ht="15" customHeight="1">
      <c r="A505" t="inlineStr">
        <is>
          <t>A 47086-2022</t>
        </is>
      </c>
      <c r="B505" s="1" t="n">
        <v>44852</v>
      </c>
      <c r="C505" s="1" t="n">
        <v>46010</v>
      </c>
      <c r="D505" t="inlineStr">
        <is>
          <t>VÄSTMANLANDS LÄN</t>
        </is>
      </c>
      <c r="E505" t="inlineStr">
        <is>
          <t>SALA</t>
        </is>
      </c>
      <c r="G505" t="n">
        <v>12.5</v>
      </c>
      <c r="H505" t="n">
        <v>0</v>
      </c>
      <c r="I505" t="n">
        <v>0</v>
      </c>
      <c r="J505" t="n">
        <v>0</v>
      </c>
      <c r="K505" t="n">
        <v>0</v>
      </c>
      <c r="L505" t="n">
        <v>0</v>
      </c>
      <c r="M505" t="n">
        <v>0</v>
      </c>
      <c r="N505" t="n">
        <v>0</v>
      </c>
      <c r="O505" t="n">
        <v>0</v>
      </c>
      <c r="P505" t="n">
        <v>0</v>
      </c>
      <c r="Q505" t="n">
        <v>0</v>
      </c>
      <c r="R505" s="2" t="inlineStr"/>
    </row>
    <row r="506" ht="15" customHeight="1">
      <c r="A506" t="inlineStr">
        <is>
          <t>A 59870-2025</t>
        </is>
      </c>
      <c r="B506" s="1" t="n">
        <v>45992.92226851852</v>
      </c>
      <c r="C506" s="1" t="n">
        <v>46010</v>
      </c>
      <c r="D506" t="inlineStr">
        <is>
          <t>VÄSTMANLANDS LÄN</t>
        </is>
      </c>
      <c r="E506" t="inlineStr">
        <is>
          <t>SALA</t>
        </is>
      </c>
      <c r="G506" t="n">
        <v>3.4</v>
      </c>
      <c r="H506" t="n">
        <v>0</v>
      </c>
      <c r="I506" t="n">
        <v>0</v>
      </c>
      <c r="J506" t="n">
        <v>0</v>
      </c>
      <c r="K506" t="n">
        <v>0</v>
      </c>
      <c r="L506" t="n">
        <v>0</v>
      </c>
      <c r="M506" t="n">
        <v>0</v>
      </c>
      <c r="N506" t="n">
        <v>0</v>
      </c>
      <c r="O506" t="n">
        <v>0</v>
      </c>
      <c r="P506" t="n">
        <v>0</v>
      </c>
      <c r="Q506" t="n">
        <v>0</v>
      </c>
      <c r="R506" s="2" t="inlineStr"/>
    </row>
    <row r="507" ht="15" customHeight="1">
      <c r="A507" t="inlineStr">
        <is>
          <t>A 60017-2025</t>
        </is>
      </c>
      <c r="B507" s="1" t="n">
        <v>45993.59998842593</v>
      </c>
      <c r="C507" s="1" t="n">
        <v>46010</v>
      </c>
      <c r="D507" t="inlineStr">
        <is>
          <t>VÄSTMANLANDS LÄN</t>
        </is>
      </c>
      <c r="E507" t="inlineStr">
        <is>
          <t>SALA</t>
        </is>
      </c>
      <c r="G507" t="n">
        <v>4.4</v>
      </c>
      <c r="H507" t="n">
        <v>0</v>
      </c>
      <c r="I507" t="n">
        <v>0</v>
      </c>
      <c r="J507" t="n">
        <v>0</v>
      </c>
      <c r="K507" t="n">
        <v>0</v>
      </c>
      <c r="L507" t="n">
        <v>0</v>
      </c>
      <c r="M507" t="n">
        <v>0</v>
      </c>
      <c r="N507" t="n">
        <v>0</v>
      </c>
      <c r="O507" t="n">
        <v>0</v>
      </c>
      <c r="P507" t="n">
        <v>0</v>
      </c>
      <c r="Q507" t="n">
        <v>0</v>
      </c>
      <c r="R507" s="2" t="inlineStr"/>
    </row>
    <row r="508" ht="15" customHeight="1">
      <c r="A508" t="inlineStr">
        <is>
          <t>A 14010-2021</t>
        </is>
      </c>
      <c r="B508" s="1" t="n">
        <v>44277.63396990741</v>
      </c>
      <c r="C508" s="1" t="n">
        <v>46010</v>
      </c>
      <c r="D508" t="inlineStr">
        <is>
          <t>VÄSTMANLANDS LÄN</t>
        </is>
      </c>
      <c r="E508" t="inlineStr">
        <is>
          <t>SALA</t>
        </is>
      </c>
      <c r="G508" t="n">
        <v>3.5</v>
      </c>
      <c r="H508" t="n">
        <v>0</v>
      </c>
      <c r="I508" t="n">
        <v>0</v>
      </c>
      <c r="J508" t="n">
        <v>0</v>
      </c>
      <c r="K508" t="n">
        <v>0</v>
      </c>
      <c r="L508" t="n">
        <v>0</v>
      </c>
      <c r="M508" t="n">
        <v>0</v>
      </c>
      <c r="N508" t="n">
        <v>0</v>
      </c>
      <c r="O508" t="n">
        <v>0</v>
      </c>
      <c r="P508" t="n">
        <v>0</v>
      </c>
      <c r="Q508" t="n">
        <v>0</v>
      </c>
      <c r="R508" s="2" t="inlineStr"/>
    </row>
    <row r="509" ht="15" customHeight="1">
      <c r="A509" t="inlineStr">
        <is>
          <t>A 51764-2025</t>
        </is>
      </c>
      <c r="B509" s="1" t="n">
        <v>45951.63636574074</v>
      </c>
      <c r="C509" s="1" t="n">
        <v>46010</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51626-2025</t>
        </is>
      </c>
      <c r="B510" s="1" t="n">
        <v>45951.41769675926</v>
      </c>
      <c r="C510" s="1" t="n">
        <v>46010</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59817-2025</t>
        </is>
      </c>
      <c r="B511" s="1" t="n">
        <v>45992.63711805556</v>
      </c>
      <c r="C511" s="1" t="n">
        <v>46010</v>
      </c>
      <c r="D511" t="inlineStr">
        <is>
          <t>VÄSTMANLANDS LÄN</t>
        </is>
      </c>
      <c r="E511" t="inlineStr">
        <is>
          <t>SALA</t>
        </is>
      </c>
      <c r="G511" t="n">
        <v>6.9</v>
      </c>
      <c r="H511" t="n">
        <v>0</v>
      </c>
      <c r="I511" t="n">
        <v>0</v>
      </c>
      <c r="J511" t="n">
        <v>0</v>
      </c>
      <c r="K511" t="n">
        <v>0</v>
      </c>
      <c r="L511" t="n">
        <v>0</v>
      </c>
      <c r="M511" t="n">
        <v>0</v>
      </c>
      <c r="N511" t="n">
        <v>0</v>
      </c>
      <c r="O511" t="n">
        <v>0</v>
      </c>
      <c r="P511" t="n">
        <v>0</v>
      </c>
      <c r="Q511" t="n">
        <v>0</v>
      </c>
      <c r="R511" s="2" t="inlineStr"/>
    </row>
    <row r="512" ht="15" customHeight="1">
      <c r="A512" t="inlineStr">
        <is>
          <t>A 56687-2024</t>
        </is>
      </c>
      <c r="B512" s="1" t="n">
        <v>45627.63271990741</v>
      </c>
      <c r="C512" s="1" t="n">
        <v>46010</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54347-2024</t>
        </is>
      </c>
      <c r="B513" s="1" t="n">
        <v>45617.39325231482</v>
      </c>
      <c r="C513" s="1" t="n">
        <v>46010</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64693-2023</t>
        </is>
      </c>
      <c r="B514" s="1" t="n">
        <v>45281.63850694444</v>
      </c>
      <c r="C514" s="1" t="n">
        <v>46010</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64695-2023</t>
        </is>
      </c>
      <c r="B515" s="1" t="n">
        <v>45281.64099537037</v>
      </c>
      <c r="C515" s="1" t="n">
        <v>46010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27486-2022</t>
        </is>
      </c>
      <c r="B516" s="1" t="n">
        <v>44742.60846064815</v>
      </c>
      <c r="C516" s="1" t="n">
        <v>46010</v>
      </c>
      <c r="D516" t="inlineStr">
        <is>
          <t>VÄSTMANLANDS LÄN</t>
        </is>
      </c>
      <c r="E516" t="inlineStr">
        <is>
          <t>SALA</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51690-2025</t>
        </is>
      </c>
      <c r="B517" s="1" t="n">
        <v>45951.53462962963</v>
      </c>
      <c r="C517" s="1" t="n">
        <v>46010</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35003-2024</t>
        </is>
      </c>
      <c r="B518" s="1" t="n">
        <v>45527.56790509259</v>
      </c>
      <c r="C518" s="1" t="n">
        <v>46010</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48688-2024</t>
        </is>
      </c>
      <c r="B519" s="1" t="n">
        <v>45593.50541666667</v>
      </c>
      <c r="C519" s="1" t="n">
        <v>46010</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15354-2021</t>
        </is>
      </c>
      <c r="B520" s="1" t="n">
        <v>44284</v>
      </c>
      <c r="C520" s="1" t="n">
        <v>46010</v>
      </c>
      <c r="D520" t="inlineStr">
        <is>
          <t>VÄSTMANLANDS LÄN</t>
        </is>
      </c>
      <c r="E520" t="inlineStr">
        <is>
          <t>SALA</t>
        </is>
      </c>
      <c r="F520" t="inlineStr">
        <is>
          <t>Kyrkan</t>
        </is>
      </c>
      <c r="G520" t="n">
        <v>8.5</v>
      </c>
      <c r="H520" t="n">
        <v>0</v>
      </c>
      <c r="I520" t="n">
        <v>0</v>
      </c>
      <c r="J520" t="n">
        <v>0</v>
      </c>
      <c r="K520" t="n">
        <v>0</v>
      </c>
      <c r="L520" t="n">
        <v>0</v>
      </c>
      <c r="M520" t="n">
        <v>0</v>
      </c>
      <c r="N520" t="n">
        <v>0</v>
      </c>
      <c r="O520" t="n">
        <v>0</v>
      </c>
      <c r="P520" t="n">
        <v>0</v>
      </c>
      <c r="Q520" t="n">
        <v>0</v>
      </c>
      <c r="R520" s="2" t="inlineStr"/>
    </row>
    <row r="521" ht="15" customHeight="1">
      <c r="A521" t="inlineStr">
        <is>
          <t>A 51804-2025</t>
        </is>
      </c>
      <c r="B521" s="1" t="n">
        <v>45951.77697916667</v>
      </c>
      <c r="C521" s="1" t="n">
        <v>46010</v>
      </c>
      <c r="D521" t="inlineStr">
        <is>
          <t>VÄSTMANLANDS LÄN</t>
        </is>
      </c>
      <c r="E521" t="inlineStr">
        <is>
          <t>SALA</t>
        </is>
      </c>
      <c r="F521" t="inlineStr">
        <is>
          <t>Kommuner</t>
        </is>
      </c>
      <c r="G521" t="n">
        <v>2</v>
      </c>
      <c r="H521" t="n">
        <v>0</v>
      </c>
      <c r="I521" t="n">
        <v>0</v>
      </c>
      <c r="J521" t="n">
        <v>0</v>
      </c>
      <c r="K521" t="n">
        <v>0</v>
      </c>
      <c r="L521" t="n">
        <v>0</v>
      </c>
      <c r="M521" t="n">
        <v>0</v>
      </c>
      <c r="N521" t="n">
        <v>0</v>
      </c>
      <c r="O521" t="n">
        <v>0</v>
      </c>
      <c r="P521" t="n">
        <v>0</v>
      </c>
      <c r="Q521" t="n">
        <v>0</v>
      </c>
      <c r="R521" s="2" t="inlineStr"/>
    </row>
    <row r="522" ht="15" customHeight="1">
      <c r="A522" t="inlineStr">
        <is>
          <t>A 51808-2025</t>
        </is>
      </c>
      <c r="B522" s="1" t="n">
        <v>45951.79302083333</v>
      </c>
      <c r="C522" s="1" t="n">
        <v>46010</v>
      </c>
      <c r="D522" t="inlineStr">
        <is>
          <t>VÄSTMANLANDS LÄN</t>
        </is>
      </c>
      <c r="E522" t="inlineStr">
        <is>
          <t>SALA</t>
        </is>
      </c>
      <c r="F522" t="inlineStr">
        <is>
          <t>Kommuner</t>
        </is>
      </c>
      <c r="G522" t="n">
        <v>3</v>
      </c>
      <c r="H522" t="n">
        <v>0</v>
      </c>
      <c r="I522" t="n">
        <v>0</v>
      </c>
      <c r="J522" t="n">
        <v>0</v>
      </c>
      <c r="K522" t="n">
        <v>0</v>
      </c>
      <c r="L522" t="n">
        <v>0</v>
      </c>
      <c r="M522" t="n">
        <v>0</v>
      </c>
      <c r="N522" t="n">
        <v>0</v>
      </c>
      <c r="O522" t="n">
        <v>0</v>
      </c>
      <c r="P522" t="n">
        <v>0</v>
      </c>
      <c r="Q522" t="n">
        <v>0</v>
      </c>
      <c r="R522" s="2" t="inlineStr"/>
    </row>
    <row r="523" ht="15" customHeight="1">
      <c r="A523" t="inlineStr">
        <is>
          <t>A 63933-2023</t>
        </is>
      </c>
      <c r="B523" s="1" t="n">
        <v>45278</v>
      </c>
      <c r="C523" s="1" t="n">
        <v>46010</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44746-2024</t>
        </is>
      </c>
      <c r="B524" s="1" t="n">
        <v>45574.59813657407</v>
      </c>
      <c r="C524" s="1" t="n">
        <v>46010</v>
      </c>
      <c r="D524" t="inlineStr">
        <is>
          <t>VÄSTMANLANDS LÄN</t>
        </is>
      </c>
      <c r="E524" t="inlineStr">
        <is>
          <t>SALA</t>
        </is>
      </c>
      <c r="G524" t="n">
        <v>6.7</v>
      </c>
      <c r="H524" t="n">
        <v>0</v>
      </c>
      <c r="I524" t="n">
        <v>0</v>
      </c>
      <c r="J524" t="n">
        <v>0</v>
      </c>
      <c r="K524" t="n">
        <v>0</v>
      </c>
      <c r="L524" t="n">
        <v>0</v>
      </c>
      <c r="M524" t="n">
        <v>0</v>
      </c>
      <c r="N524" t="n">
        <v>0</v>
      </c>
      <c r="O524" t="n">
        <v>0</v>
      </c>
      <c r="P524" t="n">
        <v>0</v>
      </c>
      <c r="Q524" t="n">
        <v>0</v>
      </c>
      <c r="R524" s="2" t="inlineStr"/>
    </row>
    <row r="525" ht="15" customHeight="1">
      <c r="A525" t="inlineStr">
        <is>
          <t>A 33273-2023</t>
        </is>
      </c>
      <c r="B525" s="1" t="n">
        <v>45127</v>
      </c>
      <c r="C525" s="1" t="n">
        <v>46010</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51803-2025</t>
        </is>
      </c>
      <c r="B526" s="1" t="n">
        <v>45951.76818287037</v>
      </c>
      <c r="C526" s="1" t="n">
        <v>46010</v>
      </c>
      <c r="D526" t="inlineStr">
        <is>
          <t>VÄSTMANLANDS LÄN</t>
        </is>
      </c>
      <c r="E526" t="inlineStr">
        <is>
          <t>SALA</t>
        </is>
      </c>
      <c r="F526" t="inlineStr">
        <is>
          <t>Kommuner</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51805-2025</t>
        </is>
      </c>
      <c r="B527" s="1" t="n">
        <v>45951.78359953704</v>
      </c>
      <c r="C527" s="1" t="n">
        <v>46010</v>
      </c>
      <c r="D527" t="inlineStr">
        <is>
          <t>VÄSTMANLANDS LÄN</t>
        </is>
      </c>
      <c r="E527" t="inlineStr">
        <is>
          <t>SALA</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51809-2025</t>
        </is>
      </c>
      <c r="B528" s="1" t="n">
        <v>45951.80116898148</v>
      </c>
      <c r="C528" s="1" t="n">
        <v>46010</v>
      </c>
      <c r="D528" t="inlineStr">
        <is>
          <t>VÄSTMANLANDS LÄN</t>
        </is>
      </c>
      <c r="E528" t="inlineStr">
        <is>
          <t>SALA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11696-2025</t>
        </is>
      </c>
      <c r="B529" s="1" t="n">
        <v>45727</v>
      </c>
      <c r="C529" s="1" t="n">
        <v>46010</v>
      </c>
      <c r="D529" t="inlineStr">
        <is>
          <t>VÄSTMANLANDS LÄN</t>
        </is>
      </c>
      <c r="E529" t="inlineStr">
        <is>
          <t>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60258-2025</t>
        </is>
      </c>
      <c r="B530" s="1" t="n">
        <v>45994.6064699074</v>
      </c>
      <c r="C530" s="1" t="n">
        <v>46010</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60259-2025</t>
        </is>
      </c>
      <c r="B531" s="1" t="n">
        <v>45994.60913194445</v>
      </c>
      <c r="C531" s="1" t="n">
        <v>46010</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60246-2025</t>
        </is>
      </c>
      <c r="B532" s="1" t="n">
        <v>45994.58931712963</v>
      </c>
      <c r="C532" s="1" t="n">
        <v>46010</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60254-2025</t>
        </is>
      </c>
      <c r="B533" s="1" t="n">
        <v>45994.60146990741</v>
      </c>
      <c r="C533" s="1" t="n">
        <v>46010</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60241-2025</t>
        </is>
      </c>
      <c r="B534" s="1" t="n">
        <v>45994.58454861111</v>
      </c>
      <c r="C534" s="1" t="n">
        <v>46010</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60629-2025</t>
        </is>
      </c>
      <c r="B535" s="1" t="n">
        <v>45996.41972222222</v>
      </c>
      <c r="C535" s="1" t="n">
        <v>46010</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57014-2025</t>
        </is>
      </c>
      <c r="B536" s="1" t="n">
        <v>45978</v>
      </c>
      <c r="C536" s="1" t="n">
        <v>46010</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60545-2024</t>
        </is>
      </c>
      <c r="B537" s="1" t="n">
        <v>45643</v>
      </c>
      <c r="C537" s="1" t="n">
        <v>46010</v>
      </c>
      <c r="D537" t="inlineStr">
        <is>
          <t>VÄSTMANLANDS LÄN</t>
        </is>
      </c>
      <c r="E537" t="inlineStr">
        <is>
          <t>SALA</t>
        </is>
      </c>
      <c r="G537" t="n">
        <v>3.3</v>
      </c>
      <c r="H537" t="n">
        <v>0</v>
      </c>
      <c r="I537" t="n">
        <v>0</v>
      </c>
      <c r="J537" t="n">
        <v>0</v>
      </c>
      <c r="K537" t="n">
        <v>0</v>
      </c>
      <c r="L537" t="n">
        <v>0</v>
      </c>
      <c r="M537" t="n">
        <v>0</v>
      </c>
      <c r="N537" t="n">
        <v>0</v>
      </c>
      <c r="O537" t="n">
        <v>0</v>
      </c>
      <c r="P537" t="n">
        <v>0</v>
      </c>
      <c r="Q537" t="n">
        <v>0</v>
      </c>
      <c r="R537" s="2" t="inlineStr"/>
    </row>
    <row r="538" ht="15" customHeight="1">
      <c r="A538" t="inlineStr">
        <is>
          <t>A 60547-2024</t>
        </is>
      </c>
      <c r="B538" s="1" t="n">
        <v>45643</v>
      </c>
      <c r="C538" s="1" t="n">
        <v>46010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1985-2022</t>
        </is>
      </c>
      <c r="B539" s="1" t="n">
        <v>44575</v>
      </c>
      <c r="C539" s="1" t="n">
        <v>46010</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27261-2024</t>
        </is>
      </c>
      <c r="B540" s="1" t="n">
        <v>45471</v>
      </c>
      <c r="C540" s="1" t="n">
        <v>46010</v>
      </c>
      <c r="D540" t="inlineStr">
        <is>
          <t>VÄSTMANLANDS LÄN</t>
        </is>
      </c>
      <c r="E540" t="inlineStr">
        <is>
          <t>SALA</t>
        </is>
      </c>
      <c r="G540" t="n">
        <v>6.1</v>
      </c>
      <c r="H540" t="n">
        <v>0</v>
      </c>
      <c r="I540" t="n">
        <v>0</v>
      </c>
      <c r="J540" t="n">
        <v>0</v>
      </c>
      <c r="K540" t="n">
        <v>0</v>
      </c>
      <c r="L540" t="n">
        <v>0</v>
      </c>
      <c r="M540" t="n">
        <v>0</v>
      </c>
      <c r="N540" t="n">
        <v>0</v>
      </c>
      <c r="O540" t="n">
        <v>0</v>
      </c>
      <c r="P540" t="n">
        <v>0</v>
      </c>
      <c r="Q540" t="n">
        <v>0</v>
      </c>
      <c r="R540" s="2" t="inlineStr"/>
    </row>
    <row r="541" ht="15" customHeight="1">
      <c r="A541" t="inlineStr">
        <is>
          <t>A 35976-2024</t>
        </is>
      </c>
      <c r="B541" s="1" t="n">
        <v>45533.49555555556</v>
      </c>
      <c r="C541" s="1" t="n">
        <v>46010</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55556-2023</t>
        </is>
      </c>
      <c r="B542" s="1" t="n">
        <v>45232</v>
      </c>
      <c r="C542" s="1" t="n">
        <v>46010</v>
      </c>
      <c r="D542" t="inlineStr">
        <is>
          <t>VÄSTMANLANDS LÄN</t>
        </is>
      </c>
      <c r="E542" t="inlineStr">
        <is>
          <t>SALA</t>
        </is>
      </c>
      <c r="G542" t="n">
        <v>1.3</v>
      </c>
      <c r="H542" t="n">
        <v>0</v>
      </c>
      <c r="I542" t="n">
        <v>0</v>
      </c>
      <c r="J542" t="n">
        <v>0</v>
      </c>
      <c r="K542" t="n">
        <v>0</v>
      </c>
      <c r="L542" t="n">
        <v>0</v>
      </c>
      <c r="M542" t="n">
        <v>0</v>
      </c>
      <c r="N542" t="n">
        <v>0</v>
      </c>
      <c r="O542" t="n">
        <v>0</v>
      </c>
      <c r="P542" t="n">
        <v>0</v>
      </c>
      <c r="Q542" t="n">
        <v>0</v>
      </c>
      <c r="R542" s="2" t="inlineStr"/>
    </row>
    <row r="543" ht="15" customHeight="1">
      <c r="A543" t="inlineStr">
        <is>
          <t>A 57650-2024</t>
        </is>
      </c>
      <c r="B543" s="1" t="n">
        <v>45630</v>
      </c>
      <c r="C543" s="1" t="n">
        <v>46010</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61522-2025</t>
        </is>
      </c>
      <c r="B544" s="1" t="n">
        <v>46001.68684027778</v>
      </c>
      <c r="C544" s="1" t="n">
        <v>46010</v>
      </c>
      <c r="D544" t="inlineStr">
        <is>
          <t>VÄSTMANLANDS LÄN</t>
        </is>
      </c>
      <c r="E544" t="inlineStr">
        <is>
          <t>SALA</t>
        </is>
      </c>
      <c r="G544" t="n">
        <v>5.7</v>
      </c>
      <c r="H544" t="n">
        <v>0</v>
      </c>
      <c r="I544" t="n">
        <v>0</v>
      </c>
      <c r="J544" t="n">
        <v>0</v>
      </c>
      <c r="K544" t="n">
        <v>0</v>
      </c>
      <c r="L544" t="n">
        <v>0</v>
      </c>
      <c r="M544" t="n">
        <v>0</v>
      </c>
      <c r="N544" t="n">
        <v>0</v>
      </c>
      <c r="O544" t="n">
        <v>0</v>
      </c>
      <c r="P544" t="n">
        <v>0</v>
      </c>
      <c r="Q544" t="n">
        <v>0</v>
      </c>
      <c r="R544" s="2" t="inlineStr"/>
    </row>
    <row r="545" ht="15" customHeight="1">
      <c r="A545" t="inlineStr">
        <is>
          <t>A 50479-2022</t>
        </is>
      </c>
      <c r="B545" s="1" t="n">
        <v>44861</v>
      </c>
      <c r="C545" s="1" t="n">
        <v>46010</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45790-2023</t>
        </is>
      </c>
      <c r="B546" s="1" t="n">
        <v>45195.45958333334</v>
      </c>
      <c r="C546" s="1" t="n">
        <v>46010</v>
      </c>
      <c r="D546" t="inlineStr">
        <is>
          <t>VÄSTMANLANDS LÄN</t>
        </is>
      </c>
      <c r="E546" t="inlineStr">
        <is>
          <t>SALA</t>
        </is>
      </c>
      <c r="G546" t="n">
        <v>5.7</v>
      </c>
      <c r="H546" t="n">
        <v>0</v>
      </c>
      <c r="I546" t="n">
        <v>0</v>
      </c>
      <c r="J546" t="n">
        <v>0</v>
      </c>
      <c r="K546" t="n">
        <v>0</v>
      </c>
      <c r="L546" t="n">
        <v>0</v>
      </c>
      <c r="M546" t="n">
        <v>0</v>
      </c>
      <c r="N546" t="n">
        <v>0</v>
      </c>
      <c r="O546" t="n">
        <v>0</v>
      </c>
      <c r="P546" t="n">
        <v>0</v>
      </c>
      <c r="Q546" t="n">
        <v>0</v>
      </c>
      <c r="R546" s="2" t="inlineStr"/>
    </row>
    <row r="547" ht="15" customHeight="1">
      <c r="A547" t="inlineStr">
        <is>
          <t>A 2928-2024</t>
        </is>
      </c>
      <c r="B547" s="1" t="n">
        <v>45315.59041666667</v>
      </c>
      <c r="C547" s="1" t="n">
        <v>46010</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46010</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40871-2021</t>
        </is>
      </c>
      <c r="B549" s="1" t="n">
        <v>44421</v>
      </c>
      <c r="C549" s="1" t="n">
        <v>46010</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14271-2025</t>
        </is>
      </c>
      <c r="B550" s="1" t="n">
        <v>45740.64129629629</v>
      </c>
      <c r="C550" s="1" t="n">
        <v>46010</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54199-2024</t>
        </is>
      </c>
      <c r="B551" s="1" t="n">
        <v>45616.64703703704</v>
      </c>
      <c r="C551" s="1" t="n">
        <v>46010</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6312-2025</t>
        </is>
      </c>
      <c r="B552" s="1" t="n">
        <v>45698</v>
      </c>
      <c r="C552" s="1" t="n">
        <v>46010</v>
      </c>
      <c r="D552" t="inlineStr">
        <is>
          <t>VÄSTMANLANDS LÄN</t>
        </is>
      </c>
      <c r="E552" t="inlineStr">
        <is>
          <t>SALA</t>
        </is>
      </c>
      <c r="G552" t="n">
        <v>1.2</v>
      </c>
      <c r="H552" t="n">
        <v>0</v>
      </c>
      <c r="I552" t="n">
        <v>0</v>
      </c>
      <c r="J552" t="n">
        <v>0</v>
      </c>
      <c r="K552" t="n">
        <v>0</v>
      </c>
      <c r="L552" t="n">
        <v>0</v>
      </c>
      <c r="M552" t="n">
        <v>0</v>
      </c>
      <c r="N552" t="n">
        <v>0</v>
      </c>
      <c r="O552" t="n">
        <v>0</v>
      </c>
      <c r="P552" t="n">
        <v>0</v>
      </c>
      <c r="Q552" t="n">
        <v>0</v>
      </c>
      <c r="R552" s="2" t="inlineStr"/>
    </row>
    <row r="553" ht="15" customHeight="1">
      <c r="A553" t="inlineStr">
        <is>
          <t>A 53725-2025</t>
        </is>
      </c>
      <c r="B553" s="1" t="n">
        <v>45960.63394675926</v>
      </c>
      <c r="C553" s="1" t="n">
        <v>46010</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38636-2024</t>
        </is>
      </c>
      <c r="B554" s="1" t="n">
        <v>45546</v>
      </c>
      <c r="C554" s="1" t="n">
        <v>46010</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53744-2025</t>
        </is>
      </c>
      <c r="B555" s="1" t="n">
        <v>45960.64863425926</v>
      </c>
      <c r="C555" s="1" t="n">
        <v>46010</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44857-2023</t>
        </is>
      </c>
      <c r="B556" s="1" t="n">
        <v>45190.58479166667</v>
      </c>
      <c r="C556" s="1" t="n">
        <v>46010</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53724-2025</t>
        </is>
      </c>
      <c r="B557" s="1" t="n">
        <v>45960.63174768518</v>
      </c>
      <c r="C557" s="1" t="n">
        <v>46010</v>
      </c>
      <c r="D557" t="inlineStr">
        <is>
          <t>VÄSTMANLANDS LÄN</t>
        </is>
      </c>
      <c r="E557" t="inlineStr">
        <is>
          <t>SALA</t>
        </is>
      </c>
      <c r="G557" t="n">
        <v>2.8</v>
      </c>
      <c r="H557" t="n">
        <v>0</v>
      </c>
      <c r="I557" t="n">
        <v>0</v>
      </c>
      <c r="J557" t="n">
        <v>0</v>
      </c>
      <c r="K557" t="n">
        <v>0</v>
      </c>
      <c r="L557" t="n">
        <v>0</v>
      </c>
      <c r="M557" t="n">
        <v>0</v>
      </c>
      <c r="N557" t="n">
        <v>0</v>
      </c>
      <c r="O557" t="n">
        <v>0</v>
      </c>
      <c r="P557" t="n">
        <v>0</v>
      </c>
      <c r="Q557" t="n">
        <v>0</v>
      </c>
      <c r="R557" s="2" t="inlineStr"/>
    </row>
    <row r="558" ht="15" customHeight="1">
      <c r="A558" t="inlineStr">
        <is>
          <t>A 62523-2025</t>
        </is>
      </c>
      <c r="B558" s="1" t="n">
        <v>46007.61512731481</v>
      </c>
      <c r="C558" s="1" t="n">
        <v>46010</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62654-2022</t>
        </is>
      </c>
      <c r="B559" s="1" t="n">
        <v>44917</v>
      </c>
      <c r="C559" s="1" t="n">
        <v>46010</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43188-2023</t>
        </is>
      </c>
      <c r="B560" s="1" t="n">
        <v>45183</v>
      </c>
      <c r="C560" s="1" t="n">
        <v>46010</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43205-2023</t>
        </is>
      </c>
      <c r="B561" s="1" t="n">
        <v>45183</v>
      </c>
      <c r="C561" s="1" t="n">
        <v>46010</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61892-2021</t>
        </is>
      </c>
      <c r="B562" s="1" t="n">
        <v>44502</v>
      </c>
      <c r="C562" s="1" t="n">
        <v>46010</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29213-2022</t>
        </is>
      </c>
      <c r="B563" s="1" t="n">
        <v>44750.57474537037</v>
      </c>
      <c r="C563" s="1" t="n">
        <v>46010</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59483-2022</t>
        </is>
      </c>
      <c r="B564" s="1" t="n">
        <v>44907.45679398148</v>
      </c>
      <c r="C564" s="1" t="n">
        <v>46010</v>
      </c>
      <c r="D564" t="inlineStr">
        <is>
          <t>VÄSTMANLANDS LÄN</t>
        </is>
      </c>
      <c r="E564" t="inlineStr">
        <is>
          <t>SALA</t>
        </is>
      </c>
      <c r="G564" t="n">
        <v>5.2</v>
      </c>
      <c r="H564" t="n">
        <v>0</v>
      </c>
      <c r="I564" t="n">
        <v>0</v>
      </c>
      <c r="J564" t="n">
        <v>0</v>
      </c>
      <c r="K564" t="n">
        <v>0</v>
      </c>
      <c r="L564" t="n">
        <v>0</v>
      </c>
      <c r="M564" t="n">
        <v>0</v>
      </c>
      <c r="N564" t="n">
        <v>0</v>
      </c>
      <c r="O564" t="n">
        <v>0</v>
      </c>
      <c r="P564" t="n">
        <v>0</v>
      </c>
      <c r="Q564" t="n">
        <v>0</v>
      </c>
      <c r="R564" s="2" t="inlineStr"/>
    </row>
    <row r="565" ht="15" customHeight="1">
      <c r="A565" t="inlineStr">
        <is>
          <t>A 55760-2025</t>
        </is>
      </c>
      <c r="B565" s="1" t="n">
        <v>45972</v>
      </c>
      <c r="C565" s="1" t="n">
        <v>46010</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54344-2025</t>
        </is>
      </c>
      <c r="B566" s="1" t="n">
        <v>45965.36462962963</v>
      </c>
      <c r="C566" s="1" t="n">
        <v>46010</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54590-2025</t>
        </is>
      </c>
      <c r="B567" s="1" t="n">
        <v>45965.74199074074</v>
      </c>
      <c r="C567" s="1" t="n">
        <v>46010</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16160-2024</t>
        </is>
      </c>
      <c r="B568" s="1" t="n">
        <v>45406</v>
      </c>
      <c r="C568" s="1" t="n">
        <v>46010</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54201-2025</t>
        </is>
      </c>
      <c r="B569" s="1" t="n">
        <v>45964.58055555556</v>
      </c>
      <c r="C569" s="1" t="n">
        <v>46010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63055-2025</t>
        </is>
      </c>
      <c r="B570" s="1" t="n">
        <v>46009.63619212963</v>
      </c>
      <c r="C570" s="1" t="n">
        <v>46010</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63046-2025</t>
        </is>
      </c>
      <c r="B571" s="1" t="n">
        <v>46009.62373842593</v>
      </c>
      <c r="C571" s="1" t="n">
        <v>46010</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54893-2025</t>
        </is>
      </c>
      <c r="B572" s="1" t="n">
        <v>45967.36383101852</v>
      </c>
      <c r="C572" s="1" t="n">
        <v>46010</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63051-2025</t>
        </is>
      </c>
      <c r="B573" s="1" t="n">
        <v>46009.63134259259</v>
      </c>
      <c r="C573" s="1" t="n">
        <v>46010</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39597-2022</t>
        </is>
      </c>
      <c r="B574" s="1" t="n">
        <v>44818</v>
      </c>
      <c r="C574" s="1" t="n">
        <v>46010</v>
      </c>
      <c r="D574" t="inlineStr">
        <is>
          <t>VÄSTMANLANDS LÄN</t>
        </is>
      </c>
      <c r="E574" t="inlineStr">
        <is>
          <t>SALA</t>
        </is>
      </c>
      <c r="G574" t="n">
        <v>2.3</v>
      </c>
      <c r="H574" t="n">
        <v>0</v>
      </c>
      <c r="I574" t="n">
        <v>0</v>
      </c>
      <c r="J574" t="n">
        <v>0</v>
      </c>
      <c r="K574" t="n">
        <v>0</v>
      </c>
      <c r="L574" t="n">
        <v>0</v>
      </c>
      <c r="M574" t="n">
        <v>0</v>
      </c>
      <c r="N574" t="n">
        <v>0</v>
      </c>
      <c r="O574" t="n">
        <v>0</v>
      </c>
      <c r="P574" t="n">
        <v>0</v>
      </c>
      <c r="Q574" t="n">
        <v>0</v>
      </c>
      <c r="R574" s="2" t="inlineStr"/>
    </row>
    <row r="575" ht="15" customHeight="1">
      <c r="A575" t="inlineStr">
        <is>
          <t>A 22921-2023</t>
        </is>
      </c>
      <c r="B575" s="1" t="n">
        <v>45070</v>
      </c>
      <c r="C575" s="1" t="n">
        <v>46010</v>
      </c>
      <c r="D575" t="inlineStr">
        <is>
          <t>VÄSTMANLANDS LÄN</t>
        </is>
      </c>
      <c r="E575" t="inlineStr">
        <is>
          <t>SALA</t>
        </is>
      </c>
      <c r="G575" t="n">
        <v>1.3</v>
      </c>
      <c r="H575" t="n">
        <v>0</v>
      </c>
      <c r="I575" t="n">
        <v>0</v>
      </c>
      <c r="J575" t="n">
        <v>0</v>
      </c>
      <c r="K575" t="n">
        <v>0</v>
      </c>
      <c r="L575" t="n">
        <v>0</v>
      </c>
      <c r="M575" t="n">
        <v>0</v>
      </c>
      <c r="N575" t="n">
        <v>0</v>
      </c>
      <c r="O575" t="n">
        <v>0</v>
      </c>
      <c r="P575" t="n">
        <v>0</v>
      </c>
      <c r="Q575" t="n">
        <v>0</v>
      </c>
      <c r="R575" s="2" t="inlineStr"/>
    </row>
    <row r="576" ht="15" customHeight="1">
      <c r="A576" t="inlineStr">
        <is>
          <t>A 36858-2023</t>
        </is>
      </c>
      <c r="B576" s="1" t="n">
        <v>45154.55184027777</v>
      </c>
      <c r="C576" s="1" t="n">
        <v>46010</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55024-2023</t>
        </is>
      </c>
      <c r="B577" s="1" t="n">
        <v>45229</v>
      </c>
      <c r="C577" s="1" t="n">
        <v>46010</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55032-2023</t>
        </is>
      </c>
      <c r="B578" s="1" t="n">
        <v>45229</v>
      </c>
      <c r="C578" s="1" t="n">
        <v>46010</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20352-2022</t>
        </is>
      </c>
      <c r="B579" s="1" t="n">
        <v>44699.37318287037</v>
      </c>
      <c r="C579" s="1" t="n">
        <v>46010</v>
      </c>
      <c r="D579" t="inlineStr">
        <is>
          <t>VÄSTMANLANDS LÄN</t>
        </is>
      </c>
      <c r="E579" t="inlineStr">
        <is>
          <t>SALA</t>
        </is>
      </c>
      <c r="G579" t="n">
        <v>1.3</v>
      </c>
      <c r="H579" t="n">
        <v>0</v>
      </c>
      <c r="I579" t="n">
        <v>0</v>
      </c>
      <c r="J579" t="n">
        <v>0</v>
      </c>
      <c r="K579" t="n">
        <v>0</v>
      </c>
      <c r="L579" t="n">
        <v>0</v>
      </c>
      <c r="M579" t="n">
        <v>0</v>
      </c>
      <c r="N579" t="n">
        <v>0</v>
      </c>
      <c r="O579" t="n">
        <v>0</v>
      </c>
      <c r="P579" t="n">
        <v>0</v>
      </c>
      <c r="Q579" t="n">
        <v>0</v>
      </c>
      <c r="R579" s="2" t="inlineStr"/>
    </row>
    <row r="580" ht="15" customHeight="1">
      <c r="A580" t="inlineStr">
        <is>
          <t>A 5032-2025</t>
        </is>
      </c>
      <c r="B580" s="1" t="n">
        <v>45691</v>
      </c>
      <c r="C580" s="1" t="n">
        <v>46010</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17117-2023</t>
        </is>
      </c>
      <c r="B581" s="1" t="n">
        <v>45034</v>
      </c>
      <c r="C581" s="1" t="n">
        <v>46010</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19243-2025</t>
        </is>
      </c>
      <c r="B582" s="1" t="n">
        <v>45769</v>
      </c>
      <c r="C582" s="1" t="n">
        <v>46010</v>
      </c>
      <c r="D582" t="inlineStr">
        <is>
          <t>VÄSTMANLANDS LÄN</t>
        </is>
      </c>
      <c r="E582" t="inlineStr">
        <is>
          <t>SALA</t>
        </is>
      </c>
      <c r="F582" t="inlineStr">
        <is>
          <t>Bergvik skog öst AB</t>
        </is>
      </c>
      <c r="G582" t="n">
        <v>1.5</v>
      </c>
      <c r="H582" t="n">
        <v>0</v>
      </c>
      <c r="I582" t="n">
        <v>0</v>
      </c>
      <c r="J582" t="n">
        <v>0</v>
      </c>
      <c r="K582" t="n">
        <v>0</v>
      </c>
      <c r="L582" t="n">
        <v>0</v>
      </c>
      <c r="M582" t="n">
        <v>0</v>
      </c>
      <c r="N582" t="n">
        <v>0</v>
      </c>
      <c r="O582" t="n">
        <v>0</v>
      </c>
      <c r="P582" t="n">
        <v>0</v>
      </c>
      <c r="Q582" t="n">
        <v>0</v>
      </c>
      <c r="R582" s="2" t="inlineStr"/>
    </row>
    <row r="583" ht="15" customHeight="1">
      <c r="A583" t="inlineStr">
        <is>
          <t>A 7166-2025</t>
        </is>
      </c>
      <c r="B583" s="1" t="n">
        <v>45702</v>
      </c>
      <c r="C583" s="1" t="n">
        <v>46010</v>
      </c>
      <c r="D583" t="inlineStr">
        <is>
          <t>VÄSTMANLANDS LÄN</t>
        </is>
      </c>
      <c r="E583" t="inlineStr">
        <is>
          <t>SALA</t>
        </is>
      </c>
      <c r="G583" t="n">
        <v>6.1</v>
      </c>
      <c r="H583" t="n">
        <v>0</v>
      </c>
      <c r="I583" t="n">
        <v>0</v>
      </c>
      <c r="J583" t="n">
        <v>0</v>
      </c>
      <c r="K583" t="n">
        <v>0</v>
      </c>
      <c r="L583" t="n">
        <v>0</v>
      </c>
      <c r="M583" t="n">
        <v>0</v>
      </c>
      <c r="N583" t="n">
        <v>0</v>
      </c>
      <c r="O583" t="n">
        <v>0</v>
      </c>
      <c r="P583" t="n">
        <v>0</v>
      </c>
      <c r="Q583" t="n">
        <v>0</v>
      </c>
      <c r="R583" s="2" t="inlineStr"/>
    </row>
    <row r="584" ht="15" customHeight="1">
      <c r="A584" t="inlineStr">
        <is>
          <t>A 36393-2023</t>
        </is>
      </c>
      <c r="B584" s="1" t="n">
        <v>45152</v>
      </c>
      <c r="C584" s="1" t="n">
        <v>46010</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26416-2023</t>
        </is>
      </c>
      <c r="B585" s="1" t="n">
        <v>45092.38087962963</v>
      </c>
      <c r="C585" s="1" t="n">
        <v>46010</v>
      </c>
      <c r="D585" t="inlineStr">
        <is>
          <t>VÄSTMANLANDS LÄN</t>
        </is>
      </c>
      <c r="E585" t="inlineStr">
        <is>
          <t>SALA</t>
        </is>
      </c>
      <c r="G585" t="n">
        <v>2.9</v>
      </c>
      <c r="H585" t="n">
        <v>0</v>
      </c>
      <c r="I585" t="n">
        <v>0</v>
      </c>
      <c r="J585" t="n">
        <v>0</v>
      </c>
      <c r="K585" t="n">
        <v>0</v>
      </c>
      <c r="L585" t="n">
        <v>0</v>
      </c>
      <c r="M585" t="n">
        <v>0</v>
      </c>
      <c r="N585" t="n">
        <v>0</v>
      </c>
      <c r="O585" t="n">
        <v>0</v>
      </c>
      <c r="P585" t="n">
        <v>0</v>
      </c>
      <c r="Q585" t="n">
        <v>0</v>
      </c>
      <c r="R585" s="2" t="inlineStr"/>
    </row>
    <row r="586" ht="15" customHeight="1">
      <c r="A586" t="inlineStr">
        <is>
          <t>A 28661-2024</t>
        </is>
      </c>
      <c r="B586" s="1" t="n">
        <v>45478</v>
      </c>
      <c r="C586" s="1" t="n">
        <v>46010</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27255-2023</t>
        </is>
      </c>
      <c r="B587" s="1" t="n">
        <v>45096</v>
      </c>
      <c r="C587" s="1" t="n">
        <v>46010</v>
      </c>
      <c r="D587" t="inlineStr">
        <is>
          <t>VÄSTMANLANDS LÄN</t>
        </is>
      </c>
      <c r="E587" t="inlineStr">
        <is>
          <t>SALA</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7197-2025</t>
        </is>
      </c>
      <c r="B588" s="1" t="n">
        <v>45702</v>
      </c>
      <c r="C588" s="1" t="n">
        <v>46010</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13752-2025</t>
        </is>
      </c>
      <c r="B589" s="1" t="n">
        <v>45737.41416666667</v>
      </c>
      <c r="C589" s="1" t="n">
        <v>46010</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2927-2024</t>
        </is>
      </c>
      <c r="B590" s="1" t="n">
        <v>45315.58989583333</v>
      </c>
      <c r="C590" s="1" t="n">
        <v>46010</v>
      </c>
      <c r="D590" t="inlineStr">
        <is>
          <t>VÄSTMANLANDS LÄN</t>
        </is>
      </c>
      <c r="E590" t="inlineStr">
        <is>
          <t>SALA</t>
        </is>
      </c>
      <c r="G590" t="n">
        <v>2.5</v>
      </c>
      <c r="H590" t="n">
        <v>0</v>
      </c>
      <c r="I590" t="n">
        <v>0</v>
      </c>
      <c r="J590" t="n">
        <v>0</v>
      </c>
      <c r="K590" t="n">
        <v>0</v>
      </c>
      <c r="L590" t="n">
        <v>0</v>
      </c>
      <c r="M590" t="n">
        <v>0</v>
      </c>
      <c r="N590" t="n">
        <v>0</v>
      </c>
      <c r="O590" t="n">
        <v>0</v>
      </c>
      <c r="P590" t="n">
        <v>0</v>
      </c>
      <c r="Q590" t="n">
        <v>0</v>
      </c>
      <c r="R590" s="2" t="inlineStr"/>
    </row>
    <row r="591" ht="15" customHeight="1">
      <c r="A591" t="inlineStr">
        <is>
          <t>A 26854-2024</t>
        </is>
      </c>
      <c r="B591" s="1" t="n">
        <v>45470</v>
      </c>
      <c r="C591" s="1" t="n">
        <v>46010</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48570-2024</t>
        </is>
      </c>
      <c r="B592" s="1" t="n">
        <v>45591</v>
      </c>
      <c r="C592" s="1" t="n">
        <v>46010</v>
      </c>
      <c r="D592" t="inlineStr">
        <is>
          <t>VÄSTMANLANDS LÄN</t>
        </is>
      </c>
      <c r="E592" t="inlineStr">
        <is>
          <t>SALA</t>
        </is>
      </c>
      <c r="G592" t="n">
        <v>3</v>
      </c>
      <c r="H592" t="n">
        <v>0</v>
      </c>
      <c r="I592" t="n">
        <v>0</v>
      </c>
      <c r="J592" t="n">
        <v>0</v>
      </c>
      <c r="K592" t="n">
        <v>0</v>
      </c>
      <c r="L592" t="n">
        <v>0</v>
      </c>
      <c r="M592" t="n">
        <v>0</v>
      </c>
      <c r="N592" t="n">
        <v>0</v>
      </c>
      <c r="O592" t="n">
        <v>0</v>
      </c>
      <c r="P592" t="n">
        <v>0</v>
      </c>
      <c r="Q592" t="n">
        <v>0</v>
      </c>
      <c r="R592" s="2" t="inlineStr"/>
    </row>
    <row r="593" ht="15" customHeight="1">
      <c r="A593" t="inlineStr">
        <is>
          <t>A 10812-2021</t>
        </is>
      </c>
      <c r="B593" s="1" t="n">
        <v>44259</v>
      </c>
      <c r="C593" s="1" t="n">
        <v>46010</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57883-2024</t>
        </is>
      </c>
      <c r="B594" s="1" t="n">
        <v>45630</v>
      </c>
      <c r="C594" s="1" t="n">
        <v>46010</v>
      </c>
      <c r="D594" t="inlineStr">
        <is>
          <t>VÄSTMANLANDS LÄN</t>
        </is>
      </c>
      <c r="E594" t="inlineStr">
        <is>
          <t>SALA</t>
        </is>
      </c>
      <c r="G594" t="n">
        <v>5.4</v>
      </c>
      <c r="H594" t="n">
        <v>0</v>
      </c>
      <c r="I594" t="n">
        <v>0</v>
      </c>
      <c r="J594" t="n">
        <v>0</v>
      </c>
      <c r="K594" t="n">
        <v>0</v>
      </c>
      <c r="L594" t="n">
        <v>0</v>
      </c>
      <c r="M594" t="n">
        <v>0</v>
      </c>
      <c r="N594" t="n">
        <v>0</v>
      </c>
      <c r="O594" t="n">
        <v>0</v>
      </c>
      <c r="P594" t="n">
        <v>0</v>
      </c>
      <c r="Q594" t="n">
        <v>0</v>
      </c>
      <c r="R594" s="2" t="inlineStr"/>
    </row>
    <row r="595" ht="15" customHeight="1">
      <c r="A595" t="inlineStr">
        <is>
          <t>A 16769-2024</t>
        </is>
      </c>
      <c r="B595" s="1" t="n">
        <v>45411.38738425926</v>
      </c>
      <c r="C595" s="1" t="n">
        <v>46010</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18877-2023</t>
        </is>
      </c>
      <c r="B596" s="1" t="n">
        <v>45044</v>
      </c>
      <c r="C596" s="1" t="n">
        <v>46010</v>
      </c>
      <c r="D596" t="inlineStr">
        <is>
          <t>VÄSTMANLANDS LÄN</t>
        </is>
      </c>
      <c r="E596" t="inlineStr">
        <is>
          <t>SALA</t>
        </is>
      </c>
      <c r="F596" t="inlineStr">
        <is>
          <t>Kommuner</t>
        </is>
      </c>
      <c r="G596" t="n">
        <v>4.4</v>
      </c>
      <c r="H596" t="n">
        <v>0</v>
      </c>
      <c r="I596" t="n">
        <v>0</v>
      </c>
      <c r="J596" t="n">
        <v>0</v>
      </c>
      <c r="K596" t="n">
        <v>0</v>
      </c>
      <c r="L596" t="n">
        <v>0</v>
      </c>
      <c r="M596" t="n">
        <v>0</v>
      </c>
      <c r="N596" t="n">
        <v>0</v>
      </c>
      <c r="O596" t="n">
        <v>0</v>
      </c>
      <c r="P596" t="n">
        <v>0</v>
      </c>
      <c r="Q596" t="n">
        <v>0</v>
      </c>
      <c r="R596" s="2" t="inlineStr"/>
    </row>
    <row r="597" ht="15" customHeight="1">
      <c r="A597" t="inlineStr">
        <is>
          <t>A 44544-2024</t>
        </is>
      </c>
      <c r="B597" s="1" t="n">
        <v>45574.46119212963</v>
      </c>
      <c r="C597" s="1" t="n">
        <v>46010</v>
      </c>
      <c r="D597" t="inlineStr">
        <is>
          <t>VÄSTMANLANDS LÄN</t>
        </is>
      </c>
      <c r="E597" t="inlineStr">
        <is>
          <t>SALA</t>
        </is>
      </c>
      <c r="G597" t="n">
        <v>3.3</v>
      </c>
      <c r="H597" t="n">
        <v>0</v>
      </c>
      <c r="I597" t="n">
        <v>0</v>
      </c>
      <c r="J597" t="n">
        <v>0</v>
      </c>
      <c r="K597" t="n">
        <v>0</v>
      </c>
      <c r="L597" t="n">
        <v>0</v>
      </c>
      <c r="M597" t="n">
        <v>0</v>
      </c>
      <c r="N597" t="n">
        <v>0</v>
      </c>
      <c r="O597" t="n">
        <v>0</v>
      </c>
      <c r="P597" t="n">
        <v>0</v>
      </c>
      <c r="Q597" t="n">
        <v>0</v>
      </c>
      <c r="R597" s="2" t="inlineStr"/>
    </row>
    <row r="598" ht="15" customHeight="1">
      <c r="A598" t="inlineStr">
        <is>
          <t>A 60379-2022</t>
        </is>
      </c>
      <c r="B598" s="1" t="n">
        <v>44910</v>
      </c>
      <c r="C598" s="1" t="n">
        <v>46010</v>
      </c>
      <c r="D598" t="inlineStr">
        <is>
          <t>VÄSTMANLANDS LÄN</t>
        </is>
      </c>
      <c r="E598" t="inlineStr">
        <is>
          <t>SALA</t>
        </is>
      </c>
      <c r="F598" t="inlineStr">
        <is>
          <t>Kyrkan</t>
        </is>
      </c>
      <c r="G598" t="n">
        <v>2.5</v>
      </c>
      <c r="H598" t="n">
        <v>0</v>
      </c>
      <c r="I598" t="n">
        <v>0</v>
      </c>
      <c r="J598" t="n">
        <v>0</v>
      </c>
      <c r="K598" t="n">
        <v>0</v>
      </c>
      <c r="L598" t="n">
        <v>0</v>
      </c>
      <c r="M598" t="n">
        <v>0</v>
      </c>
      <c r="N598" t="n">
        <v>0</v>
      </c>
      <c r="O598" t="n">
        <v>0</v>
      </c>
      <c r="P598" t="n">
        <v>0</v>
      </c>
      <c r="Q598" t="n">
        <v>0</v>
      </c>
      <c r="R598" s="2" t="inlineStr"/>
    </row>
    <row r="599" ht="15" customHeight="1">
      <c r="A599" t="inlineStr">
        <is>
          <t>A 56547-2022</t>
        </is>
      </c>
      <c r="B599" s="1" t="n">
        <v>44893.48284722222</v>
      </c>
      <c r="C599" s="1" t="n">
        <v>46010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29542-2023</t>
        </is>
      </c>
      <c r="B600" s="1" t="n">
        <v>45098</v>
      </c>
      <c r="C600" s="1" t="n">
        <v>46010</v>
      </c>
      <c r="D600" t="inlineStr">
        <is>
          <t>VÄSTMANLANDS LÄN</t>
        </is>
      </c>
      <c r="E600" t="inlineStr">
        <is>
          <t>SALA</t>
        </is>
      </c>
      <c r="G600" t="n">
        <v>4.8</v>
      </c>
      <c r="H600" t="n">
        <v>0</v>
      </c>
      <c r="I600" t="n">
        <v>0</v>
      </c>
      <c r="J600" t="n">
        <v>0</v>
      </c>
      <c r="K600" t="n">
        <v>0</v>
      </c>
      <c r="L600" t="n">
        <v>0</v>
      </c>
      <c r="M600" t="n">
        <v>0</v>
      </c>
      <c r="N600" t="n">
        <v>0</v>
      </c>
      <c r="O600" t="n">
        <v>0</v>
      </c>
      <c r="P600" t="n">
        <v>0</v>
      </c>
      <c r="Q600" t="n">
        <v>0</v>
      </c>
      <c r="R600" s="2" t="inlineStr"/>
    </row>
    <row r="601" ht="15" customHeight="1">
      <c r="A601" t="inlineStr">
        <is>
          <t>A 16638-2023</t>
        </is>
      </c>
      <c r="B601" s="1" t="n">
        <v>45027</v>
      </c>
      <c r="C601" s="1" t="n">
        <v>46010</v>
      </c>
      <c r="D601" t="inlineStr">
        <is>
          <t>VÄSTMANLANDS LÄN</t>
        </is>
      </c>
      <c r="E601" t="inlineStr">
        <is>
          <t>SALA</t>
        </is>
      </c>
      <c r="G601" t="n">
        <v>14.8</v>
      </c>
      <c r="H601" t="n">
        <v>0</v>
      </c>
      <c r="I601" t="n">
        <v>0</v>
      </c>
      <c r="J601" t="n">
        <v>0</v>
      </c>
      <c r="K601" t="n">
        <v>0</v>
      </c>
      <c r="L601" t="n">
        <v>0</v>
      </c>
      <c r="M601" t="n">
        <v>0</v>
      </c>
      <c r="N601" t="n">
        <v>0</v>
      </c>
      <c r="O601" t="n">
        <v>0</v>
      </c>
      <c r="P601" t="n">
        <v>0</v>
      </c>
      <c r="Q601" t="n">
        <v>0</v>
      </c>
      <c r="R601" s="2" t="inlineStr"/>
    </row>
    <row r="602" ht="15" customHeight="1">
      <c r="A602" t="inlineStr">
        <is>
          <t>A 37190-2024</t>
        </is>
      </c>
      <c r="B602" s="1" t="n">
        <v>45539</v>
      </c>
      <c r="C602" s="1" t="n">
        <v>46010</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23222-2023</t>
        </is>
      </c>
      <c r="B603" s="1" t="n">
        <v>45075</v>
      </c>
      <c r="C603" s="1" t="n">
        <v>46010</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23224-2023</t>
        </is>
      </c>
      <c r="B604" s="1" t="n">
        <v>45075.65040509259</v>
      </c>
      <c r="C604" s="1" t="n">
        <v>46010</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22026-2021</t>
        </is>
      </c>
      <c r="B605" s="1" t="n">
        <v>44323</v>
      </c>
      <c r="C605" s="1" t="n">
        <v>46010</v>
      </c>
      <c r="D605" t="inlineStr">
        <is>
          <t>VÄSTMANLANDS LÄN</t>
        </is>
      </c>
      <c r="E605" t="inlineStr">
        <is>
          <t>SALA</t>
        </is>
      </c>
      <c r="G605" t="n">
        <v>2.9</v>
      </c>
      <c r="H605" t="n">
        <v>0</v>
      </c>
      <c r="I605" t="n">
        <v>0</v>
      </c>
      <c r="J605" t="n">
        <v>0</v>
      </c>
      <c r="K605" t="n">
        <v>0</v>
      </c>
      <c r="L605" t="n">
        <v>0</v>
      </c>
      <c r="M605" t="n">
        <v>0</v>
      </c>
      <c r="N605" t="n">
        <v>0</v>
      </c>
      <c r="O605" t="n">
        <v>0</v>
      </c>
      <c r="P605" t="n">
        <v>0</v>
      </c>
      <c r="Q605" t="n">
        <v>0</v>
      </c>
      <c r="R605" s="2" t="inlineStr"/>
    </row>
    <row r="606" ht="15" customHeight="1">
      <c r="A606" t="inlineStr">
        <is>
          <t>A 68864-2021</t>
        </is>
      </c>
      <c r="B606" s="1" t="n">
        <v>44530</v>
      </c>
      <c r="C606" s="1" t="n">
        <v>46010</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19065-2022</t>
        </is>
      </c>
      <c r="B607" s="1" t="n">
        <v>44691.44309027777</v>
      </c>
      <c r="C607" s="1" t="n">
        <v>46010</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37612-2024</t>
        </is>
      </c>
      <c r="B608" s="1" t="n">
        <v>45541</v>
      </c>
      <c r="C608" s="1" t="n">
        <v>46010</v>
      </c>
      <c r="D608" t="inlineStr">
        <is>
          <t>VÄSTMANLANDS LÄN</t>
        </is>
      </c>
      <c r="E608" t="inlineStr">
        <is>
          <t>SALA</t>
        </is>
      </c>
      <c r="G608" t="n">
        <v>2.2</v>
      </c>
      <c r="H608" t="n">
        <v>0</v>
      </c>
      <c r="I608" t="n">
        <v>0</v>
      </c>
      <c r="J608" t="n">
        <v>0</v>
      </c>
      <c r="K608" t="n">
        <v>0</v>
      </c>
      <c r="L608" t="n">
        <v>0</v>
      </c>
      <c r="M608" t="n">
        <v>0</v>
      </c>
      <c r="N608" t="n">
        <v>0</v>
      </c>
      <c r="O608" t="n">
        <v>0</v>
      </c>
      <c r="P608" t="n">
        <v>0</v>
      </c>
      <c r="Q608" t="n">
        <v>0</v>
      </c>
      <c r="R608" s="2" t="inlineStr"/>
    </row>
    <row r="609" ht="15" customHeight="1">
      <c r="A609" t="inlineStr">
        <is>
          <t>A 37615-2024</t>
        </is>
      </c>
      <c r="B609" s="1" t="n">
        <v>45541.50673611111</v>
      </c>
      <c r="C609" s="1" t="n">
        <v>46010</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18158-2025</t>
        </is>
      </c>
      <c r="B610" s="1" t="n">
        <v>45761</v>
      </c>
      <c r="C610" s="1" t="n">
        <v>46010</v>
      </c>
      <c r="D610" t="inlineStr">
        <is>
          <t>VÄSTMANLANDS LÄN</t>
        </is>
      </c>
      <c r="E610" t="inlineStr">
        <is>
          <t>SALA</t>
        </is>
      </c>
      <c r="F610" t="inlineStr">
        <is>
          <t>Bergvik skog öst AB</t>
        </is>
      </c>
      <c r="G610" t="n">
        <v>1.6</v>
      </c>
      <c r="H610" t="n">
        <v>0</v>
      </c>
      <c r="I610" t="n">
        <v>0</v>
      </c>
      <c r="J610" t="n">
        <v>0</v>
      </c>
      <c r="K610" t="n">
        <v>0</v>
      </c>
      <c r="L610" t="n">
        <v>0</v>
      </c>
      <c r="M610" t="n">
        <v>0</v>
      </c>
      <c r="N610" t="n">
        <v>0</v>
      </c>
      <c r="O610" t="n">
        <v>0</v>
      </c>
      <c r="P610" t="n">
        <v>0</v>
      </c>
      <c r="Q610" t="n">
        <v>0</v>
      </c>
      <c r="R610" s="2" t="inlineStr"/>
    </row>
    <row r="611" ht="15" customHeight="1">
      <c r="A611" t="inlineStr">
        <is>
          <t>A 9962-2025</t>
        </is>
      </c>
      <c r="B611" s="1" t="n">
        <v>45719.37072916667</v>
      </c>
      <c r="C611" s="1" t="n">
        <v>46010</v>
      </c>
      <c r="D611" t="inlineStr">
        <is>
          <t>VÄSTMANLANDS LÄN</t>
        </is>
      </c>
      <c r="E611" t="inlineStr">
        <is>
          <t>SALA</t>
        </is>
      </c>
      <c r="G611" t="n">
        <v>4.5</v>
      </c>
      <c r="H611" t="n">
        <v>0</v>
      </c>
      <c r="I611" t="n">
        <v>0</v>
      </c>
      <c r="J611" t="n">
        <v>0</v>
      </c>
      <c r="K611" t="n">
        <v>0</v>
      </c>
      <c r="L611" t="n">
        <v>0</v>
      </c>
      <c r="M611" t="n">
        <v>0</v>
      </c>
      <c r="N611" t="n">
        <v>0</v>
      </c>
      <c r="O611" t="n">
        <v>0</v>
      </c>
      <c r="P611" t="n">
        <v>0</v>
      </c>
      <c r="Q611" t="n">
        <v>0</v>
      </c>
      <c r="R611" s="2" t="inlineStr"/>
    </row>
    <row r="612" ht="15" customHeight="1">
      <c r="A612" t="inlineStr">
        <is>
          <t>A 37602-2024</t>
        </is>
      </c>
      <c r="B612" s="1" t="n">
        <v>45541</v>
      </c>
      <c r="C612" s="1" t="n">
        <v>46010</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18762-2024</t>
        </is>
      </c>
      <c r="B613" s="1" t="n">
        <v>45426.55240740741</v>
      </c>
      <c r="C613" s="1" t="n">
        <v>46010</v>
      </c>
      <c r="D613" t="inlineStr">
        <is>
          <t>VÄSTMANLANDS LÄN</t>
        </is>
      </c>
      <c r="E613" t="inlineStr">
        <is>
          <t>SALA</t>
        </is>
      </c>
      <c r="G613" t="n">
        <v>6.2</v>
      </c>
      <c r="H613" t="n">
        <v>0</v>
      </c>
      <c r="I613" t="n">
        <v>0</v>
      </c>
      <c r="J613" t="n">
        <v>0</v>
      </c>
      <c r="K613" t="n">
        <v>0</v>
      </c>
      <c r="L613" t="n">
        <v>0</v>
      </c>
      <c r="M613" t="n">
        <v>0</v>
      </c>
      <c r="N613" t="n">
        <v>0</v>
      </c>
      <c r="O613" t="n">
        <v>0</v>
      </c>
      <c r="P613" t="n">
        <v>0</v>
      </c>
      <c r="Q613" t="n">
        <v>0</v>
      </c>
      <c r="R613" s="2" t="inlineStr"/>
    </row>
    <row r="614" ht="15" customHeight="1">
      <c r="A614" t="inlineStr">
        <is>
          <t>A 39011-2023</t>
        </is>
      </c>
      <c r="B614" s="1" t="n">
        <v>45162</v>
      </c>
      <c r="C614" s="1" t="n">
        <v>46010</v>
      </c>
      <c r="D614" t="inlineStr">
        <is>
          <t>VÄSTMANLANDS LÄN</t>
        </is>
      </c>
      <c r="E614" t="inlineStr">
        <is>
          <t>SALA</t>
        </is>
      </c>
      <c r="G614" t="n">
        <v>1.6</v>
      </c>
      <c r="H614" t="n">
        <v>0</v>
      </c>
      <c r="I614" t="n">
        <v>0</v>
      </c>
      <c r="J614" t="n">
        <v>0</v>
      </c>
      <c r="K614" t="n">
        <v>0</v>
      </c>
      <c r="L614" t="n">
        <v>0</v>
      </c>
      <c r="M614" t="n">
        <v>0</v>
      </c>
      <c r="N614" t="n">
        <v>0</v>
      </c>
      <c r="O614" t="n">
        <v>0</v>
      </c>
      <c r="P614" t="n">
        <v>0</v>
      </c>
      <c r="Q614" t="n">
        <v>0</v>
      </c>
      <c r="R614" s="2" t="inlineStr"/>
    </row>
    <row r="615" ht="15" customHeight="1">
      <c r="A615" t="inlineStr">
        <is>
          <t>A 46352-2023</t>
        </is>
      </c>
      <c r="B615" s="1" t="n">
        <v>45192</v>
      </c>
      <c r="C615" s="1" t="n">
        <v>46010</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43751-2021</t>
        </is>
      </c>
      <c r="B616" s="1" t="n">
        <v>44433</v>
      </c>
      <c r="C616" s="1" t="n">
        <v>46010</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1128-2025</t>
        </is>
      </c>
      <c r="B617" s="1" t="n">
        <v>45666.68469907407</v>
      </c>
      <c r="C617" s="1" t="n">
        <v>46010</v>
      </c>
      <c r="D617" t="inlineStr">
        <is>
          <t>VÄSTMANLANDS LÄN</t>
        </is>
      </c>
      <c r="E617" t="inlineStr">
        <is>
          <t>SALA</t>
        </is>
      </c>
      <c r="G617" t="n">
        <v>2.5</v>
      </c>
      <c r="H617" t="n">
        <v>0</v>
      </c>
      <c r="I617" t="n">
        <v>0</v>
      </c>
      <c r="J617" t="n">
        <v>0</v>
      </c>
      <c r="K617" t="n">
        <v>0</v>
      </c>
      <c r="L617" t="n">
        <v>0</v>
      </c>
      <c r="M617" t="n">
        <v>0</v>
      </c>
      <c r="N617" t="n">
        <v>0</v>
      </c>
      <c r="O617" t="n">
        <v>0</v>
      </c>
      <c r="P617" t="n">
        <v>0</v>
      </c>
      <c r="Q617" t="n">
        <v>0</v>
      </c>
      <c r="R617" s="2" t="inlineStr"/>
    </row>
    <row r="618" ht="15" customHeight="1">
      <c r="A618" t="inlineStr">
        <is>
          <t>A 31950-2023</t>
        </is>
      </c>
      <c r="B618" s="1" t="n">
        <v>45107</v>
      </c>
      <c r="C618" s="1" t="n">
        <v>46010</v>
      </c>
      <c r="D618" t="inlineStr">
        <is>
          <t>VÄSTMANLANDS LÄN</t>
        </is>
      </c>
      <c r="E618" t="inlineStr">
        <is>
          <t>SALA</t>
        </is>
      </c>
      <c r="G618" t="n">
        <v>0.1</v>
      </c>
      <c r="H618" t="n">
        <v>0</v>
      </c>
      <c r="I618" t="n">
        <v>0</v>
      </c>
      <c r="J618" t="n">
        <v>0</v>
      </c>
      <c r="K618" t="n">
        <v>0</v>
      </c>
      <c r="L618" t="n">
        <v>0</v>
      </c>
      <c r="M618" t="n">
        <v>0</v>
      </c>
      <c r="N618" t="n">
        <v>0</v>
      </c>
      <c r="O618" t="n">
        <v>0</v>
      </c>
      <c r="P618" t="n">
        <v>0</v>
      </c>
      <c r="Q618" t="n">
        <v>0</v>
      </c>
      <c r="R618" s="2" t="inlineStr"/>
    </row>
    <row r="619" ht="15" customHeight="1">
      <c r="A619" t="inlineStr">
        <is>
          <t>A 56540-2024</t>
        </is>
      </c>
      <c r="B619" s="1" t="n">
        <v>45625</v>
      </c>
      <c r="C619" s="1" t="n">
        <v>46010</v>
      </c>
      <c r="D619" t="inlineStr">
        <is>
          <t>VÄSTMANLANDS LÄN</t>
        </is>
      </c>
      <c r="E619" t="inlineStr">
        <is>
          <t>SALA</t>
        </is>
      </c>
      <c r="G619" t="n">
        <v>1.8</v>
      </c>
      <c r="H619" t="n">
        <v>0</v>
      </c>
      <c r="I619" t="n">
        <v>0</v>
      </c>
      <c r="J619" t="n">
        <v>0</v>
      </c>
      <c r="K619" t="n">
        <v>0</v>
      </c>
      <c r="L619" t="n">
        <v>0</v>
      </c>
      <c r="M619" t="n">
        <v>0</v>
      </c>
      <c r="N619" t="n">
        <v>0</v>
      </c>
      <c r="O619" t="n">
        <v>0</v>
      </c>
      <c r="P619" t="n">
        <v>0</v>
      </c>
      <c r="Q619" t="n">
        <v>0</v>
      </c>
      <c r="R619" s="2" t="inlineStr"/>
    </row>
    <row r="620" ht="15" customHeight="1">
      <c r="A620" t="inlineStr">
        <is>
          <t>A 6116-2023</t>
        </is>
      </c>
      <c r="B620" s="1" t="n">
        <v>44964</v>
      </c>
      <c r="C620" s="1" t="n">
        <v>46010</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25860-2024</t>
        </is>
      </c>
      <c r="B621" s="1" t="n">
        <v>45467.46278935186</v>
      </c>
      <c r="C621" s="1" t="n">
        <v>46010</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10154-2021</t>
        </is>
      </c>
      <c r="B622" s="1" t="n">
        <v>44256</v>
      </c>
      <c r="C622" s="1" t="n">
        <v>46010</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56916-2022</t>
        </is>
      </c>
      <c r="B623" s="1" t="n">
        <v>44888</v>
      </c>
      <c r="C623" s="1" t="n">
        <v>46010</v>
      </c>
      <c r="D623" t="inlineStr">
        <is>
          <t>VÄSTMANLANDS LÄN</t>
        </is>
      </c>
      <c r="E623" t="inlineStr">
        <is>
          <t>SALA</t>
        </is>
      </c>
      <c r="G623" t="n">
        <v>1.7</v>
      </c>
      <c r="H623" t="n">
        <v>0</v>
      </c>
      <c r="I623" t="n">
        <v>0</v>
      </c>
      <c r="J623" t="n">
        <v>0</v>
      </c>
      <c r="K623" t="n">
        <v>0</v>
      </c>
      <c r="L623" t="n">
        <v>0</v>
      </c>
      <c r="M623" t="n">
        <v>0</v>
      </c>
      <c r="N623" t="n">
        <v>0</v>
      </c>
      <c r="O623" t="n">
        <v>0</v>
      </c>
      <c r="P623" t="n">
        <v>0</v>
      </c>
      <c r="Q623" t="n">
        <v>0</v>
      </c>
      <c r="R623" s="2" t="inlineStr"/>
    </row>
    <row r="624" ht="15" customHeight="1">
      <c r="A624" t="inlineStr">
        <is>
          <t>A 71471-2021</t>
        </is>
      </c>
      <c r="B624" s="1" t="n">
        <v>44540.53421296296</v>
      </c>
      <c r="C624" s="1" t="n">
        <v>46010</v>
      </c>
      <c r="D624" t="inlineStr">
        <is>
          <t>VÄSTMANLANDS LÄN</t>
        </is>
      </c>
      <c r="E624" t="inlineStr">
        <is>
          <t>SALA</t>
        </is>
      </c>
      <c r="G624" t="n">
        <v>13</v>
      </c>
      <c r="H624" t="n">
        <v>0</v>
      </c>
      <c r="I624" t="n">
        <v>0</v>
      </c>
      <c r="J624" t="n">
        <v>0</v>
      </c>
      <c r="K624" t="n">
        <v>0</v>
      </c>
      <c r="L624" t="n">
        <v>0</v>
      </c>
      <c r="M624" t="n">
        <v>0</v>
      </c>
      <c r="N624" t="n">
        <v>0</v>
      </c>
      <c r="O624" t="n">
        <v>0</v>
      </c>
      <c r="P624" t="n">
        <v>0</v>
      </c>
      <c r="Q624" t="n">
        <v>0</v>
      </c>
      <c r="R624" s="2" t="inlineStr"/>
    </row>
    <row r="625" ht="15" customHeight="1">
      <c r="A625" t="inlineStr">
        <is>
          <t>A 13987-2023</t>
        </is>
      </c>
      <c r="B625" s="1" t="n">
        <v>45007</v>
      </c>
      <c r="C625" s="1" t="n">
        <v>46010</v>
      </c>
      <c r="D625" t="inlineStr">
        <is>
          <t>VÄSTMANLANDS LÄN</t>
        </is>
      </c>
      <c r="E625" t="inlineStr">
        <is>
          <t>SALA</t>
        </is>
      </c>
      <c r="G625" t="n">
        <v>3.2</v>
      </c>
      <c r="H625" t="n">
        <v>0</v>
      </c>
      <c r="I625" t="n">
        <v>0</v>
      </c>
      <c r="J625" t="n">
        <v>0</v>
      </c>
      <c r="K625" t="n">
        <v>0</v>
      </c>
      <c r="L625" t="n">
        <v>0</v>
      </c>
      <c r="M625" t="n">
        <v>0</v>
      </c>
      <c r="N625" t="n">
        <v>0</v>
      </c>
      <c r="O625" t="n">
        <v>0</v>
      </c>
      <c r="P625" t="n">
        <v>0</v>
      </c>
      <c r="Q625" t="n">
        <v>0</v>
      </c>
      <c r="R625" s="2" t="inlineStr"/>
    </row>
    <row r="626" ht="15" customHeight="1">
      <c r="A626" t="inlineStr">
        <is>
          <t>A 13990-2023</t>
        </is>
      </c>
      <c r="B626" s="1" t="n">
        <v>45007</v>
      </c>
      <c r="C626" s="1" t="n">
        <v>46010</v>
      </c>
      <c r="D626" t="inlineStr">
        <is>
          <t>VÄSTMANLANDS LÄN</t>
        </is>
      </c>
      <c r="E626" t="inlineStr">
        <is>
          <t>SALA</t>
        </is>
      </c>
      <c r="G626" t="n">
        <v>2.6</v>
      </c>
      <c r="H626" t="n">
        <v>0</v>
      </c>
      <c r="I626" t="n">
        <v>0</v>
      </c>
      <c r="J626" t="n">
        <v>0</v>
      </c>
      <c r="K626" t="n">
        <v>0</v>
      </c>
      <c r="L626" t="n">
        <v>0</v>
      </c>
      <c r="M626" t="n">
        <v>0</v>
      </c>
      <c r="N626" t="n">
        <v>0</v>
      </c>
      <c r="O626" t="n">
        <v>0</v>
      </c>
      <c r="P626" t="n">
        <v>0</v>
      </c>
      <c r="Q626" t="n">
        <v>0</v>
      </c>
      <c r="R626" s="2" t="inlineStr"/>
    </row>
    <row r="627" ht="15" customHeight="1">
      <c r="A627" t="inlineStr">
        <is>
          <t>A 1993-2022</t>
        </is>
      </c>
      <c r="B627" s="1" t="n">
        <v>44575</v>
      </c>
      <c r="C627" s="1" t="n">
        <v>46010</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17051-2025</t>
        </is>
      </c>
      <c r="B628" s="1" t="n">
        <v>45755</v>
      </c>
      <c r="C628" s="1" t="n">
        <v>46010</v>
      </c>
      <c r="D628" t="inlineStr">
        <is>
          <t>VÄSTMANLANDS LÄN</t>
        </is>
      </c>
      <c r="E628" t="inlineStr">
        <is>
          <t>SALA</t>
        </is>
      </c>
      <c r="G628" t="n">
        <v>2.9</v>
      </c>
      <c r="H628" t="n">
        <v>0</v>
      </c>
      <c r="I628" t="n">
        <v>0</v>
      </c>
      <c r="J628" t="n">
        <v>0</v>
      </c>
      <c r="K628" t="n">
        <v>0</v>
      </c>
      <c r="L628" t="n">
        <v>0</v>
      </c>
      <c r="M628" t="n">
        <v>0</v>
      </c>
      <c r="N628" t="n">
        <v>0</v>
      </c>
      <c r="O628" t="n">
        <v>0</v>
      </c>
      <c r="P628" t="n">
        <v>0</v>
      </c>
      <c r="Q628" t="n">
        <v>0</v>
      </c>
      <c r="R628" s="2" t="inlineStr"/>
    </row>
    <row r="629" ht="15" customHeight="1">
      <c r="A629" t="inlineStr">
        <is>
          <t>A 43509-2021</t>
        </is>
      </c>
      <c r="B629" s="1" t="n">
        <v>44433</v>
      </c>
      <c r="C629" s="1" t="n">
        <v>46010</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54959-2024</t>
        </is>
      </c>
      <c r="B630" s="1" t="n">
        <v>45619</v>
      </c>
      <c r="C630" s="1" t="n">
        <v>46010</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56964-2023</t>
        </is>
      </c>
      <c r="B631" s="1" t="n">
        <v>45244.63140046296</v>
      </c>
      <c r="C631" s="1" t="n">
        <v>46010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37337-2024</t>
        </is>
      </c>
      <c r="B632" s="1" t="n">
        <v>45540</v>
      </c>
      <c r="C632" s="1" t="n">
        <v>46010</v>
      </c>
      <c r="D632" t="inlineStr">
        <is>
          <t>VÄSTMANLANDS LÄN</t>
        </is>
      </c>
      <c r="E632" t="inlineStr">
        <is>
          <t>SALA</t>
        </is>
      </c>
      <c r="G632" t="n">
        <v>6.5</v>
      </c>
      <c r="H632" t="n">
        <v>0</v>
      </c>
      <c r="I632" t="n">
        <v>0</v>
      </c>
      <c r="J632" t="n">
        <v>0</v>
      </c>
      <c r="K632" t="n">
        <v>0</v>
      </c>
      <c r="L632" t="n">
        <v>0</v>
      </c>
      <c r="M632" t="n">
        <v>0</v>
      </c>
      <c r="N632" t="n">
        <v>0</v>
      </c>
      <c r="O632" t="n">
        <v>0</v>
      </c>
      <c r="P632" t="n">
        <v>0</v>
      </c>
      <c r="Q632" t="n">
        <v>0</v>
      </c>
      <c r="R632" s="2" t="inlineStr"/>
    </row>
    <row r="633" ht="15" customHeight="1">
      <c r="A633" t="inlineStr">
        <is>
          <t>A 17120-2023</t>
        </is>
      </c>
      <c r="B633" s="1" t="n">
        <v>45034</v>
      </c>
      <c r="C633" s="1" t="n">
        <v>46010</v>
      </c>
      <c r="D633" t="inlineStr">
        <is>
          <t>VÄSTMANLANDS LÄN</t>
        </is>
      </c>
      <c r="E633" t="inlineStr">
        <is>
          <t>SALA</t>
        </is>
      </c>
      <c r="G633" t="n">
        <v>0.1</v>
      </c>
      <c r="H633" t="n">
        <v>0</v>
      </c>
      <c r="I633" t="n">
        <v>0</v>
      </c>
      <c r="J633" t="n">
        <v>0</v>
      </c>
      <c r="K633" t="n">
        <v>0</v>
      </c>
      <c r="L633" t="n">
        <v>0</v>
      </c>
      <c r="M633" t="n">
        <v>0</v>
      </c>
      <c r="N633" t="n">
        <v>0</v>
      </c>
      <c r="O633" t="n">
        <v>0</v>
      </c>
      <c r="P633" t="n">
        <v>0</v>
      </c>
      <c r="Q633" t="n">
        <v>0</v>
      </c>
      <c r="R633" s="2" t="inlineStr"/>
    </row>
    <row r="634" ht="15" customHeight="1">
      <c r="A634" t="inlineStr">
        <is>
          <t>A 34494-2023</t>
        </is>
      </c>
      <c r="B634" s="1" t="n">
        <v>45133</v>
      </c>
      <c r="C634" s="1" t="n">
        <v>46010</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10579-2022</t>
        </is>
      </c>
      <c r="B635" s="1" t="n">
        <v>44624</v>
      </c>
      <c r="C635" s="1" t="n">
        <v>46010</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9335-2022</t>
        </is>
      </c>
      <c r="B636" s="1" t="n">
        <v>44616.56579861111</v>
      </c>
      <c r="C636" s="1" t="n">
        <v>46010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45313-2024</t>
        </is>
      </c>
      <c r="B637" s="1" t="n">
        <v>45576</v>
      </c>
      <c r="C637" s="1" t="n">
        <v>46010</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23119-2022</t>
        </is>
      </c>
      <c r="B638" s="1" t="n">
        <v>44719.56697916667</v>
      </c>
      <c r="C638" s="1" t="n">
        <v>46010</v>
      </c>
      <c r="D638" t="inlineStr">
        <is>
          <t>VÄSTMANLANDS LÄN</t>
        </is>
      </c>
      <c r="E638" t="inlineStr">
        <is>
          <t>SALA</t>
        </is>
      </c>
      <c r="G638" t="n">
        <v>7</v>
      </c>
      <c r="H638" t="n">
        <v>0</v>
      </c>
      <c r="I638" t="n">
        <v>0</v>
      </c>
      <c r="J638" t="n">
        <v>0</v>
      </c>
      <c r="K638" t="n">
        <v>0</v>
      </c>
      <c r="L638" t="n">
        <v>0</v>
      </c>
      <c r="M638" t="n">
        <v>0</v>
      </c>
      <c r="N638" t="n">
        <v>0</v>
      </c>
      <c r="O638" t="n">
        <v>0</v>
      </c>
      <c r="P638" t="n">
        <v>0</v>
      </c>
      <c r="Q638" t="n">
        <v>0</v>
      </c>
      <c r="R638" s="2" t="inlineStr"/>
    </row>
    <row r="639" ht="15" customHeight="1">
      <c r="A639" t="inlineStr">
        <is>
          <t>A 1196-2023</t>
        </is>
      </c>
      <c r="B639" s="1" t="n">
        <v>44935.82290509259</v>
      </c>
      <c r="C639" s="1" t="n">
        <v>46010</v>
      </c>
      <c r="D639" t="inlineStr">
        <is>
          <t>VÄSTMANLANDS LÄN</t>
        </is>
      </c>
      <c r="E639" t="inlineStr">
        <is>
          <t>SALA</t>
        </is>
      </c>
      <c r="G639" t="n">
        <v>4.1</v>
      </c>
      <c r="H639" t="n">
        <v>0</v>
      </c>
      <c r="I639" t="n">
        <v>0</v>
      </c>
      <c r="J639" t="n">
        <v>0</v>
      </c>
      <c r="K639" t="n">
        <v>0</v>
      </c>
      <c r="L639" t="n">
        <v>0</v>
      </c>
      <c r="M639" t="n">
        <v>0</v>
      </c>
      <c r="N639" t="n">
        <v>0</v>
      </c>
      <c r="O639" t="n">
        <v>0</v>
      </c>
      <c r="P639" t="n">
        <v>0</v>
      </c>
      <c r="Q639" t="n">
        <v>0</v>
      </c>
      <c r="R639" s="2" t="inlineStr"/>
    </row>
    <row r="640" ht="15" customHeight="1">
      <c r="A640" t="inlineStr">
        <is>
          <t>A 52503-2024</t>
        </is>
      </c>
      <c r="B640" s="1" t="n">
        <v>45609.58806712963</v>
      </c>
      <c r="C640" s="1" t="n">
        <v>46010</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7953-2024</t>
        </is>
      </c>
      <c r="B641" s="1" t="n">
        <v>45350</v>
      </c>
      <c r="C641" s="1" t="n">
        <v>46010</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30028-2024</t>
        </is>
      </c>
      <c r="B642" s="1" t="n">
        <v>45485</v>
      </c>
      <c r="C642" s="1" t="n">
        <v>46010</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7950-2025</t>
        </is>
      </c>
      <c r="B643" s="1" t="n">
        <v>45707.41799768519</v>
      </c>
      <c r="C643" s="1" t="n">
        <v>46010</v>
      </c>
      <c r="D643" t="inlineStr">
        <is>
          <t>VÄSTMANLANDS LÄN</t>
        </is>
      </c>
      <c r="E643" t="inlineStr">
        <is>
          <t>SALA</t>
        </is>
      </c>
      <c r="G643" t="n">
        <v>3.2</v>
      </c>
      <c r="H643" t="n">
        <v>0</v>
      </c>
      <c r="I643" t="n">
        <v>0</v>
      </c>
      <c r="J643" t="n">
        <v>0</v>
      </c>
      <c r="K643" t="n">
        <v>0</v>
      </c>
      <c r="L643" t="n">
        <v>0</v>
      </c>
      <c r="M643" t="n">
        <v>0</v>
      </c>
      <c r="N643" t="n">
        <v>0</v>
      </c>
      <c r="O643" t="n">
        <v>0</v>
      </c>
      <c r="P643" t="n">
        <v>0</v>
      </c>
      <c r="Q643" t="n">
        <v>0</v>
      </c>
      <c r="R643" s="2" t="inlineStr"/>
    </row>
    <row r="644" ht="15" customHeight="1">
      <c r="A644" t="inlineStr">
        <is>
          <t>A 27657-2023</t>
        </is>
      </c>
      <c r="B644" s="1" t="n">
        <v>45097.76631944445</v>
      </c>
      <c r="C644" s="1" t="n">
        <v>46010</v>
      </c>
      <c r="D644" t="inlineStr">
        <is>
          <t>VÄSTMANLANDS LÄN</t>
        </is>
      </c>
      <c r="E644" t="inlineStr">
        <is>
          <t>SALA</t>
        </is>
      </c>
      <c r="G644" t="n">
        <v>0.1</v>
      </c>
      <c r="H644" t="n">
        <v>0</v>
      </c>
      <c r="I644" t="n">
        <v>0</v>
      </c>
      <c r="J644" t="n">
        <v>0</v>
      </c>
      <c r="K644" t="n">
        <v>0</v>
      </c>
      <c r="L644" t="n">
        <v>0</v>
      </c>
      <c r="M644" t="n">
        <v>0</v>
      </c>
      <c r="N644" t="n">
        <v>0</v>
      </c>
      <c r="O644" t="n">
        <v>0</v>
      </c>
      <c r="P644" t="n">
        <v>0</v>
      </c>
      <c r="Q644" t="n">
        <v>0</v>
      </c>
      <c r="R644" s="2" t="inlineStr"/>
    </row>
    <row r="645" ht="15" customHeight="1">
      <c r="A645" t="inlineStr">
        <is>
          <t>A 13855-2023</t>
        </is>
      </c>
      <c r="B645" s="1" t="n">
        <v>45007</v>
      </c>
      <c r="C645" s="1" t="n">
        <v>46010</v>
      </c>
      <c r="D645" t="inlineStr">
        <is>
          <t>VÄSTMANLANDS LÄN</t>
        </is>
      </c>
      <c r="E645" t="inlineStr">
        <is>
          <t>SALA</t>
        </is>
      </c>
      <c r="G645" t="n">
        <v>2.9</v>
      </c>
      <c r="H645" t="n">
        <v>0</v>
      </c>
      <c r="I645" t="n">
        <v>0</v>
      </c>
      <c r="J645" t="n">
        <v>0</v>
      </c>
      <c r="K645" t="n">
        <v>0</v>
      </c>
      <c r="L645" t="n">
        <v>0</v>
      </c>
      <c r="M645" t="n">
        <v>0</v>
      </c>
      <c r="N645" t="n">
        <v>0</v>
      </c>
      <c r="O645" t="n">
        <v>0</v>
      </c>
      <c r="P645" t="n">
        <v>0</v>
      </c>
      <c r="Q645" t="n">
        <v>0</v>
      </c>
      <c r="R645" s="2" t="inlineStr"/>
    </row>
    <row r="646" ht="15" customHeight="1">
      <c r="A646" t="inlineStr">
        <is>
          <t>A 33309-2022</t>
        </is>
      </c>
      <c r="B646" s="1" t="n">
        <v>44788.40986111111</v>
      </c>
      <c r="C646" s="1" t="n">
        <v>46010</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47909-2022</t>
        </is>
      </c>
      <c r="B647" s="1" t="n">
        <v>44855</v>
      </c>
      <c r="C647" s="1" t="n">
        <v>46010</v>
      </c>
      <c r="D647" t="inlineStr">
        <is>
          <t>VÄSTMANLANDS LÄN</t>
        </is>
      </c>
      <c r="E647" t="inlineStr">
        <is>
          <t>SALA</t>
        </is>
      </c>
      <c r="F647" t="inlineStr">
        <is>
          <t>Bergvik skog öst AB</t>
        </is>
      </c>
      <c r="G647" t="n">
        <v>2</v>
      </c>
      <c r="H647" t="n">
        <v>0</v>
      </c>
      <c r="I647" t="n">
        <v>0</v>
      </c>
      <c r="J647" t="n">
        <v>0</v>
      </c>
      <c r="K647" t="n">
        <v>0</v>
      </c>
      <c r="L647" t="n">
        <v>0</v>
      </c>
      <c r="M647" t="n">
        <v>0</v>
      </c>
      <c r="N647" t="n">
        <v>0</v>
      </c>
      <c r="O647" t="n">
        <v>0</v>
      </c>
      <c r="P647" t="n">
        <v>0</v>
      </c>
      <c r="Q647" t="n">
        <v>0</v>
      </c>
      <c r="R647" s="2" t="inlineStr"/>
    </row>
    <row r="648" ht="15" customHeight="1">
      <c r="A648" t="inlineStr">
        <is>
          <t>A 15272-2025</t>
        </is>
      </c>
      <c r="B648" s="1" t="n">
        <v>45744</v>
      </c>
      <c r="C648" s="1" t="n">
        <v>46010</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44992.57782407408</v>
      </c>
      <c r="C649" s="1" t="n">
        <v>46010</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46010</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53838-2022</t>
        </is>
      </c>
      <c r="B651" s="1" t="n">
        <v>44880.59363425926</v>
      </c>
      <c r="C651" s="1" t="n">
        <v>46010</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6088-2021</t>
        </is>
      </c>
      <c r="B652" s="1" t="n">
        <v>44232</v>
      </c>
      <c r="C652" s="1" t="n">
        <v>46010</v>
      </c>
      <c r="D652" t="inlineStr">
        <is>
          <t>VÄSTMANLANDS LÄN</t>
        </is>
      </c>
      <c r="E652" t="inlineStr">
        <is>
          <t>SALA</t>
        </is>
      </c>
      <c r="G652" t="n">
        <v>0.2</v>
      </c>
      <c r="H652" t="n">
        <v>0</v>
      </c>
      <c r="I652" t="n">
        <v>0</v>
      </c>
      <c r="J652" t="n">
        <v>0</v>
      </c>
      <c r="K652" t="n">
        <v>0</v>
      </c>
      <c r="L652" t="n">
        <v>0</v>
      </c>
      <c r="M652" t="n">
        <v>0</v>
      </c>
      <c r="N652" t="n">
        <v>0</v>
      </c>
      <c r="O652" t="n">
        <v>0</v>
      </c>
      <c r="P652" t="n">
        <v>0</v>
      </c>
      <c r="Q652" t="n">
        <v>0</v>
      </c>
      <c r="R652" s="2" t="inlineStr"/>
    </row>
    <row r="653" ht="15" customHeight="1">
      <c r="A653" t="inlineStr">
        <is>
          <t>A 53166-2024</t>
        </is>
      </c>
      <c r="B653" s="1" t="n">
        <v>45611</v>
      </c>
      <c r="C653" s="1" t="n">
        <v>46010</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28827-2022</t>
        </is>
      </c>
      <c r="B654" s="1" t="n">
        <v>44749.45561342593</v>
      </c>
      <c r="C654" s="1" t="n">
        <v>46010</v>
      </c>
      <c r="D654" t="inlineStr">
        <is>
          <t>VÄSTMANLANDS LÄN</t>
        </is>
      </c>
      <c r="E654" t="inlineStr">
        <is>
          <t>SALA</t>
        </is>
      </c>
      <c r="F654" t="inlineStr">
        <is>
          <t>Kommuner</t>
        </is>
      </c>
      <c r="G654" t="n">
        <v>11.9</v>
      </c>
      <c r="H654" t="n">
        <v>0</v>
      </c>
      <c r="I654" t="n">
        <v>0</v>
      </c>
      <c r="J654" t="n">
        <v>0</v>
      </c>
      <c r="K654" t="n">
        <v>0</v>
      </c>
      <c r="L654" t="n">
        <v>0</v>
      </c>
      <c r="M654" t="n">
        <v>0</v>
      </c>
      <c r="N654" t="n">
        <v>0</v>
      </c>
      <c r="O654" t="n">
        <v>0</v>
      </c>
      <c r="P654" t="n">
        <v>0</v>
      </c>
      <c r="Q654" t="n">
        <v>0</v>
      </c>
      <c r="R654" s="2" t="inlineStr"/>
    </row>
    <row r="655" ht="15" customHeight="1">
      <c r="A655" t="inlineStr">
        <is>
          <t>A 17866-2025</t>
        </is>
      </c>
      <c r="B655" s="1" t="n">
        <v>45758</v>
      </c>
      <c r="C655" s="1" t="n">
        <v>46010</v>
      </c>
      <c r="D655" t="inlineStr">
        <is>
          <t>VÄSTMANLANDS LÄN</t>
        </is>
      </c>
      <c r="E655" t="inlineStr">
        <is>
          <t>SALA</t>
        </is>
      </c>
      <c r="F655" t="inlineStr">
        <is>
          <t>Bergvik skog öst AB</t>
        </is>
      </c>
      <c r="G655" t="n">
        <v>2.1</v>
      </c>
      <c r="H655" t="n">
        <v>0</v>
      </c>
      <c r="I655" t="n">
        <v>0</v>
      </c>
      <c r="J655" t="n">
        <v>0</v>
      </c>
      <c r="K655" t="n">
        <v>0</v>
      </c>
      <c r="L655" t="n">
        <v>0</v>
      </c>
      <c r="M655" t="n">
        <v>0</v>
      </c>
      <c r="N655" t="n">
        <v>0</v>
      </c>
      <c r="O655" t="n">
        <v>0</v>
      </c>
      <c r="P655" t="n">
        <v>0</v>
      </c>
      <c r="Q655" t="n">
        <v>0</v>
      </c>
      <c r="R655" s="2" t="inlineStr"/>
    </row>
    <row r="656" ht="15" customHeight="1">
      <c r="A656" t="inlineStr">
        <is>
          <t>A 54836-2024</t>
        </is>
      </c>
      <c r="B656" s="1" t="n">
        <v>45618</v>
      </c>
      <c r="C656" s="1" t="n">
        <v>46010</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64729-2023</t>
        </is>
      </c>
      <c r="B657" s="1" t="n">
        <v>45281</v>
      </c>
      <c r="C657" s="1" t="n">
        <v>46010</v>
      </c>
      <c r="D657" t="inlineStr">
        <is>
          <t>VÄSTMANLANDS LÄN</t>
        </is>
      </c>
      <c r="E657" t="inlineStr">
        <is>
          <t>SALA</t>
        </is>
      </c>
      <c r="G657" t="n">
        <v>1.8</v>
      </c>
      <c r="H657" t="n">
        <v>0</v>
      </c>
      <c r="I657" t="n">
        <v>0</v>
      </c>
      <c r="J657" t="n">
        <v>0</v>
      </c>
      <c r="K657" t="n">
        <v>0</v>
      </c>
      <c r="L657" t="n">
        <v>0</v>
      </c>
      <c r="M657" t="n">
        <v>0</v>
      </c>
      <c r="N657" t="n">
        <v>0</v>
      </c>
      <c r="O657" t="n">
        <v>0</v>
      </c>
      <c r="P657" t="n">
        <v>0</v>
      </c>
      <c r="Q657" t="n">
        <v>0</v>
      </c>
      <c r="R657" s="2" t="inlineStr"/>
    </row>
    <row r="658" ht="15" customHeight="1">
      <c r="A658" t="inlineStr">
        <is>
          <t>A 10585-2022</t>
        </is>
      </c>
      <c r="B658" s="1" t="n">
        <v>44624</v>
      </c>
      <c r="C658" s="1" t="n">
        <v>46010</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22523-2023</t>
        </is>
      </c>
      <c r="B659" s="1" t="n">
        <v>45069</v>
      </c>
      <c r="C659" s="1" t="n">
        <v>46010</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31609-2024</t>
        </is>
      </c>
      <c r="B660" s="1" t="n">
        <v>45506</v>
      </c>
      <c r="C660" s="1" t="n">
        <v>46010</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56057-2023</t>
        </is>
      </c>
      <c r="B661" s="1" t="n">
        <v>45233</v>
      </c>
      <c r="C661" s="1" t="n">
        <v>46010</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62635-2022</t>
        </is>
      </c>
      <c r="B662" s="1" t="n">
        <v>44917</v>
      </c>
      <c r="C662" s="1" t="n">
        <v>46010</v>
      </c>
      <c r="D662" t="inlineStr">
        <is>
          <t>VÄSTMANLANDS LÄN</t>
        </is>
      </c>
      <c r="E662" t="inlineStr">
        <is>
          <t>SALA</t>
        </is>
      </c>
      <c r="G662" t="n">
        <v>0.4</v>
      </c>
      <c r="H662" t="n">
        <v>0</v>
      </c>
      <c r="I662" t="n">
        <v>0</v>
      </c>
      <c r="J662" t="n">
        <v>0</v>
      </c>
      <c r="K662" t="n">
        <v>0</v>
      </c>
      <c r="L662" t="n">
        <v>0</v>
      </c>
      <c r="M662" t="n">
        <v>0</v>
      </c>
      <c r="N662" t="n">
        <v>0</v>
      </c>
      <c r="O662" t="n">
        <v>0</v>
      </c>
      <c r="P662" t="n">
        <v>0</v>
      </c>
      <c r="Q662" t="n">
        <v>0</v>
      </c>
      <c r="R662" s="2" t="inlineStr"/>
    </row>
    <row r="663" ht="15" customHeight="1">
      <c r="A663" t="inlineStr">
        <is>
          <t>A 4852-2023</t>
        </is>
      </c>
      <c r="B663" s="1" t="n">
        <v>44957.72496527778</v>
      </c>
      <c r="C663" s="1" t="n">
        <v>46010</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39714-2023</t>
        </is>
      </c>
      <c r="B664" s="1" t="n">
        <v>45167.62133101852</v>
      </c>
      <c r="C664" s="1" t="n">
        <v>46010</v>
      </c>
      <c r="D664" t="inlineStr">
        <is>
          <t>VÄSTMANLANDS LÄN</t>
        </is>
      </c>
      <c r="E664" t="inlineStr">
        <is>
          <t>SALA</t>
        </is>
      </c>
      <c r="G664" t="n">
        <v>1.3</v>
      </c>
      <c r="H664" t="n">
        <v>0</v>
      </c>
      <c r="I664" t="n">
        <v>0</v>
      </c>
      <c r="J664" t="n">
        <v>0</v>
      </c>
      <c r="K664" t="n">
        <v>0</v>
      </c>
      <c r="L664" t="n">
        <v>0</v>
      </c>
      <c r="M664" t="n">
        <v>0</v>
      </c>
      <c r="N664" t="n">
        <v>0</v>
      </c>
      <c r="O664" t="n">
        <v>0</v>
      </c>
      <c r="P664" t="n">
        <v>0</v>
      </c>
      <c r="Q664" t="n">
        <v>0</v>
      </c>
      <c r="R664" s="2" t="inlineStr"/>
    </row>
    <row r="665" ht="15" customHeight="1">
      <c r="A665" t="inlineStr">
        <is>
          <t>A 42984-2023</t>
        </is>
      </c>
      <c r="B665" s="1" t="n">
        <v>45179</v>
      </c>
      <c r="C665" s="1" t="n">
        <v>46010</v>
      </c>
      <c r="D665" t="inlineStr">
        <is>
          <t>VÄSTMANLANDS LÄN</t>
        </is>
      </c>
      <c r="E665" t="inlineStr">
        <is>
          <t>SALA</t>
        </is>
      </c>
      <c r="G665" t="n">
        <v>1.1</v>
      </c>
      <c r="H665" t="n">
        <v>0</v>
      </c>
      <c r="I665" t="n">
        <v>0</v>
      </c>
      <c r="J665" t="n">
        <v>0</v>
      </c>
      <c r="K665" t="n">
        <v>0</v>
      </c>
      <c r="L665" t="n">
        <v>0</v>
      </c>
      <c r="M665" t="n">
        <v>0</v>
      </c>
      <c r="N665" t="n">
        <v>0</v>
      </c>
      <c r="O665" t="n">
        <v>0</v>
      </c>
      <c r="P665" t="n">
        <v>0</v>
      </c>
      <c r="Q665" t="n">
        <v>0</v>
      </c>
      <c r="R665" s="2" t="inlineStr"/>
    </row>
    <row r="666" ht="15" customHeight="1">
      <c r="A666" t="inlineStr">
        <is>
          <t>A 56535-2022</t>
        </is>
      </c>
      <c r="B666" s="1" t="n">
        <v>44893.47173611111</v>
      </c>
      <c r="C666" s="1" t="n">
        <v>46010</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60550-2024</t>
        </is>
      </c>
      <c r="B667" s="1" t="n">
        <v>45643</v>
      </c>
      <c r="C667" s="1" t="n">
        <v>46010</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13746-2025</t>
        </is>
      </c>
      <c r="B668" s="1" t="n">
        <v>45737.40944444444</v>
      </c>
      <c r="C668" s="1" t="n">
        <v>46010</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29230-2022</t>
        </is>
      </c>
      <c r="B669" s="1" t="n">
        <v>44750</v>
      </c>
      <c r="C669" s="1" t="n">
        <v>46010</v>
      </c>
      <c r="D669" t="inlineStr">
        <is>
          <t>VÄSTMANLANDS LÄN</t>
        </is>
      </c>
      <c r="E669" t="inlineStr">
        <is>
          <t>SALA</t>
        </is>
      </c>
      <c r="G669" t="n">
        <v>1.1</v>
      </c>
      <c r="H669" t="n">
        <v>0</v>
      </c>
      <c r="I669" t="n">
        <v>0</v>
      </c>
      <c r="J669" t="n">
        <v>0</v>
      </c>
      <c r="K669" t="n">
        <v>0</v>
      </c>
      <c r="L669" t="n">
        <v>0</v>
      </c>
      <c r="M669" t="n">
        <v>0</v>
      </c>
      <c r="N669" t="n">
        <v>0</v>
      </c>
      <c r="O669" t="n">
        <v>0</v>
      </c>
      <c r="P669" t="n">
        <v>0</v>
      </c>
      <c r="Q669" t="n">
        <v>0</v>
      </c>
      <c r="R669" s="2" t="inlineStr"/>
    </row>
    <row r="670" ht="15" customHeight="1">
      <c r="A670" t="inlineStr">
        <is>
          <t>A 59175-2022</t>
        </is>
      </c>
      <c r="B670" s="1" t="n">
        <v>44904.48502314815</v>
      </c>
      <c r="C670" s="1" t="n">
        <v>46010</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19381-2025</t>
        </is>
      </c>
      <c r="B671" s="1" t="n">
        <v>45769</v>
      </c>
      <c r="C671" s="1" t="n">
        <v>46010</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42938-2023</t>
        </is>
      </c>
      <c r="B672" s="1" t="n">
        <v>45179</v>
      </c>
      <c r="C672" s="1" t="n">
        <v>46010</v>
      </c>
      <c r="D672" t="inlineStr">
        <is>
          <t>VÄSTMANLANDS LÄN</t>
        </is>
      </c>
      <c r="E672" t="inlineStr">
        <is>
          <t>SALA</t>
        </is>
      </c>
      <c r="G672" t="n">
        <v>10.9</v>
      </c>
      <c r="H672" t="n">
        <v>0</v>
      </c>
      <c r="I672" t="n">
        <v>0</v>
      </c>
      <c r="J672" t="n">
        <v>0</v>
      </c>
      <c r="K672" t="n">
        <v>0</v>
      </c>
      <c r="L672" t="n">
        <v>0</v>
      </c>
      <c r="M672" t="n">
        <v>0</v>
      </c>
      <c r="N672" t="n">
        <v>0</v>
      </c>
      <c r="O672" t="n">
        <v>0</v>
      </c>
      <c r="P672" t="n">
        <v>0</v>
      </c>
      <c r="Q672" t="n">
        <v>0</v>
      </c>
      <c r="R672" s="2" t="inlineStr"/>
    </row>
    <row r="673" ht="15" customHeight="1">
      <c r="A673" t="inlineStr">
        <is>
          <t>A 19222-2025</t>
        </is>
      </c>
      <c r="B673" s="1" t="n">
        <v>45769</v>
      </c>
      <c r="C673" s="1" t="n">
        <v>46010</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19241-2025</t>
        </is>
      </c>
      <c r="B674" s="1" t="n">
        <v>45769</v>
      </c>
      <c r="C674" s="1" t="n">
        <v>46010</v>
      </c>
      <c r="D674" t="inlineStr">
        <is>
          <t>VÄSTMANLANDS LÄN</t>
        </is>
      </c>
      <c r="E674" t="inlineStr">
        <is>
          <t>SALA</t>
        </is>
      </c>
      <c r="G674" t="n">
        <v>3.6</v>
      </c>
      <c r="H674" t="n">
        <v>0</v>
      </c>
      <c r="I674" t="n">
        <v>0</v>
      </c>
      <c r="J674" t="n">
        <v>0</v>
      </c>
      <c r="K674" t="n">
        <v>0</v>
      </c>
      <c r="L674" t="n">
        <v>0</v>
      </c>
      <c r="M674" t="n">
        <v>0</v>
      </c>
      <c r="N674" t="n">
        <v>0</v>
      </c>
      <c r="O674" t="n">
        <v>0</v>
      </c>
      <c r="P674" t="n">
        <v>0</v>
      </c>
      <c r="Q674" t="n">
        <v>0</v>
      </c>
      <c r="R674" s="2" t="inlineStr"/>
    </row>
    <row r="675" ht="15" customHeight="1">
      <c r="A675" t="inlineStr">
        <is>
          <t>A 60823-2024</t>
        </is>
      </c>
      <c r="B675" s="1" t="n">
        <v>45644</v>
      </c>
      <c r="C675" s="1" t="n">
        <v>46010</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61681-2024</t>
        </is>
      </c>
      <c r="B676" s="1" t="n">
        <v>45647</v>
      </c>
      <c r="C676" s="1" t="n">
        <v>46010</v>
      </c>
      <c r="D676" t="inlineStr">
        <is>
          <t>VÄSTMANLANDS LÄN</t>
        </is>
      </c>
      <c r="E676" t="inlineStr">
        <is>
          <t>SALA</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49661-2024</t>
        </is>
      </c>
      <c r="B677" s="1" t="n">
        <v>45596</v>
      </c>
      <c r="C677" s="1" t="n">
        <v>46010</v>
      </c>
      <c r="D677" t="inlineStr">
        <is>
          <t>VÄSTMANLANDS LÄN</t>
        </is>
      </c>
      <c r="E677" t="inlineStr">
        <is>
          <t>SALA</t>
        </is>
      </c>
      <c r="G677" t="n">
        <v>6.7</v>
      </c>
      <c r="H677" t="n">
        <v>0</v>
      </c>
      <c r="I677" t="n">
        <v>0</v>
      </c>
      <c r="J677" t="n">
        <v>0</v>
      </c>
      <c r="K677" t="n">
        <v>0</v>
      </c>
      <c r="L677" t="n">
        <v>0</v>
      </c>
      <c r="M677" t="n">
        <v>0</v>
      </c>
      <c r="N677" t="n">
        <v>0</v>
      </c>
      <c r="O677" t="n">
        <v>0</v>
      </c>
      <c r="P677" t="n">
        <v>0</v>
      </c>
      <c r="Q677" t="n">
        <v>0</v>
      </c>
      <c r="R677" s="2" t="inlineStr"/>
    </row>
    <row r="678" ht="15" customHeight="1">
      <c r="A678" t="inlineStr">
        <is>
          <t>A 59297-2023</t>
        </is>
      </c>
      <c r="B678" s="1" t="n">
        <v>45253</v>
      </c>
      <c r="C678" s="1" t="n">
        <v>46010</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15965-2024</t>
        </is>
      </c>
      <c r="B679" s="1" t="n">
        <v>45405.55740740741</v>
      </c>
      <c r="C679" s="1" t="n">
        <v>46010</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23180-2022</t>
        </is>
      </c>
      <c r="B680" s="1" t="n">
        <v>44719.79344907407</v>
      </c>
      <c r="C680" s="1" t="n">
        <v>46010</v>
      </c>
      <c r="D680" t="inlineStr">
        <is>
          <t>VÄSTMANLANDS LÄN</t>
        </is>
      </c>
      <c r="E680" t="inlineStr">
        <is>
          <t>SALA</t>
        </is>
      </c>
      <c r="G680" t="n">
        <v>1.2</v>
      </c>
      <c r="H680" t="n">
        <v>0</v>
      </c>
      <c r="I680" t="n">
        <v>0</v>
      </c>
      <c r="J680" t="n">
        <v>0</v>
      </c>
      <c r="K680" t="n">
        <v>0</v>
      </c>
      <c r="L680" t="n">
        <v>0</v>
      </c>
      <c r="M680" t="n">
        <v>0</v>
      </c>
      <c r="N680" t="n">
        <v>0</v>
      </c>
      <c r="O680" t="n">
        <v>0</v>
      </c>
      <c r="P680" t="n">
        <v>0</v>
      </c>
      <c r="Q680" t="n">
        <v>0</v>
      </c>
      <c r="R680" s="2" t="inlineStr"/>
    </row>
    <row r="681" ht="15" customHeight="1">
      <c r="A681" t="inlineStr">
        <is>
          <t>A 21455-2023</t>
        </is>
      </c>
      <c r="B681" s="1" t="n">
        <v>45058</v>
      </c>
      <c r="C681" s="1" t="n">
        <v>46010</v>
      </c>
      <c r="D681" t="inlineStr">
        <is>
          <t>VÄSTMANLANDS LÄN</t>
        </is>
      </c>
      <c r="E681" t="inlineStr">
        <is>
          <t>SALA</t>
        </is>
      </c>
      <c r="G681" t="n">
        <v>6.4</v>
      </c>
      <c r="H681" t="n">
        <v>0</v>
      </c>
      <c r="I681" t="n">
        <v>0</v>
      </c>
      <c r="J681" t="n">
        <v>0</v>
      </c>
      <c r="K681" t="n">
        <v>0</v>
      </c>
      <c r="L681" t="n">
        <v>0</v>
      </c>
      <c r="M681" t="n">
        <v>0</v>
      </c>
      <c r="N681" t="n">
        <v>0</v>
      </c>
      <c r="O681" t="n">
        <v>0</v>
      </c>
      <c r="P681" t="n">
        <v>0</v>
      </c>
      <c r="Q681" t="n">
        <v>0</v>
      </c>
      <c r="R681" s="2" t="inlineStr"/>
    </row>
    <row r="682" ht="15" customHeight="1">
      <c r="A682" t="inlineStr">
        <is>
          <t>A 21053-2022</t>
        </is>
      </c>
      <c r="B682" s="1" t="n">
        <v>44704</v>
      </c>
      <c r="C682" s="1" t="n">
        <v>46010</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11927-2025</t>
        </is>
      </c>
      <c r="B683" s="1" t="n">
        <v>45728.5137962963</v>
      </c>
      <c r="C683" s="1" t="n">
        <v>46010</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50876-2023</t>
        </is>
      </c>
      <c r="B684" s="1" t="n">
        <v>45211</v>
      </c>
      <c r="C684" s="1" t="n">
        <v>46010</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10255-2024</t>
        </is>
      </c>
      <c r="B685" s="1" t="n">
        <v>45365</v>
      </c>
      <c r="C685" s="1" t="n">
        <v>46010</v>
      </c>
      <c r="D685" t="inlineStr">
        <is>
          <t>VÄSTMANLANDS LÄN</t>
        </is>
      </c>
      <c r="E685" t="inlineStr">
        <is>
          <t>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62648-2022</t>
        </is>
      </c>
      <c r="B686" s="1" t="n">
        <v>44917</v>
      </c>
      <c r="C686" s="1" t="n">
        <v>46010</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56548-2024</t>
        </is>
      </c>
      <c r="B687" s="1" t="n">
        <v>45625</v>
      </c>
      <c r="C687" s="1" t="n">
        <v>46010</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5477-2024</t>
        </is>
      </c>
      <c r="B688" s="1" t="n">
        <v>45333.67833333334</v>
      </c>
      <c r="C688" s="1" t="n">
        <v>46010</v>
      </c>
      <c r="D688" t="inlineStr">
        <is>
          <t>VÄSTMANLANDS LÄN</t>
        </is>
      </c>
      <c r="E688" t="inlineStr">
        <is>
          <t>SALA</t>
        </is>
      </c>
      <c r="G688" t="n">
        <v>2.3</v>
      </c>
      <c r="H688" t="n">
        <v>0</v>
      </c>
      <c r="I688" t="n">
        <v>0</v>
      </c>
      <c r="J688" t="n">
        <v>0</v>
      </c>
      <c r="K688" t="n">
        <v>0</v>
      </c>
      <c r="L688" t="n">
        <v>0</v>
      </c>
      <c r="M688" t="n">
        <v>0</v>
      </c>
      <c r="N688" t="n">
        <v>0</v>
      </c>
      <c r="O688" t="n">
        <v>0</v>
      </c>
      <c r="P688" t="n">
        <v>0</v>
      </c>
      <c r="Q688" t="n">
        <v>0</v>
      </c>
      <c r="R688" s="2" t="inlineStr"/>
    </row>
    <row r="689" ht="15" customHeight="1">
      <c r="A689" t="inlineStr">
        <is>
          <t>A 39451-2022</t>
        </is>
      </c>
      <c r="B689" s="1" t="n">
        <v>44818.36606481481</v>
      </c>
      <c r="C689" s="1" t="n">
        <v>46010</v>
      </c>
      <c r="D689" t="inlineStr">
        <is>
          <t>VÄSTMANLANDS LÄN</t>
        </is>
      </c>
      <c r="E689" t="inlineStr">
        <is>
          <t>SALA</t>
        </is>
      </c>
      <c r="G689" t="n">
        <v>9.4</v>
      </c>
      <c r="H689" t="n">
        <v>0</v>
      </c>
      <c r="I689" t="n">
        <v>0</v>
      </c>
      <c r="J689" t="n">
        <v>0</v>
      </c>
      <c r="K689" t="n">
        <v>0</v>
      </c>
      <c r="L689" t="n">
        <v>0</v>
      </c>
      <c r="M689" t="n">
        <v>0</v>
      </c>
      <c r="N689" t="n">
        <v>0</v>
      </c>
      <c r="O689" t="n">
        <v>0</v>
      </c>
      <c r="P689" t="n">
        <v>0</v>
      </c>
      <c r="Q689" t="n">
        <v>0</v>
      </c>
      <c r="R689" s="2" t="inlineStr"/>
    </row>
    <row r="690" ht="15" customHeight="1">
      <c r="A690" t="inlineStr">
        <is>
          <t>A 7772-2023</t>
        </is>
      </c>
      <c r="B690" s="1" t="n">
        <v>44973.40076388889</v>
      </c>
      <c r="C690" s="1" t="n">
        <v>46010</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19751-2022</t>
        </is>
      </c>
      <c r="B691" s="1" t="n">
        <v>44694</v>
      </c>
      <c r="C691" s="1" t="n">
        <v>46010</v>
      </c>
      <c r="D691" t="inlineStr">
        <is>
          <t>VÄSTMANLANDS LÄN</t>
        </is>
      </c>
      <c r="E691" t="inlineStr">
        <is>
          <t>SALA</t>
        </is>
      </c>
      <c r="G691" t="n">
        <v>2.7</v>
      </c>
      <c r="H691" t="n">
        <v>0</v>
      </c>
      <c r="I691" t="n">
        <v>0</v>
      </c>
      <c r="J691" t="n">
        <v>0</v>
      </c>
      <c r="K691" t="n">
        <v>0</v>
      </c>
      <c r="L691" t="n">
        <v>0</v>
      </c>
      <c r="M691" t="n">
        <v>0</v>
      </c>
      <c r="N691" t="n">
        <v>0</v>
      </c>
      <c r="O691" t="n">
        <v>0</v>
      </c>
      <c r="P691" t="n">
        <v>0</v>
      </c>
      <c r="Q691" t="n">
        <v>0</v>
      </c>
      <c r="R691" s="2" t="inlineStr"/>
    </row>
    <row r="692" ht="15" customHeight="1">
      <c r="A692" t="inlineStr">
        <is>
          <t>A 44713-2023</t>
        </is>
      </c>
      <c r="B692" s="1" t="n">
        <v>45184</v>
      </c>
      <c r="C692" s="1" t="n">
        <v>46010</v>
      </c>
      <c r="D692" t="inlineStr">
        <is>
          <t>VÄSTMANLANDS LÄN</t>
        </is>
      </c>
      <c r="E692" t="inlineStr">
        <is>
          <t>SALA</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18713-2025</t>
        </is>
      </c>
      <c r="B693" s="1" t="n">
        <v>45763</v>
      </c>
      <c r="C693" s="1" t="n">
        <v>46010</v>
      </c>
      <c r="D693" t="inlineStr">
        <is>
          <t>VÄSTMANLANDS LÄN</t>
        </is>
      </c>
      <c r="E693" t="inlineStr">
        <is>
          <t>SALA</t>
        </is>
      </c>
      <c r="F693" t="inlineStr">
        <is>
          <t>Bergvik skog öst AB</t>
        </is>
      </c>
      <c r="G693" t="n">
        <v>11.6</v>
      </c>
      <c r="H693" t="n">
        <v>0</v>
      </c>
      <c r="I693" t="n">
        <v>0</v>
      </c>
      <c r="J693" t="n">
        <v>0</v>
      </c>
      <c r="K693" t="n">
        <v>0</v>
      </c>
      <c r="L693" t="n">
        <v>0</v>
      </c>
      <c r="M693" t="n">
        <v>0</v>
      </c>
      <c r="N693" t="n">
        <v>0</v>
      </c>
      <c r="O693" t="n">
        <v>0</v>
      </c>
      <c r="P693" t="n">
        <v>0</v>
      </c>
      <c r="Q693" t="n">
        <v>0</v>
      </c>
      <c r="R693" s="2" t="inlineStr"/>
    </row>
    <row r="694" ht="15" customHeight="1">
      <c r="A694" t="inlineStr">
        <is>
          <t>A 47479-2024</t>
        </is>
      </c>
      <c r="B694" s="1" t="n">
        <v>45587</v>
      </c>
      <c r="C694" s="1" t="n">
        <v>46010</v>
      </c>
      <c r="D694" t="inlineStr">
        <is>
          <t>VÄSTMANLANDS LÄN</t>
        </is>
      </c>
      <c r="E694" t="inlineStr">
        <is>
          <t>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69236-2021</t>
        </is>
      </c>
      <c r="B695" s="1" t="n">
        <v>44531.4047337963</v>
      </c>
      <c r="C695" s="1" t="n">
        <v>46010</v>
      </c>
      <c r="D695" t="inlineStr">
        <is>
          <t>VÄSTMANLANDS LÄN</t>
        </is>
      </c>
      <c r="E695" t="inlineStr">
        <is>
          <t>SALA</t>
        </is>
      </c>
      <c r="G695" t="n">
        <v>2.8</v>
      </c>
      <c r="H695" t="n">
        <v>0</v>
      </c>
      <c r="I695" t="n">
        <v>0</v>
      </c>
      <c r="J695" t="n">
        <v>0</v>
      </c>
      <c r="K695" t="n">
        <v>0</v>
      </c>
      <c r="L695" t="n">
        <v>0</v>
      </c>
      <c r="M695" t="n">
        <v>0</v>
      </c>
      <c r="N695" t="n">
        <v>0</v>
      </c>
      <c r="O695" t="n">
        <v>0</v>
      </c>
      <c r="P695" t="n">
        <v>0</v>
      </c>
      <c r="Q695" t="n">
        <v>0</v>
      </c>
      <c r="R695" s="2" t="inlineStr"/>
    </row>
    <row r="696" ht="15" customHeight="1">
      <c r="A696" t="inlineStr">
        <is>
          <t>A 25541-2024</t>
        </is>
      </c>
      <c r="B696" s="1" t="n">
        <v>45463.56337962963</v>
      </c>
      <c r="C696" s="1" t="n">
        <v>46010</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5728-2022</t>
        </is>
      </c>
      <c r="B697" s="1" t="n">
        <v>44596.42082175926</v>
      </c>
      <c r="C697" s="1" t="n">
        <v>46010</v>
      </c>
      <c r="D697" t="inlineStr">
        <is>
          <t>VÄSTMANLANDS LÄN</t>
        </is>
      </c>
      <c r="E697" t="inlineStr">
        <is>
          <t>SALA</t>
        </is>
      </c>
      <c r="G697" t="n">
        <v>1.7</v>
      </c>
      <c r="H697" t="n">
        <v>0</v>
      </c>
      <c r="I697" t="n">
        <v>0</v>
      </c>
      <c r="J697" t="n">
        <v>0</v>
      </c>
      <c r="K697" t="n">
        <v>0</v>
      </c>
      <c r="L697" t="n">
        <v>0</v>
      </c>
      <c r="M697" t="n">
        <v>0</v>
      </c>
      <c r="N697" t="n">
        <v>0</v>
      </c>
      <c r="O697" t="n">
        <v>0</v>
      </c>
      <c r="P697" t="n">
        <v>0</v>
      </c>
      <c r="Q697" t="n">
        <v>0</v>
      </c>
      <c r="R697" s="2" t="inlineStr"/>
    </row>
    <row r="698" ht="15" customHeight="1">
      <c r="A698" t="inlineStr">
        <is>
          <t>A 10250-2025</t>
        </is>
      </c>
      <c r="B698" s="1" t="n">
        <v>45720.36165509259</v>
      </c>
      <c r="C698" s="1" t="n">
        <v>46010</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49512-2024</t>
        </is>
      </c>
      <c r="B699" s="1" t="n">
        <v>45591</v>
      </c>
      <c r="C699" s="1" t="n">
        <v>46010</v>
      </c>
      <c r="D699" t="inlineStr">
        <is>
          <t>VÄSTMANLANDS LÄN</t>
        </is>
      </c>
      <c r="E699" t="inlineStr">
        <is>
          <t>SALA</t>
        </is>
      </c>
      <c r="G699" t="n">
        <v>8.1</v>
      </c>
      <c r="H699" t="n">
        <v>0</v>
      </c>
      <c r="I699" t="n">
        <v>0</v>
      </c>
      <c r="J699" t="n">
        <v>0</v>
      </c>
      <c r="K699" t="n">
        <v>0</v>
      </c>
      <c r="L699" t="n">
        <v>0</v>
      </c>
      <c r="M699" t="n">
        <v>0</v>
      </c>
      <c r="N699" t="n">
        <v>0</v>
      </c>
      <c r="O699" t="n">
        <v>0</v>
      </c>
      <c r="P699" t="n">
        <v>0</v>
      </c>
      <c r="Q699" t="n">
        <v>0</v>
      </c>
      <c r="R699" s="2" t="inlineStr"/>
    </row>
    <row r="700" ht="15" customHeight="1">
      <c r="A700" t="inlineStr">
        <is>
          <t>A 42416-2022</t>
        </is>
      </c>
      <c r="B700" s="1" t="n">
        <v>44831</v>
      </c>
      <c r="C700" s="1" t="n">
        <v>46010</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6135-2023</t>
        </is>
      </c>
      <c r="B701" s="1" t="n">
        <v>44964.62628472222</v>
      </c>
      <c r="C701" s="1" t="n">
        <v>46010</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16693-2023</t>
        </is>
      </c>
      <c r="B702" s="1" t="n">
        <v>45028</v>
      </c>
      <c r="C702" s="1" t="n">
        <v>46010</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8285-2025</t>
        </is>
      </c>
      <c r="B703" s="1" t="n">
        <v>45708</v>
      </c>
      <c r="C703" s="1" t="n">
        <v>46010</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15584-2021</t>
        </is>
      </c>
      <c r="B704" s="1" t="n">
        <v>44285</v>
      </c>
      <c r="C704" s="1" t="n">
        <v>46010</v>
      </c>
      <c r="D704" t="inlineStr">
        <is>
          <t>VÄSTMANLANDS LÄN</t>
        </is>
      </c>
      <c r="E704" t="inlineStr">
        <is>
          <t>SALA</t>
        </is>
      </c>
      <c r="G704" t="n">
        <v>3.4</v>
      </c>
      <c r="H704" t="n">
        <v>0</v>
      </c>
      <c r="I704" t="n">
        <v>0</v>
      </c>
      <c r="J704" t="n">
        <v>0</v>
      </c>
      <c r="K704" t="n">
        <v>0</v>
      </c>
      <c r="L704" t="n">
        <v>0</v>
      </c>
      <c r="M704" t="n">
        <v>0</v>
      </c>
      <c r="N704" t="n">
        <v>0</v>
      </c>
      <c r="O704" t="n">
        <v>0</v>
      </c>
      <c r="P704" t="n">
        <v>0</v>
      </c>
      <c r="Q704" t="n">
        <v>0</v>
      </c>
      <c r="R704" s="2" t="inlineStr"/>
    </row>
    <row r="705" ht="15" customHeight="1">
      <c r="A705" t="inlineStr">
        <is>
          <t>A 18340-2025</t>
        </is>
      </c>
      <c r="B705" s="1" t="n">
        <v>45762</v>
      </c>
      <c r="C705" s="1" t="n">
        <v>46010</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56706-2022</t>
        </is>
      </c>
      <c r="B706" s="1" t="n">
        <v>44893.78893518518</v>
      </c>
      <c r="C706" s="1" t="n">
        <v>46010</v>
      </c>
      <c r="D706" t="inlineStr">
        <is>
          <t>VÄSTMANLANDS LÄN</t>
        </is>
      </c>
      <c r="E706" t="inlineStr">
        <is>
          <t>SALA</t>
        </is>
      </c>
      <c r="G706" t="n">
        <v>4.5</v>
      </c>
      <c r="H706" t="n">
        <v>0</v>
      </c>
      <c r="I706" t="n">
        <v>0</v>
      </c>
      <c r="J706" t="n">
        <v>0</v>
      </c>
      <c r="K706" t="n">
        <v>0</v>
      </c>
      <c r="L706" t="n">
        <v>0</v>
      </c>
      <c r="M706" t="n">
        <v>0</v>
      </c>
      <c r="N706" t="n">
        <v>0</v>
      </c>
      <c r="O706" t="n">
        <v>0</v>
      </c>
      <c r="P706" t="n">
        <v>0</v>
      </c>
      <c r="Q706" t="n">
        <v>0</v>
      </c>
      <c r="R706" s="2" t="inlineStr"/>
    </row>
    <row r="707" ht="15" customHeight="1">
      <c r="A707" t="inlineStr">
        <is>
          <t>A 56707-2022</t>
        </is>
      </c>
      <c r="B707" s="1" t="n">
        <v>44893.79412037037</v>
      </c>
      <c r="C707" s="1" t="n">
        <v>46010</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48571-2024</t>
        </is>
      </c>
      <c r="B708" s="1" t="n">
        <v>45591</v>
      </c>
      <c r="C708" s="1" t="n">
        <v>46010</v>
      </c>
      <c r="D708" t="inlineStr">
        <is>
          <t>VÄSTMANLANDS LÄN</t>
        </is>
      </c>
      <c r="E708" t="inlineStr">
        <is>
          <t>SALA</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13188-2025</t>
        </is>
      </c>
      <c r="B709" s="1" t="n">
        <v>45735.39246527778</v>
      </c>
      <c r="C709" s="1" t="n">
        <v>46010</v>
      </c>
      <c r="D709" t="inlineStr">
        <is>
          <t>VÄSTMANLANDS LÄN</t>
        </is>
      </c>
      <c r="E709" t="inlineStr">
        <is>
          <t>SALA</t>
        </is>
      </c>
      <c r="F709" t="inlineStr">
        <is>
          <t>Naturvårdsverket</t>
        </is>
      </c>
      <c r="G709" t="n">
        <v>18.4</v>
      </c>
      <c r="H709" t="n">
        <v>0</v>
      </c>
      <c r="I709" t="n">
        <v>0</v>
      </c>
      <c r="J709" t="n">
        <v>0</v>
      </c>
      <c r="K709" t="n">
        <v>0</v>
      </c>
      <c r="L709" t="n">
        <v>0</v>
      </c>
      <c r="M709" t="n">
        <v>0</v>
      </c>
      <c r="N709" t="n">
        <v>0</v>
      </c>
      <c r="O709" t="n">
        <v>0</v>
      </c>
      <c r="P709" t="n">
        <v>0</v>
      </c>
      <c r="Q709" t="n">
        <v>0</v>
      </c>
      <c r="R709" s="2" t="inlineStr"/>
    </row>
    <row r="710" ht="15" customHeight="1">
      <c r="A710" t="inlineStr">
        <is>
          <t>A 23431-2024</t>
        </is>
      </c>
      <c r="B710" s="1" t="n">
        <v>45453</v>
      </c>
      <c r="C710" s="1" t="n">
        <v>46010</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21168-2025</t>
        </is>
      </c>
      <c r="B711" s="1" t="n">
        <v>45777</v>
      </c>
      <c r="C711" s="1" t="n">
        <v>46010</v>
      </c>
      <c r="D711" t="inlineStr">
        <is>
          <t>VÄSTMANLANDS LÄN</t>
        </is>
      </c>
      <c r="E711" t="inlineStr">
        <is>
          <t>SALA</t>
        </is>
      </c>
      <c r="G711" t="n">
        <v>4.5</v>
      </c>
      <c r="H711" t="n">
        <v>0</v>
      </c>
      <c r="I711" t="n">
        <v>0</v>
      </c>
      <c r="J711" t="n">
        <v>0</v>
      </c>
      <c r="K711" t="n">
        <v>0</v>
      </c>
      <c r="L711" t="n">
        <v>0</v>
      </c>
      <c r="M711" t="n">
        <v>0</v>
      </c>
      <c r="N711" t="n">
        <v>0</v>
      </c>
      <c r="O711" t="n">
        <v>0</v>
      </c>
      <c r="P711" t="n">
        <v>0</v>
      </c>
      <c r="Q711" t="n">
        <v>0</v>
      </c>
      <c r="R711" s="2" t="inlineStr"/>
    </row>
    <row r="712" ht="15" customHeight="1">
      <c r="A712" t="inlineStr">
        <is>
          <t>A 21754-2025</t>
        </is>
      </c>
      <c r="B712" s="1" t="n">
        <v>45783.61837962963</v>
      </c>
      <c r="C712" s="1" t="n">
        <v>46010</v>
      </c>
      <c r="D712" t="inlineStr">
        <is>
          <t>VÄSTMANLANDS LÄN</t>
        </is>
      </c>
      <c r="E712" t="inlineStr">
        <is>
          <t>SALA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21751-2025</t>
        </is>
      </c>
      <c r="B713" s="1" t="n">
        <v>45783.61372685185</v>
      </c>
      <c r="C713" s="1" t="n">
        <v>46010</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37587-2024</t>
        </is>
      </c>
      <c r="B714" s="1" t="n">
        <v>45541</v>
      </c>
      <c r="C714" s="1" t="n">
        <v>46010</v>
      </c>
      <c r="D714" t="inlineStr">
        <is>
          <t>VÄSTMANLANDS LÄN</t>
        </is>
      </c>
      <c r="E714" t="inlineStr">
        <is>
          <t>SALA</t>
        </is>
      </c>
      <c r="G714" t="n">
        <v>1.2</v>
      </c>
      <c r="H714" t="n">
        <v>0</v>
      </c>
      <c r="I714" t="n">
        <v>0</v>
      </c>
      <c r="J714" t="n">
        <v>0</v>
      </c>
      <c r="K714" t="n">
        <v>0</v>
      </c>
      <c r="L714" t="n">
        <v>0</v>
      </c>
      <c r="M714" t="n">
        <v>0</v>
      </c>
      <c r="N714" t="n">
        <v>0</v>
      </c>
      <c r="O714" t="n">
        <v>0</v>
      </c>
      <c r="P714" t="n">
        <v>0</v>
      </c>
      <c r="Q714" t="n">
        <v>0</v>
      </c>
      <c r="R714" s="2" t="inlineStr"/>
    </row>
    <row r="715" ht="15" customHeight="1">
      <c r="A715" t="inlineStr">
        <is>
          <t>A 64724-2023</t>
        </is>
      </c>
      <c r="B715" s="1" t="n">
        <v>45281.7602662037</v>
      </c>
      <c r="C715" s="1" t="n">
        <v>46010</v>
      </c>
      <c r="D715" t="inlineStr">
        <is>
          <t>VÄSTMANLANDS LÄN</t>
        </is>
      </c>
      <c r="E715" t="inlineStr">
        <is>
          <t>SALA</t>
        </is>
      </c>
      <c r="G715" t="n">
        <v>2.3</v>
      </c>
      <c r="H715" t="n">
        <v>0</v>
      </c>
      <c r="I715" t="n">
        <v>0</v>
      </c>
      <c r="J715" t="n">
        <v>0</v>
      </c>
      <c r="K715" t="n">
        <v>0</v>
      </c>
      <c r="L715" t="n">
        <v>0</v>
      </c>
      <c r="M715" t="n">
        <v>0</v>
      </c>
      <c r="N715" t="n">
        <v>0</v>
      </c>
      <c r="O715" t="n">
        <v>0</v>
      </c>
      <c r="P715" t="n">
        <v>0</v>
      </c>
      <c r="Q715" t="n">
        <v>0</v>
      </c>
      <c r="R715" s="2" t="inlineStr"/>
    </row>
    <row r="716" ht="15" customHeight="1">
      <c r="A716" t="inlineStr">
        <is>
          <t>A 7176-2023</t>
        </is>
      </c>
      <c r="B716" s="1" t="n">
        <v>44970</v>
      </c>
      <c r="C716" s="1" t="n">
        <v>46010</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43600-2024</t>
        </is>
      </c>
      <c r="B717" s="1" t="n">
        <v>45569</v>
      </c>
      <c r="C717" s="1" t="n">
        <v>46010</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31405-2024</t>
        </is>
      </c>
      <c r="B718" s="1" t="n">
        <v>45505.5490625</v>
      </c>
      <c r="C718" s="1" t="n">
        <v>46010</v>
      </c>
      <c r="D718" t="inlineStr">
        <is>
          <t>VÄSTMANLANDS LÄN</t>
        </is>
      </c>
      <c r="E718" t="inlineStr">
        <is>
          <t>SALA</t>
        </is>
      </c>
      <c r="G718" t="n">
        <v>5.2</v>
      </c>
      <c r="H718" t="n">
        <v>0</v>
      </c>
      <c r="I718" t="n">
        <v>0</v>
      </c>
      <c r="J718" t="n">
        <v>0</v>
      </c>
      <c r="K718" t="n">
        <v>0</v>
      </c>
      <c r="L718" t="n">
        <v>0</v>
      </c>
      <c r="M718" t="n">
        <v>0</v>
      </c>
      <c r="N718" t="n">
        <v>0</v>
      </c>
      <c r="O718" t="n">
        <v>0</v>
      </c>
      <c r="P718" t="n">
        <v>0</v>
      </c>
      <c r="Q718" t="n">
        <v>0</v>
      </c>
      <c r="R718" s="2" t="inlineStr"/>
    </row>
    <row r="719" ht="15" customHeight="1">
      <c r="A719" t="inlineStr">
        <is>
          <t>A 22616-2025</t>
        </is>
      </c>
      <c r="B719" s="1" t="n">
        <v>45789.42752314815</v>
      </c>
      <c r="C719" s="1" t="n">
        <v>46010</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22353-2025</t>
        </is>
      </c>
      <c r="B720" s="1" t="n">
        <v>45786</v>
      </c>
      <c r="C720" s="1" t="n">
        <v>46010</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22383-2025</t>
        </is>
      </c>
      <c r="B721" s="1" t="n">
        <v>45786</v>
      </c>
      <c r="C721" s="1" t="n">
        <v>46010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22624-2025</t>
        </is>
      </c>
      <c r="B722" s="1" t="n">
        <v>45789.43327546296</v>
      </c>
      <c r="C722" s="1" t="n">
        <v>46010</v>
      </c>
      <c r="D722" t="inlineStr">
        <is>
          <t>VÄSTMANLANDS LÄN</t>
        </is>
      </c>
      <c r="E722" t="inlineStr">
        <is>
          <t>SALA</t>
        </is>
      </c>
      <c r="G722" t="n">
        <v>1.5</v>
      </c>
      <c r="H722" t="n">
        <v>0</v>
      </c>
      <c r="I722" t="n">
        <v>0</v>
      </c>
      <c r="J722" t="n">
        <v>0</v>
      </c>
      <c r="K722" t="n">
        <v>0</v>
      </c>
      <c r="L722" t="n">
        <v>0</v>
      </c>
      <c r="M722" t="n">
        <v>0</v>
      </c>
      <c r="N722" t="n">
        <v>0</v>
      </c>
      <c r="O722" t="n">
        <v>0</v>
      </c>
      <c r="P722" t="n">
        <v>0</v>
      </c>
      <c r="Q722" t="n">
        <v>0</v>
      </c>
      <c r="R722" s="2" t="inlineStr"/>
    </row>
    <row r="723">
      <c r="A723" t="inlineStr">
        <is>
          <t>A 22370-2025</t>
        </is>
      </c>
      <c r="B723" s="1" t="n">
        <v>45786</v>
      </c>
      <c r="C723" s="1" t="n">
        <v>46010</v>
      </c>
      <c r="D723" t="inlineStr">
        <is>
          <t>VÄSTMANLANDS LÄN</t>
        </is>
      </c>
      <c r="E723" t="inlineStr">
        <is>
          <t>SALA</t>
        </is>
      </c>
      <c r="G723" t="n">
        <v>3.2</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2025-12-19T10:35:43Z</dcterms:created>
  <dcterms:modified xmlns:dcterms="http://purl.org/dc/terms/" xmlns:xsi="http://www.w3.org/2001/XMLSchema-instance" xsi:type="dcterms:W3CDTF">2025-12-19T10:35:44Z</dcterms:modified>
</cp:coreProperties>
</file>