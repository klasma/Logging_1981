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46084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46084</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46084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46084</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46084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46084</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46084</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46084</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46084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46084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46084</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46084</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46084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46084</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46084</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40493-2024</t>
        </is>
      </c>
      <c r="B24" s="1" t="n">
        <v>45555</v>
      </c>
      <c r="C24" s="1" t="n">
        <v>46084</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3930-2026</t>
        </is>
      </c>
      <c r="B25" s="1" t="n">
        <v>46043</v>
      </c>
      <c r="C25" s="1" t="n">
        <v>46084</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62768-2021</t>
        </is>
      </c>
      <c r="B26" s="1" t="n">
        <v>44504</v>
      </c>
      <c r="C26" s="1" t="n">
        <v>46084</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53019-2024</t>
        </is>
      </c>
      <c r="B27" s="1" t="n">
        <v>45610</v>
      </c>
      <c r="C27" s="1" t="n">
        <v>46084</v>
      </c>
      <c r="D27" t="inlineStr">
        <is>
          <t>VÄSTMANLANDS LÄN</t>
        </is>
      </c>
      <c r="E27" t="inlineStr">
        <is>
          <t>SALA</t>
        </is>
      </c>
      <c r="G27" t="n">
        <v>1.1</v>
      </c>
      <c r="H27" t="n">
        <v>2</v>
      </c>
      <c r="I27" t="n">
        <v>0</v>
      </c>
      <c r="J27" t="n">
        <v>1</v>
      </c>
      <c r="K27" t="n">
        <v>1</v>
      </c>
      <c r="L27" t="n">
        <v>0</v>
      </c>
      <c r="M27" t="n">
        <v>0</v>
      </c>
      <c r="N27" t="n">
        <v>0</v>
      </c>
      <c r="O27" t="n">
        <v>2</v>
      </c>
      <c r="P27" t="n">
        <v>1</v>
      </c>
      <c r="Q27" t="n">
        <v>3</v>
      </c>
      <c r="R27" s="2" t="inlineStr">
        <is>
          <t>Knärot
Ullticka
Kungsfågel</t>
        </is>
      </c>
      <c r="S27">
        <f>HYPERLINK("https://klasma.github.io/Logging_1981/artfynd/A 53019-2024 artfynd.xlsx", "A 53019-2024")</f>
        <v/>
      </c>
      <c r="T27">
        <f>HYPERLINK("https://klasma.github.io/Logging_1981/kartor/A 53019-2024 karta.png", "A 53019-2024")</f>
        <v/>
      </c>
      <c r="U27">
        <f>HYPERLINK("https://klasma.github.io/Logging_1981/knärot/A 53019-2024 karta knärot.png", "A 53019-2024")</f>
        <v/>
      </c>
      <c r="V27">
        <f>HYPERLINK("https://klasma.github.io/Logging_1981/klagomål/A 53019-2024 FSC-klagomål.docx", "A 53019-2024")</f>
        <v/>
      </c>
      <c r="W27">
        <f>HYPERLINK("https://klasma.github.io/Logging_1981/klagomålsmail/A 53019-2024 FSC-klagomål mail.docx", "A 53019-2024")</f>
        <v/>
      </c>
      <c r="X27">
        <f>HYPERLINK("https://klasma.github.io/Logging_1981/tillsyn/A 53019-2024 tillsynsbegäran.docx", "A 53019-2024")</f>
        <v/>
      </c>
      <c r="Y27">
        <f>HYPERLINK("https://klasma.github.io/Logging_1981/tillsynsmail/A 53019-2024 tillsynsbegäran mail.docx", "A 53019-2024")</f>
        <v/>
      </c>
      <c r="Z27">
        <f>HYPERLINK("https://klasma.github.io/Logging_1981/fåglar/A 53019-2024 prioriterade fågelarter.docx", "A 53019-2024")</f>
        <v/>
      </c>
    </row>
    <row r="28" ht="15" customHeight="1">
      <c r="A28" t="inlineStr">
        <is>
          <t>A 52909-2022</t>
        </is>
      </c>
      <c r="B28" s="1" t="n">
        <v>44875</v>
      </c>
      <c r="C28" s="1" t="n">
        <v>46084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46084</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11846-2024</t>
        </is>
      </c>
      <c r="B31" s="1" t="n">
        <v>45376.4047337963</v>
      </c>
      <c r="C31" s="1" t="n">
        <v>46084</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53048-2025</t>
        </is>
      </c>
      <c r="B32" s="1" t="n">
        <v>45958.36018518519</v>
      </c>
      <c r="C32" s="1" t="n">
        <v>46084</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12444-2024</t>
        </is>
      </c>
      <c r="B33" s="1" t="n">
        <v>45379.46285879629</v>
      </c>
      <c r="C33" s="1" t="n">
        <v>46084</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59826-2025</t>
        </is>
      </c>
      <c r="B34" s="1" t="n">
        <v>45992.65416666667</v>
      </c>
      <c r="C34" s="1" t="n">
        <v>46084</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13029-2023</t>
        </is>
      </c>
      <c r="B35" s="1" t="n">
        <v>45001</v>
      </c>
      <c r="C35" s="1" t="n">
        <v>46084</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63584-2025</t>
        </is>
      </c>
      <c r="B36" s="1" t="n">
        <v>46013.77002314815</v>
      </c>
      <c r="C36" s="1" t="n">
        <v>46084</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46084</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15102-2025</t>
        </is>
      </c>
      <c r="B38" s="1" t="n">
        <v>45744.34585648148</v>
      </c>
      <c r="C38" s="1" t="n">
        <v>46084</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46084</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46084</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46084</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55550-2023</t>
        </is>
      </c>
      <c r="B42" s="1" t="n">
        <v>45232</v>
      </c>
      <c r="C42" s="1" t="n">
        <v>46084</v>
      </c>
      <c r="D42" t="inlineStr">
        <is>
          <t>VÄSTMANLANDS LÄN</t>
        </is>
      </c>
      <c r="E42" t="inlineStr">
        <is>
          <t>SALA</t>
        </is>
      </c>
      <c r="G42" t="n">
        <v>9.9</v>
      </c>
      <c r="H42" t="n">
        <v>1</v>
      </c>
      <c r="I42" t="n">
        <v>0</v>
      </c>
      <c r="J42" t="n">
        <v>0</v>
      </c>
      <c r="K42" t="n">
        <v>1</v>
      </c>
      <c r="L42" t="n">
        <v>0</v>
      </c>
      <c r="M42" t="n">
        <v>0</v>
      </c>
      <c r="N42" t="n">
        <v>0</v>
      </c>
      <c r="O42" t="n">
        <v>1</v>
      </c>
      <c r="P42" t="n">
        <v>1</v>
      </c>
      <c r="Q42" t="n">
        <v>1</v>
      </c>
      <c r="R42" s="2" t="inlineStr">
        <is>
          <t>Knärot</t>
        </is>
      </c>
      <c r="S42">
        <f>HYPERLINK("https://klasma.github.io/Logging_1981/artfynd/A 55550-2023 artfynd.xlsx", "A 55550-2023")</f>
        <v/>
      </c>
      <c r="T42">
        <f>HYPERLINK("https://klasma.github.io/Logging_1981/kartor/A 55550-2023 karta.png", "A 55550-2023")</f>
        <v/>
      </c>
      <c r="U42">
        <f>HYPERLINK("https://klasma.github.io/Logging_1981/knärot/A 55550-2023 karta knärot.png", "A 55550-2023")</f>
        <v/>
      </c>
      <c r="V42">
        <f>HYPERLINK("https://klasma.github.io/Logging_1981/klagomål/A 55550-2023 FSC-klagomål.docx", "A 55550-2023")</f>
        <v/>
      </c>
      <c r="W42">
        <f>HYPERLINK("https://klasma.github.io/Logging_1981/klagomålsmail/A 55550-2023 FSC-klagomål mail.docx", "A 55550-2023")</f>
        <v/>
      </c>
      <c r="X42">
        <f>HYPERLINK("https://klasma.github.io/Logging_1981/tillsyn/A 55550-2023 tillsynsbegäran.docx", "A 55550-2023")</f>
        <v/>
      </c>
      <c r="Y42">
        <f>HYPERLINK("https://klasma.github.io/Logging_1981/tillsynsmail/A 55550-2023 tillsynsbegäran mail.docx", "A 55550-2023")</f>
        <v/>
      </c>
    </row>
    <row r="43" ht="15" customHeight="1">
      <c r="A43" t="inlineStr">
        <is>
          <t>A 60852-2024</t>
        </is>
      </c>
      <c r="B43" s="1" t="n">
        <v>45644</v>
      </c>
      <c r="C43" s="1" t="n">
        <v>46084</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21738-2025</t>
        </is>
      </c>
      <c r="B44" s="1" t="n">
        <v>45783.59173611111</v>
      </c>
      <c r="C44" s="1" t="n">
        <v>46084</v>
      </c>
      <c r="D44" t="inlineStr">
        <is>
          <t>VÄSTMANLANDS LÄN</t>
        </is>
      </c>
      <c r="E44" t="inlineStr">
        <is>
          <t>SALA</t>
        </is>
      </c>
      <c r="G44" t="n">
        <v>2.1</v>
      </c>
      <c r="H44" t="n">
        <v>0</v>
      </c>
      <c r="I44" t="n">
        <v>0</v>
      </c>
      <c r="J44" t="n">
        <v>1</v>
      </c>
      <c r="K44" t="n">
        <v>0</v>
      </c>
      <c r="L44" t="n">
        <v>0</v>
      </c>
      <c r="M44" t="n">
        <v>0</v>
      </c>
      <c r="N44" t="n">
        <v>0</v>
      </c>
      <c r="O44" t="n">
        <v>1</v>
      </c>
      <c r="P44" t="n">
        <v>0</v>
      </c>
      <c r="Q44" t="n">
        <v>1</v>
      </c>
      <c r="R44" s="2" t="inlineStr">
        <is>
          <t>Motaggsvamp</t>
        </is>
      </c>
      <c r="S44">
        <f>HYPERLINK("https://klasma.github.io/Logging_1981/artfynd/A 21738-2025 artfynd.xlsx", "A 21738-2025")</f>
        <v/>
      </c>
      <c r="T44">
        <f>HYPERLINK("https://klasma.github.io/Logging_1981/kartor/A 21738-2025 karta.png", "A 21738-2025")</f>
        <v/>
      </c>
      <c r="V44">
        <f>HYPERLINK("https://klasma.github.io/Logging_1981/klagomål/A 21738-2025 FSC-klagomål.docx", "A 21738-2025")</f>
        <v/>
      </c>
      <c r="W44">
        <f>HYPERLINK("https://klasma.github.io/Logging_1981/klagomålsmail/A 21738-2025 FSC-klagomål mail.docx", "A 21738-2025")</f>
        <v/>
      </c>
      <c r="X44">
        <f>HYPERLINK("https://klasma.github.io/Logging_1981/tillsyn/A 21738-2025 tillsynsbegäran.docx", "A 21738-2025")</f>
        <v/>
      </c>
      <c r="Y44">
        <f>HYPERLINK("https://klasma.github.io/Logging_1981/tillsynsmail/A 21738-2025 tillsynsbegäran mail.docx", "A 21738-2025")</f>
        <v/>
      </c>
    </row>
    <row r="45" ht="15" customHeight="1">
      <c r="A45" t="inlineStr">
        <is>
          <t>A 22950-2025</t>
        </is>
      </c>
      <c r="B45" s="1" t="n">
        <v>45790.50728009259</v>
      </c>
      <c r="C45" s="1" t="n">
        <v>46084</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41270-2024</t>
        </is>
      </c>
      <c r="B46" s="1" t="n">
        <v>45559</v>
      </c>
      <c r="C46" s="1" t="n">
        <v>46084</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46084</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48705-2025</t>
        </is>
      </c>
      <c r="B48" s="1" t="n">
        <v>45936.62290509259</v>
      </c>
      <c r="C48" s="1" t="n">
        <v>46084</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22350-2024</t>
        </is>
      </c>
      <c r="B49" s="1" t="n">
        <v>45446</v>
      </c>
      <c r="C49" s="1" t="n">
        <v>46084</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50268-2025</t>
        </is>
      </c>
      <c r="B50" s="1" t="n">
        <v>45944.35162037037</v>
      </c>
      <c r="C50" s="1" t="n">
        <v>46084</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37166-2024</t>
        </is>
      </c>
      <c r="B51" s="1" t="n">
        <v>45539</v>
      </c>
      <c r="C51" s="1" t="n">
        <v>46084</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37166-2024 artfynd.xlsx", "A 37166-2024")</f>
        <v/>
      </c>
      <c r="T51">
        <f>HYPERLINK("https://klasma.github.io/Logging_1981/kartor/A 37166-2024 karta.png", "A 37166-2024")</f>
        <v/>
      </c>
      <c r="U51">
        <f>HYPERLINK("https://klasma.github.io/Logging_1981/knärot/A 37166-2024 karta knärot.png", "A 37166-2024")</f>
        <v/>
      </c>
      <c r="V51">
        <f>HYPERLINK("https://klasma.github.io/Logging_1981/klagomål/A 37166-2024 FSC-klagomål.docx", "A 37166-2024")</f>
        <v/>
      </c>
      <c r="W51">
        <f>HYPERLINK("https://klasma.github.io/Logging_1981/klagomålsmail/A 37166-2024 FSC-klagomål mail.docx", "A 37166-2024")</f>
        <v/>
      </c>
      <c r="X51">
        <f>HYPERLINK("https://klasma.github.io/Logging_1981/tillsyn/A 37166-2024 tillsynsbegäran.docx", "A 37166-2024")</f>
        <v/>
      </c>
      <c r="Y51">
        <f>HYPERLINK("https://klasma.github.io/Logging_1981/tillsynsmail/A 37166-2024 tillsynsbegäran mail.docx", "A 37166-2024")</f>
        <v/>
      </c>
    </row>
    <row r="52" ht="15" customHeight="1">
      <c r="A52" t="inlineStr">
        <is>
          <t>A 53052-2025</t>
        </is>
      </c>
      <c r="B52" s="1" t="n">
        <v>45958.36266203703</v>
      </c>
      <c r="C52" s="1" t="n">
        <v>46084</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29727-2023</t>
        </is>
      </c>
      <c r="B53" s="1" t="n">
        <v>45107</v>
      </c>
      <c r="C53" s="1" t="n">
        <v>46084</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38255-2025</t>
        </is>
      </c>
      <c r="B54" s="1" t="n">
        <v>45883.38020833334</v>
      </c>
      <c r="C54" s="1" t="n">
        <v>46084</v>
      </c>
      <c r="D54" t="inlineStr">
        <is>
          <t>VÄSTMANLANDS LÄN</t>
        </is>
      </c>
      <c r="E54" t="inlineStr">
        <is>
          <t>SALA</t>
        </is>
      </c>
      <c r="G54" t="n">
        <v>0.9</v>
      </c>
      <c r="H54" t="n">
        <v>1</v>
      </c>
      <c r="I54" t="n">
        <v>0</v>
      </c>
      <c r="J54" t="n">
        <v>0</v>
      </c>
      <c r="K54" t="n">
        <v>1</v>
      </c>
      <c r="L54" t="n">
        <v>0</v>
      </c>
      <c r="M54" t="n">
        <v>0</v>
      </c>
      <c r="N54" t="n">
        <v>0</v>
      </c>
      <c r="O54" t="n">
        <v>1</v>
      </c>
      <c r="P54" t="n">
        <v>1</v>
      </c>
      <c r="Q54" t="n">
        <v>1</v>
      </c>
      <c r="R54" s="2" t="inlineStr">
        <is>
          <t>Knärot</t>
        </is>
      </c>
      <c r="S54">
        <f>HYPERLINK("https://klasma.github.io/Logging_1981/artfynd/A 38255-2025 artfynd.xlsx", "A 38255-2025")</f>
        <v/>
      </c>
      <c r="T54">
        <f>HYPERLINK("https://klasma.github.io/Logging_1981/kartor/A 38255-2025 karta.png", "A 38255-2025")</f>
        <v/>
      </c>
      <c r="U54">
        <f>HYPERLINK("https://klasma.github.io/Logging_1981/knärot/A 38255-2025 karta knärot.png", "A 38255-2025")</f>
        <v/>
      </c>
      <c r="V54">
        <f>HYPERLINK("https://klasma.github.io/Logging_1981/klagomål/A 38255-2025 FSC-klagomål.docx", "A 38255-2025")</f>
        <v/>
      </c>
      <c r="W54">
        <f>HYPERLINK("https://klasma.github.io/Logging_1981/klagomålsmail/A 38255-2025 FSC-klagomål mail.docx", "A 38255-2025")</f>
        <v/>
      </c>
      <c r="X54">
        <f>HYPERLINK("https://klasma.github.io/Logging_1981/tillsyn/A 38255-2025 tillsynsbegäran.docx", "A 38255-2025")</f>
        <v/>
      </c>
      <c r="Y54">
        <f>HYPERLINK("https://klasma.github.io/Logging_1981/tillsynsmail/A 38255-2025 tillsynsbegäran mail.docx", "A 38255-2025")</f>
        <v/>
      </c>
    </row>
    <row r="55" ht="15" customHeight="1">
      <c r="A55" t="inlineStr">
        <is>
          <t>A 55995-2025</t>
        </is>
      </c>
      <c r="B55" s="1" t="n">
        <v>45973.56733796297</v>
      </c>
      <c r="C55" s="1" t="n">
        <v>46084</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43068-2024</t>
        </is>
      </c>
      <c r="B56" s="1" t="n">
        <v>45567</v>
      </c>
      <c r="C56" s="1" t="n">
        <v>46084</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46084</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46084</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46084</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46084</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7672-2026</t>
        </is>
      </c>
      <c r="B61" s="1" t="n">
        <v>46062.42077546296</v>
      </c>
      <c r="C61" s="1" t="n">
        <v>46084</v>
      </c>
      <c r="D61" t="inlineStr">
        <is>
          <t>VÄSTMANLANDS LÄN</t>
        </is>
      </c>
      <c r="E61" t="inlineStr">
        <is>
          <t>SALA</t>
        </is>
      </c>
      <c r="G61" t="n">
        <v>2.9</v>
      </c>
      <c r="H61" t="n">
        <v>1</v>
      </c>
      <c r="I61" t="n">
        <v>0</v>
      </c>
      <c r="J61" t="n">
        <v>0</v>
      </c>
      <c r="K61" t="n">
        <v>0</v>
      </c>
      <c r="L61" t="n">
        <v>0</v>
      </c>
      <c r="M61" t="n">
        <v>0</v>
      </c>
      <c r="N61" t="n">
        <v>0</v>
      </c>
      <c r="O61" t="n">
        <v>0</v>
      </c>
      <c r="P61" t="n">
        <v>0</v>
      </c>
      <c r="Q61" t="n">
        <v>1</v>
      </c>
      <c r="R61" s="2" t="inlineStr">
        <is>
          <t>Nattviol</t>
        </is>
      </c>
      <c r="S61">
        <f>HYPERLINK("https://klasma.github.io/Logging_1981/artfynd/A 7672-2026 artfynd.xlsx", "A 7672-2026")</f>
        <v/>
      </c>
      <c r="T61">
        <f>HYPERLINK("https://klasma.github.io/Logging_1981/kartor/A 7672-2026 karta.png", "A 7672-2026")</f>
        <v/>
      </c>
      <c r="V61">
        <f>HYPERLINK("https://klasma.github.io/Logging_1981/klagomål/A 7672-2026 FSC-klagomål.docx", "A 7672-2026")</f>
        <v/>
      </c>
      <c r="W61">
        <f>HYPERLINK("https://klasma.github.io/Logging_1981/klagomålsmail/A 7672-2026 FSC-klagomål mail.docx", "A 7672-2026")</f>
        <v/>
      </c>
      <c r="X61">
        <f>HYPERLINK("https://klasma.github.io/Logging_1981/tillsyn/A 7672-2026 tillsynsbegäran.docx", "A 7672-2026")</f>
        <v/>
      </c>
      <c r="Y61">
        <f>HYPERLINK("https://klasma.github.io/Logging_1981/tillsynsmail/A 7672-2026 tillsynsbegäran mail.docx", "A 7672-2026")</f>
        <v/>
      </c>
    </row>
    <row r="62" ht="15" customHeight="1">
      <c r="A62" t="inlineStr">
        <is>
          <t>A 14775-2023</t>
        </is>
      </c>
      <c r="B62" s="1" t="n">
        <v>45014</v>
      </c>
      <c r="C62" s="1" t="n">
        <v>46084</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14775-2023 artfynd.xlsx", "A 14775-2023")</f>
        <v/>
      </c>
      <c r="T62">
        <f>HYPERLINK("https://klasma.github.io/Logging_1981/kartor/A 14775-2023 karta.png", "A 14775-2023")</f>
        <v/>
      </c>
      <c r="U62">
        <f>HYPERLINK("https://klasma.github.io/Logging_1981/knärot/A 14775-2023 karta knärot.png", "A 14775-2023")</f>
        <v/>
      </c>
      <c r="V62">
        <f>HYPERLINK("https://klasma.github.io/Logging_1981/klagomål/A 14775-2023 FSC-klagomål.docx", "A 14775-2023")</f>
        <v/>
      </c>
      <c r="W62">
        <f>HYPERLINK("https://klasma.github.io/Logging_1981/klagomålsmail/A 14775-2023 FSC-klagomål mail.docx", "A 14775-2023")</f>
        <v/>
      </c>
      <c r="X62">
        <f>HYPERLINK("https://klasma.github.io/Logging_1981/tillsyn/A 14775-2023 tillsynsbegäran.docx", "A 14775-2023")</f>
        <v/>
      </c>
      <c r="Y62">
        <f>HYPERLINK("https://klasma.github.io/Logging_1981/tillsynsmail/A 14775-2023 tillsynsbegäran mail.docx", "A 14775-2023")</f>
        <v/>
      </c>
    </row>
    <row r="63" ht="15" customHeight="1">
      <c r="A63" t="inlineStr">
        <is>
          <t>A 12509-2023</t>
        </is>
      </c>
      <c r="B63" s="1" t="n">
        <v>44999.95988425926</v>
      </c>
      <c r="C63" s="1" t="n">
        <v>46084</v>
      </c>
      <c r="D63" t="inlineStr">
        <is>
          <t>VÄSTMANLANDS LÄN</t>
        </is>
      </c>
      <c r="E63" t="inlineStr">
        <is>
          <t>SALA</t>
        </is>
      </c>
      <c r="G63" t="n">
        <v>13.9</v>
      </c>
      <c r="H63" t="n">
        <v>1</v>
      </c>
      <c r="I63" t="n">
        <v>0</v>
      </c>
      <c r="J63" t="n">
        <v>0</v>
      </c>
      <c r="K63" t="n">
        <v>0</v>
      </c>
      <c r="L63" t="n">
        <v>0</v>
      </c>
      <c r="M63" t="n">
        <v>0</v>
      </c>
      <c r="N63" t="n">
        <v>0</v>
      </c>
      <c r="O63" t="n">
        <v>0</v>
      </c>
      <c r="P63" t="n">
        <v>0</v>
      </c>
      <c r="Q63" t="n">
        <v>1</v>
      </c>
      <c r="R63" s="2" t="inlineStr">
        <is>
          <t>Grönvit nattviol</t>
        </is>
      </c>
      <c r="S63">
        <f>HYPERLINK("https://klasma.github.io/Logging_1981/artfynd/A 12509-2023 artfynd.xlsx", "A 12509-2023")</f>
        <v/>
      </c>
      <c r="T63">
        <f>HYPERLINK("https://klasma.github.io/Logging_1981/kartor/A 12509-2023 karta.png", "A 12509-2023")</f>
        <v/>
      </c>
      <c r="V63">
        <f>HYPERLINK("https://klasma.github.io/Logging_1981/klagomål/A 12509-2023 FSC-klagomål.docx", "A 12509-2023")</f>
        <v/>
      </c>
      <c r="W63">
        <f>HYPERLINK("https://klasma.github.io/Logging_1981/klagomålsmail/A 12509-2023 FSC-klagomål mail.docx", "A 12509-2023")</f>
        <v/>
      </c>
      <c r="X63">
        <f>HYPERLINK("https://klasma.github.io/Logging_1981/tillsyn/A 12509-2023 tillsynsbegäran.docx", "A 12509-2023")</f>
        <v/>
      </c>
      <c r="Y63">
        <f>HYPERLINK("https://klasma.github.io/Logging_1981/tillsynsmail/A 12509-2023 tillsynsbegäran mail.docx", "A 12509-2023")</f>
        <v/>
      </c>
    </row>
    <row r="64" ht="15" customHeight="1">
      <c r="A64" t="inlineStr">
        <is>
          <t>A 19361-2025</t>
        </is>
      </c>
      <c r="B64" s="1" t="n">
        <v>45769.63357638889</v>
      </c>
      <c r="C64" s="1" t="n">
        <v>46084</v>
      </c>
      <c r="D64" t="inlineStr">
        <is>
          <t>VÄSTMANLANDS LÄN</t>
        </is>
      </c>
      <c r="E64" t="inlineStr">
        <is>
          <t>SALA</t>
        </is>
      </c>
      <c r="F64" t="inlineStr">
        <is>
          <t>Bergvik skog öst AB</t>
        </is>
      </c>
      <c r="G64" t="n">
        <v>8.9</v>
      </c>
      <c r="H64" t="n">
        <v>0</v>
      </c>
      <c r="I64" t="n">
        <v>0</v>
      </c>
      <c r="J64" t="n">
        <v>1</v>
      </c>
      <c r="K64" t="n">
        <v>0</v>
      </c>
      <c r="L64" t="n">
        <v>0</v>
      </c>
      <c r="M64" t="n">
        <v>0</v>
      </c>
      <c r="N64" t="n">
        <v>0</v>
      </c>
      <c r="O64" t="n">
        <v>1</v>
      </c>
      <c r="P64" t="n">
        <v>0</v>
      </c>
      <c r="Q64" t="n">
        <v>1</v>
      </c>
      <c r="R64" s="2" t="inlineStr">
        <is>
          <t>Garnlav</t>
        </is>
      </c>
      <c r="S64">
        <f>HYPERLINK("https://klasma.github.io/Logging_1981/artfynd/A 19361-2025 artfynd.xlsx", "A 19361-2025")</f>
        <v/>
      </c>
      <c r="T64">
        <f>HYPERLINK("https://klasma.github.io/Logging_1981/kartor/A 19361-2025 karta.png", "A 19361-2025")</f>
        <v/>
      </c>
      <c r="V64">
        <f>HYPERLINK("https://klasma.github.io/Logging_1981/klagomål/A 19361-2025 FSC-klagomål.docx", "A 19361-2025")</f>
        <v/>
      </c>
      <c r="W64">
        <f>HYPERLINK("https://klasma.github.io/Logging_1981/klagomålsmail/A 19361-2025 FSC-klagomål mail.docx", "A 19361-2025")</f>
        <v/>
      </c>
      <c r="X64">
        <f>HYPERLINK("https://klasma.github.io/Logging_1981/tillsyn/A 19361-2025 tillsynsbegäran.docx", "A 19361-2025")</f>
        <v/>
      </c>
      <c r="Y64">
        <f>HYPERLINK("https://klasma.github.io/Logging_1981/tillsynsmail/A 19361-2025 tillsynsbegäran mail.docx", "A 19361-2025")</f>
        <v/>
      </c>
    </row>
    <row r="65" ht="15" customHeight="1">
      <c r="A65" t="inlineStr">
        <is>
          <t>A 41570-2021</t>
        </is>
      </c>
      <c r="B65" s="1" t="n">
        <v>44425</v>
      </c>
      <c r="C65" s="1" t="n">
        <v>46084</v>
      </c>
      <c r="D65" t="inlineStr">
        <is>
          <t>VÄSTMANLANDS LÄN</t>
        </is>
      </c>
      <c r="E65" t="inlineStr">
        <is>
          <t>SALA</t>
        </is>
      </c>
      <c r="G65" t="n">
        <v>1.4</v>
      </c>
      <c r="H65" t="n">
        <v>0</v>
      </c>
      <c r="I65" t="n">
        <v>0</v>
      </c>
      <c r="J65" t="n">
        <v>1</v>
      </c>
      <c r="K65" t="n">
        <v>0</v>
      </c>
      <c r="L65" t="n">
        <v>0</v>
      </c>
      <c r="M65" t="n">
        <v>0</v>
      </c>
      <c r="N65" t="n">
        <v>0</v>
      </c>
      <c r="O65" t="n">
        <v>1</v>
      </c>
      <c r="P65" t="n">
        <v>0</v>
      </c>
      <c r="Q65" t="n">
        <v>1</v>
      </c>
      <c r="R65" s="2" t="inlineStr">
        <is>
          <t>Vedtrappmossa</t>
        </is>
      </c>
      <c r="S65">
        <f>HYPERLINK("https://klasma.github.io/Logging_1981/artfynd/A 41570-2021 artfynd.xlsx", "A 41570-2021")</f>
        <v/>
      </c>
      <c r="T65">
        <f>HYPERLINK("https://klasma.github.io/Logging_1981/kartor/A 41570-2021 karta.png", "A 41570-2021")</f>
        <v/>
      </c>
      <c r="V65">
        <f>HYPERLINK("https://klasma.github.io/Logging_1981/klagomål/A 41570-2021 FSC-klagomål.docx", "A 41570-2021")</f>
        <v/>
      </c>
      <c r="W65">
        <f>HYPERLINK("https://klasma.github.io/Logging_1981/klagomålsmail/A 41570-2021 FSC-klagomål mail.docx", "A 41570-2021")</f>
        <v/>
      </c>
      <c r="X65">
        <f>HYPERLINK("https://klasma.github.io/Logging_1981/tillsyn/A 41570-2021 tillsynsbegäran.docx", "A 41570-2021")</f>
        <v/>
      </c>
      <c r="Y65">
        <f>HYPERLINK("https://klasma.github.io/Logging_1981/tillsynsmail/A 41570-2021 tillsynsbegäran mail.docx", "A 41570-2021")</f>
        <v/>
      </c>
    </row>
    <row r="66" ht="15" customHeight="1">
      <c r="A66" t="inlineStr">
        <is>
          <t>A 43175-2023</t>
        </is>
      </c>
      <c r="B66" s="1" t="n">
        <v>45183</v>
      </c>
      <c r="C66" s="1" t="n">
        <v>46084</v>
      </c>
      <c r="D66" t="inlineStr">
        <is>
          <t>VÄSTMANLANDS LÄN</t>
        </is>
      </c>
      <c r="E66" t="inlineStr">
        <is>
          <t>SALA</t>
        </is>
      </c>
      <c r="G66" t="n">
        <v>5.6</v>
      </c>
      <c r="H66" t="n">
        <v>0</v>
      </c>
      <c r="I66" t="n">
        <v>1</v>
      </c>
      <c r="J66" t="n">
        <v>0</v>
      </c>
      <c r="K66" t="n">
        <v>0</v>
      </c>
      <c r="L66" t="n">
        <v>0</v>
      </c>
      <c r="M66" t="n">
        <v>0</v>
      </c>
      <c r="N66" t="n">
        <v>0</v>
      </c>
      <c r="O66" t="n">
        <v>0</v>
      </c>
      <c r="P66" t="n">
        <v>0</v>
      </c>
      <c r="Q66" t="n">
        <v>1</v>
      </c>
      <c r="R66" s="2" t="inlineStr">
        <is>
          <t>Grönpyrola</t>
        </is>
      </c>
      <c r="S66">
        <f>HYPERLINK("https://klasma.github.io/Logging_1981/artfynd/A 43175-2023 artfynd.xlsx", "A 43175-2023")</f>
        <v/>
      </c>
      <c r="T66">
        <f>HYPERLINK("https://klasma.github.io/Logging_1981/kartor/A 43175-2023 karta.png", "A 43175-2023")</f>
        <v/>
      </c>
      <c r="V66">
        <f>HYPERLINK("https://klasma.github.io/Logging_1981/klagomål/A 43175-2023 FSC-klagomål.docx", "A 43175-2023")</f>
        <v/>
      </c>
      <c r="W66">
        <f>HYPERLINK("https://klasma.github.io/Logging_1981/klagomålsmail/A 43175-2023 FSC-klagomål mail.docx", "A 43175-2023")</f>
        <v/>
      </c>
      <c r="X66">
        <f>HYPERLINK("https://klasma.github.io/Logging_1981/tillsyn/A 43175-2023 tillsynsbegäran.docx", "A 43175-2023")</f>
        <v/>
      </c>
      <c r="Y66">
        <f>HYPERLINK("https://klasma.github.io/Logging_1981/tillsynsmail/A 43175-2023 tillsynsbegäran mail.docx", "A 43175-2023")</f>
        <v/>
      </c>
    </row>
    <row r="67" ht="15" customHeight="1">
      <c r="A67" t="inlineStr">
        <is>
          <t>A 73124-2021</t>
        </is>
      </c>
      <c r="B67" s="1" t="n">
        <v>44550</v>
      </c>
      <c r="C67" s="1" t="n">
        <v>46084</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46084</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46084</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73788-2021</t>
        </is>
      </c>
      <c r="B70" s="1" t="n">
        <v>44552</v>
      </c>
      <c r="C70" s="1" t="n">
        <v>46084</v>
      </c>
      <c r="D70" t="inlineStr">
        <is>
          <t>VÄSTMANLANDS LÄN</t>
        </is>
      </c>
      <c r="E70" t="inlineStr">
        <is>
          <t>SALA</t>
        </is>
      </c>
      <c r="G70" t="n">
        <v>0.8</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46084</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46084</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46084</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46084</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46084</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46084</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46084</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46084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46084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46084</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46084</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46084</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46084</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46084</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46084</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46084</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46084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46084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33762-2021</t>
        </is>
      </c>
      <c r="B89" s="1" t="n">
        <v>44378</v>
      </c>
      <c r="C89" s="1" t="n">
        <v>46084</v>
      </c>
      <c r="D89" t="inlineStr">
        <is>
          <t>VÄSTMANLANDS LÄN</t>
        </is>
      </c>
      <c r="E89" t="inlineStr">
        <is>
          <t>SALA</t>
        </is>
      </c>
      <c r="G89" t="n">
        <v>3.4</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46084</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46084</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46084</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46084</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46084</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46084</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46084</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46084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46084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46084</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46084</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46084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46084</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46084</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46084</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46084</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46084</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46084</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46084</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46084</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46084</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46084</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46084</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46084</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46084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46084</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46084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46084</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46084</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46084</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46084</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46084</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46084</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46084</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46084</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46084</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46084</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46084</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46084</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22811-2022</t>
        </is>
      </c>
      <c r="B133" s="1" t="n">
        <v>44715</v>
      </c>
      <c r="C133" s="1" t="n">
        <v>46084</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46084</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46084</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46084</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46084</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46084</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25603-2022</t>
        </is>
      </c>
      <c r="B139" s="1" t="n">
        <v>44732</v>
      </c>
      <c r="C139" s="1" t="n">
        <v>46084</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73519-2021</t>
        </is>
      </c>
      <c r="B140" s="1" t="n">
        <v>44551</v>
      </c>
      <c r="C140" s="1" t="n">
        <v>46084</v>
      </c>
      <c r="D140" t="inlineStr">
        <is>
          <t>VÄSTMANLANDS LÄN</t>
        </is>
      </c>
      <c r="E140" t="inlineStr">
        <is>
          <t>SALA</t>
        </is>
      </c>
      <c r="G140" t="n">
        <v>0.3</v>
      </c>
      <c r="H140" t="n">
        <v>0</v>
      </c>
      <c r="I140" t="n">
        <v>0</v>
      </c>
      <c r="J140" t="n">
        <v>0</v>
      </c>
      <c r="K140" t="n">
        <v>0</v>
      </c>
      <c r="L140" t="n">
        <v>0</v>
      </c>
      <c r="M140" t="n">
        <v>0</v>
      </c>
      <c r="N140" t="n">
        <v>0</v>
      </c>
      <c r="O140" t="n">
        <v>0</v>
      </c>
      <c r="P140" t="n">
        <v>0</v>
      </c>
      <c r="Q140" t="n">
        <v>0</v>
      </c>
      <c r="R140" s="2" t="inlineStr"/>
    </row>
    <row r="141" ht="15" customHeight="1">
      <c r="A141" t="inlineStr">
        <is>
          <t>A 53628-2022</t>
        </is>
      </c>
      <c r="B141" s="1" t="n">
        <v>44879.87171296297</v>
      </c>
      <c r="C141" s="1" t="n">
        <v>46084</v>
      </c>
      <c r="D141" t="inlineStr">
        <is>
          <t>VÄSTMANLANDS LÄN</t>
        </is>
      </c>
      <c r="E141" t="inlineStr">
        <is>
          <t>SALA</t>
        </is>
      </c>
      <c r="G141" t="n">
        <v>2.7</v>
      </c>
      <c r="H141" t="n">
        <v>0</v>
      </c>
      <c r="I141" t="n">
        <v>0</v>
      </c>
      <c r="J141" t="n">
        <v>0</v>
      </c>
      <c r="K141" t="n">
        <v>0</v>
      </c>
      <c r="L141" t="n">
        <v>0</v>
      </c>
      <c r="M141" t="n">
        <v>0</v>
      </c>
      <c r="N141" t="n">
        <v>0</v>
      </c>
      <c r="O141" t="n">
        <v>0</v>
      </c>
      <c r="P141" t="n">
        <v>0</v>
      </c>
      <c r="Q141" t="n">
        <v>0</v>
      </c>
      <c r="R141" s="2" t="inlineStr"/>
    </row>
    <row r="142" ht="15" customHeight="1">
      <c r="A142" t="inlineStr">
        <is>
          <t>A 37881-2021</t>
        </is>
      </c>
      <c r="B142" s="1" t="n">
        <v>44403</v>
      </c>
      <c r="C142" s="1" t="n">
        <v>46084</v>
      </c>
      <c r="D142" t="inlineStr">
        <is>
          <t>VÄSTMANLANDS LÄN</t>
        </is>
      </c>
      <c r="E142" t="inlineStr">
        <is>
          <t>SALA</t>
        </is>
      </c>
      <c r="G142" t="n">
        <v>4.6</v>
      </c>
      <c r="H142" t="n">
        <v>0</v>
      </c>
      <c r="I142" t="n">
        <v>0</v>
      </c>
      <c r="J142" t="n">
        <v>0</v>
      </c>
      <c r="K142" t="n">
        <v>0</v>
      </c>
      <c r="L142" t="n">
        <v>0</v>
      </c>
      <c r="M142" t="n">
        <v>0</v>
      </c>
      <c r="N142" t="n">
        <v>0</v>
      </c>
      <c r="O142" t="n">
        <v>0</v>
      </c>
      <c r="P142" t="n">
        <v>0</v>
      </c>
      <c r="Q142" t="n">
        <v>0</v>
      </c>
      <c r="R142" s="2" t="inlineStr"/>
    </row>
    <row r="143" ht="15" customHeight="1">
      <c r="A143" t="inlineStr">
        <is>
          <t>A 72805-2021</t>
        </is>
      </c>
      <c r="B143" s="1" t="n">
        <v>44546</v>
      </c>
      <c r="C143" s="1" t="n">
        <v>46084</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72808-2021</t>
        </is>
      </c>
      <c r="B144" s="1" t="n">
        <v>44546</v>
      </c>
      <c r="C144" s="1" t="n">
        <v>46084</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67962-2021</t>
        </is>
      </c>
      <c r="B145" s="1" t="n">
        <v>44525</v>
      </c>
      <c r="C145" s="1" t="n">
        <v>46084</v>
      </c>
      <c r="D145" t="inlineStr">
        <is>
          <t>VÄSTMANLANDS LÄN</t>
        </is>
      </c>
      <c r="E145" t="inlineStr">
        <is>
          <t>SALA</t>
        </is>
      </c>
      <c r="G145" t="n">
        <v>1.4</v>
      </c>
      <c r="H145" t="n">
        <v>0</v>
      </c>
      <c r="I145" t="n">
        <v>0</v>
      </c>
      <c r="J145" t="n">
        <v>0</v>
      </c>
      <c r="K145" t="n">
        <v>0</v>
      </c>
      <c r="L145" t="n">
        <v>0</v>
      </c>
      <c r="M145" t="n">
        <v>0</v>
      </c>
      <c r="N145" t="n">
        <v>0</v>
      </c>
      <c r="O145" t="n">
        <v>0</v>
      </c>
      <c r="P145" t="n">
        <v>0</v>
      </c>
      <c r="Q145" t="n">
        <v>0</v>
      </c>
      <c r="R145" s="2" t="inlineStr"/>
    </row>
    <row r="146" ht="15" customHeight="1">
      <c r="A146" t="inlineStr">
        <is>
          <t>A 64932-2021</t>
        </is>
      </c>
      <c r="B146" s="1" t="n">
        <v>44512</v>
      </c>
      <c r="C146" s="1" t="n">
        <v>46084</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23847-2022</t>
        </is>
      </c>
      <c r="B147" s="1" t="n">
        <v>44722</v>
      </c>
      <c r="C147" s="1" t="n">
        <v>46084</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40113-2022</t>
        </is>
      </c>
      <c r="B148" s="1" t="n">
        <v>44819</v>
      </c>
      <c r="C148" s="1" t="n">
        <v>46084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30915-2021</t>
        </is>
      </c>
      <c r="B149" s="1" t="n">
        <v>44365</v>
      </c>
      <c r="C149" s="1" t="n">
        <v>46084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30918-2021</t>
        </is>
      </c>
      <c r="B150" s="1" t="n">
        <v>44365.60569444444</v>
      </c>
      <c r="C150" s="1" t="n">
        <v>46084</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22562-2022</t>
        </is>
      </c>
      <c r="B151" s="1" t="n">
        <v>44713</v>
      </c>
      <c r="C151" s="1" t="n">
        <v>46084</v>
      </c>
      <c r="D151" t="inlineStr">
        <is>
          <t>VÄSTMANLANDS LÄN</t>
        </is>
      </c>
      <c r="E151" t="inlineStr">
        <is>
          <t>SALA</t>
        </is>
      </c>
      <c r="G151" t="n">
        <v>0.8</v>
      </c>
      <c r="H151" t="n">
        <v>0</v>
      </c>
      <c r="I151" t="n">
        <v>0</v>
      </c>
      <c r="J151" t="n">
        <v>0</v>
      </c>
      <c r="K151" t="n">
        <v>0</v>
      </c>
      <c r="L151" t="n">
        <v>0</v>
      </c>
      <c r="M151" t="n">
        <v>0</v>
      </c>
      <c r="N151" t="n">
        <v>0</v>
      </c>
      <c r="O151" t="n">
        <v>0</v>
      </c>
      <c r="P151" t="n">
        <v>0</v>
      </c>
      <c r="Q151" t="n">
        <v>0</v>
      </c>
      <c r="R151" s="2" t="inlineStr"/>
    </row>
    <row r="152" ht="15" customHeight="1">
      <c r="A152" t="inlineStr">
        <is>
          <t>A 30904-2021</t>
        </is>
      </c>
      <c r="B152" s="1" t="n">
        <v>44365.5983449074</v>
      </c>
      <c r="C152" s="1" t="n">
        <v>46084</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29233-2022</t>
        </is>
      </c>
      <c r="B153" s="1" t="n">
        <v>44750</v>
      </c>
      <c r="C153" s="1" t="n">
        <v>46084</v>
      </c>
      <c r="D153" t="inlineStr">
        <is>
          <t>VÄSTMANLANDS LÄN</t>
        </is>
      </c>
      <c r="E153" t="inlineStr">
        <is>
          <t>SALA</t>
        </is>
      </c>
      <c r="G153" t="n">
        <v>2.4</v>
      </c>
      <c r="H153" t="n">
        <v>0</v>
      </c>
      <c r="I153" t="n">
        <v>0</v>
      </c>
      <c r="J153" t="n">
        <v>0</v>
      </c>
      <c r="K153" t="n">
        <v>0</v>
      </c>
      <c r="L153" t="n">
        <v>0</v>
      </c>
      <c r="M153" t="n">
        <v>0</v>
      </c>
      <c r="N153" t="n">
        <v>0</v>
      </c>
      <c r="O153" t="n">
        <v>0</v>
      </c>
      <c r="P153" t="n">
        <v>0</v>
      </c>
      <c r="Q153" t="n">
        <v>0</v>
      </c>
      <c r="R153" s="2" t="inlineStr"/>
    </row>
    <row r="154" ht="15" customHeight="1">
      <c r="A154" t="inlineStr">
        <is>
          <t>A 24882-2022</t>
        </is>
      </c>
      <c r="B154" s="1" t="n">
        <v>44728.56488425926</v>
      </c>
      <c r="C154" s="1" t="n">
        <v>46084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65353-2021</t>
        </is>
      </c>
      <c r="B155" s="1" t="n">
        <v>44515</v>
      </c>
      <c r="C155" s="1" t="n">
        <v>46084</v>
      </c>
      <c r="D155" t="inlineStr">
        <is>
          <t>VÄSTMANLANDS LÄN</t>
        </is>
      </c>
      <c r="E155" t="inlineStr">
        <is>
          <t>SALA</t>
        </is>
      </c>
      <c r="G155" t="n">
        <v>1.5</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46084</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41876-2022</t>
        </is>
      </c>
      <c r="B157" s="1" t="n">
        <v>44829.97008101852</v>
      </c>
      <c r="C157" s="1" t="n">
        <v>46084</v>
      </c>
      <c r="D157" t="inlineStr">
        <is>
          <t>VÄSTMANLANDS LÄN</t>
        </is>
      </c>
      <c r="E157" t="inlineStr">
        <is>
          <t>SALA</t>
        </is>
      </c>
      <c r="G157" t="n">
        <v>3.6</v>
      </c>
      <c r="H157" t="n">
        <v>0</v>
      </c>
      <c r="I157" t="n">
        <v>0</v>
      </c>
      <c r="J157" t="n">
        <v>0</v>
      </c>
      <c r="K157" t="n">
        <v>0</v>
      </c>
      <c r="L157" t="n">
        <v>0</v>
      </c>
      <c r="M157" t="n">
        <v>0</v>
      </c>
      <c r="N157" t="n">
        <v>0</v>
      </c>
      <c r="O157" t="n">
        <v>0</v>
      </c>
      <c r="P157" t="n">
        <v>0</v>
      </c>
      <c r="Q157" t="n">
        <v>0</v>
      </c>
      <c r="R157" s="2" t="inlineStr"/>
    </row>
    <row r="158" ht="15" customHeight="1">
      <c r="A158" t="inlineStr">
        <is>
          <t>A 67958-2021</t>
        </is>
      </c>
      <c r="B158" s="1" t="n">
        <v>44525</v>
      </c>
      <c r="C158" s="1" t="n">
        <v>46084</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67965-2021</t>
        </is>
      </c>
      <c r="B159" s="1" t="n">
        <v>44525</v>
      </c>
      <c r="C159" s="1" t="n">
        <v>46084</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46084</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46084</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70218-2021</t>
        </is>
      </c>
      <c r="B162" s="1" t="n">
        <v>44535.6571412037</v>
      </c>
      <c r="C162" s="1" t="n">
        <v>46084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45015-2022</t>
        </is>
      </c>
      <c r="B163" s="1" t="n">
        <v>44841.63766203704</v>
      </c>
      <c r="C163" s="1" t="n">
        <v>46084</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3204-2022</t>
        </is>
      </c>
      <c r="B164" s="1" t="n">
        <v>44582</v>
      </c>
      <c r="C164" s="1" t="n">
        <v>46084</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46084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26570-2021</t>
        </is>
      </c>
      <c r="B166" s="1" t="n">
        <v>44348</v>
      </c>
      <c r="C166" s="1" t="n">
        <v>46084</v>
      </c>
      <c r="D166" t="inlineStr">
        <is>
          <t>VÄSTMANLANDS LÄN</t>
        </is>
      </c>
      <c r="E166" t="inlineStr">
        <is>
          <t>SALA</t>
        </is>
      </c>
      <c r="G166" t="n">
        <v>2.5</v>
      </c>
      <c r="H166" t="n">
        <v>0</v>
      </c>
      <c r="I166" t="n">
        <v>0</v>
      </c>
      <c r="J166" t="n">
        <v>0</v>
      </c>
      <c r="K166" t="n">
        <v>0</v>
      </c>
      <c r="L166" t="n">
        <v>0</v>
      </c>
      <c r="M166" t="n">
        <v>0</v>
      </c>
      <c r="N166" t="n">
        <v>0</v>
      </c>
      <c r="O166" t="n">
        <v>0</v>
      </c>
      <c r="P166" t="n">
        <v>0</v>
      </c>
      <c r="Q166" t="n">
        <v>0</v>
      </c>
      <c r="R166" s="2" t="inlineStr"/>
    </row>
    <row r="167" ht="15" customHeight="1">
      <c r="A167" t="inlineStr">
        <is>
          <t>A 10168-2022</t>
        </is>
      </c>
      <c r="B167" s="1" t="n">
        <v>44622.37693287037</v>
      </c>
      <c r="C167" s="1" t="n">
        <v>46084</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58107-2021</t>
        </is>
      </c>
      <c r="B168" s="1" t="n">
        <v>44487</v>
      </c>
      <c r="C168" s="1" t="n">
        <v>46084</v>
      </c>
      <c r="D168" t="inlineStr">
        <is>
          <t>VÄSTMANLANDS LÄN</t>
        </is>
      </c>
      <c r="E168" t="inlineStr">
        <is>
          <t>SALA</t>
        </is>
      </c>
      <c r="F168" t="inlineStr">
        <is>
          <t>Sveaskog</t>
        </is>
      </c>
      <c r="G168" t="n">
        <v>2.8</v>
      </c>
      <c r="H168" t="n">
        <v>0</v>
      </c>
      <c r="I168" t="n">
        <v>0</v>
      </c>
      <c r="J168" t="n">
        <v>0</v>
      </c>
      <c r="K168" t="n">
        <v>0</v>
      </c>
      <c r="L168" t="n">
        <v>0</v>
      </c>
      <c r="M168" t="n">
        <v>0</v>
      </c>
      <c r="N168" t="n">
        <v>0</v>
      </c>
      <c r="O168" t="n">
        <v>0</v>
      </c>
      <c r="P168" t="n">
        <v>0</v>
      </c>
      <c r="Q168" t="n">
        <v>0</v>
      </c>
      <c r="R168" s="2" t="inlineStr"/>
    </row>
    <row r="169" ht="15" customHeight="1">
      <c r="A169" t="inlineStr">
        <is>
          <t>A 72405-2021</t>
        </is>
      </c>
      <c r="B169" s="1" t="n">
        <v>44545</v>
      </c>
      <c r="C169" s="1" t="n">
        <v>46084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9075-2022</t>
        </is>
      </c>
      <c r="B170" s="1" t="n">
        <v>44615.47800925926</v>
      </c>
      <c r="C170" s="1" t="n">
        <v>46084</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63290-2021</t>
        </is>
      </c>
      <c r="B171" s="1" t="n">
        <v>44505</v>
      </c>
      <c r="C171" s="1" t="n">
        <v>46084</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29002-2022</t>
        </is>
      </c>
      <c r="B172" s="1" t="n">
        <v>44749</v>
      </c>
      <c r="C172" s="1" t="n">
        <v>46084</v>
      </c>
      <c r="D172" t="inlineStr">
        <is>
          <t>VÄSTMANLANDS LÄN</t>
        </is>
      </c>
      <c r="E172" t="inlineStr">
        <is>
          <t>SALA</t>
        </is>
      </c>
      <c r="G172" t="n">
        <v>5.4</v>
      </c>
      <c r="H172" t="n">
        <v>0</v>
      </c>
      <c r="I172" t="n">
        <v>0</v>
      </c>
      <c r="J172" t="n">
        <v>0</v>
      </c>
      <c r="K172" t="n">
        <v>0</v>
      </c>
      <c r="L172" t="n">
        <v>0</v>
      </c>
      <c r="M172" t="n">
        <v>0</v>
      </c>
      <c r="N172" t="n">
        <v>0</v>
      </c>
      <c r="O172" t="n">
        <v>0</v>
      </c>
      <c r="P172" t="n">
        <v>0</v>
      </c>
      <c r="Q172" t="n">
        <v>0</v>
      </c>
      <c r="R172" s="2" t="inlineStr"/>
    </row>
    <row r="173" ht="15" customHeight="1">
      <c r="A173" t="inlineStr">
        <is>
          <t>A 66307-2021</t>
        </is>
      </c>
      <c r="B173" s="1" t="n">
        <v>44518.48670138889</v>
      </c>
      <c r="C173" s="1" t="n">
        <v>46084</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46084</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66830-2021</t>
        </is>
      </c>
      <c r="B175" s="1" t="n">
        <v>44522.40886574074</v>
      </c>
      <c r="C175" s="1" t="n">
        <v>46084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27262-2024</t>
        </is>
      </c>
      <c r="B176" s="1" t="n">
        <v>45471</v>
      </c>
      <c r="C176" s="1" t="n">
        <v>46084</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28402-2022</t>
        </is>
      </c>
      <c r="B177" s="1" t="n">
        <v>44747</v>
      </c>
      <c r="C177" s="1" t="n">
        <v>46084</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10913-2025</t>
        </is>
      </c>
      <c r="B178" s="1" t="n">
        <v>45722.73423611111</v>
      </c>
      <c r="C178" s="1" t="n">
        <v>46084</v>
      </c>
      <c r="D178" t="inlineStr">
        <is>
          <t>VÄSTMANLANDS LÄN</t>
        </is>
      </c>
      <c r="E178" t="inlineStr">
        <is>
          <t>SALA</t>
        </is>
      </c>
      <c r="G178" t="n">
        <v>7.6</v>
      </c>
      <c r="H178" t="n">
        <v>0</v>
      </c>
      <c r="I178" t="n">
        <v>0</v>
      </c>
      <c r="J178" t="n">
        <v>0</v>
      </c>
      <c r="K178" t="n">
        <v>0</v>
      </c>
      <c r="L178" t="n">
        <v>0</v>
      </c>
      <c r="M178" t="n">
        <v>0</v>
      </c>
      <c r="N178" t="n">
        <v>0</v>
      </c>
      <c r="O178" t="n">
        <v>0</v>
      </c>
      <c r="P178" t="n">
        <v>0</v>
      </c>
      <c r="Q178" t="n">
        <v>0</v>
      </c>
      <c r="R178" s="2" t="inlineStr"/>
    </row>
    <row r="179" ht="15" customHeight="1">
      <c r="A179" t="inlineStr">
        <is>
          <t>A 73606-2021</t>
        </is>
      </c>
      <c r="B179" s="1" t="n">
        <v>44552</v>
      </c>
      <c r="C179" s="1" t="n">
        <v>46084</v>
      </c>
      <c r="D179" t="inlineStr">
        <is>
          <t>VÄSTMANLANDS LÄN</t>
        </is>
      </c>
      <c r="E179" t="inlineStr">
        <is>
          <t>SALA</t>
        </is>
      </c>
      <c r="G179" t="n">
        <v>1.5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46084</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53735-2022</t>
        </is>
      </c>
      <c r="B181" s="1" t="n">
        <v>44880.42752314815</v>
      </c>
      <c r="C181" s="1" t="n">
        <v>46084</v>
      </c>
      <c r="D181" t="inlineStr">
        <is>
          <t>VÄSTMANLANDS LÄN</t>
        </is>
      </c>
      <c r="E181" t="inlineStr">
        <is>
          <t>SALA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35462-2024</t>
        </is>
      </c>
      <c r="B182" s="1" t="n">
        <v>45531</v>
      </c>
      <c r="C182" s="1" t="n">
        <v>46084</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13188-2025</t>
        </is>
      </c>
      <c r="B183" s="1" t="n">
        <v>45735.39246527778</v>
      </c>
      <c r="C183" s="1" t="n">
        <v>46084</v>
      </c>
      <c r="D183" t="inlineStr">
        <is>
          <t>VÄSTMANLANDS LÄN</t>
        </is>
      </c>
      <c r="E183" t="inlineStr">
        <is>
          <t>SALA</t>
        </is>
      </c>
      <c r="F183" t="inlineStr">
        <is>
          <t>Naturvårdsverket</t>
        </is>
      </c>
      <c r="G183" t="n">
        <v>18.4</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46084</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35410-2022</t>
        </is>
      </c>
      <c r="B185" s="1" t="n">
        <v>44798.62576388889</v>
      </c>
      <c r="C185" s="1" t="n">
        <v>46084</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1118-2024</t>
        </is>
      </c>
      <c r="B186" s="1" t="n">
        <v>45302</v>
      </c>
      <c r="C186" s="1" t="n">
        <v>46084</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65856-2021</t>
        </is>
      </c>
      <c r="B187" s="1" t="n">
        <v>44517</v>
      </c>
      <c r="C187" s="1" t="n">
        <v>46084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44224-2022</t>
        </is>
      </c>
      <c r="B188" s="1" t="n">
        <v>44839.506875</v>
      </c>
      <c r="C188" s="1" t="n">
        <v>46084</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53864-2022</t>
        </is>
      </c>
      <c r="B189" s="1" t="n">
        <v>44880.64016203704</v>
      </c>
      <c r="C189" s="1" t="n">
        <v>46084</v>
      </c>
      <c r="D189" t="inlineStr">
        <is>
          <t>VÄSTMANLANDS LÄN</t>
        </is>
      </c>
      <c r="E189" t="inlineStr">
        <is>
          <t>SALA</t>
        </is>
      </c>
      <c r="G189" t="n">
        <v>5.9</v>
      </c>
      <c r="H189" t="n">
        <v>0</v>
      </c>
      <c r="I189" t="n">
        <v>0</v>
      </c>
      <c r="J189" t="n">
        <v>0</v>
      </c>
      <c r="K189" t="n">
        <v>0</v>
      </c>
      <c r="L189" t="n">
        <v>0</v>
      </c>
      <c r="M189" t="n">
        <v>0</v>
      </c>
      <c r="N189" t="n">
        <v>0</v>
      </c>
      <c r="O189" t="n">
        <v>0</v>
      </c>
      <c r="P189" t="n">
        <v>0</v>
      </c>
      <c r="Q189" t="n">
        <v>0</v>
      </c>
      <c r="R189" s="2" t="inlineStr"/>
    </row>
    <row r="190" ht="15" customHeight="1">
      <c r="A190" t="inlineStr">
        <is>
          <t>A 40085-2024</t>
        </is>
      </c>
      <c r="B190" s="1" t="n">
        <v>45554</v>
      </c>
      <c r="C190" s="1" t="n">
        <v>46084</v>
      </c>
      <c r="D190" t="inlineStr">
        <is>
          <t>VÄSTMANLANDS LÄN</t>
        </is>
      </c>
      <c r="E190" t="inlineStr">
        <is>
          <t>SALA</t>
        </is>
      </c>
      <c r="G190" t="n">
        <v>2.8</v>
      </c>
      <c r="H190" t="n">
        <v>0</v>
      </c>
      <c r="I190" t="n">
        <v>0</v>
      </c>
      <c r="J190" t="n">
        <v>0</v>
      </c>
      <c r="K190" t="n">
        <v>0</v>
      </c>
      <c r="L190" t="n">
        <v>0</v>
      </c>
      <c r="M190" t="n">
        <v>0</v>
      </c>
      <c r="N190" t="n">
        <v>0</v>
      </c>
      <c r="O190" t="n">
        <v>0</v>
      </c>
      <c r="P190" t="n">
        <v>0</v>
      </c>
      <c r="Q190" t="n">
        <v>0</v>
      </c>
      <c r="R190" s="2" t="inlineStr"/>
    </row>
    <row r="191" ht="15" customHeight="1">
      <c r="A191" t="inlineStr">
        <is>
          <t>A 3551-2024</t>
        </is>
      </c>
      <c r="B191" s="1" t="n">
        <v>45320.61099537037</v>
      </c>
      <c r="C191" s="1" t="n">
        <v>46084</v>
      </c>
      <c r="D191" t="inlineStr">
        <is>
          <t>VÄSTMANLANDS LÄN</t>
        </is>
      </c>
      <c r="E191" t="inlineStr">
        <is>
          <t>SALA</t>
        </is>
      </c>
      <c r="F191" t="inlineStr">
        <is>
          <t>Kommuner</t>
        </is>
      </c>
      <c r="G191" t="n">
        <v>6</v>
      </c>
      <c r="H191" t="n">
        <v>0</v>
      </c>
      <c r="I191" t="n">
        <v>0</v>
      </c>
      <c r="J191" t="n">
        <v>0</v>
      </c>
      <c r="K191" t="n">
        <v>0</v>
      </c>
      <c r="L191" t="n">
        <v>0</v>
      </c>
      <c r="M191" t="n">
        <v>0</v>
      </c>
      <c r="N191" t="n">
        <v>0</v>
      </c>
      <c r="O191" t="n">
        <v>0</v>
      </c>
      <c r="P191" t="n">
        <v>0</v>
      </c>
      <c r="Q191" t="n">
        <v>0</v>
      </c>
      <c r="R191" s="2" t="inlineStr"/>
    </row>
    <row r="192" ht="15" customHeight="1">
      <c r="A192" t="inlineStr">
        <is>
          <t>A 23431-2024</t>
        </is>
      </c>
      <c r="B192" s="1" t="n">
        <v>45453</v>
      </c>
      <c r="C192" s="1" t="n">
        <v>46084</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26692-2023</t>
        </is>
      </c>
      <c r="B193" s="1" t="n">
        <v>45093.360625</v>
      </c>
      <c r="C193" s="1" t="n">
        <v>46084</v>
      </c>
      <c r="D193" t="inlineStr">
        <is>
          <t>VÄSTMANLANDS LÄN</t>
        </is>
      </c>
      <c r="E193" t="inlineStr">
        <is>
          <t>SALA</t>
        </is>
      </c>
      <c r="G193" t="n">
        <v>1.8</v>
      </c>
      <c r="H193" t="n">
        <v>0</v>
      </c>
      <c r="I193" t="n">
        <v>0</v>
      </c>
      <c r="J193" t="n">
        <v>0</v>
      </c>
      <c r="K193" t="n">
        <v>0</v>
      </c>
      <c r="L193" t="n">
        <v>0</v>
      </c>
      <c r="M193" t="n">
        <v>0</v>
      </c>
      <c r="N193" t="n">
        <v>0</v>
      </c>
      <c r="O193" t="n">
        <v>0</v>
      </c>
      <c r="P193" t="n">
        <v>0</v>
      </c>
      <c r="Q193" t="n">
        <v>0</v>
      </c>
      <c r="R193" s="2" t="inlineStr"/>
    </row>
    <row r="194" ht="15" customHeight="1">
      <c r="A194" t="inlineStr">
        <is>
          <t>A 21168-2025</t>
        </is>
      </c>
      <c r="B194" s="1" t="n">
        <v>45777</v>
      </c>
      <c r="C194" s="1" t="n">
        <v>46084</v>
      </c>
      <c r="D194" t="inlineStr">
        <is>
          <t>VÄSTMANLANDS LÄN</t>
        </is>
      </c>
      <c r="E194" t="inlineStr">
        <is>
          <t>SALA</t>
        </is>
      </c>
      <c r="G194" t="n">
        <v>4.5</v>
      </c>
      <c r="H194" t="n">
        <v>0</v>
      </c>
      <c r="I194" t="n">
        <v>0</v>
      </c>
      <c r="J194" t="n">
        <v>0</v>
      </c>
      <c r="K194" t="n">
        <v>0</v>
      </c>
      <c r="L194" t="n">
        <v>0</v>
      </c>
      <c r="M194" t="n">
        <v>0</v>
      </c>
      <c r="N194" t="n">
        <v>0</v>
      </c>
      <c r="O194" t="n">
        <v>0</v>
      </c>
      <c r="P194" t="n">
        <v>0</v>
      </c>
      <c r="Q194" t="n">
        <v>0</v>
      </c>
      <c r="R194" s="2" t="inlineStr"/>
    </row>
    <row r="195" ht="15" customHeight="1">
      <c r="A195" t="inlineStr">
        <is>
          <t>A 54910-2023</t>
        </is>
      </c>
      <c r="B195" s="1" t="n">
        <v>45229</v>
      </c>
      <c r="C195" s="1" t="n">
        <v>46084</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22961-2023</t>
        </is>
      </c>
      <c r="B196" s="1" t="n">
        <v>45072</v>
      </c>
      <c r="C196" s="1" t="n">
        <v>46084</v>
      </c>
      <c r="D196" t="inlineStr">
        <is>
          <t>VÄSTMANLANDS LÄN</t>
        </is>
      </c>
      <c r="E196" t="inlineStr">
        <is>
          <t>SALA</t>
        </is>
      </c>
      <c r="G196" t="n">
        <v>2.7</v>
      </c>
      <c r="H196" t="n">
        <v>0</v>
      </c>
      <c r="I196" t="n">
        <v>0</v>
      </c>
      <c r="J196" t="n">
        <v>0</v>
      </c>
      <c r="K196" t="n">
        <v>0</v>
      </c>
      <c r="L196" t="n">
        <v>0</v>
      </c>
      <c r="M196" t="n">
        <v>0</v>
      </c>
      <c r="N196" t="n">
        <v>0</v>
      </c>
      <c r="O196" t="n">
        <v>0</v>
      </c>
      <c r="P196" t="n">
        <v>0</v>
      </c>
      <c r="Q196" t="n">
        <v>0</v>
      </c>
      <c r="R196" s="2" t="inlineStr"/>
    </row>
    <row r="197" ht="15" customHeight="1">
      <c r="A197" t="inlineStr">
        <is>
          <t>A 22963-2023</t>
        </is>
      </c>
      <c r="B197" s="1" t="n">
        <v>45072</v>
      </c>
      <c r="C197" s="1" t="n">
        <v>46084</v>
      </c>
      <c r="D197" t="inlineStr">
        <is>
          <t>VÄSTMANLANDS LÄN</t>
        </is>
      </c>
      <c r="E197" t="inlineStr">
        <is>
          <t>SALA</t>
        </is>
      </c>
      <c r="G197" t="n">
        <v>1.2</v>
      </c>
      <c r="H197" t="n">
        <v>0</v>
      </c>
      <c r="I197" t="n">
        <v>0</v>
      </c>
      <c r="J197" t="n">
        <v>0</v>
      </c>
      <c r="K197" t="n">
        <v>0</v>
      </c>
      <c r="L197" t="n">
        <v>0</v>
      </c>
      <c r="M197" t="n">
        <v>0</v>
      </c>
      <c r="N197" t="n">
        <v>0</v>
      </c>
      <c r="O197" t="n">
        <v>0</v>
      </c>
      <c r="P197" t="n">
        <v>0</v>
      </c>
      <c r="Q197" t="n">
        <v>0</v>
      </c>
      <c r="R197" s="2" t="inlineStr"/>
    </row>
    <row r="198" ht="15" customHeight="1">
      <c r="A198" t="inlineStr">
        <is>
          <t>A 54960-2024</t>
        </is>
      </c>
      <c r="B198" s="1" t="n">
        <v>45619.85208333333</v>
      </c>
      <c r="C198" s="1" t="n">
        <v>46084</v>
      </c>
      <c r="D198" t="inlineStr">
        <is>
          <t>VÄSTMANLANDS LÄN</t>
        </is>
      </c>
      <c r="E198" t="inlineStr">
        <is>
          <t>SALA</t>
        </is>
      </c>
      <c r="G198" t="n">
        <v>2.6</v>
      </c>
      <c r="H198" t="n">
        <v>0</v>
      </c>
      <c r="I198" t="n">
        <v>0</v>
      </c>
      <c r="J198" t="n">
        <v>0</v>
      </c>
      <c r="K198" t="n">
        <v>0</v>
      </c>
      <c r="L198" t="n">
        <v>0</v>
      </c>
      <c r="M198" t="n">
        <v>0</v>
      </c>
      <c r="N198" t="n">
        <v>0</v>
      </c>
      <c r="O198" t="n">
        <v>0</v>
      </c>
      <c r="P198" t="n">
        <v>0</v>
      </c>
      <c r="Q198" t="n">
        <v>0</v>
      </c>
      <c r="R198" s="2" t="inlineStr"/>
    </row>
    <row r="199" ht="15" customHeight="1">
      <c r="A199" t="inlineStr">
        <is>
          <t>A 62449-2023</t>
        </is>
      </c>
      <c r="B199" s="1" t="n">
        <v>45268.49008101852</v>
      </c>
      <c r="C199" s="1" t="n">
        <v>46084</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21754-2025</t>
        </is>
      </c>
      <c r="B200" s="1" t="n">
        <v>45783.61837962963</v>
      </c>
      <c r="C200" s="1" t="n">
        <v>46084</v>
      </c>
      <c r="D200" t="inlineStr">
        <is>
          <t>VÄSTMANLANDS LÄN</t>
        </is>
      </c>
      <c r="E200" t="inlineStr">
        <is>
          <t>SALA</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21751-2025</t>
        </is>
      </c>
      <c r="B201" s="1" t="n">
        <v>45783.61372685185</v>
      </c>
      <c r="C201" s="1" t="n">
        <v>46084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17458-2024</t>
        </is>
      </c>
      <c r="B202" s="1" t="n">
        <v>45415</v>
      </c>
      <c r="C202" s="1" t="n">
        <v>46084</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27228-2023</t>
        </is>
      </c>
      <c r="B203" s="1" t="n">
        <v>45096.59189814814</v>
      </c>
      <c r="C203" s="1" t="n">
        <v>46084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26507-2023</t>
        </is>
      </c>
      <c r="B204" s="1" t="n">
        <v>45092</v>
      </c>
      <c r="C204" s="1" t="n">
        <v>46084</v>
      </c>
      <c r="D204" t="inlineStr">
        <is>
          <t>VÄSTMANLANDS LÄN</t>
        </is>
      </c>
      <c r="E204" t="inlineStr">
        <is>
          <t>SALA</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73673-2021</t>
        </is>
      </c>
      <c r="B205" s="1" t="n">
        <v>44552.46501157407</v>
      </c>
      <c r="C205" s="1" t="n">
        <v>46084</v>
      </c>
      <c r="D205" t="inlineStr">
        <is>
          <t>VÄSTMANLANDS LÄN</t>
        </is>
      </c>
      <c r="E205" t="inlineStr">
        <is>
          <t>SALA</t>
        </is>
      </c>
      <c r="G205" t="n">
        <v>11.4</v>
      </c>
      <c r="H205" t="n">
        <v>0</v>
      </c>
      <c r="I205" t="n">
        <v>0</v>
      </c>
      <c r="J205" t="n">
        <v>0</v>
      </c>
      <c r="K205" t="n">
        <v>0</v>
      </c>
      <c r="L205" t="n">
        <v>0</v>
      </c>
      <c r="M205" t="n">
        <v>0</v>
      </c>
      <c r="N205" t="n">
        <v>0</v>
      </c>
      <c r="O205" t="n">
        <v>0</v>
      </c>
      <c r="P205" t="n">
        <v>0</v>
      </c>
      <c r="Q205" t="n">
        <v>0</v>
      </c>
      <c r="R205" s="2" t="inlineStr"/>
    </row>
    <row r="206" ht="15" customHeight="1">
      <c r="A206" t="inlineStr">
        <is>
          <t>A 6183-2025</t>
        </is>
      </c>
      <c r="B206" s="1" t="n">
        <v>45698</v>
      </c>
      <c r="C206" s="1" t="n">
        <v>46084</v>
      </c>
      <c r="D206" t="inlineStr">
        <is>
          <t>VÄSTMANLANDS LÄN</t>
        </is>
      </c>
      <c r="E206" t="inlineStr">
        <is>
          <t>SALA</t>
        </is>
      </c>
      <c r="F206" t="inlineStr">
        <is>
          <t>Bergvik skog öst AB</t>
        </is>
      </c>
      <c r="G206" t="n">
        <v>2.3</v>
      </c>
      <c r="H206" t="n">
        <v>0</v>
      </c>
      <c r="I206" t="n">
        <v>0</v>
      </c>
      <c r="J206" t="n">
        <v>0</v>
      </c>
      <c r="K206" t="n">
        <v>0</v>
      </c>
      <c r="L206" t="n">
        <v>0</v>
      </c>
      <c r="M206" t="n">
        <v>0</v>
      </c>
      <c r="N206" t="n">
        <v>0</v>
      </c>
      <c r="O206" t="n">
        <v>0</v>
      </c>
      <c r="P206" t="n">
        <v>0</v>
      </c>
      <c r="Q206" t="n">
        <v>0</v>
      </c>
      <c r="R206" s="2" t="inlineStr"/>
    </row>
    <row r="207" ht="15" customHeight="1">
      <c r="A207" t="inlineStr">
        <is>
          <t>A 16543-2023</t>
        </is>
      </c>
      <c r="B207" s="1" t="n">
        <v>45029</v>
      </c>
      <c r="C207" s="1" t="n">
        <v>46084</v>
      </c>
      <c r="D207" t="inlineStr">
        <is>
          <t>VÄSTMANLANDS LÄN</t>
        </is>
      </c>
      <c r="E207" t="inlineStr">
        <is>
          <t>SALA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37587-2024</t>
        </is>
      </c>
      <c r="B208" s="1" t="n">
        <v>45541</v>
      </c>
      <c r="C208" s="1" t="n">
        <v>46084</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43176-2023</t>
        </is>
      </c>
      <c r="B209" s="1" t="n">
        <v>45183</v>
      </c>
      <c r="C209" s="1" t="n">
        <v>46084</v>
      </c>
      <c r="D209" t="inlineStr">
        <is>
          <t>VÄSTMANLANDS LÄN</t>
        </is>
      </c>
      <c r="E209" t="inlineStr">
        <is>
          <t>SALA</t>
        </is>
      </c>
      <c r="G209" t="n">
        <v>1.2</v>
      </c>
      <c r="H209" t="n">
        <v>0</v>
      </c>
      <c r="I209" t="n">
        <v>0</v>
      </c>
      <c r="J209" t="n">
        <v>0</v>
      </c>
      <c r="K209" t="n">
        <v>0</v>
      </c>
      <c r="L209" t="n">
        <v>0</v>
      </c>
      <c r="M209" t="n">
        <v>0</v>
      </c>
      <c r="N209" t="n">
        <v>0</v>
      </c>
      <c r="O209" t="n">
        <v>0</v>
      </c>
      <c r="P209" t="n">
        <v>0</v>
      </c>
      <c r="Q209" t="n">
        <v>0</v>
      </c>
      <c r="R209" s="2" t="inlineStr"/>
    </row>
    <row r="210" ht="15" customHeight="1">
      <c r="A210" t="inlineStr">
        <is>
          <t>A 37624-2024</t>
        </is>
      </c>
      <c r="B210" s="1" t="n">
        <v>45541</v>
      </c>
      <c r="C210" s="1" t="n">
        <v>46084</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57895-2024</t>
        </is>
      </c>
      <c r="B211" s="1" t="n">
        <v>45631</v>
      </c>
      <c r="C211" s="1" t="n">
        <v>46084</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47086-2022</t>
        </is>
      </c>
      <c r="B212" s="1" t="n">
        <v>44852</v>
      </c>
      <c r="C212" s="1" t="n">
        <v>46084</v>
      </c>
      <c r="D212" t="inlineStr">
        <is>
          <t>VÄSTMANLANDS LÄN</t>
        </is>
      </c>
      <c r="E212" t="inlineStr">
        <is>
          <t>SALA</t>
        </is>
      </c>
      <c r="G212" t="n">
        <v>12.5</v>
      </c>
      <c r="H212" t="n">
        <v>0</v>
      </c>
      <c r="I212" t="n">
        <v>0</v>
      </c>
      <c r="J212" t="n">
        <v>0</v>
      </c>
      <c r="K212" t="n">
        <v>0</v>
      </c>
      <c r="L212" t="n">
        <v>0</v>
      </c>
      <c r="M212" t="n">
        <v>0</v>
      </c>
      <c r="N212" t="n">
        <v>0</v>
      </c>
      <c r="O212" t="n">
        <v>0</v>
      </c>
      <c r="P212" t="n">
        <v>0</v>
      </c>
      <c r="Q212" t="n">
        <v>0</v>
      </c>
      <c r="R212" s="2" t="inlineStr"/>
    </row>
    <row r="213" ht="15" customHeight="1">
      <c r="A213" t="inlineStr">
        <is>
          <t>A 56543-2024</t>
        </is>
      </c>
      <c r="B213" s="1" t="n">
        <v>45625</v>
      </c>
      <c r="C213" s="1" t="n">
        <v>46084</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31950-2023</t>
        </is>
      </c>
      <c r="B214" s="1" t="n">
        <v>45107</v>
      </c>
      <c r="C214" s="1" t="n">
        <v>46084</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64724-2023</t>
        </is>
      </c>
      <c r="B215" s="1" t="n">
        <v>45281.7602662037</v>
      </c>
      <c r="C215" s="1" t="n">
        <v>46084</v>
      </c>
      <c r="D215" t="inlineStr">
        <is>
          <t>VÄSTMANLANDS LÄN</t>
        </is>
      </c>
      <c r="E215" t="inlineStr">
        <is>
          <t>SALA</t>
        </is>
      </c>
      <c r="G215" t="n">
        <v>2.3</v>
      </c>
      <c r="H215" t="n">
        <v>0</v>
      </c>
      <c r="I215" t="n">
        <v>0</v>
      </c>
      <c r="J215" t="n">
        <v>0</v>
      </c>
      <c r="K215" t="n">
        <v>0</v>
      </c>
      <c r="L215" t="n">
        <v>0</v>
      </c>
      <c r="M215" t="n">
        <v>0</v>
      </c>
      <c r="N215" t="n">
        <v>0</v>
      </c>
      <c r="O215" t="n">
        <v>0</v>
      </c>
      <c r="P215" t="n">
        <v>0</v>
      </c>
      <c r="Q215" t="n">
        <v>0</v>
      </c>
      <c r="R215" s="2" t="inlineStr"/>
    </row>
    <row r="216" ht="15" customHeight="1">
      <c r="A216" t="inlineStr">
        <is>
          <t>A 14010-2021</t>
        </is>
      </c>
      <c r="B216" s="1" t="n">
        <v>44277.63396990741</v>
      </c>
      <c r="C216" s="1" t="n">
        <v>46084</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7176-2023</t>
        </is>
      </c>
      <c r="B217" s="1" t="n">
        <v>44970</v>
      </c>
      <c r="C217" s="1" t="n">
        <v>46084</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43600-2024</t>
        </is>
      </c>
      <c r="B218" s="1" t="n">
        <v>45569</v>
      </c>
      <c r="C218" s="1" t="n">
        <v>46084</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56687-2024</t>
        </is>
      </c>
      <c r="B219" s="1" t="n">
        <v>45627.63271990741</v>
      </c>
      <c r="C219" s="1" t="n">
        <v>46084</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31405-2024</t>
        </is>
      </c>
      <c r="B220" s="1" t="n">
        <v>45505.5490625</v>
      </c>
      <c r="C220" s="1" t="n">
        <v>46084</v>
      </c>
      <c r="D220" t="inlineStr">
        <is>
          <t>VÄSTMANLANDS LÄN</t>
        </is>
      </c>
      <c r="E220" t="inlineStr">
        <is>
          <t>SALA</t>
        </is>
      </c>
      <c r="G220" t="n">
        <v>5.2</v>
      </c>
      <c r="H220" t="n">
        <v>0</v>
      </c>
      <c r="I220" t="n">
        <v>0</v>
      </c>
      <c r="J220" t="n">
        <v>0</v>
      </c>
      <c r="K220" t="n">
        <v>0</v>
      </c>
      <c r="L220" t="n">
        <v>0</v>
      </c>
      <c r="M220" t="n">
        <v>0</v>
      </c>
      <c r="N220" t="n">
        <v>0</v>
      </c>
      <c r="O220" t="n">
        <v>0</v>
      </c>
      <c r="P220" t="n">
        <v>0</v>
      </c>
      <c r="Q220" t="n">
        <v>0</v>
      </c>
      <c r="R220" s="2" t="inlineStr"/>
    </row>
    <row r="221" ht="15" customHeight="1">
      <c r="A221" t="inlineStr">
        <is>
          <t>A 54347-2024</t>
        </is>
      </c>
      <c r="B221" s="1" t="n">
        <v>45617.39325231482</v>
      </c>
      <c r="C221" s="1" t="n">
        <v>46084</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22616-2025</t>
        </is>
      </c>
      <c r="B222" s="1" t="n">
        <v>45789.42752314815</v>
      </c>
      <c r="C222" s="1" t="n">
        <v>46084</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22353-2025</t>
        </is>
      </c>
      <c r="B223" s="1" t="n">
        <v>45786</v>
      </c>
      <c r="C223" s="1" t="n">
        <v>46084</v>
      </c>
      <c r="D223" t="inlineStr">
        <is>
          <t>VÄSTMANLANDS LÄN</t>
        </is>
      </c>
      <c r="E223" t="inlineStr">
        <is>
          <t>SALA</t>
        </is>
      </c>
      <c r="G223" t="n">
        <v>2.5</v>
      </c>
      <c r="H223" t="n">
        <v>0</v>
      </c>
      <c r="I223" t="n">
        <v>0</v>
      </c>
      <c r="J223" t="n">
        <v>0</v>
      </c>
      <c r="K223" t="n">
        <v>0</v>
      </c>
      <c r="L223" t="n">
        <v>0</v>
      </c>
      <c r="M223" t="n">
        <v>0</v>
      </c>
      <c r="N223" t="n">
        <v>0</v>
      </c>
      <c r="O223" t="n">
        <v>0</v>
      </c>
      <c r="P223" t="n">
        <v>0</v>
      </c>
      <c r="Q223" t="n">
        <v>0</v>
      </c>
      <c r="R223" s="2" t="inlineStr"/>
    </row>
    <row r="224" ht="15" customHeight="1">
      <c r="A224" t="inlineStr">
        <is>
          <t>A 64693-2023</t>
        </is>
      </c>
      <c r="B224" s="1" t="n">
        <v>45281.63850694444</v>
      </c>
      <c r="C224" s="1" t="n">
        <v>46084</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64695-2023</t>
        </is>
      </c>
      <c r="B225" s="1" t="n">
        <v>45281.64099537037</v>
      </c>
      <c r="C225" s="1" t="n">
        <v>46084</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38574-2025</t>
        </is>
      </c>
      <c r="B226" s="1" t="n">
        <v>45884.46390046296</v>
      </c>
      <c r="C226" s="1" t="n">
        <v>46084</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22383-2025</t>
        </is>
      </c>
      <c r="B227" s="1" t="n">
        <v>45786</v>
      </c>
      <c r="C227" s="1" t="n">
        <v>46084</v>
      </c>
      <c r="D227" t="inlineStr">
        <is>
          <t>VÄSTMANLANDS LÄN</t>
        </is>
      </c>
      <c r="E227" t="inlineStr">
        <is>
          <t>SALA</t>
        </is>
      </c>
      <c r="G227" t="n">
        <v>2.2</v>
      </c>
      <c r="H227" t="n">
        <v>0</v>
      </c>
      <c r="I227" t="n">
        <v>0</v>
      </c>
      <c r="J227" t="n">
        <v>0</v>
      </c>
      <c r="K227" t="n">
        <v>0</v>
      </c>
      <c r="L227" t="n">
        <v>0</v>
      </c>
      <c r="M227" t="n">
        <v>0</v>
      </c>
      <c r="N227" t="n">
        <v>0</v>
      </c>
      <c r="O227" t="n">
        <v>0</v>
      </c>
      <c r="P227" t="n">
        <v>0</v>
      </c>
      <c r="Q227" t="n">
        <v>0</v>
      </c>
      <c r="R227" s="2" t="inlineStr"/>
    </row>
    <row r="228" ht="15" customHeight="1">
      <c r="A228" t="inlineStr">
        <is>
          <t>A 16767-2024</t>
        </is>
      </c>
      <c r="B228" s="1" t="n">
        <v>45411.38171296296</v>
      </c>
      <c r="C228" s="1" t="n">
        <v>46084</v>
      </c>
      <c r="D228" t="inlineStr">
        <is>
          <t>VÄSTMANLANDS LÄN</t>
        </is>
      </c>
      <c r="E228" t="inlineStr">
        <is>
          <t>SALA</t>
        </is>
      </c>
      <c r="G228" t="n">
        <v>2.5</v>
      </c>
      <c r="H228" t="n">
        <v>0</v>
      </c>
      <c r="I228" t="n">
        <v>0</v>
      </c>
      <c r="J228" t="n">
        <v>0</v>
      </c>
      <c r="K228" t="n">
        <v>0</v>
      </c>
      <c r="L228" t="n">
        <v>0</v>
      </c>
      <c r="M228" t="n">
        <v>0</v>
      </c>
      <c r="N228" t="n">
        <v>0</v>
      </c>
      <c r="O228" t="n">
        <v>0</v>
      </c>
      <c r="P228" t="n">
        <v>0</v>
      </c>
      <c r="Q228" t="n">
        <v>0</v>
      </c>
      <c r="R228" s="2" t="inlineStr"/>
    </row>
    <row r="229" ht="15" customHeight="1">
      <c r="A229" t="inlineStr">
        <is>
          <t>A 27486-2022</t>
        </is>
      </c>
      <c r="B229" s="1" t="n">
        <v>44742.60846064815</v>
      </c>
      <c r="C229" s="1" t="n">
        <v>46084</v>
      </c>
      <c r="D229" t="inlineStr">
        <is>
          <t>VÄSTMANLANDS LÄN</t>
        </is>
      </c>
      <c r="E229" t="inlineStr">
        <is>
          <t>SALA</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35003-2024</t>
        </is>
      </c>
      <c r="B230" s="1" t="n">
        <v>45527.56790509259</v>
      </c>
      <c r="C230" s="1" t="n">
        <v>46084</v>
      </c>
      <c r="D230" t="inlineStr">
        <is>
          <t>VÄSTMANLANDS LÄN</t>
        </is>
      </c>
      <c r="E230" t="inlineStr">
        <is>
          <t>SALA</t>
        </is>
      </c>
      <c r="G230" t="n">
        <v>0.7</v>
      </c>
      <c r="H230" t="n">
        <v>0</v>
      </c>
      <c r="I230" t="n">
        <v>0</v>
      </c>
      <c r="J230" t="n">
        <v>0</v>
      </c>
      <c r="K230" t="n">
        <v>0</v>
      </c>
      <c r="L230" t="n">
        <v>0</v>
      </c>
      <c r="M230" t="n">
        <v>0</v>
      </c>
      <c r="N230" t="n">
        <v>0</v>
      </c>
      <c r="O230" t="n">
        <v>0</v>
      </c>
      <c r="P230" t="n">
        <v>0</v>
      </c>
      <c r="Q230" t="n">
        <v>0</v>
      </c>
      <c r="R230" s="2" t="inlineStr"/>
    </row>
    <row r="231" ht="15" customHeight="1">
      <c r="A231" t="inlineStr">
        <is>
          <t>A 6097-2022</t>
        </is>
      </c>
      <c r="B231" s="1" t="n">
        <v>44599</v>
      </c>
      <c r="C231" s="1" t="n">
        <v>46084</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22624-2025</t>
        </is>
      </c>
      <c r="B232" s="1" t="n">
        <v>45789.43327546296</v>
      </c>
      <c r="C232" s="1" t="n">
        <v>46084</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48688-2024</t>
        </is>
      </c>
      <c r="B233" s="1" t="n">
        <v>45593.50541666667</v>
      </c>
      <c r="C233" s="1" t="n">
        <v>46084</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22370-2025</t>
        </is>
      </c>
      <c r="B234" s="1" t="n">
        <v>45786</v>
      </c>
      <c r="C234" s="1" t="n">
        <v>46084</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15354-2021</t>
        </is>
      </c>
      <c r="B235" s="1" t="n">
        <v>44284</v>
      </c>
      <c r="C235" s="1" t="n">
        <v>46084</v>
      </c>
      <c r="D235" t="inlineStr">
        <is>
          <t>VÄSTMANLANDS LÄN</t>
        </is>
      </c>
      <c r="E235" t="inlineStr">
        <is>
          <t>SALA</t>
        </is>
      </c>
      <c r="F235" t="inlineStr">
        <is>
          <t>Kyrkan</t>
        </is>
      </c>
      <c r="G235" t="n">
        <v>8.5</v>
      </c>
      <c r="H235" t="n">
        <v>0</v>
      </c>
      <c r="I235" t="n">
        <v>0</v>
      </c>
      <c r="J235" t="n">
        <v>0</v>
      </c>
      <c r="K235" t="n">
        <v>0</v>
      </c>
      <c r="L235" t="n">
        <v>0</v>
      </c>
      <c r="M235" t="n">
        <v>0</v>
      </c>
      <c r="N235" t="n">
        <v>0</v>
      </c>
      <c r="O235" t="n">
        <v>0</v>
      </c>
      <c r="P235" t="n">
        <v>0</v>
      </c>
      <c r="Q235" t="n">
        <v>0</v>
      </c>
      <c r="R235" s="2" t="inlineStr"/>
    </row>
    <row r="236" ht="15" customHeight="1">
      <c r="A236" t="inlineStr">
        <is>
          <t>A 63933-2023</t>
        </is>
      </c>
      <c r="B236" s="1" t="n">
        <v>45278</v>
      </c>
      <c r="C236" s="1" t="n">
        <v>46084</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31864-2025</t>
        </is>
      </c>
      <c r="B237" s="1" t="n">
        <v>45834.63819444444</v>
      </c>
      <c r="C237" s="1" t="n">
        <v>46084</v>
      </c>
      <c r="D237" t="inlineStr">
        <is>
          <t>VÄSTMANLANDS LÄN</t>
        </is>
      </c>
      <c r="E237" t="inlineStr">
        <is>
          <t>SALA</t>
        </is>
      </c>
      <c r="G237" t="n">
        <v>6.3</v>
      </c>
      <c r="H237" t="n">
        <v>0</v>
      </c>
      <c r="I237" t="n">
        <v>0</v>
      </c>
      <c r="J237" t="n">
        <v>0</v>
      </c>
      <c r="K237" t="n">
        <v>0</v>
      </c>
      <c r="L237" t="n">
        <v>0</v>
      </c>
      <c r="M237" t="n">
        <v>0</v>
      </c>
      <c r="N237" t="n">
        <v>0</v>
      </c>
      <c r="O237" t="n">
        <v>0</v>
      </c>
      <c r="P237" t="n">
        <v>0</v>
      </c>
      <c r="Q237" t="n">
        <v>0</v>
      </c>
      <c r="R237" s="2" t="inlineStr"/>
    </row>
    <row r="238" ht="15" customHeight="1">
      <c r="A238" t="inlineStr">
        <is>
          <t>A 44746-2024</t>
        </is>
      </c>
      <c r="B238" s="1" t="n">
        <v>45574.59813657407</v>
      </c>
      <c r="C238" s="1" t="n">
        <v>46084</v>
      </c>
      <c r="D238" t="inlineStr">
        <is>
          <t>VÄSTMANLANDS LÄN</t>
        </is>
      </c>
      <c r="E238" t="inlineStr">
        <is>
          <t>SALA</t>
        </is>
      </c>
      <c r="G238" t="n">
        <v>6.7</v>
      </c>
      <c r="H238" t="n">
        <v>0</v>
      </c>
      <c r="I238" t="n">
        <v>0</v>
      </c>
      <c r="J238" t="n">
        <v>0</v>
      </c>
      <c r="K238" t="n">
        <v>0</v>
      </c>
      <c r="L238" t="n">
        <v>0</v>
      </c>
      <c r="M238" t="n">
        <v>0</v>
      </c>
      <c r="N238" t="n">
        <v>0</v>
      </c>
      <c r="O238" t="n">
        <v>0</v>
      </c>
      <c r="P238" t="n">
        <v>0</v>
      </c>
      <c r="Q238" t="n">
        <v>0</v>
      </c>
      <c r="R238" s="2" t="inlineStr"/>
    </row>
    <row r="239" ht="15" customHeight="1">
      <c r="A239" t="inlineStr">
        <is>
          <t>A 33273-2023</t>
        </is>
      </c>
      <c r="B239" s="1" t="n">
        <v>45127</v>
      </c>
      <c r="C239" s="1" t="n">
        <v>46084</v>
      </c>
      <c r="D239" t="inlineStr">
        <is>
          <t>VÄSTMANLANDS LÄN</t>
        </is>
      </c>
      <c r="E239" t="inlineStr">
        <is>
          <t>SALA</t>
        </is>
      </c>
      <c r="G239" t="n">
        <v>2.6</v>
      </c>
      <c r="H239" t="n">
        <v>0</v>
      </c>
      <c r="I239" t="n">
        <v>0</v>
      </c>
      <c r="J239" t="n">
        <v>0</v>
      </c>
      <c r="K239" t="n">
        <v>0</v>
      </c>
      <c r="L239" t="n">
        <v>0</v>
      </c>
      <c r="M239" t="n">
        <v>0</v>
      </c>
      <c r="N239" t="n">
        <v>0</v>
      </c>
      <c r="O239" t="n">
        <v>0</v>
      </c>
      <c r="P239" t="n">
        <v>0</v>
      </c>
      <c r="Q239" t="n">
        <v>0</v>
      </c>
      <c r="R239" s="2" t="inlineStr"/>
    </row>
    <row r="240" ht="15" customHeight="1">
      <c r="A240" t="inlineStr">
        <is>
          <t>A 13130-2025</t>
        </is>
      </c>
      <c r="B240" s="1" t="n">
        <v>45734</v>
      </c>
      <c r="C240" s="1" t="n">
        <v>46084</v>
      </c>
      <c r="D240" t="inlineStr">
        <is>
          <t>VÄSTMANLANDS LÄN</t>
        </is>
      </c>
      <c r="E240" t="inlineStr">
        <is>
          <t>SALA</t>
        </is>
      </c>
      <c r="G240" t="n">
        <v>1.5</v>
      </c>
      <c r="H240" t="n">
        <v>0</v>
      </c>
      <c r="I240" t="n">
        <v>0</v>
      </c>
      <c r="J240" t="n">
        <v>0</v>
      </c>
      <c r="K240" t="n">
        <v>0</v>
      </c>
      <c r="L240" t="n">
        <v>0</v>
      </c>
      <c r="M240" t="n">
        <v>0</v>
      </c>
      <c r="N240" t="n">
        <v>0</v>
      </c>
      <c r="O240" t="n">
        <v>0</v>
      </c>
      <c r="P240" t="n">
        <v>0</v>
      </c>
      <c r="Q240" t="n">
        <v>0</v>
      </c>
      <c r="R240" s="2" t="inlineStr"/>
    </row>
    <row r="241" ht="15" customHeight="1">
      <c r="A241" t="inlineStr">
        <is>
          <t>A 11696-2025</t>
        </is>
      </c>
      <c r="B241" s="1" t="n">
        <v>45727</v>
      </c>
      <c r="C241" s="1" t="n">
        <v>46084</v>
      </c>
      <c r="D241" t="inlineStr">
        <is>
          <t>VÄSTMANLANDS LÄN</t>
        </is>
      </c>
      <c r="E241" t="inlineStr">
        <is>
          <t>SALA</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16651-2021</t>
        </is>
      </c>
      <c r="B242" s="1" t="n">
        <v>44294.50096064815</v>
      </c>
      <c r="C242" s="1" t="n">
        <v>46084</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13022-2023</t>
        </is>
      </c>
      <c r="B243" s="1" t="n">
        <v>45002.33291666667</v>
      </c>
      <c r="C243" s="1" t="n">
        <v>46084</v>
      </c>
      <c r="D243" t="inlineStr">
        <is>
          <t>VÄSTMANLANDS LÄN</t>
        </is>
      </c>
      <c r="E243" t="inlineStr">
        <is>
          <t>SALA</t>
        </is>
      </c>
      <c r="G243" t="n">
        <v>1.5</v>
      </c>
      <c r="H243" t="n">
        <v>0</v>
      </c>
      <c r="I243" t="n">
        <v>0</v>
      </c>
      <c r="J243" t="n">
        <v>0</v>
      </c>
      <c r="K243" t="n">
        <v>0</v>
      </c>
      <c r="L243" t="n">
        <v>0</v>
      </c>
      <c r="M243" t="n">
        <v>0</v>
      </c>
      <c r="N243" t="n">
        <v>0</v>
      </c>
      <c r="O243" t="n">
        <v>0</v>
      </c>
      <c r="P243" t="n">
        <v>0</v>
      </c>
      <c r="Q243" t="n">
        <v>0</v>
      </c>
      <c r="R243" s="2" t="inlineStr"/>
    </row>
    <row r="244" ht="15" customHeight="1">
      <c r="A244" t="inlineStr">
        <is>
          <t>A 4853-2023</t>
        </is>
      </c>
      <c r="B244" s="1" t="n">
        <v>44957.73234953704</v>
      </c>
      <c r="C244" s="1" t="n">
        <v>46084</v>
      </c>
      <c r="D244" t="inlineStr">
        <is>
          <t>VÄSTMANLANDS LÄN</t>
        </is>
      </c>
      <c r="E244" t="inlineStr">
        <is>
          <t>SALA</t>
        </is>
      </c>
      <c r="G244" t="n">
        <v>2.7</v>
      </c>
      <c r="H244" t="n">
        <v>0</v>
      </c>
      <c r="I244" t="n">
        <v>0</v>
      </c>
      <c r="J244" t="n">
        <v>0</v>
      </c>
      <c r="K244" t="n">
        <v>0</v>
      </c>
      <c r="L244" t="n">
        <v>0</v>
      </c>
      <c r="M244" t="n">
        <v>0</v>
      </c>
      <c r="N244" t="n">
        <v>0</v>
      </c>
      <c r="O244" t="n">
        <v>0</v>
      </c>
      <c r="P244" t="n">
        <v>0</v>
      </c>
      <c r="Q244" t="n">
        <v>0</v>
      </c>
      <c r="R244" s="2" t="inlineStr"/>
    </row>
    <row r="245" ht="15" customHeight="1">
      <c r="A245" t="inlineStr">
        <is>
          <t>A 39167-2025</t>
        </is>
      </c>
      <c r="B245" s="1" t="n">
        <v>45888</v>
      </c>
      <c r="C245" s="1" t="n">
        <v>46084</v>
      </c>
      <c r="D245" t="inlineStr">
        <is>
          <t>VÄSTMANLANDS LÄN</t>
        </is>
      </c>
      <c r="E245" t="inlineStr">
        <is>
          <t>SALA</t>
        </is>
      </c>
      <c r="G245" t="n">
        <v>5.5</v>
      </c>
      <c r="H245" t="n">
        <v>0</v>
      </c>
      <c r="I245" t="n">
        <v>0</v>
      </c>
      <c r="J245" t="n">
        <v>0</v>
      </c>
      <c r="K245" t="n">
        <v>0</v>
      </c>
      <c r="L245" t="n">
        <v>0</v>
      </c>
      <c r="M245" t="n">
        <v>0</v>
      </c>
      <c r="N245" t="n">
        <v>0</v>
      </c>
      <c r="O245" t="n">
        <v>0</v>
      </c>
      <c r="P245" t="n">
        <v>0</v>
      </c>
      <c r="Q245" t="n">
        <v>0</v>
      </c>
      <c r="R245" s="2" t="inlineStr"/>
    </row>
    <row r="246" ht="15" customHeight="1">
      <c r="A246" t="inlineStr">
        <is>
          <t>A 39182-2025</t>
        </is>
      </c>
      <c r="B246" s="1" t="n">
        <v>45888.66204861111</v>
      </c>
      <c r="C246" s="1" t="n">
        <v>46084</v>
      </c>
      <c r="D246" t="inlineStr">
        <is>
          <t>VÄSTMANLANDS LÄN</t>
        </is>
      </c>
      <c r="E246" t="inlineStr">
        <is>
          <t>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23804-2025</t>
        </is>
      </c>
      <c r="B247" s="1" t="n">
        <v>45793.55995370371</v>
      </c>
      <c r="C247" s="1" t="n">
        <v>46084</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60545-2024</t>
        </is>
      </c>
      <c r="B248" s="1" t="n">
        <v>45643</v>
      </c>
      <c r="C248" s="1" t="n">
        <v>46084</v>
      </c>
      <c r="D248" t="inlineStr">
        <is>
          <t>VÄSTMANLANDS LÄN</t>
        </is>
      </c>
      <c r="E248" t="inlineStr">
        <is>
          <t>SALA</t>
        </is>
      </c>
      <c r="G248" t="n">
        <v>3.3</v>
      </c>
      <c r="H248" t="n">
        <v>0</v>
      </c>
      <c r="I248" t="n">
        <v>0</v>
      </c>
      <c r="J248" t="n">
        <v>0</v>
      </c>
      <c r="K248" t="n">
        <v>0</v>
      </c>
      <c r="L248" t="n">
        <v>0</v>
      </c>
      <c r="M248" t="n">
        <v>0</v>
      </c>
      <c r="N248" t="n">
        <v>0</v>
      </c>
      <c r="O248" t="n">
        <v>0</v>
      </c>
      <c r="P248" t="n">
        <v>0</v>
      </c>
      <c r="Q248" t="n">
        <v>0</v>
      </c>
      <c r="R248" s="2" t="inlineStr"/>
    </row>
    <row r="249" ht="15" customHeight="1">
      <c r="A249" t="inlineStr">
        <is>
          <t>A 60547-2024</t>
        </is>
      </c>
      <c r="B249" s="1" t="n">
        <v>45643</v>
      </c>
      <c r="C249" s="1" t="n">
        <v>46084</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22126-2025</t>
        </is>
      </c>
      <c r="B250" s="1" t="n">
        <v>45785</v>
      </c>
      <c r="C250" s="1" t="n">
        <v>46084</v>
      </c>
      <c r="D250" t="inlineStr">
        <is>
          <t>VÄSTMANLANDS LÄN</t>
        </is>
      </c>
      <c r="E250" t="inlineStr">
        <is>
          <t>SALA</t>
        </is>
      </c>
      <c r="G250" t="n">
        <v>10.6</v>
      </c>
      <c r="H250" t="n">
        <v>0</v>
      </c>
      <c r="I250" t="n">
        <v>0</v>
      </c>
      <c r="J250" t="n">
        <v>0</v>
      </c>
      <c r="K250" t="n">
        <v>0</v>
      </c>
      <c r="L250" t="n">
        <v>0</v>
      </c>
      <c r="M250" t="n">
        <v>0</v>
      </c>
      <c r="N250" t="n">
        <v>0</v>
      </c>
      <c r="O250" t="n">
        <v>0</v>
      </c>
      <c r="P250" t="n">
        <v>0</v>
      </c>
      <c r="Q250" t="n">
        <v>0</v>
      </c>
      <c r="R250" s="2" t="inlineStr"/>
    </row>
    <row r="251" ht="15" customHeight="1">
      <c r="A251" t="inlineStr">
        <is>
          <t>A 19297-2025</t>
        </is>
      </c>
      <c r="B251" s="1" t="n">
        <v>45769.56261574074</v>
      </c>
      <c r="C251" s="1" t="n">
        <v>46084</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23810-2025</t>
        </is>
      </c>
      <c r="B252" s="1" t="n">
        <v>45793.56989583333</v>
      </c>
      <c r="C252" s="1" t="n">
        <v>46084</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1985-2022</t>
        </is>
      </c>
      <c r="B253" s="1" t="n">
        <v>44575</v>
      </c>
      <c r="C253" s="1" t="n">
        <v>46084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27261-2024</t>
        </is>
      </c>
      <c r="B254" s="1" t="n">
        <v>45471</v>
      </c>
      <c r="C254" s="1" t="n">
        <v>46084</v>
      </c>
      <c r="D254" t="inlineStr">
        <is>
          <t>VÄSTMANLANDS LÄN</t>
        </is>
      </c>
      <c r="E254" t="inlineStr">
        <is>
          <t>SALA</t>
        </is>
      </c>
      <c r="G254" t="n">
        <v>6.1</v>
      </c>
      <c r="H254" t="n">
        <v>0</v>
      </c>
      <c r="I254" t="n">
        <v>0</v>
      </c>
      <c r="J254" t="n">
        <v>0</v>
      </c>
      <c r="K254" t="n">
        <v>0</v>
      </c>
      <c r="L254" t="n">
        <v>0</v>
      </c>
      <c r="M254" t="n">
        <v>0</v>
      </c>
      <c r="N254" t="n">
        <v>0</v>
      </c>
      <c r="O254" t="n">
        <v>0</v>
      </c>
      <c r="P254" t="n">
        <v>0</v>
      </c>
      <c r="Q254" t="n">
        <v>0</v>
      </c>
      <c r="R254" s="2" t="inlineStr"/>
    </row>
    <row r="255" ht="15" customHeight="1">
      <c r="A255" t="inlineStr">
        <is>
          <t>A 24169-2025</t>
        </is>
      </c>
      <c r="B255" s="1" t="n">
        <v>45796</v>
      </c>
      <c r="C255" s="1" t="n">
        <v>46084</v>
      </c>
      <c r="D255" t="inlineStr">
        <is>
          <t>VÄSTMANLANDS LÄN</t>
        </is>
      </c>
      <c r="E255" t="inlineStr">
        <is>
          <t>SALA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11210-2025</t>
        </is>
      </c>
      <c r="B256" s="1" t="n">
        <v>45726</v>
      </c>
      <c r="C256" s="1" t="n">
        <v>46084</v>
      </c>
      <c r="D256" t="inlineStr">
        <is>
          <t>VÄSTMANLANDS LÄN</t>
        </is>
      </c>
      <c r="E256" t="inlineStr">
        <is>
          <t>SALA</t>
        </is>
      </c>
      <c r="G256" t="n">
        <v>4.1</v>
      </c>
      <c r="H256" t="n">
        <v>0</v>
      </c>
      <c r="I256" t="n">
        <v>0</v>
      </c>
      <c r="J256" t="n">
        <v>0</v>
      </c>
      <c r="K256" t="n">
        <v>0</v>
      </c>
      <c r="L256" t="n">
        <v>0</v>
      </c>
      <c r="M256" t="n">
        <v>0</v>
      </c>
      <c r="N256" t="n">
        <v>0</v>
      </c>
      <c r="O256" t="n">
        <v>0</v>
      </c>
      <c r="P256" t="n">
        <v>0</v>
      </c>
      <c r="Q256" t="n">
        <v>0</v>
      </c>
      <c r="R256" s="2" t="inlineStr"/>
    </row>
    <row r="257" ht="15" customHeight="1">
      <c r="A257" t="inlineStr">
        <is>
          <t>A 24944-2023</t>
        </is>
      </c>
      <c r="B257" s="1" t="n">
        <v>45085</v>
      </c>
      <c r="C257" s="1" t="n">
        <v>46084</v>
      </c>
      <c r="D257" t="inlineStr">
        <is>
          <t>VÄSTMANLANDS LÄN</t>
        </is>
      </c>
      <c r="E257" t="inlineStr">
        <is>
          <t>SALA</t>
        </is>
      </c>
      <c r="G257" t="n">
        <v>3.8</v>
      </c>
      <c r="H257" t="n">
        <v>0</v>
      </c>
      <c r="I257" t="n">
        <v>0</v>
      </c>
      <c r="J257" t="n">
        <v>0</v>
      </c>
      <c r="K257" t="n">
        <v>0</v>
      </c>
      <c r="L257" t="n">
        <v>0</v>
      </c>
      <c r="M257" t="n">
        <v>0</v>
      </c>
      <c r="N257" t="n">
        <v>0</v>
      </c>
      <c r="O257" t="n">
        <v>0</v>
      </c>
      <c r="P257" t="n">
        <v>0</v>
      </c>
      <c r="Q257" t="n">
        <v>0</v>
      </c>
      <c r="R257" s="2" t="inlineStr"/>
    </row>
    <row r="258" ht="15" customHeight="1">
      <c r="A258" t="inlineStr">
        <is>
          <t>A 35976-2024</t>
        </is>
      </c>
      <c r="B258" s="1" t="n">
        <v>45533.49555555556</v>
      </c>
      <c r="C258" s="1" t="n">
        <v>46084</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55556-2023</t>
        </is>
      </c>
      <c r="B259" s="1" t="n">
        <v>45232</v>
      </c>
      <c r="C259" s="1" t="n">
        <v>46084</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52498-2022</t>
        </is>
      </c>
      <c r="B260" s="1" t="n">
        <v>44874.50152777778</v>
      </c>
      <c r="C260" s="1" t="n">
        <v>46084</v>
      </c>
      <c r="D260" t="inlineStr">
        <is>
          <t>VÄSTMANLANDS LÄN</t>
        </is>
      </c>
      <c r="E260" t="inlineStr">
        <is>
          <t>SALA</t>
        </is>
      </c>
      <c r="G260" t="n">
        <v>2.1</v>
      </c>
      <c r="H260" t="n">
        <v>0</v>
      </c>
      <c r="I260" t="n">
        <v>0</v>
      </c>
      <c r="J260" t="n">
        <v>0</v>
      </c>
      <c r="K260" t="n">
        <v>0</v>
      </c>
      <c r="L260" t="n">
        <v>0</v>
      </c>
      <c r="M260" t="n">
        <v>0</v>
      </c>
      <c r="N260" t="n">
        <v>0</v>
      </c>
      <c r="O260" t="n">
        <v>0</v>
      </c>
      <c r="P260" t="n">
        <v>0</v>
      </c>
      <c r="Q260" t="n">
        <v>0</v>
      </c>
      <c r="R260" s="2" t="inlineStr"/>
    </row>
    <row r="261" ht="15" customHeight="1">
      <c r="A261" t="inlineStr">
        <is>
          <t>A 57650-2024</t>
        </is>
      </c>
      <c r="B261" s="1" t="n">
        <v>45630</v>
      </c>
      <c r="C261" s="1" t="n">
        <v>46084</v>
      </c>
      <c r="D261" t="inlineStr">
        <is>
          <t>VÄSTMANLANDS LÄN</t>
        </is>
      </c>
      <c r="E261" t="inlineStr">
        <is>
          <t>SALA</t>
        </is>
      </c>
      <c r="G261" t="n">
        <v>0.6</v>
      </c>
      <c r="H261" t="n">
        <v>0</v>
      </c>
      <c r="I261" t="n">
        <v>0</v>
      </c>
      <c r="J261" t="n">
        <v>0</v>
      </c>
      <c r="K261" t="n">
        <v>0</v>
      </c>
      <c r="L261" t="n">
        <v>0</v>
      </c>
      <c r="M261" t="n">
        <v>0</v>
      </c>
      <c r="N261" t="n">
        <v>0</v>
      </c>
      <c r="O261" t="n">
        <v>0</v>
      </c>
      <c r="P261" t="n">
        <v>0</v>
      </c>
      <c r="Q261" t="n">
        <v>0</v>
      </c>
      <c r="R261" s="2" t="inlineStr"/>
    </row>
    <row r="262" ht="15" customHeight="1">
      <c r="A262" t="inlineStr">
        <is>
          <t>A 50479-2022</t>
        </is>
      </c>
      <c r="B262" s="1" t="n">
        <v>44861</v>
      </c>
      <c r="C262" s="1" t="n">
        <v>46084</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45790-2023</t>
        </is>
      </c>
      <c r="B263" s="1" t="n">
        <v>45195.45958333334</v>
      </c>
      <c r="C263" s="1" t="n">
        <v>46084</v>
      </c>
      <c r="D263" t="inlineStr">
        <is>
          <t>VÄSTMANLANDS LÄN</t>
        </is>
      </c>
      <c r="E263" t="inlineStr">
        <is>
          <t>SALA</t>
        </is>
      </c>
      <c r="G263" t="n">
        <v>5.7</v>
      </c>
      <c r="H263" t="n">
        <v>0</v>
      </c>
      <c r="I263" t="n">
        <v>0</v>
      </c>
      <c r="J263" t="n">
        <v>0</v>
      </c>
      <c r="K263" t="n">
        <v>0</v>
      </c>
      <c r="L263" t="n">
        <v>0</v>
      </c>
      <c r="M263" t="n">
        <v>0</v>
      </c>
      <c r="N263" t="n">
        <v>0</v>
      </c>
      <c r="O263" t="n">
        <v>0</v>
      </c>
      <c r="P263" t="n">
        <v>0</v>
      </c>
      <c r="Q263" t="n">
        <v>0</v>
      </c>
      <c r="R263" s="2" t="inlineStr"/>
    </row>
    <row r="264" ht="15" customHeight="1">
      <c r="A264" t="inlineStr">
        <is>
          <t>A 24460-2025</t>
        </is>
      </c>
      <c r="B264" s="1" t="n">
        <v>45798</v>
      </c>
      <c r="C264" s="1" t="n">
        <v>46084</v>
      </c>
      <c r="D264" t="inlineStr">
        <is>
          <t>VÄSTMANLANDS LÄN</t>
        </is>
      </c>
      <c r="E264" t="inlineStr">
        <is>
          <t>SALA</t>
        </is>
      </c>
      <c r="F264" t="inlineStr">
        <is>
          <t>Bergvik skog öst AB</t>
        </is>
      </c>
      <c r="G264" t="n">
        <v>2.6</v>
      </c>
      <c r="H264" t="n">
        <v>0</v>
      </c>
      <c r="I264" t="n">
        <v>0</v>
      </c>
      <c r="J264" t="n">
        <v>0</v>
      </c>
      <c r="K264" t="n">
        <v>0</v>
      </c>
      <c r="L264" t="n">
        <v>0</v>
      </c>
      <c r="M264" t="n">
        <v>0</v>
      </c>
      <c r="N264" t="n">
        <v>0</v>
      </c>
      <c r="O264" t="n">
        <v>0</v>
      </c>
      <c r="P264" t="n">
        <v>0</v>
      </c>
      <c r="Q264" t="n">
        <v>0</v>
      </c>
      <c r="R264" s="2" t="inlineStr"/>
    </row>
    <row r="265" ht="15" customHeight="1">
      <c r="A265" t="inlineStr">
        <is>
          <t>A 24463-2025</t>
        </is>
      </c>
      <c r="B265" s="1" t="n">
        <v>45798</v>
      </c>
      <c r="C265" s="1" t="n">
        <v>46084</v>
      </c>
      <c r="D265" t="inlineStr">
        <is>
          <t>VÄSTMANLANDS LÄN</t>
        </is>
      </c>
      <c r="E265" t="inlineStr">
        <is>
          <t>SALA</t>
        </is>
      </c>
      <c r="F265" t="inlineStr">
        <is>
          <t>Bergvik skog öst AB</t>
        </is>
      </c>
      <c r="G265" t="n">
        <v>1.5</v>
      </c>
      <c r="H265" t="n">
        <v>0</v>
      </c>
      <c r="I265" t="n">
        <v>0</v>
      </c>
      <c r="J265" t="n">
        <v>0</v>
      </c>
      <c r="K265" t="n">
        <v>0</v>
      </c>
      <c r="L265" t="n">
        <v>0</v>
      </c>
      <c r="M265" t="n">
        <v>0</v>
      </c>
      <c r="N265" t="n">
        <v>0</v>
      </c>
      <c r="O265" t="n">
        <v>0</v>
      </c>
      <c r="P265" t="n">
        <v>0</v>
      </c>
      <c r="Q265" t="n">
        <v>0</v>
      </c>
      <c r="R265" s="2" t="inlineStr"/>
    </row>
    <row r="266" ht="15" customHeight="1">
      <c r="A266" t="inlineStr">
        <is>
          <t>A 2928-2024</t>
        </is>
      </c>
      <c r="B266" s="1" t="n">
        <v>45315.59041666667</v>
      </c>
      <c r="C266" s="1" t="n">
        <v>46084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73673-2021</t>
        </is>
      </c>
      <c r="B267" s="1" t="n">
        <v>44552.46501157407</v>
      </c>
      <c r="C267" s="1" t="n">
        <v>46084</v>
      </c>
      <c r="D267" t="inlineStr">
        <is>
          <t>VÄSTMANLANDS LÄN</t>
        </is>
      </c>
      <c r="E267" t="inlineStr">
        <is>
          <t>SALA</t>
        </is>
      </c>
      <c r="G267" t="n">
        <v>11.4</v>
      </c>
      <c r="H267" t="n">
        <v>0</v>
      </c>
      <c r="I267" t="n">
        <v>0</v>
      </c>
      <c r="J267" t="n">
        <v>0</v>
      </c>
      <c r="K267" t="n">
        <v>0</v>
      </c>
      <c r="L267" t="n">
        <v>0</v>
      </c>
      <c r="M267" t="n">
        <v>0</v>
      </c>
      <c r="N267" t="n">
        <v>0</v>
      </c>
      <c r="O267" t="n">
        <v>0</v>
      </c>
      <c r="P267" t="n">
        <v>0</v>
      </c>
      <c r="Q267" t="n">
        <v>0</v>
      </c>
      <c r="R267" s="2" t="inlineStr"/>
    </row>
    <row r="268" ht="15" customHeight="1">
      <c r="A268" t="inlineStr">
        <is>
          <t>A 40559-2025</t>
        </is>
      </c>
      <c r="B268" s="1" t="n">
        <v>45896.45037037037</v>
      </c>
      <c r="C268" s="1" t="n">
        <v>46084</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40556-2025</t>
        </is>
      </c>
      <c r="B269" s="1" t="n">
        <v>45896.44944444444</v>
      </c>
      <c r="C269" s="1" t="n">
        <v>46084</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40620-2025</t>
        </is>
      </c>
      <c r="B270" s="1" t="n">
        <v>45896.58609953704</v>
      </c>
      <c r="C270" s="1" t="n">
        <v>46084</v>
      </c>
      <c r="D270" t="inlineStr">
        <is>
          <t>VÄSTMANLANDS LÄN</t>
        </is>
      </c>
      <c r="E270" t="inlineStr">
        <is>
          <t>SALA</t>
        </is>
      </c>
      <c r="G270" t="n">
        <v>6.7</v>
      </c>
      <c r="H270" t="n">
        <v>0</v>
      </c>
      <c r="I270" t="n">
        <v>0</v>
      </c>
      <c r="J270" t="n">
        <v>0</v>
      </c>
      <c r="K270" t="n">
        <v>0</v>
      </c>
      <c r="L270" t="n">
        <v>0</v>
      </c>
      <c r="M270" t="n">
        <v>0</v>
      </c>
      <c r="N270" t="n">
        <v>0</v>
      </c>
      <c r="O270" t="n">
        <v>0</v>
      </c>
      <c r="P270" t="n">
        <v>0</v>
      </c>
      <c r="Q270" t="n">
        <v>0</v>
      </c>
      <c r="R270" s="2" t="inlineStr"/>
    </row>
    <row r="271" ht="15" customHeight="1">
      <c r="A271" t="inlineStr">
        <is>
          <t>A 55065-2024</t>
        </is>
      </c>
      <c r="B271" s="1" t="n">
        <v>45618</v>
      </c>
      <c r="C271" s="1" t="n">
        <v>46084</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40871-2021</t>
        </is>
      </c>
      <c r="B272" s="1" t="n">
        <v>44421</v>
      </c>
      <c r="C272" s="1" t="n">
        <v>46084</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24907-2025</t>
        </is>
      </c>
      <c r="B273" s="1" t="n">
        <v>45799</v>
      </c>
      <c r="C273" s="1" t="n">
        <v>46084</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24910-2025</t>
        </is>
      </c>
      <c r="B274" s="1" t="n">
        <v>45799.53775462963</v>
      </c>
      <c r="C274" s="1" t="n">
        <v>46084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14271-2025</t>
        </is>
      </c>
      <c r="B275" s="1" t="n">
        <v>45740.64129629629</v>
      </c>
      <c r="C275" s="1" t="n">
        <v>46084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41230-2025</t>
        </is>
      </c>
      <c r="B276" s="1" t="n">
        <v>45898</v>
      </c>
      <c r="C276" s="1" t="n">
        <v>46084</v>
      </c>
      <c r="D276" t="inlineStr">
        <is>
          <t>VÄSTMANLANDS LÄN</t>
        </is>
      </c>
      <c r="E276" t="inlineStr">
        <is>
          <t>SALA</t>
        </is>
      </c>
      <c r="G276" t="n">
        <v>2.3</v>
      </c>
      <c r="H276" t="n">
        <v>0</v>
      </c>
      <c r="I276" t="n">
        <v>0</v>
      </c>
      <c r="J276" t="n">
        <v>0</v>
      </c>
      <c r="K276" t="n">
        <v>0</v>
      </c>
      <c r="L276" t="n">
        <v>0</v>
      </c>
      <c r="M276" t="n">
        <v>0</v>
      </c>
      <c r="N276" t="n">
        <v>0</v>
      </c>
      <c r="O276" t="n">
        <v>0</v>
      </c>
      <c r="P276" t="n">
        <v>0</v>
      </c>
      <c r="Q276" t="n">
        <v>0</v>
      </c>
      <c r="R276" s="2" t="inlineStr"/>
    </row>
    <row r="277" ht="15" customHeight="1">
      <c r="A277" t="inlineStr">
        <is>
          <t>A 12246-2023</t>
        </is>
      </c>
      <c r="B277" s="1" t="n">
        <v>44995</v>
      </c>
      <c r="C277" s="1" t="n">
        <v>46084</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54199-2024</t>
        </is>
      </c>
      <c r="B278" s="1" t="n">
        <v>45616.64703703704</v>
      </c>
      <c r="C278" s="1" t="n">
        <v>46084</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41414-2025</t>
        </is>
      </c>
      <c r="B279" s="1" t="n">
        <v>45901.360625</v>
      </c>
      <c r="C279" s="1" t="n">
        <v>46084</v>
      </c>
      <c r="D279" t="inlineStr">
        <is>
          <t>VÄSTMANLANDS LÄN</t>
        </is>
      </c>
      <c r="E279" t="inlineStr">
        <is>
          <t>SALA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6312-2025</t>
        </is>
      </c>
      <c r="B280" s="1" t="n">
        <v>45698</v>
      </c>
      <c r="C280" s="1" t="n">
        <v>46084</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61717-2024</t>
        </is>
      </c>
      <c r="B281" s="1" t="n">
        <v>45648</v>
      </c>
      <c r="C281" s="1" t="n">
        <v>46084</v>
      </c>
      <c r="D281" t="inlineStr">
        <is>
          <t>VÄSTMANLANDS LÄN</t>
        </is>
      </c>
      <c r="E281" t="inlineStr">
        <is>
          <t>SALA</t>
        </is>
      </c>
      <c r="G281" t="n">
        <v>3.7</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46084</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41431-2025</t>
        </is>
      </c>
      <c r="B283" s="1" t="n">
        <v>45901.39347222223</v>
      </c>
      <c r="C283" s="1" t="n">
        <v>46084</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44857-2023</t>
        </is>
      </c>
      <c r="B284" s="1" t="n">
        <v>45190.58479166667</v>
      </c>
      <c r="C284" s="1" t="n">
        <v>46084</v>
      </c>
      <c r="D284" t="inlineStr">
        <is>
          <t>VÄSTMANLANDS LÄN</t>
        </is>
      </c>
      <c r="E284" t="inlineStr">
        <is>
          <t>SALA</t>
        </is>
      </c>
      <c r="G284" t="n">
        <v>1</v>
      </c>
      <c r="H284" t="n">
        <v>0</v>
      </c>
      <c r="I284" t="n">
        <v>0</v>
      </c>
      <c r="J284" t="n">
        <v>0</v>
      </c>
      <c r="K284" t="n">
        <v>0</v>
      </c>
      <c r="L284" t="n">
        <v>0</v>
      </c>
      <c r="M284" t="n">
        <v>0</v>
      </c>
      <c r="N284" t="n">
        <v>0</v>
      </c>
      <c r="O284" t="n">
        <v>0</v>
      </c>
      <c r="P284" t="n">
        <v>0</v>
      </c>
      <c r="Q284" t="n">
        <v>0</v>
      </c>
      <c r="R284" s="2" t="inlineStr"/>
    </row>
    <row r="285" ht="15" customHeight="1">
      <c r="A285" t="inlineStr">
        <is>
          <t>A 10909-2024</t>
        </is>
      </c>
      <c r="B285" s="1" t="n">
        <v>45370</v>
      </c>
      <c r="C285" s="1" t="n">
        <v>46084</v>
      </c>
      <c r="D285" t="inlineStr">
        <is>
          <t>VÄSTMANLANDS LÄN</t>
        </is>
      </c>
      <c r="E285" t="inlineStr">
        <is>
          <t>SALA</t>
        </is>
      </c>
      <c r="G285" t="n">
        <v>3.3</v>
      </c>
      <c r="H285" t="n">
        <v>0</v>
      </c>
      <c r="I285" t="n">
        <v>0</v>
      </c>
      <c r="J285" t="n">
        <v>0</v>
      </c>
      <c r="K285" t="n">
        <v>0</v>
      </c>
      <c r="L285" t="n">
        <v>0</v>
      </c>
      <c r="M285" t="n">
        <v>0</v>
      </c>
      <c r="N285" t="n">
        <v>0</v>
      </c>
      <c r="O285" t="n">
        <v>0</v>
      </c>
      <c r="P285" t="n">
        <v>0</v>
      </c>
      <c r="Q285" t="n">
        <v>0</v>
      </c>
      <c r="R285" s="2" t="inlineStr"/>
    </row>
    <row r="286" ht="15" customHeight="1">
      <c r="A286" t="inlineStr">
        <is>
          <t>A 42447-2022</t>
        </is>
      </c>
      <c r="B286" s="1" t="n">
        <v>44831</v>
      </c>
      <c r="C286" s="1" t="n">
        <v>46084</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62654-2022</t>
        </is>
      </c>
      <c r="B287" s="1" t="n">
        <v>44917</v>
      </c>
      <c r="C287" s="1" t="n">
        <v>46084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43188-2023</t>
        </is>
      </c>
      <c r="B288" s="1" t="n">
        <v>45183</v>
      </c>
      <c r="C288" s="1" t="n">
        <v>46084</v>
      </c>
      <c r="D288" t="inlineStr">
        <is>
          <t>VÄSTMANLANDS LÄN</t>
        </is>
      </c>
      <c r="E288" t="inlineStr">
        <is>
          <t>SALA</t>
        </is>
      </c>
      <c r="G288" t="n">
        <v>1.2</v>
      </c>
      <c r="H288" t="n">
        <v>0</v>
      </c>
      <c r="I288" t="n">
        <v>0</v>
      </c>
      <c r="J288" t="n">
        <v>0</v>
      </c>
      <c r="K288" t="n">
        <v>0</v>
      </c>
      <c r="L288" t="n">
        <v>0</v>
      </c>
      <c r="M288" t="n">
        <v>0</v>
      </c>
      <c r="N288" t="n">
        <v>0</v>
      </c>
      <c r="O288" t="n">
        <v>0</v>
      </c>
      <c r="P288" t="n">
        <v>0</v>
      </c>
      <c r="Q288" t="n">
        <v>0</v>
      </c>
      <c r="R288" s="2" t="inlineStr"/>
    </row>
    <row r="289" ht="15" customHeight="1">
      <c r="A289" t="inlineStr">
        <is>
          <t>A 43205-2023</t>
        </is>
      </c>
      <c r="B289" s="1" t="n">
        <v>45183</v>
      </c>
      <c r="C289" s="1" t="n">
        <v>46084</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61892-2021</t>
        </is>
      </c>
      <c r="B290" s="1" t="n">
        <v>44502</v>
      </c>
      <c r="C290" s="1" t="n">
        <v>46084</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29213-2022</t>
        </is>
      </c>
      <c r="B291" s="1" t="n">
        <v>44750.57474537037</v>
      </c>
      <c r="C291" s="1" t="n">
        <v>46084</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59483-2022</t>
        </is>
      </c>
      <c r="B292" s="1" t="n">
        <v>44907.45679398148</v>
      </c>
      <c r="C292" s="1" t="n">
        <v>46084</v>
      </c>
      <c r="D292" t="inlineStr">
        <is>
          <t>VÄSTMANLANDS LÄN</t>
        </is>
      </c>
      <c r="E292" t="inlineStr">
        <is>
          <t>SALA</t>
        </is>
      </c>
      <c r="G292" t="n">
        <v>5.2</v>
      </c>
      <c r="H292" t="n">
        <v>0</v>
      </c>
      <c r="I292" t="n">
        <v>0</v>
      </c>
      <c r="J292" t="n">
        <v>0</v>
      </c>
      <c r="K292" t="n">
        <v>0</v>
      </c>
      <c r="L292" t="n">
        <v>0</v>
      </c>
      <c r="M292" t="n">
        <v>0</v>
      </c>
      <c r="N292" t="n">
        <v>0</v>
      </c>
      <c r="O292" t="n">
        <v>0</v>
      </c>
      <c r="P292" t="n">
        <v>0</v>
      </c>
      <c r="Q292" t="n">
        <v>0</v>
      </c>
      <c r="R292" s="2" t="inlineStr"/>
    </row>
    <row r="293" ht="15" customHeight="1">
      <c r="A293" t="inlineStr">
        <is>
          <t>A 33732-2023</t>
        </is>
      </c>
      <c r="B293" s="1" t="n">
        <v>45133.32409722222</v>
      </c>
      <c r="C293" s="1" t="n">
        <v>46084</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21968-2024</t>
        </is>
      </c>
      <c r="B294" s="1" t="n">
        <v>45443</v>
      </c>
      <c r="C294" s="1" t="n">
        <v>46084</v>
      </c>
      <c r="D294" t="inlineStr">
        <is>
          <t>VÄSTMANLANDS LÄN</t>
        </is>
      </c>
      <c r="E294" t="inlineStr">
        <is>
          <t>SALA</t>
        </is>
      </c>
      <c r="G294" t="n">
        <v>1.9</v>
      </c>
      <c r="H294" t="n">
        <v>0</v>
      </c>
      <c r="I294" t="n">
        <v>0</v>
      </c>
      <c r="J294" t="n">
        <v>0</v>
      </c>
      <c r="K294" t="n">
        <v>0</v>
      </c>
      <c r="L294" t="n">
        <v>0</v>
      </c>
      <c r="M294" t="n">
        <v>0</v>
      </c>
      <c r="N294" t="n">
        <v>0</v>
      </c>
      <c r="O294" t="n">
        <v>0</v>
      </c>
      <c r="P294" t="n">
        <v>0</v>
      </c>
      <c r="Q294" t="n">
        <v>0</v>
      </c>
      <c r="R294" s="2" t="inlineStr"/>
    </row>
    <row r="295" ht="15" customHeight="1">
      <c r="A295" t="inlineStr">
        <is>
          <t>A 16160-2024</t>
        </is>
      </c>
      <c r="B295" s="1" t="n">
        <v>45406</v>
      </c>
      <c r="C295" s="1" t="n">
        <v>46084</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42421-2025</t>
        </is>
      </c>
      <c r="B296" s="1" t="n">
        <v>45905.40067129629</v>
      </c>
      <c r="C296" s="1" t="n">
        <v>46084</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59909-2024</t>
        </is>
      </c>
      <c r="B297" s="1" t="n">
        <v>45641</v>
      </c>
      <c r="C297" s="1" t="n">
        <v>46084</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26661-2025</t>
        </is>
      </c>
      <c r="B298" s="1" t="n">
        <v>45810</v>
      </c>
      <c r="C298" s="1" t="n">
        <v>46084</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17495-2024</t>
        </is>
      </c>
      <c r="B299" s="1" t="n">
        <v>45415</v>
      </c>
      <c r="C299" s="1" t="n">
        <v>46084</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37263-2025</t>
        </is>
      </c>
      <c r="B300" s="1" t="n">
        <v>45876.4584837963</v>
      </c>
      <c r="C300" s="1" t="n">
        <v>46084</v>
      </c>
      <c r="D300" t="inlineStr">
        <is>
          <t>VÄSTMANLANDS LÄN</t>
        </is>
      </c>
      <c r="E300" t="inlineStr">
        <is>
          <t>SALA</t>
        </is>
      </c>
      <c r="G300" t="n">
        <v>2.3</v>
      </c>
      <c r="H300" t="n">
        <v>0</v>
      </c>
      <c r="I300" t="n">
        <v>0</v>
      </c>
      <c r="J300" t="n">
        <v>0</v>
      </c>
      <c r="K300" t="n">
        <v>0</v>
      </c>
      <c r="L300" t="n">
        <v>0</v>
      </c>
      <c r="M300" t="n">
        <v>0</v>
      </c>
      <c r="N300" t="n">
        <v>0</v>
      </c>
      <c r="O300" t="n">
        <v>0</v>
      </c>
      <c r="P300" t="n">
        <v>0</v>
      </c>
      <c r="Q300" t="n">
        <v>0</v>
      </c>
      <c r="R300" s="2" t="inlineStr"/>
    </row>
    <row r="301" ht="15" customHeight="1">
      <c r="A301" t="inlineStr">
        <is>
          <t>A 43127-2025</t>
        </is>
      </c>
      <c r="B301" s="1" t="n">
        <v>45909</v>
      </c>
      <c r="C301" s="1" t="n">
        <v>46084</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41292-2021</t>
        </is>
      </c>
      <c r="B302" s="1" t="n">
        <v>44424</v>
      </c>
      <c r="C302" s="1" t="n">
        <v>46084</v>
      </c>
      <c r="D302" t="inlineStr">
        <is>
          <t>VÄSTMANLANDS LÄN</t>
        </is>
      </c>
      <c r="E302" t="inlineStr">
        <is>
          <t>SALA</t>
        </is>
      </c>
      <c r="G302" t="n">
        <v>0.3</v>
      </c>
      <c r="H302" t="n">
        <v>0</v>
      </c>
      <c r="I302" t="n">
        <v>0</v>
      </c>
      <c r="J302" t="n">
        <v>0</v>
      </c>
      <c r="K302" t="n">
        <v>0</v>
      </c>
      <c r="L302" t="n">
        <v>0</v>
      </c>
      <c r="M302" t="n">
        <v>0</v>
      </c>
      <c r="N302" t="n">
        <v>0</v>
      </c>
      <c r="O302" t="n">
        <v>0</v>
      </c>
      <c r="P302" t="n">
        <v>0</v>
      </c>
      <c r="Q302" t="n">
        <v>0</v>
      </c>
      <c r="R302" s="2" t="inlineStr"/>
    </row>
    <row r="303" ht="15" customHeight="1">
      <c r="A303" t="inlineStr">
        <is>
          <t>A 39597-2022</t>
        </is>
      </c>
      <c r="B303" s="1" t="n">
        <v>44818</v>
      </c>
      <c r="C303" s="1" t="n">
        <v>46084</v>
      </c>
      <c r="D303" t="inlineStr">
        <is>
          <t>VÄSTMANLANDS LÄN</t>
        </is>
      </c>
      <c r="E303" t="inlineStr">
        <is>
          <t>SALA</t>
        </is>
      </c>
      <c r="G303" t="n">
        <v>2.3</v>
      </c>
      <c r="H303" t="n">
        <v>0</v>
      </c>
      <c r="I303" t="n">
        <v>0</v>
      </c>
      <c r="J303" t="n">
        <v>0</v>
      </c>
      <c r="K303" t="n">
        <v>0</v>
      </c>
      <c r="L303" t="n">
        <v>0</v>
      </c>
      <c r="M303" t="n">
        <v>0</v>
      </c>
      <c r="N303" t="n">
        <v>0</v>
      </c>
      <c r="O303" t="n">
        <v>0</v>
      </c>
      <c r="P303" t="n">
        <v>0</v>
      </c>
      <c r="Q303" t="n">
        <v>0</v>
      </c>
      <c r="R303" s="2" t="inlineStr"/>
    </row>
    <row r="304" ht="15" customHeight="1">
      <c r="A304" t="inlineStr">
        <is>
          <t>A 43128-2025</t>
        </is>
      </c>
      <c r="B304" s="1" t="n">
        <v>45909</v>
      </c>
      <c r="C304" s="1" t="n">
        <v>46084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40554-2025</t>
        </is>
      </c>
      <c r="B305" s="1" t="n">
        <v>45896.44506944445</v>
      </c>
      <c r="C305" s="1" t="n">
        <v>46084</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22921-2023</t>
        </is>
      </c>
      <c r="B306" s="1" t="n">
        <v>45070</v>
      </c>
      <c r="C306" s="1" t="n">
        <v>46084</v>
      </c>
      <c r="D306" t="inlineStr">
        <is>
          <t>VÄSTMANLANDS LÄN</t>
        </is>
      </c>
      <c r="E306" t="inlineStr">
        <is>
          <t>SALA</t>
        </is>
      </c>
      <c r="G306" t="n">
        <v>1.3</v>
      </c>
      <c r="H306" t="n">
        <v>0</v>
      </c>
      <c r="I306" t="n">
        <v>0</v>
      </c>
      <c r="J306" t="n">
        <v>0</v>
      </c>
      <c r="K306" t="n">
        <v>0</v>
      </c>
      <c r="L306" t="n">
        <v>0</v>
      </c>
      <c r="M306" t="n">
        <v>0</v>
      </c>
      <c r="N306" t="n">
        <v>0</v>
      </c>
      <c r="O306" t="n">
        <v>0</v>
      </c>
      <c r="P306" t="n">
        <v>0</v>
      </c>
      <c r="Q306" t="n">
        <v>0</v>
      </c>
      <c r="R306" s="2" t="inlineStr"/>
    </row>
    <row r="307" ht="15" customHeight="1">
      <c r="A307" t="inlineStr">
        <is>
          <t>A 43129-2025</t>
        </is>
      </c>
      <c r="B307" s="1" t="n">
        <v>45909</v>
      </c>
      <c r="C307" s="1" t="n">
        <v>46084</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43130-2025</t>
        </is>
      </c>
      <c r="B308" s="1" t="n">
        <v>45909</v>
      </c>
      <c r="C308" s="1" t="n">
        <v>46084</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43028-2025</t>
        </is>
      </c>
      <c r="B309" s="1" t="n">
        <v>45909.53472222222</v>
      </c>
      <c r="C309" s="1" t="n">
        <v>46084</v>
      </c>
      <c r="D309" t="inlineStr">
        <is>
          <t>VÄSTMANLANDS LÄN</t>
        </is>
      </c>
      <c r="E309" t="inlineStr">
        <is>
          <t>SALA</t>
        </is>
      </c>
      <c r="G309" t="n">
        <v>3.8</v>
      </c>
      <c r="H309" t="n">
        <v>0</v>
      </c>
      <c r="I309" t="n">
        <v>0</v>
      </c>
      <c r="J309" t="n">
        <v>0</v>
      </c>
      <c r="K309" t="n">
        <v>0</v>
      </c>
      <c r="L309" t="n">
        <v>0</v>
      </c>
      <c r="M309" t="n">
        <v>0</v>
      </c>
      <c r="N309" t="n">
        <v>0</v>
      </c>
      <c r="O309" t="n">
        <v>0</v>
      </c>
      <c r="P309" t="n">
        <v>0</v>
      </c>
      <c r="Q309" t="n">
        <v>0</v>
      </c>
      <c r="R309" s="2" t="inlineStr"/>
    </row>
    <row r="310" ht="15" customHeight="1">
      <c r="A310" t="inlineStr">
        <is>
          <t>A 43031-2025</t>
        </is>
      </c>
      <c r="B310" s="1" t="n">
        <v>45909.53856481481</v>
      </c>
      <c r="C310" s="1" t="n">
        <v>46084</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36858-2023</t>
        </is>
      </c>
      <c r="B311" s="1" t="n">
        <v>45154.55184027777</v>
      </c>
      <c r="C311" s="1" t="n">
        <v>46084</v>
      </c>
      <c r="D311" t="inlineStr">
        <is>
          <t>VÄSTMANLANDS LÄN</t>
        </is>
      </c>
      <c r="E311" t="inlineStr">
        <is>
          <t>SALA</t>
        </is>
      </c>
      <c r="G311" t="n">
        <v>2.1</v>
      </c>
      <c r="H311" t="n">
        <v>0</v>
      </c>
      <c r="I311" t="n">
        <v>0</v>
      </c>
      <c r="J311" t="n">
        <v>0</v>
      </c>
      <c r="K311" t="n">
        <v>0</v>
      </c>
      <c r="L311" t="n">
        <v>0</v>
      </c>
      <c r="M311" t="n">
        <v>0</v>
      </c>
      <c r="N311" t="n">
        <v>0</v>
      </c>
      <c r="O311" t="n">
        <v>0</v>
      </c>
      <c r="P311" t="n">
        <v>0</v>
      </c>
      <c r="Q311" t="n">
        <v>0</v>
      </c>
      <c r="R311" s="2" t="inlineStr"/>
    </row>
    <row r="312" ht="15" customHeight="1">
      <c r="A312" t="inlineStr">
        <is>
          <t>A 55024-2023</t>
        </is>
      </c>
      <c r="B312" s="1" t="n">
        <v>45229</v>
      </c>
      <c r="C312" s="1" t="n">
        <v>46084</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55032-2023</t>
        </is>
      </c>
      <c r="B313" s="1" t="n">
        <v>45229</v>
      </c>
      <c r="C313" s="1" t="n">
        <v>46084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20352-2022</t>
        </is>
      </c>
      <c r="B314" s="1" t="n">
        <v>44699.37318287037</v>
      </c>
      <c r="C314" s="1" t="n">
        <v>46084</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51464-2024</t>
        </is>
      </c>
      <c r="B315" s="1" t="n">
        <v>45604.49768518518</v>
      </c>
      <c r="C315" s="1" t="n">
        <v>46084</v>
      </c>
      <c r="D315" t="inlineStr">
        <is>
          <t>VÄSTMANLANDS LÄN</t>
        </is>
      </c>
      <c r="E315" t="inlineStr">
        <is>
          <t>SALA</t>
        </is>
      </c>
      <c r="G315" t="n">
        <v>3.9</v>
      </c>
      <c r="H315" t="n">
        <v>0</v>
      </c>
      <c r="I315" t="n">
        <v>0</v>
      </c>
      <c r="J315" t="n">
        <v>0</v>
      </c>
      <c r="K315" t="n">
        <v>0</v>
      </c>
      <c r="L315" t="n">
        <v>0</v>
      </c>
      <c r="M315" t="n">
        <v>0</v>
      </c>
      <c r="N315" t="n">
        <v>0</v>
      </c>
      <c r="O315" t="n">
        <v>0</v>
      </c>
      <c r="P315" t="n">
        <v>0</v>
      </c>
      <c r="Q315" t="n">
        <v>0</v>
      </c>
      <c r="R315" s="2" t="inlineStr"/>
    </row>
    <row r="316" ht="15" customHeight="1">
      <c r="A316" t="inlineStr">
        <is>
          <t>A 5032-2025</t>
        </is>
      </c>
      <c r="B316" s="1" t="n">
        <v>45691</v>
      </c>
      <c r="C316" s="1" t="n">
        <v>46084</v>
      </c>
      <c r="D316" t="inlineStr">
        <is>
          <t>VÄSTMANLANDS LÄN</t>
        </is>
      </c>
      <c r="E316" t="inlineStr">
        <is>
          <t>SALA</t>
        </is>
      </c>
      <c r="G316" t="n">
        <v>0.9</v>
      </c>
      <c r="H316" t="n">
        <v>0</v>
      </c>
      <c r="I316" t="n">
        <v>0</v>
      </c>
      <c r="J316" t="n">
        <v>0</v>
      </c>
      <c r="K316" t="n">
        <v>0</v>
      </c>
      <c r="L316" t="n">
        <v>0</v>
      </c>
      <c r="M316" t="n">
        <v>0</v>
      </c>
      <c r="N316" t="n">
        <v>0</v>
      </c>
      <c r="O316" t="n">
        <v>0</v>
      </c>
      <c r="P316" t="n">
        <v>0</v>
      </c>
      <c r="Q316" t="n">
        <v>0</v>
      </c>
      <c r="R316" s="2" t="inlineStr"/>
    </row>
    <row r="317" ht="15" customHeight="1">
      <c r="A317" t="inlineStr">
        <is>
          <t>A 43328-2025</t>
        </is>
      </c>
      <c r="B317" s="1" t="n">
        <v>45910</v>
      </c>
      <c r="C317" s="1" t="n">
        <v>46084</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17117-2023</t>
        </is>
      </c>
      <c r="B318" s="1" t="n">
        <v>45034</v>
      </c>
      <c r="C318" s="1" t="n">
        <v>46084</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54603-2024</t>
        </is>
      </c>
      <c r="B319" s="1" t="n">
        <v>45617.68224537037</v>
      </c>
      <c r="C319" s="1" t="n">
        <v>46084</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27989-2025</t>
        </is>
      </c>
      <c r="B320" s="1" t="n">
        <v>45817.58716435185</v>
      </c>
      <c r="C320" s="1" t="n">
        <v>46084</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19243-2025</t>
        </is>
      </c>
      <c r="B321" s="1" t="n">
        <v>45769</v>
      </c>
      <c r="C321" s="1" t="n">
        <v>46084</v>
      </c>
      <c r="D321" t="inlineStr">
        <is>
          <t>VÄSTMANLANDS LÄN</t>
        </is>
      </c>
      <c r="E321" t="inlineStr">
        <is>
          <t>SALA</t>
        </is>
      </c>
      <c r="F321" t="inlineStr">
        <is>
          <t>Bergvik skog öst AB</t>
        </is>
      </c>
      <c r="G321" t="n">
        <v>1.5</v>
      </c>
      <c r="H321" t="n">
        <v>0</v>
      </c>
      <c r="I321" t="n">
        <v>0</v>
      </c>
      <c r="J321" t="n">
        <v>0</v>
      </c>
      <c r="K321" t="n">
        <v>0</v>
      </c>
      <c r="L321" t="n">
        <v>0</v>
      </c>
      <c r="M321" t="n">
        <v>0</v>
      </c>
      <c r="N321" t="n">
        <v>0</v>
      </c>
      <c r="O321" t="n">
        <v>0</v>
      </c>
      <c r="P321" t="n">
        <v>0</v>
      </c>
      <c r="Q321" t="n">
        <v>0</v>
      </c>
      <c r="R321" s="2" t="inlineStr"/>
    </row>
    <row r="322" ht="15" customHeight="1">
      <c r="A322" t="inlineStr">
        <is>
          <t>A 69232-2021</t>
        </is>
      </c>
      <c r="B322" s="1" t="n">
        <v>44531.39696759259</v>
      </c>
      <c r="C322" s="1" t="n">
        <v>46084</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27981-2025</t>
        </is>
      </c>
      <c r="B323" s="1" t="n">
        <v>45817.57471064815</v>
      </c>
      <c r="C323" s="1" t="n">
        <v>46084</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28193-2025</t>
        </is>
      </c>
      <c r="B324" s="1" t="n">
        <v>45818.425625</v>
      </c>
      <c r="C324" s="1" t="n">
        <v>46084</v>
      </c>
      <c r="D324" t="inlineStr">
        <is>
          <t>VÄSTMANLANDS LÄN</t>
        </is>
      </c>
      <c r="E324" t="inlineStr">
        <is>
          <t>SALA</t>
        </is>
      </c>
      <c r="G324" t="n">
        <v>1.8</v>
      </c>
      <c r="H324" t="n">
        <v>0</v>
      </c>
      <c r="I324" t="n">
        <v>0</v>
      </c>
      <c r="J324" t="n">
        <v>0</v>
      </c>
      <c r="K324" t="n">
        <v>0</v>
      </c>
      <c r="L324" t="n">
        <v>0</v>
      </c>
      <c r="M324" t="n">
        <v>0</v>
      </c>
      <c r="N324" t="n">
        <v>0</v>
      </c>
      <c r="O324" t="n">
        <v>0</v>
      </c>
      <c r="P324" t="n">
        <v>0</v>
      </c>
      <c r="Q324" t="n">
        <v>0</v>
      </c>
      <c r="R324" s="2" t="inlineStr"/>
    </row>
    <row r="325" ht="15" customHeight="1">
      <c r="A325" t="inlineStr">
        <is>
          <t>A 28284-2025</t>
        </is>
      </c>
      <c r="B325" s="1" t="n">
        <v>45818.58893518519</v>
      </c>
      <c r="C325" s="1" t="n">
        <v>46084</v>
      </c>
      <c r="D325" t="inlineStr">
        <is>
          <t>VÄSTMANLANDS LÄN</t>
        </is>
      </c>
      <c r="E325" t="inlineStr">
        <is>
          <t>SALA</t>
        </is>
      </c>
      <c r="G325" t="n">
        <v>2.4</v>
      </c>
      <c r="H325" t="n">
        <v>0</v>
      </c>
      <c r="I325" t="n">
        <v>0</v>
      </c>
      <c r="J325" t="n">
        <v>0</v>
      </c>
      <c r="K325" t="n">
        <v>0</v>
      </c>
      <c r="L325" t="n">
        <v>0</v>
      </c>
      <c r="M325" t="n">
        <v>0</v>
      </c>
      <c r="N325" t="n">
        <v>0</v>
      </c>
      <c r="O325" t="n">
        <v>0</v>
      </c>
      <c r="P325" t="n">
        <v>0</v>
      </c>
      <c r="Q325" t="n">
        <v>0</v>
      </c>
      <c r="R325" s="2" t="inlineStr"/>
    </row>
    <row r="326" ht="15" customHeight="1">
      <c r="A326" t="inlineStr">
        <is>
          <t>A 28278-2025</t>
        </is>
      </c>
      <c r="B326" s="1" t="n">
        <v>45818.58454861111</v>
      </c>
      <c r="C326" s="1" t="n">
        <v>46084</v>
      </c>
      <c r="D326" t="inlineStr">
        <is>
          <t>VÄSTMANLANDS LÄN</t>
        </is>
      </c>
      <c r="E326" t="inlineStr">
        <is>
          <t>SALA</t>
        </is>
      </c>
      <c r="G326" t="n">
        <v>7.6</v>
      </c>
      <c r="H326" t="n">
        <v>0</v>
      </c>
      <c r="I326" t="n">
        <v>0</v>
      </c>
      <c r="J326" t="n">
        <v>0</v>
      </c>
      <c r="K326" t="n">
        <v>0</v>
      </c>
      <c r="L326" t="n">
        <v>0</v>
      </c>
      <c r="M326" t="n">
        <v>0</v>
      </c>
      <c r="N326" t="n">
        <v>0</v>
      </c>
      <c r="O326" t="n">
        <v>0</v>
      </c>
      <c r="P326" t="n">
        <v>0</v>
      </c>
      <c r="Q326" t="n">
        <v>0</v>
      </c>
      <c r="R326" s="2" t="inlineStr"/>
    </row>
    <row r="327" ht="15" customHeight="1">
      <c r="A327" t="inlineStr">
        <is>
          <t>A 28628-2025</t>
        </is>
      </c>
      <c r="B327" s="1" t="n">
        <v>45819.62158564815</v>
      </c>
      <c r="C327" s="1" t="n">
        <v>46084</v>
      </c>
      <c r="D327" t="inlineStr">
        <is>
          <t>VÄSTMANLANDS LÄN</t>
        </is>
      </c>
      <c r="E327" t="inlineStr">
        <is>
          <t>SALA</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28632-2025</t>
        </is>
      </c>
      <c r="B328" s="1" t="n">
        <v>45819.62344907408</v>
      </c>
      <c r="C328" s="1" t="n">
        <v>46084</v>
      </c>
      <c r="D328" t="inlineStr">
        <is>
          <t>VÄSTMANLANDS LÄN</t>
        </is>
      </c>
      <c r="E328" t="inlineStr">
        <is>
          <t>SALA</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44100-2025</t>
        </is>
      </c>
      <c r="B329" s="1" t="n">
        <v>45915.56707175926</v>
      </c>
      <c r="C329" s="1" t="n">
        <v>46084</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28630-2025</t>
        </is>
      </c>
      <c r="B330" s="1" t="n">
        <v>45819.62274305556</v>
      </c>
      <c r="C330" s="1" t="n">
        <v>46084</v>
      </c>
      <c r="D330" t="inlineStr">
        <is>
          <t>VÄSTMANLANDS LÄN</t>
        </is>
      </c>
      <c r="E330" t="inlineStr">
        <is>
          <t>SALA</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19398-2025</t>
        </is>
      </c>
      <c r="B331" s="1" t="n">
        <v>45769</v>
      </c>
      <c r="C331" s="1" t="n">
        <v>46084</v>
      </c>
      <c r="D331" t="inlineStr">
        <is>
          <t>VÄSTMANLANDS LÄN</t>
        </is>
      </c>
      <c r="E331" t="inlineStr">
        <is>
          <t>SALA</t>
        </is>
      </c>
      <c r="G331" t="n">
        <v>0.4</v>
      </c>
      <c r="H331" t="n">
        <v>0</v>
      </c>
      <c r="I331" t="n">
        <v>0</v>
      </c>
      <c r="J331" t="n">
        <v>0</v>
      </c>
      <c r="K331" t="n">
        <v>0</v>
      </c>
      <c r="L331" t="n">
        <v>0</v>
      </c>
      <c r="M331" t="n">
        <v>0</v>
      </c>
      <c r="N331" t="n">
        <v>0</v>
      </c>
      <c r="O331" t="n">
        <v>0</v>
      </c>
      <c r="P331" t="n">
        <v>0</v>
      </c>
      <c r="Q331" t="n">
        <v>0</v>
      </c>
      <c r="R331" s="2" t="inlineStr"/>
    </row>
    <row r="332" ht="15" customHeight="1">
      <c r="A332" t="inlineStr">
        <is>
          <t>A 7166-2025</t>
        </is>
      </c>
      <c r="B332" s="1" t="n">
        <v>45702</v>
      </c>
      <c r="C332" s="1" t="n">
        <v>46084</v>
      </c>
      <c r="D332" t="inlineStr">
        <is>
          <t>VÄSTMANLANDS LÄN</t>
        </is>
      </c>
      <c r="E332" t="inlineStr">
        <is>
          <t>SALA</t>
        </is>
      </c>
      <c r="G332" t="n">
        <v>6.1</v>
      </c>
      <c r="H332" t="n">
        <v>0</v>
      </c>
      <c r="I332" t="n">
        <v>0</v>
      </c>
      <c r="J332" t="n">
        <v>0</v>
      </c>
      <c r="K332" t="n">
        <v>0</v>
      </c>
      <c r="L332" t="n">
        <v>0</v>
      </c>
      <c r="M332" t="n">
        <v>0</v>
      </c>
      <c r="N332" t="n">
        <v>0</v>
      </c>
      <c r="O332" t="n">
        <v>0</v>
      </c>
      <c r="P332" t="n">
        <v>0</v>
      </c>
      <c r="Q332" t="n">
        <v>0</v>
      </c>
      <c r="R332" s="2" t="inlineStr"/>
    </row>
    <row r="333" ht="15" customHeight="1">
      <c r="A333" t="inlineStr">
        <is>
          <t>A 36393-2023</t>
        </is>
      </c>
      <c r="B333" s="1" t="n">
        <v>45152</v>
      </c>
      <c r="C333" s="1" t="n">
        <v>46084</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28837-2025</t>
        </is>
      </c>
      <c r="B334" s="1" t="n">
        <v>45820.56243055555</v>
      </c>
      <c r="C334" s="1" t="n">
        <v>46084</v>
      </c>
      <c r="D334" t="inlineStr">
        <is>
          <t>VÄSTMANLANDS LÄN</t>
        </is>
      </c>
      <c r="E334" t="inlineStr">
        <is>
          <t>SALA</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28849-2025</t>
        </is>
      </c>
      <c r="B335" s="1" t="n">
        <v>45820</v>
      </c>
      <c r="C335" s="1" t="n">
        <v>46084</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4797-2023</t>
        </is>
      </c>
      <c r="B336" s="1" t="n">
        <v>44957</v>
      </c>
      <c r="C336" s="1" t="n">
        <v>46084</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26416-2023</t>
        </is>
      </c>
      <c r="B337" s="1" t="n">
        <v>45092.38087962963</v>
      </c>
      <c r="C337" s="1" t="n">
        <v>46084</v>
      </c>
      <c r="D337" t="inlineStr">
        <is>
          <t>VÄSTMANLANDS LÄN</t>
        </is>
      </c>
      <c r="E337" t="inlineStr">
        <is>
          <t>SALA</t>
        </is>
      </c>
      <c r="G337" t="n">
        <v>2.9</v>
      </c>
      <c r="H337" t="n">
        <v>0</v>
      </c>
      <c r="I337" t="n">
        <v>0</v>
      </c>
      <c r="J337" t="n">
        <v>0</v>
      </c>
      <c r="K337" t="n">
        <v>0</v>
      </c>
      <c r="L337" t="n">
        <v>0</v>
      </c>
      <c r="M337" t="n">
        <v>0</v>
      </c>
      <c r="N337" t="n">
        <v>0</v>
      </c>
      <c r="O337" t="n">
        <v>0</v>
      </c>
      <c r="P337" t="n">
        <v>0</v>
      </c>
      <c r="Q337" t="n">
        <v>0</v>
      </c>
      <c r="R337" s="2" t="inlineStr"/>
    </row>
    <row r="338" ht="15" customHeight="1">
      <c r="A338" t="inlineStr">
        <is>
          <t>A 29085-2025</t>
        </is>
      </c>
      <c r="B338" s="1" t="n">
        <v>45821</v>
      </c>
      <c r="C338" s="1" t="n">
        <v>46084</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61517-2024</t>
        </is>
      </c>
      <c r="B339" s="1" t="n">
        <v>45645</v>
      </c>
      <c r="C339" s="1" t="n">
        <v>46084</v>
      </c>
      <c r="D339" t="inlineStr">
        <is>
          <t>VÄSTMANLANDS LÄN</t>
        </is>
      </c>
      <c r="E339" t="inlineStr">
        <is>
          <t>SALA</t>
        </is>
      </c>
      <c r="G339" t="n">
        <v>0.6</v>
      </c>
      <c r="H339" t="n">
        <v>0</v>
      </c>
      <c r="I339" t="n">
        <v>0</v>
      </c>
      <c r="J339" t="n">
        <v>0</v>
      </c>
      <c r="K339" t="n">
        <v>0</v>
      </c>
      <c r="L339" t="n">
        <v>0</v>
      </c>
      <c r="M339" t="n">
        <v>0</v>
      </c>
      <c r="N339" t="n">
        <v>0</v>
      </c>
      <c r="O339" t="n">
        <v>0</v>
      </c>
      <c r="P339" t="n">
        <v>0</v>
      </c>
      <c r="Q339" t="n">
        <v>0</v>
      </c>
      <c r="R339" s="2" t="inlineStr"/>
    </row>
    <row r="340" ht="15" customHeight="1">
      <c r="A340" t="inlineStr">
        <is>
          <t>A 29691-2025</t>
        </is>
      </c>
      <c r="B340" s="1" t="n">
        <v>45825.53645833334</v>
      </c>
      <c r="C340" s="1" t="n">
        <v>46084</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60541-2024</t>
        </is>
      </c>
      <c r="B341" s="1" t="n">
        <v>45643</v>
      </c>
      <c r="C341" s="1" t="n">
        <v>46084</v>
      </c>
      <c r="D341" t="inlineStr">
        <is>
          <t>VÄSTMANLANDS LÄN</t>
        </is>
      </c>
      <c r="E341" t="inlineStr">
        <is>
          <t>SALA</t>
        </is>
      </c>
      <c r="G341" t="n">
        <v>10.6</v>
      </c>
      <c r="H341" t="n">
        <v>0</v>
      </c>
      <c r="I341" t="n">
        <v>0</v>
      </c>
      <c r="J341" t="n">
        <v>0</v>
      </c>
      <c r="K341" t="n">
        <v>0</v>
      </c>
      <c r="L341" t="n">
        <v>0</v>
      </c>
      <c r="M341" t="n">
        <v>0</v>
      </c>
      <c r="N341" t="n">
        <v>0</v>
      </c>
      <c r="O341" t="n">
        <v>0</v>
      </c>
      <c r="P341" t="n">
        <v>0</v>
      </c>
      <c r="Q341" t="n">
        <v>0</v>
      </c>
      <c r="R341" s="2" t="inlineStr"/>
    </row>
    <row r="342" ht="15" customHeight="1">
      <c r="A342" t="inlineStr">
        <is>
          <t>A 28661-2024</t>
        </is>
      </c>
      <c r="B342" s="1" t="n">
        <v>45478</v>
      </c>
      <c r="C342" s="1" t="n">
        <v>46084</v>
      </c>
      <c r="D342" t="inlineStr">
        <is>
          <t>VÄSTMANLANDS LÄN</t>
        </is>
      </c>
      <c r="E342" t="inlineStr">
        <is>
          <t>SALA</t>
        </is>
      </c>
      <c r="G342" t="n">
        <v>0.6</v>
      </c>
      <c r="H342" t="n">
        <v>0</v>
      </c>
      <c r="I342" t="n">
        <v>0</v>
      </c>
      <c r="J342" t="n">
        <v>0</v>
      </c>
      <c r="K342" t="n">
        <v>0</v>
      </c>
      <c r="L342" t="n">
        <v>0</v>
      </c>
      <c r="M342" t="n">
        <v>0</v>
      </c>
      <c r="N342" t="n">
        <v>0</v>
      </c>
      <c r="O342" t="n">
        <v>0</v>
      </c>
      <c r="P342" t="n">
        <v>0</v>
      </c>
      <c r="Q342" t="n">
        <v>0</v>
      </c>
      <c r="R342" s="2" t="inlineStr"/>
    </row>
    <row r="343" ht="15" customHeight="1">
      <c r="A343" t="inlineStr">
        <is>
          <t>A 44524-2025</t>
        </is>
      </c>
      <c r="B343" s="1" t="n">
        <v>45916.72920138889</v>
      </c>
      <c r="C343" s="1" t="n">
        <v>46084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44486-2025</t>
        </is>
      </c>
      <c r="B344" s="1" t="n">
        <v>45916.65517361111</v>
      </c>
      <c r="C344" s="1" t="n">
        <v>46084</v>
      </c>
      <c r="D344" t="inlineStr">
        <is>
          <t>VÄSTMANLANDS LÄN</t>
        </is>
      </c>
      <c r="E344" t="inlineStr">
        <is>
          <t>SALA</t>
        </is>
      </c>
      <c r="G344" t="n">
        <v>1.7</v>
      </c>
      <c r="H344" t="n">
        <v>0</v>
      </c>
      <c r="I344" t="n">
        <v>0</v>
      </c>
      <c r="J344" t="n">
        <v>0</v>
      </c>
      <c r="K344" t="n">
        <v>0</v>
      </c>
      <c r="L344" t="n">
        <v>0</v>
      </c>
      <c r="M344" t="n">
        <v>0</v>
      </c>
      <c r="N344" t="n">
        <v>0</v>
      </c>
      <c r="O344" t="n">
        <v>0</v>
      </c>
      <c r="P344" t="n">
        <v>0</v>
      </c>
      <c r="Q344" t="n">
        <v>0</v>
      </c>
      <c r="R344" s="2" t="inlineStr"/>
    </row>
    <row r="345" ht="15" customHeight="1">
      <c r="A345" t="inlineStr">
        <is>
          <t>A 1638-2023</t>
        </is>
      </c>
      <c r="B345" s="1" t="n">
        <v>44937</v>
      </c>
      <c r="C345" s="1" t="n">
        <v>46084</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45177-2025</t>
        </is>
      </c>
      <c r="B346" s="1" t="n">
        <v>45919.52444444445</v>
      </c>
      <c r="C346" s="1" t="n">
        <v>46084</v>
      </c>
      <c r="D346" t="inlineStr">
        <is>
          <t>VÄSTMANLANDS LÄN</t>
        </is>
      </c>
      <c r="E346" t="inlineStr">
        <is>
          <t>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29826-2025</t>
        </is>
      </c>
      <c r="B347" s="1" t="n">
        <v>45825.85761574074</v>
      </c>
      <c r="C347" s="1" t="n">
        <v>46084</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27255-2023</t>
        </is>
      </c>
      <c r="B348" s="1" t="n">
        <v>45096</v>
      </c>
      <c r="C348" s="1" t="n">
        <v>46084</v>
      </c>
      <c r="D348" t="inlineStr">
        <is>
          <t>VÄSTMANLANDS LÄN</t>
        </is>
      </c>
      <c r="E348" t="inlineStr">
        <is>
          <t>SALA</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43122-2025</t>
        </is>
      </c>
      <c r="B349" s="1" t="n">
        <v>45909</v>
      </c>
      <c r="C349" s="1" t="n">
        <v>46084</v>
      </c>
      <c r="D349" t="inlineStr">
        <is>
          <t>VÄSTMANLANDS LÄN</t>
        </is>
      </c>
      <c r="E349" t="inlineStr">
        <is>
          <t>SALA</t>
        </is>
      </c>
      <c r="G349" t="n">
        <v>3.2</v>
      </c>
      <c r="H349" t="n">
        <v>0</v>
      </c>
      <c r="I349" t="n">
        <v>0</v>
      </c>
      <c r="J349" t="n">
        <v>0</v>
      </c>
      <c r="K349" t="n">
        <v>0</v>
      </c>
      <c r="L349" t="n">
        <v>0</v>
      </c>
      <c r="M349" t="n">
        <v>0</v>
      </c>
      <c r="N349" t="n">
        <v>0</v>
      </c>
      <c r="O349" t="n">
        <v>0</v>
      </c>
      <c r="P349" t="n">
        <v>0</v>
      </c>
      <c r="Q349" t="n">
        <v>0</v>
      </c>
      <c r="R349" s="2" t="inlineStr"/>
    </row>
    <row r="350" ht="15" customHeight="1">
      <c r="A350" t="inlineStr">
        <is>
          <t>A 7197-2025</t>
        </is>
      </c>
      <c r="B350" s="1" t="n">
        <v>45702</v>
      </c>
      <c r="C350" s="1" t="n">
        <v>46084</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45371-2025</t>
        </is>
      </c>
      <c r="B351" s="1" t="n">
        <v>45922.39001157408</v>
      </c>
      <c r="C351" s="1" t="n">
        <v>46084</v>
      </c>
      <c r="D351" t="inlineStr">
        <is>
          <t>VÄSTMANLANDS LÄN</t>
        </is>
      </c>
      <c r="E351" t="inlineStr">
        <is>
          <t>SALA</t>
        </is>
      </c>
      <c r="G351" t="n">
        <v>2.1</v>
      </c>
      <c r="H351" t="n">
        <v>0</v>
      </c>
      <c r="I351" t="n">
        <v>0</v>
      </c>
      <c r="J351" t="n">
        <v>0</v>
      </c>
      <c r="K351" t="n">
        <v>0</v>
      </c>
      <c r="L351" t="n">
        <v>0</v>
      </c>
      <c r="M351" t="n">
        <v>0</v>
      </c>
      <c r="N351" t="n">
        <v>0</v>
      </c>
      <c r="O351" t="n">
        <v>0</v>
      </c>
      <c r="P351" t="n">
        <v>0</v>
      </c>
      <c r="Q351" t="n">
        <v>0</v>
      </c>
      <c r="R351" s="2" t="inlineStr"/>
    </row>
    <row r="352" ht="15" customHeight="1">
      <c r="A352" t="inlineStr">
        <is>
          <t>A 15972-2024</t>
        </is>
      </c>
      <c r="B352" s="1" t="n">
        <v>45405.56498842593</v>
      </c>
      <c r="C352" s="1" t="n">
        <v>46084</v>
      </c>
      <c r="D352" t="inlineStr">
        <is>
          <t>VÄSTMANLANDS LÄN</t>
        </is>
      </c>
      <c r="E352" t="inlineStr">
        <is>
          <t>SALA</t>
        </is>
      </c>
      <c r="G352" t="n">
        <v>1.8</v>
      </c>
      <c r="H352" t="n">
        <v>0</v>
      </c>
      <c r="I352" t="n">
        <v>0</v>
      </c>
      <c r="J352" t="n">
        <v>0</v>
      </c>
      <c r="K352" t="n">
        <v>0</v>
      </c>
      <c r="L352" t="n">
        <v>0</v>
      </c>
      <c r="M352" t="n">
        <v>0</v>
      </c>
      <c r="N352" t="n">
        <v>0</v>
      </c>
      <c r="O352" t="n">
        <v>0</v>
      </c>
      <c r="P352" t="n">
        <v>0</v>
      </c>
      <c r="Q352" t="n">
        <v>0</v>
      </c>
      <c r="R352" s="2" t="inlineStr"/>
    </row>
    <row r="353" ht="15" customHeight="1">
      <c r="A353" t="inlineStr">
        <is>
          <t>A 31608-2025</t>
        </is>
      </c>
      <c r="B353" s="1" t="n">
        <v>45833</v>
      </c>
      <c r="C353" s="1" t="n">
        <v>46084</v>
      </c>
      <c r="D353" t="inlineStr">
        <is>
          <t>VÄSTMANLANDS LÄN</t>
        </is>
      </c>
      <c r="E353" t="inlineStr">
        <is>
          <t>SALA</t>
        </is>
      </c>
      <c r="G353" t="n">
        <v>6.1</v>
      </c>
      <c r="H353" t="n">
        <v>0</v>
      </c>
      <c r="I353" t="n">
        <v>0</v>
      </c>
      <c r="J353" t="n">
        <v>0</v>
      </c>
      <c r="K353" t="n">
        <v>0</v>
      </c>
      <c r="L353" t="n">
        <v>0</v>
      </c>
      <c r="M353" t="n">
        <v>0</v>
      </c>
      <c r="N353" t="n">
        <v>0</v>
      </c>
      <c r="O353" t="n">
        <v>0</v>
      </c>
      <c r="P353" t="n">
        <v>0</v>
      </c>
      <c r="Q353" t="n">
        <v>0</v>
      </c>
      <c r="R353" s="2" t="inlineStr"/>
    </row>
    <row r="354" ht="15" customHeight="1">
      <c r="A354" t="inlineStr">
        <is>
          <t>A 30866-2025</t>
        </is>
      </c>
      <c r="B354" s="1" t="n">
        <v>45832.3246875</v>
      </c>
      <c r="C354" s="1" t="n">
        <v>46084</v>
      </c>
      <c r="D354" t="inlineStr">
        <is>
          <t>VÄSTMANLANDS LÄN</t>
        </is>
      </c>
      <c r="E354" t="inlineStr">
        <is>
          <t>SALA</t>
        </is>
      </c>
      <c r="G354" t="n">
        <v>14.3</v>
      </c>
      <c r="H354" t="n">
        <v>0</v>
      </c>
      <c r="I354" t="n">
        <v>0</v>
      </c>
      <c r="J354" t="n">
        <v>0</v>
      </c>
      <c r="K354" t="n">
        <v>0</v>
      </c>
      <c r="L354" t="n">
        <v>0</v>
      </c>
      <c r="M354" t="n">
        <v>0</v>
      </c>
      <c r="N354" t="n">
        <v>0</v>
      </c>
      <c r="O354" t="n">
        <v>0</v>
      </c>
      <c r="P354" t="n">
        <v>0</v>
      </c>
      <c r="Q354" t="n">
        <v>0</v>
      </c>
      <c r="R354" s="2" t="inlineStr"/>
    </row>
    <row r="355" ht="15" customHeight="1">
      <c r="A355" t="inlineStr">
        <is>
          <t>A 30874-2025</t>
        </is>
      </c>
      <c r="B355" s="1" t="n">
        <v>45832.34430555555</v>
      </c>
      <c r="C355" s="1" t="n">
        <v>46084</v>
      </c>
      <c r="D355" t="inlineStr">
        <is>
          <t>VÄSTMANLANDS LÄN</t>
        </is>
      </c>
      <c r="E355" t="inlineStr">
        <is>
          <t>SALA</t>
        </is>
      </c>
      <c r="G355" t="n">
        <v>8.4</v>
      </c>
      <c r="H355" t="n">
        <v>0</v>
      </c>
      <c r="I355" t="n">
        <v>0</v>
      </c>
      <c r="J355" t="n">
        <v>0</v>
      </c>
      <c r="K355" t="n">
        <v>0</v>
      </c>
      <c r="L355" t="n">
        <v>0</v>
      </c>
      <c r="M355" t="n">
        <v>0</v>
      </c>
      <c r="N355" t="n">
        <v>0</v>
      </c>
      <c r="O355" t="n">
        <v>0</v>
      </c>
      <c r="P355" t="n">
        <v>0</v>
      </c>
      <c r="Q355" t="n">
        <v>0</v>
      </c>
      <c r="R355" s="2" t="inlineStr"/>
    </row>
    <row r="356" ht="15" customHeight="1">
      <c r="A356" t="inlineStr">
        <is>
          <t>A 31573-2025</t>
        </is>
      </c>
      <c r="B356" s="1" t="n">
        <v>45833</v>
      </c>
      <c r="C356" s="1" t="n">
        <v>46084</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31288-2025</t>
        </is>
      </c>
      <c r="B357" s="1" t="n">
        <v>45833</v>
      </c>
      <c r="C357" s="1" t="n">
        <v>46084</v>
      </c>
      <c r="D357" t="inlineStr">
        <is>
          <t>VÄSTMANLANDS LÄN</t>
        </is>
      </c>
      <c r="E357" t="inlineStr">
        <is>
          <t>SALA</t>
        </is>
      </c>
      <c r="G357" t="n">
        <v>3.1</v>
      </c>
      <c r="H357" t="n">
        <v>0</v>
      </c>
      <c r="I357" t="n">
        <v>0</v>
      </c>
      <c r="J357" t="n">
        <v>0</v>
      </c>
      <c r="K357" t="n">
        <v>0</v>
      </c>
      <c r="L357" t="n">
        <v>0</v>
      </c>
      <c r="M357" t="n">
        <v>0</v>
      </c>
      <c r="N357" t="n">
        <v>0</v>
      </c>
      <c r="O357" t="n">
        <v>0</v>
      </c>
      <c r="P357" t="n">
        <v>0</v>
      </c>
      <c r="Q357" t="n">
        <v>0</v>
      </c>
      <c r="R357" s="2" t="inlineStr"/>
    </row>
    <row r="358" ht="15" customHeight="1">
      <c r="A358" t="inlineStr">
        <is>
          <t>A 45914-2025</t>
        </is>
      </c>
      <c r="B358" s="1" t="n">
        <v>45923.82582175926</v>
      </c>
      <c r="C358" s="1" t="n">
        <v>46084</v>
      </c>
      <c r="D358" t="inlineStr">
        <is>
          <t>VÄSTMANLANDS LÄN</t>
        </is>
      </c>
      <c r="E358" t="inlineStr">
        <is>
          <t>SALA</t>
        </is>
      </c>
      <c r="F358" t="inlineStr">
        <is>
          <t>Kommuner</t>
        </is>
      </c>
      <c r="G358" t="n">
        <v>18.2</v>
      </c>
      <c r="H358" t="n">
        <v>0</v>
      </c>
      <c r="I358" t="n">
        <v>0</v>
      </c>
      <c r="J358" t="n">
        <v>0</v>
      </c>
      <c r="K358" t="n">
        <v>0</v>
      </c>
      <c r="L358" t="n">
        <v>0</v>
      </c>
      <c r="M358" t="n">
        <v>0</v>
      </c>
      <c r="N358" t="n">
        <v>0</v>
      </c>
      <c r="O358" t="n">
        <v>0</v>
      </c>
      <c r="P358" t="n">
        <v>0</v>
      </c>
      <c r="Q358" t="n">
        <v>0</v>
      </c>
      <c r="R358" s="2" t="inlineStr"/>
    </row>
    <row r="359" ht="15" customHeight="1">
      <c r="A359" t="inlineStr">
        <is>
          <t>A 31554-2025</t>
        </is>
      </c>
      <c r="B359" s="1" t="n">
        <v>45833</v>
      </c>
      <c r="C359" s="1" t="n">
        <v>46084</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30899-2025</t>
        </is>
      </c>
      <c r="B360" s="1" t="n">
        <v>45832.35767361111</v>
      </c>
      <c r="C360" s="1" t="n">
        <v>46084</v>
      </c>
      <c r="D360" t="inlineStr">
        <is>
          <t>VÄSTMANLANDS LÄN</t>
        </is>
      </c>
      <c r="E360" t="inlineStr">
        <is>
          <t>SALA</t>
        </is>
      </c>
      <c r="G360" t="n">
        <v>3.1</v>
      </c>
      <c r="H360" t="n">
        <v>0</v>
      </c>
      <c r="I360" t="n">
        <v>0</v>
      </c>
      <c r="J360" t="n">
        <v>0</v>
      </c>
      <c r="K360" t="n">
        <v>0</v>
      </c>
      <c r="L360" t="n">
        <v>0</v>
      </c>
      <c r="M360" t="n">
        <v>0</v>
      </c>
      <c r="N360" t="n">
        <v>0</v>
      </c>
      <c r="O360" t="n">
        <v>0</v>
      </c>
      <c r="P360" t="n">
        <v>0</v>
      </c>
      <c r="Q360" t="n">
        <v>0</v>
      </c>
      <c r="R360" s="2" t="inlineStr"/>
    </row>
    <row r="361" ht="15" customHeight="1">
      <c r="A361" t="inlineStr">
        <is>
          <t>A 13752-2025</t>
        </is>
      </c>
      <c r="B361" s="1" t="n">
        <v>45737.41416666667</v>
      </c>
      <c r="C361" s="1" t="n">
        <v>46084</v>
      </c>
      <c r="D361" t="inlineStr">
        <is>
          <t>VÄSTMANLANDS LÄN</t>
        </is>
      </c>
      <c r="E361" t="inlineStr">
        <is>
          <t>SALA</t>
        </is>
      </c>
      <c r="G361" t="n">
        <v>0.4</v>
      </c>
      <c r="H361" t="n">
        <v>0</v>
      </c>
      <c r="I361" t="n">
        <v>0</v>
      </c>
      <c r="J361" t="n">
        <v>0</v>
      </c>
      <c r="K361" t="n">
        <v>0</v>
      </c>
      <c r="L361" t="n">
        <v>0</v>
      </c>
      <c r="M361" t="n">
        <v>0</v>
      </c>
      <c r="N361" t="n">
        <v>0</v>
      </c>
      <c r="O361" t="n">
        <v>0</v>
      </c>
      <c r="P361" t="n">
        <v>0</v>
      </c>
      <c r="Q361" t="n">
        <v>0</v>
      </c>
      <c r="R361" s="2" t="inlineStr"/>
    </row>
    <row r="362" ht="15" customHeight="1">
      <c r="A362" t="inlineStr">
        <is>
          <t>A 31065-2025</t>
        </is>
      </c>
      <c r="B362" s="1" t="n">
        <v>45832.57571759259</v>
      </c>
      <c r="C362" s="1" t="n">
        <v>46084</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2927-2024</t>
        </is>
      </c>
      <c r="B363" s="1" t="n">
        <v>45315.58989583333</v>
      </c>
      <c r="C363" s="1" t="n">
        <v>46084</v>
      </c>
      <c r="D363" t="inlineStr">
        <is>
          <t>VÄSTMANLANDS LÄN</t>
        </is>
      </c>
      <c r="E363" t="inlineStr">
        <is>
          <t>SALA</t>
        </is>
      </c>
      <c r="G363" t="n">
        <v>2.5</v>
      </c>
      <c r="H363" t="n">
        <v>0</v>
      </c>
      <c r="I363" t="n">
        <v>0</v>
      </c>
      <c r="J363" t="n">
        <v>0</v>
      </c>
      <c r="K363" t="n">
        <v>0</v>
      </c>
      <c r="L363" t="n">
        <v>0</v>
      </c>
      <c r="M363" t="n">
        <v>0</v>
      </c>
      <c r="N363" t="n">
        <v>0</v>
      </c>
      <c r="O363" t="n">
        <v>0</v>
      </c>
      <c r="P363" t="n">
        <v>0</v>
      </c>
      <c r="Q363" t="n">
        <v>0</v>
      </c>
      <c r="R363" s="2" t="inlineStr"/>
    </row>
    <row r="364" ht="15" customHeight="1">
      <c r="A364" t="inlineStr">
        <is>
          <t>A 45909-2025</t>
        </is>
      </c>
      <c r="B364" s="1" t="n">
        <v>45923.75078703704</v>
      </c>
      <c r="C364" s="1" t="n">
        <v>46084</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26854-2024</t>
        </is>
      </c>
      <c r="B365" s="1" t="n">
        <v>45470</v>
      </c>
      <c r="C365" s="1" t="n">
        <v>46084</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37958-2024</t>
        </is>
      </c>
      <c r="B366" s="1" t="n">
        <v>45544</v>
      </c>
      <c r="C366" s="1" t="n">
        <v>46084</v>
      </c>
      <c r="D366" t="inlineStr">
        <is>
          <t>VÄSTMANLANDS LÄN</t>
        </is>
      </c>
      <c r="E366" t="inlineStr">
        <is>
          <t>SALA</t>
        </is>
      </c>
      <c r="G366" t="n">
        <v>5.6</v>
      </c>
      <c r="H366" t="n">
        <v>0</v>
      </c>
      <c r="I366" t="n">
        <v>0</v>
      </c>
      <c r="J366" t="n">
        <v>0</v>
      </c>
      <c r="K366" t="n">
        <v>0</v>
      </c>
      <c r="L366" t="n">
        <v>0</v>
      </c>
      <c r="M366" t="n">
        <v>0</v>
      </c>
      <c r="N366" t="n">
        <v>0</v>
      </c>
      <c r="O366" t="n">
        <v>0</v>
      </c>
      <c r="P366" t="n">
        <v>0</v>
      </c>
      <c r="Q366" t="n">
        <v>0</v>
      </c>
      <c r="R366" s="2" t="inlineStr"/>
    </row>
    <row r="367" ht="15" customHeight="1">
      <c r="A367" t="inlineStr">
        <is>
          <t>A 31296-2025</t>
        </is>
      </c>
      <c r="B367" s="1" t="n">
        <v>45833.36765046296</v>
      </c>
      <c r="C367" s="1" t="n">
        <v>46084</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31748-2025</t>
        </is>
      </c>
      <c r="B368" s="1" t="n">
        <v>45834</v>
      </c>
      <c r="C368" s="1" t="n">
        <v>46084</v>
      </c>
      <c r="D368" t="inlineStr">
        <is>
          <t>VÄSTMANLANDS LÄN</t>
        </is>
      </c>
      <c r="E368" t="inlineStr">
        <is>
          <t>SALA</t>
        </is>
      </c>
      <c r="G368" t="n">
        <v>2</v>
      </c>
      <c r="H368" t="n">
        <v>0</v>
      </c>
      <c r="I368" t="n">
        <v>0</v>
      </c>
      <c r="J368" t="n">
        <v>0</v>
      </c>
      <c r="K368" t="n">
        <v>0</v>
      </c>
      <c r="L368" t="n">
        <v>0</v>
      </c>
      <c r="M368" t="n">
        <v>0</v>
      </c>
      <c r="N368" t="n">
        <v>0</v>
      </c>
      <c r="O368" t="n">
        <v>0</v>
      </c>
      <c r="P368" t="n">
        <v>0</v>
      </c>
      <c r="Q368" t="n">
        <v>0</v>
      </c>
      <c r="R368" s="2" t="inlineStr"/>
    </row>
    <row r="369" ht="15" customHeight="1">
      <c r="A369" t="inlineStr">
        <is>
          <t>A 32210-2025</t>
        </is>
      </c>
      <c r="B369" s="1" t="n">
        <v>45835</v>
      </c>
      <c r="C369" s="1" t="n">
        <v>46084</v>
      </c>
      <c r="D369" t="inlineStr">
        <is>
          <t>VÄSTMANLANDS LÄN</t>
        </is>
      </c>
      <c r="E369" t="inlineStr">
        <is>
          <t>SALA</t>
        </is>
      </c>
      <c r="F369" t="inlineStr">
        <is>
          <t>Bergvik skog öst AB</t>
        </is>
      </c>
      <c r="G369" t="n">
        <v>1.5</v>
      </c>
      <c r="H369" t="n">
        <v>0</v>
      </c>
      <c r="I369" t="n">
        <v>0</v>
      </c>
      <c r="J369" t="n">
        <v>0</v>
      </c>
      <c r="K369" t="n">
        <v>0</v>
      </c>
      <c r="L369" t="n">
        <v>0</v>
      </c>
      <c r="M369" t="n">
        <v>0</v>
      </c>
      <c r="N369" t="n">
        <v>0</v>
      </c>
      <c r="O369" t="n">
        <v>0</v>
      </c>
      <c r="P369" t="n">
        <v>0</v>
      </c>
      <c r="Q369" t="n">
        <v>0</v>
      </c>
      <c r="R369" s="2" t="inlineStr"/>
    </row>
    <row r="370" ht="15" customHeight="1">
      <c r="A370" t="inlineStr">
        <is>
          <t>A 46915-2025</t>
        </is>
      </c>
      <c r="B370" s="1" t="n">
        <v>45929.42114583333</v>
      </c>
      <c r="C370" s="1" t="n">
        <v>46084</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31610-2025</t>
        </is>
      </c>
      <c r="B371" s="1" t="n">
        <v>45833.78650462963</v>
      </c>
      <c r="C371" s="1" t="n">
        <v>46084</v>
      </c>
      <c r="D371" t="inlineStr">
        <is>
          <t>VÄSTMANLANDS LÄN</t>
        </is>
      </c>
      <c r="E371" t="inlineStr">
        <is>
          <t>SALA</t>
        </is>
      </c>
      <c r="G371" t="n">
        <v>8</v>
      </c>
      <c r="H371" t="n">
        <v>0</v>
      </c>
      <c r="I371" t="n">
        <v>0</v>
      </c>
      <c r="J371" t="n">
        <v>0</v>
      </c>
      <c r="K371" t="n">
        <v>0</v>
      </c>
      <c r="L371" t="n">
        <v>0</v>
      </c>
      <c r="M371" t="n">
        <v>0</v>
      </c>
      <c r="N371" t="n">
        <v>0</v>
      </c>
      <c r="O371" t="n">
        <v>0</v>
      </c>
      <c r="P371" t="n">
        <v>0</v>
      </c>
      <c r="Q371" t="n">
        <v>0</v>
      </c>
      <c r="R371" s="2" t="inlineStr"/>
    </row>
    <row r="372" ht="15" customHeight="1">
      <c r="A372" t="inlineStr">
        <is>
          <t>A 32201-2025</t>
        </is>
      </c>
      <c r="B372" s="1" t="n">
        <v>45835</v>
      </c>
      <c r="C372" s="1" t="n">
        <v>46084</v>
      </c>
      <c r="D372" t="inlineStr">
        <is>
          <t>VÄSTMANLANDS LÄN</t>
        </is>
      </c>
      <c r="E372" t="inlineStr">
        <is>
          <t>SALA</t>
        </is>
      </c>
      <c r="F372" t="inlineStr">
        <is>
          <t>Bergvik skog öst AB</t>
        </is>
      </c>
      <c r="G372" t="n">
        <v>1.8</v>
      </c>
      <c r="H372" t="n">
        <v>0</v>
      </c>
      <c r="I372" t="n">
        <v>0</v>
      </c>
      <c r="J372" t="n">
        <v>0</v>
      </c>
      <c r="K372" t="n">
        <v>0</v>
      </c>
      <c r="L372" t="n">
        <v>0</v>
      </c>
      <c r="M372" t="n">
        <v>0</v>
      </c>
      <c r="N372" t="n">
        <v>0</v>
      </c>
      <c r="O372" t="n">
        <v>0</v>
      </c>
      <c r="P372" t="n">
        <v>0</v>
      </c>
      <c r="Q372" t="n">
        <v>0</v>
      </c>
      <c r="R372" s="2" t="inlineStr"/>
    </row>
    <row r="373" ht="15" customHeight="1">
      <c r="A373" t="inlineStr">
        <is>
          <t>A 31612-2025</t>
        </is>
      </c>
      <c r="B373" s="1" t="n">
        <v>45833.80056712963</v>
      </c>
      <c r="C373" s="1" t="n">
        <v>46084</v>
      </c>
      <c r="D373" t="inlineStr">
        <is>
          <t>VÄSTMANLANDS LÄN</t>
        </is>
      </c>
      <c r="E373" t="inlineStr">
        <is>
          <t>SALA</t>
        </is>
      </c>
      <c r="G373" t="n">
        <v>6.3</v>
      </c>
      <c r="H373" t="n">
        <v>0</v>
      </c>
      <c r="I373" t="n">
        <v>0</v>
      </c>
      <c r="J373" t="n">
        <v>0</v>
      </c>
      <c r="K373" t="n">
        <v>0</v>
      </c>
      <c r="L373" t="n">
        <v>0</v>
      </c>
      <c r="M373" t="n">
        <v>0</v>
      </c>
      <c r="N373" t="n">
        <v>0</v>
      </c>
      <c r="O373" t="n">
        <v>0</v>
      </c>
      <c r="P373" t="n">
        <v>0</v>
      </c>
      <c r="Q373" t="n">
        <v>0</v>
      </c>
      <c r="R373" s="2" t="inlineStr"/>
    </row>
    <row r="374" ht="15" customHeight="1">
      <c r="A374" t="inlineStr">
        <is>
          <t>A 32207-2025</t>
        </is>
      </c>
      <c r="B374" s="1" t="n">
        <v>45835</v>
      </c>
      <c r="C374" s="1" t="n">
        <v>46084</v>
      </c>
      <c r="D374" t="inlineStr">
        <is>
          <t>VÄSTMANLANDS LÄN</t>
        </is>
      </c>
      <c r="E374" t="inlineStr">
        <is>
          <t>SALA</t>
        </is>
      </c>
      <c r="F374" t="inlineStr">
        <is>
          <t>Bergvik skog öst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46597-2025</t>
        </is>
      </c>
      <c r="B375" s="1" t="n">
        <v>45926.40113425926</v>
      </c>
      <c r="C375" s="1" t="n">
        <v>46084</v>
      </c>
      <c r="D375" t="inlineStr">
        <is>
          <t>VÄSTMANLANDS LÄN</t>
        </is>
      </c>
      <c r="E375" t="inlineStr">
        <is>
          <t>SALA</t>
        </is>
      </c>
      <c r="G375" t="n">
        <v>3.4</v>
      </c>
      <c r="H375" t="n">
        <v>0</v>
      </c>
      <c r="I375" t="n">
        <v>0</v>
      </c>
      <c r="J375" t="n">
        <v>0</v>
      </c>
      <c r="K375" t="n">
        <v>0</v>
      </c>
      <c r="L375" t="n">
        <v>0</v>
      </c>
      <c r="M375" t="n">
        <v>0</v>
      </c>
      <c r="N375" t="n">
        <v>0</v>
      </c>
      <c r="O375" t="n">
        <v>0</v>
      </c>
      <c r="P375" t="n">
        <v>0</v>
      </c>
      <c r="Q375" t="n">
        <v>0</v>
      </c>
      <c r="R375" s="2" t="inlineStr"/>
    </row>
    <row r="376" ht="15" customHeight="1">
      <c r="A376" t="inlineStr">
        <is>
          <t>A 31762-2025</t>
        </is>
      </c>
      <c r="B376" s="1" t="n">
        <v>45834.49288194445</v>
      </c>
      <c r="C376" s="1" t="n">
        <v>46084</v>
      </c>
      <c r="D376" t="inlineStr">
        <is>
          <t>VÄSTMANLANDS LÄN</t>
        </is>
      </c>
      <c r="E376" t="inlineStr">
        <is>
          <t>SALA</t>
        </is>
      </c>
      <c r="G376" t="n">
        <v>5.9</v>
      </c>
      <c r="H376" t="n">
        <v>0</v>
      </c>
      <c r="I376" t="n">
        <v>0</v>
      </c>
      <c r="J376" t="n">
        <v>0</v>
      </c>
      <c r="K376" t="n">
        <v>0</v>
      </c>
      <c r="L376" t="n">
        <v>0</v>
      </c>
      <c r="M376" t="n">
        <v>0</v>
      </c>
      <c r="N376" t="n">
        <v>0</v>
      </c>
      <c r="O376" t="n">
        <v>0</v>
      </c>
      <c r="P376" t="n">
        <v>0</v>
      </c>
      <c r="Q376" t="n">
        <v>0</v>
      </c>
      <c r="R376" s="2" t="inlineStr"/>
    </row>
    <row r="377" ht="15" customHeight="1">
      <c r="A377" t="inlineStr">
        <is>
          <t>A 31771-2025</t>
        </is>
      </c>
      <c r="B377" s="1" t="n">
        <v>45834.50910879629</v>
      </c>
      <c r="C377" s="1" t="n">
        <v>46084</v>
      </c>
      <c r="D377" t="inlineStr">
        <is>
          <t>VÄSTMANLANDS LÄN</t>
        </is>
      </c>
      <c r="E377" t="inlineStr">
        <is>
          <t>SALA</t>
        </is>
      </c>
      <c r="G377" t="n">
        <v>5.1</v>
      </c>
      <c r="H377" t="n">
        <v>0</v>
      </c>
      <c r="I377" t="n">
        <v>0</v>
      </c>
      <c r="J377" t="n">
        <v>0</v>
      </c>
      <c r="K377" t="n">
        <v>0</v>
      </c>
      <c r="L377" t="n">
        <v>0</v>
      </c>
      <c r="M377" t="n">
        <v>0</v>
      </c>
      <c r="N377" t="n">
        <v>0</v>
      </c>
      <c r="O377" t="n">
        <v>0</v>
      </c>
      <c r="P377" t="n">
        <v>0</v>
      </c>
      <c r="Q377" t="n">
        <v>0</v>
      </c>
      <c r="R377" s="2" t="inlineStr"/>
    </row>
    <row r="378" ht="15" customHeight="1">
      <c r="A378" t="inlineStr">
        <is>
          <t>A 48570-2024</t>
        </is>
      </c>
      <c r="B378" s="1" t="n">
        <v>45591</v>
      </c>
      <c r="C378" s="1" t="n">
        <v>46084</v>
      </c>
      <c r="D378" t="inlineStr">
        <is>
          <t>VÄSTMANLANDS LÄN</t>
        </is>
      </c>
      <c r="E378" t="inlineStr">
        <is>
          <t>SALA</t>
        </is>
      </c>
      <c r="G378" t="n">
        <v>3</v>
      </c>
      <c r="H378" t="n">
        <v>0</v>
      </c>
      <c r="I378" t="n">
        <v>0</v>
      </c>
      <c r="J378" t="n">
        <v>0</v>
      </c>
      <c r="K378" t="n">
        <v>0</v>
      </c>
      <c r="L378" t="n">
        <v>0</v>
      </c>
      <c r="M378" t="n">
        <v>0</v>
      </c>
      <c r="N378" t="n">
        <v>0</v>
      </c>
      <c r="O378" t="n">
        <v>0</v>
      </c>
      <c r="P378" t="n">
        <v>0</v>
      </c>
      <c r="Q378" t="n">
        <v>0</v>
      </c>
      <c r="R378" s="2" t="inlineStr"/>
    </row>
    <row r="379" ht="15" customHeight="1">
      <c r="A379" t="inlineStr">
        <is>
          <t>A 32205-2025</t>
        </is>
      </c>
      <c r="B379" s="1" t="n">
        <v>45835</v>
      </c>
      <c r="C379" s="1" t="n">
        <v>46084</v>
      </c>
      <c r="D379" t="inlineStr">
        <is>
          <t>VÄSTMANLANDS LÄN</t>
        </is>
      </c>
      <c r="E379" t="inlineStr">
        <is>
          <t>SALA</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10812-2021</t>
        </is>
      </c>
      <c r="B380" s="1" t="n">
        <v>44259</v>
      </c>
      <c r="C380" s="1" t="n">
        <v>46084</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32286-2025</t>
        </is>
      </c>
      <c r="B381" s="1" t="n">
        <v>45835</v>
      </c>
      <c r="C381" s="1" t="n">
        <v>46084</v>
      </c>
      <c r="D381" t="inlineStr">
        <is>
          <t>VÄSTMANLANDS LÄN</t>
        </is>
      </c>
      <c r="E381" t="inlineStr">
        <is>
          <t>SALA</t>
        </is>
      </c>
      <c r="G381" t="n">
        <v>6.4</v>
      </c>
      <c r="H381" t="n">
        <v>0</v>
      </c>
      <c r="I381" t="n">
        <v>0</v>
      </c>
      <c r="J381" t="n">
        <v>0</v>
      </c>
      <c r="K381" t="n">
        <v>0</v>
      </c>
      <c r="L381" t="n">
        <v>0</v>
      </c>
      <c r="M381" t="n">
        <v>0</v>
      </c>
      <c r="N381" t="n">
        <v>0</v>
      </c>
      <c r="O381" t="n">
        <v>0</v>
      </c>
      <c r="P381" t="n">
        <v>0</v>
      </c>
      <c r="Q381" t="n">
        <v>0</v>
      </c>
      <c r="R381" s="2" t="inlineStr"/>
    </row>
    <row r="382" ht="15" customHeight="1">
      <c r="A382" t="inlineStr">
        <is>
          <t>A 57883-2024</t>
        </is>
      </c>
      <c r="B382" s="1" t="n">
        <v>45630</v>
      </c>
      <c r="C382" s="1" t="n">
        <v>46084</v>
      </c>
      <c r="D382" t="inlineStr">
        <is>
          <t>VÄSTMANLANDS LÄN</t>
        </is>
      </c>
      <c r="E382" t="inlineStr">
        <is>
          <t>SALA</t>
        </is>
      </c>
      <c r="G382" t="n">
        <v>5.4</v>
      </c>
      <c r="H382" t="n">
        <v>0</v>
      </c>
      <c r="I382" t="n">
        <v>0</v>
      </c>
      <c r="J382" t="n">
        <v>0</v>
      </c>
      <c r="K382" t="n">
        <v>0</v>
      </c>
      <c r="L382" t="n">
        <v>0</v>
      </c>
      <c r="M382" t="n">
        <v>0</v>
      </c>
      <c r="N382" t="n">
        <v>0</v>
      </c>
      <c r="O382" t="n">
        <v>0</v>
      </c>
      <c r="P382" t="n">
        <v>0</v>
      </c>
      <c r="Q382" t="n">
        <v>0</v>
      </c>
      <c r="R382" s="2" t="inlineStr"/>
    </row>
    <row r="383" ht="15" customHeight="1">
      <c r="A383" t="inlineStr">
        <is>
          <t>A 16769-2024</t>
        </is>
      </c>
      <c r="B383" s="1" t="n">
        <v>45411.38738425926</v>
      </c>
      <c r="C383" s="1" t="n">
        <v>46084</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18877-2023</t>
        </is>
      </c>
      <c r="B384" s="1" t="n">
        <v>45044</v>
      </c>
      <c r="C384" s="1" t="n">
        <v>46084</v>
      </c>
      <c r="D384" t="inlineStr">
        <is>
          <t>VÄSTMANLANDS LÄN</t>
        </is>
      </c>
      <c r="E384" t="inlineStr">
        <is>
          <t>SALA</t>
        </is>
      </c>
      <c r="F384" t="inlineStr">
        <is>
          <t>Kommuner</t>
        </is>
      </c>
      <c r="G384" t="n">
        <v>4.4</v>
      </c>
      <c r="H384" t="n">
        <v>0</v>
      </c>
      <c r="I384" t="n">
        <v>0</v>
      </c>
      <c r="J384" t="n">
        <v>0</v>
      </c>
      <c r="K384" t="n">
        <v>0</v>
      </c>
      <c r="L384" t="n">
        <v>0</v>
      </c>
      <c r="M384" t="n">
        <v>0</v>
      </c>
      <c r="N384" t="n">
        <v>0</v>
      </c>
      <c r="O384" t="n">
        <v>0</v>
      </c>
      <c r="P384" t="n">
        <v>0</v>
      </c>
      <c r="Q384" t="n">
        <v>0</v>
      </c>
      <c r="R384" s="2" t="inlineStr"/>
    </row>
    <row r="385" ht="15" customHeight="1">
      <c r="A385" t="inlineStr">
        <is>
          <t>A 47577-2025</t>
        </is>
      </c>
      <c r="B385" s="1" t="n">
        <v>45931.4047337963</v>
      </c>
      <c r="C385" s="1" t="n">
        <v>46084</v>
      </c>
      <c r="D385" t="inlineStr">
        <is>
          <t>VÄSTMANLANDS LÄN</t>
        </is>
      </c>
      <c r="E385" t="inlineStr">
        <is>
          <t>SALA</t>
        </is>
      </c>
      <c r="G385" t="n">
        <v>3.7</v>
      </c>
      <c r="H385" t="n">
        <v>0</v>
      </c>
      <c r="I385" t="n">
        <v>0</v>
      </c>
      <c r="J385" t="n">
        <v>0</v>
      </c>
      <c r="K385" t="n">
        <v>0</v>
      </c>
      <c r="L385" t="n">
        <v>0</v>
      </c>
      <c r="M385" t="n">
        <v>0</v>
      </c>
      <c r="N385" t="n">
        <v>0</v>
      </c>
      <c r="O385" t="n">
        <v>0</v>
      </c>
      <c r="P385" t="n">
        <v>0</v>
      </c>
      <c r="Q385" t="n">
        <v>0</v>
      </c>
      <c r="R385" s="2" t="inlineStr"/>
    </row>
    <row r="386" ht="15" customHeight="1">
      <c r="A386" t="inlineStr">
        <is>
          <t>A 32902-2025</t>
        </is>
      </c>
      <c r="B386" s="1" t="n">
        <v>45839</v>
      </c>
      <c r="C386" s="1" t="n">
        <v>46084</v>
      </c>
      <c r="D386" t="inlineStr">
        <is>
          <t>VÄSTMANLANDS LÄN</t>
        </is>
      </c>
      <c r="E386" t="inlineStr">
        <is>
          <t>SALA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44544-2024</t>
        </is>
      </c>
      <c r="B387" s="1" t="n">
        <v>45574.46119212963</v>
      </c>
      <c r="C387" s="1" t="n">
        <v>46084</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60379-2022</t>
        </is>
      </c>
      <c r="B388" s="1" t="n">
        <v>44910</v>
      </c>
      <c r="C388" s="1" t="n">
        <v>46084</v>
      </c>
      <c r="D388" t="inlineStr">
        <is>
          <t>VÄSTMANLANDS LÄN</t>
        </is>
      </c>
      <c r="E388" t="inlineStr">
        <is>
          <t>SALA</t>
        </is>
      </c>
      <c r="F388" t="inlineStr">
        <is>
          <t>Kyrkan</t>
        </is>
      </c>
      <c r="G388" t="n">
        <v>2.5</v>
      </c>
      <c r="H388" t="n">
        <v>0</v>
      </c>
      <c r="I388" t="n">
        <v>0</v>
      </c>
      <c r="J388" t="n">
        <v>0</v>
      </c>
      <c r="K388" t="n">
        <v>0</v>
      </c>
      <c r="L388" t="n">
        <v>0</v>
      </c>
      <c r="M388" t="n">
        <v>0</v>
      </c>
      <c r="N388" t="n">
        <v>0</v>
      </c>
      <c r="O388" t="n">
        <v>0</v>
      </c>
      <c r="P388" t="n">
        <v>0</v>
      </c>
      <c r="Q388" t="n">
        <v>0</v>
      </c>
      <c r="R388" s="2" t="inlineStr"/>
    </row>
    <row r="389" ht="15" customHeight="1">
      <c r="A389" t="inlineStr">
        <is>
          <t>A 46661-2025</t>
        </is>
      </c>
      <c r="B389" s="1" t="n">
        <v>45926</v>
      </c>
      <c r="C389" s="1" t="n">
        <v>46084</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56547-2022</t>
        </is>
      </c>
      <c r="B390" s="1" t="n">
        <v>44893.48284722222</v>
      </c>
      <c r="C390" s="1" t="n">
        <v>46084</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29542-2023</t>
        </is>
      </c>
      <c r="B391" s="1" t="n">
        <v>45098</v>
      </c>
      <c r="C391" s="1" t="n">
        <v>46084</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1555-2024</t>
        </is>
      </c>
      <c r="B392" s="1" t="n">
        <v>45306</v>
      </c>
      <c r="C392" s="1" t="n">
        <v>46084</v>
      </c>
      <c r="D392" t="inlineStr">
        <is>
          <t>VÄSTMANLANDS LÄN</t>
        </is>
      </c>
      <c r="E392" t="inlineStr">
        <is>
          <t>SALA</t>
        </is>
      </c>
      <c r="G392" t="n">
        <v>1.3</v>
      </c>
      <c r="H392" t="n">
        <v>0</v>
      </c>
      <c r="I392" t="n">
        <v>0</v>
      </c>
      <c r="J392" t="n">
        <v>0</v>
      </c>
      <c r="K392" t="n">
        <v>0</v>
      </c>
      <c r="L392" t="n">
        <v>0</v>
      </c>
      <c r="M392" t="n">
        <v>0</v>
      </c>
      <c r="N392" t="n">
        <v>0</v>
      </c>
      <c r="O392" t="n">
        <v>0</v>
      </c>
      <c r="P392" t="n">
        <v>0</v>
      </c>
      <c r="Q392" t="n">
        <v>0</v>
      </c>
      <c r="R392" s="2" t="inlineStr"/>
    </row>
    <row r="393" ht="15" customHeight="1">
      <c r="A393" t="inlineStr">
        <is>
          <t>A 16638-2023</t>
        </is>
      </c>
      <c r="B393" s="1" t="n">
        <v>45027</v>
      </c>
      <c r="C393" s="1" t="n">
        <v>46084</v>
      </c>
      <c r="D393" t="inlineStr">
        <is>
          <t>VÄSTMANLANDS LÄN</t>
        </is>
      </c>
      <c r="E393" t="inlineStr">
        <is>
          <t>SALA</t>
        </is>
      </c>
      <c r="G393" t="n">
        <v>14.8</v>
      </c>
      <c r="H393" t="n">
        <v>0</v>
      </c>
      <c r="I393" t="n">
        <v>0</v>
      </c>
      <c r="J393" t="n">
        <v>0</v>
      </c>
      <c r="K393" t="n">
        <v>0</v>
      </c>
      <c r="L393" t="n">
        <v>0</v>
      </c>
      <c r="M393" t="n">
        <v>0</v>
      </c>
      <c r="N393" t="n">
        <v>0</v>
      </c>
      <c r="O393" t="n">
        <v>0</v>
      </c>
      <c r="P393" t="n">
        <v>0</v>
      </c>
      <c r="Q393" t="n">
        <v>0</v>
      </c>
      <c r="R393" s="2" t="inlineStr"/>
    </row>
    <row r="394" ht="15" customHeight="1">
      <c r="A394" t="inlineStr">
        <is>
          <t>A 37190-2024</t>
        </is>
      </c>
      <c r="B394" s="1" t="n">
        <v>45539</v>
      </c>
      <c r="C394" s="1" t="n">
        <v>46084</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48057-2025</t>
        </is>
      </c>
      <c r="B395" s="1" t="n">
        <v>45932.67947916667</v>
      </c>
      <c r="C395" s="1" t="n">
        <v>46084</v>
      </c>
      <c r="D395" t="inlineStr">
        <is>
          <t>VÄSTMANLANDS LÄN</t>
        </is>
      </c>
      <c r="E395" t="inlineStr">
        <is>
          <t>SALA</t>
        </is>
      </c>
      <c r="G395" t="n">
        <v>4.3</v>
      </c>
      <c r="H395" t="n">
        <v>0</v>
      </c>
      <c r="I395" t="n">
        <v>0</v>
      </c>
      <c r="J395" t="n">
        <v>0</v>
      </c>
      <c r="K395" t="n">
        <v>0</v>
      </c>
      <c r="L395" t="n">
        <v>0</v>
      </c>
      <c r="M395" t="n">
        <v>0</v>
      </c>
      <c r="N395" t="n">
        <v>0</v>
      </c>
      <c r="O395" t="n">
        <v>0</v>
      </c>
      <c r="P395" t="n">
        <v>0</v>
      </c>
      <c r="Q395" t="n">
        <v>0</v>
      </c>
      <c r="R395" s="2" t="inlineStr"/>
    </row>
    <row r="396" ht="15" customHeight="1">
      <c r="A396" t="inlineStr">
        <is>
          <t>A 23222-2023</t>
        </is>
      </c>
      <c r="B396" s="1" t="n">
        <v>45075</v>
      </c>
      <c r="C396" s="1" t="n">
        <v>46084</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23224-2023</t>
        </is>
      </c>
      <c r="B397" s="1" t="n">
        <v>45075.65040509259</v>
      </c>
      <c r="C397" s="1" t="n">
        <v>46084</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48710-2025</t>
        </is>
      </c>
      <c r="B398" s="1" t="n">
        <v>45936.63184027778</v>
      </c>
      <c r="C398" s="1" t="n">
        <v>46084</v>
      </c>
      <c r="D398" t="inlineStr">
        <is>
          <t>VÄSTMANLANDS LÄN</t>
        </is>
      </c>
      <c r="E398" t="inlineStr">
        <is>
          <t>SALA</t>
        </is>
      </c>
      <c r="G398" t="n">
        <v>2.7</v>
      </c>
      <c r="H398" t="n">
        <v>0</v>
      </c>
      <c r="I398" t="n">
        <v>0</v>
      </c>
      <c r="J398" t="n">
        <v>0</v>
      </c>
      <c r="K398" t="n">
        <v>0</v>
      </c>
      <c r="L398" t="n">
        <v>0</v>
      </c>
      <c r="M398" t="n">
        <v>0</v>
      </c>
      <c r="N398" t="n">
        <v>0</v>
      </c>
      <c r="O398" t="n">
        <v>0</v>
      </c>
      <c r="P398" t="n">
        <v>0</v>
      </c>
      <c r="Q398" t="n">
        <v>0</v>
      </c>
      <c r="R398" s="2" t="inlineStr"/>
    </row>
    <row r="399" ht="15" customHeight="1">
      <c r="A399" t="inlineStr">
        <is>
          <t>A 22026-2021</t>
        </is>
      </c>
      <c r="B399" s="1" t="n">
        <v>44323</v>
      </c>
      <c r="C399" s="1" t="n">
        <v>46084</v>
      </c>
      <c r="D399" t="inlineStr">
        <is>
          <t>VÄSTMANLANDS LÄN</t>
        </is>
      </c>
      <c r="E399" t="inlineStr">
        <is>
          <t>SALA</t>
        </is>
      </c>
      <c r="G399" t="n">
        <v>2.9</v>
      </c>
      <c r="H399" t="n">
        <v>0</v>
      </c>
      <c r="I399" t="n">
        <v>0</v>
      </c>
      <c r="J399" t="n">
        <v>0</v>
      </c>
      <c r="K399" t="n">
        <v>0</v>
      </c>
      <c r="L399" t="n">
        <v>0</v>
      </c>
      <c r="M399" t="n">
        <v>0</v>
      </c>
      <c r="N399" t="n">
        <v>0</v>
      </c>
      <c r="O399" t="n">
        <v>0</v>
      </c>
      <c r="P399" t="n">
        <v>0</v>
      </c>
      <c r="Q399" t="n">
        <v>0</v>
      </c>
      <c r="R399" s="2" t="inlineStr"/>
    </row>
    <row r="400" ht="15" customHeight="1">
      <c r="A400" t="inlineStr">
        <is>
          <t>A 48910-2025</t>
        </is>
      </c>
      <c r="B400" s="1" t="n">
        <v>45937.48649305556</v>
      </c>
      <c r="C400" s="1" t="n">
        <v>46084</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68864-2021</t>
        </is>
      </c>
      <c r="B401" s="1" t="n">
        <v>44530</v>
      </c>
      <c r="C401" s="1" t="n">
        <v>46084</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49585-2025</t>
        </is>
      </c>
      <c r="B402" s="1" t="n">
        <v>45939.5043287037</v>
      </c>
      <c r="C402" s="1" t="n">
        <v>46084</v>
      </c>
      <c r="D402" t="inlineStr">
        <is>
          <t>VÄSTMANLANDS LÄN</t>
        </is>
      </c>
      <c r="E402" t="inlineStr">
        <is>
          <t>SALA</t>
        </is>
      </c>
      <c r="G402" t="n">
        <v>2.2</v>
      </c>
      <c r="H402" t="n">
        <v>0</v>
      </c>
      <c r="I402" t="n">
        <v>0</v>
      </c>
      <c r="J402" t="n">
        <v>0</v>
      </c>
      <c r="K402" t="n">
        <v>0</v>
      </c>
      <c r="L402" t="n">
        <v>0</v>
      </c>
      <c r="M402" t="n">
        <v>0</v>
      </c>
      <c r="N402" t="n">
        <v>0</v>
      </c>
      <c r="O402" t="n">
        <v>0</v>
      </c>
      <c r="P402" t="n">
        <v>0</v>
      </c>
      <c r="Q402" t="n">
        <v>0</v>
      </c>
      <c r="R402" s="2" t="inlineStr"/>
    </row>
    <row r="403" ht="15" customHeight="1">
      <c r="A403" t="inlineStr">
        <is>
          <t>A 19065-2022</t>
        </is>
      </c>
      <c r="B403" s="1" t="n">
        <v>44691.44309027777</v>
      </c>
      <c r="C403" s="1" t="n">
        <v>46084</v>
      </c>
      <c r="D403" t="inlineStr">
        <is>
          <t>VÄSTMANLANDS LÄN</t>
        </is>
      </c>
      <c r="E403" t="inlineStr">
        <is>
          <t>SALA</t>
        </is>
      </c>
      <c r="G403" t="n">
        <v>3.4</v>
      </c>
      <c r="H403" t="n">
        <v>0</v>
      </c>
      <c r="I403" t="n">
        <v>0</v>
      </c>
      <c r="J403" t="n">
        <v>0</v>
      </c>
      <c r="K403" t="n">
        <v>0</v>
      </c>
      <c r="L403" t="n">
        <v>0</v>
      </c>
      <c r="M403" t="n">
        <v>0</v>
      </c>
      <c r="N403" t="n">
        <v>0</v>
      </c>
      <c r="O403" t="n">
        <v>0</v>
      </c>
      <c r="P403" t="n">
        <v>0</v>
      </c>
      <c r="Q403" t="n">
        <v>0</v>
      </c>
      <c r="R403" s="2" t="inlineStr"/>
    </row>
    <row r="404" ht="15" customHeight="1">
      <c r="A404" t="inlineStr">
        <is>
          <t>A 34069-2025</t>
        </is>
      </c>
      <c r="B404" s="1" t="n">
        <v>45845.43560185185</v>
      </c>
      <c r="C404" s="1" t="n">
        <v>46084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c r="U404">
        <f>HYPERLINK("https://klasma.github.io/Logging_1981/knärot/A 34069-2025 karta knärot.png", "A 34069-2025")</f>
        <v/>
      </c>
      <c r="V404">
        <f>HYPERLINK("https://klasma.github.io/Logging_1981/klagomål/A 34069-2025 FSC-klagomål.docx", "A 34069-2025")</f>
        <v/>
      </c>
      <c r="W404">
        <f>HYPERLINK("https://klasma.github.io/Logging_1981/klagomålsmail/A 34069-2025 FSC-klagomål mail.docx", "A 34069-2025")</f>
        <v/>
      </c>
      <c r="X404">
        <f>HYPERLINK("https://klasma.github.io/Logging_1981/tillsyn/A 34069-2025 tillsynsbegäran.docx", "A 34069-2025")</f>
        <v/>
      </c>
      <c r="Y404">
        <f>HYPERLINK("https://klasma.github.io/Logging_1981/tillsynsmail/A 34069-2025 tillsynsbegäran mail.docx", "A 34069-2025")</f>
        <v/>
      </c>
    </row>
    <row r="405" ht="15" customHeight="1">
      <c r="A405" t="inlineStr">
        <is>
          <t>A 37612-2024</t>
        </is>
      </c>
      <c r="B405" s="1" t="n">
        <v>45541</v>
      </c>
      <c r="C405" s="1" t="n">
        <v>46084</v>
      </c>
      <c r="D405" t="inlineStr">
        <is>
          <t>VÄSTMANLANDS LÄN</t>
        </is>
      </c>
      <c r="E405" t="inlineStr">
        <is>
          <t>SALA</t>
        </is>
      </c>
      <c r="G405" t="n">
        <v>2.2</v>
      </c>
      <c r="H405" t="n">
        <v>0</v>
      </c>
      <c r="I405" t="n">
        <v>0</v>
      </c>
      <c r="J405" t="n">
        <v>0</v>
      </c>
      <c r="K405" t="n">
        <v>0</v>
      </c>
      <c r="L405" t="n">
        <v>0</v>
      </c>
      <c r="M405" t="n">
        <v>0</v>
      </c>
      <c r="N405" t="n">
        <v>0</v>
      </c>
      <c r="O405" t="n">
        <v>0</v>
      </c>
      <c r="P405" t="n">
        <v>0</v>
      </c>
      <c r="Q405" t="n">
        <v>0</v>
      </c>
      <c r="R405" s="2" t="inlineStr"/>
    </row>
    <row r="406" ht="15" customHeight="1">
      <c r="A406" t="inlineStr">
        <is>
          <t>A 37615-2024</t>
        </is>
      </c>
      <c r="B406" s="1" t="n">
        <v>45541.50673611111</v>
      </c>
      <c r="C406" s="1" t="n">
        <v>46084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18158-2025</t>
        </is>
      </c>
      <c r="B407" s="1" t="n">
        <v>45761</v>
      </c>
      <c r="C407" s="1" t="n">
        <v>46084</v>
      </c>
      <c r="D407" t="inlineStr">
        <is>
          <t>VÄSTMANLANDS LÄN</t>
        </is>
      </c>
      <c r="E407" t="inlineStr">
        <is>
          <t>SALA</t>
        </is>
      </c>
      <c r="F407" t="inlineStr">
        <is>
          <t>Bergvik skog öst AB</t>
        </is>
      </c>
      <c r="G407" t="n">
        <v>1.6</v>
      </c>
      <c r="H407" t="n">
        <v>0</v>
      </c>
      <c r="I407" t="n">
        <v>0</v>
      </c>
      <c r="J407" t="n">
        <v>0</v>
      </c>
      <c r="K407" t="n">
        <v>0</v>
      </c>
      <c r="L407" t="n">
        <v>0</v>
      </c>
      <c r="M407" t="n">
        <v>0</v>
      </c>
      <c r="N407" t="n">
        <v>0</v>
      </c>
      <c r="O407" t="n">
        <v>0</v>
      </c>
      <c r="P407" t="n">
        <v>0</v>
      </c>
      <c r="Q407" t="n">
        <v>0</v>
      </c>
      <c r="R407" s="2" t="inlineStr"/>
    </row>
    <row r="408" ht="15" customHeight="1">
      <c r="A408" t="inlineStr">
        <is>
          <t>A 49640-2025</t>
        </is>
      </c>
      <c r="B408" s="1" t="n">
        <v>45939.61459490741</v>
      </c>
      <c r="C408" s="1" t="n">
        <v>46084</v>
      </c>
      <c r="D408" t="inlineStr">
        <is>
          <t>VÄSTMANLANDS LÄN</t>
        </is>
      </c>
      <c r="E408" t="inlineStr">
        <is>
          <t>SALA</t>
        </is>
      </c>
      <c r="F408" t="inlineStr">
        <is>
          <t>Kommuner</t>
        </is>
      </c>
      <c r="G408" t="n">
        <v>18.8</v>
      </c>
      <c r="H408" t="n">
        <v>0</v>
      </c>
      <c r="I408" t="n">
        <v>0</v>
      </c>
      <c r="J408" t="n">
        <v>0</v>
      </c>
      <c r="K408" t="n">
        <v>0</v>
      </c>
      <c r="L408" t="n">
        <v>0</v>
      </c>
      <c r="M408" t="n">
        <v>0</v>
      </c>
      <c r="N408" t="n">
        <v>0</v>
      </c>
      <c r="O408" t="n">
        <v>0</v>
      </c>
      <c r="P408" t="n">
        <v>0</v>
      </c>
      <c r="Q408" t="n">
        <v>0</v>
      </c>
      <c r="R408" s="2" t="inlineStr"/>
    </row>
    <row r="409" ht="15" customHeight="1">
      <c r="A409" t="inlineStr">
        <is>
          <t>A 9962-2025</t>
        </is>
      </c>
      <c r="B409" s="1" t="n">
        <v>45719.37072916667</v>
      </c>
      <c r="C409" s="1" t="n">
        <v>46084</v>
      </c>
      <c r="D409" t="inlineStr">
        <is>
          <t>VÄSTMANLANDS LÄN</t>
        </is>
      </c>
      <c r="E409" t="inlineStr">
        <is>
          <t>SALA</t>
        </is>
      </c>
      <c r="G409" t="n">
        <v>4.5</v>
      </c>
      <c r="H409" t="n">
        <v>0</v>
      </c>
      <c r="I409" t="n">
        <v>0</v>
      </c>
      <c r="J409" t="n">
        <v>0</v>
      </c>
      <c r="K409" t="n">
        <v>0</v>
      </c>
      <c r="L409" t="n">
        <v>0</v>
      </c>
      <c r="M409" t="n">
        <v>0</v>
      </c>
      <c r="N409" t="n">
        <v>0</v>
      </c>
      <c r="O409" t="n">
        <v>0</v>
      </c>
      <c r="P409" t="n">
        <v>0</v>
      </c>
      <c r="Q409" t="n">
        <v>0</v>
      </c>
      <c r="R409" s="2" t="inlineStr"/>
    </row>
    <row r="410" ht="15" customHeight="1">
      <c r="A410" t="inlineStr">
        <is>
          <t>A 15744-2025</t>
        </is>
      </c>
      <c r="B410" s="1" t="n">
        <v>45748</v>
      </c>
      <c r="C410" s="1" t="n">
        <v>46084</v>
      </c>
      <c r="D410" t="inlineStr">
        <is>
          <t>VÄSTMANLANDS LÄN</t>
        </is>
      </c>
      <c r="E410" t="inlineStr">
        <is>
          <t>SALA</t>
        </is>
      </c>
      <c r="G410" t="n">
        <v>1.6</v>
      </c>
      <c r="H410" t="n">
        <v>0</v>
      </c>
      <c r="I410" t="n">
        <v>0</v>
      </c>
      <c r="J410" t="n">
        <v>0</v>
      </c>
      <c r="K410" t="n">
        <v>0</v>
      </c>
      <c r="L410" t="n">
        <v>0</v>
      </c>
      <c r="M410" t="n">
        <v>0</v>
      </c>
      <c r="N410" t="n">
        <v>0</v>
      </c>
      <c r="O410" t="n">
        <v>0</v>
      </c>
      <c r="P410" t="n">
        <v>0</v>
      </c>
      <c r="Q410" t="n">
        <v>0</v>
      </c>
      <c r="R410" s="2" t="inlineStr"/>
    </row>
    <row r="411" ht="15" customHeight="1">
      <c r="A411" t="inlineStr">
        <is>
          <t>A 37602-2024</t>
        </is>
      </c>
      <c r="B411" s="1" t="n">
        <v>45541</v>
      </c>
      <c r="C411" s="1" t="n">
        <v>46084</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18762-2024</t>
        </is>
      </c>
      <c r="B412" s="1" t="n">
        <v>45426.55240740741</v>
      </c>
      <c r="C412" s="1" t="n">
        <v>46084</v>
      </c>
      <c r="D412" t="inlineStr">
        <is>
          <t>VÄSTMANLANDS LÄN</t>
        </is>
      </c>
      <c r="E412" t="inlineStr">
        <is>
          <t>SALA</t>
        </is>
      </c>
      <c r="G412" t="n">
        <v>6.2</v>
      </c>
      <c r="H412" t="n">
        <v>0</v>
      </c>
      <c r="I412" t="n">
        <v>0</v>
      </c>
      <c r="J412" t="n">
        <v>0</v>
      </c>
      <c r="K412" t="n">
        <v>0</v>
      </c>
      <c r="L412" t="n">
        <v>0</v>
      </c>
      <c r="M412" t="n">
        <v>0</v>
      </c>
      <c r="N412" t="n">
        <v>0</v>
      </c>
      <c r="O412" t="n">
        <v>0</v>
      </c>
      <c r="P412" t="n">
        <v>0</v>
      </c>
      <c r="Q412" t="n">
        <v>0</v>
      </c>
      <c r="R412" s="2" t="inlineStr"/>
    </row>
    <row r="413" ht="15" customHeight="1">
      <c r="A413" t="inlineStr">
        <is>
          <t>A 39011-2023</t>
        </is>
      </c>
      <c r="B413" s="1" t="n">
        <v>45162</v>
      </c>
      <c r="C413" s="1" t="n">
        <v>46084</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50128-2025</t>
        </is>
      </c>
      <c r="B414" s="1" t="n">
        <v>45943.55318287037</v>
      </c>
      <c r="C414" s="1" t="n">
        <v>46084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50119-2025</t>
        </is>
      </c>
      <c r="B415" s="1" t="n">
        <v>45943.54883101852</v>
      </c>
      <c r="C415" s="1" t="n">
        <v>46084</v>
      </c>
      <c r="D415" t="inlineStr">
        <is>
          <t>VÄSTMANLANDS LÄN</t>
        </is>
      </c>
      <c r="E415" t="inlineStr">
        <is>
          <t>SALA</t>
        </is>
      </c>
      <c r="G415" t="n">
        <v>3.3</v>
      </c>
      <c r="H415" t="n">
        <v>0</v>
      </c>
      <c r="I415" t="n">
        <v>0</v>
      </c>
      <c r="J415" t="n">
        <v>0</v>
      </c>
      <c r="K415" t="n">
        <v>0</v>
      </c>
      <c r="L415" t="n">
        <v>0</v>
      </c>
      <c r="M415" t="n">
        <v>0</v>
      </c>
      <c r="N415" t="n">
        <v>0</v>
      </c>
      <c r="O415" t="n">
        <v>0</v>
      </c>
      <c r="P415" t="n">
        <v>0</v>
      </c>
      <c r="Q415" t="n">
        <v>0</v>
      </c>
      <c r="R415" s="2" t="inlineStr"/>
    </row>
    <row r="416" ht="15" customHeight="1">
      <c r="A416" t="inlineStr">
        <is>
          <t>A 46352-2023</t>
        </is>
      </c>
      <c r="B416" s="1" t="n">
        <v>45192</v>
      </c>
      <c r="C416" s="1" t="n">
        <v>46084</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50059-2025</t>
        </is>
      </c>
      <c r="B417" s="1" t="n">
        <v>45943.44125</v>
      </c>
      <c r="C417" s="1" t="n">
        <v>46084</v>
      </c>
      <c r="D417" t="inlineStr">
        <is>
          <t>VÄSTMANLANDS LÄN</t>
        </is>
      </c>
      <c r="E417" t="inlineStr">
        <is>
          <t>SALA</t>
        </is>
      </c>
      <c r="G417" t="n">
        <v>4.4</v>
      </c>
      <c r="H417" t="n">
        <v>0</v>
      </c>
      <c r="I417" t="n">
        <v>0</v>
      </c>
      <c r="J417" t="n">
        <v>0</v>
      </c>
      <c r="K417" t="n">
        <v>0</v>
      </c>
      <c r="L417" t="n">
        <v>0</v>
      </c>
      <c r="M417" t="n">
        <v>0</v>
      </c>
      <c r="N417" t="n">
        <v>0</v>
      </c>
      <c r="O417" t="n">
        <v>0</v>
      </c>
      <c r="P417" t="n">
        <v>0</v>
      </c>
      <c r="Q417" t="n">
        <v>0</v>
      </c>
      <c r="R417" s="2" t="inlineStr"/>
    </row>
    <row r="418" ht="15" customHeight="1">
      <c r="A418" t="inlineStr">
        <is>
          <t>A 43751-2021</t>
        </is>
      </c>
      <c r="B418" s="1" t="n">
        <v>44433</v>
      </c>
      <c r="C418" s="1" t="n">
        <v>46084</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1128-2025</t>
        </is>
      </c>
      <c r="B419" s="1" t="n">
        <v>45666.68469907407</v>
      </c>
      <c r="C419" s="1" t="n">
        <v>46084</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50249-2025</t>
        </is>
      </c>
      <c r="B420" s="1" t="n">
        <v>45944.31508101852</v>
      </c>
      <c r="C420" s="1" t="n">
        <v>46084</v>
      </c>
      <c r="D420" t="inlineStr">
        <is>
          <t>VÄSTMANLANDS LÄN</t>
        </is>
      </c>
      <c r="E420" t="inlineStr">
        <is>
          <t>SALA</t>
        </is>
      </c>
      <c r="G420" t="n">
        <v>2.3</v>
      </c>
      <c r="H420" t="n">
        <v>0</v>
      </c>
      <c r="I420" t="n">
        <v>0</v>
      </c>
      <c r="J420" t="n">
        <v>0</v>
      </c>
      <c r="K420" t="n">
        <v>0</v>
      </c>
      <c r="L420" t="n">
        <v>0</v>
      </c>
      <c r="M420" t="n">
        <v>0</v>
      </c>
      <c r="N420" t="n">
        <v>0</v>
      </c>
      <c r="O420" t="n">
        <v>0</v>
      </c>
      <c r="P420" t="n">
        <v>0</v>
      </c>
      <c r="Q420" t="n">
        <v>0</v>
      </c>
      <c r="R420" s="2" t="inlineStr"/>
    </row>
    <row r="421" ht="15" customHeight="1">
      <c r="A421" t="inlineStr">
        <is>
          <t>A 15756-2025</t>
        </is>
      </c>
      <c r="B421" s="1" t="n">
        <v>45748.56810185185</v>
      </c>
      <c r="C421" s="1" t="n">
        <v>46084</v>
      </c>
      <c r="D421" t="inlineStr">
        <is>
          <t>VÄSTMANLANDS LÄN</t>
        </is>
      </c>
      <c r="E421" t="inlineStr">
        <is>
          <t>SALA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31950-2023</t>
        </is>
      </c>
      <c r="B422" s="1" t="n">
        <v>45107</v>
      </c>
      <c r="C422" s="1" t="n">
        <v>46084</v>
      </c>
      <c r="D422" t="inlineStr">
        <is>
          <t>VÄSTMANLANDS LÄN</t>
        </is>
      </c>
      <c r="E422" t="inlineStr">
        <is>
          <t>SALA</t>
        </is>
      </c>
      <c r="G422" t="n">
        <v>0.1</v>
      </c>
      <c r="H422" t="n">
        <v>0</v>
      </c>
      <c r="I422" t="n">
        <v>0</v>
      </c>
      <c r="J422" t="n">
        <v>0</v>
      </c>
      <c r="K422" t="n">
        <v>0</v>
      </c>
      <c r="L422" t="n">
        <v>0</v>
      </c>
      <c r="M422" t="n">
        <v>0</v>
      </c>
      <c r="N422" t="n">
        <v>0</v>
      </c>
      <c r="O422" t="n">
        <v>0</v>
      </c>
      <c r="P422" t="n">
        <v>0</v>
      </c>
      <c r="Q422" t="n">
        <v>0</v>
      </c>
      <c r="R422" s="2" t="inlineStr"/>
    </row>
    <row r="423" ht="15" customHeight="1">
      <c r="A423" t="inlineStr">
        <is>
          <t>A 31000-2022</t>
        </is>
      </c>
      <c r="B423" s="1" t="n">
        <v>44768</v>
      </c>
      <c r="C423" s="1" t="n">
        <v>46084</v>
      </c>
      <c r="D423" t="inlineStr">
        <is>
          <t>VÄSTMANLANDS LÄN</t>
        </is>
      </c>
      <c r="E423" t="inlineStr">
        <is>
          <t>SALA</t>
        </is>
      </c>
      <c r="G423" t="n">
        <v>5.7</v>
      </c>
      <c r="H423" t="n">
        <v>0</v>
      </c>
      <c r="I423" t="n">
        <v>0</v>
      </c>
      <c r="J423" t="n">
        <v>0</v>
      </c>
      <c r="K423" t="n">
        <v>0</v>
      </c>
      <c r="L423" t="n">
        <v>0</v>
      </c>
      <c r="M423" t="n">
        <v>0</v>
      </c>
      <c r="N423" t="n">
        <v>0</v>
      </c>
      <c r="O423" t="n">
        <v>0</v>
      </c>
      <c r="P423" t="n">
        <v>0</v>
      </c>
      <c r="Q423" t="n">
        <v>0</v>
      </c>
      <c r="R423" s="2" t="inlineStr"/>
    </row>
    <row r="424" ht="15" customHeight="1">
      <c r="A424" t="inlineStr">
        <is>
          <t>A 56540-2024</t>
        </is>
      </c>
      <c r="B424" s="1" t="n">
        <v>45625</v>
      </c>
      <c r="C424" s="1" t="n">
        <v>46084</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6116-2023</t>
        </is>
      </c>
      <c r="B425" s="1" t="n">
        <v>44964</v>
      </c>
      <c r="C425" s="1" t="n">
        <v>46084</v>
      </c>
      <c r="D425" t="inlineStr">
        <is>
          <t>VÄSTMANLANDS LÄN</t>
        </is>
      </c>
      <c r="E425" t="inlineStr">
        <is>
          <t>SALA</t>
        </is>
      </c>
      <c r="G425" t="n">
        <v>1.9</v>
      </c>
      <c r="H425" t="n">
        <v>0</v>
      </c>
      <c r="I425" t="n">
        <v>0</v>
      </c>
      <c r="J425" t="n">
        <v>0</v>
      </c>
      <c r="K425" t="n">
        <v>0</v>
      </c>
      <c r="L425" t="n">
        <v>0</v>
      </c>
      <c r="M425" t="n">
        <v>0</v>
      </c>
      <c r="N425" t="n">
        <v>0</v>
      </c>
      <c r="O425" t="n">
        <v>0</v>
      </c>
      <c r="P425" t="n">
        <v>0</v>
      </c>
      <c r="Q425" t="n">
        <v>0</v>
      </c>
      <c r="R425" s="2" t="inlineStr"/>
    </row>
    <row r="426" ht="15" customHeight="1">
      <c r="A426" t="inlineStr">
        <is>
          <t>A 37183-2024</t>
        </is>
      </c>
      <c r="B426" s="1" t="n">
        <v>45539</v>
      </c>
      <c r="C426" s="1" t="n">
        <v>46084</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25860-2024</t>
        </is>
      </c>
      <c r="B427" s="1" t="n">
        <v>45467.46278935186</v>
      </c>
      <c r="C427" s="1" t="n">
        <v>46084</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35775-2025</t>
        </is>
      </c>
      <c r="B428" s="1" t="n">
        <v>45860</v>
      </c>
      <c r="C428" s="1" t="n">
        <v>46084</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35779-2025</t>
        </is>
      </c>
      <c r="B429" s="1" t="n">
        <v>45860.69495370371</v>
      </c>
      <c r="C429" s="1" t="n">
        <v>46084</v>
      </c>
      <c r="D429" t="inlineStr">
        <is>
          <t>VÄSTMANLANDS LÄN</t>
        </is>
      </c>
      <c r="E429" t="inlineStr">
        <is>
          <t>SALA</t>
        </is>
      </c>
      <c r="G429" t="n">
        <v>2.4</v>
      </c>
      <c r="H429" t="n">
        <v>0</v>
      </c>
      <c r="I429" t="n">
        <v>0</v>
      </c>
      <c r="J429" t="n">
        <v>0</v>
      </c>
      <c r="K429" t="n">
        <v>0</v>
      </c>
      <c r="L429" t="n">
        <v>0</v>
      </c>
      <c r="M429" t="n">
        <v>0</v>
      </c>
      <c r="N429" t="n">
        <v>0</v>
      </c>
      <c r="O429" t="n">
        <v>0</v>
      </c>
      <c r="P429" t="n">
        <v>0</v>
      </c>
      <c r="Q429" t="n">
        <v>0</v>
      </c>
      <c r="R429" s="2" t="inlineStr"/>
    </row>
    <row r="430" ht="15" customHeight="1">
      <c r="A430" t="inlineStr">
        <is>
          <t>A 35776-2025</t>
        </is>
      </c>
      <c r="B430" s="1" t="n">
        <v>45860.69211805556</v>
      </c>
      <c r="C430" s="1" t="n">
        <v>46084</v>
      </c>
      <c r="D430" t="inlineStr">
        <is>
          <t>VÄSTMANLANDS LÄN</t>
        </is>
      </c>
      <c r="E430" t="inlineStr">
        <is>
          <t>SALA</t>
        </is>
      </c>
      <c r="G430" t="n">
        <v>14.2</v>
      </c>
      <c r="H430" t="n">
        <v>0</v>
      </c>
      <c r="I430" t="n">
        <v>0</v>
      </c>
      <c r="J430" t="n">
        <v>0</v>
      </c>
      <c r="K430" t="n">
        <v>0</v>
      </c>
      <c r="L430" t="n">
        <v>0</v>
      </c>
      <c r="M430" t="n">
        <v>0</v>
      </c>
      <c r="N430" t="n">
        <v>0</v>
      </c>
      <c r="O430" t="n">
        <v>0</v>
      </c>
      <c r="P430" t="n">
        <v>0</v>
      </c>
      <c r="Q430" t="n">
        <v>0</v>
      </c>
      <c r="R430" s="2" t="inlineStr"/>
    </row>
    <row r="431" ht="15" customHeight="1">
      <c r="A431" t="inlineStr">
        <is>
          <t>A 56916-2022</t>
        </is>
      </c>
      <c r="B431" s="1" t="n">
        <v>44888</v>
      </c>
      <c r="C431" s="1" t="n">
        <v>46084</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35715-2025</t>
        </is>
      </c>
      <c r="B432" s="1" t="n">
        <v>45860.42148148148</v>
      </c>
      <c r="C432" s="1" t="n">
        <v>46084</v>
      </c>
      <c r="D432" t="inlineStr">
        <is>
          <t>VÄSTMANLANDS LÄN</t>
        </is>
      </c>
      <c r="E432" t="inlineStr">
        <is>
          <t>SALA</t>
        </is>
      </c>
      <c r="G432" t="n">
        <v>3.8</v>
      </c>
      <c r="H432" t="n">
        <v>0</v>
      </c>
      <c r="I432" t="n">
        <v>0</v>
      </c>
      <c r="J432" t="n">
        <v>0</v>
      </c>
      <c r="K432" t="n">
        <v>0</v>
      </c>
      <c r="L432" t="n">
        <v>0</v>
      </c>
      <c r="M432" t="n">
        <v>0</v>
      </c>
      <c r="N432" t="n">
        <v>0</v>
      </c>
      <c r="O432" t="n">
        <v>0</v>
      </c>
      <c r="P432" t="n">
        <v>0</v>
      </c>
      <c r="Q432" t="n">
        <v>0</v>
      </c>
      <c r="R432" s="2" t="inlineStr"/>
    </row>
    <row r="433" ht="15" customHeight="1">
      <c r="A433" t="inlineStr">
        <is>
          <t>A 35651-2025</t>
        </is>
      </c>
      <c r="B433" s="1" t="n">
        <v>45859.52435185185</v>
      </c>
      <c r="C433" s="1" t="n">
        <v>46084</v>
      </c>
      <c r="D433" t="inlineStr">
        <is>
          <t>VÄSTMANLANDS LÄN</t>
        </is>
      </c>
      <c r="E433" t="inlineStr">
        <is>
          <t>SALA</t>
        </is>
      </c>
      <c r="G433" t="n">
        <v>6.3</v>
      </c>
      <c r="H433" t="n">
        <v>0</v>
      </c>
      <c r="I433" t="n">
        <v>0</v>
      </c>
      <c r="J433" t="n">
        <v>0</v>
      </c>
      <c r="K433" t="n">
        <v>0</v>
      </c>
      <c r="L433" t="n">
        <v>0</v>
      </c>
      <c r="M433" t="n">
        <v>0</v>
      </c>
      <c r="N433" t="n">
        <v>0</v>
      </c>
      <c r="O433" t="n">
        <v>0</v>
      </c>
      <c r="P433" t="n">
        <v>0</v>
      </c>
      <c r="Q433" t="n">
        <v>0</v>
      </c>
      <c r="R433" s="2" t="inlineStr"/>
    </row>
    <row r="434" ht="15" customHeight="1">
      <c r="A434" t="inlineStr">
        <is>
          <t>A 27229-2022</t>
        </is>
      </c>
      <c r="B434" s="1" t="n">
        <v>44741</v>
      </c>
      <c r="C434" s="1" t="n">
        <v>46084</v>
      </c>
      <c r="D434" t="inlineStr">
        <is>
          <t>VÄSTMANLANDS LÄN</t>
        </is>
      </c>
      <c r="E434" t="inlineStr">
        <is>
          <t>SALA</t>
        </is>
      </c>
      <c r="F434" t="inlineStr">
        <is>
          <t>Kommuner</t>
        </is>
      </c>
      <c r="G434" t="n">
        <v>1.4</v>
      </c>
      <c r="H434" t="n">
        <v>0</v>
      </c>
      <c r="I434" t="n">
        <v>0</v>
      </c>
      <c r="J434" t="n">
        <v>0</v>
      </c>
      <c r="K434" t="n">
        <v>0</v>
      </c>
      <c r="L434" t="n">
        <v>0</v>
      </c>
      <c r="M434" t="n">
        <v>0</v>
      </c>
      <c r="N434" t="n">
        <v>0</v>
      </c>
      <c r="O434" t="n">
        <v>0</v>
      </c>
      <c r="P434" t="n">
        <v>0</v>
      </c>
      <c r="Q434" t="n">
        <v>0</v>
      </c>
      <c r="R434" s="2" t="inlineStr"/>
    </row>
    <row r="435" ht="15" customHeight="1">
      <c r="A435" t="inlineStr">
        <is>
          <t>A 35774-2025</t>
        </is>
      </c>
      <c r="B435" s="1" t="n">
        <v>45860.68780092592</v>
      </c>
      <c r="C435" s="1" t="n">
        <v>46084</v>
      </c>
      <c r="D435" t="inlineStr">
        <is>
          <t>VÄSTMANLANDS LÄN</t>
        </is>
      </c>
      <c r="E435" t="inlineStr">
        <is>
          <t>SALA</t>
        </is>
      </c>
      <c r="G435" t="n">
        <v>6.5</v>
      </c>
      <c r="H435" t="n">
        <v>0</v>
      </c>
      <c r="I435" t="n">
        <v>0</v>
      </c>
      <c r="J435" t="n">
        <v>0</v>
      </c>
      <c r="K435" t="n">
        <v>0</v>
      </c>
      <c r="L435" t="n">
        <v>0</v>
      </c>
      <c r="M435" t="n">
        <v>0</v>
      </c>
      <c r="N435" t="n">
        <v>0</v>
      </c>
      <c r="O435" t="n">
        <v>0</v>
      </c>
      <c r="P435" t="n">
        <v>0</v>
      </c>
      <c r="Q435" t="n">
        <v>0</v>
      </c>
      <c r="R435" s="2" t="inlineStr"/>
    </row>
    <row r="436" ht="15" customHeight="1">
      <c r="A436" t="inlineStr">
        <is>
          <t>A 51764-2025</t>
        </is>
      </c>
      <c r="B436" s="1" t="n">
        <v>45951.63636574074</v>
      </c>
      <c r="C436" s="1" t="n">
        <v>46084</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51626-2025</t>
        </is>
      </c>
      <c r="B437" s="1" t="n">
        <v>45951.41769675926</v>
      </c>
      <c r="C437" s="1" t="n">
        <v>46084</v>
      </c>
      <c r="D437" t="inlineStr">
        <is>
          <t>VÄSTMANLANDS LÄN</t>
        </is>
      </c>
      <c r="E437" t="inlineStr">
        <is>
          <t>SALA</t>
        </is>
      </c>
      <c r="G437" t="n">
        <v>2.6</v>
      </c>
      <c r="H437" t="n">
        <v>0</v>
      </c>
      <c r="I437" t="n">
        <v>0</v>
      </c>
      <c r="J437" t="n">
        <v>0</v>
      </c>
      <c r="K437" t="n">
        <v>0</v>
      </c>
      <c r="L437" t="n">
        <v>0</v>
      </c>
      <c r="M437" t="n">
        <v>0</v>
      </c>
      <c r="N437" t="n">
        <v>0</v>
      </c>
      <c r="O437" t="n">
        <v>0</v>
      </c>
      <c r="P437" t="n">
        <v>0</v>
      </c>
      <c r="Q437" t="n">
        <v>0</v>
      </c>
      <c r="R437" s="2" t="inlineStr"/>
    </row>
    <row r="438" ht="15" customHeight="1">
      <c r="A438" t="inlineStr">
        <is>
          <t>A 36060-2025</t>
        </is>
      </c>
      <c r="B438" s="1" t="n">
        <v>45866.39469907407</v>
      </c>
      <c r="C438" s="1" t="n">
        <v>46084</v>
      </c>
      <c r="D438" t="inlineStr">
        <is>
          <t>VÄSTMANLANDS LÄN</t>
        </is>
      </c>
      <c r="E438" t="inlineStr">
        <is>
          <t>SALA</t>
        </is>
      </c>
      <c r="F438" t="inlineStr">
        <is>
          <t>Kommuner</t>
        </is>
      </c>
      <c r="G438" t="n">
        <v>4.3</v>
      </c>
      <c r="H438" t="n">
        <v>0</v>
      </c>
      <c r="I438" t="n">
        <v>0</v>
      </c>
      <c r="J438" t="n">
        <v>0</v>
      </c>
      <c r="K438" t="n">
        <v>0</v>
      </c>
      <c r="L438" t="n">
        <v>0</v>
      </c>
      <c r="M438" t="n">
        <v>0</v>
      </c>
      <c r="N438" t="n">
        <v>0</v>
      </c>
      <c r="O438" t="n">
        <v>0</v>
      </c>
      <c r="P438" t="n">
        <v>0</v>
      </c>
      <c r="Q438" t="n">
        <v>0</v>
      </c>
      <c r="R438" s="2" t="inlineStr"/>
    </row>
    <row r="439" ht="15" customHeight="1">
      <c r="A439" t="inlineStr">
        <is>
          <t>A 71471-2021</t>
        </is>
      </c>
      <c r="B439" s="1" t="n">
        <v>44540.53421296296</v>
      </c>
      <c r="C439" s="1" t="n">
        <v>46084</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51690-2025</t>
        </is>
      </c>
      <c r="B440" s="1" t="n">
        <v>45951.53462962963</v>
      </c>
      <c r="C440" s="1" t="n">
        <v>46084</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36031-2025</t>
        </is>
      </c>
      <c r="B441" s="1" t="n">
        <v>45865.46111111111</v>
      </c>
      <c r="C441" s="1" t="n">
        <v>46084</v>
      </c>
      <c r="D441" t="inlineStr">
        <is>
          <t>VÄSTMANLANDS LÄN</t>
        </is>
      </c>
      <c r="E441" t="inlineStr">
        <is>
          <t>SALA</t>
        </is>
      </c>
      <c r="G441" t="n">
        <v>7.2</v>
      </c>
      <c r="H441" t="n">
        <v>0</v>
      </c>
      <c r="I441" t="n">
        <v>0</v>
      </c>
      <c r="J441" t="n">
        <v>0</v>
      </c>
      <c r="K441" t="n">
        <v>0</v>
      </c>
      <c r="L441" t="n">
        <v>0</v>
      </c>
      <c r="M441" t="n">
        <v>0</v>
      </c>
      <c r="N441" t="n">
        <v>0</v>
      </c>
      <c r="O441" t="n">
        <v>0</v>
      </c>
      <c r="P441" t="n">
        <v>0</v>
      </c>
      <c r="Q441" t="n">
        <v>0</v>
      </c>
      <c r="R441" s="2" t="inlineStr"/>
    </row>
    <row r="442" ht="15" customHeight="1">
      <c r="A442" t="inlineStr">
        <is>
          <t>A 36043-2025</t>
        </is>
      </c>
      <c r="B442" s="1" t="n">
        <v>45866.35333333333</v>
      </c>
      <c r="C442" s="1" t="n">
        <v>46084</v>
      </c>
      <c r="D442" t="inlineStr">
        <is>
          <t>VÄSTMANLANDS LÄN</t>
        </is>
      </c>
      <c r="E442" t="inlineStr">
        <is>
          <t>SALA</t>
        </is>
      </c>
      <c r="F442" t="inlineStr">
        <is>
          <t>Kommuner</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36032-2025</t>
        </is>
      </c>
      <c r="B443" s="1" t="n">
        <v>45865.48740740741</v>
      </c>
      <c r="C443" s="1" t="n">
        <v>46084</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1793-2023</t>
        </is>
      </c>
      <c r="B444" s="1" t="n">
        <v>44937</v>
      </c>
      <c r="C444" s="1" t="n">
        <v>46084</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36049-2025</t>
        </is>
      </c>
      <c r="B445" s="1" t="n">
        <v>45866.37065972222</v>
      </c>
      <c r="C445" s="1" t="n">
        <v>46084</v>
      </c>
      <c r="D445" t="inlineStr">
        <is>
          <t>VÄSTMANLANDS LÄN</t>
        </is>
      </c>
      <c r="E445" t="inlineStr">
        <is>
          <t>SALA</t>
        </is>
      </c>
      <c r="F445" t="inlineStr">
        <is>
          <t>Kommuner</t>
        </is>
      </c>
      <c r="G445" t="n">
        <v>1.9</v>
      </c>
      <c r="H445" t="n">
        <v>0</v>
      </c>
      <c r="I445" t="n">
        <v>0</v>
      </c>
      <c r="J445" t="n">
        <v>0</v>
      </c>
      <c r="K445" t="n">
        <v>0</v>
      </c>
      <c r="L445" t="n">
        <v>0</v>
      </c>
      <c r="M445" t="n">
        <v>0</v>
      </c>
      <c r="N445" t="n">
        <v>0</v>
      </c>
      <c r="O445" t="n">
        <v>0</v>
      </c>
      <c r="P445" t="n">
        <v>0</v>
      </c>
      <c r="Q445" t="n">
        <v>0</v>
      </c>
      <c r="R445" s="2" t="inlineStr"/>
    </row>
    <row r="446" ht="15" customHeight="1">
      <c r="A446" t="inlineStr">
        <is>
          <t>A 13987-2023</t>
        </is>
      </c>
      <c r="B446" s="1" t="n">
        <v>45007</v>
      </c>
      <c r="C446" s="1" t="n">
        <v>46084</v>
      </c>
      <c r="D446" t="inlineStr">
        <is>
          <t>VÄSTMANLANDS LÄN</t>
        </is>
      </c>
      <c r="E446" t="inlineStr">
        <is>
          <t>SALA</t>
        </is>
      </c>
      <c r="G446" t="n">
        <v>3.2</v>
      </c>
      <c r="H446" t="n">
        <v>0</v>
      </c>
      <c r="I446" t="n">
        <v>0</v>
      </c>
      <c r="J446" t="n">
        <v>0</v>
      </c>
      <c r="K446" t="n">
        <v>0</v>
      </c>
      <c r="L446" t="n">
        <v>0</v>
      </c>
      <c r="M446" t="n">
        <v>0</v>
      </c>
      <c r="N446" t="n">
        <v>0</v>
      </c>
      <c r="O446" t="n">
        <v>0</v>
      </c>
      <c r="P446" t="n">
        <v>0</v>
      </c>
      <c r="Q446" t="n">
        <v>0</v>
      </c>
      <c r="R446" s="2" t="inlineStr"/>
    </row>
    <row r="447" ht="15" customHeight="1">
      <c r="A447" t="inlineStr">
        <is>
          <t>A 13990-2023</t>
        </is>
      </c>
      <c r="B447" s="1" t="n">
        <v>45007</v>
      </c>
      <c r="C447" s="1" t="n">
        <v>46084</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29248-2022</t>
        </is>
      </c>
      <c r="B448" s="1" t="n">
        <v>44750</v>
      </c>
      <c r="C448" s="1" t="n">
        <v>46084</v>
      </c>
      <c r="D448" t="inlineStr">
        <is>
          <t>VÄSTMANLANDS LÄN</t>
        </is>
      </c>
      <c r="E448" t="inlineStr">
        <is>
          <t>SALA</t>
        </is>
      </c>
      <c r="G448" t="n">
        <v>1.6</v>
      </c>
      <c r="H448" t="n">
        <v>0</v>
      </c>
      <c r="I448" t="n">
        <v>0</v>
      </c>
      <c r="J448" t="n">
        <v>0</v>
      </c>
      <c r="K448" t="n">
        <v>0</v>
      </c>
      <c r="L448" t="n">
        <v>0</v>
      </c>
      <c r="M448" t="n">
        <v>0</v>
      </c>
      <c r="N448" t="n">
        <v>0</v>
      </c>
      <c r="O448" t="n">
        <v>0</v>
      </c>
      <c r="P448" t="n">
        <v>0</v>
      </c>
      <c r="Q448" t="n">
        <v>0</v>
      </c>
      <c r="R448" s="2" t="inlineStr"/>
    </row>
    <row r="449" ht="15" customHeight="1">
      <c r="A449" t="inlineStr">
        <is>
          <t>A 36045-2025</t>
        </is>
      </c>
      <c r="B449" s="1" t="n">
        <v>45866.36200231482</v>
      </c>
      <c r="C449" s="1" t="n">
        <v>46084</v>
      </c>
      <c r="D449" t="inlineStr">
        <is>
          <t>VÄSTMANLANDS LÄN</t>
        </is>
      </c>
      <c r="E449" t="inlineStr">
        <is>
          <t>SALA</t>
        </is>
      </c>
      <c r="F449" t="inlineStr">
        <is>
          <t>Kommuner</t>
        </is>
      </c>
      <c r="G449" t="n">
        <v>1.7</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46084</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17051-2025</t>
        </is>
      </c>
      <c r="B451" s="1" t="n">
        <v>45755</v>
      </c>
      <c r="C451" s="1" t="n">
        <v>46084</v>
      </c>
      <c r="D451" t="inlineStr">
        <is>
          <t>VÄSTMANLANDS LÄN</t>
        </is>
      </c>
      <c r="E451" t="inlineStr">
        <is>
          <t>SALA</t>
        </is>
      </c>
      <c r="G451" t="n">
        <v>2.9</v>
      </c>
      <c r="H451" t="n">
        <v>0</v>
      </c>
      <c r="I451" t="n">
        <v>0</v>
      </c>
      <c r="J451" t="n">
        <v>0</v>
      </c>
      <c r="K451" t="n">
        <v>0</v>
      </c>
      <c r="L451" t="n">
        <v>0</v>
      </c>
      <c r="M451" t="n">
        <v>0</v>
      </c>
      <c r="N451" t="n">
        <v>0</v>
      </c>
      <c r="O451" t="n">
        <v>0</v>
      </c>
      <c r="P451" t="n">
        <v>0</v>
      </c>
      <c r="Q451" t="n">
        <v>0</v>
      </c>
      <c r="R451" s="2" t="inlineStr"/>
    </row>
    <row r="452" ht="15" customHeight="1">
      <c r="A452" t="inlineStr">
        <is>
          <t>A 51804-2025</t>
        </is>
      </c>
      <c r="B452" s="1" t="n">
        <v>45951.77697916667</v>
      </c>
      <c r="C452" s="1" t="n">
        <v>46084</v>
      </c>
      <c r="D452" t="inlineStr">
        <is>
          <t>VÄSTMANLANDS LÄN</t>
        </is>
      </c>
      <c r="E452" t="inlineStr">
        <is>
          <t>SALA</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51808-2025</t>
        </is>
      </c>
      <c r="B453" s="1" t="n">
        <v>45951.79302083333</v>
      </c>
      <c r="C453" s="1" t="n">
        <v>46084</v>
      </c>
      <c r="D453" t="inlineStr">
        <is>
          <t>VÄSTMANLANDS LÄN</t>
        </is>
      </c>
      <c r="E453" t="inlineStr">
        <is>
          <t>SALA</t>
        </is>
      </c>
      <c r="F453" t="inlineStr">
        <is>
          <t>Kommuner</t>
        </is>
      </c>
      <c r="G453" t="n">
        <v>3</v>
      </c>
      <c r="H453" t="n">
        <v>0</v>
      </c>
      <c r="I453" t="n">
        <v>0</v>
      </c>
      <c r="J453" t="n">
        <v>0</v>
      </c>
      <c r="K453" t="n">
        <v>0</v>
      </c>
      <c r="L453" t="n">
        <v>0</v>
      </c>
      <c r="M453" t="n">
        <v>0</v>
      </c>
      <c r="N453" t="n">
        <v>0</v>
      </c>
      <c r="O453" t="n">
        <v>0</v>
      </c>
      <c r="P453" t="n">
        <v>0</v>
      </c>
      <c r="Q453" t="n">
        <v>0</v>
      </c>
      <c r="R453" s="2" t="inlineStr"/>
    </row>
    <row r="454" ht="15" customHeight="1">
      <c r="A454" t="inlineStr">
        <is>
          <t>A 43509-2021</t>
        </is>
      </c>
      <c r="B454" s="1" t="n">
        <v>44433</v>
      </c>
      <c r="C454" s="1" t="n">
        <v>46084</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51803-2025</t>
        </is>
      </c>
      <c r="B455" s="1" t="n">
        <v>45951.76818287037</v>
      </c>
      <c r="C455" s="1" t="n">
        <v>46084</v>
      </c>
      <c r="D455" t="inlineStr">
        <is>
          <t>VÄSTMANLANDS LÄN</t>
        </is>
      </c>
      <c r="E455" t="inlineStr">
        <is>
          <t>SALA</t>
        </is>
      </c>
      <c r="F455" t="inlineStr">
        <is>
          <t>Kommuner</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51805-2025</t>
        </is>
      </c>
      <c r="B456" s="1" t="n">
        <v>45951.78359953704</v>
      </c>
      <c r="C456" s="1" t="n">
        <v>46084</v>
      </c>
      <c r="D456" t="inlineStr">
        <is>
          <t>VÄSTMANLANDS LÄN</t>
        </is>
      </c>
      <c r="E456" t="inlineStr">
        <is>
          <t>SALA</t>
        </is>
      </c>
      <c r="F456" t="inlineStr">
        <is>
          <t>Kommuner</t>
        </is>
      </c>
      <c r="G456" t="n">
        <v>1.3</v>
      </c>
      <c r="H456" t="n">
        <v>0</v>
      </c>
      <c r="I456" t="n">
        <v>0</v>
      </c>
      <c r="J456" t="n">
        <v>0</v>
      </c>
      <c r="K456" t="n">
        <v>0</v>
      </c>
      <c r="L456" t="n">
        <v>0</v>
      </c>
      <c r="M456" t="n">
        <v>0</v>
      </c>
      <c r="N456" t="n">
        <v>0</v>
      </c>
      <c r="O456" t="n">
        <v>0</v>
      </c>
      <c r="P456" t="n">
        <v>0</v>
      </c>
      <c r="Q456" t="n">
        <v>0</v>
      </c>
      <c r="R456" s="2" t="inlineStr"/>
    </row>
    <row r="457" ht="15" customHeight="1">
      <c r="A457" t="inlineStr">
        <is>
          <t>A 51809-2025</t>
        </is>
      </c>
      <c r="B457" s="1" t="n">
        <v>45951.80116898148</v>
      </c>
      <c r="C457" s="1" t="n">
        <v>46084</v>
      </c>
      <c r="D457" t="inlineStr">
        <is>
          <t>VÄSTMANLANDS LÄN</t>
        </is>
      </c>
      <c r="E457" t="inlineStr">
        <is>
          <t>SALA</t>
        </is>
      </c>
      <c r="F457" t="inlineStr">
        <is>
          <t>Kommuner</t>
        </is>
      </c>
      <c r="G457" t="n">
        <v>3.5</v>
      </c>
      <c r="H457" t="n">
        <v>0</v>
      </c>
      <c r="I457" t="n">
        <v>0</v>
      </c>
      <c r="J457" t="n">
        <v>0</v>
      </c>
      <c r="K457" t="n">
        <v>0</v>
      </c>
      <c r="L457" t="n">
        <v>0</v>
      </c>
      <c r="M457" t="n">
        <v>0</v>
      </c>
      <c r="N457" t="n">
        <v>0</v>
      </c>
      <c r="O457" t="n">
        <v>0</v>
      </c>
      <c r="P457" t="n">
        <v>0</v>
      </c>
      <c r="Q457" t="n">
        <v>0</v>
      </c>
      <c r="R457" s="2" t="inlineStr"/>
    </row>
    <row r="458" ht="15" customHeight="1">
      <c r="A458" t="inlineStr">
        <is>
          <t>A 54959-2024</t>
        </is>
      </c>
      <c r="B458" s="1" t="n">
        <v>45619</v>
      </c>
      <c r="C458" s="1" t="n">
        <v>46084</v>
      </c>
      <c r="D458" t="inlineStr">
        <is>
          <t>VÄSTMANLANDS LÄN</t>
        </is>
      </c>
      <c r="E458" t="inlineStr">
        <is>
          <t>SALA</t>
        </is>
      </c>
      <c r="G458" t="n">
        <v>1.3</v>
      </c>
      <c r="H458" t="n">
        <v>0</v>
      </c>
      <c r="I458" t="n">
        <v>0</v>
      </c>
      <c r="J458" t="n">
        <v>0</v>
      </c>
      <c r="K458" t="n">
        <v>0</v>
      </c>
      <c r="L458" t="n">
        <v>0</v>
      </c>
      <c r="M458" t="n">
        <v>0</v>
      </c>
      <c r="N458" t="n">
        <v>0</v>
      </c>
      <c r="O458" t="n">
        <v>0</v>
      </c>
      <c r="P458" t="n">
        <v>0</v>
      </c>
      <c r="Q458" t="n">
        <v>0</v>
      </c>
      <c r="R458" s="2" t="inlineStr"/>
    </row>
    <row r="459" ht="15" customHeight="1">
      <c r="A459" t="inlineStr">
        <is>
          <t>A 56964-2023</t>
        </is>
      </c>
      <c r="B459" s="1" t="n">
        <v>45244.63140046296</v>
      </c>
      <c r="C459" s="1" t="n">
        <v>46084</v>
      </c>
      <c r="D459" t="inlineStr">
        <is>
          <t>VÄSTMANLANDS LÄN</t>
        </is>
      </c>
      <c r="E459" t="inlineStr">
        <is>
          <t>SALA</t>
        </is>
      </c>
      <c r="G459" t="n">
        <v>4.6</v>
      </c>
      <c r="H459" t="n">
        <v>0</v>
      </c>
      <c r="I459" t="n">
        <v>0</v>
      </c>
      <c r="J459" t="n">
        <v>0</v>
      </c>
      <c r="K459" t="n">
        <v>0</v>
      </c>
      <c r="L459" t="n">
        <v>0</v>
      </c>
      <c r="M459" t="n">
        <v>0</v>
      </c>
      <c r="N459" t="n">
        <v>0</v>
      </c>
      <c r="O459" t="n">
        <v>0</v>
      </c>
      <c r="P459" t="n">
        <v>0</v>
      </c>
      <c r="Q459" t="n">
        <v>0</v>
      </c>
      <c r="R459" s="2" t="inlineStr"/>
    </row>
    <row r="460" ht="15" customHeight="1">
      <c r="A460" t="inlineStr">
        <is>
          <t>A 37337-2024</t>
        </is>
      </c>
      <c r="B460" s="1" t="n">
        <v>45540</v>
      </c>
      <c r="C460" s="1" t="n">
        <v>46084</v>
      </c>
      <c r="D460" t="inlineStr">
        <is>
          <t>VÄSTMANLANDS LÄN</t>
        </is>
      </c>
      <c r="E460" t="inlineStr">
        <is>
          <t>SALA</t>
        </is>
      </c>
      <c r="G460" t="n">
        <v>6.5</v>
      </c>
      <c r="H460" t="n">
        <v>0</v>
      </c>
      <c r="I460" t="n">
        <v>0</v>
      </c>
      <c r="J460" t="n">
        <v>0</v>
      </c>
      <c r="K460" t="n">
        <v>0</v>
      </c>
      <c r="L460" t="n">
        <v>0</v>
      </c>
      <c r="M460" t="n">
        <v>0</v>
      </c>
      <c r="N460" t="n">
        <v>0</v>
      </c>
      <c r="O460" t="n">
        <v>0</v>
      </c>
      <c r="P460" t="n">
        <v>0</v>
      </c>
      <c r="Q460" t="n">
        <v>0</v>
      </c>
      <c r="R460" s="2" t="inlineStr"/>
    </row>
    <row r="461" ht="15" customHeight="1">
      <c r="A461" t="inlineStr">
        <is>
          <t>A 17120-2023</t>
        </is>
      </c>
      <c r="B461" s="1" t="n">
        <v>45034</v>
      </c>
      <c r="C461" s="1" t="n">
        <v>46084</v>
      </c>
      <c r="D461" t="inlineStr">
        <is>
          <t>VÄSTMANLANDS LÄN</t>
        </is>
      </c>
      <c r="E461" t="inlineStr">
        <is>
          <t>SALA</t>
        </is>
      </c>
      <c r="G461" t="n">
        <v>0.1</v>
      </c>
      <c r="H461" t="n">
        <v>0</v>
      </c>
      <c r="I461" t="n">
        <v>0</v>
      </c>
      <c r="J461" t="n">
        <v>0</v>
      </c>
      <c r="K461" t="n">
        <v>0</v>
      </c>
      <c r="L461" t="n">
        <v>0</v>
      </c>
      <c r="M461" t="n">
        <v>0</v>
      </c>
      <c r="N461" t="n">
        <v>0</v>
      </c>
      <c r="O461" t="n">
        <v>0</v>
      </c>
      <c r="P461" t="n">
        <v>0</v>
      </c>
      <c r="Q461" t="n">
        <v>0</v>
      </c>
      <c r="R461" s="2" t="inlineStr"/>
    </row>
    <row r="462" ht="15" customHeight="1">
      <c r="A462" t="inlineStr">
        <is>
          <t>A 34494-2023</t>
        </is>
      </c>
      <c r="B462" s="1" t="n">
        <v>45133</v>
      </c>
      <c r="C462" s="1" t="n">
        <v>46084</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17766-2025</t>
        </is>
      </c>
      <c r="B463" s="1" t="n">
        <v>45758</v>
      </c>
      <c r="C463" s="1" t="n">
        <v>46084</v>
      </c>
      <c r="D463" t="inlineStr">
        <is>
          <t>VÄSTMANLANDS LÄN</t>
        </is>
      </c>
      <c r="E463" t="inlineStr">
        <is>
          <t>SALA</t>
        </is>
      </c>
      <c r="G463" t="n">
        <v>16.5</v>
      </c>
      <c r="H463" t="n">
        <v>0</v>
      </c>
      <c r="I463" t="n">
        <v>0</v>
      </c>
      <c r="J463" t="n">
        <v>0</v>
      </c>
      <c r="K463" t="n">
        <v>0</v>
      </c>
      <c r="L463" t="n">
        <v>0</v>
      </c>
      <c r="M463" t="n">
        <v>0</v>
      </c>
      <c r="N463" t="n">
        <v>0</v>
      </c>
      <c r="O463" t="n">
        <v>0</v>
      </c>
      <c r="P463" t="n">
        <v>0</v>
      </c>
      <c r="Q463" t="n">
        <v>0</v>
      </c>
      <c r="R463" s="2" t="inlineStr"/>
    </row>
    <row r="464" ht="15" customHeight="1">
      <c r="A464" t="inlineStr">
        <is>
          <t>A 31863-2025</t>
        </is>
      </c>
      <c r="B464" s="1" t="n">
        <v>45834.63303240741</v>
      </c>
      <c r="C464" s="1" t="n">
        <v>46084</v>
      </c>
      <c r="D464" t="inlineStr">
        <is>
          <t>VÄSTMANLANDS LÄN</t>
        </is>
      </c>
      <c r="E464" t="inlineStr">
        <is>
          <t>SALA</t>
        </is>
      </c>
      <c r="G464" t="n">
        <v>2.5</v>
      </c>
      <c r="H464" t="n">
        <v>0</v>
      </c>
      <c r="I464" t="n">
        <v>0</v>
      </c>
      <c r="J464" t="n">
        <v>0</v>
      </c>
      <c r="K464" t="n">
        <v>0</v>
      </c>
      <c r="L464" t="n">
        <v>0</v>
      </c>
      <c r="M464" t="n">
        <v>0</v>
      </c>
      <c r="N464" t="n">
        <v>0</v>
      </c>
      <c r="O464" t="n">
        <v>0</v>
      </c>
      <c r="P464" t="n">
        <v>0</v>
      </c>
      <c r="Q464" t="n">
        <v>0</v>
      </c>
      <c r="R464" s="2" t="inlineStr"/>
    </row>
    <row r="465" ht="15" customHeight="1">
      <c r="A465" t="inlineStr">
        <is>
          <t>A 10579-2022</t>
        </is>
      </c>
      <c r="B465" s="1" t="n">
        <v>44624</v>
      </c>
      <c r="C465" s="1" t="n">
        <v>46084</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22397-2022</t>
        </is>
      </c>
      <c r="B466" s="1" t="n">
        <v>44713</v>
      </c>
      <c r="C466" s="1" t="n">
        <v>46084</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3546-2025</t>
        </is>
      </c>
      <c r="B467" s="1" t="n">
        <v>45680</v>
      </c>
      <c r="C467" s="1" t="n">
        <v>46084</v>
      </c>
      <c r="D467" t="inlineStr">
        <is>
          <t>VÄSTMANLANDS LÄN</t>
        </is>
      </c>
      <c r="E467" t="inlineStr">
        <is>
          <t>SALA</t>
        </is>
      </c>
      <c r="G467" t="n">
        <v>0.4</v>
      </c>
      <c r="H467" t="n">
        <v>0</v>
      </c>
      <c r="I467" t="n">
        <v>0</v>
      </c>
      <c r="J467" t="n">
        <v>0</v>
      </c>
      <c r="K467" t="n">
        <v>0</v>
      </c>
      <c r="L467" t="n">
        <v>0</v>
      </c>
      <c r="M467" t="n">
        <v>0</v>
      </c>
      <c r="N467" t="n">
        <v>0</v>
      </c>
      <c r="O467" t="n">
        <v>0</v>
      </c>
      <c r="P467" t="n">
        <v>0</v>
      </c>
      <c r="Q467" t="n">
        <v>0</v>
      </c>
      <c r="R467" s="2" t="inlineStr"/>
    </row>
    <row r="468" ht="15" customHeight="1">
      <c r="A468" t="inlineStr">
        <is>
          <t>A 9335-2022</t>
        </is>
      </c>
      <c r="B468" s="1" t="n">
        <v>44616.56579861111</v>
      </c>
      <c r="C468" s="1" t="n">
        <v>46084</v>
      </c>
      <c r="D468" t="inlineStr">
        <is>
          <t>VÄSTMANLANDS LÄN</t>
        </is>
      </c>
      <c r="E468" t="inlineStr">
        <is>
          <t>SALA</t>
        </is>
      </c>
      <c r="G468" t="n">
        <v>1.5</v>
      </c>
      <c r="H468" t="n">
        <v>0</v>
      </c>
      <c r="I468" t="n">
        <v>0</v>
      </c>
      <c r="J468" t="n">
        <v>0</v>
      </c>
      <c r="K468" t="n">
        <v>0</v>
      </c>
      <c r="L468" t="n">
        <v>0</v>
      </c>
      <c r="M468" t="n">
        <v>0</v>
      </c>
      <c r="N468" t="n">
        <v>0</v>
      </c>
      <c r="O468" t="n">
        <v>0</v>
      </c>
      <c r="P468" t="n">
        <v>0</v>
      </c>
      <c r="Q468" t="n">
        <v>0</v>
      </c>
      <c r="R468" s="2" t="inlineStr"/>
    </row>
    <row r="469" ht="15" customHeight="1">
      <c r="A469" t="inlineStr">
        <is>
          <t>A 31869-2025</t>
        </is>
      </c>
      <c r="B469" s="1" t="n">
        <v>45834.64555555556</v>
      </c>
      <c r="C469" s="1" t="n">
        <v>46084</v>
      </c>
      <c r="D469" t="inlineStr">
        <is>
          <t>VÄSTMANLANDS LÄN</t>
        </is>
      </c>
      <c r="E469" t="inlineStr">
        <is>
          <t>SALA</t>
        </is>
      </c>
      <c r="G469" t="n">
        <v>17.5</v>
      </c>
      <c r="H469" t="n">
        <v>0</v>
      </c>
      <c r="I469" t="n">
        <v>0</v>
      </c>
      <c r="J469" t="n">
        <v>0</v>
      </c>
      <c r="K469" t="n">
        <v>0</v>
      </c>
      <c r="L469" t="n">
        <v>0</v>
      </c>
      <c r="M469" t="n">
        <v>0</v>
      </c>
      <c r="N469" t="n">
        <v>0</v>
      </c>
      <c r="O469" t="n">
        <v>0</v>
      </c>
      <c r="P469" t="n">
        <v>0</v>
      </c>
      <c r="Q469" t="n">
        <v>0</v>
      </c>
      <c r="R469" s="2" t="inlineStr"/>
    </row>
    <row r="470" ht="15" customHeight="1">
      <c r="A470" t="inlineStr">
        <is>
          <t>A 45313-2024</t>
        </is>
      </c>
      <c r="B470" s="1" t="n">
        <v>45576</v>
      </c>
      <c r="C470" s="1" t="n">
        <v>46084</v>
      </c>
      <c r="D470" t="inlineStr">
        <is>
          <t>VÄSTMANLANDS LÄN</t>
        </is>
      </c>
      <c r="E470" t="inlineStr">
        <is>
          <t>SALA</t>
        </is>
      </c>
      <c r="G470" t="n">
        <v>0.7</v>
      </c>
      <c r="H470" t="n">
        <v>0</v>
      </c>
      <c r="I470" t="n">
        <v>0</v>
      </c>
      <c r="J470" t="n">
        <v>0</v>
      </c>
      <c r="K470" t="n">
        <v>0</v>
      </c>
      <c r="L470" t="n">
        <v>0</v>
      </c>
      <c r="M470" t="n">
        <v>0</v>
      </c>
      <c r="N470" t="n">
        <v>0</v>
      </c>
      <c r="O470" t="n">
        <v>0</v>
      </c>
      <c r="P470" t="n">
        <v>0</v>
      </c>
      <c r="Q470" t="n">
        <v>0</v>
      </c>
      <c r="R470" s="2" t="inlineStr"/>
    </row>
    <row r="471" ht="15" customHeight="1">
      <c r="A471" t="inlineStr">
        <is>
          <t>A 7664-2023</t>
        </is>
      </c>
      <c r="B471" s="1" t="n">
        <v>44972</v>
      </c>
      <c r="C471" s="1" t="n">
        <v>46084</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44719.56697916667</v>
      </c>
      <c r="C472" s="1" t="n">
        <v>46084</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17985-2025</t>
        </is>
      </c>
      <c r="B473" s="1" t="n">
        <v>45761</v>
      </c>
      <c r="C473" s="1" t="n">
        <v>46084</v>
      </c>
      <c r="D473" t="inlineStr">
        <is>
          <t>VÄSTMANLANDS LÄN</t>
        </is>
      </c>
      <c r="E473" t="inlineStr">
        <is>
          <t>SALA</t>
        </is>
      </c>
      <c r="G473" t="n">
        <v>12.5</v>
      </c>
      <c r="H473" t="n">
        <v>0</v>
      </c>
      <c r="I473" t="n">
        <v>0</v>
      </c>
      <c r="J473" t="n">
        <v>0</v>
      </c>
      <c r="K473" t="n">
        <v>0</v>
      </c>
      <c r="L473" t="n">
        <v>0</v>
      </c>
      <c r="M473" t="n">
        <v>0</v>
      </c>
      <c r="N473" t="n">
        <v>0</v>
      </c>
      <c r="O473" t="n">
        <v>0</v>
      </c>
      <c r="P473" t="n">
        <v>0</v>
      </c>
      <c r="Q473" t="n">
        <v>0</v>
      </c>
      <c r="R473" s="2" t="inlineStr"/>
    </row>
    <row r="474" ht="15" customHeight="1">
      <c r="A474" t="inlineStr">
        <is>
          <t>A 1196-2023</t>
        </is>
      </c>
      <c r="B474" s="1" t="n">
        <v>44935.82290509259</v>
      </c>
      <c r="C474" s="1" t="n">
        <v>46084</v>
      </c>
      <c r="D474" t="inlineStr">
        <is>
          <t>VÄSTMANLANDS LÄN</t>
        </is>
      </c>
      <c r="E474" t="inlineStr">
        <is>
          <t>SALA</t>
        </is>
      </c>
      <c r="G474" t="n">
        <v>4.1</v>
      </c>
      <c r="H474" t="n">
        <v>0</v>
      </c>
      <c r="I474" t="n">
        <v>0</v>
      </c>
      <c r="J474" t="n">
        <v>0</v>
      </c>
      <c r="K474" t="n">
        <v>0</v>
      </c>
      <c r="L474" t="n">
        <v>0</v>
      </c>
      <c r="M474" t="n">
        <v>0</v>
      </c>
      <c r="N474" t="n">
        <v>0</v>
      </c>
      <c r="O474" t="n">
        <v>0</v>
      </c>
      <c r="P474" t="n">
        <v>0</v>
      </c>
      <c r="Q474" t="n">
        <v>0</v>
      </c>
      <c r="R474" s="2" t="inlineStr"/>
    </row>
    <row r="475" ht="15" customHeight="1">
      <c r="A475" t="inlineStr">
        <is>
          <t>A 28863-2022</t>
        </is>
      </c>
      <c r="B475" s="1" t="n">
        <v>44749.50649305555</v>
      </c>
      <c r="C475" s="1" t="n">
        <v>46084</v>
      </c>
      <c r="D475" t="inlineStr">
        <is>
          <t>VÄSTMANLANDS LÄN</t>
        </is>
      </c>
      <c r="E475" t="inlineStr">
        <is>
          <t>SALA</t>
        </is>
      </c>
      <c r="G475" t="n">
        <v>1.6</v>
      </c>
      <c r="H475" t="n">
        <v>0</v>
      </c>
      <c r="I475" t="n">
        <v>0</v>
      </c>
      <c r="J475" t="n">
        <v>0</v>
      </c>
      <c r="K475" t="n">
        <v>0</v>
      </c>
      <c r="L475" t="n">
        <v>0</v>
      </c>
      <c r="M475" t="n">
        <v>0</v>
      </c>
      <c r="N475" t="n">
        <v>0</v>
      </c>
      <c r="O475" t="n">
        <v>0</v>
      </c>
      <c r="P475" t="n">
        <v>0</v>
      </c>
      <c r="Q475" t="n">
        <v>0</v>
      </c>
      <c r="R475" s="2" t="inlineStr"/>
    </row>
    <row r="476" ht="15" customHeight="1">
      <c r="A476" t="inlineStr">
        <is>
          <t>A 37103-2025</t>
        </is>
      </c>
      <c r="B476" s="1" t="n">
        <v>45875.47743055555</v>
      </c>
      <c r="C476" s="1" t="n">
        <v>46084</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53725-2025</t>
        </is>
      </c>
      <c r="B477" s="1" t="n">
        <v>45960.63394675926</v>
      </c>
      <c r="C477" s="1" t="n">
        <v>46084</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38636-2024</t>
        </is>
      </c>
      <c r="B478" s="1" t="n">
        <v>45546</v>
      </c>
      <c r="C478" s="1" t="n">
        <v>46084</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37017-2025</t>
        </is>
      </c>
      <c r="B479" s="1" t="n">
        <v>45874</v>
      </c>
      <c r="C479" s="1" t="n">
        <v>46084</v>
      </c>
      <c r="D479" t="inlineStr">
        <is>
          <t>VÄSTMANLANDS LÄN</t>
        </is>
      </c>
      <c r="E479" t="inlineStr">
        <is>
          <t>SALA</t>
        </is>
      </c>
      <c r="G479" t="n">
        <v>11.1</v>
      </c>
      <c r="H479" t="n">
        <v>0</v>
      </c>
      <c r="I479" t="n">
        <v>0</v>
      </c>
      <c r="J479" t="n">
        <v>0</v>
      </c>
      <c r="K479" t="n">
        <v>0</v>
      </c>
      <c r="L479" t="n">
        <v>0</v>
      </c>
      <c r="M479" t="n">
        <v>0</v>
      </c>
      <c r="N479" t="n">
        <v>0</v>
      </c>
      <c r="O479" t="n">
        <v>0</v>
      </c>
      <c r="P479" t="n">
        <v>0</v>
      </c>
      <c r="Q479" t="n">
        <v>0</v>
      </c>
      <c r="R479" s="2" t="inlineStr"/>
    </row>
    <row r="480" ht="15" customHeight="1">
      <c r="A480" t="inlineStr">
        <is>
          <t>A 52503-2024</t>
        </is>
      </c>
      <c r="B480" s="1" t="n">
        <v>45609.58806712963</v>
      </c>
      <c r="C480" s="1" t="n">
        <v>46084</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53744-2025</t>
        </is>
      </c>
      <c r="B481" s="1" t="n">
        <v>45960.64863425926</v>
      </c>
      <c r="C481" s="1" t="n">
        <v>46084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53724-2025</t>
        </is>
      </c>
      <c r="B482" s="1" t="n">
        <v>45960.63174768518</v>
      </c>
      <c r="C482" s="1" t="n">
        <v>46084</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37246-2025</t>
        </is>
      </c>
      <c r="B483" s="1" t="n">
        <v>45876.39435185185</v>
      </c>
      <c r="C483" s="1" t="n">
        <v>46084</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54344-2025</t>
        </is>
      </c>
      <c r="B484" s="1" t="n">
        <v>45965.36462962963</v>
      </c>
      <c r="C484" s="1" t="n">
        <v>46084</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7953-2024</t>
        </is>
      </c>
      <c r="B485" s="1" t="n">
        <v>45350</v>
      </c>
      <c r="C485" s="1" t="n">
        <v>46084</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30028-2024</t>
        </is>
      </c>
      <c r="B486" s="1" t="n">
        <v>45485</v>
      </c>
      <c r="C486" s="1" t="n">
        <v>46084</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54590-2025</t>
        </is>
      </c>
      <c r="B487" s="1" t="n">
        <v>45965.74199074074</v>
      </c>
      <c r="C487" s="1" t="n">
        <v>46084</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7950-2025</t>
        </is>
      </c>
      <c r="B488" s="1" t="n">
        <v>45707.41799768519</v>
      </c>
      <c r="C488" s="1" t="n">
        <v>46084</v>
      </c>
      <c r="D488" t="inlineStr">
        <is>
          <t>VÄSTMANLANDS LÄN</t>
        </is>
      </c>
      <c r="E488" t="inlineStr">
        <is>
          <t>SALA</t>
        </is>
      </c>
      <c r="G488" t="n">
        <v>3.2</v>
      </c>
      <c r="H488" t="n">
        <v>0</v>
      </c>
      <c r="I488" t="n">
        <v>0</v>
      </c>
      <c r="J488" t="n">
        <v>0</v>
      </c>
      <c r="K488" t="n">
        <v>0</v>
      </c>
      <c r="L488" t="n">
        <v>0</v>
      </c>
      <c r="M488" t="n">
        <v>0</v>
      </c>
      <c r="N488" t="n">
        <v>0</v>
      </c>
      <c r="O488" t="n">
        <v>0</v>
      </c>
      <c r="P488" t="n">
        <v>0</v>
      </c>
      <c r="Q488" t="n">
        <v>0</v>
      </c>
      <c r="R488" s="2" t="inlineStr"/>
    </row>
    <row r="489" ht="15" customHeight="1">
      <c r="A489" t="inlineStr">
        <is>
          <t>A 54201-2025</t>
        </is>
      </c>
      <c r="B489" s="1" t="n">
        <v>45964.58055555556</v>
      </c>
      <c r="C489" s="1" t="n">
        <v>46084</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37590-2025</t>
        </is>
      </c>
      <c r="B490" s="1" t="n">
        <v>45880.41138888889</v>
      </c>
      <c r="C490" s="1" t="n">
        <v>46084</v>
      </c>
      <c r="D490" t="inlineStr">
        <is>
          <t>VÄSTMANLANDS LÄN</t>
        </is>
      </c>
      <c r="E490" t="inlineStr">
        <is>
          <t>SALA</t>
        </is>
      </c>
      <c r="G490" t="n">
        <v>2.2</v>
      </c>
      <c r="H490" t="n">
        <v>0</v>
      </c>
      <c r="I490" t="n">
        <v>0</v>
      </c>
      <c r="J490" t="n">
        <v>0</v>
      </c>
      <c r="K490" t="n">
        <v>0</v>
      </c>
      <c r="L490" t="n">
        <v>0</v>
      </c>
      <c r="M490" t="n">
        <v>0</v>
      </c>
      <c r="N490" t="n">
        <v>0</v>
      </c>
      <c r="O490" t="n">
        <v>0</v>
      </c>
      <c r="P490" t="n">
        <v>0</v>
      </c>
      <c r="Q490" t="n">
        <v>0</v>
      </c>
      <c r="R490" s="2" t="inlineStr"/>
    </row>
    <row r="491" ht="15" customHeight="1">
      <c r="A491" t="inlineStr">
        <is>
          <t>A 37593-2025</t>
        </is>
      </c>
      <c r="B491" s="1" t="n">
        <v>45880.41325231481</v>
      </c>
      <c r="C491" s="1" t="n">
        <v>46084</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27657-2023</t>
        </is>
      </c>
      <c r="B492" s="1" t="n">
        <v>45097.76631944445</v>
      </c>
      <c r="C492" s="1" t="n">
        <v>46084</v>
      </c>
      <c r="D492" t="inlineStr">
        <is>
          <t>VÄSTMANLANDS LÄN</t>
        </is>
      </c>
      <c r="E492" t="inlineStr">
        <is>
          <t>SALA</t>
        </is>
      </c>
      <c r="G492" t="n">
        <v>0.1</v>
      </c>
      <c r="H492" t="n">
        <v>0</v>
      </c>
      <c r="I492" t="n">
        <v>0</v>
      </c>
      <c r="J492" t="n">
        <v>0</v>
      </c>
      <c r="K492" t="n">
        <v>0</v>
      </c>
      <c r="L492" t="n">
        <v>0</v>
      </c>
      <c r="M492" t="n">
        <v>0</v>
      </c>
      <c r="N492" t="n">
        <v>0</v>
      </c>
      <c r="O492" t="n">
        <v>0</v>
      </c>
      <c r="P492" t="n">
        <v>0</v>
      </c>
      <c r="Q492" t="n">
        <v>0</v>
      </c>
      <c r="R492" s="2" t="inlineStr"/>
    </row>
    <row r="493" ht="15" customHeight="1">
      <c r="A493" t="inlineStr">
        <is>
          <t>A 14919-2025</t>
        </is>
      </c>
      <c r="B493" s="1" t="n">
        <v>45743.54256944444</v>
      </c>
      <c r="C493" s="1" t="n">
        <v>46084</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14920-2025</t>
        </is>
      </c>
      <c r="B494" s="1" t="n">
        <v>45743</v>
      </c>
      <c r="C494" s="1" t="n">
        <v>46084</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54893-2025</t>
        </is>
      </c>
      <c r="B495" s="1" t="n">
        <v>45967.36383101852</v>
      </c>
      <c r="C495" s="1" t="n">
        <v>46084</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40398-2021</t>
        </is>
      </c>
      <c r="B496" s="1" t="n">
        <v>44419</v>
      </c>
      <c r="C496" s="1" t="n">
        <v>46084</v>
      </c>
      <c r="D496" t="inlineStr">
        <is>
          <t>VÄSTMANLANDS LÄN</t>
        </is>
      </c>
      <c r="E496" t="inlineStr">
        <is>
          <t>SALA</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13855-2023</t>
        </is>
      </c>
      <c r="B497" s="1" t="n">
        <v>45007</v>
      </c>
      <c r="C497" s="1" t="n">
        <v>46084</v>
      </c>
      <c r="D497" t="inlineStr">
        <is>
          <t>VÄSTMANLANDS LÄN</t>
        </is>
      </c>
      <c r="E497" t="inlineStr">
        <is>
          <t>SALA</t>
        </is>
      </c>
      <c r="G497" t="n">
        <v>2.9</v>
      </c>
      <c r="H497" t="n">
        <v>0</v>
      </c>
      <c r="I497" t="n">
        <v>0</v>
      </c>
      <c r="J497" t="n">
        <v>0</v>
      </c>
      <c r="K497" t="n">
        <v>0</v>
      </c>
      <c r="L497" t="n">
        <v>0</v>
      </c>
      <c r="M497" t="n">
        <v>0</v>
      </c>
      <c r="N497" t="n">
        <v>0</v>
      </c>
      <c r="O497" t="n">
        <v>0</v>
      </c>
      <c r="P497" t="n">
        <v>0</v>
      </c>
      <c r="Q497" t="n">
        <v>0</v>
      </c>
      <c r="R497" s="2" t="inlineStr"/>
    </row>
    <row r="498" ht="15" customHeight="1">
      <c r="A498" t="inlineStr">
        <is>
          <t>A 33309-2022</t>
        </is>
      </c>
      <c r="B498" s="1" t="n">
        <v>44788.40986111111</v>
      </c>
      <c r="C498" s="1" t="n">
        <v>46084</v>
      </c>
      <c r="D498" t="inlineStr">
        <is>
          <t>VÄSTMANLANDS LÄN</t>
        </is>
      </c>
      <c r="E498" t="inlineStr">
        <is>
          <t>SALA</t>
        </is>
      </c>
      <c r="G498" t="n">
        <v>2.6</v>
      </c>
      <c r="H498" t="n">
        <v>0</v>
      </c>
      <c r="I498" t="n">
        <v>0</v>
      </c>
      <c r="J498" t="n">
        <v>0</v>
      </c>
      <c r="K498" t="n">
        <v>0</v>
      </c>
      <c r="L498" t="n">
        <v>0</v>
      </c>
      <c r="M498" t="n">
        <v>0</v>
      </c>
      <c r="N498" t="n">
        <v>0</v>
      </c>
      <c r="O498" t="n">
        <v>0</v>
      </c>
      <c r="P498" t="n">
        <v>0</v>
      </c>
      <c r="Q498" t="n">
        <v>0</v>
      </c>
      <c r="R498" s="2" t="inlineStr"/>
    </row>
    <row r="499" ht="15" customHeight="1">
      <c r="A499" t="inlineStr">
        <is>
          <t>A 47909-2022</t>
        </is>
      </c>
      <c r="B499" s="1" t="n">
        <v>44855</v>
      </c>
      <c r="C499" s="1" t="n">
        <v>46084</v>
      </c>
      <c r="D499" t="inlineStr">
        <is>
          <t>VÄSTMANLANDS LÄN</t>
        </is>
      </c>
      <c r="E499" t="inlineStr">
        <is>
          <t>SALA</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19033-2025</t>
        </is>
      </c>
      <c r="B500" s="1" t="n">
        <v>45764.65796296296</v>
      </c>
      <c r="C500" s="1" t="n">
        <v>46084</v>
      </c>
      <c r="D500" t="inlineStr">
        <is>
          <t>VÄSTMANLANDS LÄN</t>
        </is>
      </c>
      <c r="E500" t="inlineStr">
        <is>
          <t>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38294-2025</t>
        </is>
      </c>
      <c r="B501" s="1" t="n">
        <v>45883.44854166666</v>
      </c>
      <c r="C501" s="1" t="n">
        <v>46084</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43362-2023</t>
        </is>
      </c>
      <c r="B502" s="1" t="n">
        <v>45183</v>
      </c>
      <c r="C502" s="1" t="n">
        <v>46084</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43359-2024</t>
        </is>
      </c>
      <c r="B503" s="1" t="n">
        <v>45568.57724537037</v>
      </c>
      <c r="C503" s="1" t="n">
        <v>46084</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29972-2025</t>
        </is>
      </c>
      <c r="B504" s="1" t="n">
        <v>45826</v>
      </c>
      <c r="C504" s="1" t="n">
        <v>46084</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2900-2023</t>
        </is>
      </c>
      <c r="B505" s="1" t="n">
        <v>44943</v>
      </c>
      <c r="C505" s="1" t="n">
        <v>46084</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15272-2025</t>
        </is>
      </c>
      <c r="B506" s="1" t="n">
        <v>45744</v>
      </c>
      <c r="C506" s="1" t="n">
        <v>46084</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6030-2024</t>
        </is>
      </c>
      <c r="B507" s="1" t="n">
        <v>45336.62782407407</v>
      </c>
      <c r="C507" s="1" t="n">
        <v>46084</v>
      </c>
      <c r="D507" t="inlineStr">
        <is>
          <t>VÄSTMANLANDS LÄN</t>
        </is>
      </c>
      <c r="E507" t="inlineStr">
        <is>
          <t>SALA</t>
        </is>
      </c>
      <c r="G507" t="n">
        <v>3.9</v>
      </c>
      <c r="H507" t="n">
        <v>0</v>
      </c>
      <c r="I507" t="n">
        <v>0</v>
      </c>
      <c r="J507" t="n">
        <v>0</v>
      </c>
      <c r="K507" t="n">
        <v>0</v>
      </c>
      <c r="L507" t="n">
        <v>0</v>
      </c>
      <c r="M507" t="n">
        <v>0</v>
      </c>
      <c r="N507" t="n">
        <v>0</v>
      </c>
      <c r="O507" t="n">
        <v>0</v>
      </c>
      <c r="P507" t="n">
        <v>0</v>
      </c>
      <c r="Q507" t="n">
        <v>0</v>
      </c>
      <c r="R507" s="2" t="inlineStr"/>
    </row>
    <row r="508" ht="15" customHeight="1">
      <c r="A508" t="inlineStr">
        <is>
          <t>A 11183-2023</t>
        </is>
      </c>
      <c r="B508" s="1" t="n">
        <v>44992.57782407408</v>
      </c>
      <c r="C508" s="1" t="n">
        <v>46084</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11190-2023</t>
        </is>
      </c>
      <c r="B509" s="1" t="n">
        <v>44992</v>
      </c>
      <c r="C509" s="1" t="n">
        <v>46084</v>
      </c>
      <c r="D509" t="inlineStr">
        <is>
          <t>VÄSTMANLANDS LÄN</t>
        </is>
      </c>
      <c r="E509" t="inlineStr">
        <is>
          <t>SALA</t>
        </is>
      </c>
      <c r="G509" t="n">
        <v>1</v>
      </c>
      <c r="H509" t="n">
        <v>0</v>
      </c>
      <c r="I509" t="n">
        <v>0</v>
      </c>
      <c r="J509" t="n">
        <v>0</v>
      </c>
      <c r="K509" t="n">
        <v>0</v>
      </c>
      <c r="L509" t="n">
        <v>0</v>
      </c>
      <c r="M509" t="n">
        <v>0</v>
      </c>
      <c r="N509" t="n">
        <v>0</v>
      </c>
      <c r="O509" t="n">
        <v>0</v>
      </c>
      <c r="P509" t="n">
        <v>0</v>
      </c>
      <c r="Q509" t="n">
        <v>0</v>
      </c>
      <c r="R509" s="2" t="inlineStr"/>
    </row>
    <row r="510" ht="15" customHeight="1">
      <c r="A510" t="inlineStr">
        <is>
          <t>A 52630-2022</t>
        </is>
      </c>
      <c r="B510" s="1" t="n">
        <v>44874</v>
      </c>
      <c r="C510" s="1" t="n">
        <v>46084</v>
      </c>
      <c r="D510" t="inlineStr">
        <is>
          <t>VÄSTMANLANDS LÄN</t>
        </is>
      </c>
      <c r="E510" t="inlineStr">
        <is>
          <t>SALA</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46279-2021</t>
        </is>
      </c>
      <c r="B511" s="1" t="n">
        <v>44442.57797453704</v>
      </c>
      <c r="C511" s="1" t="n">
        <v>46084</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55997-2025</t>
        </is>
      </c>
      <c r="B512" s="1" t="n">
        <v>45973.56833333334</v>
      </c>
      <c r="C512" s="1" t="n">
        <v>46084</v>
      </c>
      <c r="D512" t="inlineStr">
        <is>
          <t>VÄSTMANLANDS LÄN</t>
        </is>
      </c>
      <c r="E512" t="inlineStr">
        <is>
          <t>SALA</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53838-2022</t>
        </is>
      </c>
      <c r="B513" s="1" t="n">
        <v>44880.59363425926</v>
      </c>
      <c r="C513" s="1" t="n">
        <v>46084</v>
      </c>
      <c r="D513" t="inlineStr">
        <is>
          <t>VÄSTMANLANDS LÄN</t>
        </is>
      </c>
      <c r="E513" t="inlineStr">
        <is>
          <t>SALA</t>
        </is>
      </c>
      <c r="G513" t="n">
        <v>3.9</v>
      </c>
      <c r="H513" t="n">
        <v>0</v>
      </c>
      <c r="I513" t="n">
        <v>0</v>
      </c>
      <c r="J513" t="n">
        <v>0</v>
      </c>
      <c r="K513" t="n">
        <v>0</v>
      </c>
      <c r="L513" t="n">
        <v>0</v>
      </c>
      <c r="M513" t="n">
        <v>0</v>
      </c>
      <c r="N513" t="n">
        <v>0</v>
      </c>
      <c r="O513" t="n">
        <v>0</v>
      </c>
      <c r="P513" t="n">
        <v>0</v>
      </c>
      <c r="Q513" t="n">
        <v>0</v>
      </c>
      <c r="R513" s="2" t="inlineStr"/>
    </row>
    <row r="514" ht="15" customHeight="1">
      <c r="A514" t="inlineStr">
        <is>
          <t>A 55714-2025</t>
        </is>
      </c>
      <c r="B514" s="1" t="n">
        <v>45972.49131944445</v>
      </c>
      <c r="C514" s="1" t="n">
        <v>46084</v>
      </c>
      <c r="D514" t="inlineStr">
        <is>
          <t>VÄSTMANLANDS LÄN</t>
        </is>
      </c>
      <c r="E514" t="inlineStr">
        <is>
          <t>SALA</t>
        </is>
      </c>
      <c r="G514" t="n">
        <v>6.6</v>
      </c>
      <c r="H514" t="n">
        <v>0</v>
      </c>
      <c r="I514" t="n">
        <v>0</v>
      </c>
      <c r="J514" t="n">
        <v>0</v>
      </c>
      <c r="K514" t="n">
        <v>0</v>
      </c>
      <c r="L514" t="n">
        <v>0</v>
      </c>
      <c r="M514" t="n">
        <v>0</v>
      </c>
      <c r="N514" t="n">
        <v>0</v>
      </c>
      <c r="O514" t="n">
        <v>0</v>
      </c>
      <c r="P514" t="n">
        <v>0</v>
      </c>
      <c r="Q514" t="n">
        <v>0</v>
      </c>
      <c r="R514" s="2" t="inlineStr"/>
    </row>
    <row r="515" ht="15" customHeight="1">
      <c r="A515" t="inlineStr">
        <is>
          <t>A 53166-2024</t>
        </is>
      </c>
      <c r="B515" s="1" t="n">
        <v>45611</v>
      </c>
      <c r="C515" s="1" t="n">
        <v>46084</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28827-2022</t>
        </is>
      </c>
      <c r="B516" s="1" t="n">
        <v>44749.45561342593</v>
      </c>
      <c r="C516" s="1" t="n">
        <v>46084</v>
      </c>
      <c r="D516" t="inlineStr">
        <is>
          <t>VÄSTMANLANDS LÄN</t>
        </is>
      </c>
      <c r="E516" t="inlineStr">
        <is>
          <t>SALA</t>
        </is>
      </c>
      <c r="F516" t="inlineStr">
        <is>
          <t>Kommuner</t>
        </is>
      </c>
      <c r="G516" t="n">
        <v>11.9</v>
      </c>
      <c r="H516" t="n">
        <v>0</v>
      </c>
      <c r="I516" t="n">
        <v>0</v>
      </c>
      <c r="J516" t="n">
        <v>0</v>
      </c>
      <c r="K516" t="n">
        <v>0</v>
      </c>
      <c r="L516" t="n">
        <v>0</v>
      </c>
      <c r="M516" t="n">
        <v>0</v>
      </c>
      <c r="N516" t="n">
        <v>0</v>
      </c>
      <c r="O516" t="n">
        <v>0</v>
      </c>
      <c r="P516" t="n">
        <v>0</v>
      </c>
      <c r="Q516" t="n">
        <v>0</v>
      </c>
      <c r="R516" s="2" t="inlineStr"/>
    </row>
    <row r="517" ht="15" customHeight="1">
      <c r="A517" t="inlineStr">
        <is>
          <t>A 56593-2025</t>
        </is>
      </c>
      <c r="B517" s="1" t="n">
        <v>45975</v>
      </c>
      <c r="C517" s="1" t="n">
        <v>46084</v>
      </c>
      <c r="D517" t="inlineStr">
        <is>
          <t>VÄSTMANLANDS LÄN</t>
        </is>
      </c>
      <c r="E517" t="inlineStr">
        <is>
          <t>SALA</t>
        </is>
      </c>
      <c r="F517" t="inlineStr">
        <is>
          <t>Kyrkan</t>
        </is>
      </c>
      <c r="G517" t="n">
        <v>0.1</v>
      </c>
      <c r="H517" t="n">
        <v>0</v>
      </c>
      <c r="I517" t="n">
        <v>0</v>
      </c>
      <c r="J517" t="n">
        <v>0</v>
      </c>
      <c r="K517" t="n">
        <v>0</v>
      </c>
      <c r="L517" t="n">
        <v>0</v>
      </c>
      <c r="M517" t="n">
        <v>0</v>
      </c>
      <c r="N517" t="n">
        <v>0</v>
      </c>
      <c r="O517" t="n">
        <v>0</v>
      </c>
      <c r="P517" t="n">
        <v>0</v>
      </c>
      <c r="Q517" t="n">
        <v>0</v>
      </c>
      <c r="R517" s="2" t="inlineStr"/>
    </row>
    <row r="518" ht="15" customHeight="1">
      <c r="A518" t="inlineStr">
        <is>
          <t>A 17866-2025</t>
        </is>
      </c>
      <c r="B518" s="1" t="n">
        <v>45758</v>
      </c>
      <c r="C518" s="1" t="n">
        <v>46084</v>
      </c>
      <c r="D518" t="inlineStr">
        <is>
          <t>VÄSTMANLANDS LÄN</t>
        </is>
      </c>
      <c r="E518" t="inlineStr">
        <is>
          <t>SALA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54836-2024</t>
        </is>
      </c>
      <c r="B519" s="1" t="n">
        <v>45618</v>
      </c>
      <c r="C519" s="1" t="n">
        <v>46084</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56645-2025</t>
        </is>
      </c>
      <c r="B520" s="1" t="n">
        <v>45975.63063657407</v>
      </c>
      <c r="C520" s="1" t="n">
        <v>46084</v>
      </c>
      <c r="D520" t="inlineStr">
        <is>
          <t>VÄSTMANLANDS LÄN</t>
        </is>
      </c>
      <c r="E520" t="inlineStr">
        <is>
          <t>SALA</t>
        </is>
      </c>
      <c r="F520" t="inlineStr">
        <is>
          <t>Bergvik skog öst AB</t>
        </is>
      </c>
      <c r="G520" t="n">
        <v>5.3</v>
      </c>
      <c r="H520" t="n">
        <v>0</v>
      </c>
      <c r="I520" t="n">
        <v>0</v>
      </c>
      <c r="J520" t="n">
        <v>0</v>
      </c>
      <c r="K520" t="n">
        <v>0</v>
      </c>
      <c r="L520" t="n">
        <v>0</v>
      </c>
      <c r="M520" t="n">
        <v>0</v>
      </c>
      <c r="N520" t="n">
        <v>0</v>
      </c>
      <c r="O520" t="n">
        <v>0</v>
      </c>
      <c r="P520" t="n">
        <v>0</v>
      </c>
      <c r="Q520" t="n">
        <v>0</v>
      </c>
      <c r="R520" s="2" t="inlineStr"/>
    </row>
    <row r="521" ht="15" customHeight="1">
      <c r="A521" t="inlineStr">
        <is>
          <t>A 56502-2025</t>
        </is>
      </c>
      <c r="B521" s="1" t="n">
        <v>45975</v>
      </c>
      <c r="C521" s="1" t="n">
        <v>46084</v>
      </c>
      <c r="D521" t="inlineStr">
        <is>
          <t>VÄSTMANLANDS LÄN</t>
        </is>
      </c>
      <c r="E521" t="inlineStr">
        <is>
          <t>SALA</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56614-2025</t>
        </is>
      </c>
      <c r="B522" s="1" t="n">
        <v>45975.59288194445</v>
      </c>
      <c r="C522" s="1" t="n">
        <v>46084</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64729-2023</t>
        </is>
      </c>
      <c r="B523" s="1" t="n">
        <v>45281</v>
      </c>
      <c r="C523" s="1" t="n">
        <v>46084</v>
      </c>
      <c r="D523" t="inlineStr">
        <is>
          <t>VÄSTMANLANDS LÄN</t>
        </is>
      </c>
      <c r="E523" t="inlineStr">
        <is>
          <t>SALA</t>
        </is>
      </c>
      <c r="G523" t="n">
        <v>1.8</v>
      </c>
      <c r="H523" t="n">
        <v>0</v>
      </c>
      <c r="I523" t="n">
        <v>0</v>
      </c>
      <c r="J523" t="n">
        <v>0</v>
      </c>
      <c r="K523" t="n">
        <v>0</v>
      </c>
      <c r="L523" t="n">
        <v>0</v>
      </c>
      <c r="M523" t="n">
        <v>0</v>
      </c>
      <c r="N523" t="n">
        <v>0</v>
      </c>
      <c r="O523" t="n">
        <v>0</v>
      </c>
      <c r="P523" t="n">
        <v>0</v>
      </c>
      <c r="Q523" t="n">
        <v>0</v>
      </c>
      <c r="R523" s="2" t="inlineStr"/>
    </row>
    <row r="524" ht="15" customHeight="1">
      <c r="A524" t="inlineStr">
        <is>
          <t>A 4683-2026</t>
        </is>
      </c>
      <c r="B524" s="1" t="n">
        <v>46048.43489583334</v>
      </c>
      <c r="C524" s="1" t="n">
        <v>46084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56611-2025</t>
        </is>
      </c>
      <c r="B525" s="1" t="n">
        <v>45975</v>
      </c>
      <c r="C525" s="1" t="n">
        <v>46084</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14690-2025</t>
        </is>
      </c>
      <c r="B526" s="1" t="n">
        <v>45742.58212962963</v>
      </c>
      <c r="C526" s="1" t="n">
        <v>46084</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10585-2022</t>
        </is>
      </c>
      <c r="B527" s="1" t="n">
        <v>44624</v>
      </c>
      <c r="C527" s="1" t="n">
        <v>46084</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22523-2023</t>
        </is>
      </c>
      <c r="B528" s="1" t="n">
        <v>45069</v>
      </c>
      <c r="C528" s="1" t="n">
        <v>46084</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31609-2024</t>
        </is>
      </c>
      <c r="B529" s="1" t="n">
        <v>45506</v>
      </c>
      <c r="C529" s="1" t="n">
        <v>46084</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56057-2023</t>
        </is>
      </c>
      <c r="B530" s="1" t="n">
        <v>45233</v>
      </c>
      <c r="C530" s="1" t="n">
        <v>46084</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2521-2025</t>
        </is>
      </c>
      <c r="B531" s="1" t="n">
        <v>45674</v>
      </c>
      <c r="C531" s="1" t="n">
        <v>46084</v>
      </c>
      <c r="D531" t="inlineStr">
        <is>
          <t>VÄSTMANLANDS LÄN</t>
        </is>
      </c>
      <c r="E531" t="inlineStr">
        <is>
          <t>SALA</t>
        </is>
      </c>
      <c r="G531" t="n">
        <v>3.5</v>
      </c>
      <c r="H531" t="n">
        <v>0</v>
      </c>
      <c r="I531" t="n">
        <v>0</v>
      </c>
      <c r="J531" t="n">
        <v>0</v>
      </c>
      <c r="K531" t="n">
        <v>0</v>
      </c>
      <c r="L531" t="n">
        <v>0</v>
      </c>
      <c r="M531" t="n">
        <v>0</v>
      </c>
      <c r="N531" t="n">
        <v>0</v>
      </c>
      <c r="O531" t="n">
        <v>0</v>
      </c>
      <c r="P531" t="n">
        <v>0</v>
      </c>
      <c r="Q531" t="n">
        <v>0</v>
      </c>
      <c r="R531" s="2" t="inlineStr"/>
    </row>
    <row r="532" ht="15" customHeight="1">
      <c r="A532" t="inlineStr">
        <is>
          <t>A 57014-2025</t>
        </is>
      </c>
      <c r="B532" s="1" t="n">
        <v>45978</v>
      </c>
      <c r="C532" s="1" t="n">
        <v>46084</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62635-2022</t>
        </is>
      </c>
      <c r="B533" s="1" t="n">
        <v>44917</v>
      </c>
      <c r="C533" s="1" t="n">
        <v>46084</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4852-2023</t>
        </is>
      </c>
      <c r="B534" s="1" t="n">
        <v>44957.72496527778</v>
      </c>
      <c r="C534" s="1" t="n">
        <v>46084</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39714-2023</t>
        </is>
      </c>
      <c r="B535" s="1" t="n">
        <v>45167.62133101852</v>
      </c>
      <c r="C535" s="1" t="n">
        <v>46084</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57414-2025</t>
        </is>
      </c>
      <c r="B536" s="1" t="n">
        <v>45980.45003472222</v>
      </c>
      <c r="C536" s="1" t="n">
        <v>46084</v>
      </c>
      <c r="D536" t="inlineStr">
        <is>
          <t>VÄSTMANLANDS LÄN</t>
        </is>
      </c>
      <c r="E536" t="inlineStr">
        <is>
          <t>SALA</t>
        </is>
      </c>
      <c r="F536" t="inlineStr">
        <is>
          <t>Bergvik skog öst AB</t>
        </is>
      </c>
      <c r="G536" t="n">
        <v>2</v>
      </c>
      <c r="H536" t="n">
        <v>0</v>
      </c>
      <c r="I536" t="n">
        <v>0</v>
      </c>
      <c r="J536" t="n">
        <v>0</v>
      </c>
      <c r="K536" t="n">
        <v>0</v>
      </c>
      <c r="L536" t="n">
        <v>0</v>
      </c>
      <c r="M536" t="n">
        <v>0</v>
      </c>
      <c r="N536" t="n">
        <v>0</v>
      </c>
      <c r="O536" t="n">
        <v>0</v>
      </c>
      <c r="P536" t="n">
        <v>0</v>
      </c>
      <c r="Q536" t="n">
        <v>0</v>
      </c>
      <c r="R536" s="2" t="inlineStr"/>
    </row>
    <row r="537" ht="15" customHeight="1">
      <c r="A537" t="inlineStr">
        <is>
          <t>A 57415-2025</t>
        </is>
      </c>
      <c r="B537" s="1" t="n">
        <v>45980.45099537037</v>
      </c>
      <c r="C537" s="1" t="n">
        <v>46084</v>
      </c>
      <c r="D537" t="inlineStr">
        <is>
          <t>VÄSTMANLANDS LÄN</t>
        </is>
      </c>
      <c r="E537" t="inlineStr">
        <is>
          <t>SALA</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57412-2025</t>
        </is>
      </c>
      <c r="B538" s="1" t="n">
        <v>45980.44883101852</v>
      </c>
      <c r="C538" s="1" t="n">
        <v>46084</v>
      </c>
      <c r="D538" t="inlineStr">
        <is>
          <t>VÄSTMANLANDS LÄN</t>
        </is>
      </c>
      <c r="E538" t="inlineStr">
        <is>
          <t>SALA</t>
        </is>
      </c>
      <c r="F538" t="inlineStr">
        <is>
          <t>Bergvik skog öst AB</t>
        </is>
      </c>
      <c r="G538" t="n">
        <v>4.5</v>
      </c>
      <c r="H538" t="n">
        <v>0</v>
      </c>
      <c r="I538" t="n">
        <v>0</v>
      </c>
      <c r="J538" t="n">
        <v>0</v>
      </c>
      <c r="K538" t="n">
        <v>0</v>
      </c>
      <c r="L538" t="n">
        <v>0</v>
      </c>
      <c r="M538" t="n">
        <v>0</v>
      </c>
      <c r="N538" t="n">
        <v>0</v>
      </c>
      <c r="O538" t="n">
        <v>0</v>
      </c>
      <c r="P538" t="n">
        <v>0</v>
      </c>
      <c r="Q538" t="n">
        <v>0</v>
      </c>
      <c r="R538" s="2" t="inlineStr"/>
    </row>
    <row r="539" ht="15" customHeight="1">
      <c r="A539" t="inlineStr">
        <is>
          <t>A 42984-2023</t>
        </is>
      </c>
      <c r="B539" s="1" t="n">
        <v>45179</v>
      </c>
      <c r="C539" s="1" t="n">
        <v>46084</v>
      </c>
      <c r="D539" t="inlineStr">
        <is>
          <t>VÄSTMANLANDS LÄN</t>
        </is>
      </c>
      <c r="E539" t="inlineStr">
        <is>
          <t>SALA</t>
        </is>
      </c>
      <c r="G539" t="n">
        <v>1.1</v>
      </c>
      <c r="H539" t="n">
        <v>0</v>
      </c>
      <c r="I539" t="n">
        <v>0</v>
      </c>
      <c r="J539" t="n">
        <v>0</v>
      </c>
      <c r="K539" t="n">
        <v>0</v>
      </c>
      <c r="L539" t="n">
        <v>0</v>
      </c>
      <c r="M539" t="n">
        <v>0</v>
      </c>
      <c r="N539" t="n">
        <v>0</v>
      </c>
      <c r="O539" t="n">
        <v>0</v>
      </c>
      <c r="P539" t="n">
        <v>0</v>
      </c>
      <c r="Q539" t="n">
        <v>0</v>
      </c>
      <c r="R539" s="2" t="inlineStr"/>
    </row>
    <row r="540" ht="15" customHeight="1">
      <c r="A540" t="inlineStr">
        <is>
          <t>A 60548-2024</t>
        </is>
      </c>
      <c r="B540" s="1" t="n">
        <v>45643.80978009259</v>
      </c>
      <c r="C540" s="1" t="n">
        <v>46084</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58359-2025</t>
        </is>
      </c>
      <c r="B541" s="1" t="n">
        <v>45985.51594907408</v>
      </c>
      <c r="C541" s="1" t="n">
        <v>46084</v>
      </c>
      <c r="D541" t="inlineStr">
        <is>
          <t>VÄSTMANLANDS LÄN</t>
        </is>
      </c>
      <c r="E541" t="inlineStr">
        <is>
          <t>SALA</t>
        </is>
      </c>
      <c r="G541" t="n">
        <v>3.7</v>
      </c>
      <c r="H541" t="n">
        <v>0</v>
      </c>
      <c r="I541" t="n">
        <v>0</v>
      </c>
      <c r="J541" t="n">
        <v>0</v>
      </c>
      <c r="K541" t="n">
        <v>0</v>
      </c>
      <c r="L541" t="n">
        <v>0</v>
      </c>
      <c r="M541" t="n">
        <v>0</v>
      </c>
      <c r="N541" t="n">
        <v>0</v>
      </c>
      <c r="O541" t="n">
        <v>0</v>
      </c>
      <c r="P541" t="n">
        <v>0</v>
      </c>
      <c r="Q541" t="n">
        <v>0</v>
      </c>
      <c r="R541" s="2" t="inlineStr"/>
    </row>
    <row r="542" ht="15" customHeight="1">
      <c r="A542" t="inlineStr">
        <is>
          <t>A 58364-2025</t>
        </is>
      </c>
      <c r="B542" s="1" t="n">
        <v>45985.5228125</v>
      </c>
      <c r="C542" s="1" t="n">
        <v>46084</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58282-2025</t>
        </is>
      </c>
      <c r="B543" s="1" t="n">
        <v>45985.44309027777</v>
      </c>
      <c r="C543" s="1" t="n">
        <v>46084</v>
      </c>
      <c r="D543" t="inlineStr">
        <is>
          <t>VÄSTMANLANDS LÄN</t>
        </is>
      </c>
      <c r="E543" t="inlineStr">
        <is>
          <t>SALA</t>
        </is>
      </c>
      <c r="G543" t="n">
        <v>8.9</v>
      </c>
      <c r="H543" t="n">
        <v>0</v>
      </c>
      <c r="I543" t="n">
        <v>0</v>
      </c>
      <c r="J543" t="n">
        <v>0</v>
      </c>
      <c r="K543" t="n">
        <v>0</v>
      </c>
      <c r="L543" t="n">
        <v>0</v>
      </c>
      <c r="M543" t="n">
        <v>0</v>
      </c>
      <c r="N543" t="n">
        <v>0</v>
      </c>
      <c r="O543" t="n">
        <v>0</v>
      </c>
      <c r="P543" t="n">
        <v>0</v>
      </c>
      <c r="Q543" t="n">
        <v>0</v>
      </c>
      <c r="R543" s="2" t="inlineStr"/>
    </row>
    <row r="544" ht="15" customHeight="1">
      <c r="A544" t="inlineStr">
        <is>
          <t>A 55760-2025</t>
        </is>
      </c>
      <c r="B544" s="1" t="n">
        <v>45972</v>
      </c>
      <c r="C544" s="1" t="n">
        <v>46084</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58357-2025</t>
        </is>
      </c>
      <c r="B545" s="1" t="n">
        <v>45985.51518518518</v>
      </c>
      <c r="C545" s="1" t="n">
        <v>46084</v>
      </c>
      <c r="D545" t="inlineStr">
        <is>
          <t>VÄSTMANLANDS LÄN</t>
        </is>
      </c>
      <c r="E545" t="inlineStr">
        <is>
          <t>SALA</t>
        </is>
      </c>
      <c r="G545" t="n">
        <v>3</v>
      </c>
      <c r="H545" t="n">
        <v>0</v>
      </c>
      <c r="I545" t="n">
        <v>0</v>
      </c>
      <c r="J545" t="n">
        <v>0</v>
      </c>
      <c r="K545" t="n">
        <v>0</v>
      </c>
      <c r="L545" t="n">
        <v>0</v>
      </c>
      <c r="M545" t="n">
        <v>0</v>
      </c>
      <c r="N545" t="n">
        <v>0</v>
      </c>
      <c r="O545" t="n">
        <v>0</v>
      </c>
      <c r="P545" t="n">
        <v>0</v>
      </c>
      <c r="Q545" t="n">
        <v>0</v>
      </c>
      <c r="R545" s="2" t="inlineStr"/>
    </row>
    <row r="546" ht="15" customHeight="1">
      <c r="A546" t="inlineStr">
        <is>
          <t>A 58365-2025</t>
        </is>
      </c>
      <c r="B546" s="1" t="n">
        <v>45985.52288194445</v>
      </c>
      <c r="C546" s="1" t="n">
        <v>46084</v>
      </c>
      <c r="D546" t="inlineStr">
        <is>
          <t>VÄSTMANLANDS LÄN</t>
        </is>
      </c>
      <c r="E546" t="inlineStr">
        <is>
          <t>SALA</t>
        </is>
      </c>
      <c r="G546" t="n">
        <v>3.9</v>
      </c>
      <c r="H546" t="n">
        <v>0</v>
      </c>
      <c r="I546" t="n">
        <v>0</v>
      </c>
      <c r="J546" t="n">
        <v>0</v>
      </c>
      <c r="K546" t="n">
        <v>0</v>
      </c>
      <c r="L546" t="n">
        <v>0</v>
      </c>
      <c r="M546" t="n">
        <v>0</v>
      </c>
      <c r="N546" t="n">
        <v>0</v>
      </c>
      <c r="O546" t="n">
        <v>0</v>
      </c>
      <c r="P546" t="n">
        <v>0</v>
      </c>
      <c r="Q546" t="n">
        <v>0</v>
      </c>
      <c r="R546" s="2" t="inlineStr"/>
    </row>
    <row r="547" ht="15" customHeight="1">
      <c r="A547" t="inlineStr">
        <is>
          <t>A 56535-2022</t>
        </is>
      </c>
      <c r="B547" s="1" t="n">
        <v>44893.47173611111</v>
      </c>
      <c r="C547" s="1" t="n">
        <v>46084</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26761-2023</t>
        </is>
      </c>
      <c r="B548" s="1" t="n">
        <v>45093</v>
      </c>
      <c r="C548" s="1" t="n">
        <v>46084</v>
      </c>
      <c r="D548" t="inlineStr">
        <is>
          <t>VÄSTMANLANDS LÄN</t>
        </is>
      </c>
      <c r="E548" t="inlineStr">
        <is>
          <t>SALA</t>
        </is>
      </c>
      <c r="G548" t="n">
        <v>4.3</v>
      </c>
      <c r="H548" t="n">
        <v>0</v>
      </c>
      <c r="I548" t="n">
        <v>0</v>
      </c>
      <c r="J548" t="n">
        <v>0</v>
      </c>
      <c r="K548" t="n">
        <v>0</v>
      </c>
      <c r="L548" t="n">
        <v>0</v>
      </c>
      <c r="M548" t="n">
        <v>0</v>
      </c>
      <c r="N548" t="n">
        <v>0</v>
      </c>
      <c r="O548" t="n">
        <v>0</v>
      </c>
      <c r="P548" t="n">
        <v>0</v>
      </c>
      <c r="Q548" t="n">
        <v>0</v>
      </c>
      <c r="R548" s="2" t="inlineStr"/>
    </row>
    <row r="549" ht="15" customHeight="1">
      <c r="A549" t="inlineStr">
        <is>
          <t>A 60550-2024</t>
        </is>
      </c>
      <c r="B549" s="1" t="n">
        <v>45643</v>
      </c>
      <c r="C549" s="1" t="n">
        <v>46084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55035-2023</t>
        </is>
      </c>
      <c r="B550" s="1" t="n">
        <v>45229</v>
      </c>
      <c r="C550" s="1" t="n">
        <v>46084</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13746-2025</t>
        </is>
      </c>
      <c r="B551" s="1" t="n">
        <v>45737.40944444444</v>
      </c>
      <c r="C551" s="1" t="n">
        <v>46084</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5219-2026</t>
        </is>
      </c>
      <c r="B552" s="1" t="n">
        <v>46049.76225694444</v>
      </c>
      <c r="C552" s="1" t="n">
        <v>46084</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29230-2022</t>
        </is>
      </c>
      <c r="B553" s="1" t="n">
        <v>44750</v>
      </c>
      <c r="C553" s="1" t="n">
        <v>46084</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60249-2023</t>
        </is>
      </c>
      <c r="B554" s="1" t="n">
        <v>45258</v>
      </c>
      <c r="C554" s="1" t="n">
        <v>46084</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910-2026</t>
        </is>
      </c>
      <c r="B555" s="1" t="n">
        <v>46030.4771412037</v>
      </c>
      <c r="C555" s="1" t="n">
        <v>46084</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59175-2022</t>
        </is>
      </c>
      <c r="B556" s="1" t="n">
        <v>44904.48502314815</v>
      </c>
      <c r="C556" s="1" t="n">
        <v>46084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59385-2025</t>
        </is>
      </c>
      <c r="B557" s="1" t="n">
        <v>45989.45746527778</v>
      </c>
      <c r="C557" s="1" t="n">
        <v>46084</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914-2026</t>
        </is>
      </c>
      <c r="B558" s="1" t="n">
        <v>46030.47952546296</v>
      </c>
      <c r="C558" s="1" t="n">
        <v>46084</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59390-2025</t>
        </is>
      </c>
      <c r="B559" s="1" t="n">
        <v>45989.4640162037</v>
      </c>
      <c r="C559" s="1" t="n">
        <v>46084</v>
      </c>
      <c r="D559" t="inlineStr">
        <is>
          <t>VÄSTMANLANDS LÄN</t>
        </is>
      </c>
      <c r="E559" t="inlineStr">
        <is>
          <t>SALA</t>
        </is>
      </c>
      <c r="G559" t="n">
        <v>1.8</v>
      </c>
      <c r="H559" t="n">
        <v>0</v>
      </c>
      <c r="I559" t="n">
        <v>0</v>
      </c>
      <c r="J559" t="n">
        <v>0</v>
      </c>
      <c r="K559" t="n">
        <v>0</v>
      </c>
      <c r="L559" t="n">
        <v>0</v>
      </c>
      <c r="M559" t="n">
        <v>0</v>
      </c>
      <c r="N559" t="n">
        <v>0</v>
      </c>
      <c r="O559" t="n">
        <v>0</v>
      </c>
      <c r="P559" t="n">
        <v>0</v>
      </c>
      <c r="Q559" t="n">
        <v>0</v>
      </c>
      <c r="R559" s="2" t="inlineStr"/>
    </row>
    <row r="560" ht="15" customHeight="1">
      <c r="A560" t="inlineStr">
        <is>
          <t>A 19381-2025</t>
        </is>
      </c>
      <c r="B560" s="1" t="n">
        <v>45769</v>
      </c>
      <c r="C560" s="1" t="n">
        <v>46084</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51247-2025</t>
        </is>
      </c>
      <c r="B561" s="1" t="n">
        <v>45947.86487268518</v>
      </c>
      <c r="C561" s="1" t="n">
        <v>46084</v>
      </c>
      <c r="D561" t="inlineStr">
        <is>
          <t>VÄSTMANLANDS LÄN</t>
        </is>
      </c>
      <c r="E561" t="inlineStr">
        <is>
          <t>SALA</t>
        </is>
      </c>
      <c r="G561" t="n">
        <v>10.4</v>
      </c>
      <c r="H561" t="n">
        <v>0</v>
      </c>
      <c r="I561" t="n">
        <v>0</v>
      </c>
      <c r="J561" t="n">
        <v>0</v>
      </c>
      <c r="K561" t="n">
        <v>0</v>
      </c>
      <c r="L561" t="n">
        <v>0</v>
      </c>
      <c r="M561" t="n">
        <v>0</v>
      </c>
      <c r="N561" t="n">
        <v>0</v>
      </c>
      <c r="O561" t="n">
        <v>0</v>
      </c>
      <c r="P561" t="n">
        <v>0</v>
      </c>
      <c r="Q561" t="n">
        <v>0</v>
      </c>
      <c r="R561" s="2" t="inlineStr"/>
    </row>
    <row r="562" ht="15" customHeight="1">
      <c r="A562" t="inlineStr">
        <is>
          <t>A 948-2026</t>
        </is>
      </c>
      <c r="B562" s="1" t="n">
        <v>46030.53986111111</v>
      </c>
      <c r="C562" s="1" t="n">
        <v>46084</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42938-2023</t>
        </is>
      </c>
      <c r="B563" s="1" t="n">
        <v>45179</v>
      </c>
      <c r="C563" s="1" t="n">
        <v>46084</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19222-2025</t>
        </is>
      </c>
      <c r="B564" s="1" t="n">
        <v>45769</v>
      </c>
      <c r="C564" s="1" t="n">
        <v>46084</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19241-2025</t>
        </is>
      </c>
      <c r="B565" s="1" t="n">
        <v>45769</v>
      </c>
      <c r="C565" s="1" t="n">
        <v>46084</v>
      </c>
      <c r="D565" t="inlineStr">
        <is>
          <t>VÄSTMANLANDS LÄN</t>
        </is>
      </c>
      <c r="E565" t="inlineStr">
        <is>
          <t>SALA</t>
        </is>
      </c>
      <c r="G565" t="n">
        <v>3.6</v>
      </c>
      <c r="H565" t="n">
        <v>0</v>
      </c>
      <c r="I565" t="n">
        <v>0</v>
      </c>
      <c r="J565" t="n">
        <v>0</v>
      </c>
      <c r="K565" t="n">
        <v>0</v>
      </c>
      <c r="L565" t="n">
        <v>0</v>
      </c>
      <c r="M565" t="n">
        <v>0</v>
      </c>
      <c r="N565" t="n">
        <v>0</v>
      </c>
      <c r="O565" t="n">
        <v>0</v>
      </c>
      <c r="P565" t="n">
        <v>0</v>
      </c>
      <c r="Q565" t="n">
        <v>0</v>
      </c>
      <c r="R565" s="2" t="inlineStr"/>
    </row>
    <row r="566" ht="15" customHeight="1">
      <c r="A566" t="inlineStr">
        <is>
          <t>A 59817-2025</t>
        </is>
      </c>
      <c r="B566" s="1" t="n">
        <v>45992.63711805556</v>
      </c>
      <c r="C566" s="1" t="n">
        <v>46084</v>
      </c>
      <c r="D566" t="inlineStr">
        <is>
          <t>VÄSTMANLANDS LÄN</t>
        </is>
      </c>
      <c r="E566" t="inlineStr">
        <is>
          <t>SALA</t>
        </is>
      </c>
      <c r="G566" t="n">
        <v>6.9</v>
      </c>
      <c r="H566" t="n">
        <v>0</v>
      </c>
      <c r="I566" t="n">
        <v>0</v>
      </c>
      <c r="J566" t="n">
        <v>0</v>
      </c>
      <c r="K566" t="n">
        <v>0</v>
      </c>
      <c r="L566" t="n">
        <v>0</v>
      </c>
      <c r="M566" t="n">
        <v>0</v>
      </c>
      <c r="N566" t="n">
        <v>0</v>
      </c>
      <c r="O566" t="n">
        <v>0</v>
      </c>
      <c r="P566" t="n">
        <v>0</v>
      </c>
      <c r="Q566" t="n">
        <v>0</v>
      </c>
      <c r="R566" s="2" t="inlineStr"/>
    </row>
    <row r="567" ht="15" customHeight="1">
      <c r="A567" t="inlineStr">
        <is>
          <t>A 60823-2024</t>
        </is>
      </c>
      <c r="B567" s="1" t="n">
        <v>45644</v>
      </c>
      <c r="C567" s="1" t="n">
        <v>46084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59870-2025</t>
        </is>
      </c>
      <c r="B568" s="1" t="n">
        <v>45992.92226851852</v>
      </c>
      <c r="C568" s="1" t="n">
        <v>46084</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61681-2024</t>
        </is>
      </c>
      <c r="B569" s="1" t="n">
        <v>45647</v>
      </c>
      <c r="C569" s="1" t="n">
        <v>46084</v>
      </c>
      <c r="D569" t="inlineStr">
        <is>
          <t>VÄSTMANLANDS LÄN</t>
        </is>
      </c>
      <c r="E569" t="inlineStr">
        <is>
          <t>SALA</t>
        </is>
      </c>
      <c r="F569" t="inlineStr">
        <is>
          <t>Kommuner</t>
        </is>
      </c>
      <c r="G569" t="n">
        <v>1</v>
      </c>
      <c r="H569" t="n">
        <v>0</v>
      </c>
      <c r="I569" t="n">
        <v>0</v>
      </c>
      <c r="J569" t="n">
        <v>0</v>
      </c>
      <c r="K569" t="n">
        <v>0</v>
      </c>
      <c r="L569" t="n">
        <v>0</v>
      </c>
      <c r="M569" t="n">
        <v>0</v>
      </c>
      <c r="N569" t="n">
        <v>0</v>
      </c>
      <c r="O569" t="n">
        <v>0</v>
      </c>
      <c r="P569" t="n">
        <v>0</v>
      </c>
      <c r="Q569" t="n">
        <v>0</v>
      </c>
      <c r="R569" s="2" t="inlineStr"/>
    </row>
    <row r="570" ht="15" customHeight="1">
      <c r="A570" t="inlineStr">
        <is>
          <t>A 59926-2025</t>
        </is>
      </c>
      <c r="B570" s="1" t="n">
        <v>45993.39221064815</v>
      </c>
      <c r="C570" s="1" t="n">
        <v>46084</v>
      </c>
      <c r="D570" t="inlineStr">
        <is>
          <t>VÄSTMANLANDS LÄN</t>
        </is>
      </c>
      <c r="E570" t="inlineStr">
        <is>
          <t>SALA</t>
        </is>
      </c>
      <c r="G570" t="n">
        <v>7.1</v>
      </c>
      <c r="H570" t="n">
        <v>0</v>
      </c>
      <c r="I570" t="n">
        <v>0</v>
      </c>
      <c r="J570" t="n">
        <v>0</v>
      </c>
      <c r="K570" t="n">
        <v>0</v>
      </c>
      <c r="L570" t="n">
        <v>0</v>
      </c>
      <c r="M570" t="n">
        <v>0</v>
      </c>
      <c r="N570" t="n">
        <v>0</v>
      </c>
      <c r="O570" t="n">
        <v>0</v>
      </c>
      <c r="P570" t="n">
        <v>0</v>
      </c>
      <c r="Q570" t="n">
        <v>0</v>
      </c>
      <c r="R570" s="2" t="inlineStr"/>
    </row>
    <row r="571" ht="15" customHeight="1">
      <c r="A571" t="inlineStr">
        <is>
          <t>A 60017-2025</t>
        </is>
      </c>
      <c r="B571" s="1" t="n">
        <v>45993.59998842593</v>
      </c>
      <c r="C571" s="1" t="n">
        <v>46084</v>
      </c>
      <c r="D571" t="inlineStr">
        <is>
          <t>VÄSTMANLANDS LÄN</t>
        </is>
      </c>
      <c r="E571" t="inlineStr">
        <is>
          <t>SALA</t>
        </is>
      </c>
      <c r="G571" t="n">
        <v>4.4</v>
      </c>
      <c r="H571" t="n">
        <v>0</v>
      </c>
      <c r="I571" t="n">
        <v>0</v>
      </c>
      <c r="J571" t="n">
        <v>0</v>
      </c>
      <c r="K571" t="n">
        <v>0</v>
      </c>
      <c r="L571" t="n">
        <v>0</v>
      </c>
      <c r="M571" t="n">
        <v>0</v>
      </c>
      <c r="N571" t="n">
        <v>0</v>
      </c>
      <c r="O571" t="n">
        <v>0</v>
      </c>
      <c r="P571" t="n">
        <v>0</v>
      </c>
      <c r="Q571" t="n">
        <v>0</v>
      </c>
      <c r="R571" s="2" t="inlineStr"/>
    </row>
    <row r="572" ht="15" customHeight="1">
      <c r="A572" t="inlineStr">
        <is>
          <t>A 60254-2025</t>
        </is>
      </c>
      <c r="B572" s="1" t="n">
        <v>45994.60146990741</v>
      </c>
      <c r="C572" s="1" t="n">
        <v>46084</v>
      </c>
      <c r="D572" t="inlineStr">
        <is>
          <t>VÄSTMANLANDS LÄN</t>
        </is>
      </c>
      <c r="E572" t="inlineStr">
        <is>
          <t>SALA</t>
        </is>
      </c>
      <c r="G572" t="n">
        <v>1.7</v>
      </c>
      <c r="H572" t="n">
        <v>0</v>
      </c>
      <c r="I572" t="n">
        <v>0</v>
      </c>
      <c r="J572" t="n">
        <v>0</v>
      </c>
      <c r="K572" t="n">
        <v>0</v>
      </c>
      <c r="L572" t="n">
        <v>0</v>
      </c>
      <c r="M572" t="n">
        <v>0</v>
      </c>
      <c r="N572" t="n">
        <v>0</v>
      </c>
      <c r="O572" t="n">
        <v>0</v>
      </c>
      <c r="P572" t="n">
        <v>0</v>
      </c>
      <c r="Q572" t="n">
        <v>0</v>
      </c>
      <c r="R572" s="2" t="inlineStr"/>
    </row>
    <row r="573" ht="15" customHeight="1">
      <c r="A573" t="inlineStr">
        <is>
          <t>A 60259-2025</t>
        </is>
      </c>
      <c r="B573" s="1" t="n">
        <v>45994.60913194445</v>
      </c>
      <c r="C573" s="1" t="n">
        <v>46084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60241-2025</t>
        </is>
      </c>
      <c r="B574" s="1" t="n">
        <v>45994.58454861111</v>
      </c>
      <c r="C574" s="1" t="n">
        <v>46084</v>
      </c>
      <c r="D574" t="inlineStr">
        <is>
          <t>VÄSTMANLANDS LÄN</t>
        </is>
      </c>
      <c r="E574" t="inlineStr">
        <is>
          <t>SALA</t>
        </is>
      </c>
      <c r="G574" t="n">
        <v>1.6</v>
      </c>
      <c r="H574" t="n">
        <v>0</v>
      </c>
      <c r="I574" t="n">
        <v>0</v>
      </c>
      <c r="J574" t="n">
        <v>0</v>
      </c>
      <c r="K574" t="n">
        <v>0</v>
      </c>
      <c r="L574" t="n">
        <v>0</v>
      </c>
      <c r="M574" t="n">
        <v>0</v>
      </c>
      <c r="N574" t="n">
        <v>0</v>
      </c>
      <c r="O574" t="n">
        <v>0</v>
      </c>
      <c r="P574" t="n">
        <v>0</v>
      </c>
      <c r="Q574" t="n">
        <v>0</v>
      </c>
      <c r="R574" s="2" t="inlineStr"/>
    </row>
    <row r="575" ht="15" customHeight="1">
      <c r="A575" t="inlineStr">
        <is>
          <t>A 49661-2024</t>
        </is>
      </c>
      <c r="B575" s="1" t="n">
        <v>45596</v>
      </c>
      <c r="C575" s="1" t="n">
        <v>46084</v>
      </c>
      <c r="D575" t="inlineStr">
        <is>
          <t>VÄSTMANLANDS LÄN</t>
        </is>
      </c>
      <c r="E575" t="inlineStr">
        <is>
          <t>SALA</t>
        </is>
      </c>
      <c r="G575" t="n">
        <v>6.7</v>
      </c>
      <c r="H575" t="n">
        <v>0</v>
      </c>
      <c r="I575" t="n">
        <v>0</v>
      </c>
      <c r="J575" t="n">
        <v>0</v>
      </c>
      <c r="K575" t="n">
        <v>0</v>
      </c>
      <c r="L575" t="n">
        <v>0</v>
      </c>
      <c r="M575" t="n">
        <v>0</v>
      </c>
      <c r="N575" t="n">
        <v>0</v>
      </c>
      <c r="O575" t="n">
        <v>0</v>
      </c>
      <c r="P575" t="n">
        <v>0</v>
      </c>
      <c r="Q575" t="n">
        <v>0</v>
      </c>
      <c r="R575" s="2" t="inlineStr"/>
    </row>
    <row r="576" ht="15" customHeight="1">
      <c r="A576" t="inlineStr">
        <is>
          <t>A 60258-2025</t>
        </is>
      </c>
      <c r="B576" s="1" t="n">
        <v>45994.6064699074</v>
      </c>
      <c r="C576" s="1" t="n">
        <v>46084</v>
      </c>
      <c r="D576" t="inlineStr">
        <is>
          <t>VÄSTMANLANDS LÄN</t>
        </is>
      </c>
      <c r="E576" t="inlineStr">
        <is>
          <t>SALA</t>
        </is>
      </c>
      <c r="G576" t="n">
        <v>2.2</v>
      </c>
      <c r="H576" t="n">
        <v>0</v>
      </c>
      <c r="I576" t="n">
        <v>0</v>
      </c>
      <c r="J576" t="n">
        <v>0</v>
      </c>
      <c r="K576" t="n">
        <v>0</v>
      </c>
      <c r="L576" t="n">
        <v>0</v>
      </c>
      <c r="M576" t="n">
        <v>0</v>
      </c>
      <c r="N576" t="n">
        <v>0</v>
      </c>
      <c r="O576" t="n">
        <v>0</v>
      </c>
      <c r="P576" t="n">
        <v>0</v>
      </c>
      <c r="Q576" t="n">
        <v>0</v>
      </c>
      <c r="R576" s="2" t="inlineStr"/>
    </row>
    <row r="577" ht="15" customHeight="1">
      <c r="A577" t="inlineStr">
        <is>
          <t>A 10252-2026</t>
        </is>
      </c>
      <c r="B577" s="1" t="n">
        <v>46076.55700231482</v>
      </c>
      <c r="C577" s="1" t="n">
        <v>46084</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46084</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10239-2026</t>
        </is>
      </c>
      <c r="B579" s="1" t="n">
        <v>46076.54824074074</v>
      </c>
      <c r="C579" s="1" t="n">
        <v>46084</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60246-2025</t>
        </is>
      </c>
      <c r="B580" s="1" t="n">
        <v>45994.58931712963</v>
      </c>
      <c r="C580" s="1" t="n">
        <v>46084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60629-2025</t>
        </is>
      </c>
      <c r="B581" s="1" t="n">
        <v>45996.41972222222</v>
      </c>
      <c r="C581" s="1" t="n">
        <v>46084</v>
      </c>
      <c r="D581" t="inlineStr">
        <is>
          <t>VÄSTMANLANDS LÄN</t>
        </is>
      </c>
      <c r="E581" t="inlineStr">
        <is>
          <t>SALA</t>
        </is>
      </c>
      <c r="G581" t="n">
        <v>4.3</v>
      </c>
      <c r="H581" t="n">
        <v>0</v>
      </c>
      <c r="I581" t="n">
        <v>0</v>
      </c>
      <c r="J581" t="n">
        <v>0</v>
      </c>
      <c r="K581" t="n">
        <v>0</v>
      </c>
      <c r="L581" t="n">
        <v>0</v>
      </c>
      <c r="M581" t="n">
        <v>0</v>
      </c>
      <c r="N581" t="n">
        <v>0</v>
      </c>
      <c r="O581" t="n">
        <v>0</v>
      </c>
      <c r="P581" t="n">
        <v>0</v>
      </c>
      <c r="Q581" t="n">
        <v>0</v>
      </c>
      <c r="R581" s="2" t="inlineStr"/>
    </row>
    <row r="582" ht="15" customHeight="1">
      <c r="A582" t="inlineStr">
        <is>
          <t>A 10245-2026</t>
        </is>
      </c>
      <c r="B582" s="1" t="n">
        <v>46076.55144675926</v>
      </c>
      <c r="C582" s="1" t="n">
        <v>46084</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31597-2024</t>
        </is>
      </c>
      <c r="B583" s="1" t="n">
        <v>45506</v>
      </c>
      <c r="C583" s="1" t="n">
        <v>46084</v>
      </c>
      <c r="D583" t="inlineStr">
        <is>
          <t>VÄSTMANLANDS LÄN</t>
        </is>
      </c>
      <c r="E583" t="inlineStr">
        <is>
          <t>SALA</t>
        </is>
      </c>
      <c r="G583" t="n">
        <v>2.4</v>
      </c>
      <c r="H583" t="n">
        <v>0</v>
      </c>
      <c r="I583" t="n">
        <v>0</v>
      </c>
      <c r="J583" t="n">
        <v>0</v>
      </c>
      <c r="K583" t="n">
        <v>0</v>
      </c>
      <c r="L583" t="n">
        <v>0</v>
      </c>
      <c r="M583" t="n">
        <v>0</v>
      </c>
      <c r="N583" t="n">
        <v>0</v>
      </c>
      <c r="O583" t="n">
        <v>0</v>
      </c>
      <c r="P583" t="n">
        <v>0</v>
      </c>
      <c r="Q583" t="n">
        <v>0</v>
      </c>
      <c r="R583" s="2" t="inlineStr"/>
    </row>
    <row r="584" ht="15" customHeight="1">
      <c r="A584" t="inlineStr">
        <is>
          <t>A 31599-2024</t>
        </is>
      </c>
      <c r="B584" s="1" t="n">
        <v>45506</v>
      </c>
      <c r="C584" s="1" t="n">
        <v>46084</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31601-2024</t>
        </is>
      </c>
      <c r="B585" s="1" t="n">
        <v>45506</v>
      </c>
      <c r="C585" s="1" t="n">
        <v>46084</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15965-2024</t>
        </is>
      </c>
      <c r="B586" s="1" t="n">
        <v>45405.55740740741</v>
      </c>
      <c r="C586" s="1" t="n">
        <v>46084</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1705-2026</t>
        </is>
      </c>
      <c r="B587" s="1" t="n">
        <v>46034.59930555556</v>
      </c>
      <c r="C587" s="1" t="n">
        <v>46084</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31608-2024</t>
        </is>
      </c>
      <c r="B588" s="1" t="n">
        <v>45506</v>
      </c>
      <c r="C588" s="1" t="n">
        <v>46084</v>
      </c>
      <c r="D588" t="inlineStr">
        <is>
          <t>VÄSTMANLANDS LÄN</t>
        </is>
      </c>
      <c r="E588" t="inlineStr">
        <is>
          <t>SALA</t>
        </is>
      </c>
      <c r="G588" t="n">
        <v>1.7</v>
      </c>
      <c r="H588" t="n">
        <v>0</v>
      </c>
      <c r="I588" t="n">
        <v>0</v>
      </c>
      <c r="J588" t="n">
        <v>0</v>
      </c>
      <c r="K588" t="n">
        <v>0</v>
      </c>
      <c r="L588" t="n">
        <v>0</v>
      </c>
      <c r="M588" t="n">
        <v>0</v>
      </c>
      <c r="N588" t="n">
        <v>0</v>
      </c>
      <c r="O588" t="n">
        <v>0</v>
      </c>
      <c r="P588" t="n">
        <v>0</v>
      </c>
      <c r="Q588" t="n">
        <v>0</v>
      </c>
      <c r="R588" s="2" t="inlineStr"/>
    </row>
    <row r="589" ht="15" customHeight="1">
      <c r="A589" t="inlineStr">
        <is>
          <t>A 31612-2024</t>
        </is>
      </c>
      <c r="B589" s="1" t="n">
        <v>45506</v>
      </c>
      <c r="C589" s="1" t="n">
        <v>46084</v>
      </c>
      <c r="D589" t="inlineStr">
        <is>
          <t>VÄSTMANLANDS LÄN</t>
        </is>
      </c>
      <c r="E589" t="inlineStr">
        <is>
          <t>SALA</t>
        </is>
      </c>
      <c r="G589" t="n">
        <v>3.2</v>
      </c>
      <c r="H589" t="n">
        <v>0</v>
      </c>
      <c r="I589" t="n">
        <v>0</v>
      </c>
      <c r="J589" t="n">
        <v>0</v>
      </c>
      <c r="K589" t="n">
        <v>0</v>
      </c>
      <c r="L589" t="n">
        <v>0</v>
      </c>
      <c r="M589" t="n">
        <v>0</v>
      </c>
      <c r="N589" t="n">
        <v>0</v>
      </c>
      <c r="O589" t="n">
        <v>0</v>
      </c>
      <c r="P589" t="n">
        <v>0</v>
      </c>
      <c r="Q589" t="n">
        <v>0</v>
      </c>
      <c r="R589" s="2" t="inlineStr"/>
    </row>
    <row r="590" ht="15" customHeight="1">
      <c r="A590" t="inlineStr">
        <is>
          <t>A 52500-2024</t>
        </is>
      </c>
      <c r="B590" s="1" t="n">
        <v>45609</v>
      </c>
      <c r="C590" s="1" t="n">
        <v>46084</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23180-2022</t>
        </is>
      </c>
      <c r="B591" s="1" t="n">
        <v>44719.79344907407</v>
      </c>
      <c r="C591" s="1" t="n">
        <v>46084</v>
      </c>
      <c r="D591" t="inlineStr">
        <is>
          <t>VÄSTMANLANDS LÄN</t>
        </is>
      </c>
      <c r="E591" t="inlineStr">
        <is>
          <t>SALA</t>
        </is>
      </c>
      <c r="G591" t="n">
        <v>1.2</v>
      </c>
      <c r="H591" t="n">
        <v>0</v>
      </c>
      <c r="I591" t="n">
        <v>0</v>
      </c>
      <c r="J591" t="n">
        <v>0</v>
      </c>
      <c r="K591" t="n">
        <v>0</v>
      </c>
      <c r="L591" t="n">
        <v>0</v>
      </c>
      <c r="M591" t="n">
        <v>0</v>
      </c>
      <c r="N591" t="n">
        <v>0</v>
      </c>
      <c r="O591" t="n">
        <v>0</v>
      </c>
      <c r="P591" t="n">
        <v>0</v>
      </c>
      <c r="Q591" t="n">
        <v>0</v>
      </c>
      <c r="R591" s="2" t="inlineStr"/>
    </row>
    <row r="592" ht="15" customHeight="1">
      <c r="A592" t="inlineStr">
        <is>
          <t>A 21455-2023</t>
        </is>
      </c>
      <c r="B592" s="1" t="n">
        <v>45058</v>
      </c>
      <c r="C592" s="1" t="n">
        <v>46084</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21053-2022</t>
        </is>
      </c>
      <c r="B593" s="1" t="n">
        <v>44704</v>
      </c>
      <c r="C593" s="1" t="n">
        <v>46084</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11927-2025</t>
        </is>
      </c>
      <c r="B594" s="1" t="n">
        <v>45728.5137962963</v>
      </c>
      <c r="C594" s="1" t="n">
        <v>46084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61522-2025</t>
        </is>
      </c>
      <c r="B595" s="1" t="n">
        <v>46001.68684027778</v>
      </c>
      <c r="C595" s="1" t="n">
        <v>46084</v>
      </c>
      <c r="D595" t="inlineStr">
        <is>
          <t>VÄSTMANLANDS LÄN</t>
        </is>
      </c>
      <c r="E595" t="inlineStr">
        <is>
          <t>SALA</t>
        </is>
      </c>
      <c r="G595" t="n">
        <v>5.7</v>
      </c>
      <c r="H595" t="n">
        <v>0</v>
      </c>
      <c r="I595" t="n">
        <v>0</v>
      </c>
      <c r="J595" t="n">
        <v>0</v>
      </c>
      <c r="K595" t="n">
        <v>0</v>
      </c>
      <c r="L595" t="n">
        <v>0</v>
      </c>
      <c r="M595" t="n">
        <v>0</v>
      </c>
      <c r="N595" t="n">
        <v>0</v>
      </c>
      <c r="O595" t="n">
        <v>0</v>
      </c>
      <c r="P595" t="n">
        <v>0</v>
      </c>
      <c r="Q595" t="n">
        <v>0</v>
      </c>
      <c r="R595" s="2" t="inlineStr"/>
    </row>
    <row r="596" ht="15" customHeight="1">
      <c r="A596" t="inlineStr">
        <is>
          <t>A 50876-2023</t>
        </is>
      </c>
      <c r="B596" s="1" t="n">
        <v>45211</v>
      </c>
      <c r="C596" s="1" t="n">
        <v>46084</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10255-2024</t>
        </is>
      </c>
      <c r="B597" s="1" t="n">
        <v>45365</v>
      </c>
      <c r="C597" s="1" t="n">
        <v>46084</v>
      </c>
      <c r="D597" t="inlineStr">
        <is>
          <t>VÄSTMANLANDS LÄN</t>
        </is>
      </c>
      <c r="E597" t="inlineStr">
        <is>
          <t>SALA</t>
        </is>
      </c>
      <c r="F597" t="inlineStr">
        <is>
          <t>Kommuner</t>
        </is>
      </c>
      <c r="G597" t="n">
        <v>0.8</v>
      </c>
      <c r="H597" t="n">
        <v>0</v>
      </c>
      <c r="I597" t="n">
        <v>0</v>
      </c>
      <c r="J597" t="n">
        <v>0</v>
      </c>
      <c r="K597" t="n">
        <v>0</v>
      </c>
      <c r="L597" t="n">
        <v>0</v>
      </c>
      <c r="M597" t="n">
        <v>0</v>
      </c>
      <c r="N597" t="n">
        <v>0</v>
      </c>
      <c r="O597" t="n">
        <v>0</v>
      </c>
      <c r="P597" t="n">
        <v>0</v>
      </c>
      <c r="Q597" t="n">
        <v>0</v>
      </c>
      <c r="R597" s="2" t="inlineStr"/>
    </row>
    <row r="598" ht="15" customHeight="1">
      <c r="A598" t="inlineStr">
        <is>
          <t>A 56949-2023</t>
        </is>
      </c>
      <c r="B598" s="1" t="n">
        <v>45244.61589120371</v>
      </c>
      <c r="C598" s="1" t="n">
        <v>46084</v>
      </c>
      <c r="D598" t="inlineStr">
        <is>
          <t>VÄSTMANLANDS LÄN</t>
        </is>
      </c>
      <c r="E598" t="inlineStr">
        <is>
          <t>SALA</t>
        </is>
      </c>
      <c r="G598" t="n">
        <v>4.7</v>
      </c>
      <c r="H598" t="n">
        <v>0</v>
      </c>
      <c r="I598" t="n">
        <v>0</v>
      </c>
      <c r="J598" t="n">
        <v>0</v>
      </c>
      <c r="K598" t="n">
        <v>0</v>
      </c>
      <c r="L598" t="n">
        <v>0</v>
      </c>
      <c r="M598" t="n">
        <v>0</v>
      </c>
      <c r="N598" t="n">
        <v>0</v>
      </c>
      <c r="O598" t="n">
        <v>0</v>
      </c>
      <c r="P598" t="n">
        <v>0</v>
      </c>
      <c r="Q598" t="n">
        <v>0</v>
      </c>
      <c r="R598" s="2" t="inlineStr"/>
    </row>
    <row r="599" ht="15" customHeight="1">
      <c r="A599" t="inlineStr">
        <is>
          <t>A 62648-2022</t>
        </is>
      </c>
      <c r="B599" s="1" t="n">
        <v>44917</v>
      </c>
      <c r="C599" s="1" t="n">
        <v>46084</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56548-2024</t>
        </is>
      </c>
      <c r="B600" s="1" t="n">
        <v>45625</v>
      </c>
      <c r="C600" s="1" t="n">
        <v>46084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5477-2024</t>
        </is>
      </c>
      <c r="B601" s="1" t="n">
        <v>45333.67833333334</v>
      </c>
      <c r="C601" s="1" t="n">
        <v>46084</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39451-2022</t>
        </is>
      </c>
      <c r="B602" s="1" t="n">
        <v>44818.36606481481</v>
      </c>
      <c r="C602" s="1" t="n">
        <v>46084</v>
      </c>
      <c r="D602" t="inlineStr">
        <is>
          <t>VÄSTMANLANDS LÄN</t>
        </is>
      </c>
      <c r="E602" t="inlineStr">
        <is>
          <t>SALA</t>
        </is>
      </c>
      <c r="G602" t="n">
        <v>9.4</v>
      </c>
      <c r="H602" t="n">
        <v>0</v>
      </c>
      <c r="I602" t="n">
        <v>0</v>
      </c>
      <c r="J602" t="n">
        <v>0</v>
      </c>
      <c r="K602" t="n">
        <v>0</v>
      </c>
      <c r="L602" t="n">
        <v>0</v>
      </c>
      <c r="M602" t="n">
        <v>0</v>
      </c>
      <c r="N602" t="n">
        <v>0</v>
      </c>
      <c r="O602" t="n">
        <v>0</v>
      </c>
      <c r="P602" t="n">
        <v>0</v>
      </c>
      <c r="Q602" t="n">
        <v>0</v>
      </c>
      <c r="R602" s="2" t="inlineStr"/>
    </row>
    <row r="603" ht="15" customHeight="1">
      <c r="A603" t="inlineStr">
        <is>
          <t>A 4712-2026</t>
        </is>
      </c>
      <c r="B603" s="1" t="n">
        <v>46048.46082175926</v>
      </c>
      <c r="C603" s="1" t="n">
        <v>46084</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7772-2023</t>
        </is>
      </c>
      <c r="B604" s="1" t="n">
        <v>44973.40076388889</v>
      </c>
      <c r="C604" s="1" t="n">
        <v>46084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4681-2026</t>
        </is>
      </c>
      <c r="B605" s="1" t="n">
        <v>46048.43016203704</v>
      </c>
      <c r="C605" s="1" t="n">
        <v>46084</v>
      </c>
      <c r="D605" t="inlineStr">
        <is>
          <t>VÄSTMANLANDS LÄN</t>
        </is>
      </c>
      <c r="E605" t="inlineStr">
        <is>
          <t>SALA</t>
        </is>
      </c>
      <c r="G605" t="n">
        <v>2.5</v>
      </c>
      <c r="H605" t="n">
        <v>0</v>
      </c>
      <c r="I605" t="n">
        <v>0</v>
      </c>
      <c r="J605" t="n">
        <v>0</v>
      </c>
      <c r="K605" t="n">
        <v>0</v>
      </c>
      <c r="L605" t="n">
        <v>0</v>
      </c>
      <c r="M605" t="n">
        <v>0</v>
      </c>
      <c r="N605" t="n">
        <v>0</v>
      </c>
      <c r="O605" t="n">
        <v>0</v>
      </c>
      <c r="P605" t="n">
        <v>0</v>
      </c>
      <c r="Q605" t="n">
        <v>0</v>
      </c>
      <c r="R605" s="2" t="inlineStr"/>
    </row>
    <row r="606" ht="15" customHeight="1">
      <c r="A606" t="inlineStr">
        <is>
          <t>A 4664-2026</t>
        </is>
      </c>
      <c r="B606" s="1" t="n">
        <v>46048.41061342593</v>
      </c>
      <c r="C606" s="1" t="n">
        <v>46084</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62523-2025</t>
        </is>
      </c>
      <c r="B607" s="1" t="n">
        <v>46007.61512731481</v>
      </c>
      <c r="C607" s="1" t="n">
        <v>46084</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4624-2026</t>
        </is>
      </c>
      <c r="B608" s="1" t="n">
        <v>46048.38107638889</v>
      </c>
      <c r="C608" s="1" t="n">
        <v>46084</v>
      </c>
      <c r="D608" t="inlineStr">
        <is>
          <t>VÄSTMANLANDS LÄN</t>
        </is>
      </c>
      <c r="E608" t="inlineStr">
        <is>
          <t>SALA</t>
        </is>
      </c>
      <c r="G608" t="n">
        <v>12.3</v>
      </c>
      <c r="H608" t="n">
        <v>0</v>
      </c>
      <c r="I608" t="n">
        <v>0</v>
      </c>
      <c r="J608" t="n">
        <v>0</v>
      </c>
      <c r="K608" t="n">
        <v>0</v>
      </c>
      <c r="L608" t="n">
        <v>0</v>
      </c>
      <c r="M608" t="n">
        <v>0</v>
      </c>
      <c r="N608" t="n">
        <v>0</v>
      </c>
      <c r="O608" t="n">
        <v>0</v>
      </c>
      <c r="P608" t="n">
        <v>0</v>
      </c>
      <c r="Q608" t="n">
        <v>0</v>
      </c>
      <c r="R608" s="2" t="inlineStr"/>
    </row>
    <row r="609" ht="15" customHeight="1">
      <c r="A609" t="inlineStr">
        <is>
          <t>A 19751-2022</t>
        </is>
      </c>
      <c r="B609" s="1" t="n">
        <v>44694</v>
      </c>
      <c r="C609" s="1" t="n">
        <v>46084</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44713-2023</t>
        </is>
      </c>
      <c r="B610" s="1" t="n">
        <v>45184</v>
      </c>
      <c r="C610" s="1" t="n">
        <v>46084</v>
      </c>
      <c r="D610" t="inlineStr">
        <is>
          <t>VÄSTMANLANDS LÄN</t>
        </is>
      </c>
      <c r="E610" t="inlineStr">
        <is>
          <t>SALA</t>
        </is>
      </c>
      <c r="F610" t="inlineStr">
        <is>
          <t>Kyrkan</t>
        </is>
      </c>
      <c r="G610" t="n">
        <v>7.6</v>
      </c>
      <c r="H610" t="n">
        <v>0</v>
      </c>
      <c r="I610" t="n">
        <v>0</v>
      </c>
      <c r="J610" t="n">
        <v>0</v>
      </c>
      <c r="K610" t="n">
        <v>0</v>
      </c>
      <c r="L610" t="n">
        <v>0</v>
      </c>
      <c r="M610" t="n">
        <v>0</v>
      </c>
      <c r="N610" t="n">
        <v>0</v>
      </c>
      <c r="O610" t="n">
        <v>0</v>
      </c>
      <c r="P610" t="n">
        <v>0</v>
      </c>
      <c r="Q610" t="n">
        <v>0</v>
      </c>
      <c r="R610" s="2" t="inlineStr"/>
    </row>
    <row r="611" ht="15" customHeight="1">
      <c r="A611" t="inlineStr">
        <is>
          <t>A 18713-2025</t>
        </is>
      </c>
      <c r="B611" s="1" t="n">
        <v>45763</v>
      </c>
      <c r="C611" s="1" t="n">
        <v>46084</v>
      </c>
      <c r="D611" t="inlineStr">
        <is>
          <t>VÄSTMANLANDS LÄN</t>
        </is>
      </c>
      <c r="E611" t="inlineStr">
        <is>
          <t>SALA</t>
        </is>
      </c>
      <c r="F611" t="inlineStr">
        <is>
          <t>Bergvik skog öst AB</t>
        </is>
      </c>
      <c r="G611" t="n">
        <v>11.6</v>
      </c>
      <c r="H611" t="n">
        <v>0</v>
      </c>
      <c r="I611" t="n">
        <v>0</v>
      </c>
      <c r="J611" t="n">
        <v>0</v>
      </c>
      <c r="K611" t="n">
        <v>0</v>
      </c>
      <c r="L611" t="n">
        <v>0</v>
      </c>
      <c r="M611" t="n">
        <v>0</v>
      </c>
      <c r="N611" t="n">
        <v>0</v>
      </c>
      <c r="O611" t="n">
        <v>0</v>
      </c>
      <c r="P611" t="n">
        <v>0</v>
      </c>
      <c r="Q611" t="n">
        <v>0</v>
      </c>
      <c r="R611" s="2" t="inlineStr"/>
    </row>
    <row r="612" ht="15" customHeight="1">
      <c r="A612" t="inlineStr">
        <is>
          <t>A 96-2024</t>
        </is>
      </c>
      <c r="B612" s="1" t="n">
        <v>45293.85872685185</v>
      </c>
      <c r="C612" s="1" t="n">
        <v>46084</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47479-2024</t>
        </is>
      </c>
      <c r="B613" s="1" t="n">
        <v>45587</v>
      </c>
      <c r="C613" s="1" t="n">
        <v>46084</v>
      </c>
      <c r="D613" t="inlineStr">
        <is>
          <t>VÄSTMANLANDS LÄN</t>
        </is>
      </c>
      <c r="E613" t="inlineStr">
        <is>
          <t>SALA</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69236-2021</t>
        </is>
      </c>
      <c r="B614" s="1" t="n">
        <v>44531.4047337963</v>
      </c>
      <c r="C614" s="1" t="n">
        <v>46084</v>
      </c>
      <c r="D614" t="inlineStr">
        <is>
          <t>VÄSTMANLANDS LÄN</t>
        </is>
      </c>
      <c r="E614" t="inlineStr">
        <is>
          <t>SALA</t>
        </is>
      </c>
      <c r="G614" t="n">
        <v>2.8</v>
      </c>
      <c r="H614" t="n">
        <v>0</v>
      </c>
      <c r="I614" t="n">
        <v>0</v>
      </c>
      <c r="J614" t="n">
        <v>0</v>
      </c>
      <c r="K614" t="n">
        <v>0</v>
      </c>
      <c r="L614" t="n">
        <v>0</v>
      </c>
      <c r="M614" t="n">
        <v>0</v>
      </c>
      <c r="N614" t="n">
        <v>0</v>
      </c>
      <c r="O614" t="n">
        <v>0</v>
      </c>
      <c r="P614" t="n">
        <v>0</v>
      </c>
      <c r="Q614" t="n">
        <v>0</v>
      </c>
      <c r="R614" s="2" t="inlineStr"/>
    </row>
    <row r="615" ht="15" customHeight="1">
      <c r="A615" t="inlineStr">
        <is>
          <t>A 54118-2023</t>
        </is>
      </c>
      <c r="B615" s="1" t="n">
        <v>45232</v>
      </c>
      <c r="C615" s="1" t="n">
        <v>46084</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25541-2024</t>
        </is>
      </c>
      <c r="B616" s="1" t="n">
        <v>45463.56337962963</v>
      </c>
      <c r="C616" s="1" t="n">
        <v>46084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5525-2026</t>
        </is>
      </c>
      <c r="B617" s="1" t="n">
        <v>46050.65055555556</v>
      </c>
      <c r="C617" s="1" t="n">
        <v>46084</v>
      </c>
      <c r="D617" t="inlineStr">
        <is>
          <t>VÄSTMANLANDS LÄN</t>
        </is>
      </c>
      <c r="E617" t="inlineStr">
        <is>
          <t>SALA</t>
        </is>
      </c>
      <c r="G617" t="n">
        <v>13.1</v>
      </c>
      <c r="H617" t="n">
        <v>0</v>
      </c>
      <c r="I617" t="n">
        <v>0</v>
      </c>
      <c r="J617" t="n">
        <v>0</v>
      </c>
      <c r="K617" t="n">
        <v>0</v>
      </c>
      <c r="L617" t="n">
        <v>0</v>
      </c>
      <c r="M617" t="n">
        <v>0</v>
      </c>
      <c r="N617" t="n">
        <v>0</v>
      </c>
      <c r="O617" t="n">
        <v>0</v>
      </c>
      <c r="P617" t="n">
        <v>0</v>
      </c>
      <c r="Q617" t="n">
        <v>0</v>
      </c>
      <c r="R617" s="2" t="inlineStr"/>
    </row>
    <row r="618" ht="15" customHeight="1">
      <c r="A618" t="inlineStr">
        <is>
          <t>A 63055-2025</t>
        </is>
      </c>
      <c r="B618" s="1" t="n">
        <v>46009.63619212963</v>
      </c>
      <c r="C618" s="1" t="n">
        <v>46084</v>
      </c>
      <c r="D618" t="inlineStr">
        <is>
          <t>VÄSTMANLANDS LÄN</t>
        </is>
      </c>
      <c r="E618" t="inlineStr">
        <is>
          <t>SALA</t>
        </is>
      </c>
      <c r="G618" t="n">
        <v>0.4</v>
      </c>
      <c r="H618" t="n">
        <v>0</v>
      </c>
      <c r="I618" t="n">
        <v>0</v>
      </c>
      <c r="J618" t="n">
        <v>0</v>
      </c>
      <c r="K618" t="n">
        <v>0</v>
      </c>
      <c r="L618" t="n">
        <v>0</v>
      </c>
      <c r="M618" t="n">
        <v>0</v>
      </c>
      <c r="N618" t="n">
        <v>0</v>
      </c>
      <c r="O618" t="n">
        <v>0</v>
      </c>
      <c r="P618" t="n">
        <v>0</v>
      </c>
      <c r="Q618" t="n">
        <v>0</v>
      </c>
      <c r="R618" s="2" t="inlineStr"/>
    </row>
    <row r="619" ht="15" customHeight="1">
      <c r="A619" t="inlineStr">
        <is>
          <t>A 34814-2021</t>
        </is>
      </c>
      <c r="B619" s="1" t="n">
        <v>44383</v>
      </c>
      <c r="C619" s="1" t="n">
        <v>46084</v>
      </c>
      <c r="D619" t="inlineStr">
        <is>
          <t>VÄSTMANLANDS LÄN</t>
        </is>
      </c>
      <c r="E619" t="inlineStr">
        <is>
          <t>SALA</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5728-2022</t>
        </is>
      </c>
      <c r="B620" s="1" t="n">
        <v>44596.42082175926</v>
      </c>
      <c r="C620" s="1" t="n">
        <v>46084</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63051-2025</t>
        </is>
      </c>
      <c r="B621" s="1" t="n">
        <v>46009.63134259259</v>
      </c>
      <c r="C621" s="1" t="n">
        <v>46084</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25748-2022</t>
        </is>
      </c>
      <c r="B622" s="1" t="n">
        <v>44732</v>
      </c>
      <c r="C622" s="1" t="n">
        <v>46084</v>
      </c>
      <c r="D622" t="inlineStr">
        <is>
          <t>VÄSTMANLANDS LÄN</t>
        </is>
      </c>
      <c r="E622" t="inlineStr">
        <is>
          <t>SALA</t>
        </is>
      </c>
      <c r="G622" t="n">
        <v>7.7</v>
      </c>
      <c r="H622" t="n">
        <v>0</v>
      </c>
      <c r="I622" t="n">
        <v>0</v>
      </c>
      <c r="J622" t="n">
        <v>0</v>
      </c>
      <c r="K622" t="n">
        <v>0</v>
      </c>
      <c r="L622" t="n">
        <v>0</v>
      </c>
      <c r="M622" t="n">
        <v>0</v>
      </c>
      <c r="N622" t="n">
        <v>0</v>
      </c>
      <c r="O622" t="n">
        <v>0</v>
      </c>
      <c r="P622" t="n">
        <v>0</v>
      </c>
      <c r="Q622" t="n">
        <v>0</v>
      </c>
      <c r="R622" s="2" t="inlineStr"/>
    </row>
    <row r="623" ht="15" customHeight="1">
      <c r="A623" t="inlineStr">
        <is>
          <t>A 10250-2025</t>
        </is>
      </c>
      <c r="B623" s="1" t="n">
        <v>45720.36165509259</v>
      </c>
      <c r="C623" s="1" t="n">
        <v>46084</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3733-2023</t>
        </is>
      </c>
      <c r="B624" s="1" t="n">
        <v>44951.42501157407</v>
      </c>
      <c r="C624" s="1" t="n">
        <v>46084</v>
      </c>
      <c r="D624" t="inlineStr">
        <is>
          <t>VÄSTMANLANDS LÄN</t>
        </is>
      </c>
      <c r="E624" t="inlineStr">
        <is>
          <t>SALA</t>
        </is>
      </c>
      <c r="G624" t="n">
        <v>3.1</v>
      </c>
      <c r="H624" t="n">
        <v>0</v>
      </c>
      <c r="I624" t="n">
        <v>0</v>
      </c>
      <c r="J624" t="n">
        <v>0</v>
      </c>
      <c r="K624" t="n">
        <v>0</v>
      </c>
      <c r="L624" t="n">
        <v>0</v>
      </c>
      <c r="M624" t="n">
        <v>0</v>
      </c>
      <c r="N624" t="n">
        <v>0</v>
      </c>
      <c r="O624" t="n">
        <v>0</v>
      </c>
      <c r="P624" t="n">
        <v>0</v>
      </c>
      <c r="Q624" t="n">
        <v>0</v>
      </c>
      <c r="R624" s="2" t="inlineStr"/>
    </row>
    <row r="625" ht="15" customHeight="1">
      <c r="A625" t="inlineStr">
        <is>
          <t>A 63046-2025</t>
        </is>
      </c>
      <c r="B625" s="1" t="n">
        <v>46009.62373842593</v>
      </c>
      <c r="C625" s="1" t="n">
        <v>46084</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5418-2026</t>
        </is>
      </c>
      <c r="B626" s="1" t="n">
        <v>46050.53740740741</v>
      </c>
      <c r="C626" s="1" t="n">
        <v>46084</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49512-2024</t>
        </is>
      </c>
      <c r="B627" s="1" t="n">
        <v>45591</v>
      </c>
      <c r="C627" s="1" t="n">
        <v>46084</v>
      </c>
      <c r="D627" t="inlineStr">
        <is>
          <t>VÄSTMANLANDS LÄN</t>
        </is>
      </c>
      <c r="E627" t="inlineStr">
        <is>
          <t>SALA</t>
        </is>
      </c>
      <c r="G627" t="n">
        <v>8.1</v>
      </c>
      <c r="H627" t="n">
        <v>0</v>
      </c>
      <c r="I627" t="n">
        <v>0</v>
      </c>
      <c r="J627" t="n">
        <v>0</v>
      </c>
      <c r="K627" t="n">
        <v>0</v>
      </c>
      <c r="L627" t="n">
        <v>0</v>
      </c>
      <c r="M627" t="n">
        <v>0</v>
      </c>
      <c r="N627" t="n">
        <v>0</v>
      </c>
      <c r="O627" t="n">
        <v>0</v>
      </c>
      <c r="P627" t="n">
        <v>0</v>
      </c>
      <c r="Q627" t="n">
        <v>0</v>
      </c>
      <c r="R627" s="2" t="inlineStr"/>
    </row>
    <row r="628" ht="15" customHeight="1">
      <c r="A628" t="inlineStr">
        <is>
          <t>A 6136-2025</t>
        </is>
      </c>
      <c r="B628" s="1" t="n">
        <v>45698.37601851852</v>
      </c>
      <c r="C628" s="1" t="n">
        <v>46084</v>
      </c>
      <c r="D628" t="inlineStr">
        <is>
          <t>VÄSTMANLANDS LÄN</t>
        </is>
      </c>
      <c r="E628" t="inlineStr">
        <is>
          <t>SALA</t>
        </is>
      </c>
      <c r="F628" t="inlineStr">
        <is>
          <t>Bergvik skog öst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42416-2022</t>
        </is>
      </c>
      <c r="B629" s="1" t="n">
        <v>44831</v>
      </c>
      <c r="C629" s="1" t="n">
        <v>46084</v>
      </c>
      <c r="D629" t="inlineStr">
        <is>
          <t>VÄSTMANLANDS LÄN</t>
        </is>
      </c>
      <c r="E629" t="inlineStr">
        <is>
          <t>SALA</t>
        </is>
      </c>
      <c r="G629" t="n">
        <v>2.2</v>
      </c>
      <c r="H629" t="n">
        <v>0</v>
      </c>
      <c r="I629" t="n">
        <v>0</v>
      </c>
      <c r="J629" t="n">
        <v>0</v>
      </c>
      <c r="K629" t="n">
        <v>0</v>
      </c>
      <c r="L629" t="n">
        <v>0</v>
      </c>
      <c r="M629" t="n">
        <v>0</v>
      </c>
      <c r="N629" t="n">
        <v>0</v>
      </c>
      <c r="O629" t="n">
        <v>0</v>
      </c>
      <c r="P629" t="n">
        <v>0</v>
      </c>
      <c r="Q629" t="n">
        <v>0</v>
      </c>
      <c r="R629" s="2" t="inlineStr"/>
    </row>
    <row r="630" ht="15" customHeight="1">
      <c r="A630" t="inlineStr">
        <is>
          <t>A 6190-2025</t>
        </is>
      </c>
      <c r="B630" s="1" t="n">
        <v>45698</v>
      </c>
      <c r="C630" s="1" t="n">
        <v>46084</v>
      </c>
      <c r="D630" t="inlineStr">
        <is>
          <t>VÄSTMANLANDS LÄN</t>
        </is>
      </c>
      <c r="E630" t="inlineStr">
        <is>
          <t>SALA</t>
        </is>
      </c>
      <c r="F630" t="inlineStr">
        <is>
          <t>Bergvik skog öst AB</t>
        </is>
      </c>
      <c r="G630" t="n">
        <v>4.6</v>
      </c>
      <c r="H630" t="n">
        <v>0</v>
      </c>
      <c r="I630" t="n">
        <v>0</v>
      </c>
      <c r="J630" t="n">
        <v>0</v>
      </c>
      <c r="K630" t="n">
        <v>0</v>
      </c>
      <c r="L630" t="n">
        <v>0</v>
      </c>
      <c r="M630" t="n">
        <v>0</v>
      </c>
      <c r="N630" t="n">
        <v>0</v>
      </c>
      <c r="O630" t="n">
        <v>0</v>
      </c>
      <c r="P630" t="n">
        <v>0</v>
      </c>
      <c r="Q630" t="n">
        <v>0</v>
      </c>
      <c r="R630" s="2" t="inlineStr"/>
    </row>
    <row r="631" ht="15" customHeight="1">
      <c r="A631" t="inlineStr">
        <is>
          <t>A 5894-2026</t>
        </is>
      </c>
      <c r="B631" s="1" t="n">
        <v>46052.42412037037</v>
      </c>
      <c r="C631" s="1" t="n">
        <v>46084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44964.62628472222</v>
      </c>
      <c r="C632" s="1" t="n">
        <v>46084</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16693-2023</t>
        </is>
      </c>
      <c r="B633" s="1" t="n">
        <v>45028</v>
      </c>
      <c r="C633" s="1" t="n">
        <v>46084</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16760-2024</t>
        </is>
      </c>
      <c r="B634" s="1" t="n">
        <v>45411</v>
      </c>
      <c r="C634" s="1" t="n">
        <v>46084</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8285-2025</t>
        </is>
      </c>
      <c r="B635" s="1" t="n">
        <v>45708</v>
      </c>
      <c r="C635" s="1" t="n">
        <v>46084</v>
      </c>
      <c r="D635" t="inlineStr">
        <is>
          <t>VÄSTMANLANDS LÄN</t>
        </is>
      </c>
      <c r="E635" t="inlineStr">
        <is>
          <t>SALA</t>
        </is>
      </c>
      <c r="G635" t="n">
        <v>5.7</v>
      </c>
      <c r="H635" t="n">
        <v>0</v>
      </c>
      <c r="I635" t="n">
        <v>0</v>
      </c>
      <c r="J635" t="n">
        <v>0</v>
      </c>
      <c r="K635" t="n">
        <v>0</v>
      </c>
      <c r="L635" t="n">
        <v>0</v>
      </c>
      <c r="M635" t="n">
        <v>0</v>
      </c>
      <c r="N635" t="n">
        <v>0</v>
      </c>
      <c r="O635" t="n">
        <v>0</v>
      </c>
      <c r="P635" t="n">
        <v>0</v>
      </c>
      <c r="Q635" t="n">
        <v>0</v>
      </c>
      <c r="R635" s="2" t="inlineStr"/>
    </row>
    <row r="636" ht="15" customHeight="1">
      <c r="A636" t="inlineStr">
        <is>
          <t>A 15584-2021</t>
        </is>
      </c>
      <c r="B636" s="1" t="n">
        <v>44285</v>
      </c>
      <c r="C636" s="1" t="n">
        <v>46084</v>
      </c>
      <c r="D636" t="inlineStr">
        <is>
          <t>VÄSTMANLANDS LÄN</t>
        </is>
      </c>
      <c r="E636" t="inlineStr">
        <is>
          <t>SALA</t>
        </is>
      </c>
      <c r="G636" t="n">
        <v>3.4</v>
      </c>
      <c r="H636" t="n">
        <v>0</v>
      </c>
      <c r="I636" t="n">
        <v>0</v>
      </c>
      <c r="J636" t="n">
        <v>0</v>
      </c>
      <c r="K636" t="n">
        <v>0</v>
      </c>
      <c r="L636" t="n">
        <v>0</v>
      </c>
      <c r="M636" t="n">
        <v>0</v>
      </c>
      <c r="N636" t="n">
        <v>0</v>
      </c>
      <c r="O636" t="n">
        <v>0</v>
      </c>
      <c r="P636" t="n">
        <v>0</v>
      </c>
      <c r="Q636" t="n">
        <v>0</v>
      </c>
      <c r="R636" s="2" t="inlineStr"/>
    </row>
    <row r="637" ht="15" customHeight="1">
      <c r="A637" t="inlineStr">
        <is>
          <t>A 63353-2025</t>
        </is>
      </c>
      <c r="B637" s="1" t="n">
        <v>46010.66670138889</v>
      </c>
      <c r="C637" s="1" t="n">
        <v>46084</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63269-2025</t>
        </is>
      </c>
      <c r="B638" s="1" t="n">
        <v>46010</v>
      </c>
      <c r="C638" s="1" t="n">
        <v>46084</v>
      </c>
      <c r="D638" t="inlineStr">
        <is>
          <t>VÄSTMANLANDS LÄN</t>
        </is>
      </c>
      <c r="E638" t="inlineStr">
        <is>
          <t>SALA</t>
        </is>
      </c>
      <c r="G638" t="n">
        <v>6.4</v>
      </c>
      <c r="H638" t="n">
        <v>0</v>
      </c>
      <c r="I638" t="n">
        <v>0</v>
      </c>
      <c r="J638" t="n">
        <v>0</v>
      </c>
      <c r="K638" t="n">
        <v>0</v>
      </c>
      <c r="L638" t="n">
        <v>0</v>
      </c>
      <c r="M638" t="n">
        <v>0</v>
      </c>
      <c r="N638" t="n">
        <v>0</v>
      </c>
      <c r="O638" t="n">
        <v>0</v>
      </c>
      <c r="P638" t="n">
        <v>0</v>
      </c>
      <c r="Q638" t="n">
        <v>0</v>
      </c>
      <c r="R638" s="2" t="inlineStr"/>
    </row>
    <row r="639" ht="15" customHeight="1">
      <c r="A639" t="inlineStr">
        <is>
          <t>A 6127-2025</t>
        </is>
      </c>
      <c r="B639" s="1" t="n">
        <v>45698</v>
      </c>
      <c r="C639" s="1" t="n">
        <v>46084</v>
      </c>
      <c r="D639" t="inlineStr">
        <is>
          <t>VÄSTMANLANDS LÄN</t>
        </is>
      </c>
      <c r="E639" t="inlineStr">
        <is>
          <t>SALA</t>
        </is>
      </c>
      <c r="F639" t="inlineStr">
        <is>
          <t>Bergvik skog öst AB</t>
        </is>
      </c>
      <c r="G639" t="n">
        <v>4.3</v>
      </c>
      <c r="H639" t="n">
        <v>0</v>
      </c>
      <c r="I639" t="n">
        <v>0</v>
      </c>
      <c r="J639" t="n">
        <v>0</v>
      </c>
      <c r="K639" t="n">
        <v>0</v>
      </c>
      <c r="L639" t="n">
        <v>0</v>
      </c>
      <c r="M639" t="n">
        <v>0</v>
      </c>
      <c r="N639" t="n">
        <v>0</v>
      </c>
      <c r="O639" t="n">
        <v>0</v>
      </c>
      <c r="P639" t="n">
        <v>0</v>
      </c>
      <c r="Q639" t="n">
        <v>0</v>
      </c>
      <c r="R639" s="2" t="inlineStr"/>
    </row>
    <row r="640" ht="15" customHeight="1">
      <c r="A640" t="inlineStr">
        <is>
          <t>A 18340-2025</t>
        </is>
      </c>
      <c r="B640" s="1" t="n">
        <v>45762</v>
      </c>
      <c r="C640" s="1" t="n">
        <v>46084</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56706-2022</t>
        </is>
      </c>
      <c r="B641" s="1" t="n">
        <v>44893.78893518518</v>
      </c>
      <c r="C641" s="1" t="n">
        <v>46084</v>
      </c>
      <c r="D641" t="inlineStr">
        <is>
          <t>VÄSTMANLANDS LÄN</t>
        </is>
      </c>
      <c r="E641" t="inlineStr">
        <is>
          <t>SALA</t>
        </is>
      </c>
      <c r="G641" t="n">
        <v>4.5</v>
      </c>
      <c r="H641" t="n">
        <v>0</v>
      </c>
      <c r="I641" t="n">
        <v>0</v>
      </c>
      <c r="J641" t="n">
        <v>0</v>
      </c>
      <c r="K641" t="n">
        <v>0</v>
      </c>
      <c r="L641" t="n">
        <v>0</v>
      </c>
      <c r="M641" t="n">
        <v>0</v>
      </c>
      <c r="N641" t="n">
        <v>0</v>
      </c>
      <c r="O641" t="n">
        <v>0</v>
      </c>
      <c r="P641" t="n">
        <v>0</v>
      </c>
      <c r="Q641" t="n">
        <v>0</v>
      </c>
      <c r="R641" s="2" t="inlineStr"/>
    </row>
    <row r="642" ht="15" customHeight="1">
      <c r="A642" t="inlineStr">
        <is>
          <t>A 56707-2022</t>
        </is>
      </c>
      <c r="B642" s="1" t="n">
        <v>44893.79412037037</v>
      </c>
      <c r="C642" s="1" t="n">
        <v>46084</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6021-2026</t>
        </is>
      </c>
      <c r="B643" s="1" t="n">
        <v>46050</v>
      </c>
      <c r="C643" s="1" t="n">
        <v>46084</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988-2025</t>
        </is>
      </c>
      <c r="B644" s="1" t="n">
        <v>45666.44038194444</v>
      </c>
      <c r="C644" s="1" t="n">
        <v>46084</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60328-2024</t>
        </is>
      </c>
      <c r="B645" s="1" t="n">
        <v>45643.38416666666</v>
      </c>
      <c r="C645" s="1" t="n">
        <v>46084</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35016-2024</t>
        </is>
      </c>
      <c r="B646" s="1" t="n">
        <v>45527.59115740741</v>
      </c>
      <c r="C646" s="1" t="n">
        <v>46084</v>
      </c>
      <c r="D646" t="inlineStr">
        <is>
          <t>VÄSTMANLANDS LÄN</t>
        </is>
      </c>
      <c r="E646" t="inlineStr">
        <is>
          <t>SALA</t>
        </is>
      </c>
      <c r="G646" t="n">
        <v>0.4</v>
      </c>
      <c r="H646" t="n">
        <v>0</v>
      </c>
      <c r="I646" t="n">
        <v>0</v>
      </c>
      <c r="J646" t="n">
        <v>0</v>
      </c>
      <c r="K646" t="n">
        <v>0</v>
      </c>
      <c r="L646" t="n">
        <v>0</v>
      </c>
      <c r="M646" t="n">
        <v>0</v>
      </c>
      <c r="N646" t="n">
        <v>0</v>
      </c>
      <c r="O646" t="n">
        <v>0</v>
      </c>
      <c r="P646" t="n">
        <v>0</v>
      </c>
      <c r="Q646" t="n">
        <v>0</v>
      </c>
      <c r="R646" s="2" t="inlineStr"/>
    </row>
    <row r="647" ht="15" customHeight="1">
      <c r="A647" t="inlineStr">
        <is>
          <t>A 25897-2024</t>
        </is>
      </c>
      <c r="B647" s="1" t="n">
        <v>45467.54435185185</v>
      </c>
      <c r="C647" s="1" t="n">
        <v>46084</v>
      </c>
      <c r="D647" t="inlineStr">
        <is>
          <t>VÄSTMANLANDS LÄN</t>
        </is>
      </c>
      <c r="E647" t="inlineStr">
        <is>
          <t>SALA</t>
        </is>
      </c>
      <c r="G647" t="n">
        <v>9.9</v>
      </c>
      <c r="H647" t="n">
        <v>0</v>
      </c>
      <c r="I647" t="n">
        <v>0</v>
      </c>
      <c r="J647" t="n">
        <v>0</v>
      </c>
      <c r="K647" t="n">
        <v>0</v>
      </c>
      <c r="L647" t="n">
        <v>0</v>
      </c>
      <c r="M647" t="n">
        <v>0</v>
      </c>
      <c r="N647" t="n">
        <v>0</v>
      </c>
      <c r="O647" t="n">
        <v>0</v>
      </c>
      <c r="P647" t="n">
        <v>0</v>
      </c>
      <c r="Q647" t="n">
        <v>0</v>
      </c>
      <c r="R647" s="2" t="inlineStr"/>
    </row>
    <row r="648" ht="15" customHeight="1">
      <c r="A648" t="inlineStr">
        <is>
          <t>A 17722-2025</t>
        </is>
      </c>
      <c r="B648" s="1" t="n">
        <v>45758</v>
      </c>
      <c r="C648" s="1" t="n">
        <v>46084</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31072-2021</t>
        </is>
      </c>
      <c r="B649" s="1" t="n">
        <v>44368</v>
      </c>
      <c r="C649" s="1" t="n">
        <v>46084</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7498-2026</t>
        </is>
      </c>
      <c r="B650" s="1" t="n">
        <v>46059.55550925926</v>
      </c>
      <c r="C650" s="1" t="n">
        <v>46084</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63749-2025</t>
        </is>
      </c>
      <c r="B651" s="1" t="n">
        <v>46017.75243055556</v>
      </c>
      <c r="C651" s="1" t="n">
        <v>46084</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48571-2024</t>
        </is>
      </c>
      <c r="B652" s="1" t="n">
        <v>45591</v>
      </c>
      <c r="C652" s="1" t="n">
        <v>46084</v>
      </c>
      <c r="D652" t="inlineStr">
        <is>
          <t>VÄSTMANLANDS LÄN</t>
        </is>
      </c>
      <c r="E652" t="inlineStr">
        <is>
          <t>SALA</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7329-2026</t>
        </is>
      </c>
      <c r="B653" s="1" t="n">
        <v>46058.68678240741</v>
      </c>
      <c r="C653" s="1" t="n">
        <v>46084</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7324-2026</t>
        </is>
      </c>
      <c r="B654" s="1" t="n">
        <v>46058.68023148148</v>
      </c>
      <c r="C654" s="1" t="n">
        <v>46084</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57371-2022</t>
        </is>
      </c>
      <c r="B655" s="1" t="n">
        <v>44896.43832175926</v>
      </c>
      <c r="C655" s="1" t="n">
        <v>46084</v>
      </c>
      <c r="D655" t="inlineStr">
        <is>
          <t>VÄSTMANLANDS LÄN</t>
        </is>
      </c>
      <c r="E655" t="inlineStr">
        <is>
          <t>SALA</t>
        </is>
      </c>
      <c r="G655" t="n">
        <v>0.7</v>
      </c>
      <c r="H655" t="n">
        <v>0</v>
      </c>
      <c r="I655" t="n">
        <v>0</v>
      </c>
      <c r="J655" t="n">
        <v>0</v>
      </c>
      <c r="K655" t="n">
        <v>0</v>
      </c>
      <c r="L655" t="n">
        <v>0</v>
      </c>
      <c r="M655" t="n">
        <v>0</v>
      </c>
      <c r="N655" t="n">
        <v>0</v>
      </c>
      <c r="O655" t="n">
        <v>0</v>
      </c>
      <c r="P655" t="n">
        <v>0</v>
      </c>
      <c r="Q655" t="n">
        <v>0</v>
      </c>
      <c r="R655" s="2" t="inlineStr"/>
    </row>
    <row r="656" ht="15" customHeight="1">
      <c r="A656" t="inlineStr">
        <is>
          <t>A 22019-2021</t>
        </is>
      </c>
      <c r="B656" s="1" t="n">
        <v>44323</v>
      </c>
      <c r="C656" s="1" t="n">
        <v>46084</v>
      </c>
      <c r="D656" t="inlineStr">
        <is>
          <t>VÄSTMANLANDS LÄN</t>
        </is>
      </c>
      <c r="E656" t="inlineStr">
        <is>
          <t>SALA</t>
        </is>
      </c>
      <c r="G656" t="n">
        <v>1.9</v>
      </c>
      <c r="H656" t="n">
        <v>0</v>
      </c>
      <c r="I656" t="n">
        <v>0</v>
      </c>
      <c r="J656" t="n">
        <v>0</v>
      </c>
      <c r="K656" t="n">
        <v>0</v>
      </c>
      <c r="L656" t="n">
        <v>0</v>
      </c>
      <c r="M656" t="n">
        <v>0</v>
      </c>
      <c r="N656" t="n">
        <v>0</v>
      </c>
      <c r="O656" t="n">
        <v>0</v>
      </c>
      <c r="P656" t="n">
        <v>0</v>
      </c>
      <c r="Q656" t="n">
        <v>0</v>
      </c>
      <c r="R656" s="2" t="inlineStr"/>
    </row>
    <row r="657" ht="15" customHeight="1">
      <c r="A657" t="inlineStr">
        <is>
          <t>A 55784-2024</t>
        </is>
      </c>
      <c r="B657" s="1" t="n">
        <v>45623</v>
      </c>
      <c r="C657" s="1" t="n">
        <v>46084</v>
      </c>
      <c r="D657" t="inlineStr">
        <is>
          <t>VÄSTMANLANDS LÄN</t>
        </is>
      </c>
      <c r="E657" t="inlineStr">
        <is>
          <t>SALA</t>
        </is>
      </c>
      <c r="F657" t="inlineStr">
        <is>
          <t>Bergvik skog öst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16651-2021</t>
        </is>
      </c>
      <c r="B658" s="1" t="n">
        <v>44294.50096064815</v>
      </c>
      <c r="C658" s="1" t="n">
        <v>46084</v>
      </c>
      <c r="D658" t="inlineStr">
        <is>
          <t>VÄSTMANLANDS LÄN</t>
        </is>
      </c>
      <c r="E658" t="inlineStr">
        <is>
          <t>SALA</t>
        </is>
      </c>
      <c r="G658" t="n">
        <v>7.7</v>
      </c>
      <c r="H658" t="n">
        <v>0</v>
      </c>
      <c r="I658" t="n">
        <v>0</v>
      </c>
      <c r="J658" t="n">
        <v>0</v>
      </c>
      <c r="K658" t="n">
        <v>0</v>
      </c>
      <c r="L658" t="n">
        <v>0</v>
      </c>
      <c r="M658" t="n">
        <v>0</v>
      </c>
      <c r="N658" t="n">
        <v>0</v>
      </c>
      <c r="O658" t="n">
        <v>0</v>
      </c>
      <c r="P658" t="n">
        <v>0</v>
      </c>
      <c r="Q658" t="n">
        <v>0</v>
      </c>
      <c r="R658" s="2" t="inlineStr"/>
    </row>
    <row r="659" ht="15" customHeight="1">
      <c r="A659" t="inlineStr">
        <is>
          <t>A 63748-2025</t>
        </is>
      </c>
      <c r="B659" s="1" t="n">
        <v>46017.71640046296</v>
      </c>
      <c r="C659" s="1" t="n">
        <v>46084</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7327-2026</t>
        </is>
      </c>
      <c r="B660" s="1" t="n">
        <v>46058.68371527778</v>
      </c>
      <c r="C660" s="1" t="n">
        <v>46084</v>
      </c>
      <c r="D660" t="inlineStr">
        <is>
          <t>VÄSTMANLANDS LÄN</t>
        </is>
      </c>
      <c r="E660" t="inlineStr">
        <is>
          <t>SALA</t>
        </is>
      </c>
      <c r="G660" t="n">
        <v>5.8</v>
      </c>
      <c r="H660" t="n">
        <v>0</v>
      </c>
      <c r="I660" t="n">
        <v>0</v>
      </c>
      <c r="J660" t="n">
        <v>0</v>
      </c>
      <c r="K660" t="n">
        <v>0</v>
      </c>
      <c r="L660" t="n">
        <v>0</v>
      </c>
      <c r="M660" t="n">
        <v>0</v>
      </c>
      <c r="N660" t="n">
        <v>0</v>
      </c>
      <c r="O660" t="n">
        <v>0</v>
      </c>
      <c r="P660" t="n">
        <v>0</v>
      </c>
      <c r="Q660" t="n">
        <v>0</v>
      </c>
      <c r="R660" s="2" t="inlineStr"/>
    </row>
    <row r="661" ht="15" customHeight="1">
      <c r="A661" t="inlineStr">
        <is>
          <t>A 7332-2026</t>
        </is>
      </c>
      <c r="B661" s="1" t="n">
        <v>46058.68884259259</v>
      </c>
      <c r="C661" s="1" t="n">
        <v>46084</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7654-2026</t>
        </is>
      </c>
      <c r="B662" s="1" t="n">
        <v>46062.38828703704</v>
      </c>
      <c r="C662" s="1" t="n">
        <v>46084</v>
      </c>
      <c r="D662" t="inlineStr">
        <is>
          <t>VÄSTMANLANDS LÄN</t>
        </is>
      </c>
      <c r="E662" t="inlineStr">
        <is>
          <t>SALA</t>
        </is>
      </c>
      <c r="G662" t="n">
        <v>4.5</v>
      </c>
      <c r="H662" t="n">
        <v>0</v>
      </c>
      <c r="I662" t="n">
        <v>0</v>
      </c>
      <c r="J662" t="n">
        <v>0</v>
      </c>
      <c r="K662" t="n">
        <v>0</v>
      </c>
      <c r="L662" t="n">
        <v>0</v>
      </c>
      <c r="M662" t="n">
        <v>0</v>
      </c>
      <c r="N662" t="n">
        <v>0</v>
      </c>
      <c r="O662" t="n">
        <v>0</v>
      </c>
      <c r="P662" t="n">
        <v>0</v>
      </c>
      <c r="Q662" t="n">
        <v>0</v>
      </c>
      <c r="R662" s="2" t="inlineStr"/>
    </row>
    <row r="663" ht="15" customHeight="1">
      <c r="A663" t="inlineStr">
        <is>
          <t>A 19803-2024</t>
        </is>
      </c>
      <c r="B663" s="1" t="n">
        <v>45432</v>
      </c>
      <c r="C663" s="1" t="n">
        <v>46084</v>
      </c>
      <c r="D663" t="inlineStr">
        <is>
          <t>VÄSTMANLANDS LÄN</t>
        </is>
      </c>
      <c r="E663" t="inlineStr">
        <is>
          <t>SALA</t>
        </is>
      </c>
      <c r="G663" t="n">
        <v>3.1</v>
      </c>
      <c r="H663" t="n">
        <v>0</v>
      </c>
      <c r="I663" t="n">
        <v>0</v>
      </c>
      <c r="J663" t="n">
        <v>0</v>
      </c>
      <c r="K663" t="n">
        <v>0</v>
      </c>
      <c r="L663" t="n">
        <v>0</v>
      </c>
      <c r="M663" t="n">
        <v>0</v>
      </c>
      <c r="N663" t="n">
        <v>0</v>
      </c>
      <c r="O663" t="n">
        <v>0</v>
      </c>
      <c r="P663" t="n">
        <v>0</v>
      </c>
      <c r="Q663" t="n">
        <v>0</v>
      </c>
      <c r="R663" s="2" t="inlineStr"/>
    </row>
    <row r="664" ht="15" customHeight="1">
      <c r="A664" t="inlineStr">
        <is>
          <t>A 7680-2026</t>
        </is>
      </c>
      <c r="B664" s="1" t="n">
        <v>46062.43087962963</v>
      </c>
      <c r="C664" s="1" t="n">
        <v>46084</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7196-2025</t>
        </is>
      </c>
      <c r="B665" s="1" t="n">
        <v>45702</v>
      </c>
      <c r="C665" s="1" t="n">
        <v>46084</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7595-2026</t>
        </is>
      </c>
      <c r="B666" s="1" t="n">
        <v>46061.90009259259</v>
      </c>
      <c r="C666" s="1" t="n">
        <v>46084</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4214-2026</t>
        </is>
      </c>
      <c r="B667" s="1" t="n">
        <v>46044.76459490741</v>
      </c>
      <c r="C667" s="1" t="n">
        <v>46084</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7588-2026</t>
        </is>
      </c>
      <c r="B668" s="1" t="n">
        <v>46061.83528935185</v>
      </c>
      <c r="C668" s="1" t="n">
        <v>46084</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7593-2026</t>
        </is>
      </c>
      <c r="B669" s="1" t="n">
        <v>46061.88057870371</v>
      </c>
      <c r="C669" s="1" t="n">
        <v>46084</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7597-2026</t>
        </is>
      </c>
      <c r="B670" s="1" t="n">
        <v>46061.91765046296</v>
      </c>
      <c r="C670" s="1" t="n">
        <v>46084</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40597-2022</t>
        </is>
      </c>
      <c r="B671" s="1" t="n">
        <v>44823.84862268518</v>
      </c>
      <c r="C671" s="1" t="n">
        <v>46084</v>
      </c>
      <c r="D671" t="inlineStr">
        <is>
          <t>VÄSTMANLANDS LÄN</t>
        </is>
      </c>
      <c r="E671" t="inlineStr">
        <is>
          <t>SALA</t>
        </is>
      </c>
      <c r="G671" t="n">
        <v>3.5</v>
      </c>
      <c r="H671" t="n">
        <v>0</v>
      </c>
      <c r="I671" t="n">
        <v>0</v>
      </c>
      <c r="J671" t="n">
        <v>0</v>
      </c>
      <c r="K671" t="n">
        <v>0</v>
      </c>
      <c r="L671" t="n">
        <v>0</v>
      </c>
      <c r="M671" t="n">
        <v>0</v>
      </c>
      <c r="N671" t="n">
        <v>0</v>
      </c>
      <c r="O671" t="n">
        <v>0</v>
      </c>
      <c r="P671" t="n">
        <v>0</v>
      </c>
      <c r="Q671" t="n">
        <v>0</v>
      </c>
      <c r="R671" s="2" t="inlineStr"/>
    </row>
    <row r="672" ht="15" customHeight="1">
      <c r="A672" t="inlineStr">
        <is>
          <t>A 7850-2026</t>
        </is>
      </c>
      <c r="B672" s="1" t="n">
        <v>46062.66236111111</v>
      </c>
      <c r="C672" s="1" t="n">
        <v>46084</v>
      </c>
      <c r="D672" t="inlineStr">
        <is>
          <t>VÄSTMANLANDS LÄN</t>
        </is>
      </c>
      <c r="E672" t="inlineStr">
        <is>
          <t>SALA</t>
        </is>
      </c>
      <c r="G672" t="n">
        <v>2.3</v>
      </c>
      <c r="H672" t="n">
        <v>0</v>
      </c>
      <c r="I672" t="n">
        <v>0</v>
      </c>
      <c r="J672" t="n">
        <v>0</v>
      </c>
      <c r="K672" t="n">
        <v>0</v>
      </c>
      <c r="L672" t="n">
        <v>0</v>
      </c>
      <c r="M672" t="n">
        <v>0</v>
      </c>
      <c r="N672" t="n">
        <v>0</v>
      </c>
      <c r="O672" t="n">
        <v>0</v>
      </c>
      <c r="P672" t="n">
        <v>0</v>
      </c>
      <c r="Q672" t="n">
        <v>0</v>
      </c>
      <c r="R672" s="2" t="inlineStr"/>
    </row>
    <row r="673" ht="15" customHeight="1">
      <c r="A673" t="inlineStr">
        <is>
          <t>A 7611-2026</t>
        </is>
      </c>
      <c r="B673" s="1" t="n">
        <v>46062.32387731481</v>
      </c>
      <c r="C673" s="1" t="n">
        <v>46084</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7676-2026</t>
        </is>
      </c>
      <c r="B674" s="1" t="n">
        <v>46062.42498842593</v>
      </c>
      <c r="C674" s="1" t="n">
        <v>46084</v>
      </c>
      <c r="D674" t="inlineStr">
        <is>
          <t>VÄSTMANLANDS LÄN</t>
        </is>
      </c>
      <c r="E674" t="inlineStr">
        <is>
          <t>SALA</t>
        </is>
      </c>
      <c r="G674" t="n">
        <v>2.1</v>
      </c>
      <c r="H674" t="n">
        <v>0</v>
      </c>
      <c r="I674" t="n">
        <v>0</v>
      </c>
      <c r="J674" t="n">
        <v>0</v>
      </c>
      <c r="K674" t="n">
        <v>0</v>
      </c>
      <c r="L674" t="n">
        <v>0</v>
      </c>
      <c r="M674" t="n">
        <v>0</v>
      </c>
      <c r="N674" t="n">
        <v>0</v>
      </c>
      <c r="O674" t="n">
        <v>0</v>
      </c>
      <c r="P674" t="n">
        <v>0</v>
      </c>
      <c r="Q674" t="n">
        <v>0</v>
      </c>
      <c r="R674" s="2" t="inlineStr"/>
    </row>
    <row r="675" ht="15" customHeight="1">
      <c r="A675" t="inlineStr">
        <is>
          <t>A 7661-2026</t>
        </is>
      </c>
      <c r="B675" s="1" t="n">
        <v>46062.39614583334</v>
      </c>
      <c r="C675" s="1" t="n">
        <v>46084</v>
      </c>
      <c r="D675" t="inlineStr">
        <is>
          <t>VÄSTMANLANDS LÄN</t>
        </is>
      </c>
      <c r="E675" t="inlineStr">
        <is>
          <t>SALA</t>
        </is>
      </c>
      <c r="G675" t="n">
        <v>1.3</v>
      </c>
      <c r="H675" t="n">
        <v>0</v>
      </c>
      <c r="I675" t="n">
        <v>0</v>
      </c>
      <c r="J675" t="n">
        <v>0</v>
      </c>
      <c r="K675" t="n">
        <v>0</v>
      </c>
      <c r="L675" t="n">
        <v>0</v>
      </c>
      <c r="M675" t="n">
        <v>0</v>
      </c>
      <c r="N675" t="n">
        <v>0</v>
      </c>
      <c r="O675" t="n">
        <v>0</v>
      </c>
      <c r="P675" t="n">
        <v>0</v>
      </c>
      <c r="Q675" t="n">
        <v>0</v>
      </c>
      <c r="R675" s="2" t="inlineStr"/>
    </row>
    <row r="676" ht="15" customHeight="1">
      <c r="A676" t="inlineStr">
        <is>
          <t>A 7584-2026</t>
        </is>
      </c>
      <c r="B676" s="1" t="n">
        <v>46061.81653935185</v>
      </c>
      <c r="C676" s="1" t="n">
        <v>46084</v>
      </c>
      <c r="D676" t="inlineStr">
        <is>
          <t>VÄSTMANLANDS LÄN</t>
        </is>
      </c>
      <c r="E676" t="inlineStr">
        <is>
          <t>SALA</t>
        </is>
      </c>
      <c r="G676" t="n">
        <v>16.7</v>
      </c>
      <c r="H676" t="n">
        <v>0</v>
      </c>
      <c r="I676" t="n">
        <v>0</v>
      </c>
      <c r="J676" t="n">
        <v>0</v>
      </c>
      <c r="K676" t="n">
        <v>0</v>
      </c>
      <c r="L676" t="n">
        <v>0</v>
      </c>
      <c r="M676" t="n">
        <v>0</v>
      </c>
      <c r="N676" t="n">
        <v>0</v>
      </c>
      <c r="O676" t="n">
        <v>0</v>
      </c>
      <c r="P676" t="n">
        <v>0</v>
      </c>
      <c r="Q676" t="n">
        <v>0</v>
      </c>
      <c r="R676" s="2" t="inlineStr"/>
    </row>
    <row r="677" ht="15" customHeight="1">
      <c r="A677" t="inlineStr">
        <is>
          <t>A 7590-2026</t>
        </is>
      </c>
      <c r="B677" s="1" t="n">
        <v>46061.85252314815</v>
      </c>
      <c r="C677" s="1" t="n">
        <v>46084</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7596-2026</t>
        </is>
      </c>
      <c r="B678" s="1" t="n">
        <v>46061.90922453703</v>
      </c>
      <c r="C678" s="1" t="n">
        <v>46084</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64925-2023</t>
        </is>
      </c>
      <c r="B679" s="1" t="n">
        <v>45282</v>
      </c>
      <c r="C679" s="1" t="n">
        <v>46084</v>
      </c>
      <c r="D679" t="inlineStr">
        <is>
          <t>VÄSTMANLANDS LÄN</t>
        </is>
      </c>
      <c r="E679" t="inlineStr">
        <is>
          <t>SALA</t>
        </is>
      </c>
      <c r="G679" t="n">
        <v>2.5</v>
      </c>
      <c r="H679" t="n">
        <v>0</v>
      </c>
      <c r="I679" t="n">
        <v>0</v>
      </c>
      <c r="J679" t="n">
        <v>0</v>
      </c>
      <c r="K679" t="n">
        <v>0</v>
      </c>
      <c r="L679" t="n">
        <v>0</v>
      </c>
      <c r="M679" t="n">
        <v>0</v>
      </c>
      <c r="N679" t="n">
        <v>0</v>
      </c>
      <c r="O679" t="n">
        <v>0</v>
      </c>
      <c r="P679" t="n">
        <v>0</v>
      </c>
      <c r="Q679" t="n">
        <v>0</v>
      </c>
      <c r="R679" s="2" t="inlineStr"/>
    </row>
    <row r="680" ht="15" customHeight="1">
      <c r="A680" t="inlineStr">
        <is>
          <t>A 23406-2024</t>
        </is>
      </c>
      <c r="B680" s="1" t="n">
        <v>45453.58296296297</v>
      </c>
      <c r="C680" s="1" t="n">
        <v>46084</v>
      </c>
      <c r="D680" t="inlineStr">
        <is>
          <t>VÄSTMANLANDS LÄN</t>
        </is>
      </c>
      <c r="E680" t="inlineStr">
        <is>
          <t>SALA</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16133-2025</t>
        </is>
      </c>
      <c r="B681" s="1" t="n">
        <v>45750</v>
      </c>
      <c r="C681" s="1" t="n">
        <v>46084</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15099-2025</t>
        </is>
      </c>
      <c r="B682" s="1" t="n">
        <v>45744.3434837963</v>
      </c>
      <c r="C682" s="1" t="n">
        <v>46084</v>
      </c>
      <c r="D682" t="inlineStr">
        <is>
          <t>VÄSTMANLANDS LÄN</t>
        </is>
      </c>
      <c r="E682" t="inlineStr">
        <is>
          <t>SALA</t>
        </is>
      </c>
      <c r="F682" t="inlineStr">
        <is>
          <t>Sveaskog</t>
        </is>
      </c>
      <c r="G682" t="n">
        <v>14.4</v>
      </c>
      <c r="H682" t="n">
        <v>0</v>
      </c>
      <c r="I682" t="n">
        <v>0</v>
      </c>
      <c r="J682" t="n">
        <v>0</v>
      </c>
      <c r="K682" t="n">
        <v>0</v>
      </c>
      <c r="L682" t="n">
        <v>0</v>
      </c>
      <c r="M682" t="n">
        <v>0</v>
      </c>
      <c r="N682" t="n">
        <v>0</v>
      </c>
      <c r="O682" t="n">
        <v>0</v>
      </c>
      <c r="P682" t="n">
        <v>0</v>
      </c>
      <c r="Q682" t="n">
        <v>0</v>
      </c>
      <c r="R682" s="2" t="inlineStr"/>
    </row>
    <row r="683" ht="15" customHeight="1">
      <c r="A683" t="inlineStr">
        <is>
          <t>A 60036-2024</t>
        </is>
      </c>
      <c r="B683" s="1" t="n">
        <v>45642.46434027778</v>
      </c>
      <c r="C683" s="1" t="n">
        <v>46084</v>
      </c>
      <c r="D683" t="inlineStr">
        <is>
          <t>VÄSTMANLANDS LÄN</t>
        </is>
      </c>
      <c r="E683" t="inlineStr">
        <is>
          <t>SALA</t>
        </is>
      </c>
      <c r="G683" t="n">
        <v>2.5</v>
      </c>
      <c r="H683" t="n">
        <v>0</v>
      </c>
      <c r="I683" t="n">
        <v>0</v>
      </c>
      <c r="J683" t="n">
        <v>0</v>
      </c>
      <c r="K683" t="n">
        <v>0</v>
      </c>
      <c r="L683" t="n">
        <v>0</v>
      </c>
      <c r="M683" t="n">
        <v>0</v>
      </c>
      <c r="N683" t="n">
        <v>0</v>
      </c>
      <c r="O683" t="n">
        <v>0</v>
      </c>
      <c r="P683" t="n">
        <v>0</v>
      </c>
      <c r="Q683" t="n">
        <v>0</v>
      </c>
      <c r="R683" s="2" t="inlineStr"/>
    </row>
    <row r="684" ht="15" customHeight="1">
      <c r="A684" t="inlineStr">
        <is>
          <t>A 52827-2024</t>
        </is>
      </c>
      <c r="B684" s="1" t="n">
        <v>45610</v>
      </c>
      <c r="C684" s="1" t="n">
        <v>46084</v>
      </c>
      <c r="D684" t="inlineStr">
        <is>
          <t>VÄSTMANLANDS LÄN</t>
        </is>
      </c>
      <c r="E684" t="inlineStr">
        <is>
          <t>SALA</t>
        </is>
      </c>
      <c r="G684" t="n">
        <v>0.2</v>
      </c>
      <c r="H684" t="n">
        <v>0</v>
      </c>
      <c r="I684" t="n">
        <v>0</v>
      </c>
      <c r="J684" t="n">
        <v>0</v>
      </c>
      <c r="K684" t="n">
        <v>0</v>
      </c>
      <c r="L684" t="n">
        <v>0</v>
      </c>
      <c r="M684" t="n">
        <v>0</v>
      </c>
      <c r="N684" t="n">
        <v>0</v>
      </c>
      <c r="O684" t="n">
        <v>0</v>
      </c>
      <c r="P684" t="n">
        <v>0</v>
      </c>
      <c r="Q684" t="n">
        <v>0</v>
      </c>
      <c r="R684" s="2" t="inlineStr"/>
    </row>
    <row r="685" ht="15" customHeight="1">
      <c r="A685" t="inlineStr">
        <is>
          <t>A 16328-2025</t>
        </is>
      </c>
      <c r="B685" s="1" t="n">
        <v>45751</v>
      </c>
      <c r="C685" s="1" t="n">
        <v>46084</v>
      </c>
      <c r="D685" t="inlineStr">
        <is>
          <t>VÄSTMANLANDS LÄN</t>
        </is>
      </c>
      <c r="E685" t="inlineStr">
        <is>
          <t>SALA</t>
        </is>
      </c>
      <c r="G685" t="n">
        <v>2.9</v>
      </c>
      <c r="H685" t="n">
        <v>0</v>
      </c>
      <c r="I685" t="n">
        <v>0</v>
      </c>
      <c r="J685" t="n">
        <v>0</v>
      </c>
      <c r="K685" t="n">
        <v>0</v>
      </c>
      <c r="L685" t="n">
        <v>0</v>
      </c>
      <c r="M685" t="n">
        <v>0</v>
      </c>
      <c r="N685" t="n">
        <v>0</v>
      </c>
      <c r="O685" t="n">
        <v>0</v>
      </c>
      <c r="P685" t="n">
        <v>0</v>
      </c>
      <c r="Q685" t="n">
        <v>0</v>
      </c>
      <c r="R685" s="2" t="inlineStr"/>
    </row>
    <row r="686" ht="15" customHeight="1">
      <c r="A686" t="inlineStr">
        <is>
          <t>A 66908-2021</t>
        </is>
      </c>
      <c r="B686" s="1" t="n">
        <v>44522</v>
      </c>
      <c r="C686" s="1" t="n">
        <v>46084</v>
      </c>
      <c r="D686" t="inlineStr">
        <is>
          <t>VÄSTMANLANDS LÄN</t>
        </is>
      </c>
      <c r="E686" t="inlineStr">
        <is>
          <t>SALA</t>
        </is>
      </c>
      <c r="G686" t="n">
        <v>2.6</v>
      </c>
      <c r="H686" t="n">
        <v>0</v>
      </c>
      <c r="I686" t="n">
        <v>0</v>
      </c>
      <c r="J686" t="n">
        <v>0</v>
      </c>
      <c r="K686" t="n">
        <v>0</v>
      </c>
      <c r="L686" t="n">
        <v>0</v>
      </c>
      <c r="M686" t="n">
        <v>0</v>
      </c>
      <c r="N686" t="n">
        <v>0</v>
      </c>
      <c r="O686" t="n">
        <v>0</v>
      </c>
      <c r="P686" t="n">
        <v>0</v>
      </c>
      <c r="Q686" t="n">
        <v>0</v>
      </c>
      <c r="R686" s="2" t="inlineStr"/>
    </row>
    <row r="687" ht="15" customHeight="1">
      <c r="A687" t="inlineStr">
        <is>
          <t>A 73835-2021</t>
        </is>
      </c>
      <c r="B687" s="1" t="n">
        <v>44552.92112268518</v>
      </c>
      <c r="C687" s="1" t="n">
        <v>46084</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3810-2023</t>
        </is>
      </c>
      <c r="B688" s="1" t="n">
        <v>44951.60454861111</v>
      </c>
      <c r="C688" s="1" t="n">
        <v>46084</v>
      </c>
      <c r="D688" t="inlineStr">
        <is>
          <t>VÄSTMANLANDS LÄN</t>
        </is>
      </c>
      <c r="E688" t="inlineStr">
        <is>
          <t>SALA</t>
        </is>
      </c>
      <c r="G688" t="n">
        <v>4.2</v>
      </c>
      <c r="H688" t="n">
        <v>0</v>
      </c>
      <c r="I688" t="n">
        <v>0</v>
      </c>
      <c r="J688" t="n">
        <v>0</v>
      </c>
      <c r="K688" t="n">
        <v>0</v>
      </c>
      <c r="L688" t="n">
        <v>0</v>
      </c>
      <c r="M688" t="n">
        <v>0</v>
      </c>
      <c r="N688" t="n">
        <v>0</v>
      </c>
      <c r="O688" t="n">
        <v>0</v>
      </c>
      <c r="P688" t="n">
        <v>0</v>
      </c>
      <c r="Q688" t="n">
        <v>0</v>
      </c>
      <c r="R688" s="2" t="inlineStr"/>
    </row>
    <row r="689" ht="15" customHeight="1">
      <c r="A689" t="inlineStr">
        <is>
          <t>A 12252-2023</t>
        </is>
      </c>
      <c r="B689" s="1" t="n">
        <v>44995</v>
      </c>
      <c r="C689" s="1" t="n">
        <v>46084</v>
      </c>
      <c r="D689" t="inlineStr">
        <is>
          <t>VÄSTMANLANDS LÄN</t>
        </is>
      </c>
      <c r="E689" t="inlineStr">
        <is>
          <t>SALA</t>
        </is>
      </c>
      <c r="G689" t="n">
        <v>2.6</v>
      </c>
      <c r="H689" t="n">
        <v>0</v>
      </c>
      <c r="I689" t="n">
        <v>0</v>
      </c>
      <c r="J689" t="n">
        <v>0</v>
      </c>
      <c r="K689" t="n">
        <v>0</v>
      </c>
      <c r="L689" t="n">
        <v>0</v>
      </c>
      <c r="M689" t="n">
        <v>0</v>
      </c>
      <c r="N689" t="n">
        <v>0</v>
      </c>
      <c r="O689" t="n">
        <v>0</v>
      </c>
      <c r="P689" t="n">
        <v>0</v>
      </c>
      <c r="Q689" t="n">
        <v>0</v>
      </c>
      <c r="R689" s="2" t="inlineStr"/>
    </row>
    <row r="690" ht="15" customHeight="1">
      <c r="A690" t="inlineStr">
        <is>
          <t>A 25260-2023</t>
        </is>
      </c>
      <c r="B690" s="1" t="n">
        <v>45086</v>
      </c>
      <c r="C690" s="1" t="n">
        <v>46084</v>
      </c>
      <c r="D690" t="inlineStr">
        <is>
          <t>VÄSTMANLANDS LÄN</t>
        </is>
      </c>
      <c r="E690" t="inlineStr">
        <is>
          <t>SALA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57404-2024</t>
        </is>
      </c>
      <c r="B691" s="1" t="n">
        <v>45629.71967592592</v>
      </c>
      <c r="C691" s="1" t="n">
        <v>46084</v>
      </c>
      <c r="D691" t="inlineStr">
        <is>
          <t>VÄSTMANLANDS LÄN</t>
        </is>
      </c>
      <c r="E691" t="inlineStr">
        <is>
          <t>SALA</t>
        </is>
      </c>
      <c r="G691" t="n">
        <v>0.3</v>
      </c>
      <c r="H691" t="n">
        <v>0</v>
      </c>
      <c r="I691" t="n">
        <v>0</v>
      </c>
      <c r="J691" t="n">
        <v>0</v>
      </c>
      <c r="K691" t="n">
        <v>0</v>
      </c>
      <c r="L691" t="n">
        <v>0</v>
      </c>
      <c r="M691" t="n">
        <v>0</v>
      </c>
      <c r="N691" t="n">
        <v>0</v>
      </c>
      <c r="O691" t="n">
        <v>0</v>
      </c>
      <c r="P691" t="n">
        <v>0</v>
      </c>
      <c r="Q691" t="n">
        <v>0</v>
      </c>
      <c r="R691" s="2" t="inlineStr"/>
    </row>
    <row r="692" ht="15" customHeight="1">
      <c r="A692" t="inlineStr">
        <is>
          <t>A 13128-2023</t>
        </is>
      </c>
      <c r="B692" s="1" t="n">
        <v>45002</v>
      </c>
      <c r="C692" s="1" t="n">
        <v>46084</v>
      </c>
      <c r="D692" t="inlineStr">
        <is>
          <t>VÄSTMANLANDS LÄN</t>
        </is>
      </c>
      <c r="E692" t="inlineStr">
        <is>
          <t>SALA</t>
        </is>
      </c>
      <c r="G692" t="n">
        <v>7.9</v>
      </c>
      <c r="H692" t="n">
        <v>0</v>
      </c>
      <c r="I692" t="n">
        <v>0</v>
      </c>
      <c r="J692" t="n">
        <v>0</v>
      </c>
      <c r="K692" t="n">
        <v>0</v>
      </c>
      <c r="L692" t="n">
        <v>0</v>
      </c>
      <c r="M692" t="n">
        <v>0</v>
      </c>
      <c r="N692" t="n">
        <v>0</v>
      </c>
      <c r="O692" t="n">
        <v>0</v>
      </c>
      <c r="P692" t="n">
        <v>0</v>
      </c>
      <c r="Q692" t="n">
        <v>0</v>
      </c>
      <c r="R692" s="2" t="inlineStr"/>
    </row>
    <row r="693" ht="15" customHeight="1">
      <c r="A693" t="inlineStr">
        <is>
          <t>A 24864-2024</t>
        </is>
      </c>
      <c r="B693" s="1" t="n">
        <v>45461.48888888889</v>
      </c>
      <c r="C693" s="1" t="n">
        <v>46084</v>
      </c>
      <c r="D693" t="inlineStr">
        <is>
          <t>VÄSTMANLANDS LÄN</t>
        </is>
      </c>
      <c r="E693" t="inlineStr">
        <is>
          <t>SALA</t>
        </is>
      </c>
      <c r="G693" t="n">
        <v>0.6</v>
      </c>
      <c r="H693" t="n">
        <v>0</v>
      </c>
      <c r="I693" t="n">
        <v>0</v>
      </c>
      <c r="J693" t="n">
        <v>0</v>
      </c>
      <c r="K693" t="n">
        <v>0</v>
      </c>
      <c r="L693" t="n">
        <v>0</v>
      </c>
      <c r="M693" t="n">
        <v>0</v>
      </c>
      <c r="N693" t="n">
        <v>0</v>
      </c>
      <c r="O693" t="n">
        <v>0</v>
      </c>
      <c r="P693" t="n">
        <v>0</v>
      </c>
      <c r="Q693" t="n">
        <v>0</v>
      </c>
      <c r="R693" s="2" t="inlineStr"/>
    </row>
    <row r="694" ht="15" customHeight="1">
      <c r="A694" t="inlineStr">
        <is>
          <t>A 24755-2021</t>
        </is>
      </c>
      <c r="B694" s="1" t="n">
        <v>44340</v>
      </c>
      <c r="C694" s="1" t="n">
        <v>46084</v>
      </c>
      <c r="D694" t="inlineStr">
        <is>
          <t>VÄSTMANLANDS LÄN</t>
        </is>
      </c>
      <c r="E694" t="inlineStr">
        <is>
          <t>SALA</t>
        </is>
      </c>
      <c r="G694" t="n">
        <v>1.2</v>
      </c>
      <c r="H694" t="n">
        <v>0</v>
      </c>
      <c r="I694" t="n">
        <v>0</v>
      </c>
      <c r="J694" t="n">
        <v>0</v>
      </c>
      <c r="K694" t="n">
        <v>0</v>
      </c>
      <c r="L694" t="n">
        <v>0</v>
      </c>
      <c r="M694" t="n">
        <v>0</v>
      </c>
      <c r="N694" t="n">
        <v>0</v>
      </c>
      <c r="O694" t="n">
        <v>0</v>
      </c>
      <c r="P694" t="n">
        <v>0</v>
      </c>
      <c r="Q694" t="n">
        <v>0</v>
      </c>
      <c r="R694" s="2" t="inlineStr"/>
    </row>
    <row r="695" ht="15" customHeight="1">
      <c r="A695" t="inlineStr">
        <is>
          <t>A 28696-2023</t>
        </is>
      </c>
      <c r="B695" s="1" t="n">
        <v>45103.71759259259</v>
      </c>
      <c r="C695" s="1" t="n">
        <v>46084</v>
      </c>
      <c r="D695" t="inlineStr">
        <is>
          <t>VÄSTMANLANDS LÄN</t>
        </is>
      </c>
      <c r="E695" t="inlineStr">
        <is>
          <t>SALA</t>
        </is>
      </c>
      <c r="F695" t="inlineStr">
        <is>
          <t>Kommuner</t>
        </is>
      </c>
      <c r="G695" t="n">
        <v>5.9</v>
      </c>
      <c r="H695" t="n">
        <v>0</v>
      </c>
      <c r="I695" t="n">
        <v>0</v>
      </c>
      <c r="J695" t="n">
        <v>0</v>
      </c>
      <c r="K695" t="n">
        <v>0</v>
      </c>
      <c r="L695" t="n">
        <v>0</v>
      </c>
      <c r="M695" t="n">
        <v>0</v>
      </c>
      <c r="N695" t="n">
        <v>0</v>
      </c>
      <c r="O695" t="n">
        <v>0</v>
      </c>
      <c r="P695" t="n">
        <v>0</v>
      </c>
      <c r="Q695" t="n">
        <v>0</v>
      </c>
      <c r="R695" s="2" t="inlineStr"/>
    </row>
    <row r="696" ht="15" customHeight="1">
      <c r="A696" t="inlineStr">
        <is>
          <t>A 6691-2025</t>
        </is>
      </c>
      <c r="B696" s="1" t="n">
        <v>45700.50625</v>
      </c>
      <c r="C696" s="1" t="n">
        <v>46084</v>
      </c>
      <c r="D696" t="inlineStr">
        <is>
          <t>VÄSTMANLANDS LÄN</t>
        </is>
      </c>
      <c r="E696" t="inlineStr">
        <is>
          <t>SALA</t>
        </is>
      </c>
      <c r="G696" t="n">
        <v>2.1</v>
      </c>
      <c r="H696" t="n">
        <v>0</v>
      </c>
      <c r="I696" t="n">
        <v>0</v>
      </c>
      <c r="J696" t="n">
        <v>0</v>
      </c>
      <c r="K696" t="n">
        <v>0</v>
      </c>
      <c r="L696" t="n">
        <v>0</v>
      </c>
      <c r="M696" t="n">
        <v>0</v>
      </c>
      <c r="N696" t="n">
        <v>0</v>
      </c>
      <c r="O696" t="n">
        <v>0</v>
      </c>
      <c r="P696" t="n">
        <v>0</v>
      </c>
      <c r="Q696" t="n">
        <v>0</v>
      </c>
      <c r="R696" s="2" t="inlineStr"/>
    </row>
    <row r="697" ht="15" customHeight="1">
      <c r="A697" t="inlineStr">
        <is>
          <t>A 1934-2023</t>
        </is>
      </c>
      <c r="B697" s="1" t="n">
        <v>44939.43024305555</v>
      </c>
      <c r="C697" s="1" t="n">
        <v>46084</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35519-2024</t>
        </is>
      </c>
      <c r="B698" s="1" t="n">
        <v>45531</v>
      </c>
      <c r="C698" s="1" t="n">
        <v>46084</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50241-2023</t>
        </is>
      </c>
      <c r="B699" s="1" t="n">
        <v>45216</v>
      </c>
      <c r="C699" s="1" t="n">
        <v>46084</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30971-2022</t>
        </is>
      </c>
      <c r="B700" s="1" t="n">
        <v>44768.46725694444</v>
      </c>
      <c r="C700" s="1" t="n">
        <v>46084</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35637-2022</t>
        </is>
      </c>
      <c r="B701" s="1" t="n">
        <v>44799.55194444444</v>
      </c>
      <c r="C701" s="1" t="n">
        <v>46084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19304-2025</t>
        </is>
      </c>
      <c r="B702" s="1" t="n">
        <v>45769</v>
      </c>
      <c r="C702" s="1" t="n">
        <v>46084</v>
      </c>
      <c r="D702" t="inlineStr">
        <is>
          <t>VÄSTMANLANDS LÄN</t>
        </is>
      </c>
      <c r="E702" t="inlineStr">
        <is>
          <t>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27038-2023</t>
        </is>
      </c>
      <c r="B703" s="1" t="n">
        <v>45095</v>
      </c>
      <c r="C703" s="1" t="n">
        <v>46084</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23182-2022</t>
        </is>
      </c>
      <c r="B704" s="1" t="n">
        <v>44719.79707175926</v>
      </c>
      <c r="C704" s="1" t="n">
        <v>46084</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31859-2023</t>
        </is>
      </c>
      <c r="B705" s="1" t="n">
        <v>45118</v>
      </c>
      <c r="C705" s="1" t="n">
        <v>46084</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c r="U705">
        <f>HYPERLINK("https://klasma.github.io/Logging_1981/knärot/A 31859-2023 karta knärot.png", "A 31859-2023")</f>
        <v/>
      </c>
      <c r="V705">
        <f>HYPERLINK("https://klasma.github.io/Logging_1981/klagomål/A 31859-2023 FSC-klagomål.docx", "A 31859-2023")</f>
        <v/>
      </c>
      <c r="W705">
        <f>HYPERLINK("https://klasma.github.io/Logging_1981/klagomålsmail/A 31859-2023 FSC-klagomål mail.docx", "A 31859-2023")</f>
        <v/>
      </c>
      <c r="X705">
        <f>HYPERLINK("https://klasma.github.io/Logging_1981/tillsyn/A 31859-2023 tillsynsbegäran.docx", "A 31859-2023")</f>
        <v/>
      </c>
      <c r="Y705">
        <f>HYPERLINK("https://klasma.github.io/Logging_1981/tillsynsmail/A 31859-2023 tillsynsbegäran mail.docx", "A 31859-2023")</f>
        <v/>
      </c>
    </row>
    <row r="706" ht="15" customHeight="1">
      <c r="A706" t="inlineStr">
        <is>
          <t>A 7469-2025</t>
        </is>
      </c>
      <c r="B706" s="1" t="n">
        <v>45705</v>
      </c>
      <c r="C706" s="1" t="n">
        <v>46084</v>
      </c>
      <c r="D706" t="inlineStr">
        <is>
          <t>VÄSTMANLANDS LÄN</t>
        </is>
      </c>
      <c r="E706" t="inlineStr">
        <is>
          <t>SALA</t>
        </is>
      </c>
      <c r="G706" t="n">
        <v>2.1</v>
      </c>
      <c r="H706" t="n">
        <v>0</v>
      </c>
      <c r="I706" t="n">
        <v>0</v>
      </c>
      <c r="J706" t="n">
        <v>0</v>
      </c>
      <c r="K706" t="n">
        <v>0</v>
      </c>
      <c r="L706" t="n">
        <v>0</v>
      </c>
      <c r="M706" t="n">
        <v>0</v>
      </c>
      <c r="N706" t="n">
        <v>0</v>
      </c>
      <c r="O706" t="n">
        <v>0</v>
      </c>
      <c r="P706" t="n">
        <v>0</v>
      </c>
      <c r="Q706" t="n">
        <v>0</v>
      </c>
      <c r="R706" s="2" t="inlineStr"/>
    </row>
    <row r="707" ht="15" customHeight="1">
      <c r="A707" t="inlineStr">
        <is>
          <t>A 60034-2024</t>
        </is>
      </c>
      <c r="B707" s="1" t="n">
        <v>45642.46261574074</v>
      </c>
      <c r="C707" s="1" t="n">
        <v>46084</v>
      </c>
      <c r="D707" t="inlineStr">
        <is>
          <t>VÄSTMANLANDS LÄN</t>
        </is>
      </c>
      <c r="E707" t="inlineStr">
        <is>
          <t>SALA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34867-2023</t>
        </is>
      </c>
      <c r="B708" s="1" t="n">
        <v>45142.33481481481</v>
      </c>
      <c r="C708" s="1" t="n">
        <v>46084</v>
      </c>
      <c r="D708" t="inlineStr">
        <is>
          <t>VÄSTMANLANDS LÄN</t>
        </is>
      </c>
      <c r="E708" t="inlineStr">
        <is>
          <t>SALA</t>
        </is>
      </c>
      <c r="G708" t="n">
        <v>1.1</v>
      </c>
      <c r="H708" t="n">
        <v>0</v>
      </c>
      <c r="I708" t="n">
        <v>0</v>
      </c>
      <c r="J708" t="n">
        <v>0</v>
      </c>
      <c r="K708" t="n">
        <v>0</v>
      </c>
      <c r="L708" t="n">
        <v>0</v>
      </c>
      <c r="M708" t="n">
        <v>0</v>
      </c>
      <c r="N708" t="n">
        <v>0</v>
      </c>
      <c r="O708" t="n">
        <v>0</v>
      </c>
      <c r="P708" t="n">
        <v>0</v>
      </c>
      <c r="Q708" t="n">
        <v>0</v>
      </c>
      <c r="R708" s="2" t="inlineStr"/>
    </row>
    <row r="709" ht="15" customHeight="1">
      <c r="A709" t="inlineStr">
        <is>
          <t>A 11631-2023</t>
        </is>
      </c>
      <c r="B709" s="1" t="n">
        <v>44994.44001157407</v>
      </c>
      <c r="C709" s="1" t="n">
        <v>46084</v>
      </c>
      <c r="D709" t="inlineStr">
        <is>
          <t>VÄSTMANLANDS LÄN</t>
        </is>
      </c>
      <c r="E709" t="inlineStr">
        <is>
          <t>SALA</t>
        </is>
      </c>
      <c r="F709" t="inlineStr">
        <is>
          <t>Kommuner</t>
        </is>
      </c>
      <c r="G709" t="n">
        <v>1.9</v>
      </c>
      <c r="H709" t="n">
        <v>0</v>
      </c>
      <c r="I709" t="n">
        <v>0</v>
      </c>
      <c r="J709" t="n">
        <v>0</v>
      </c>
      <c r="K709" t="n">
        <v>0</v>
      </c>
      <c r="L709" t="n">
        <v>0</v>
      </c>
      <c r="M709" t="n">
        <v>0</v>
      </c>
      <c r="N709" t="n">
        <v>0</v>
      </c>
      <c r="O709" t="n">
        <v>0</v>
      </c>
      <c r="P709" t="n">
        <v>0</v>
      </c>
      <c r="Q709" t="n">
        <v>0</v>
      </c>
      <c r="R709" s="2" t="inlineStr"/>
    </row>
    <row r="710" ht="15" customHeight="1">
      <c r="A710" t="inlineStr">
        <is>
          <t>A 8775-2024</t>
        </is>
      </c>
      <c r="B710" s="1" t="n">
        <v>45356</v>
      </c>
      <c r="C710" s="1" t="n">
        <v>46084</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48710-2024</t>
        </is>
      </c>
      <c r="B711" s="1" t="n">
        <v>45593.53636574074</v>
      </c>
      <c r="C711" s="1" t="n">
        <v>46084</v>
      </c>
      <c r="D711" t="inlineStr">
        <is>
          <t>VÄSTMANLANDS LÄN</t>
        </is>
      </c>
      <c r="E711" t="inlineStr">
        <is>
          <t>SALA</t>
        </is>
      </c>
      <c r="G711" t="n">
        <v>6.5</v>
      </c>
      <c r="H711" t="n">
        <v>0</v>
      </c>
      <c r="I711" t="n">
        <v>0</v>
      </c>
      <c r="J711" t="n">
        <v>0</v>
      </c>
      <c r="K711" t="n">
        <v>0</v>
      </c>
      <c r="L711" t="n">
        <v>0</v>
      </c>
      <c r="M711" t="n">
        <v>0</v>
      </c>
      <c r="N711" t="n">
        <v>0</v>
      </c>
      <c r="O711" t="n">
        <v>0</v>
      </c>
      <c r="P711" t="n">
        <v>0</v>
      </c>
      <c r="Q711" t="n">
        <v>0</v>
      </c>
      <c r="R711" s="2" t="inlineStr"/>
    </row>
    <row r="712" ht="15" customHeight="1">
      <c r="A712" t="inlineStr">
        <is>
          <t>A 16404-2022</t>
        </is>
      </c>
      <c r="B712" s="1" t="n">
        <v>44671</v>
      </c>
      <c r="C712" s="1" t="n">
        <v>46084</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24248-2023</t>
        </is>
      </c>
      <c r="B713" s="1" t="n">
        <v>45079</v>
      </c>
      <c r="C713" s="1" t="n">
        <v>46084</v>
      </c>
      <c r="D713" t="inlineStr">
        <is>
          <t>VÄSTMANLANDS LÄN</t>
        </is>
      </c>
      <c r="E713" t="inlineStr">
        <is>
          <t>SALA</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10559-2024</t>
        </is>
      </c>
      <c r="B714" s="1" t="n">
        <v>45366</v>
      </c>
      <c r="C714" s="1" t="n">
        <v>46084</v>
      </c>
      <c r="D714" t="inlineStr">
        <is>
          <t>VÄSTMANLANDS LÄN</t>
        </is>
      </c>
      <c r="E714" t="inlineStr">
        <is>
          <t>SALA</t>
        </is>
      </c>
      <c r="G714" t="n">
        <v>0.3</v>
      </c>
      <c r="H714" t="n">
        <v>0</v>
      </c>
      <c r="I714" t="n">
        <v>0</v>
      </c>
      <c r="J714" t="n">
        <v>0</v>
      </c>
      <c r="K714" t="n">
        <v>0</v>
      </c>
      <c r="L714" t="n">
        <v>0</v>
      </c>
      <c r="M714" t="n">
        <v>0</v>
      </c>
      <c r="N714" t="n">
        <v>0</v>
      </c>
      <c r="O714" t="n">
        <v>0</v>
      </c>
      <c r="P714" t="n">
        <v>0</v>
      </c>
      <c r="Q714" t="n">
        <v>0</v>
      </c>
      <c r="R714" s="2" t="inlineStr"/>
    </row>
    <row r="715" ht="15" customHeight="1">
      <c r="A715" t="inlineStr">
        <is>
          <t>A 40214-2023</t>
        </is>
      </c>
      <c r="B715" s="1" t="n">
        <v>45169.45173611111</v>
      </c>
      <c r="C715" s="1" t="n">
        <v>46084</v>
      </c>
      <c r="D715" t="inlineStr">
        <is>
          <t>VÄSTMANLANDS LÄN</t>
        </is>
      </c>
      <c r="E715" t="inlineStr">
        <is>
          <t>SALA</t>
        </is>
      </c>
      <c r="G715" t="n">
        <v>5.5</v>
      </c>
      <c r="H715" t="n">
        <v>0</v>
      </c>
      <c r="I715" t="n">
        <v>0</v>
      </c>
      <c r="J715" t="n">
        <v>0</v>
      </c>
      <c r="K715" t="n">
        <v>0</v>
      </c>
      <c r="L715" t="n">
        <v>0</v>
      </c>
      <c r="M715" t="n">
        <v>0</v>
      </c>
      <c r="N715" t="n">
        <v>0</v>
      </c>
      <c r="O715" t="n">
        <v>0</v>
      </c>
      <c r="P715" t="n">
        <v>0</v>
      </c>
      <c r="Q715" t="n">
        <v>0</v>
      </c>
      <c r="R715" s="2" t="inlineStr"/>
    </row>
    <row r="716" ht="15" customHeight="1">
      <c r="A716" t="inlineStr">
        <is>
          <t>A 9856-2022</t>
        </is>
      </c>
      <c r="B716" s="1" t="n">
        <v>44620</v>
      </c>
      <c r="C716" s="1" t="n">
        <v>46084</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46084</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23374-2023</t>
        </is>
      </c>
      <c r="B718" s="1" t="n">
        <v>45076.4399537037</v>
      </c>
      <c r="C718" s="1" t="n">
        <v>46084</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6134-2024</t>
        </is>
      </c>
      <c r="B719" s="1" t="n">
        <v>45337</v>
      </c>
      <c r="C719" s="1" t="n">
        <v>46084</v>
      </c>
      <c r="D719" t="inlineStr">
        <is>
          <t>VÄSTMANLANDS LÄN</t>
        </is>
      </c>
      <c r="E719" t="inlineStr">
        <is>
          <t>SALA</t>
        </is>
      </c>
      <c r="G719" t="n">
        <v>1.8</v>
      </c>
      <c r="H719" t="n">
        <v>0</v>
      </c>
      <c r="I719" t="n">
        <v>0</v>
      </c>
      <c r="J719" t="n">
        <v>0</v>
      </c>
      <c r="K719" t="n">
        <v>0</v>
      </c>
      <c r="L719" t="n">
        <v>0</v>
      </c>
      <c r="M719" t="n">
        <v>0</v>
      </c>
      <c r="N719" t="n">
        <v>0</v>
      </c>
      <c r="O719" t="n">
        <v>0</v>
      </c>
      <c r="P719" t="n">
        <v>0</v>
      </c>
      <c r="Q719" t="n">
        <v>0</v>
      </c>
      <c r="R719" s="2" t="inlineStr"/>
    </row>
    <row r="720" ht="15" customHeight="1">
      <c r="A720" t="inlineStr">
        <is>
          <t>A 48117-2024</t>
        </is>
      </c>
      <c r="B720" s="1" t="n">
        <v>45589</v>
      </c>
      <c r="C720" s="1" t="n">
        <v>46084</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31082-2021</t>
        </is>
      </c>
      <c r="B721" s="1" t="n">
        <v>44368</v>
      </c>
      <c r="C721" s="1" t="n">
        <v>46084</v>
      </c>
      <c r="D721" t="inlineStr">
        <is>
          <t>VÄSTMANLANDS LÄN</t>
        </is>
      </c>
      <c r="E721" t="inlineStr">
        <is>
          <t>SALA</t>
        </is>
      </c>
      <c r="G721" t="n">
        <v>2</v>
      </c>
      <c r="H721" t="n">
        <v>0</v>
      </c>
      <c r="I721" t="n">
        <v>0</v>
      </c>
      <c r="J721" t="n">
        <v>0</v>
      </c>
      <c r="K721" t="n">
        <v>0</v>
      </c>
      <c r="L721" t="n">
        <v>0</v>
      </c>
      <c r="M721" t="n">
        <v>0</v>
      </c>
      <c r="N721" t="n">
        <v>0</v>
      </c>
      <c r="O721" t="n">
        <v>0</v>
      </c>
      <c r="P721" t="n">
        <v>0</v>
      </c>
      <c r="Q721" t="n">
        <v>0</v>
      </c>
      <c r="R721" s="2" t="inlineStr"/>
    </row>
    <row r="722" ht="15" customHeight="1">
      <c r="A722" t="inlineStr">
        <is>
          <t>A 31470-2021</t>
        </is>
      </c>
      <c r="B722" s="1" t="n">
        <v>44369</v>
      </c>
      <c r="C722" s="1" t="n">
        <v>46084</v>
      </c>
      <c r="D722" t="inlineStr">
        <is>
          <t>VÄSTMANLANDS LÄN</t>
        </is>
      </c>
      <c r="E722" t="inlineStr">
        <is>
          <t>SALA</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24175-2024</t>
        </is>
      </c>
      <c r="B723" s="1" t="n">
        <v>45456</v>
      </c>
      <c r="C723" s="1" t="n">
        <v>46084</v>
      </c>
      <c r="D723" t="inlineStr">
        <is>
          <t>VÄSTMANLANDS LÄN</t>
        </is>
      </c>
      <c r="E723" t="inlineStr">
        <is>
          <t>SALA</t>
        </is>
      </c>
      <c r="G723" t="n">
        <v>0.6</v>
      </c>
      <c r="H723" t="n">
        <v>0</v>
      </c>
      <c r="I723" t="n">
        <v>0</v>
      </c>
      <c r="J723" t="n">
        <v>0</v>
      </c>
      <c r="K723" t="n">
        <v>0</v>
      </c>
      <c r="L723" t="n">
        <v>0</v>
      </c>
      <c r="M723" t="n">
        <v>0</v>
      </c>
      <c r="N723" t="n">
        <v>0</v>
      </c>
      <c r="O723" t="n">
        <v>0</v>
      </c>
      <c r="P723" t="n">
        <v>0</v>
      </c>
      <c r="Q723" t="n">
        <v>0</v>
      </c>
      <c r="R723" s="2" t="inlineStr"/>
    </row>
    <row r="724" ht="15" customHeight="1">
      <c r="A724" t="inlineStr">
        <is>
          <t>A 28328-2023</t>
        </is>
      </c>
      <c r="B724" s="1" t="n">
        <v>45099.71063657408</v>
      </c>
      <c r="C724" s="1" t="n">
        <v>46084</v>
      </c>
      <c r="D724" t="inlineStr">
        <is>
          <t>VÄSTMANLANDS LÄN</t>
        </is>
      </c>
      <c r="E724" t="inlineStr">
        <is>
          <t>SALA</t>
        </is>
      </c>
      <c r="G724" t="n">
        <v>1.8</v>
      </c>
      <c r="H724" t="n">
        <v>0</v>
      </c>
      <c r="I724" t="n">
        <v>0</v>
      </c>
      <c r="J724" t="n">
        <v>0</v>
      </c>
      <c r="K724" t="n">
        <v>0</v>
      </c>
      <c r="L724" t="n">
        <v>0</v>
      </c>
      <c r="M724" t="n">
        <v>0</v>
      </c>
      <c r="N724" t="n">
        <v>0</v>
      </c>
      <c r="O724" t="n">
        <v>0</v>
      </c>
      <c r="P724" t="n">
        <v>0</v>
      </c>
      <c r="Q724" t="n">
        <v>0</v>
      </c>
      <c r="R724" s="2" t="inlineStr"/>
    </row>
    <row r="725" ht="15" customHeight="1">
      <c r="A725" t="inlineStr">
        <is>
          <t>A 61715-2024</t>
        </is>
      </c>
      <c r="B725" s="1" t="n">
        <v>45648.89519675926</v>
      </c>
      <c r="C725" s="1" t="n">
        <v>46084</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38195-2021</t>
        </is>
      </c>
      <c r="B726" s="1" t="n">
        <v>44405</v>
      </c>
      <c r="C726" s="1" t="n">
        <v>46084</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6132-2025</t>
        </is>
      </c>
      <c r="B727" s="1" t="n">
        <v>45698</v>
      </c>
      <c r="C727" s="1" t="n">
        <v>46084</v>
      </c>
      <c r="D727" t="inlineStr">
        <is>
          <t>VÄSTMANLANDS LÄN</t>
        </is>
      </c>
      <c r="E727" t="inlineStr">
        <is>
          <t>SALA</t>
        </is>
      </c>
      <c r="F727" t="inlineStr">
        <is>
          <t>Bergvik skog öst AB</t>
        </is>
      </c>
      <c r="G727" t="n">
        <v>1.5</v>
      </c>
      <c r="H727" t="n">
        <v>0</v>
      </c>
      <c r="I727" t="n">
        <v>0</v>
      </c>
      <c r="J727" t="n">
        <v>0</v>
      </c>
      <c r="K727" t="n">
        <v>0</v>
      </c>
      <c r="L727" t="n">
        <v>0</v>
      </c>
      <c r="M727" t="n">
        <v>0</v>
      </c>
      <c r="N727" t="n">
        <v>0</v>
      </c>
      <c r="O727" t="n">
        <v>0</v>
      </c>
      <c r="P727" t="n">
        <v>0</v>
      </c>
      <c r="Q727" t="n">
        <v>0</v>
      </c>
      <c r="R727" s="2" t="inlineStr"/>
    </row>
    <row r="728" ht="15" customHeight="1">
      <c r="A728" t="inlineStr">
        <is>
          <t>A 21777-2022</t>
        </is>
      </c>
      <c r="B728" s="1" t="n">
        <v>44708.48194444444</v>
      </c>
      <c r="C728" s="1" t="n">
        <v>46084</v>
      </c>
      <c r="D728" t="inlineStr">
        <is>
          <t>VÄSTMANLANDS LÄN</t>
        </is>
      </c>
      <c r="E728" t="inlineStr">
        <is>
          <t>SALA</t>
        </is>
      </c>
      <c r="G728" t="n">
        <v>0.7</v>
      </c>
      <c r="H728" t="n">
        <v>0</v>
      </c>
      <c r="I728" t="n">
        <v>0</v>
      </c>
      <c r="J728" t="n">
        <v>0</v>
      </c>
      <c r="K728" t="n">
        <v>0</v>
      </c>
      <c r="L728" t="n">
        <v>0</v>
      </c>
      <c r="M728" t="n">
        <v>0</v>
      </c>
      <c r="N728" t="n">
        <v>0</v>
      </c>
      <c r="O728" t="n">
        <v>0</v>
      </c>
      <c r="P728" t="n">
        <v>0</v>
      </c>
      <c r="Q728" t="n">
        <v>0</v>
      </c>
      <c r="R728" s="2" t="inlineStr"/>
    </row>
    <row r="729" ht="15" customHeight="1">
      <c r="A729" t="inlineStr">
        <is>
          <t>A 11389-2024</t>
        </is>
      </c>
      <c r="B729" s="1" t="n">
        <v>45372.45016203704</v>
      </c>
      <c r="C729" s="1" t="n">
        <v>46084</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2925-2024</t>
        </is>
      </c>
      <c r="B730" s="1" t="n">
        <v>45315.58909722222</v>
      </c>
      <c r="C730" s="1" t="n">
        <v>46084</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39439-2021</t>
        </is>
      </c>
      <c r="B731" s="1" t="n">
        <v>44414</v>
      </c>
      <c r="C731" s="1" t="n">
        <v>46084</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3332-2024</t>
        </is>
      </c>
      <c r="B732" s="1" t="n">
        <v>45317</v>
      </c>
      <c r="C732" s="1" t="n">
        <v>46084</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2529-2022</t>
        </is>
      </c>
      <c r="B733" s="1" t="n">
        <v>44579.86452546297</v>
      </c>
      <c r="C733" s="1" t="n">
        <v>46084</v>
      </c>
      <c r="D733" t="inlineStr">
        <is>
          <t>VÄSTMANLANDS LÄN</t>
        </is>
      </c>
      <c r="E733" t="inlineStr">
        <is>
          <t>SALA</t>
        </is>
      </c>
      <c r="G733" t="n">
        <v>1.7</v>
      </c>
      <c r="H733" t="n">
        <v>0</v>
      </c>
      <c r="I733" t="n">
        <v>0</v>
      </c>
      <c r="J733" t="n">
        <v>0</v>
      </c>
      <c r="K733" t="n">
        <v>0</v>
      </c>
      <c r="L733" t="n">
        <v>0</v>
      </c>
      <c r="M733" t="n">
        <v>0</v>
      </c>
      <c r="N733" t="n">
        <v>0</v>
      </c>
      <c r="O733" t="n">
        <v>0</v>
      </c>
      <c r="P733" t="n">
        <v>0</v>
      </c>
      <c r="Q733" t="n">
        <v>0</v>
      </c>
      <c r="R733" s="2" t="inlineStr"/>
    </row>
    <row r="734" ht="15" customHeight="1">
      <c r="A734" t="inlineStr">
        <is>
          <t>A 13471-2025</t>
        </is>
      </c>
      <c r="B734" s="1" t="n">
        <v>45736.40579861111</v>
      </c>
      <c r="C734" s="1" t="n">
        <v>46084</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15681-2025</t>
        </is>
      </c>
      <c r="B735" s="1" t="n">
        <v>45748.45454861111</v>
      </c>
      <c r="C735" s="1" t="n">
        <v>46084</v>
      </c>
      <c r="D735" t="inlineStr">
        <is>
          <t>VÄSTMANLANDS LÄN</t>
        </is>
      </c>
      <c r="E735" t="inlineStr">
        <is>
          <t>SALA</t>
        </is>
      </c>
      <c r="F735" t="inlineStr">
        <is>
          <t>Bergvik skog öst AB</t>
        </is>
      </c>
      <c r="G735" t="n">
        <v>4.3</v>
      </c>
      <c r="H735" t="n">
        <v>0</v>
      </c>
      <c r="I735" t="n">
        <v>0</v>
      </c>
      <c r="J735" t="n">
        <v>0</v>
      </c>
      <c r="K735" t="n">
        <v>0</v>
      </c>
      <c r="L735" t="n">
        <v>0</v>
      </c>
      <c r="M735" t="n">
        <v>0</v>
      </c>
      <c r="N735" t="n">
        <v>0</v>
      </c>
      <c r="O735" t="n">
        <v>0</v>
      </c>
      <c r="P735" t="n">
        <v>0</v>
      </c>
      <c r="Q735" t="n">
        <v>0</v>
      </c>
      <c r="R735" s="2" t="inlineStr"/>
    </row>
    <row r="736" ht="15" customHeight="1">
      <c r="A736" t="inlineStr">
        <is>
          <t>A 18431-2023</t>
        </is>
      </c>
      <c r="B736" s="1" t="n">
        <v>45042</v>
      </c>
      <c r="C736" s="1" t="n">
        <v>46084</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45097.37690972222</v>
      </c>
      <c r="C737" s="1" t="n">
        <v>46084</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58701-2021</t>
        </is>
      </c>
      <c r="B738" s="1" t="n">
        <v>44489.46454861111</v>
      </c>
      <c r="C738" s="1" t="n">
        <v>46084</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11244-2024</t>
        </is>
      </c>
      <c r="B739" s="1" t="n">
        <v>45371</v>
      </c>
      <c r="C739" s="1" t="n">
        <v>46084</v>
      </c>
      <c r="D739" t="inlineStr">
        <is>
          <t>VÄSTMANLANDS LÄN</t>
        </is>
      </c>
      <c r="E739" t="inlineStr">
        <is>
          <t>SALA</t>
        </is>
      </c>
      <c r="G739" t="n">
        <v>1.2</v>
      </c>
      <c r="H739" t="n">
        <v>0</v>
      </c>
      <c r="I739" t="n">
        <v>0</v>
      </c>
      <c r="J739" t="n">
        <v>0</v>
      </c>
      <c r="K739" t="n">
        <v>0</v>
      </c>
      <c r="L739" t="n">
        <v>0</v>
      </c>
      <c r="M739" t="n">
        <v>0</v>
      </c>
      <c r="N739" t="n">
        <v>0</v>
      </c>
      <c r="O739" t="n">
        <v>0</v>
      </c>
      <c r="P739" t="n">
        <v>0</v>
      </c>
      <c r="Q739" t="n">
        <v>0</v>
      </c>
      <c r="R739" s="2" t="inlineStr"/>
    </row>
    <row r="740" ht="15" customHeight="1">
      <c r="A740" t="inlineStr">
        <is>
          <t>A 12225-2023</t>
        </is>
      </c>
      <c r="B740" s="1" t="n">
        <v>44995</v>
      </c>
      <c r="C740" s="1" t="n">
        <v>46084</v>
      </c>
      <c r="D740" t="inlineStr">
        <is>
          <t>VÄSTMANLANDS LÄN</t>
        </is>
      </c>
      <c r="E740" t="inlineStr">
        <is>
          <t>SALA</t>
        </is>
      </c>
      <c r="G740" t="n">
        <v>0.9</v>
      </c>
      <c r="H740" t="n">
        <v>0</v>
      </c>
      <c r="I740" t="n">
        <v>0</v>
      </c>
      <c r="J740" t="n">
        <v>0</v>
      </c>
      <c r="K740" t="n">
        <v>0</v>
      </c>
      <c r="L740" t="n">
        <v>0</v>
      </c>
      <c r="M740" t="n">
        <v>0</v>
      </c>
      <c r="N740" t="n">
        <v>0</v>
      </c>
      <c r="O740" t="n">
        <v>0</v>
      </c>
      <c r="P740" t="n">
        <v>0</v>
      </c>
      <c r="Q740" t="n">
        <v>0</v>
      </c>
      <c r="R740" s="2" t="inlineStr"/>
    </row>
    <row r="741" ht="15" customHeight="1">
      <c r="A741" t="inlineStr">
        <is>
          <t>A 61874-2021</t>
        </is>
      </c>
      <c r="B741" s="1" t="n">
        <v>44502</v>
      </c>
      <c r="C741" s="1" t="n">
        <v>46084</v>
      </c>
      <c r="D741" t="inlineStr">
        <is>
          <t>VÄSTMANLANDS LÄN</t>
        </is>
      </c>
      <c r="E741" t="inlineStr">
        <is>
          <t>SALA</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62651-2022</t>
        </is>
      </c>
      <c r="B742" s="1" t="n">
        <v>44917</v>
      </c>
      <c r="C742" s="1" t="n">
        <v>46084</v>
      </c>
      <c r="D742" t="inlineStr">
        <is>
          <t>VÄSTMANLANDS LÄN</t>
        </is>
      </c>
      <c r="E742" t="inlineStr">
        <is>
          <t>SALA</t>
        </is>
      </c>
      <c r="G742" t="n">
        <v>0.4</v>
      </c>
      <c r="H742" t="n">
        <v>0</v>
      </c>
      <c r="I742" t="n">
        <v>0</v>
      </c>
      <c r="J742" t="n">
        <v>0</v>
      </c>
      <c r="K742" t="n">
        <v>0</v>
      </c>
      <c r="L742" t="n">
        <v>0</v>
      </c>
      <c r="M742" t="n">
        <v>0</v>
      </c>
      <c r="N742" t="n">
        <v>0</v>
      </c>
      <c r="O742" t="n">
        <v>0</v>
      </c>
      <c r="P742" t="n">
        <v>0</v>
      </c>
      <c r="Q742" t="n">
        <v>0</v>
      </c>
      <c r="R742" s="2" t="inlineStr"/>
    </row>
    <row r="743" ht="15" customHeight="1">
      <c r="A743" t="inlineStr">
        <is>
          <t>A 15968-2024</t>
        </is>
      </c>
      <c r="B743" s="1" t="n">
        <v>45405.56021990741</v>
      </c>
      <c r="C743" s="1" t="n">
        <v>46084</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60730-2023</t>
        </is>
      </c>
      <c r="B744" s="1" t="n">
        <v>45260</v>
      </c>
      <c r="C744" s="1" t="n">
        <v>46084</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60731-2023</t>
        </is>
      </c>
      <c r="B745" s="1" t="n">
        <v>45260</v>
      </c>
      <c r="C745" s="1" t="n">
        <v>46084</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18461-2024</t>
        </is>
      </c>
      <c r="B746" s="1" t="n">
        <v>45425.47435185185</v>
      </c>
      <c r="C746" s="1" t="n">
        <v>46084</v>
      </c>
      <c r="D746" t="inlineStr">
        <is>
          <t>VÄSTMANLANDS LÄN</t>
        </is>
      </c>
      <c r="E746" t="inlineStr">
        <is>
          <t>SALA</t>
        </is>
      </c>
      <c r="G746" t="n">
        <v>1.7</v>
      </c>
      <c r="H746" t="n">
        <v>0</v>
      </c>
      <c r="I746" t="n">
        <v>0</v>
      </c>
      <c r="J746" t="n">
        <v>0</v>
      </c>
      <c r="K746" t="n">
        <v>0</v>
      </c>
      <c r="L746" t="n">
        <v>0</v>
      </c>
      <c r="M746" t="n">
        <v>0</v>
      </c>
      <c r="N746" t="n">
        <v>0</v>
      </c>
      <c r="O746" t="n">
        <v>0</v>
      </c>
      <c r="P746" t="n">
        <v>0</v>
      </c>
      <c r="Q746" t="n">
        <v>0</v>
      </c>
      <c r="R746" s="2" t="inlineStr"/>
    </row>
    <row r="747" ht="15" customHeight="1">
      <c r="A747" t="inlineStr">
        <is>
          <t>A 4663-2022</t>
        </is>
      </c>
      <c r="B747" s="1" t="n">
        <v>44592.45429398148</v>
      </c>
      <c r="C747" s="1" t="n">
        <v>46084</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6032-2025</t>
        </is>
      </c>
      <c r="B748" s="1" t="n">
        <v>45695.6371875</v>
      </c>
      <c r="C748" s="1" t="n">
        <v>46084</v>
      </c>
      <c r="D748" t="inlineStr">
        <is>
          <t>VÄSTMANLANDS LÄN</t>
        </is>
      </c>
      <c r="E748" t="inlineStr">
        <is>
          <t>SALA</t>
        </is>
      </c>
      <c r="F748" t="inlineStr">
        <is>
          <t>Bergvik skog öst AB</t>
        </is>
      </c>
      <c r="G748" t="n">
        <v>8.1</v>
      </c>
      <c r="H748" t="n">
        <v>0</v>
      </c>
      <c r="I748" t="n">
        <v>0</v>
      </c>
      <c r="J748" t="n">
        <v>0</v>
      </c>
      <c r="K748" t="n">
        <v>0</v>
      </c>
      <c r="L748" t="n">
        <v>0</v>
      </c>
      <c r="M748" t="n">
        <v>0</v>
      </c>
      <c r="N748" t="n">
        <v>0</v>
      </c>
      <c r="O748" t="n">
        <v>0</v>
      </c>
      <c r="P748" t="n">
        <v>0</v>
      </c>
      <c r="Q748" t="n">
        <v>0</v>
      </c>
      <c r="R748" s="2" t="inlineStr"/>
    </row>
    <row r="749" ht="15" customHeight="1">
      <c r="A749" t="inlineStr">
        <is>
          <t>A 2766-2024</t>
        </is>
      </c>
      <c r="B749" s="1" t="n">
        <v>45314.60950231482</v>
      </c>
      <c r="C749" s="1" t="n">
        <v>46084</v>
      </c>
      <c r="D749" t="inlineStr">
        <is>
          <t>VÄSTMANLANDS LÄN</t>
        </is>
      </c>
      <c r="E749" t="inlineStr">
        <is>
          <t>SALA</t>
        </is>
      </c>
      <c r="G749" t="n">
        <v>2.8</v>
      </c>
      <c r="H749" t="n">
        <v>0</v>
      </c>
      <c r="I749" t="n">
        <v>0</v>
      </c>
      <c r="J749" t="n">
        <v>0</v>
      </c>
      <c r="K749" t="n">
        <v>0</v>
      </c>
      <c r="L749" t="n">
        <v>0</v>
      </c>
      <c r="M749" t="n">
        <v>0</v>
      </c>
      <c r="N749" t="n">
        <v>0</v>
      </c>
      <c r="O749" t="n">
        <v>0</v>
      </c>
      <c r="P749" t="n">
        <v>0</v>
      </c>
      <c r="Q749" t="n">
        <v>0</v>
      </c>
      <c r="R749" s="2" t="inlineStr"/>
    </row>
    <row r="750" ht="15" customHeight="1">
      <c r="A750" t="inlineStr">
        <is>
          <t>A 6351-2023</t>
        </is>
      </c>
      <c r="B750" s="1" t="n">
        <v>44965</v>
      </c>
      <c r="C750" s="1" t="n">
        <v>46084</v>
      </c>
      <c r="D750" t="inlineStr">
        <is>
          <t>VÄSTMANLANDS LÄN</t>
        </is>
      </c>
      <c r="E750" t="inlineStr">
        <is>
          <t>SALA</t>
        </is>
      </c>
      <c r="F750" t="inlineStr">
        <is>
          <t>Kommuner</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45187-2024</t>
        </is>
      </c>
      <c r="B751" s="1" t="n">
        <v>45575</v>
      </c>
      <c r="C751" s="1" t="n">
        <v>46084</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33527-2023</t>
        </is>
      </c>
      <c r="B752" s="1" t="n">
        <v>45131</v>
      </c>
      <c r="C752" s="1" t="n">
        <v>46084</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7377-2023</t>
        </is>
      </c>
      <c r="B753" s="1" t="n">
        <v>44971</v>
      </c>
      <c r="C753" s="1" t="n">
        <v>46084</v>
      </c>
      <c r="D753" t="inlineStr">
        <is>
          <t>VÄSTMANLANDS LÄN</t>
        </is>
      </c>
      <c r="E753" t="inlineStr">
        <is>
          <t>SALA</t>
        </is>
      </c>
      <c r="G753" t="n">
        <v>0.9</v>
      </c>
      <c r="H753" t="n">
        <v>0</v>
      </c>
      <c r="I753" t="n">
        <v>0</v>
      </c>
      <c r="J753" t="n">
        <v>0</v>
      </c>
      <c r="K753" t="n">
        <v>0</v>
      </c>
      <c r="L753" t="n">
        <v>0</v>
      </c>
      <c r="M753" t="n">
        <v>0</v>
      </c>
      <c r="N753" t="n">
        <v>0</v>
      </c>
      <c r="O753" t="n">
        <v>0</v>
      </c>
      <c r="P753" t="n">
        <v>0</v>
      </c>
      <c r="Q753" t="n">
        <v>0</v>
      </c>
      <c r="R753" s="2" t="inlineStr"/>
    </row>
    <row r="754" ht="15" customHeight="1">
      <c r="A754" t="inlineStr">
        <is>
          <t>A 21159-2022</t>
        </is>
      </c>
      <c r="B754" s="1" t="n">
        <v>44704</v>
      </c>
      <c r="C754" s="1" t="n">
        <v>46084</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56688-2024</t>
        </is>
      </c>
      <c r="B755" s="1" t="n">
        <v>45627.66478009259</v>
      </c>
      <c r="C755" s="1" t="n">
        <v>46084</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c r="A756" t="inlineStr">
        <is>
          <t>A 16159-2024</t>
        </is>
      </c>
      <c r="B756" s="1" t="n">
        <v>45406</v>
      </c>
      <c r="C756" s="1" t="n">
        <v>46084</v>
      </c>
      <c r="D756" t="inlineStr">
        <is>
          <t>VÄSTMANLANDS LÄN</t>
        </is>
      </c>
      <c r="E756" t="inlineStr">
        <is>
          <t>SALA</t>
        </is>
      </c>
      <c r="G756" t="n">
        <v>0.4</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2026-03-03T11:13:30Z</dcterms:created>
  <dcterms:modified xmlns:dcterms="http://purl.org/dc/terms/" xmlns:xsi="http://www.w3.org/2001/XMLSchema-instance" xsi:type="dcterms:W3CDTF">2026-03-03T11:13:30Z</dcterms:modified>
</cp:coreProperties>
</file>